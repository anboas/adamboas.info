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tinker-2K\dfs1\OCALC-PK\Group_Files\Pkc\Source Selection\Dee\25-ZBB-xx KC-135 CCR\Pricing Matrix\"/>
    </mc:Choice>
  </mc:AlternateContent>
  <xr:revisionPtr revIDLastSave="0" documentId="13_ncr:101_{7CC0D544-F932-4BBF-9189-6109BF5D2328}" xr6:coauthVersionLast="47" xr6:coauthVersionMax="47" xr10:uidLastSave="{00000000-0000-0000-0000-000000000000}"/>
  <bookViews>
    <workbookView xWindow="-120" yWindow="90" windowWidth="29040" windowHeight="15510" firstSheet="29" activeTab="32" xr2:uid="{6CFCB136-28A5-4A7F-A3FF-A503CD19E615}"/>
  </bookViews>
  <sheets>
    <sheet name="INSTRUCTIONS" sheetId="4" r:id="rId1"/>
    <sheet name="SUMMARY" sheetId="1" r:id="rId2"/>
    <sheet name="SUB CPIF RATES (ALL)" sheetId="17" r:id="rId3"/>
    <sheet name="SUB CPIF RATE DESC (ALL)" sheetId="11" r:id="rId4"/>
    <sheet name="SUB CPIF LABOR by TASK" sheetId="44" r:id="rId5"/>
    <sheet name="SUB CPIF LABOR INPUTS" sheetId="41" r:id="rId6"/>
    <sheet name="SUB CPIF TOTAL MATERIAL" sheetId="53" r:id="rId7"/>
    <sheet name="SUB CPIF TOTAL SUB" sheetId="10" r:id="rId8"/>
    <sheet name="SUB CPIF TOTAL ODC" sheetId="42" r:id="rId9"/>
    <sheet name="CPIF CLIN 0001 SUMMARY" sheetId="52" r:id="rId10"/>
    <sheet name="CPIF CLIN 0001-TASK 1.01 INPUTS" sheetId="15" r:id="rId11"/>
    <sheet name="CPIF CLIN 0001-TASK 1.02 INPUTS" sheetId="19" r:id="rId12"/>
    <sheet name="CPIF CLIN 0001-TASK 1.03 INPUTS" sheetId="20" r:id="rId13"/>
    <sheet name="CPIF CLIN 0001 TASK 1.04 INPUTS" sheetId="21" r:id="rId14"/>
    <sheet name="CPIF CLIN 0001-TASK 1.05 INPUTS" sheetId="22" r:id="rId15"/>
    <sheet name="CPIF CLIN 0001-TASK 1.06 INPUTS" sheetId="23" r:id="rId16"/>
    <sheet name="CPIF CLIN 0001-TASK 1.07 INPUTS" sheetId="24" r:id="rId17"/>
    <sheet name="CPIF CLIN 0001-TASK 1.08 INPUTS" sheetId="25" r:id="rId18"/>
    <sheet name="CPIF CLIN 0001-TASK 1.09 INPUTS" sheetId="26" r:id="rId19"/>
    <sheet name="CPIF CLIN 0001-TASK 1.10 INPUTS" sheetId="27" r:id="rId20"/>
    <sheet name="CPIF CLIN 0001-TASK 1.11 INPUTS" sheetId="28" r:id="rId21"/>
    <sheet name="CPIF CLIN 0001 TOTAL" sheetId="29" r:id="rId22"/>
    <sheet name="CPIF CLIN 0002 SUMMARY" sheetId="33" r:id="rId23"/>
    <sheet name="CPIF CLIN 0002-TASK 1.01 INPUTS" sheetId="30" r:id="rId24"/>
    <sheet name="CPIF CLIN 0002-TASK 1.02 INPUTS" sheetId="31" r:id="rId25"/>
    <sheet name="CPIF CLIN 0002-TASK 1.03 INPUTS" sheetId="32" r:id="rId26"/>
    <sheet name="CPIF CLIN 0002 TOTAL" sheetId="34" r:id="rId27"/>
    <sheet name="CPIF CLIN 0003 SUMMARY" sheetId="35" r:id="rId28"/>
    <sheet name="CPIF CLIN 0003-TASK 1.01 INPUTS" sheetId="36" r:id="rId29"/>
    <sheet name="CPIF CLIN 0003-TASK 1.02 INPUTS" sheetId="37" r:id="rId30"/>
    <sheet name="CPIF CLIN 0003-TASK 1.03 INPUTS" sheetId="38" r:id="rId31"/>
    <sheet name="CPIF CLIN 0003-TASK 1.04 INPUTS" sheetId="39" r:id="rId32"/>
    <sheet name="CPIF CLIN 0003 TOTAL" sheetId="40" r:id="rId33"/>
  </sheets>
  <definedNames>
    <definedName name="Common">#REF!</definedName>
    <definedName name="Consum">#REF!</definedName>
    <definedName name="EngRate">#REF!</definedName>
    <definedName name="GARate">#REF!</definedName>
    <definedName name="GrossProfit">#REF!</definedName>
    <definedName name="MatHandle">#REF!</definedName>
    <definedName name="Risk">#REF!</definedName>
    <definedName name="ShopRate">#REF!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7" i="42" l="1"/>
  <c r="M32" i="42"/>
  <c r="M33" i="42"/>
  <c r="M34" i="42"/>
  <c r="M35" i="42"/>
  <c r="M31" i="42"/>
  <c r="M27" i="42"/>
  <c r="M28" i="42"/>
  <c r="M29" i="42"/>
  <c r="M26" i="42"/>
  <c r="M14" i="42"/>
  <c r="M15" i="42"/>
  <c r="M16" i="42"/>
  <c r="M17" i="42"/>
  <c r="M18" i="42"/>
  <c r="M19" i="42"/>
  <c r="M20" i="42"/>
  <c r="M21" i="42"/>
  <c r="M22" i="42"/>
  <c r="M23" i="42"/>
  <c r="M24" i="42"/>
  <c r="M13" i="42"/>
  <c r="K37" i="42"/>
  <c r="I37" i="42"/>
  <c r="G37" i="42"/>
  <c r="E37" i="42"/>
  <c r="K35" i="42"/>
  <c r="I35" i="42"/>
  <c r="G35" i="42"/>
  <c r="E35" i="42"/>
  <c r="K29" i="42"/>
  <c r="I29" i="42"/>
  <c r="G29" i="42"/>
  <c r="E29" i="42"/>
  <c r="K24" i="42"/>
  <c r="I24" i="42"/>
  <c r="G24" i="42"/>
  <c r="E24" i="42"/>
  <c r="B2" i="1"/>
  <c r="C2" i="37"/>
  <c r="C2" i="40"/>
  <c r="C2" i="39"/>
  <c r="C2" i="38"/>
  <c r="G4" i="37"/>
  <c r="C2" i="36"/>
  <c r="C2" i="35"/>
  <c r="C2" i="34"/>
  <c r="C2" i="32"/>
  <c r="C2" i="33"/>
  <c r="C2" i="29"/>
  <c r="C2" i="31"/>
  <c r="C2" i="30"/>
  <c r="C2" i="28"/>
  <c r="C2" i="27"/>
  <c r="C2" i="26"/>
  <c r="C2" i="25"/>
  <c r="C2" i="24"/>
  <c r="C2" i="23"/>
  <c r="C2" i="22"/>
  <c r="C2" i="21"/>
  <c r="C2" i="20"/>
  <c r="C2" i="19"/>
  <c r="C4" i="15"/>
  <c r="C2" i="52"/>
  <c r="C2" i="42"/>
  <c r="C2" i="10"/>
  <c r="C2" i="53"/>
  <c r="C2" i="41"/>
  <c r="C2" i="44"/>
  <c r="C2" i="11"/>
  <c r="C1" i="33"/>
  <c r="C1" i="34"/>
  <c r="C1" i="35"/>
  <c r="C1" i="40"/>
  <c r="C1" i="24"/>
  <c r="C1" i="39"/>
  <c r="C1" i="38"/>
  <c r="C1" i="37"/>
  <c r="C1" i="32"/>
  <c r="C1" i="31"/>
  <c r="C1" i="30"/>
  <c r="C1" i="28"/>
  <c r="C1" i="27"/>
  <c r="C1" i="26"/>
  <c r="C1" i="25"/>
  <c r="C1" i="23"/>
  <c r="C1" i="22"/>
  <c r="C1" i="21"/>
  <c r="C1" i="20"/>
  <c r="C1" i="19"/>
  <c r="B1" i="1"/>
  <c r="C1" i="29"/>
  <c r="C1" i="36"/>
  <c r="C3" i="15"/>
  <c r="C1" i="52"/>
  <c r="C1" i="42"/>
  <c r="C1" i="10"/>
  <c r="C1" i="53"/>
  <c r="M39" i="42" l="1"/>
  <c r="C1" i="41"/>
  <c r="C1" i="44"/>
  <c r="C1" i="11"/>
  <c r="K28" i="53"/>
  <c r="I28" i="53"/>
  <c r="M40" i="42" l="1"/>
  <c r="P23" i="21"/>
  <c r="P24" i="21"/>
  <c r="P25" i="21"/>
  <c r="P22" i="21"/>
  <c r="P21" i="21"/>
  <c r="L22" i="21"/>
  <c r="L23" i="21"/>
  <c r="L24" i="21"/>
  <c r="L25" i="21"/>
  <c r="L21" i="21"/>
  <c r="H22" i="21"/>
  <c r="H23" i="21"/>
  <c r="H24" i="21"/>
  <c r="H25" i="21"/>
  <c r="H21" i="21"/>
  <c r="P22" i="37"/>
  <c r="P23" i="37"/>
  <c r="P24" i="37"/>
  <c r="P25" i="37"/>
  <c r="P21" i="37"/>
  <c r="L22" i="37"/>
  <c r="L23" i="37"/>
  <c r="L24" i="37"/>
  <c r="L25" i="37"/>
  <c r="L21" i="37"/>
  <c r="H23" i="37"/>
  <c r="H24" i="37"/>
  <c r="H25" i="37"/>
  <c r="H22" i="37"/>
  <c r="H21" i="37"/>
  <c r="P25" i="36"/>
  <c r="P24" i="36"/>
  <c r="P23" i="36"/>
  <c r="P22" i="36"/>
  <c r="P21" i="36"/>
  <c r="L25" i="36"/>
  <c r="L24" i="36"/>
  <c r="L23" i="36"/>
  <c r="L22" i="36"/>
  <c r="L21" i="36"/>
  <c r="H25" i="36"/>
  <c r="H24" i="36"/>
  <c r="H23" i="36"/>
  <c r="H22" i="36"/>
  <c r="H21" i="36"/>
  <c r="P25" i="31"/>
  <c r="P24" i="31"/>
  <c r="P23" i="31"/>
  <c r="P22" i="31"/>
  <c r="P21" i="31"/>
  <c r="L25" i="31"/>
  <c r="L24" i="31"/>
  <c r="L23" i="31"/>
  <c r="L22" i="31"/>
  <c r="L21" i="31"/>
  <c r="H25" i="31"/>
  <c r="H24" i="31"/>
  <c r="H23" i="31"/>
  <c r="H22" i="31"/>
  <c r="H21" i="31"/>
  <c r="Q203" i="41"/>
  <c r="M203" i="41"/>
  <c r="I203" i="41"/>
  <c r="E203" i="41"/>
  <c r="B77" i="41"/>
  <c r="B56" i="41"/>
  <c r="B18" i="11"/>
  <c r="B19" i="11"/>
  <c r="B20" i="11"/>
  <c r="B21" i="11"/>
  <c r="B22" i="11"/>
  <c r="B23" i="11"/>
  <c r="B24" i="11"/>
  <c r="B25" i="11"/>
  <c r="B26" i="11"/>
  <c r="B27" i="11"/>
  <c r="B28" i="11"/>
  <c r="B29" i="11"/>
  <c r="B30" i="11"/>
  <c r="H21" i="27" l="1"/>
  <c r="H22" i="27"/>
  <c r="H23" i="27"/>
  <c r="H24" i="27"/>
  <c r="H25" i="27"/>
  <c r="D21" i="19"/>
  <c r="D22" i="19"/>
  <c r="D23" i="19"/>
  <c r="D24" i="19"/>
  <c r="D25" i="19"/>
  <c r="E36" i="15"/>
  <c r="D38" i="15"/>
  <c r="D39" i="15"/>
  <c r="D23" i="15"/>
  <c r="D24" i="15"/>
  <c r="D25" i="15"/>
  <c r="D26" i="15"/>
  <c r="D27" i="15"/>
  <c r="E50" i="15"/>
  <c r="D52" i="15"/>
  <c r="D53" i="15"/>
  <c r="B16" i="11" l="1"/>
  <c r="B17" i="11"/>
  <c r="P33" i="21"/>
  <c r="P47" i="21" s="1"/>
  <c r="P61" i="21" s="1"/>
  <c r="O33" i="21"/>
  <c r="O47" i="21" s="1"/>
  <c r="O61" i="21" s="1"/>
  <c r="L33" i="21"/>
  <c r="L47" i="21" s="1"/>
  <c r="L61" i="21" s="1"/>
  <c r="K33" i="21"/>
  <c r="K47" i="21" s="1"/>
  <c r="K61" i="21" s="1"/>
  <c r="H33" i="21"/>
  <c r="H47" i="21" s="1"/>
  <c r="H61" i="21" s="1"/>
  <c r="G33" i="21"/>
  <c r="G47" i="21" s="1"/>
  <c r="G61" i="21" s="1"/>
  <c r="D33" i="21"/>
  <c r="D47" i="21" s="1"/>
  <c r="C33" i="21"/>
  <c r="C47" i="21" s="1"/>
  <c r="O47" i="20"/>
  <c r="O61" i="20" s="1"/>
  <c r="K47" i="20"/>
  <c r="K61" i="20" s="1"/>
  <c r="G47" i="20"/>
  <c r="G61" i="20" s="1"/>
  <c r="C47" i="20"/>
  <c r="C61" i="20" s="1"/>
  <c r="K33" i="20"/>
  <c r="P33" i="19"/>
  <c r="P47" i="19" s="1"/>
  <c r="O33" i="19"/>
  <c r="O47" i="19" s="1"/>
  <c r="O61" i="19" s="1"/>
  <c r="L33" i="19"/>
  <c r="L47" i="19" s="1"/>
  <c r="K33" i="19"/>
  <c r="K47" i="19" s="1"/>
  <c r="K61" i="19" s="1"/>
  <c r="H33" i="19"/>
  <c r="H47" i="19" s="1"/>
  <c r="G33" i="19"/>
  <c r="G47" i="19" s="1"/>
  <c r="D33" i="19"/>
  <c r="D47" i="19" s="1"/>
  <c r="D61" i="19" s="1"/>
  <c r="C33" i="19"/>
  <c r="C47" i="19" s="1"/>
  <c r="C61" i="19" s="1"/>
  <c r="G49" i="15"/>
  <c r="G63" i="15" s="1"/>
  <c r="P35" i="15"/>
  <c r="P49" i="15" s="1"/>
  <c r="P63" i="15" s="1"/>
  <c r="O35" i="15"/>
  <c r="O49" i="15" s="1"/>
  <c r="O63" i="15" s="1"/>
  <c r="L35" i="15"/>
  <c r="L49" i="15" s="1"/>
  <c r="L63" i="15" s="1"/>
  <c r="K35" i="15"/>
  <c r="K49" i="15" s="1"/>
  <c r="K63" i="15" s="1"/>
  <c r="H35" i="15"/>
  <c r="H49" i="15" s="1"/>
  <c r="H63" i="15" s="1"/>
  <c r="G35" i="15"/>
  <c r="D35" i="15"/>
  <c r="D49" i="15" s="1"/>
  <c r="D63" i="15" s="1"/>
  <c r="C35" i="15"/>
  <c r="C49" i="15" s="1"/>
  <c r="C63" i="15" s="1"/>
  <c r="Q34" i="39"/>
  <c r="O36" i="39" s="1"/>
  <c r="M34" i="39"/>
  <c r="I34" i="39"/>
  <c r="E34" i="39"/>
  <c r="Q34" i="38"/>
  <c r="O36" i="38" s="1"/>
  <c r="M34" i="38"/>
  <c r="I34" i="38"/>
  <c r="E34" i="38"/>
  <c r="Q34" i="37"/>
  <c r="O36" i="37" s="1"/>
  <c r="M34" i="37"/>
  <c r="I34" i="37"/>
  <c r="E34" i="37"/>
  <c r="Q34" i="36"/>
  <c r="O36" i="36" s="1"/>
  <c r="M34" i="36"/>
  <c r="I34" i="36"/>
  <c r="E34" i="36"/>
  <c r="Q34" i="32"/>
  <c r="O36" i="32" s="1"/>
  <c r="M34" i="32"/>
  <c r="I34" i="32"/>
  <c r="E34" i="32"/>
  <c r="Q34" i="31"/>
  <c r="M34" i="31"/>
  <c r="I34" i="31"/>
  <c r="E34" i="31"/>
  <c r="Q34" i="30"/>
  <c r="M34" i="30"/>
  <c r="I34" i="30"/>
  <c r="E34" i="30"/>
  <c r="Q34" i="28"/>
  <c r="O36" i="28" s="1"/>
  <c r="M34" i="28"/>
  <c r="I34" i="28"/>
  <c r="E34" i="28"/>
  <c r="Q34" i="27"/>
  <c r="O36" i="27" s="1"/>
  <c r="M34" i="27"/>
  <c r="I34" i="27"/>
  <c r="E34" i="27"/>
  <c r="Q34" i="26"/>
  <c r="O36" i="26" s="1"/>
  <c r="M34" i="26"/>
  <c r="I34" i="26"/>
  <c r="E34" i="26"/>
  <c r="Q34" i="25"/>
  <c r="O36" i="25" s="1"/>
  <c r="M34" i="25"/>
  <c r="I34" i="25"/>
  <c r="E34" i="25"/>
  <c r="Q34" i="24"/>
  <c r="O36" i="24" s="1"/>
  <c r="M34" i="24"/>
  <c r="I34" i="24"/>
  <c r="E34" i="24"/>
  <c r="Q34" i="23"/>
  <c r="M34" i="23"/>
  <c r="I34" i="23"/>
  <c r="E34" i="23"/>
  <c r="Q34" i="22"/>
  <c r="M34" i="22"/>
  <c r="I34" i="22"/>
  <c r="E34" i="22"/>
  <c r="Q34" i="21"/>
  <c r="M34" i="21"/>
  <c r="I34" i="21"/>
  <c r="E34" i="21"/>
  <c r="Q34" i="20"/>
  <c r="M34" i="20"/>
  <c r="I34" i="20"/>
  <c r="E34" i="20"/>
  <c r="Q34" i="19"/>
  <c r="M34" i="19"/>
  <c r="I34" i="19"/>
  <c r="E34" i="19"/>
  <c r="Q36" i="15"/>
  <c r="M36" i="15"/>
  <c r="I36" i="15"/>
  <c r="K34" i="53"/>
  <c r="I34" i="53"/>
  <c r="G34" i="53"/>
  <c r="E34" i="53"/>
  <c r="M33" i="53"/>
  <c r="M32" i="53"/>
  <c r="M31" i="53"/>
  <c r="M30" i="53"/>
  <c r="G28" i="53"/>
  <c r="E28" i="53"/>
  <c r="M27" i="53"/>
  <c r="M26" i="53"/>
  <c r="M25" i="53"/>
  <c r="K23" i="53"/>
  <c r="I23" i="53"/>
  <c r="G23" i="53"/>
  <c r="E23" i="53"/>
  <c r="M22" i="53"/>
  <c r="M21" i="53"/>
  <c r="M20" i="53"/>
  <c r="M19" i="53"/>
  <c r="M18" i="53"/>
  <c r="M17" i="53"/>
  <c r="M16" i="53"/>
  <c r="M15" i="53"/>
  <c r="M14" i="53"/>
  <c r="M13" i="53"/>
  <c r="M12" i="53"/>
  <c r="Q62" i="39"/>
  <c r="O64" i="39" s="1"/>
  <c r="M62" i="39"/>
  <c r="I62" i="39"/>
  <c r="E62" i="39"/>
  <c r="Q62" i="38"/>
  <c r="O64" i="38" s="1"/>
  <c r="M62" i="38"/>
  <c r="E62" i="38"/>
  <c r="I62" i="38"/>
  <c r="Q62" i="37"/>
  <c r="O64" i="37" s="1"/>
  <c r="M62" i="37"/>
  <c r="I62" i="37"/>
  <c r="E62" i="37"/>
  <c r="Q62" i="36"/>
  <c r="O64" i="36" s="1"/>
  <c r="M62" i="36"/>
  <c r="I62" i="36"/>
  <c r="E62" i="36"/>
  <c r="Q62" i="32"/>
  <c r="O64" i="32" s="1"/>
  <c r="M62" i="32"/>
  <c r="I62" i="32"/>
  <c r="E62" i="32"/>
  <c r="Q62" i="31"/>
  <c r="O64" i="31" s="1"/>
  <c r="M62" i="31"/>
  <c r="I62" i="31"/>
  <c r="E62" i="31"/>
  <c r="Q62" i="30"/>
  <c r="M62" i="30"/>
  <c r="I62" i="30"/>
  <c r="E62" i="30"/>
  <c r="Q62" i="28"/>
  <c r="O64" i="28" s="1"/>
  <c r="M62" i="28"/>
  <c r="I62" i="28"/>
  <c r="E62" i="28"/>
  <c r="Q62" i="27"/>
  <c r="M62" i="27"/>
  <c r="I62" i="27"/>
  <c r="E62" i="27"/>
  <c r="Q62" i="26"/>
  <c r="O64" i="26" s="1"/>
  <c r="M62" i="26"/>
  <c r="I62" i="26"/>
  <c r="E62" i="26"/>
  <c r="Q62" i="25"/>
  <c r="O64" i="25" s="1"/>
  <c r="M62" i="25"/>
  <c r="I62" i="25"/>
  <c r="E62" i="25"/>
  <c r="Q62" i="24"/>
  <c r="O64" i="24" s="1"/>
  <c r="M62" i="24"/>
  <c r="I62" i="24"/>
  <c r="E62" i="24"/>
  <c r="Q62" i="23"/>
  <c r="M62" i="23"/>
  <c r="I62" i="23"/>
  <c r="E62" i="23"/>
  <c r="Q62" i="22"/>
  <c r="M62" i="22"/>
  <c r="I62" i="22"/>
  <c r="E62" i="22"/>
  <c r="Q62" i="21"/>
  <c r="M62" i="21"/>
  <c r="I62" i="21"/>
  <c r="E62" i="21"/>
  <c r="Q62" i="20"/>
  <c r="M62" i="20"/>
  <c r="I62" i="20"/>
  <c r="E62" i="20"/>
  <c r="Q62" i="19"/>
  <c r="M62" i="19"/>
  <c r="I62" i="19"/>
  <c r="E62" i="19"/>
  <c r="Q64" i="15"/>
  <c r="M64" i="15"/>
  <c r="I64" i="15"/>
  <c r="E64" i="15"/>
  <c r="P67" i="28"/>
  <c r="P66" i="28"/>
  <c r="P65" i="28"/>
  <c r="P64" i="28"/>
  <c r="L67" i="28"/>
  <c r="L66" i="28"/>
  <c r="L65" i="28"/>
  <c r="L64" i="28"/>
  <c r="H67" i="28"/>
  <c r="H66" i="28"/>
  <c r="H65" i="28"/>
  <c r="H64" i="28"/>
  <c r="D67" i="28"/>
  <c r="D66" i="28"/>
  <c r="D65" i="28"/>
  <c r="D64" i="28"/>
  <c r="P39" i="28"/>
  <c r="P38" i="28"/>
  <c r="P37" i="28"/>
  <c r="P36" i="28"/>
  <c r="Q36" i="28" s="1"/>
  <c r="P25" i="28"/>
  <c r="P24" i="28"/>
  <c r="P23" i="28"/>
  <c r="P22" i="28"/>
  <c r="P21" i="28"/>
  <c r="P67" i="27"/>
  <c r="P66" i="27"/>
  <c r="P65" i="27"/>
  <c r="P64" i="27"/>
  <c r="L67" i="27"/>
  <c r="L66" i="27"/>
  <c r="L65" i="27"/>
  <c r="L64" i="27"/>
  <c r="H67" i="27"/>
  <c r="H66" i="27"/>
  <c r="H65" i="27"/>
  <c r="H64" i="27"/>
  <c r="D67" i="27"/>
  <c r="D66" i="27"/>
  <c r="D65" i="27"/>
  <c r="D64" i="27"/>
  <c r="P39" i="27"/>
  <c r="P38" i="27"/>
  <c r="P37" i="27"/>
  <c r="P36" i="27"/>
  <c r="P25" i="27"/>
  <c r="P24" i="27"/>
  <c r="P23" i="27"/>
  <c r="P22" i="27"/>
  <c r="P21" i="27"/>
  <c r="P67" i="26"/>
  <c r="P66" i="26"/>
  <c r="P65" i="26"/>
  <c r="P64" i="26"/>
  <c r="L67" i="26"/>
  <c r="L66" i="26"/>
  <c r="L65" i="26"/>
  <c r="L64" i="26"/>
  <c r="H67" i="26"/>
  <c r="H66" i="26"/>
  <c r="H65" i="26"/>
  <c r="H64" i="26"/>
  <c r="D67" i="26"/>
  <c r="D66" i="26"/>
  <c r="D65" i="26"/>
  <c r="D64" i="26"/>
  <c r="P39" i="26"/>
  <c r="P38" i="26"/>
  <c r="P37" i="26"/>
  <c r="P36" i="26"/>
  <c r="P25" i="26"/>
  <c r="P24" i="26"/>
  <c r="P23" i="26"/>
  <c r="P22" i="26"/>
  <c r="P21" i="26"/>
  <c r="P67" i="25"/>
  <c r="P66" i="25"/>
  <c r="P65" i="25"/>
  <c r="P64" i="25"/>
  <c r="L67" i="25"/>
  <c r="L66" i="25"/>
  <c r="L65" i="25"/>
  <c r="L64" i="25"/>
  <c r="H67" i="25"/>
  <c r="H66" i="25"/>
  <c r="H65" i="25"/>
  <c r="H64" i="25"/>
  <c r="D67" i="25"/>
  <c r="D66" i="25"/>
  <c r="D65" i="25"/>
  <c r="D64" i="25"/>
  <c r="P39" i="25"/>
  <c r="P38" i="25"/>
  <c r="P37" i="25"/>
  <c r="P36" i="25"/>
  <c r="P25" i="25"/>
  <c r="P24" i="25"/>
  <c r="P23" i="25"/>
  <c r="P22" i="25"/>
  <c r="P21" i="25"/>
  <c r="P67" i="24"/>
  <c r="P66" i="24"/>
  <c r="P65" i="24"/>
  <c r="P64" i="24"/>
  <c r="L67" i="24"/>
  <c r="L66" i="24"/>
  <c r="L65" i="24"/>
  <c r="L64" i="24"/>
  <c r="H67" i="24"/>
  <c r="H66" i="24"/>
  <c r="H65" i="24"/>
  <c r="H64" i="24"/>
  <c r="D67" i="24"/>
  <c r="D66" i="24"/>
  <c r="D65" i="24"/>
  <c r="D64" i="24"/>
  <c r="P39" i="24"/>
  <c r="P38" i="24"/>
  <c r="P37" i="24"/>
  <c r="P36" i="24"/>
  <c r="Q36" i="24" s="1"/>
  <c r="P25" i="24"/>
  <c r="P24" i="24"/>
  <c r="P23" i="24"/>
  <c r="P22" i="24"/>
  <c r="P21" i="24"/>
  <c r="P67" i="23"/>
  <c r="P66" i="23"/>
  <c r="P65" i="23"/>
  <c r="P64" i="23"/>
  <c r="L67" i="23"/>
  <c r="L66" i="23"/>
  <c r="L65" i="23"/>
  <c r="L64" i="23"/>
  <c r="H67" i="23"/>
  <c r="H66" i="23"/>
  <c r="H65" i="23"/>
  <c r="H64" i="23"/>
  <c r="D67" i="23"/>
  <c r="D66" i="23"/>
  <c r="D65" i="23"/>
  <c r="D64" i="23"/>
  <c r="P39" i="23"/>
  <c r="P38" i="23"/>
  <c r="P37" i="23"/>
  <c r="P36" i="23"/>
  <c r="P25" i="23"/>
  <c r="P24" i="23"/>
  <c r="P23" i="23"/>
  <c r="P22" i="23"/>
  <c r="P21" i="23"/>
  <c r="P67" i="22"/>
  <c r="P66" i="22"/>
  <c r="P65" i="22"/>
  <c r="P64" i="22"/>
  <c r="L67" i="22"/>
  <c r="L66" i="22"/>
  <c r="L65" i="22"/>
  <c r="L64" i="22"/>
  <c r="H67" i="22"/>
  <c r="H66" i="22"/>
  <c r="H65" i="22"/>
  <c r="H64" i="22"/>
  <c r="D67" i="22"/>
  <c r="D66" i="22"/>
  <c r="D65" i="22"/>
  <c r="D64" i="22"/>
  <c r="P39" i="22"/>
  <c r="P38" i="22"/>
  <c r="P37" i="22"/>
  <c r="P36" i="22"/>
  <c r="P25" i="22"/>
  <c r="P24" i="22"/>
  <c r="P23" i="22"/>
  <c r="P22" i="22"/>
  <c r="P21" i="22"/>
  <c r="P67" i="21"/>
  <c r="P66" i="21"/>
  <c r="P65" i="21"/>
  <c r="P64" i="21"/>
  <c r="L67" i="21"/>
  <c r="L66" i="21"/>
  <c r="L65" i="21"/>
  <c r="L64" i="21"/>
  <c r="H67" i="21"/>
  <c r="H66" i="21"/>
  <c r="H65" i="21"/>
  <c r="H64" i="21"/>
  <c r="D67" i="21"/>
  <c r="D66" i="21"/>
  <c r="D65" i="21"/>
  <c r="D64" i="21"/>
  <c r="P39" i="21"/>
  <c r="P38" i="21"/>
  <c r="P37" i="21"/>
  <c r="P36" i="21"/>
  <c r="P67" i="20"/>
  <c r="P66" i="20"/>
  <c r="P65" i="20"/>
  <c r="P64" i="20"/>
  <c r="L67" i="20"/>
  <c r="L66" i="20"/>
  <c r="L65" i="20"/>
  <c r="L64" i="20"/>
  <c r="H67" i="20"/>
  <c r="H66" i="20"/>
  <c r="H65" i="20"/>
  <c r="H64" i="20"/>
  <c r="D67" i="20"/>
  <c r="D66" i="20"/>
  <c r="D65" i="20"/>
  <c r="D64" i="20"/>
  <c r="B48" i="40"/>
  <c r="B47" i="40"/>
  <c r="B46" i="40"/>
  <c r="B45" i="40"/>
  <c r="B40" i="40"/>
  <c r="O28" i="40"/>
  <c r="O55" i="40" s="1"/>
  <c r="P67" i="39"/>
  <c r="P66" i="39"/>
  <c r="P65" i="39"/>
  <c r="P64" i="39"/>
  <c r="Q64" i="39" s="1"/>
  <c r="L67" i="39"/>
  <c r="L66" i="39"/>
  <c r="L65" i="39"/>
  <c r="L64" i="39"/>
  <c r="H67" i="39"/>
  <c r="H66" i="39"/>
  <c r="H65" i="39"/>
  <c r="H64" i="39"/>
  <c r="D67" i="39"/>
  <c r="D66" i="39"/>
  <c r="D65" i="39"/>
  <c r="D64" i="39"/>
  <c r="Q48" i="39"/>
  <c r="O50" i="39" s="1"/>
  <c r="M48" i="39"/>
  <c r="K50" i="39" s="1"/>
  <c r="I48" i="39"/>
  <c r="E48" i="39"/>
  <c r="C50" i="39" s="1"/>
  <c r="P53" i="39"/>
  <c r="L53" i="39"/>
  <c r="H53" i="39"/>
  <c r="D53" i="39"/>
  <c r="B53" i="39"/>
  <c r="P52" i="39"/>
  <c r="L52" i="39"/>
  <c r="H52" i="39"/>
  <c r="D52" i="39"/>
  <c r="B52" i="39"/>
  <c r="P51" i="39"/>
  <c r="L51" i="39"/>
  <c r="H51" i="39"/>
  <c r="D51" i="39"/>
  <c r="B51" i="39"/>
  <c r="P50" i="39"/>
  <c r="L50" i="39"/>
  <c r="H50" i="39"/>
  <c r="D50" i="39"/>
  <c r="B50" i="39"/>
  <c r="B45" i="39"/>
  <c r="P39" i="39"/>
  <c r="P38" i="39"/>
  <c r="P37" i="39"/>
  <c r="P36" i="39"/>
  <c r="P25" i="39"/>
  <c r="P24" i="39"/>
  <c r="P23" i="39"/>
  <c r="P22" i="39"/>
  <c r="P21" i="39"/>
  <c r="O32" i="39"/>
  <c r="O60" i="39" s="1"/>
  <c r="P39" i="38"/>
  <c r="P38" i="38"/>
  <c r="P37" i="38"/>
  <c r="P36" i="38"/>
  <c r="Q36" i="38" s="1"/>
  <c r="P25" i="38"/>
  <c r="P24" i="38"/>
  <c r="P23" i="38"/>
  <c r="P22" i="38"/>
  <c r="P21" i="38"/>
  <c r="P67" i="38"/>
  <c r="P66" i="38"/>
  <c r="P65" i="38"/>
  <c r="P64" i="38"/>
  <c r="L67" i="38"/>
  <c r="L66" i="38"/>
  <c r="L65" i="38"/>
  <c r="L64" i="38"/>
  <c r="H67" i="38"/>
  <c r="H66" i="38"/>
  <c r="H65" i="38"/>
  <c r="H64" i="38"/>
  <c r="D67" i="38"/>
  <c r="D66" i="38"/>
  <c r="D65" i="38"/>
  <c r="D64" i="38"/>
  <c r="Q48" i="38"/>
  <c r="O50" i="38" s="1"/>
  <c r="M48" i="38"/>
  <c r="K50" i="38" s="1"/>
  <c r="I48" i="38"/>
  <c r="E48" i="38"/>
  <c r="C50" i="38" s="1"/>
  <c r="P53" i="38"/>
  <c r="L53" i="38"/>
  <c r="H53" i="38"/>
  <c r="D53" i="38"/>
  <c r="B53" i="38"/>
  <c r="P52" i="38"/>
  <c r="L52" i="38"/>
  <c r="H52" i="38"/>
  <c r="D52" i="38"/>
  <c r="B52" i="38"/>
  <c r="P51" i="38"/>
  <c r="L51" i="38"/>
  <c r="H51" i="38"/>
  <c r="D51" i="38"/>
  <c r="B51" i="38"/>
  <c r="P50" i="38"/>
  <c r="L50" i="38"/>
  <c r="H50" i="38"/>
  <c r="D50" i="38"/>
  <c r="B50" i="38"/>
  <c r="B45" i="38"/>
  <c r="O32" i="38"/>
  <c r="O60" i="38" s="1"/>
  <c r="P67" i="37"/>
  <c r="P66" i="37"/>
  <c r="P65" i="37"/>
  <c r="P64" i="37"/>
  <c r="L67" i="37"/>
  <c r="L66" i="37"/>
  <c r="L65" i="37"/>
  <c r="L64" i="37"/>
  <c r="H67" i="37"/>
  <c r="H66" i="37"/>
  <c r="H65" i="37"/>
  <c r="H64" i="37"/>
  <c r="D67" i="37"/>
  <c r="D66" i="37"/>
  <c r="D65" i="37"/>
  <c r="D64" i="37"/>
  <c r="Q48" i="37"/>
  <c r="O50" i="37" s="1"/>
  <c r="M48" i="37"/>
  <c r="K50" i="37" s="1"/>
  <c r="I48" i="37"/>
  <c r="G50" i="37" s="1"/>
  <c r="E48" i="37"/>
  <c r="C50" i="37" s="1"/>
  <c r="Q48" i="36"/>
  <c r="M48" i="36"/>
  <c r="K50" i="36" s="1"/>
  <c r="I48" i="36"/>
  <c r="E48" i="36"/>
  <c r="C50" i="36" s="1"/>
  <c r="P53" i="37"/>
  <c r="L53" i="37"/>
  <c r="H53" i="37"/>
  <c r="D53" i="37"/>
  <c r="B53" i="37"/>
  <c r="P52" i="37"/>
  <c r="L52" i="37"/>
  <c r="H52" i="37"/>
  <c r="D52" i="37"/>
  <c r="B52" i="37"/>
  <c r="P51" i="37"/>
  <c r="L51" i="37"/>
  <c r="H51" i="37"/>
  <c r="D51" i="37"/>
  <c r="B51" i="37"/>
  <c r="P50" i="37"/>
  <c r="L50" i="37"/>
  <c r="H50" i="37"/>
  <c r="D50" i="37"/>
  <c r="B50" i="37"/>
  <c r="B45" i="37"/>
  <c r="P39" i="37"/>
  <c r="P38" i="37"/>
  <c r="P37" i="37"/>
  <c r="P36" i="37"/>
  <c r="O32" i="37"/>
  <c r="O60" i="37" s="1"/>
  <c r="P67" i="36"/>
  <c r="P66" i="36"/>
  <c r="P65" i="36"/>
  <c r="P64" i="36"/>
  <c r="L67" i="36"/>
  <c r="L66" i="36"/>
  <c r="L65" i="36"/>
  <c r="L64" i="36"/>
  <c r="H67" i="36"/>
  <c r="H66" i="36"/>
  <c r="H65" i="36"/>
  <c r="H64" i="36"/>
  <c r="D67" i="36"/>
  <c r="D66" i="36"/>
  <c r="D65" i="36"/>
  <c r="D64" i="36"/>
  <c r="P67" i="32"/>
  <c r="P66" i="32"/>
  <c r="P65" i="32"/>
  <c r="P64" i="32"/>
  <c r="L67" i="32"/>
  <c r="L66" i="32"/>
  <c r="L65" i="32"/>
  <c r="L64" i="32"/>
  <c r="H67" i="32"/>
  <c r="H66" i="32"/>
  <c r="H65" i="32"/>
  <c r="H64" i="32"/>
  <c r="D67" i="32"/>
  <c r="D66" i="32"/>
  <c r="D65" i="32"/>
  <c r="D64" i="32"/>
  <c r="P67" i="31"/>
  <c r="P66" i="31"/>
  <c r="P65" i="31"/>
  <c r="P64" i="31"/>
  <c r="L67" i="31"/>
  <c r="L66" i="31"/>
  <c r="L65" i="31"/>
  <c r="L64" i="31"/>
  <c r="H67" i="31"/>
  <c r="H66" i="31"/>
  <c r="H65" i="31"/>
  <c r="H64" i="31"/>
  <c r="D67" i="31"/>
  <c r="D66" i="31"/>
  <c r="D65" i="31"/>
  <c r="D64" i="31"/>
  <c r="P39" i="32"/>
  <c r="P38" i="32"/>
  <c r="P37" i="32"/>
  <c r="P36" i="32"/>
  <c r="P25" i="32"/>
  <c r="P24" i="32"/>
  <c r="P23" i="32"/>
  <c r="P22" i="32"/>
  <c r="P21" i="32"/>
  <c r="P39" i="31"/>
  <c r="P38" i="31"/>
  <c r="P37" i="31"/>
  <c r="P36" i="31"/>
  <c r="P53" i="36"/>
  <c r="P52" i="36"/>
  <c r="P51" i="36"/>
  <c r="P50" i="36"/>
  <c r="Q50" i="36" s="1"/>
  <c r="P39" i="36"/>
  <c r="P38" i="36"/>
  <c r="P37" i="36"/>
  <c r="P36" i="36"/>
  <c r="O50" i="36"/>
  <c r="O32" i="36"/>
  <c r="O46" i="36" s="1"/>
  <c r="L53" i="36"/>
  <c r="H53" i="36"/>
  <c r="D53" i="36"/>
  <c r="B53" i="36"/>
  <c r="L52" i="36"/>
  <c r="H52" i="36"/>
  <c r="D52" i="36"/>
  <c r="B52" i="36"/>
  <c r="L51" i="36"/>
  <c r="H51" i="36"/>
  <c r="D51" i="36"/>
  <c r="B51" i="36"/>
  <c r="L50" i="36"/>
  <c r="H50" i="36"/>
  <c r="D50" i="36"/>
  <c r="B50" i="36"/>
  <c r="B45" i="36"/>
  <c r="K34" i="10"/>
  <c r="Q43" i="40" s="1"/>
  <c r="I34" i="10"/>
  <c r="M43" i="40" s="1"/>
  <c r="G34" i="10"/>
  <c r="I43" i="40" s="1"/>
  <c r="E34" i="10"/>
  <c r="E43" i="40" s="1"/>
  <c r="K28" i="10"/>
  <c r="Q43" i="34" s="1"/>
  <c r="I28" i="10"/>
  <c r="M43" i="34" s="1"/>
  <c r="G28" i="10"/>
  <c r="I43" i="34" s="1"/>
  <c r="E28" i="10"/>
  <c r="E43" i="34" s="1"/>
  <c r="O28" i="34"/>
  <c r="O54" i="34" s="1"/>
  <c r="B47" i="34"/>
  <c r="B46" i="34"/>
  <c r="B45" i="34"/>
  <c r="B44" i="34"/>
  <c r="B40" i="34"/>
  <c r="Q48" i="32"/>
  <c r="O50" i="32" s="1"/>
  <c r="M48" i="32"/>
  <c r="K50" i="32" s="1"/>
  <c r="I48" i="32"/>
  <c r="G50" i="32" s="1"/>
  <c r="E48" i="32"/>
  <c r="C50" i="32" s="1"/>
  <c r="P53" i="32"/>
  <c r="L53" i="32"/>
  <c r="H53" i="32"/>
  <c r="D53" i="32"/>
  <c r="B53" i="32"/>
  <c r="P52" i="32"/>
  <c r="L52" i="32"/>
  <c r="H52" i="32"/>
  <c r="D52" i="32"/>
  <c r="B52" i="32"/>
  <c r="P51" i="32"/>
  <c r="L51" i="32"/>
  <c r="H51" i="32"/>
  <c r="D51" i="32"/>
  <c r="B51" i="32"/>
  <c r="P50" i="32"/>
  <c r="L50" i="32"/>
  <c r="H50" i="32"/>
  <c r="D50" i="32"/>
  <c r="B50" i="32"/>
  <c r="B45" i="32"/>
  <c r="C32" i="32"/>
  <c r="C46" i="32" s="1"/>
  <c r="O32" i="32"/>
  <c r="O60" i="32" s="1"/>
  <c r="Q48" i="30"/>
  <c r="M48" i="30"/>
  <c r="K50" i="30" s="1"/>
  <c r="I48" i="30"/>
  <c r="G50" i="30" s="1"/>
  <c r="E48" i="30"/>
  <c r="C50" i="30" s="1"/>
  <c r="Q48" i="31"/>
  <c r="O50" i="31" s="1"/>
  <c r="M48" i="31"/>
  <c r="K50" i="31" s="1"/>
  <c r="I48" i="31"/>
  <c r="G50" i="31" s="1"/>
  <c r="E48" i="31"/>
  <c r="C50" i="31" s="1"/>
  <c r="P53" i="31"/>
  <c r="L53" i="31"/>
  <c r="H53" i="31"/>
  <c r="D53" i="31"/>
  <c r="B53" i="31"/>
  <c r="P52" i="31"/>
  <c r="L52" i="31"/>
  <c r="H52" i="31"/>
  <c r="D52" i="31"/>
  <c r="B52" i="31"/>
  <c r="P51" i="31"/>
  <c r="L51" i="31"/>
  <c r="H51" i="31"/>
  <c r="D51" i="31"/>
  <c r="B51" i="31"/>
  <c r="P50" i="31"/>
  <c r="L50" i="31"/>
  <c r="H50" i="31"/>
  <c r="D50" i="31"/>
  <c r="B50" i="31"/>
  <c r="B45" i="31"/>
  <c r="C32" i="31"/>
  <c r="C46" i="31" s="1"/>
  <c r="O32" i="31"/>
  <c r="O60" i="31" s="1"/>
  <c r="P67" i="30"/>
  <c r="P66" i="30"/>
  <c r="P65" i="30"/>
  <c r="P64" i="30"/>
  <c r="L67" i="30"/>
  <c r="L66" i="30"/>
  <c r="L65" i="30"/>
  <c r="L64" i="30"/>
  <c r="H67" i="30"/>
  <c r="H66" i="30"/>
  <c r="H65" i="30"/>
  <c r="H64" i="30"/>
  <c r="D65" i="30"/>
  <c r="D66" i="30"/>
  <c r="D67" i="30"/>
  <c r="D64" i="30"/>
  <c r="P53" i="30"/>
  <c r="P52" i="30"/>
  <c r="P51" i="30"/>
  <c r="P50" i="30"/>
  <c r="C32" i="30"/>
  <c r="C46" i="30" s="1"/>
  <c r="L53" i="30"/>
  <c r="H53" i="30"/>
  <c r="D53" i="30"/>
  <c r="B53" i="30"/>
  <c r="L52" i="30"/>
  <c r="H52" i="30"/>
  <c r="D52" i="30"/>
  <c r="B52" i="30"/>
  <c r="L51" i="30"/>
  <c r="H51" i="30"/>
  <c r="D51" i="30"/>
  <c r="B51" i="30"/>
  <c r="L50" i="30"/>
  <c r="H50" i="30"/>
  <c r="D50" i="30"/>
  <c r="B50" i="30"/>
  <c r="B45" i="30"/>
  <c r="K23" i="10"/>
  <c r="Q43" i="29" s="1"/>
  <c r="I23" i="10"/>
  <c r="G23" i="10"/>
  <c r="E23" i="10"/>
  <c r="E43" i="29" s="1"/>
  <c r="B48" i="29"/>
  <c r="B47" i="29"/>
  <c r="B46" i="29"/>
  <c r="B45" i="29"/>
  <c r="B40" i="29"/>
  <c r="Q48" i="28"/>
  <c r="O50" i="28" s="1"/>
  <c r="M48" i="28"/>
  <c r="K50" i="28" s="1"/>
  <c r="I48" i="28"/>
  <c r="G50" i="28" s="1"/>
  <c r="E48" i="28"/>
  <c r="C50" i="28" s="1"/>
  <c r="P53" i="28"/>
  <c r="L53" i="28"/>
  <c r="H53" i="28"/>
  <c r="D53" i="28"/>
  <c r="B53" i="28"/>
  <c r="P52" i="28"/>
  <c r="L52" i="28"/>
  <c r="H52" i="28"/>
  <c r="D52" i="28"/>
  <c r="B52" i="28"/>
  <c r="P51" i="28"/>
  <c r="L51" i="28"/>
  <c r="H51" i="28"/>
  <c r="D51" i="28"/>
  <c r="B51" i="28"/>
  <c r="P50" i="28"/>
  <c r="L50" i="28"/>
  <c r="H50" i="28"/>
  <c r="D50" i="28"/>
  <c r="B50" i="28"/>
  <c r="B45" i="28"/>
  <c r="Q48" i="27"/>
  <c r="O50" i="27" s="1"/>
  <c r="M48" i="27"/>
  <c r="K50" i="27" s="1"/>
  <c r="I48" i="27"/>
  <c r="E48" i="27"/>
  <c r="C50" i="27" s="1"/>
  <c r="P53" i="27"/>
  <c r="L53" i="27"/>
  <c r="H53" i="27"/>
  <c r="D53" i="27"/>
  <c r="B53" i="27"/>
  <c r="P52" i="27"/>
  <c r="L52" i="27"/>
  <c r="H52" i="27"/>
  <c r="D52" i="27"/>
  <c r="B52" i="27"/>
  <c r="P51" i="27"/>
  <c r="L51" i="27"/>
  <c r="H51" i="27"/>
  <c r="D51" i="27"/>
  <c r="B51" i="27"/>
  <c r="P50" i="27"/>
  <c r="L50" i="27"/>
  <c r="H50" i="27"/>
  <c r="D50" i="27"/>
  <c r="B50" i="27"/>
  <c r="B45" i="27"/>
  <c r="Q48" i="26"/>
  <c r="O50" i="26" s="1"/>
  <c r="M48" i="26"/>
  <c r="K50" i="26" s="1"/>
  <c r="I48" i="26"/>
  <c r="G50" i="26" s="1"/>
  <c r="E48" i="26"/>
  <c r="C50" i="26" s="1"/>
  <c r="P53" i="26"/>
  <c r="L53" i="26"/>
  <c r="H53" i="26"/>
  <c r="D53" i="26"/>
  <c r="B53" i="26"/>
  <c r="P52" i="26"/>
  <c r="L52" i="26"/>
  <c r="H52" i="26"/>
  <c r="D52" i="26"/>
  <c r="B52" i="26"/>
  <c r="P51" i="26"/>
  <c r="L51" i="26"/>
  <c r="H51" i="26"/>
  <c r="D51" i="26"/>
  <c r="B51" i="26"/>
  <c r="P50" i="26"/>
  <c r="L50" i="26"/>
  <c r="H50" i="26"/>
  <c r="D50" i="26"/>
  <c r="B50" i="26"/>
  <c r="B45" i="26"/>
  <c r="Q48" i="25"/>
  <c r="O50" i="25" s="1"/>
  <c r="M48" i="25"/>
  <c r="K50" i="25" s="1"/>
  <c r="I48" i="25"/>
  <c r="E48" i="25"/>
  <c r="C50" i="25" s="1"/>
  <c r="P53" i="25"/>
  <c r="L53" i="25"/>
  <c r="H53" i="25"/>
  <c r="D53" i="25"/>
  <c r="B53" i="25"/>
  <c r="P52" i="25"/>
  <c r="L52" i="25"/>
  <c r="H52" i="25"/>
  <c r="D52" i="25"/>
  <c r="B52" i="25"/>
  <c r="P51" i="25"/>
  <c r="L51" i="25"/>
  <c r="H51" i="25"/>
  <c r="D51" i="25"/>
  <c r="B51" i="25"/>
  <c r="P50" i="25"/>
  <c r="L50" i="25"/>
  <c r="H50" i="25"/>
  <c r="D50" i="25"/>
  <c r="B50" i="25"/>
  <c r="B45" i="25"/>
  <c r="E48" i="24"/>
  <c r="C50" i="24" s="1"/>
  <c r="Q48" i="24"/>
  <c r="O50" i="24" s="1"/>
  <c r="M48" i="24"/>
  <c r="K50" i="24" s="1"/>
  <c r="I48" i="24"/>
  <c r="G50" i="24" s="1"/>
  <c r="P53" i="24"/>
  <c r="L53" i="24"/>
  <c r="H53" i="24"/>
  <c r="D53" i="24"/>
  <c r="B53" i="24"/>
  <c r="P52" i="24"/>
  <c r="L52" i="24"/>
  <c r="H52" i="24"/>
  <c r="D52" i="24"/>
  <c r="B52" i="24"/>
  <c r="P51" i="24"/>
  <c r="L51" i="24"/>
  <c r="H51" i="24"/>
  <c r="D51" i="24"/>
  <c r="B51" i="24"/>
  <c r="P50" i="24"/>
  <c r="Q50" i="24" s="1"/>
  <c r="L50" i="24"/>
  <c r="H50" i="24"/>
  <c r="D50" i="24"/>
  <c r="B50" i="24"/>
  <c r="C46" i="24"/>
  <c r="B45" i="24"/>
  <c r="Q48" i="23"/>
  <c r="O50" i="23" s="1"/>
  <c r="M48" i="23"/>
  <c r="K50" i="23" s="1"/>
  <c r="I48" i="23"/>
  <c r="G50" i="23" s="1"/>
  <c r="E48" i="23"/>
  <c r="C50" i="23" s="1"/>
  <c r="P53" i="23"/>
  <c r="L53" i="23"/>
  <c r="H53" i="23"/>
  <c r="D53" i="23"/>
  <c r="B53" i="23"/>
  <c r="P52" i="23"/>
  <c r="L52" i="23"/>
  <c r="H52" i="23"/>
  <c r="D52" i="23"/>
  <c r="B52" i="23"/>
  <c r="P51" i="23"/>
  <c r="L51" i="23"/>
  <c r="H51" i="23"/>
  <c r="D51" i="23"/>
  <c r="B51" i="23"/>
  <c r="P50" i="23"/>
  <c r="L50" i="23"/>
  <c r="H50" i="23"/>
  <c r="I50" i="23" s="1"/>
  <c r="D50" i="23"/>
  <c r="B50" i="23"/>
  <c r="B45" i="23"/>
  <c r="Q48" i="22"/>
  <c r="O50" i="22" s="1"/>
  <c r="M48" i="22"/>
  <c r="K50" i="22" s="1"/>
  <c r="I48" i="22"/>
  <c r="G50" i="22" s="1"/>
  <c r="E48" i="22"/>
  <c r="C50" i="22" s="1"/>
  <c r="P53" i="22"/>
  <c r="L53" i="22"/>
  <c r="H53" i="22"/>
  <c r="D53" i="22"/>
  <c r="B53" i="22"/>
  <c r="P52" i="22"/>
  <c r="L52" i="22"/>
  <c r="H52" i="22"/>
  <c r="D52" i="22"/>
  <c r="B52" i="22"/>
  <c r="P51" i="22"/>
  <c r="L51" i="22"/>
  <c r="H51" i="22"/>
  <c r="D51" i="22"/>
  <c r="B51" i="22"/>
  <c r="P50" i="22"/>
  <c r="L50" i="22"/>
  <c r="H50" i="22"/>
  <c r="D50" i="22"/>
  <c r="B50" i="22"/>
  <c r="B45" i="22"/>
  <c r="Q48" i="21"/>
  <c r="O50" i="21" s="1"/>
  <c r="M48" i="21"/>
  <c r="K50" i="21" s="1"/>
  <c r="I48" i="21"/>
  <c r="E48" i="21"/>
  <c r="C50" i="21" s="1"/>
  <c r="P53" i="21"/>
  <c r="L53" i="21"/>
  <c r="H53" i="21"/>
  <c r="D53" i="21"/>
  <c r="B53" i="21"/>
  <c r="P52" i="21"/>
  <c r="L52" i="21"/>
  <c r="H52" i="21"/>
  <c r="D52" i="21"/>
  <c r="B52" i="21"/>
  <c r="P51" i="21"/>
  <c r="L51" i="21"/>
  <c r="H51" i="21"/>
  <c r="D51" i="21"/>
  <c r="B51" i="21"/>
  <c r="P50" i="21"/>
  <c r="L50" i="21"/>
  <c r="H50" i="21"/>
  <c r="D50" i="21"/>
  <c r="B50" i="21"/>
  <c r="B45" i="21"/>
  <c r="Q48" i="20"/>
  <c r="M48" i="20"/>
  <c r="I48" i="20"/>
  <c r="E48" i="20"/>
  <c r="C50" i="20" s="1"/>
  <c r="Q48" i="19"/>
  <c r="M48" i="19"/>
  <c r="I48" i="19"/>
  <c r="G50" i="19" s="1"/>
  <c r="E48" i="19"/>
  <c r="C50" i="19" s="1"/>
  <c r="Q50" i="15"/>
  <c r="M50" i="15"/>
  <c r="I50" i="15"/>
  <c r="G52" i="15" s="1"/>
  <c r="C52" i="15"/>
  <c r="E52" i="15" s="1"/>
  <c r="M33" i="10"/>
  <c r="M32" i="10"/>
  <c r="M31" i="10"/>
  <c r="M30" i="10"/>
  <c r="M27" i="10"/>
  <c r="M26" i="10"/>
  <c r="M25" i="10"/>
  <c r="P39" i="20"/>
  <c r="P38" i="20"/>
  <c r="P37" i="20"/>
  <c r="P36" i="20"/>
  <c r="P25" i="20"/>
  <c r="P24" i="20"/>
  <c r="P23" i="20"/>
  <c r="P22" i="20"/>
  <c r="P21" i="20"/>
  <c r="P53" i="20"/>
  <c r="L53" i="20"/>
  <c r="H53" i="20"/>
  <c r="D53" i="20"/>
  <c r="B53" i="20"/>
  <c r="P52" i="20"/>
  <c r="L52" i="20"/>
  <c r="H52" i="20"/>
  <c r="D52" i="20"/>
  <c r="B52" i="20"/>
  <c r="P51" i="20"/>
  <c r="L51" i="20"/>
  <c r="H51" i="20"/>
  <c r="D51" i="20"/>
  <c r="B51" i="20"/>
  <c r="P50" i="20"/>
  <c r="L50" i="20"/>
  <c r="H50" i="20"/>
  <c r="D50" i="20"/>
  <c r="B50" i="20"/>
  <c r="B45" i="20"/>
  <c r="B67" i="19"/>
  <c r="B66" i="19"/>
  <c r="B65" i="19"/>
  <c r="B64" i="19"/>
  <c r="P67" i="19"/>
  <c r="P66" i="19"/>
  <c r="P65" i="19"/>
  <c r="P64" i="19"/>
  <c r="L67" i="19"/>
  <c r="L66" i="19"/>
  <c r="L65" i="19"/>
  <c r="L64" i="19"/>
  <c r="H67" i="19"/>
  <c r="H66" i="19"/>
  <c r="H65" i="19"/>
  <c r="H64" i="19"/>
  <c r="D65" i="19"/>
  <c r="D66" i="19"/>
  <c r="D67" i="19"/>
  <c r="D64" i="19"/>
  <c r="P39" i="19"/>
  <c r="P38" i="19"/>
  <c r="P37" i="19"/>
  <c r="P36" i="19"/>
  <c r="P25" i="19"/>
  <c r="P24" i="19"/>
  <c r="P23" i="19"/>
  <c r="P22" i="19"/>
  <c r="P21" i="19"/>
  <c r="P53" i="19"/>
  <c r="L53" i="19"/>
  <c r="H53" i="19"/>
  <c r="D53" i="19"/>
  <c r="B53" i="19"/>
  <c r="P52" i="19"/>
  <c r="L52" i="19"/>
  <c r="H52" i="19"/>
  <c r="D52" i="19"/>
  <c r="B52" i="19"/>
  <c r="P51" i="19"/>
  <c r="L51" i="19"/>
  <c r="H51" i="19"/>
  <c r="D51" i="19"/>
  <c r="B51" i="19"/>
  <c r="P50" i="19"/>
  <c r="L50" i="19"/>
  <c r="H50" i="19"/>
  <c r="D50" i="19"/>
  <c r="B50" i="19"/>
  <c r="B45" i="19"/>
  <c r="P27" i="15"/>
  <c r="P26" i="15"/>
  <c r="P25" i="15"/>
  <c r="P24" i="15"/>
  <c r="P23" i="15"/>
  <c r="P41" i="15"/>
  <c r="P40" i="15"/>
  <c r="P39" i="15"/>
  <c r="P38" i="15"/>
  <c r="P69" i="15"/>
  <c r="P68" i="15"/>
  <c r="P67" i="15"/>
  <c r="P66" i="15"/>
  <c r="L69" i="15"/>
  <c r="L68" i="15"/>
  <c r="L67" i="15"/>
  <c r="L66" i="15"/>
  <c r="H69" i="15"/>
  <c r="H68" i="15"/>
  <c r="H67" i="15"/>
  <c r="H66" i="15"/>
  <c r="P55" i="15"/>
  <c r="P54" i="15"/>
  <c r="P53" i="15"/>
  <c r="P52" i="15"/>
  <c r="L55" i="15"/>
  <c r="L54" i="15"/>
  <c r="L53" i="15"/>
  <c r="L52" i="15"/>
  <c r="H55" i="15"/>
  <c r="H54" i="15"/>
  <c r="H53" i="15"/>
  <c r="H52" i="15"/>
  <c r="I52" i="15" s="1"/>
  <c r="D55" i="15"/>
  <c r="B55" i="15"/>
  <c r="D54" i="15"/>
  <c r="B54" i="15"/>
  <c r="B53" i="15"/>
  <c r="B52" i="15"/>
  <c r="P39" i="30"/>
  <c r="P38" i="30"/>
  <c r="P37" i="30"/>
  <c r="P36" i="30"/>
  <c r="P25" i="30"/>
  <c r="P24" i="30"/>
  <c r="P23" i="30"/>
  <c r="P22" i="30"/>
  <c r="P21" i="30"/>
  <c r="O18" i="21"/>
  <c r="C32" i="22"/>
  <c r="C46" i="22" s="1"/>
  <c r="B47" i="15"/>
  <c r="C28" i="29"/>
  <c r="C41" i="29" s="1"/>
  <c r="O28" i="29"/>
  <c r="O55" i="29" s="1"/>
  <c r="G32" i="28"/>
  <c r="G46" i="28" s="1"/>
  <c r="C32" i="28"/>
  <c r="C46" i="28" s="1"/>
  <c r="O32" i="28"/>
  <c r="O60" i="28" s="1"/>
  <c r="O32" i="27"/>
  <c r="O60" i="27" s="1"/>
  <c r="K32" i="27"/>
  <c r="K46" i="27" s="1"/>
  <c r="G32" i="27"/>
  <c r="G46" i="27" s="1"/>
  <c r="C32" i="27"/>
  <c r="C46" i="27" s="1"/>
  <c r="O64" i="27"/>
  <c r="O32" i="26"/>
  <c r="O60" i="26" s="1"/>
  <c r="K32" i="26"/>
  <c r="K60" i="26" s="1"/>
  <c r="G32" i="26"/>
  <c r="G60" i="26" s="1"/>
  <c r="C32" i="26"/>
  <c r="C60" i="26" s="1"/>
  <c r="O32" i="25"/>
  <c r="O60" i="25" s="1"/>
  <c r="K32" i="25"/>
  <c r="K60" i="25" s="1"/>
  <c r="G32" i="25"/>
  <c r="G60" i="25" s="1"/>
  <c r="C32" i="25"/>
  <c r="C60" i="25" s="1"/>
  <c r="C32" i="24"/>
  <c r="O32" i="24"/>
  <c r="O60" i="24" s="1"/>
  <c r="M50" i="38" l="1"/>
  <c r="Q36" i="36"/>
  <c r="Q57" i="40"/>
  <c r="M50" i="27"/>
  <c r="K51" i="27" s="1"/>
  <c r="M51" i="27" s="1"/>
  <c r="M54" i="27" s="1"/>
  <c r="M50" i="21"/>
  <c r="K51" i="21" s="1"/>
  <c r="I50" i="22"/>
  <c r="Q50" i="27"/>
  <c r="M50" i="28"/>
  <c r="K51" i="28" s="1"/>
  <c r="M51" i="28" s="1"/>
  <c r="M54" i="28" s="1"/>
  <c r="I50" i="28"/>
  <c r="G51" i="28" s="1"/>
  <c r="I51" i="28" s="1"/>
  <c r="I54" i="28" s="1"/>
  <c r="I50" i="24"/>
  <c r="G51" i="24" s="1"/>
  <c r="I51" i="24" s="1"/>
  <c r="I54" i="24" s="1"/>
  <c r="M50" i="23"/>
  <c r="K51" i="23" s="1"/>
  <c r="M51" i="23" s="1"/>
  <c r="M54" i="23" s="1"/>
  <c r="I50" i="19"/>
  <c r="M51" i="21"/>
  <c r="M54" i="21" s="1"/>
  <c r="Q64" i="37"/>
  <c r="Q64" i="36"/>
  <c r="O65" i="36" s="1"/>
  <c r="Q65" i="36" s="1"/>
  <c r="Q64" i="38"/>
  <c r="O65" i="38" s="1"/>
  <c r="Q65" i="38" s="1"/>
  <c r="Q68" i="38" s="1"/>
  <c r="Q64" i="31"/>
  <c r="O65" i="31" s="1"/>
  <c r="Q65" i="31" s="1"/>
  <c r="Q68" i="31" s="1"/>
  <c r="Q64" i="32"/>
  <c r="O65" i="32" s="1"/>
  <c r="Q65" i="32" s="1"/>
  <c r="Q68" i="32" s="1"/>
  <c r="Q64" i="24"/>
  <c r="O65" i="24" s="1"/>
  <c r="Q65" i="24" s="1"/>
  <c r="Q68" i="24" s="1"/>
  <c r="Q64" i="25"/>
  <c r="O65" i="25" s="1"/>
  <c r="Q65" i="25" s="1"/>
  <c r="Q68" i="25" s="1"/>
  <c r="Q64" i="26"/>
  <c r="Q64" i="27"/>
  <c r="O65" i="27" s="1"/>
  <c r="Q65" i="27" s="1"/>
  <c r="Q68" i="27" s="1"/>
  <c r="Q64" i="28"/>
  <c r="Q50" i="38"/>
  <c r="O51" i="38" s="1"/>
  <c r="Q51" i="38" s="1"/>
  <c r="Q54" i="38" s="1"/>
  <c r="Q50" i="37"/>
  <c r="O51" i="37" s="1"/>
  <c r="Q51" i="37" s="1"/>
  <c r="Q54" i="37" s="1"/>
  <c r="Q50" i="39"/>
  <c r="M50" i="37"/>
  <c r="M50" i="36"/>
  <c r="M50" i="39"/>
  <c r="K51" i="39" s="1"/>
  <c r="M51" i="39" s="1"/>
  <c r="I50" i="37"/>
  <c r="G51" i="37" s="1"/>
  <c r="I51" i="37" s="1"/>
  <c r="I54" i="37" s="1"/>
  <c r="Q50" i="31"/>
  <c r="O51" i="31" s="1"/>
  <c r="Q50" i="32"/>
  <c r="O51" i="32" s="1"/>
  <c r="Q51" i="32" s="1"/>
  <c r="Q54" i="32" s="1"/>
  <c r="M50" i="30"/>
  <c r="K51" i="30" s="1"/>
  <c r="M51" i="30" s="1"/>
  <c r="M50" i="31"/>
  <c r="K51" i="31" s="1"/>
  <c r="M51" i="31" s="1"/>
  <c r="M54" i="31" s="1"/>
  <c r="M50" i="32"/>
  <c r="K51" i="32" s="1"/>
  <c r="M51" i="32" s="1"/>
  <c r="M54" i="32" s="1"/>
  <c r="I50" i="30"/>
  <c r="I50" i="31"/>
  <c r="G51" i="31" s="1"/>
  <c r="I51" i="31" s="1"/>
  <c r="I54" i="31" s="1"/>
  <c r="I50" i="32"/>
  <c r="G51" i="32" s="1"/>
  <c r="I51" i="32" s="1"/>
  <c r="I54" i="32" s="1"/>
  <c r="Q50" i="26"/>
  <c r="O51" i="26" s="1"/>
  <c r="Q51" i="26" s="1"/>
  <c r="Q54" i="26" s="1"/>
  <c r="Q50" i="21"/>
  <c r="O51" i="21" s="1"/>
  <c r="Q51" i="21" s="1"/>
  <c r="Q54" i="21" s="1"/>
  <c r="Q50" i="28"/>
  <c r="O51" i="28" s="1"/>
  <c r="Q51" i="28" s="1"/>
  <c r="Q50" i="22"/>
  <c r="O51" i="22" s="1"/>
  <c r="Q50" i="23"/>
  <c r="O51" i="23" s="1"/>
  <c r="Q51" i="23" s="1"/>
  <c r="Q50" i="25"/>
  <c r="M50" i="22"/>
  <c r="M50" i="24"/>
  <c r="K51" i="24" s="1"/>
  <c r="M51" i="24" s="1"/>
  <c r="M54" i="24" s="1"/>
  <c r="M50" i="25"/>
  <c r="K51" i="25" s="1"/>
  <c r="M51" i="25" s="1"/>
  <c r="M54" i="25" s="1"/>
  <c r="M50" i="26"/>
  <c r="K51" i="26" s="1"/>
  <c r="M51" i="26" s="1"/>
  <c r="M54" i="26" s="1"/>
  <c r="I50" i="20"/>
  <c r="G51" i="20" s="1"/>
  <c r="I51" i="20" s="1"/>
  <c r="I54" i="20" s="1"/>
  <c r="I50" i="26"/>
  <c r="G51" i="26" s="1"/>
  <c r="I51" i="26" s="1"/>
  <c r="Q36" i="39"/>
  <c r="Q36" i="37"/>
  <c r="Q36" i="32"/>
  <c r="Q30" i="34"/>
  <c r="Q36" i="26"/>
  <c r="O37" i="26" s="1"/>
  <c r="Q37" i="26" s="1"/>
  <c r="Q40" i="26" s="1"/>
  <c r="Q36" i="25"/>
  <c r="O37" i="25" s="1"/>
  <c r="Q37" i="25" s="1"/>
  <c r="Q40" i="25" s="1"/>
  <c r="Q36" i="27"/>
  <c r="O37" i="27" s="1"/>
  <c r="Q37" i="27" s="1"/>
  <c r="Q40" i="27" s="1"/>
  <c r="Q30" i="29"/>
  <c r="E50" i="21"/>
  <c r="E50" i="28"/>
  <c r="E50" i="30"/>
  <c r="E50" i="38"/>
  <c r="C51" i="38" s="1"/>
  <c r="E51" i="38" s="1"/>
  <c r="E54" i="38" s="1"/>
  <c r="E50" i="19"/>
  <c r="C51" i="19" s="1"/>
  <c r="E51" i="19" s="1"/>
  <c r="E54" i="19" s="1"/>
  <c r="E50" i="31"/>
  <c r="C51" i="31" s="1"/>
  <c r="E51" i="31" s="1"/>
  <c r="E54" i="31" s="1"/>
  <c r="E50" i="32"/>
  <c r="E50" i="39"/>
  <c r="C51" i="39" s="1"/>
  <c r="E51" i="39" s="1"/>
  <c r="E54" i="39" s="1"/>
  <c r="E50" i="24"/>
  <c r="C51" i="24" s="1"/>
  <c r="E51" i="24" s="1"/>
  <c r="E54" i="24" s="1"/>
  <c r="G51" i="23"/>
  <c r="I51" i="23" s="1"/>
  <c r="I54" i="23" s="1"/>
  <c r="G51" i="30"/>
  <c r="I51" i="30" s="1"/>
  <c r="E50" i="22"/>
  <c r="C51" i="22" s="1"/>
  <c r="E51" i="22" s="1"/>
  <c r="E54" i="22" s="1"/>
  <c r="K51" i="37"/>
  <c r="M51" i="37" s="1"/>
  <c r="M54" i="37" s="1"/>
  <c r="K51" i="22"/>
  <c r="M51" i="22" s="1"/>
  <c r="M54" i="22" s="1"/>
  <c r="G51" i="19"/>
  <c r="I51" i="19" s="1"/>
  <c r="I54" i="19" s="1"/>
  <c r="E50" i="23"/>
  <c r="C51" i="23" s="1"/>
  <c r="E51" i="23" s="1"/>
  <c r="E54" i="23" s="1"/>
  <c r="E50" i="36"/>
  <c r="C51" i="36" s="1"/>
  <c r="E51" i="36" s="1"/>
  <c r="O51" i="39"/>
  <c r="Q51" i="39" s="1"/>
  <c r="Q54" i="39" s="1"/>
  <c r="O51" i="24"/>
  <c r="Q51" i="24" s="1"/>
  <c r="Q54" i="24" s="1"/>
  <c r="O51" i="25"/>
  <c r="Q51" i="25" s="1"/>
  <c r="Q54" i="25" s="1"/>
  <c r="E50" i="25"/>
  <c r="C51" i="25" s="1"/>
  <c r="E51" i="25" s="1"/>
  <c r="E54" i="25" s="1"/>
  <c r="G53" i="15"/>
  <c r="I53" i="15" s="1"/>
  <c r="I56" i="15" s="1"/>
  <c r="E50" i="26"/>
  <c r="C51" i="26" s="1"/>
  <c r="E51" i="26" s="1"/>
  <c r="E54" i="26" s="1"/>
  <c r="O51" i="36"/>
  <c r="Q51" i="36" s="1"/>
  <c r="E50" i="37"/>
  <c r="C51" i="37" s="1"/>
  <c r="E51" i="37" s="1"/>
  <c r="E54" i="37" s="1"/>
  <c r="E50" i="20"/>
  <c r="G51" i="22"/>
  <c r="I51" i="22" s="1"/>
  <c r="I54" i="22" s="1"/>
  <c r="O51" i="27"/>
  <c r="Q51" i="27" s="1"/>
  <c r="Q54" i="27" s="1"/>
  <c r="E50" i="27"/>
  <c r="K51" i="38"/>
  <c r="M51" i="38" s="1"/>
  <c r="M54" i="38" s="1"/>
  <c r="E36" i="53"/>
  <c r="G36" i="10"/>
  <c r="I36" i="10"/>
  <c r="E36" i="10"/>
  <c r="K36" i="10"/>
  <c r="O36" i="31"/>
  <c r="Q36" i="31" s="1"/>
  <c r="O37" i="31" s="1"/>
  <c r="Q37" i="31" s="1"/>
  <c r="Q40" i="31" s="1"/>
  <c r="I36" i="53"/>
  <c r="M34" i="53"/>
  <c r="M28" i="53"/>
  <c r="M23" i="53"/>
  <c r="K36" i="53"/>
  <c r="O46" i="24"/>
  <c r="Q30" i="40"/>
  <c r="O46" i="38"/>
  <c r="O46" i="32"/>
  <c r="O46" i="31"/>
  <c r="Q56" i="34"/>
  <c r="I57" i="40"/>
  <c r="M57" i="40"/>
  <c r="O46" i="28"/>
  <c r="O46" i="27"/>
  <c r="O46" i="26"/>
  <c r="C46" i="26"/>
  <c r="G46" i="26"/>
  <c r="K46" i="26"/>
  <c r="C46" i="25"/>
  <c r="G46" i="25"/>
  <c r="K46" i="25"/>
  <c r="O46" i="25"/>
  <c r="Q57" i="29"/>
  <c r="O41" i="29"/>
  <c r="I30" i="40"/>
  <c r="M30" i="40"/>
  <c r="O37" i="36"/>
  <c r="Q37" i="36" s="1"/>
  <c r="E30" i="40"/>
  <c r="G36" i="53"/>
  <c r="E57" i="40"/>
  <c r="C51" i="21"/>
  <c r="E51" i="21" s="1"/>
  <c r="E54" i="21" s="1"/>
  <c r="O41" i="40"/>
  <c r="O46" i="39"/>
  <c r="G50" i="39"/>
  <c r="I50" i="39" s="1"/>
  <c r="O37" i="39"/>
  <c r="Q37" i="39" s="1"/>
  <c r="Q40" i="39" s="1"/>
  <c r="O65" i="39"/>
  <c r="Q65" i="39" s="1"/>
  <c r="Q68" i="39" s="1"/>
  <c r="G50" i="38"/>
  <c r="I50" i="38" s="1"/>
  <c r="G51" i="38" s="1"/>
  <c r="I51" i="38" s="1"/>
  <c r="I54" i="38" s="1"/>
  <c r="O37" i="38"/>
  <c r="Q37" i="38" s="1"/>
  <c r="Q40" i="38" s="1"/>
  <c r="O46" i="37"/>
  <c r="O37" i="37"/>
  <c r="Q37" i="37" s="1"/>
  <c r="Q40" i="37" s="1"/>
  <c r="O60" i="36"/>
  <c r="G50" i="36"/>
  <c r="I50" i="36" s="1"/>
  <c r="M34" i="10"/>
  <c r="I43" i="29"/>
  <c r="M43" i="29"/>
  <c r="O41" i="34"/>
  <c r="O37" i="32"/>
  <c r="Q37" i="32" s="1"/>
  <c r="Q40" i="32" s="1"/>
  <c r="O50" i="30"/>
  <c r="Q50" i="30" s="1"/>
  <c r="C51" i="30"/>
  <c r="E51" i="30" s="1"/>
  <c r="E54" i="30" s="1"/>
  <c r="M23" i="10"/>
  <c r="C51" i="28"/>
  <c r="E51" i="28" s="1"/>
  <c r="E54" i="28" s="1"/>
  <c r="C51" i="27"/>
  <c r="E51" i="27" s="1"/>
  <c r="E54" i="27" s="1"/>
  <c r="G50" i="27"/>
  <c r="I50" i="27" s="1"/>
  <c r="G51" i="27" s="1"/>
  <c r="I51" i="27" s="1"/>
  <c r="I54" i="27" s="1"/>
  <c r="G50" i="25"/>
  <c r="I50" i="25" s="1"/>
  <c r="G51" i="25" s="1"/>
  <c r="I51" i="25" s="1"/>
  <c r="I54" i="25" s="1"/>
  <c r="G50" i="21"/>
  <c r="I50" i="21" s="1"/>
  <c r="G51" i="21" s="1"/>
  <c r="I51" i="21" s="1"/>
  <c r="I54" i="21" s="1"/>
  <c r="K52" i="15"/>
  <c r="M52" i="15" s="1"/>
  <c r="O52" i="15"/>
  <c r="Q52" i="15" s="1"/>
  <c r="K50" i="19"/>
  <c r="K50" i="20"/>
  <c r="M50" i="20" s="1"/>
  <c r="K51" i="20" s="1"/>
  <c r="M51" i="20" s="1"/>
  <c r="M54" i="20" s="1"/>
  <c r="O50" i="19"/>
  <c r="Q50" i="19" s="1"/>
  <c r="O50" i="20"/>
  <c r="G50" i="20"/>
  <c r="O37" i="28"/>
  <c r="Q37" i="28" s="1"/>
  <c r="Q40" i="28" s="1"/>
  <c r="O37" i="24"/>
  <c r="Q37" i="24" s="1"/>
  <c r="Q40" i="24" s="1"/>
  <c r="C32" i="23"/>
  <c r="C46" i="23" s="1"/>
  <c r="O64" i="23"/>
  <c r="Q64" i="23" s="1"/>
  <c r="O36" i="23"/>
  <c r="Q36" i="23" s="1"/>
  <c r="O32" i="23"/>
  <c r="O46" i="23" s="1"/>
  <c r="O64" i="22"/>
  <c r="Q64" i="22" s="1"/>
  <c r="O36" i="22"/>
  <c r="Q36" i="22" s="1"/>
  <c r="O32" i="22"/>
  <c r="O46" i="22" s="1"/>
  <c r="M54" i="39" l="1"/>
  <c r="Q31" i="40"/>
  <c r="K52" i="32"/>
  <c r="M52" i="32" s="1"/>
  <c r="M55" i="32" s="1"/>
  <c r="M57" i="32" s="1"/>
  <c r="M45" i="34"/>
  <c r="E44" i="34"/>
  <c r="I44" i="34"/>
  <c r="Q51" i="31"/>
  <c r="Q54" i="31" s="1"/>
  <c r="E45" i="29"/>
  <c r="I54" i="26"/>
  <c r="M44" i="34"/>
  <c r="M45" i="40"/>
  <c r="Q45" i="40"/>
  <c r="Q58" i="40"/>
  <c r="O52" i="38"/>
  <c r="Q52" i="38" s="1"/>
  <c r="Q55" i="38" s="1"/>
  <c r="K51" i="36"/>
  <c r="M51" i="36" s="1"/>
  <c r="M54" i="36" s="1"/>
  <c r="G51" i="36"/>
  <c r="I51" i="36" s="1"/>
  <c r="I54" i="36" s="1"/>
  <c r="I45" i="40"/>
  <c r="G51" i="39"/>
  <c r="I51" i="39" s="1"/>
  <c r="I54" i="39" s="1"/>
  <c r="O51" i="30"/>
  <c r="Q51" i="30" s="1"/>
  <c r="Q45" i="34" s="1"/>
  <c r="Q44" i="34"/>
  <c r="K53" i="32"/>
  <c r="M53" i="32" s="1"/>
  <c r="M56" i="32" s="1"/>
  <c r="Q54" i="28"/>
  <c r="O52" i="28"/>
  <c r="Q52" i="28" s="1"/>
  <c r="Q55" i="28" s="1"/>
  <c r="Q51" i="22"/>
  <c r="Q54" i="22" s="1"/>
  <c r="Q45" i="29"/>
  <c r="O53" i="15"/>
  <c r="Q53" i="15" s="1"/>
  <c r="Q54" i="23"/>
  <c r="O51" i="19"/>
  <c r="Q51" i="19" s="1"/>
  <c r="Q54" i="19" s="1"/>
  <c r="Q50" i="20"/>
  <c r="K53" i="15"/>
  <c r="M53" i="15" s="1"/>
  <c r="M50" i="19"/>
  <c r="M45" i="29" s="1"/>
  <c r="G53" i="24"/>
  <c r="I53" i="24" s="1"/>
  <c r="I56" i="24" s="1"/>
  <c r="G52" i="28"/>
  <c r="I52" i="28" s="1"/>
  <c r="I55" i="28" s="1"/>
  <c r="G53" i="28"/>
  <c r="I53" i="28" s="1"/>
  <c r="I56" i="28" s="1"/>
  <c r="I45" i="29"/>
  <c r="G52" i="24"/>
  <c r="I52" i="24" s="1"/>
  <c r="I55" i="24" s="1"/>
  <c r="M54" i="30"/>
  <c r="E54" i="36"/>
  <c r="E46" i="40"/>
  <c r="I46" i="29"/>
  <c r="E45" i="40"/>
  <c r="Q40" i="36"/>
  <c r="Q32" i="40"/>
  <c r="Q35" i="40" s="1"/>
  <c r="I54" i="30"/>
  <c r="I45" i="34"/>
  <c r="M56" i="15"/>
  <c r="Q68" i="36"/>
  <c r="Q54" i="36"/>
  <c r="Q46" i="40"/>
  <c r="O65" i="26"/>
  <c r="Q65" i="26" s="1"/>
  <c r="Q68" i="26" s="1"/>
  <c r="M36" i="53"/>
  <c r="M38" i="53"/>
  <c r="O66" i="25"/>
  <c r="Q66" i="25" s="1"/>
  <c r="Q69" i="25" s="1"/>
  <c r="O67" i="32"/>
  <c r="Q67" i="32" s="1"/>
  <c r="Q70" i="32" s="1"/>
  <c r="O38" i="25"/>
  <c r="Q38" i="25" s="1"/>
  <c r="Q41" i="25" s="1"/>
  <c r="O38" i="32"/>
  <c r="Q38" i="32" s="1"/>
  <c r="Q41" i="32" s="1"/>
  <c r="O53" i="26"/>
  <c r="Q53" i="26" s="1"/>
  <c r="Q56" i="26" s="1"/>
  <c r="O52" i="26"/>
  <c r="Q52" i="26" s="1"/>
  <c r="Q55" i="26" s="1"/>
  <c r="O53" i="39"/>
  <c r="Q53" i="39" s="1"/>
  <c r="Q56" i="39" s="1"/>
  <c r="O52" i="39"/>
  <c r="Q52" i="39" s="1"/>
  <c r="Q55" i="39" s="1"/>
  <c r="O53" i="24"/>
  <c r="Q53" i="24" s="1"/>
  <c r="Q56" i="24" s="1"/>
  <c r="O52" i="24"/>
  <c r="Q52" i="24" s="1"/>
  <c r="Q55" i="24" s="1"/>
  <c r="O53" i="21"/>
  <c r="Q53" i="21" s="1"/>
  <c r="Q56" i="21" s="1"/>
  <c r="O52" i="21"/>
  <c r="Q52" i="21" s="1"/>
  <c r="Q55" i="21" s="1"/>
  <c r="O53" i="27"/>
  <c r="Q53" i="27" s="1"/>
  <c r="Q56" i="27" s="1"/>
  <c r="O52" i="27"/>
  <c r="Q52" i="27" s="1"/>
  <c r="Q55" i="27" s="1"/>
  <c r="O53" i="36"/>
  <c r="Q53" i="36" s="1"/>
  <c r="O52" i="36"/>
  <c r="Q52" i="36" s="1"/>
  <c r="O53" i="37"/>
  <c r="Q53" i="37" s="1"/>
  <c r="Q56" i="37" s="1"/>
  <c r="O52" i="37"/>
  <c r="Q52" i="37" s="1"/>
  <c r="Q55" i="37" s="1"/>
  <c r="O53" i="32"/>
  <c r="Q53" i="32" s="1"/>
  <c r="Q56" i="32" s="1"/>
  <c r="O52" i="32"/>
  <c r="Q52" i="32" s="1"/>
  <c r="Q55" i="32" s="1"/>
  <c r="O53" i="23"/>
  <c r="Q53" i="23" s="1"/>
  <c r="Q56" i="23" s="1"/>
  <c r="O52" i="23"/>
  <c r="Q52" i="23" s="1"/>
  <c r="Q55" i="23" s="1"/>
  <c r="O53" i="25"/>
  <c r="Q53" i="25" s="1"/>
  <c r="Q56" i="25" s="1"/>
  <c r="O52" i="25"/>
  <c r="Q52" i="25" s="1"/>
  <c r="Q55" i="25" s="1"/>
  <c r="K53" i="23"/>
  <c r="M53" i="23" s="1"/>
  <c r="M56" i="23" s="1"/>
  <c r="K52" i="23"/>
  <c r="M52" i="23" s="1"/>
  <c r="M55" i="23" s="1"/>
  <c r="K53" i="31"/>
  <c r="M53" i="31" s="1"/>
  <c r="M56" i="31" s="1"/>
  <c r="K52" i="31"/>
  <c r="M52" i="31" s="1"/>
  <c r="M55" i="31" s="1"/>
  <c r="K53" i="20"/>
  <c r="M53" i="20" s="1"/>
  <c r="M56" i="20" s="1"/>
  <c r="K52" i="20"/>
  <c r="M52" i="20" s="1"/>
  <c r="M55" i="20" s="1"/>
  <c r="K55" i="15"/>
  <c r="M55" i="15" s="1"/>
  <c r="M58" i="15" s="1"/>
  <c r="K54" i="15"/>
  <c r="M54" i="15" s="1"/>
  <c r="M57" i="15" s="1"/>
  <c r="K53" i="30"/>
  <c r="M53" i="30" s="1"/>
  <c r="M56" i="30" s="1"/>
  <c r="K52" i="30"/>
  <c r="M52" i="30" s="1"/>
  <c r="M55" i="30" s="1"/>
  <c r="K53" i="38"/>
  <c r="M53" i="38" s="1"/>
  <c r="M56" i="38" s="1"/>
  <c r="K52" i="38"/>
  <c r="M52" i="38" s="1"/>
  <c r="M55" i="38" s="1"/>
  <c r="K53" i="26"/>
  <c r="M53" i="26" s="1"/>
  <c r="M56" i="26" s="1"/>
  <c r="K52" i="26"/>
  <c r="M52" i="26" s="1"/>
  <c r="M55" i="26" s="1"/>
  <c r="K53" i="22"/>
  <c r="M53" i="22" s="1"/>
  <c r="M56" i="22" s="1"/>
  <c r="K52" i="22"/>
  <c r="M52" i="22" s="1"/>
  <c r="M55" i="22" s="1"/>
  <c r="M57" i="22" s="1"/>
  <c r="K53" i="28"/>
  <c r="M53" i="28" s="1"/>
  <c r="M56" i="28" s="1"/>
  <c r="K52" i="28"/>
  <c r="M52" i="28" s="1"/>
  <c r="M55" i="28" s="1"/>
  <c r="K53" i="24"/>
  <c r="M53" i="24" s="1"/>
  <c r="M56" i="24" s="1"/>
  <c r="K52" i="24"/>
  <c r="M52" i="24" s="1"/>
  <c r="M55" i="24" s="1"/>
  <c r="K53" i="25"/>
  <c r="M53" i="25" s="1"/>
  <c r="M56" i="25" s="1"/>
  <c r="K52" i="25"/>
  <c r="M52" i="25" s="1"/>
  <c r="M55" i="25" s="1"/>
  <c r="K53" i="37"/>
  <c r="M53" i="37" s="1"/>
  <c r="M56" i="37" s="1"/>
  <c r="K52" i="37"/>
  <c r="M52" i="37" s="1"/>
  <c r="M55" i="37" s="1"/>
  <c r="K53" i="39"/>
  <c r="M53" i="39" s="1"/>
  <c r="M56" i="39" s="1"/>
  <c r="K52" i="39"/>
  <c r="M52" i="39" s="1"/>
  <c r="M55" i="39" s="1"/>
  <c r="K53" i="21"/>
  <c r="M53" i="21" s="1"/>
  <c r="M56" i="21" s="1"/>
  <c r="K52" i="21"/>
  <c r="M52" i="21" s="1"/>
  <c r="M55" i="21" s="1"/>
  <c r="K53" i="27"/>
  <c r="M53" i="27" s="1"/>
  <c r="M56" i="27" s="1"/>
  <c r="K52" i="27"/>
  <c r="M52" i="27" s="1"/>
  <c r="M55" i="27" s="1"/>
  <c r="G53" i="30"/>
  <c r="I53" i="30" s="1"/>
  <c r="I56" i="30" s="1"/>
  <c r="G52" i="30"/>
  <c r="I52" i="30" s="1"/>
  <c r="I55" i="30" s="1"/>
  <c r="G53" i="22"/>
  <c r="I53" i="22" s="1"/>
  <c r="I56" i="22" s="1"/>
  <c r="G52" i="22"/>
  <c r="I52" i="22" s="1"/>
  <c r="I55" i="22" s="1"/>
  <c r="G53" i="25"/>
  <c r="I53" i="25" s="1"/>
  <c r="I56" i="25" s="1"/>
  <c r="G52" i="25"/>
  <c r="I52" i="25" s="1"/>
  <c r="I55" i="25" s="1"/>
  <c r="G53" i="37"/>
  <c r="I53" i="37" s="1"/>
  <c r="I56" i="37" s="1"/>
  <c r="G52" i="37"/>
  <c r="I52" i="37" s="1"/>
  <c r="I55" i="37" s="1"/>
  <c r="G53" i="20"/>
  <c r="I53" i="20" s="1"/>
  <c r="I56" i="20" s="1"/>
  <c r="G52" i="20"/>
  <c r="I52" i="20" s="1"/>
  <c r="I55" i="20" s="1"/>
  <c r="G53" i="38"/>
  <c r="I53" i="38" s="1"/>
  <c r="I56" i="38" s="1"/>
  <c r="G52" i="38"/>
  <c r="I52" i="38" s="1"/>
  <c r="I55" i="38" s="1"/>
  <c r="G53" i="23"/>
  <c r="I53" i="23" s="1"/>
  <c r="I56" i="23" s="1"/>
  <c r="G52" i="23"/>
  <c r="I52" i="23" s="1"/>
  <c r="I55" i="23" s="1"/>
  <c r="G53" i="21"/>
  <c r="I53" i="21" s="1"/>
  <c r="I56" i="21" s="1"/>
  <c r="G52" i="21"/>
  <c r="I52" i="21" s="1"/>
  <c r="I55" i="21" s="1"/>
  <c r="G53" i="27"/>
  <c r="I53" i="27" s="1"/>
  <c r="I56" i="27" s="1"/>
  <c r="G52" i="27"/>
  <c r="I52" i="27" s="1"/>
  <c r="I55" i="27" s="1"/>
  <c r="G53" i="32"/>
  <c r="I53" i="32" s="1"/>
  <c r="I56" i="32" s="1"/>
  <c r="G52" i="32"/>
  <c r="I52" i="32" s="1"/>
  <c r="I55" i="32" s="1"/>
  <c r="G55" i="15"/>
  <c r="I55" i="15" s="1"/>
  <c r="I58" i="15" s="1"/>
  <c r="G54" i="15"/>
  <c r="I54" i="15" s="1"/>
  <c r="I57" i="15" s="1"/>
  <c r="G52" i="39"/>
  <c r="I52" i="39" s="1"/>
  <c r="I55" i="39" s="1"/>
  <c r="G53" i="36"/>
  <c r="I53" i="36" s="1"/>
  <c r="G52" i="36"/>
  <c r="I52" i="36" s="1"/>
  <c r="G53" i="19"/>
  <c r="I53" i="19" s="1"/>
  <c r="I56" i="19" s="1"/>
  <c r="G52" i="19"/>
  <c r="I52" i="19" s="1"/>
  <c r="I55" i="19" s="1"/>
  <c r="G53" i="31"/>
  <c r="I53" i="31" s="1"/>
  <c r="I56" i="31" s="1"/>
  <c r="G52" i="31"/>
  <c r="I52" i="31" s="1"/>
  <c r="I55" i="31" s="1"/>
  <c r="G53" i="26"/>
  <c r="I53" i="26" s="1"/>
  <c r="I56" i="26" s="1"/>
  <c r="G52" i="26"/>
  <c r="I52" i="26" s="1"/>
  <c r="I55" i="26" s="1"/>
  <c r="O53" i="38"/>
  <c r="Q53" i="38" s="1"/>
  <c r="Q56" i="38" s="1"/>
  <c r="C52" i="39"/>
  <c r="E52" i="39" s="1"/>
  <c r="E55" i="39" s="1"/>
  <c r="O39" i="39"/>
  <c r="Q39" i="39" s="1"/>
  <c r="Q42" i="39" s="1"/>
  <c r="C52" i="37"/>
  <c r="E52" i="37" s="1"/>
  <c r="E55" i="37" s="1"/>
  <c r="O65" i="37"/>
  <c r="Q65" i="37" s="1"/>
  <c r="Q68" i="37" s="1"/>
  <c r="M28" i="10"/>
  <c r="M36" i="10" s="1"/>
  <c r="C51" i="32"/>
  <c r="E51" i="32" s="1"/>
  <c r="E54" i="32" s="1"/>
  <c r="C53" i="31"/>
  <c r="E53" i="31" s="1"/>
  <c r="E56" i="31" s="1"/>
  <c r="O67" i="31"/>
  <c r="Q67" i="31" s="1"/>
  <c r="Q70" i="31" s="1"/>
  <c r="C53" i="30"/>
  <c r="E53" i="30" s="1"/>
  <c r="E56" i="30" s="1"/>
  <c r="C53" i="28"/>
  <c r="E53" i="28" s="1"/>
  <c r="E56" i="28" s="1"/>
  <c r="O53" i="28"/>
  <c r="Q53" i="28" s="1"/>
  <c r="Q56" i="28" s="1"/>
  <c r="C53" i="27"/>
  <c r="E53" i="27" s="1"/>
  <c r="E56" i="27" s="1"/>
  <c r="C52" i="26"/>
  <c r="E52" i="26" s="1"/>
  <c r="E55" i="26" s="1"/>
  <c r="C52" i="25"/>
  <c r="E52" i="25" s="1"/>
  <c r="E55" i="25" s="1"/>
  <c r="C52" i="22"/>
  <c r="E52" i="22" s="1"/>
  <c r="E55" i="22" s="1"/>
  <c r="C52" i="21"/>
  <c r="E52" i="21" s="1"/>
  <c r="E55" i="21" s="1"/>
  <c r="C51" i="20"/>
  <c r="E51" i="20" s="1"/>
  <c r="E54" i="20" s="1"/>
  <c r="C53" i="15"/>
  <c r="E53" i="15" s="1"/>
  <c r="E56" i="15" s="1"/>
  <c r="O67" i="25"/>
  <c r="Q67" i="25" s="1"/>
  <c r="Q70" i="25" s="1"/>
  <c r="O60" i="23"/>
  <c r="O60" i="22"/>
  <c r="O39" i="28"/>
  <c r="Q39" i="28" s="1"/>
  <c r="Q42" i="28" s="1"/>
  <c r="O65" i="28"/>
  <c r="Q65" i="28" s="1"/>
  <c r="Q68" i="28" s="1"/>
  <c r="O39" i="24"/>
  <c r="Q39" i="24" s="1"/>
  <c r="Q42" i="24" s="1"/>
  <c r="O67" i="24"/>
  <c r="Q67" i="24" s="1"/>
  <c r="Q70" i="24" s="1"/>
  <c r="O65" i="23"/>
  <c r="Q65" i="23" s="1"/>
  <c r="Q68" i="23" s="1"/>
  <c r="O37" i="22"/>
  <c r="Q37" i="22" s="1"/>
  <c r="Q40" i="22" s="1"/>
  <c r="O65" i="22"/>
  <c r="Q65" i="22" s="1"/>
  <c r="Q68" i="22" s="1"/>
  <c r="O32" i="21"/>
  <c r="O46" i="21" s="1"/>
  <c r="K32" i="21"/>
  <c r="K46" i="21" s="1"/>
  <c r="G32" i="21"/>
  <c r="G46" i="21" s="1"/>
  <c r="C32" i="21"/>
  <c r="C46" i="21" s="1"/>
  <c r="O64" i="21"/>
  <c r="Q64" i="21" s="1"/>
  <c r="O36" i="21"/>
  <c r="Q36" i="21" s="1"/>
  <c r="C32" i="20"/>
  <c r="C46" i="20" s="1"/>
  <c r="O64" i="20"/>
  <c r="Q64" i="20" s="1"/>
  <c r="O36" i="20"/>
  <c r="Q36" i="20" s="1"/>
  <c r="O32" i="20"/>
  <c r="O46" i="20" s="1"/>
  <c r="K32" i="19"/>
  <c r="K46" i="19" s="1"/>
  <c r="G32" i="19"/>
  <c r="G46" i="19" s="1"/>
  <c r="C32" i="19"/>
  <c r="C46" i="19" s="1"/>
  <c r="O64" i="19"/>
  <c r="Q64" i="19" s="1"/>
  <c r="O36" i="19"/>
  <c r="Q36" i="19" s="1"/>
  <c r="O32" i="19"/>
  <c r="O46" i="19" s="1"/>
  <c r="C62" i="15"/>
  <c r="C34" i="15"/>
  <c r="C48" i="15" s="1"/>
  <c r="O66" i="15"/>
  <c r="Q66" i="15" s="1"/>
  <c r="O38" i="15"/>
  <c r="Q38" i="15" s="1"/>
  <c r="O34" i="15"/>
  <c r="P368" i="41"/>
  <c r="L368" i="41"/>
  <c r="H368" i="41"/>
  <c r="D368" i="41"/>
  <c r="P347" i="41"/>
  <c r="L347" i="41"/>
  <c r="H347" i="41"/>
  <c r="D347" i="41"/>
  <c r="P326" i="41"/>
  <c r="L326" i="41"/>
  <c r="H326" i="41"/>
  <c r="D326" i="41"/>
  <c r="P305" i="41"/>
  <c r="L305" i="41"/>
  <c r="H305" i="41"/>
  <c r="D305" i="41"/>
  <c r="P284" i="41"/>
  <c r="L284" i="41"/>
  <c r="H284" i="41"/>
  <c r="D284" i="41"/>
  <c r="P263" i="41"/>
  <c r="L263" i="41"/>
  <c r="H263" i="41"/>
  <c r="D263" i="41"/>
  <c r="P242" i="41"/>
  <c r="L242" i="41"/>
  <c r="H242" i="41"/>
  <c r="D242" i="41"/>
  <c r="P221" i="41"/>
  <c r="L221" i="41"/>
  <c r="H221" i="41"/>
  <c r="D221" i="41"/>
  <c r="P200" i="41"/>
  <c r="L200" i="41"/>
  <c r="H200" i="41"/>
  <c r="D200" i="41"/>
  <c r="P179" i="41"/>
  <c r="L179" i="41"/>
  <c r="H179" i="41"/>
  <c r="D179" i="41"/>
  <c r="P158" i="41"/>
  <c r="L158" i="41"/>
  <c r="H158" i="41"/>
  <c r="D158" i="41"/>
  <c r="P137" i="41"/>
  <c r="L137" i="41"/>
  <c r="H137" i="41"/>
  <c r="D137" i="41"/>
  <c r="P116" i="41"/>
  <c r="L116" i="41"/>
  <c r="H116" i="41"/>
  <c r="D116" i="41"/>
  <c r="P95" i="41"/>
  <c r="L95" i="41"/>
  <c r="H95" i="41"/>
  <c r="D95" i="41"/>
  <c r="P74" i="41"/>
  <c r="L74" i="41"/>
  <c r="H74" i="41"/>
  <c r="D74" i="41"/>
  <c r="P53" i="41"/>
  <c r="L53" i="41"/>
  <c r="H53" i="41"/>
  <c r="D53" i="41"/>
  <c r="P32" i="41"/>
  <c r="L32" i="41"/>
  <c r="H32" i="41"/>
  <c r="D32" i="41"/>
  <c r="P386" i="41"/>
  <c r="O18" i="39" s="1"/>
  <c r="R385" i="41"/>
  <c r="R384" i="41"/>
  <c r="R383" i="41"/>
  <c r="R382" i="41"/>
  <c r="R381" i="41"/>
  <c r="R380" i="41"/>
  <c r="R379" i="41"/>
  <c r="R378" i="41"/>
  <c r="R377" i="41"/>
  <c r="R376" i="41"/>
  <c r="R375" i="41"/>
  <c r="R374" i="41"/>
  <c r="R373" i="41"/>
  <c r="R372" i="41"/>
  <c r="R371" i="41"/>
  <c r="P365" i="41"/>
  <c r="O18" i="38" s="1"/>
  <c r="R364" i="41"/>
  <c r="R363" i="41"/>
  <c r="R362" i="41"/>
  <c r="R361" i="41"/>
  <c r="R360" i="41"/>
  <c r="R359" i="41"/>
  <c r="R358" i="41"/>
  <c r="R357" i="41"/>
  <c r="R356" i="41"/>
  <c r="R355" i="41"/>
  <c r="R354" i="41"/>
  <c r="R353" i="41"/>
  <c r="R352" i="41"/>
  <c r="R351" i="41"/>
  <c r="R350" i="41"/>
  <c r="P344" i="41"/>
  <c r="O18" i="37" s="1"/>
  <c r="R343" i="41"/>
  <c r="R342" i="41"/>
  <c r="R341" i="41"/>
  <c r="R340" i="41"/>
  <c r="R339" i="41"/>
  <c r="R338" i="41"/>
  <c r="R337" i="41"/>
  <c r="R336" i="41"/>
  <c r="R335" i="41"/>
  <c r="R334" i="41"/>
  <c r="R333" i="41"/>
  <c r="R332" i="41"/>
  <c r="R331" i="41"/>
  <c r="R330" i="41"/>
  <c r="R329" i="41"/>
  <c r="P323" i="41"/>
  <c r="O18" i="36" s="1"/>
  <c r="O14" i="40" s="1"/>
  <c r="R322" i="41"/>
  <c r="R321" i="41"/>
  <c r="R320" i="41"/>
  <c r="R319" i="41"/>
  <c r="R318" i="41"/>
  <c r="R317" i="41"/>
  <c r="R316" i="41"/>
  <c r="R315" i="41"/>
  <c r="R314" i="41"/>
  <c r="R313" i="41"/>
  <c r="R312" i="41"/>
  <c r="R311" i="41"/>
  <c r="R310" i="41"/>
  <c r="R309" i="41"/>
  <c r="R308" i="41"/>
  <c r="P302" i="41"/>
  <c r="O18" i="32" s="1"/>
  <c r="R301" i="41"/>
  <c r="R300" i="41"/>
  <c r="R299" i="41"/>
  <c r="R298" i="41"/>
  <c r="R297" i="41"/>
  <c r="R296" i="41"/>
  <c r="R295" i="41"/>
  <c r="R294" i="41"/>
  <c r="R293" i="41"/>
  <c r="R292" i="41"/>
  <c r="R291" i="41"/>
  <c r="R290" i="41"/>
  <c r="R289" i="41"/>
  <c r="R288" i="41"/>
  <c r="R287" i="41"/>
  <c r="P281" i="41"/>
  <c r="O18" i="31" s="1"/>
  <c r="R280" i="41"/>
  <c r="R279" i="41"/>
  <c r="R278" i="41"/>
  <c r="R277" i="41"/>
  <c r="R276" i="41"/>
  <c r="R275" i="41"/>
  <c r="R274" i="41"/>
  <c r="R273" i="41"/>
  <c r="R272" i="41"/>
  <c r="R271" i="41"/>
  <c r="R270" i="41"/>
  <c r="R269" i="41"/>
  <c r="R268" i="41"/>
  <c r="R267" i="41"/>
  <c r="R266" i="41"/>
  <c r="P260" i="41"/>
  <c r="O18" i="30" s="1"/>
  <c r="R259" i="41"/>
  <c r="R258" i="41"/>
  <c r="R257" i="41"/>
  <c r="R256" i="41"/>
  <c r="R255" i="41"/>
  <c r="R254" i="41"/>
  <c r="R253" i="41"/>
  <c r="R252" i="41"/>
  <c r="R251" i="41"/>
  <c r="R250" i="41"/>
  <c r="R249" i="41"/>
  <c r="R248" i="41"/>
  <c r="R247" i="41"/>
  <c r="R246" i="41"/>
  <c r="R245" i="41"/>
  <c r="P239" i="41"/>
  <c r="O18" i="28" s="1"/>
  <c r="R238" i="41"/>
  <c r="R237" i="41"/>
  <c r="R236" i="41"/>
  <c r="R235" i="41"/>
  <c r="R234" i="41"/>
  <c r="R233" i="41"/>
  <c r="R232" i="41"/>
  <c r="R231" i="41"/>
  <c r="R230" i="41"/>
  <c r="R229" i="41"/>
  <c r="R228" i="41"/>
  <c r="R227" i="41"/>
  <c r="R226" i="41"/>
  <c r="R225" i="41"/>
  <c r="R224" i="41"/>
  <c r="P218" i="41"/>
  <c r="O18" i="27" s="1"/>
  <c r="R217" i="41"/>
  <c r="R216" i="41"/>
  <c r="R215" i="41"/>
  <c r="R214" i="41"/>
  <c r="R213" i="41"/>
  <c r="R212" i="41"/>
  <c r="R211" i="41"/>
  <c r="R210" i="41"/>
  <c r="R209" i="41"/>
  <c r="R208" i="41"/>
  <c r="R207" i="41"/>
  <c r="R206" i="41"/>
  <c r="R205" i="41"/>
  <c r="R204" i="41"/>
  <c r="R203" i="41"/>
  <c r="P197" i="41"/>
  <c r="O18" i="26" s="1"/>
  <c r="R196" i="41"/>
  <c r="R195" i="41"/>
  <c r="R194" i="41"/>
  <c r="R193" i="41"/>
  <c r="R192" i="41"/>
  <c r="R191" i="41"/>
  <c r="R190" i="41"/>
  <c r="R189" i="41"/>
  <c r="R188" i="41"/>
  <c r="R187" i="41"/>
  <c r="R186" i="41"/>
  <c r="R185" i="41"/>
  <c r="R184" i="41"/>
  <c r="R183" i="41"/>
  <c r="R182" i="41"/>
  <c r="P176" i="41"/>
  <c r="O18" i="25" s="1"/>
  <c r="R175" i="41"/>
  <c r="R174" i="41"/>
  <c r="R173" i="41"/>
  <c r="R172" i="41"/>
  <c r="R171" i="41"/>
  <c r="R170" i="41"/>
  <c r="R169" i="41"/>
  <c r="R168" i="41"/>
  <c r="R167" i="41"/>
  <c r="R166" i="41"/>
  <c r="R165" i="41"/>
  <c r="R164" i="41"/>
  <c r="R163" i="41"/>
  <c r="R162" i="41"/>
  <c r="R161" i="41"/>
  <c r="P155" i="41"/>
  <c r="O18" i="24" s="1"/>
  <c r="R154" i="41"/>
  <c r="R153" i="41"/>
  <c r="R152" i="41"/>
  <c r="R151" i="41"/>
  <c r="R150" i="41"/>
  <c r="R149" i="41"/>
  <c r="R148" i="41"/>
  <c r="R147" i="41"/>
  <c r="R146" i="41"/>
  <c r="R145" i="41"/>
  <c r="R144" i="41"/>
  <c r="R143" i="41"/>
  <c r="R142" i="41"/>
  <c r="R141" i="41"/>
  <c r="R140" i="41"/>
  <c r="P134" i="41"/>
  <c r="O18" i="23" s="1"/>
  <c r="R133" i="41"/>
  <c r="R132" i="41"/>
  <c r="R131" i="41"/>
  <c r="R130" i="41"/>
  <c r="R129" i="41"/>
  <c r="R128" i="41"/>
  <c r="R127" i="41"/>
  <c r="R126" i="41"/>
  <c r="R125" i="41"/>
  <c r="R124" i="41"/>
  <c r="R123" i="41"/>
  <c r="R122" i="41"/>
  <c r="R121" i="41"/>
  <c r="R120" i="41"/>
  <c r="R119" i="41"/>
  <c r="P113" i="41"/>
  <c r="O18" i="22" s="1"/>
  <c r="R112" i="41"/>
  <c r="R111" i="41"/>
  <c r="R110" i="41"/>
  <c r="R109" i="41"/>
  <c r="R108" i="41"/>
  <c r="R107" i="41"/>
  <c r="R106" i="41"/>
  <c r="R105" i="41"/>
  <c r="R104" i="41"/>
  <c r="R103" i="41"/>
  <c r="R102" i="41"/>
  <c r="R101" i="41"/>
  <c r="R100" i="41"/>
  <c r="R99" i="41"/>
  <c r="R98" i="41"/>
  <c r="P92" i="41"/>
  <c r="R91" i="41"/>
  <c r="R90" i="41"/>
  <c r="R89" i="41"/>
  <c r="R88" i="41"/>
  <c r="R87" i="41"/>
  <c r="R86" i="41"/>
  <c r="R85" i="41"/>
  <c r="R84" i="41"/>
  <c r="R83" i="41"/>
  <c r="R82" i="41"/>
  <c r="R81" i="41"/>
  <c r="R80" i="41"/>
  <c r="R79" i="41"/>
  <c r="R78" i="41"/>
  <c r="R77" i="41"/>
  <c r="P71" i="41"/>
  <c r="O18" i="20" s="1"/>
  <c r="R70" i="41"/>
  <c r="R69" i="41"/>
  <c r="R68" i="41"/>
  <c r="R67" i="41"/>
  <c r="R66" i="41"/>
  <c r="R65" i="41"/>
  <c r="R64" i="41"/>
  <c r="R63" i="41"/>
  <c r="R62" i="41"/>
  <c r="R61" i="41"/>
  <c r="R60" i="41"/>
  <c r="R59" i="41"/>
  <c r="R58" i="41"/>
  <c r="R57" i="41"/>
  <c r="R56" i="41"/>
  <c r="P50" i="41"/>
  <c r="O18" i="19" s="1"/>
  <c r="R49" i="41"/>
  <c r="R48" i="41"/>
  <c r="R47" i="41"/>
  <c r="R46" i="41"/>
  <c r="R45" i="41"/>
  <c r="R44" i="41"/>
  <c r="R43" i="41"/>
  <c r="R42" i="41"/>
  <c r="R41" i="41"/>
  <c r="R40" i="41"/>
  <c r="R39" i="41"/>
  <c r="R38" i="41"/>
  <c r="R37" i="41"/>
  <c r="R36" i="41"/>
  <c r="R35" i="41"/>
  <c r="P29" i="41"/>
  <c r="O20" i="15" s="1"/>
  <c r="R28" i="41"/>
  <c r="R27" i="41"/>
  <c r="R26" i="41"/>
  <c r="R25" i="41"/>
  <c r="R24" i="41"/>
  <c r="R23" i="41"/>
  <c r="R22" i="41"/>
  <c r="R21" i="41"/>
  <c r="R20" i="41"/>
  <c r="R19" i="41"/>
  <c r="R18" i="41"/>
  <c r="R17" i="41"/>
  <c r="R16" i="41"/>
  <c r="R15" i="41"/>
  <c r="R14" i="41"/>
  <c r="M57" i="29"/>
  <c r="I57" i="29"/>
  <c r="E57" i="29"/>
  <c r="M30" i="29"/>
  <c r="I30" i="29"/>
  <c r="E30" i="29"/>
  <c r="L386" i="41"/>
  <c r="K18" i="39" s="1"/>
  <c r="H386" i="41"/>
  <c r="G18" i="39" s="1"/>
  <c r="D386" i="41"/>
  <c r="C18" i="39" s="1"/>
  <c r="N385" i="41"/>
  <c r="J385" i="41"/>
  <c r="F385" i="41"/>
  <c r="N384" i="41"/>
  <c r="J384" i="41"/>
  <c r="F384" i="41"/>
  <c r="N383" i="41"/>
  <c r="J383" i="41"/>
  <c r="F383" i="41"/>
  <c r="N382" i="41"/>
  <c r="J382" i="41"/>
  <c r="F382" i="41"/>
  <c r="N381" i="41"/>
  <c r="J381" i="41"/>
  <c r="F381" i="41"/>
  <c r="N380" i="41"/>
  <c r="J380" i="41"/>
  <c r="F380" i="41"/>
  <c r="N379" i="41"/>
  <c r="J379" i="41"/>
  <c r="F379" i="41"/>
  <c r="N378" i="41"/>
  <c r="J378" i="41"/>
  <c r="F378" i="41"/>
  <c r="N377" i="41"/>
  <c r="J377" i="41"/>
  <c r="F377" i="41"/>
  <c r="N376" i="41"/>
  <c r="J376" i="41"/>
  <c r="F376" i="41"/>
  <c r="N375" i="41"/>
  <c r="J375" i="41"/>
  <c r="F375" i="41"/>
  <c r="N374" i="41"/>
  <c r="J374" i="41"/>
  <c r="F374" i="41"/>
  <c r="N373" i="41"/>
  <c r="J373" i="41"/>
  <c r="F373" i="41"/>
  <c r="N372" i="41"/>
  <c r="J372" i="41"/>
  <c r="F372" i="41"/>
  <c r="N371" i="41"/>
  <c r="J371" i="41"/>
  <c r="F371" i="41"/>
  <c r="L365" i="41"/>
  <c r="K18" i="38" s="1"/>
  <c r="H365" i="41"/>
  <c r="G18" i="38" s="1"/>
  <c r="D365" i="41"/>
  <c r="C18" i="38" s="1"/>
  <c r="N364" i="41"/>
  <c r="J364" i="41"/>
  <c r="F364" i="41"/>
  <c r="N363" i="41"/>
  <c r="J363" i="41"/>
  <c r="F363" i="41"/>
  <c r="N362" i="41"/>
  <c r="J362" i="41"/>
  <c r="F362" i="41"/>
  <c r="N361" i="41"/>
  <c r="J361" i="41"/>
  <c r="F361" i="41"/>
  <c r="N360" i="41"/>
  <c r="J360" i="41"/>
  <c r="F360" i="41"/>
  <c r="N359" i="41"/>
  <c r="J359" i="41"/>
  <c r="F359" i="41"/>
  <c r="N358" i="41"/>
  <c r="J358" i="41"/>
  <c r="F358" i="41"/>
  <c r="N357" i="41"/>
  <c r="J357" i="41"/>
  <c r="F357" i="41"/>
  <c r="N356" i="41"/>
  <c r="J356" i="41"/>
  <c r="F356" i="41"/>
  <c r="N355" i="41"/>
  <c r="J355" i="41"/>
  <c r="F355" i="41"/>
  <c r="N354" i="41"/>
  <c r="J354" i="41"/>
  <c r="F354" i="41"/>
  <c r="N353" i="41"/>
  <c r="J353" i="41"/>
  <c r="F353" i="41"/>
  <c r="N352" i="41"/>
  <c r="J352" i="41"/>
  <c r="F352" i="41"/>
  <c r="N351" i="41"/>
  <c r="J351" i="41"/>
  <c r="F351" i="41"/>
  <c r="N350" i="41"/>
  <c r="J350" i="41"/>
  <c r="F350" i="41"/>
  <c r="L344" i="41"/>
  <c r="K18" i="37" s="1"/>
  <c r="H344" i="41"/>
  <c r="G18" i="37" s="1"/>
  <c r="D344" i="41"/>
  <c r="C18" i="37" s="1"/>
  <c r="N343" i="41"/>
  <c r="J343" i="41"/>
  <c r="F343" i="41"/>
  <c r="N342" i="41"/>
  <c r="J342" i="41"/>
  <c r="F342" i="41"/>
  <c r="N341" i="41"/>
  <c r="J341" i="41"/>
  <c r="F341" i="41"/>
  <c r="N340" i="41"/>
  <c r="J340" i="41"/>
  <c r="F340" i="41"/>
  <c r="N339" i="41"/>
  <c r="J339" i="41"/>
  <c r="F339" i="41"/>
  <c r="N338" i="41"/>
  <c r="J338" i="41"/>
  <c r="F338" i="41"/>
  <c r="N337" i="41"/>
  <c r="J337" i="41"/>
  <c r="F337" i="41"/>
  <c r="N336" i="41"/>
  <c r="J336" i="41"/>
  <c r="F336" i="41"/>
  <c r="N335" i="41"/>
  <c r="J335" i="41"/>
  <c r="F335" i="41"/>
  <c r="N334" i="41"/>
  <c r="J334" i="41"/>
  <c r="F334" i="41"/>
  <c r="N333" i="41"/>
  <c r="J333" i="41"/>
  <c r="F333" i="41"/>
  <c r="N332" i="41"/>
  <c r="J332" i="41"/>
  <c r="F332" i="41"/>
  <c r="N331" i="41"/>
  <c r="J331" i="41"/>
  <c r="F331" i="41"/>
  <c r="N330" i="41"/>
  <c r="J330" i="41"/>
  <c r="F330" i="41"/>
  <c r="N329" i="41"/>
  <c r="J329" i="41"/>
  <c r="F329" i="41"/>
  <c r="L323" i="41"/>
  <c r="K18" i="36" s="1"/>
  <c r="H323" i="41"/>
  <c r="G18" i="36" s="1"/>
  <c r="D323" i="41"/>
  <c r="C18" i="36" s="1"/>
  <c r="N322" i="41"/>
  <c r="J322" i="41"/>
  <c r="F322" i="41"/>
  <c r="N321" i="41"/>
  <c r="J321" i="41"/>
  <c r="F321" i="41"/>
  <c r="N320" i="41"/>
  <c r="J320" i="41"/>
  <c r="F320" i="41"/>
  <c r="N319" i="41"/>
  <c r="J319" i="41"/>
  <c r="F319" i="41"/>
  <c r="N318" i="41"/>
  <c r="J318" i="41"/>
  <c r="F318" i="41"/>
  <c r="N317" i="41"/>
  <c r="J317" i="41"/>
  <c r="F317" i="41"/>
  <c r="N316" i="41"/>
  <c r="J316" i="41"/>
  <c r="F316" i="41"/>
  <c r="N315" i="41"/>
  <c r="J315" i="41"/>
  <c r="F315" i="41"/>
  <c r="N314" i="41"/>
  <c r="J314" i="41"/>
  <c r="F314" i="41"/>
  <c r="N313" i="41"/>
  <c r="J313" i="41"/>
  <c r="F313" i="41"/>
  <c r="N312" i="41"/>
  <c r="J312" i="41"/>
  <c r="F312" i="41"/>
  <c r="N311" i="41"/>
  <c r="J311" i="41"/>
  <c r="F311" i="41"/>
  <c r="N310" i="41"/>
  <c r="J310" i="41"/>
  <c r="F310" i="41"/>
  <c r="N309" i="41"/>
  <c r="J309" i="41"/>
  <c r="F309" i="41"/>
  <c r="N308" i="41"/>
  <c r="J308" i="41"/>
  <c r="F308" i="41"/>
  <c r="L302" i="41"/>
  <c r="K18" i="32" s="1"/>
  <c r="H302" i="41"/>
  <c r="G18" i="32" s="1"/>
  <c r="D302" i="41"/>
  <c r="C18" i="32" s="1"/>
  <c r="N301" i="41"/>
  <c r="J301" i="41"/>
  <c r="F301" i="41"/>
  <c r="N300" i="41"/>
  <c r="J300" i="41"/>
  <c r="F300" i="41"/>
  <c r="N299" i="41"/>
  <c r="J299" i="41"/>
  <c r="F299" i="41"/>
  <c r="N298" i="41"/>
  <c r="J298" i="41"/>
  <c r="F298" i="41"/>
  <c r="N297" i="41"/>
  <c r="J297" i="41"/>
  <c r="F297" i="41"/>
  <c r="N296" i="41"/>
  <c r="J296" i="41"/>
  <c r="F296" i="41"/>
  <c r="N295" i="41"/>
  <c r="J295" i="41"/>
  <c r="F295" i="41"/>
  <c r="N294" i="41"/>
  <c r="J294" i="41"/>
  <c r="F294" i="41"/>
  <c r="N293" i="41"/>
  <c r="J293" i="41"/>
  <c r="F293" i="41"/>
  <c r="N292" i="41"/>
  <c r="J292" i="41"/>
  <c r="F292" i="41"/>
  <c r="N291" i="41"/>
  <c r="J291" i="41"/>
  <c r="F291" i="41"/>
  <c r="N290" i="41"/>
  <c r="J290" i="41"/>
  <c r="F290" i="41"/>
  <c r="N289" i="41"/>
  <c r="J289" i="41"/>
  <c r="F289" i="41"/>
  <c r="N288" i="41"/>
  <c r="J288" i="41"/>
  <c r="F288" i="41"/>
  <c r="N287" i="41"/>
  <c r="J287" i="41"/>
  <c r="F287" i="41"/>
  <c r="L281" i="41"/>
  <c r="K18" i="31" s="1"/>
  <c r="H281" i="41"/>
  <c r="G18" i="31" s="1"/>
  <c r="D281" i="41"/>
  <c r="C18" i="31" s="1"/>
  <c r="N280" i="41"/>
  <c r="J280" i="41"/>
  <c r="F280" i="41"/>
  <c r="N279" i="41"/>
  <c r="J279" i="41"/>
  <c r="F279" i="41"/>
  <c r="N278" i="41"/>
  <c r="J278" i="41"/>
  <c r="F278" i="41"/>
  <c r="N277" i="41"/>
  <c r="J277" i="41"/>
  <c r="F277" i="41"/>
  <c r="N276" i="41"/>
  <c r="J276" i="41"/>
  <c r="F276" i="41"/>
  <c r="N275" i="41"/>
  <c r="J275" i="41"/>
  <c r="F275" i="41"/>
  <c r="N274" i="41"/>
  <c r="J274" i="41"/>
  <c r="F274" i="41"/>
  <c r="N273" i="41"/>
  <c r="J273" i="41"/>
  <c r="F273" i="41"/>
  <c r="N272" i="41"/>
  <c r="J272" i="41"/>
  <c r="F272" i="41"/>
  <c r="N271" i="41"/>
  <c r="J271" i="41"/>
  <c r="F271" i="41"/>
  <c r="N270" i="41"/>
  <c r="J270" i="41"/>
  <c r="F270" i="41"/>
  <c r="N269" i="41"/>
  <c r="J269" i="41"/>
  <c r="F269" i="41"/>
  <c r="N268" i="41"/>
  <c r="J268" i="41"/>
  <c r="F268" i="41"/>
  <c r="N267" i="41"/>
  <c r="J267" i="41"/>
  <c r="F267" i="41"/>
  <c r="N266" i="41"/>
  <c r="J266" i="41"/>
  <c r="F266" i="41"/>
  <c r="L260" i="41"/>
  <c r="K18" i="30" s="1"/>
  <c r="H260" i="41"/>
  <c r="G18" i="30" s="1"/>
  <c r="D260" i="41"/>
  <c r="C18" i="30" s="1"/>
  <c r="N259" i="41"/>
  <c r="J259" i="41"/>
  <c r="F259" i="41"/>
  <c r="N258" i="41"/>
  <c r="J258" i="41"/>
  <c r="F258" i="41"/>
  <c r="N257" i="41"/>
  <c r="J257" i="41"/>
  <c r="F257" i="41"/>
  <c r="N256" i="41"/>
  <c r="J256" i="41"/>
  <c r="F256" i="41"/>
  <c r="N255" i="41"/>
  <c r="J255" i="41"/>
  <c r="F255" i="41"/>
  <c r="N254" i="41"/>
  <c r="J254" i="41"/>
  <c r="F254" i="41"/>
  <c r="N253" i="41"/>
  <c r="J253" i="41"/>
  <c r="F253" i="41"/>
  <c r="N252" i="41"/>
  <c r="J252" i="41"/>
  <c r="F252" i="41"/>
  <c r="N251" i="41"/>
  <c r="J251" i="41"/>
  <c r="F251" i="41"/>
  <c r="N250" i="41"/>
  <c r="J250" i="41"/>
  <c r="F250" i="41"/>
  <c r="N249" i="41"/>
  <c r="J249" i="41"/>
  <c r="F249" i="41"/>
  <c r="N248" i="41"/>
  <c r="J248" i="41"/>
  <c r="F248" i="41"/>
  <c r="N247" i="41"/>
  <c r="J247" i="41"/>
  <c r="F247" i="41"/>
  <c r="N246" i="41"/>
  <c r="J246" i="41"/>
  <c r="F246" i="41"/>
  <c r="N245" i="41"/>
  <c r="J245" i="41"/>
  <c r="F245" i="41"/>
  <c r="L239" i="41"/>
  <c r="K18" i="28" s="1"/>
  <c r="H239" i="41"/>
  <c r="G18" i="28" s="1"/>
  <c r="D239" i="41"/>
  <c r="C18" i="28" s="1"/>
  <c r="N238" i="41"/>
  <c r="J238" i="41"/>
  <c r="F238" i="41"/>
  <c r="N237" i="41"/>
  <c r="J237" i="41"/>
  <c r="F237" i="41"/>
  <c r="N236" i="41"/>
  <c r="J236" i="41"/>
  <c r="F236" i="41"/>
  <c r="N235" i="41"/>
  <c r="J235" i="41"/>
  <c r="F235" i="41"/>
  <c r="N234" i="41"/>
  <c r="J234" i="41"/>
  <c r="F234" i="41"/>
  <c r="N233" i="41"/>
  <c r="J233" i="41"/>
  <c r="F233" i="41"/>
  <c r="N232" i="41"/>
  <c r="J232" i="41"/>
  <c r="F232" i="41"/>
  <c r="N231" i="41"/>
  <c r="J231" i="41"/>
  <c r="F231" i="41"/>
  <c r="N230" i="41"/>
  <c r="J230" i="41"/>
  <c r="F230" i="41"/>
  <c r="N229" i="41"/>
  <c r="J229" i="41"/>
  <c r="F229" i="41"/>
  <c r="N228" i="41"/>
  <c r="J228" i="41"/>
  <c r="F228" i="41"/>
  <c r="N227" i="41"/>
  <c r="J227" i="41"/>
  <c r="F227" i="41"/>
  <c r="N226" i="41"/>
  <c r="J226" i="41"/>
  <c r="F226" i="41"/>
  <c r="N225" i="41"/>
  <c r="J225" i="41"/>
  <c r="F225" i="41"/>
  <c r="N224" i="41"/>
  <c r="J224" i="41"/>
  <c r="F224" i="41"/>
  <c r="L218" i="41"/>
  <c r="K18" i="27" s="1"/>
  <c r="H218" i="41"/>
  <c r="G18" i="27" s="1"/>
  <c r="D218" i="41"/>
  <c r="C18" i="27" s="1"/>
  <c r="N217" i="41"/>
  <c r="J217" i="41"/>
  <c r="F217" i="41"/>
  <c r="N216" i="41"/>
  <c r="J216" i="41"/>
  <c r="F216" i="41"/>
  <c r="N215" i="41"/>
  <c r="J215" i="41"/>
  <c r="F215" i="41"/>
  <c r="N214" i="41"/>
  <c r="J214" i="41"/>
  <c r="F214" i="41"/>
  <c r="N213" i="41"/>
  <c r="J213" i="41"/>
  <c r="F213" i="41"/>
  <c r="N212" i="41"/>
  <c r="J212" i="41"/>
  <c r="F212" i="41"/>
  <c r="N211" i="41"/>
  <c r="J211" i="41"/>
  <c r="F211" i="41"/>
  <c r="N210" i="41"/>
  <c r="J210" i="41"/>
  <c r="F210" i="41"/>
  <c r="N209" i="41"/>
  <c r="J209" i="41"/>
  <c r="F209" i="41"/>
  <c r="N208" i="41"/>
  <c r="J208" i="41"/>
  <c r="F208" i="41"/>
  <c r="N207" i="41"/>
  <c r="J207" i="41"/>
  <c r="F207" i="41"/>
  <c r="N206" i="41"/>
  <c r="J206" i="41"/>
  <c r="F206" i="41"/>
  <c r="N205" i="41"/>
  <c r="J205" i="41"/>
  <c r="F205" i="41"/>
  <c r="N204" i="41"/>
  <c r="J204" i="41"/>
  <c r="F204" i="41"/>
  <c r="N203" i="41"/>
  <c r="J203" i="41"/>
  <c r="F203" i="41"/>
  <c r="L197" i="41"/>
  <c r="K18" i="26" s="1"/>
  <c r="H197" i="41"/>
  <c r="G18" i="26" s="1"/>
  <c r="D197" i="41"/>
  <c r="C18" i="26" s="1"/>
  <c r="N196" i="41"/>
  <c r="J196" i="41"/>
  <c r="F196" i="41"/>
  <c r="N195" i="41"/>
  <c r="J195" i="41"/>
  <c r="F195" i="41"/>
  <c r="N194" i="41"/>
  <c r="J194" i="41"/>
  <c r="F194" i="41"/>
  <c r="N193" i="41"/>
  <c r="J193" i="41"/>
  <c r="F193" i="41"/>
  <c r="N192" i="41"/>
  <c r="J192" i="41"/>
  <c r="F192" i="41"/>
  <c r="N191" i="41"/>
  <c r="J191" i="41"/>
  <c r="F191" i="41"/>
  <c r="N190" i="41"/>
  <c r="J190" i="41"/>
  <c r="F190" i="41"/>
  <c r="N189" i="41"/>
  <c r="J189" i="41"/>
  <c r="F189" i="41"/>
  <c r="N188" i="41"/>
  <c r="J188" i="41"/>
  <c r="F188" i="41"/>
  <c r="N187" i="41"/>
  <c r="J187" i="41"/>
  <c r="F187" i="41"/>
  <c r="N186" i="41"/>
  <c r="J186" i="41"/>
  <c r="F186" i="41"/>
  <c r="N185" i="41"/>
  <c r="J185" i="41"/>
  <c r="F185" i="41"/>
  <c r="N184" i="41"/>
  <c r="J184" i="41"/>
  <c r="F184" i="41"/>
  <c r="N183" i="41"/>
  <c r="J183" i="41"/>
  <c r="F183" i="41"/>
  <c r="N182" i="41"/>
  <c r="J182" i="41"/>
  <c r="F182" i="41"/>
  <c r="L176" i="41"/>
  <c r="K18" i="25" s="1"/>
  <c r="H176" i="41"/>
  <c r="G18" i="25" s="1"/>
  <c r="D176" i="41"/>
  <c r="C18" i="25" s="1"/>
  <c r="N175" i="41"/>
  <c r="J175" i="41"/>
  <c r="F175" i="41"/>
  <c r="N174" i="41"/>
  <c r="J174" i="41"/>
  <c r="F174" i="41"/>
  <c r="N173" i="41"/>
  <c r="J173" i="41"/>
  <c r="F173" i="41"/>
  <c r="N172" i="41"/>
  <c r="J172" i="41"/>
  <c r="F172" i="41"/>
  <c r="N171" i="41"/>
  <c r="J171" i="41"/>
  <c r="F171" i="41"/>
  <c r="N170" i="41"/>
  <c r="J170" i="41"/>
  <c r="F170" i="41"/>
  <c r="N169" i="41"/>
  <c r="J169" i="41"/>
  <c r="F169" i="41"/>
  <c r="N168" i="41"/>
  <c r="J168" i="41"/>
  <c r="F168" i="41"/>
  <c r="N167" i="41"/>
  <c r="J167" i="41"/>
  <c r="F167" i="41"/>
  <c r="N166" i="41"/>
  <c r="J166" i="41"/>
  <c r="F166" i="41"/>
  <c r="N165" i="41"/>
  <c r="J165" i="41"/>
  <c r="F165" i="41"/>
  <c r="N164" i="41"/>
  <c r="J164" i="41"/>
  <c r="F164" i="41"/>
  <c r="N163" i="41"/>
  <c r="J163" i="41"/>
  <c r="F163" i="41"/>
  <c r="N162" i="41"/>
  <c r="J162" i="41"/>
  <c r="F162" i="41"/>
  <c r="N161" i="41"/>
  <c r="J161" i="41"/>
  <c r="F161" i="41"/>
  <c r="L155" i="41"/>
  <c r="K18" i="24" s="1"/>
  <c r="H155" i="41"/>
  <c r="G18" i="24" s="1"/>
  <c r="D155" i="41"/>
  <c r="C18" i="24" s="1"/>
  <c r="N154" i="41"/>
  <c r="J154" i="41"/>
  <c r="F154" i="41"/>
  <c r="N153" i="41"/>
  <c r="J153" i="41"/>
  <c r="F153" i="41"/>
  <c r="N152" i="41"/>
  <c r="J152" i="41"/>
  <c r="F152" i="41"/>
  <c r="N151" i="41"/>
  <c r="J151" i="41"/>
  <c r="F151" i="41"/>
  <c r="N150" i="41"/>
  <c r="J150" i="41"/>
  <c r="F150" i="41"/>
  <c r="N149" i="41"/>
  <c r="J149" i="41"/>
  <c r="F149" i="41"/>
  <c r="N148" i="41"/>
  <c r="J148" i="41"/>
  <c r="F148" i="41"/>
  <c r="N147" i="41"/>
  <c r="J147" i="41"/>
  <c r="F147" i="41"/>
  <c r="N146" i="41"/>
  <c r="J146" i="41"/>
  <c r="F146" i="41"/>
  <c r="N145" i="41"/>
  <c r="J145" i="41"/>
  <c r="F145" i="41"/>
  <c r="N144" i="41"/>
  <c r="J144" i="41"/>
  <c r="F144" i="41"/>
  <c r="N143" i="41"/>
  <c r="J143" i="41"/>
  <c r="F143" i="41"/>
  <c r="N142" i="41"/>
  <c r="J142" i="41"/>
  <c r="F142" i="41"/>
  <c r="N141" i="41"/>
  <c r="J141" i="41"/>
  <c r="F141" i="41"/>
  <c r="N140" i="41"/>
  <c r="J140" i="41"/>
  <c r="F140" i="41"/>
  <c r="L134" i="41"/>
  <c r="K18" i="23" s="1"/>
  <c r="H134" i="41"/>
  <c r="G18" i="23" s="1"/>
  <c r="D134" i="41"/>
  <c r="C18" i="23" s="1"/>
  <c r="N133" i="41"/>
  <c r="J133" i="41"/>
  <c r="F133" i="41"/>
  <c r="N132" i="41"/>
  <c r="J132" i="41"/>
  <c r="F132" i="41"/>
  <c r="N131" i="41"/>
  <c r="J131" i="41"/>
  <c r="F131" i="41"/>
  <c r="N130" i="41"/>
  <c r="J130" i="41"/>
  <c r="F130" i="41"/>
  <c r="N129" i="41"/>
  <c r="J129" i="41"/>
  <c r="F129" i="41"/>
  <c r="N128" i="41"/>
  <c r="J128" i="41"/>
  <c r="F128" i="41"/>
  <c r="N127" i="41"/>
  <c r="J127" i="41"/>
  <c r="F127" i="41"/>
  <c r="N126" i="41"/>
  <c r="J126" i="41"/>
  <c r="F126" i="41"/>
  <c r="N125" i="41"/>
  <c r="J125" i="41"/>
  <c r="F125" i="41"/>
  <c r="N124" i="41"/>
  <c r="J124" i="41"/>
  <c r="F124" i="41"/>
  <c r="N123" i="41"/>
  <c r="J123" i="41"/>
  <c r="F123" i="41"/>
  <c r="N122" i="41"/>
  <c r="J122" i="41"/>
  <c r="F122" i="41"/>
  <c r="N121" i="41"/>
  <c r="J121" i="41"/>
  <c r="F121" i="41"/>
  <c r="N120" i="41"/>
  <c r="J120" i="41"/>
  <c r="F120" i="41"/>
  <c r="N119" i="41"/>
  <c r="J119" i="41"/>
  <c r="F119" i="41"/>
  <c r="N99" i="41"/>
  <c r="N100" i="41"/>
  <c r="N101" i="41"/>
  <c r="N102" i="41"/>
  <c r="N103" i="41"/>
  <c r="N104" i="41"/>
  <c r="N105" i="41"/>
  <c r="N106" i="41"/>
  <c r="N107" i="41"/>
  <c r="N108" i="41"/>
  <c r="N109" i="41"/>
  <c r="N110" i="41"/>
  <c r="N111" i="41"/>
  <c r="N112" i="41"/>
  <c r="N98" i="41"/>
  <c r="J99" i="41"/>
  <c r="J100" i="41"/>
  <c r="J101" i="41"/>
  <c r="J102" i="41"/>
  <c r="J103" i="41"/>
  <c r="J104" i="41"/>
  <c r="J105" i="41"/>
  <c r="J106" i="41"/>
  <c r="J107" i="41"/>
  <c r="J108" i="41"/>
  <c r="J109" i="41"/>
  <c r="J110" i="41"/>
  <c r="J111" i="41"/>
  <c r="J112" i="41"/>
  <c r="J98" i="41"/>
  <c r="F99" i="41"/>
  <c r="F100" i="41"/>
  <c r="F101" i="41"/>
  <c r="F102" i="41"/>
  <c r="F103" i="41"/>
  <c r="F104" i="41"/>
  <c r="F105" i="41"/>
  <c r="F106" i="41"/>
  <c r="F107" i="41"/>
  <c r="F108" i="41"/>
  <c r="F109" i="41"/>
  <c r="F110" i="41"/>
  <c r="F111" i="41"/>
  <c r="F112" i="41"/>
  <c r="F98" i="41"/>
  <c r="L113" i="41"/>
  <c r="K18" i="22" s="1"/>
  <c r="H113" i="41"/>
  <c r="G18" i="22" s="1"/>
  <c r="D113" i="41"/>
  <c r="C18" i="22" s="1"/>
  <c r="N78" i="41"/>
  <c r="N79" i="41"/>
  <c r="N80" i="41"/>
  <c r="N81" i="41"/>
  <c r="N82" i="41"/>
  <c r="N83" i="41"/>
  <c r="N84" i="41"/>
  <c r="N85" i="41"/>
  <c r="N86" i="41"/>
  <c r="N87" i="41"/>
  <c r="N88" i="41"/>
  <c r="N89" i="41"/>
  <c r="N90" i="41"/>
  <c r="N91" i="41"/>
  <c r="N77" i="41"/>
  <c r="J78" i="41"/>
  <c r="J79" i="41"/>
  <c r="J80" i="41"/>
  <c r="J81" i="41"/>
  <c r="J82" i="41"/>
  <c r="J83" i="41"/>
  <c r="J84" i="41"/>
  <c r="J85" i="41"/>
  <c r="J86" i="41"/>
  <c r="J87" i="41"/>
  <c r="J88" i="41"/>
  <c r="J89" i="41"/>
  <c r="J90" i="41"/>
  <c r="J91" i="41"/>
  <c r="J77" i="41"/>
  <c r="F78" i="41"/>
  <c r="F79" i="41"/>
  <c r="F80" i="41"/>
  <c r="F81" i="41"/>
  <c r="F82" i="41"/>
  <c r="F83" i="41"/>
  <c r="F84" i="41"/>
  <c r="F85" i="41"/>
  <c r="F86" i="41"/>
  <c r="F87" i="41"/>
  <c r="F88" i="41"/>
  <c r="F89" i="41"/>
  <c r="F90" i="41"/>
  <c r="F91" i="41"/>
  <c r="F77" i="41"/>
  <c r="L92" i="41"/>
  <c r="K18" i="21" s="1"/>
  <c r="H92" i="41"/>
  <c r="G18" i="21" s="1"/>
  <c r="D92" i="41"/>
  <c r="C18" i="21" s="1"/>
  <c r="N57" i="41"/>
  <c r="N58" i="41"/>
  <c r="N59" i="41"/>
  <c r="N60" i="41"/>
  <c r="N61" i="41"/>
  <c r="N62" i="41"/>
  <c r="N63" i="41"/>
  <c r="N64" i="41"/>
  <c r="N65" i="41"/>
  <c r="N66" i="41"/>
  <c r="N67" i="41"/>
  <c r="N68" i="41"/>
  <c r="N69" i="41"/>
  <c r="N70" i="41"/>
  <c r="N56" i="41"/>
  <c r="J57" i="41"/>
  <c r="J58" i="41"/>
  <c r="J59" i="41"/>
  <c r="J60" i="41"/>
  <c r="J61" i="41"/>
  <c r="J62" i="41"/>
  <c r="J63" i="41"/>
  <c r="J64" i="41"/>
  <c r="J65" i="41"/>
  <c r="J66" i="41"/>
  <c r="J67" i="41"/>
  <c r="J68" i="41"/>
  <c r="J69" i="41"/>
  <c r="J70" i="41"/>
  <c r="J56" i="41"/>
  <c r="F57" i="41"/>
  <c r="F58" i="41"/>
  <c r="F59" i="41"/>
  <c r="F60" i="41"/>
  <c r="F61" i="41"/>
  <c r="F62" i="41"/>
  <c r="F63" i="41"/>
  <c r="F64" i="41"/>
  <c r="F65" i="41"/>
  <c r="F66" i="41"/>
  <c r="F67" i="41"/>
  <c r="F68" i="41"/>
  <c r="F69" i="41"/>
  <c r="F70" i="41"/>
  <c r="F56" i="41"/>
  <c r="L71" i="41"/>
  <c r="K18" i="20" s="1"/>
  <c r="H71" i="41"/>
  <c r="G18" i="20" s="1"/>
  <c r="D71" i="41"/>
  <c r="C18" i="20" s="1"/>
  <c r="N36" i="41"/>
  <c r="N37" i="41"/>
  <c r="N38" i="41"/>
  <c r="N39" i="41"/>
  <c r="N40" i="41"/>
  <c r="N41" i="41"/>
  <c r="N42" i="41"/>
  <c r="N43" i="41"/>
  <c r="N44" i="41"/>
  <c r="N45" i="41"/>
  <c r="N46" i="41"/>
  <c r="N47" i="41"/>
  <c r="N48" i="41"/>
  <c r="N49" i="41"/>
  <c r="N35" i="41"/>
  <c r="J36" i="41"/>
  <c r="J37" i="41"/>
  <c r="J38" i="41"/>
  <c r="J39" i="41"/>
  <c r="J40" i="41"/>
  <c r="J41" i="41"/>
  <c r="J42" i="41"/>
  <c r="J43" i="41"/>
  <c r="J44" i="41"/>
  <c r="J45" i="41"/>
  <c r="J46" i="41"/>
  <c r="J47" i="41"/>
  <c r="J48" i="41"/>
  <c r="J49" i="41"/>
  <c r="J35" i="41"/>
  <c r="F36" i="41"/>
  <c r="F37" i="41"/>
  <c r="F38" i="41"/>
  <c r="F39" i="41"/>
  <c r="F40" i="41"/>
  <c r="F41" i="41"/>
  <c r="F42" i="41"/>
  <c r="F43" i="41"/>
  <c r="F44" i="41"/>
  <c r="F45" i="41"/>
  <c r="F46" i="41"/>
  <c r="F47" i="41"/>
  <c r="F48" i="41"/>
  <c r="F49" i="41"/>
  <c r="F35" i="41"/>
  <c r="L50" i="41"/>
  <c r="K18" i="19" s="1"/>
  <c r="H50" i="41"/>
  <c r="G18" i="19" s="1"/>
  <c r="D50" i="41"/>
  <c r="C18" i="19" s="1"/>
  <c r="N15" i="41"/>
  <c r="N16" i="41"/>
  <c r="N17" i="41"/>
  <c r="N18" i="41"/>
  <c r="N19" i="41"/>
  <c r="N20" i="41"/>
  <c r="N21" i="41"/>
  <c r="N22" i="41"/>
  <c r="N23" i="41"/>
  <c r="N24" i="41"/>
  <c r="N25" i="41"/>
  <c r="N26" i="41"/>
  <c r="N27" i="41"/>
  <c r="N28" i="41"/>
  <c r="N14" i="41"/>
  <c r="J15" i="41"/>
  <c r="J16" i="41"/>
  <c r="J17" i="41"/>
  <c r="J18" i="41"/>
  <c r="J19" i="41"/>
  <c r="J20" i="41"/>
  <c r="J21" i="41"/>
  <c r="J22" i="41"/>
  <c r="J23" i="41"/>
  <c r="J24" i="41"/>
  <c r="J25" i="41"/>
  <c r="J26" i="41"/>
  <c r="J27" i="41"/>
  <c r="J28" i="41"/>
  <c r="J14" i="41"/>
  <c r="F15" i="41"/>
  <c r="F16" i="41"/>
  <c r="F17" i="41"/>
  <c r="F18" i="41"/>
  <c r="F19" i="41"/>
  <c r="F20" i="41"/>
  <c r="F21" i="41"/>
  <c r="F22" i="41"/>
  <c r="F23" i="41"/>
  <c r="F24" i="41"/>
  <c r="F25" i="41"/>
  <c r="F26" i="41"/>
  <c r="F27" i="41"/>
  <c r="F28" i="41"/>
  <c r="F14" i="41"/>
  <c r="L29" i="41"/>
  <c r="K20" i="15" s="1"/>
  <c r="H29" i="41"/>
  <c r="G20" i="15" s="1"/>
  <c r="D29" i="41"/>
  <c r="C20" i="15" s="1"/>
  <c r="Q57" i="28" l="1"/>
  <c r="M48" i="34"/>
  <c r="K52" i="36"/>
  <c r="M52" i="36" s="1"/>
  <c r="M55" i="36" s="1"/>
  <c r="I48" i="34"/>
  <c r="O53" i="31"/>
  <c r="Q53" i="31" s="1"/>
  <c r="Q56" i="31" s="1"/>
  <c r="O53" i="19"/>
  <c r="Q53" i="19" s="1"/>
  <c r="Q56" i="19" s="1"/>
  <c r="O52" i="19"/>
  <c r="Q52" i="19" s="1"/>
  <c r="Q55" i="19" s="1"/>
  <c r="Q57" i="19" s="1"/>
  <c r="I57" i="28"/>
  <c r="G53" i="39"/>
  <c r="I53" i="39" s="1"/>
  <c r="I56" i="39" s="1"/>
  <c r="I57" i="39" s="1"/>
  <c r="I57" i="24"/>
  <c r="O52" i="22"/>
  <c r="Q52" i="22" s="1"/>
  <c r="Q55" i="22" s="1"/>
  <c r="Q48" i="34"/>
  <c r="I46" i="40"/>
  <c r="I49" i="40" s="1"/>
  <c r="O55" i="15"/>
  <c r="Q55" i="15" s="1"/>
  <c r="Q58" i="15" s="1"/>
  <c r="Q54" i="30"/>
  <c r="O52" i="30"/>
  <c r="Q52" i="30" s="1"/>
  <c r="Q55" i="30" s="1"/>
  <c r="Q49" i="40"/>
  <c r="O53" i="30"/>
  <c r="Q53" i="30" s="1"/>
  <c r="Q56" i="30" s="1"/>
  <c r="O52" i="31"/>
  <c r="Q52" i="31" s="1"/>
  <c r="Q55" i="31" s="1"/>
  <c r="Q57" i="31" s="1"/>
  <c r="Q58" i="29"/>
  <c r="Q57" i="38"/>
  <c r="K53" i="36"/>
  <c r="M53" i="36" s="1"/>
  <c r="M48" i="40" s="1"/>
  <c r="M51" i="40" s="1"/>
  <c r="M46" i="40"/>
  <c r="M49" i="40" s="1"/>
  <c r="I57" i="37"/>
  <c r="O53" i="22"/>
  <c r="Q53" i="22" s="1"/>
  <c r="Q56" i="22" s="1"/>
  <c r="O51" i="20"/>
  <c r="Q56" i="15"/>
  <c r="O54" i="15"/>
  <c r="Q54" i="15" s="1"/>
  <c r="Q57" i="15" s="1"/>
  <c r="M59" i="15"/>
  <c r="K51" i="19"/>
  <c r="I57" i="26"/>
  <c r="I49" i="29"/>
  <c r="Q31" i="29"/>
  <c r="O39" i="15"/>
  <c r="Q39" i="15" s="1"/>
  <c r="Q42" i="15" s="1"/>
  <c r="Q71" i="25"/>
  <c r="Q59" i="40"/>
  <c r="Q62" i="40" s="1"/>
  <c r="M57" i="23"/>
  <c r="Q57" i="23"/>
  <c r="Q57" i="37"/>
  <c r="Q57" i="25"/>
  <c r="I57" i="19"/>
  <c r="I57" i="38"/>
  <c r="I57" i="22"/>
  <c r="I57" i="23"/>
  <c r="M57" i="21"/>
  <c r="M57" i="26"/>
  <c r="M57" i="20"/>
  <c r="Q55" i="36"/>
  <c r="Q47" i="40"/>
  <c r="Q50" i="40" s="1"/>
  <c r="E46" i="29"/>
  <c r="E49" i="29" s="1"/>
  <c r="M56" i="36"/>
  <c r="Q56" i="36"/>
  <c r="Q48" i="40"/>
  <c r="Q51" i="40" s="1"/>
  <c r="I55" i="36"/>
  <c r="I47" i="40"/>
  <c r="I50" i="40" s="1"/>
  <c r="I57" i="27"/>
  <c r="I57" i="20"/>
  <c r="M57" i="28"/>
  <c r="I56" i="36"/>
  <c r="Q57" i="32"/>
  <c r="I57" i="32"/>
  <c r="E45" i="34"/>
  <c r="E48" i="34" s="1"/>
  <c r="I57" i="30"/>
  <c r="I46" i="34"/>
  <c r="I49" i="34" s="1"/>
  <c r="M46" i="34"/>
  <c r="M49" i="34" s="1"/>
  <c r="I47" i="34"/>
  <c r="I50" i="34" s="1"/>
  <c r="M47" i="34"/>
  <c r="M50" i="34" s="1"/>
  <c r="Q47" i="34"/>
  <c r="Q50" i="34" s="1"/>
  <c r="I57" i="21"/>
  <c r="Q57" i="21"/>
  <c r="I47" i="29"/>
  <c r="I50" i="29" s="1"/>
  <c r="I48" i="29"/>
  <c r="I51" i="29" s="1"/>
  <c r="I57" i="31"/>
  <c r="M57" i="31"/>
  <c r="M57" i="30"/>
  <c r="Q57" i="27"/>
  <c r="M57" i="27"/>
  <c r="Q57" i="26"/>
  <c r="I57" i="25"/>
  <c r="M57" i="25"/>
  <c r="M57" i="24"/>
  <c r="Q57" i="24"/>
  <c r="I59" i="15"/>
  <c r="M57" i="39"/>
  <c r="Q57" i="39"/>
  <c r="M57" i="38"/>
  <c r="M57" i="37"/>
  <c r="O37" i="23"/>
  <c r="Q37" i="23" s="1"/>
  <c r="Q40" i="23" s="1"/>
  <c r="O39" i="25"/>
  <c r="Q39" i="25" s="1"/>
  <c r="Q42" i="25" s="1"/>
  <c r="O14" i="34"/>
  <c r="O66" i="31"/>
  <c r="Q66" i="31" s="1"/>
  <c r="Q69" i="31" s="1"/>
  <c r="C52" i="24"/>
  <c r="E52" i="24" s="1"/>
  <c r="E55" i="24" s="1"/>
  <c r="O39" i="36"/>
  <c r="Q39" i="36" s="1"/>
  <c r="O39" i="32"/>
  <c r="Q39" i="32" s="1"/>
  <c r="Q42" i="32" s="1"/>
  <c r="M39" i="53"/>
  <c r="O66" i="32"/>
  <c r="Q66" i="32" s="1"/>
  <c r="Q69" i="32" s="1"/>
  <c r="O66" i="38"/>
  <c r="Q66" i="38" s="1"/>
  <c r="Q69" i="38" s="1"/>
  <c r="O66" i="27"/>
  <c r="Q66" i="27" s="1"/>
  <c r="Q69" i="27" s="1"/>
  <c r="O66" i="26"/>
  <c r="Q66" i="26" s="1"/>
  <c r="Q69" i="26" s="1"/>
  <c r="O66" i="24"/>
  <c r="Q66" i="24" s="1"/>
  <c r="Q69" i="24" s="1"/>
  <c r="Q71" i="24" s="1"/>
  <c r="O66" i="36"/>
  <c r="O66" i="39"/>
  <c r="Q66" i="39" s="1"/>
  <c r="Q69" i="39" s="1"/>
  <c r="O38" i="39"/>
  <c r="Q38" i="39" s="1"/>
  <c r="Q41" i="39" s="1"/>
  <c r="Q43" i="39" s="1"/>
  <c r="O38" i="31"/>
  <c r="Q38" i="31" s="1"/>
  <c r="Q41" i="31" s="1"/>
  <c r="O38" i="36"/>
  <c r="Q38" i="36" s="1"/>
  <c r="O38" i="28"/>
  <c r="Q38" i="28" s="1"/>
  <c r="Q41" i="28" s="1"/>
  <c r="O38" i="26"/>
  <c r="Q38" i="26" s="1"/>
  <c r="Q41" i="26" s="1"/>
  <c r="O38" i="38"/>
  <c r="Q38" i="38" s="1"/>
  <c r="Q41" i="38" s="1"/>
  <c r="O38" i="37"/>
  <c r="O38" i="24"/>
  <c r="Q38" i="24" s="1"/>
  <c r="Q41" i="24" s="1"/>
  <c r="O38" i="27"/>
  <c r="Q38" i="27" s="1"/>
  <c r="Q41" i="27" s="1"/>
  <c r="C52" i="19"/>
  <c r="E52" i="19" s="1"/>
  <c r="E55" i="19" s="1"/>
  <c r="C52" i="30"/>
  <c r="E52" i="30" s="1"/>
  <c r="E55" i="30" s="1"/>
  <c r="C52" i="27"/>
  <c r="E52" i="27" s="1"/>
  <c r="E55" i="27" s="1"/>
  <c r="E57" i="27" s="1"/>
  <c r="C52" i="38"/>
  <c r="E52" i="38" s="1"/>
  <c r="E55" i="38" s="1"/>
  <c r="C52" i="31"/>
  <c r="E52" i="31" s="1"/>
  <c r="E55" i="31" s="1"/>
  <c r="C52" i="28"/>
  <c r="E52" i="28" s="1"/>
  <c r="E55" i="28" s="1"/>
  <c r="E57" i="28" s="1"/>
  <c r="C52" i="36"/>
  <c r="E52" i="36" s="1"/>
  <c r="C52" i="23"/>
  <c r="E52" i="23" s="1"/>
  <c r="E55" i="23" s="1"/>
  <c r="C14" i="40"/>
  <c r="O14" i="29"/>
  <c r="E49" i="40"/>
  <c r="C53" i="39"/>
  <c r="E53" i="39" s="1"/>
  <c r="E56" i="39" s="1"/>
  <c r="E57" i="39" s="1"/>
  <c r="O67" i="39"/>
  <c r="Q67" i="39" s="1"/>
  <c r="Q70" i="39" s="1"/>
  <c r="C53" i="38"/>
  <c r="E53" i="38" s="1"/>
  <c r="E56" i="38" s="1"/>
  <c r="O39" i="38"/>
  <c r="Q39" i="38" s="1"/>
  <c r="Q42" i="38" s="1"/>
  <c r="O67" i="38"/>
  <c r="Q67" i="38" s="1"/>
  <c r="Q70" i="38" s="1"/>
  <c r="C53" i="37"/>
  <c r="E53" i="37" s="1"/>
  <c r="E56" i="37" s="1"/>
  <c r="E57" i="37" s="1"/>
  <c r="O39" i="37"/>
  <c r="Q39" i="37" s="1"/>
  <c r="Q42" i="37" s="1"/>
  <c r="K14" i="40"/>
  <c r="G14" i="40"/>
  <c r="O67" i="36"/>
  <c r="Q67" i="36" s="1"/>
  <c r="C53" i="36"/>
  <c r="E53" i="36" s="1"/>
  <c r="C52" i="32"/>
  <c r="E52" i="32" s="1"/>
  <c r="E55" i="32" s="1"/>
  <c r="O39" i="31"/>
  <c r="Q39" i="31" s="1"/>
  <c r="Q42" i="31" s="1"/>
  <c r="C14" i="34"/>
  <c r="G14" i="34"/>
  <c r="K14" i="34"/>
  <c r="C53" i="26"/>
  <c r="E53" i="26" s="1"/>
  <c r="E56" i="26" s="1"/>
  <c r="E57" i="26" s="1"/>
  <c r="C53" i="25"/>
  <c r="E53" i="25" s="1"/>
  <c r="E56" i="25" s="1"/>
  <c r="E57" i="25" s="1"/>
  <c r="C53" i="24"/>
  <c r="E53" i="24" s="1"/>
  <c r="E56" i="24" s="1"/>
  <c r="C53" i="23"/>
  <c r="E53" i="23" s="1"/>
  <c r="E56" i="23" s="1"/>
  <c r="C53" i="22"/>
  <c r="E53" i="22" s="1"/>
  <c r="E56" i="22" s="1"/>
  <c r="E57" i="22" s="1"/>
  <c r="C53" i="21"/>
  <c r="E53" i="21" s="1"/>
  <c r="E56" i="21" s="1"/>
  <c r="E57" i="21" s="1"/>
  <c r="O37" i="21"/>
  <c r="Q37" i="21" s="1"/>
  <c r="Q40" i="21" s="1"/>
  <c r="C53" i="19"/>
  <c r="E53" i="19" s="1"/>
  <c r="E56" i="19" s="1"/>
  <c r="C52" i="20"/>
  <c r="E52" i="20" s="1"/>
  <c r="E55" i="20" s="1"/>
  <c r="O67" i="27"/>
  <c r="Q67" i="27" s="1"/>
  <c r="Q70" i="27" s="1"/>
  <c r="O60" i="21"/>
  <c r="O65" i="21"/>
  <c r="Q65" i="21" s="1"/>
  <c r="Q68" i="21" s="1"/>
  <c r="O60" i="20"/>
  <c r="O60" i="19"/>
  <c r="O39" i="26"/>
  <c r="Q39" i="26" s="1"/>
  <c r="Q42" i="26" s="1"/>
  <c r="F323" i="41"/>
  <c r="E18" i="36" s="1"/>
  <c r="F365" i="41"/>
  <c r="E18" i="38" s="1"/>
  <c r="N344" i="41"/>
  <c r="M18" i="37" s="1"/>
  <c r="J344" i="41"/>
  <c r="I18" i="37" s="1"/>
  <c r="J365" i="41"/>
  <c r="I18" i="38" s="1"/>
  <c r="J323" i="41"/>
  <c r="I18" i="36" s="1"/>
  <c r="N365" i="41"/>
  <c r="M18" i="38" s="1"/>
  <c r="F344" i="41"/>
  <c r="E18" i="37" s="1"/>
  <c r="F281" i="41"/>
  <c r="E18" i="31" s="1"/>
  <c r="N218" i="41"/>
  <c r="M18" i="27" s="1"/>
  <c r="F302" i="41"/>
  <c r="E18" i="32" s="1"/>
  <c r="R113" i="41"/>
  <c r="Q18" i="22" s="1"/>
  <c r="O21" i="22" s="1"/>
  <c r="Q21" i="22" s="1"/>
  <c r="R155" i="41"/>
  <c r="Q18" i="24" s="1"/>
  <c r="O21" i="24" s="1"/>
  <c r="Q21" i="24" s="1"/>
  <c r="R176" i="41"/>
  <c r="Q18" i="25" s="1"/>
  <c r="O21" i="25" s="1"/>
  <c r="Q21" i="25" s="1"/>
  <c r="R197" i="41"/>
  <c r="Q18" i="26" s="1"/>
  <c r="O21" i="26" s="1"/>
  <c r="Q21" i="26" s="1"/>
  <c r="R218" i="41"/>
  <c r="Q18" i="27" s="1"/>
  <c r="O21" i="27" s="1"/>
  <c r="Q21" i="27" s="1"/>
  <c r="R239" i="41"/>
  <c r="Q18" i="28" s="1"/>
  <c r="O21" i="28" s="1"/>
  <c r="Q21" i="28" s="1"/>
  <c r="R260" i="41"/>
  <c r="Q18" i="30" s="1"/>
  <c r="R302" i="41"/>
  <c r="Q18" i="32" s="1"/>
  <c r="O21" i="32" s="1"/>
  <c r="Q21" i="32" s="1"/>
  <c r="R323" i="41"/>
  <c r="Q18" i="36" s="1"/>
  <c r="R344" i="41"/>
  <c r="Q18" i="37" s="1"/>
  <c r="O21" i="37" s="1"/>
  <c r="Q21" i="37" s="1"/>
  <c r="R365" i="41"/>
  <c r="Q18" i="38" s="1"/>
  <c r="O21" i="38" s="1"/>
  <c r="Q21" i="38" s="1"/>
  <c r="R386" i="41"/>
  <c r="Q18" i="39" s="1"/>
  <c r="O21" i="39" s="1"/>
  <c r="Q21" i="39" s="1"/>
  <c r="N323" i="41"/>
  <c r="M18" i="36" s="1"/>
  <c r="O62" i="15"/>
  <c r="O48" i="15"/>
  <c r="O39" i="27"/>
  <c r="Q39" i="27" s="1"/>
  <c r="Q42" i="27" s="1"/>
  <c r="C14" i="29"/>
  <c r="O67" i="26"/>
  <c r="Q67" i="26" s="1"/>
  <c r="Q70" i="26" s="1"/>
  <c r="O67" i="23"/>
  <c r="Q67" i="23" s="1"/>
  <c r="Q70" i="23" s="1"/>
  <c r="O67" i="22"/>
  <c r="Q67" i="22" s="1"/>
  <c r="Q70" i="22" s="1"/>
  <c r="O39" i="22"/>
  <c r="Q39" i="22" s="1"/>
  <c r="Q42" i="22" s="1"/>
  <c r="O65" i="20"/>
  <c r="Q65" i="20" s="1"/>
  <c r="Q68" i="20" s="1"/>
  <c r="O37" i="20"/>
  <c r="Q37" i="20" s="1"/>
  <c r="Q40" i="20" s="1"/>
  <c r="O65" i="19"/>
  <c r="Q65" i="19" s="1"/>
  <c r="Q68" i="19" s="1"/>
  <c r="G14" i="29"/>
  <c r="K14" i="29"/>
  <c r="O67" i="15"/>
  <c r="Q67" i="15" s="1"/>
  <c r="Q70" i="15" s="1"/>
  <c r="R281" i="41"/>
  <c r="Q18" i="31" s="1"/>
  <c r="O21" i="31" s="1"/>
  <c r="Q21" i="31" s="1"/>
  <c r="R71" i="41"/>
  <c r="Q18" i="20" s="1"/>
  <c r="O21" i="20" s="1"/>
  <c r="Q21" i="20" s="1"/>
  <c r="R29" i="41"/>
  <c r="Q20" i="15" s="1"/>
  <c r="R50" i="41"/>
  <c r="Q18" i="19" s="1"/>
  <c r="O21" i="19" s="1"/>
  <c r="Q21" i="19" s="1"/>
  <c r="R92" i="41"/>
  <c r="Q18" i="21" s="1"/>
  <c r="O21" i="21" s="1"/>
  <c r="Q21" i="21" s="1"/>
  <c r="R134" i="41"/>
  <c r="Q18" i="23" s="1"/>
  <c r="O21" i="23" s="1"/>
  <c r="Q21" i="23" s="1"/>
  <c r="F386" i="41"/>
  <c r="E18" i="39" s="1"/>
  <c r="N386" i="41"/>
  <c r="M18" i="39" s="1"/>
  <c r="J386" i="41"/>
  <c r="I18" i="39" s="1"/>
  <c r="N302" i="41"/>
  <c r="M18" i="32" s="1"/>
  <c r="J302" i="41"/>
  <c r="I18" i="32" s="1"/>
  <c r="J281" i="41"/>
  <c r="I18" i="31" s="1"/>
  <c r="N281" i="41"/>
  <c r="M18" i="31" s="1"/>
  <c r="N260" i="41"/>
  <c r="M18" i="30" s="1"/>
  <c r="F260" i="41"/>
  <c r="E18" i="30" s="1"/>
  <c r="J260" i="41"/>
  <c r="I18" i="30" s="1"/>
  <c r="F239" i="41"/>
  <c r="E18" i="28" s="1"/>
  <c r="J239" i="41"/>
  <c r="I18" i="28" s="1"/>
  <c r="N239" i="41"/>
  <c r="M18" i="28" s="1"/>
  <c r="N176" i="41"/>
  <c r="M18" i="25" s="1"/>
  <c r="J134" i="41"/>
  <c r="I18" i="23" s="1"/>
  <c r="N134" i="41"/>
  <c r="M18" i="23" s="1"/>
  <c r="F155" i="41"/>
  <c r="E18" i="24" s="1"/>
  <c r="J197" i="41"/>
  <c r="I18" i="26" s="1"/>
  <c r="F197" i="41"/>
  <c r="E18" i="26" s="1"/>
  <c r="N197" i="41"/>
  <c r="M18" i="26" s="1"/>
  <c r="F218" i="41"/>
  <c r="E18" i="27" s="1"/>
  <c r="F134" i="41"/>
  <c r="E18" i="23" s="1"/>
  <c r="J155" i="41"/>
  <c r="I18" i="24" s="1"/>
  <c r="J176" i="41"/>
  <c r="I18" i="25" s="1"/>
  <c r="N155" i="41"/>
  <c r="M18" i="24" s="1"/>
  <c r="F176" i="41"/>
  <c r="E18" i="25" s="1"/>
  <c r="J218" i="41"/>
  <c r="I18" i="27" s="1"/>
  <c r="N113" i="41"/>
  <c r="M18" i="22" s="1"/>
  <c r="J113" i="41"/>
  <c r="I18" i="22" s="1"/>
  <c r="F113" i="41"/>
  <c r="E18" i="22" s="1"/>
  <c r="J92" i="41"/>
  <c r="I18" i="21" s="1"/>
  <c r="F92" i="41"/>
  <c r="E18" i="21" s="1"/>
  <c r="N92" i="41"/>
  <c r="M18" i="21" s="1"/>
  <c r="N71" i="41"/>
  <c r="M18" i="20" s="1"/>
  <c r="F71" i="41"/>
  <c r="E18" i="20" s="1"/>
  <c r="J71" i="41"/>
  <c r="I18" i="20" s="1"/>
  <c r="N50" i="41"/>
  <c r="M18" i="19" s="1"/>
  <c r="J50" i="41"/>
  <c r="I18" i="19" s="1"/>
  <c r="F50" i="41"/>
  <c r="E18" i="19" s="1"/>
  <c r="N29" i="41"/>
  <c r="M20" i="15" s="1"/>
  <c r="J29" i="41"/>
  <c r="I20" i="15" s="1"/>
  <c r="F29" i="41"/>
  <c r="E20" i="15" s="1"/>
  <c r="M47" i="40" l="1"/>
  <c r="M50" i="40" s="1"/>
  <c r="M52" i="40" s="1"/>
  <c r="I48" i="40"/>
  <c r="I51" i="40" s="1"/>
  <c r="Q57" i="30"/>
  <c r="Q57" i="22"/>
  <c r="Q59" i="15"/>
  <c r="Q52" i="40"/>
  <c r="Q46" i="34"/>
  <c r="Q49" i="34" s="1"/>
  <c r="I52" i="40"/>
  <c r="I57" i="36"/>
  <c r="Q51" i="20"/>
  <c r="O53" i="20" s="1"/>
  <c r="Q53" i="20" s="1"/>
  <c r="M51" i="19"/>
  <c r="K53" i="19" s="1"/>
  <c r="M53" i="19" s="1"/>
  <c r="K52" i="19"/>
  <c r="M52" i="19" s="1"/>
  <c r="Q70" i="36"/>
  <c r="E55" i="36"/>
  <c r="E47" i="40"/>
  <c r="E50" i="40" s="1"/>
  <c r="Q71" i="39"/>
  <c r="I52" i="29"/>
  <c r="Q57" i="36"/>
  <c r="Q42" i="36"/>
  <c r="Q34" i="40"/>
  <c r="Q37" i="40" s="1"/>
  <c r="Q71" i="26"/>
  <c r="Q41" i="36"/>
  <c r="Q71" i="38"/>
  <c r="E57" i="19"/>
  <c r="E56" i="36"/>
  <c r="E48" i="40"/>
  <c r="E51" i="40" s="1"/>
  <c r="M57" i="36"/>
  <c r="Q71" i="31"/>
  <c r="I51" i="34"/>
  <c r="E57" i="31"/>
  <c r="Q59" i="29"/>
  <c r="Q62" i="29" s="1"/>
  <c r="Q71" i="27"/>
  <c r="E57" i="24"/>
  <c r="E57" i="23"/>
  <c r="E57" i="38"/>
  <c r="Q43" i="38"/>
  <c r="Q38" i="37"/>
  <c r="Q41" i="37" s="1"/>
  <c r="Q43" i="37" s="1"/>
  <c r="Q66" i="36"/>
  <c r="Q43" i="28"/>
  <c r="Q43" i="27"/>
  <c r="Q43" i="26"/>
  <c r="Q43" i="25"/>
  <c r="Q43" i="24"/>
  <c r="Q43" i="32"/>
  <c r="O66" i="37"/>
  <c r="Q66" i="37" s="1"/>
  <c r="Q69" i="37" s="1"/>
  <c r="Q71" i="32"/>
  <c r="O66" i="22"/>
  <c r="Q66" i="22" s="1"/>
  <c r="Q69" i="22" s="1"/>
  <c r="Q71" i="22" s="1"/>
  <c r="O66" i="28"/>
  <c r="Q66" i="28" s="1"/>
  <c r="Q69" i="28" s="1"/>
  <c r="O66" i="23"/>
  <c r="Q66" i="23" s="1"/>
  <c r="Q69" i="23" s="1"/>
  <c r="Q71" i="23" s="1"/>
  <c r="O38" i="22"/>
  <c r="Q38" i="22" s="1"/>
  <c r="Q41" i="22" s="1"/>
  <c r="O38" i="23"/>
  <c r="Q43" i="31"/>
  <c r="C54" i="15"/>
  <c r="E54" i="15" s="1"/>
  <c r="O22" i="21"/>
  <c r="Q22" i="21" s="1"/>
  <c r="O22" i="19"/>
  <c r="Q22" i="19" s="1"/>
  <c r="O22" i="25"/>
  <c r="Q22" i="25" s="1"/>
  <c r="O21" i="36"/>
  <c r="Q21" i="36" s="1"/>
  <c r="Q17" i="40" s="1"/>
  <c r="Q14" i="40"/>
  <c r="O22" i="23"/>
  <c r="Q22" i="23" s="1"/>
  <c r="O22" i="32"/>
  <c r="Q22" i="32" s="1"/>
  <c r="O22" i="38"/>
  <c r="Q22" i="38" s="1"/>
  <c r="Q14" i="34"/>
  <c r="O22" i="22"/>
  <c r="Q22" i="22" s="1"/>
  <c r="O22" i="28"/>
  <c r="Q22" i="28" s="1"/>
  <c r="O22" i="24"/>
  <c r="Q22" i="24" s="1"/>
  <c r="Q14" i="29"/>
  <c r="O23" i="15"/>
  <c r="O22" i="27"/>
  <c r="Q22" i="27" s="1"/>
  <c r="O22" i="31"/>
  <c r="Q22" i="31" s="1"/>
  <c r="O22" i="37"/>
  <c r="Q22" i="37" s="1"/>
  <c r="O22" i="20"/>
  <c r="Q22" i="20" s="1"/>
  <c r="O22" i="39"/>
  <c r="Q22" i="39" s="1"/>
  <c r="O22" i="26"/>
  <c r="Q22" i="26" s="1"/>
  <c r="O67" i="37"/>
  <c r="Q67" i="37" s="1"/>
  <c r="Q70" i="37" s="1"/>
  <c r="C53" i="32"/>
  <c r="E53" i="32" s="1"/>
  <c r="E56" i="32" s="1"/>
  <c r="C55" i="15"/>
  <c r="E55" i="15" s="1"/>
  <c r="E58" i="15" s="1"/>
  <c r="C53" i="20"/>
  <c r="E53" i="20" s="1"/>
  <c r="E56" i="20" s="1"/>
  <c r="E57" i="20" s="1"/>
  <c r="M14" i="29"/>
  <c r="M14" i="34"/>
  <c r="E14" i="29"/>
  <c r="I14" i="29"/>
  <c r="E14" i="34"/>
  <c r="I14" i="40"/>
  <c r="M14" i="40"/>
  <c r="I14" i="34"/>
  <c r="E14" i="40"/>
  <c r="O67" i="28"/>
  <c r="Q67" i="28" s="1"/>
  <c r="Q70" i="28" s="1"/>
  <c r="O39" i="23"/>
  <c r="Q39" i="23" s="1"/>
  <c r="Q42" i="23" s="1"/>
  <c r="O67" i="20"/>
  <c r="Q67" i="20" s="1"/>
  <c r="Q70" i="20" s="1"/>
  <c r="O39" i="20"/>
  <c r="Q39" i="20" s="1"/>
  <c r="Q42" i="20" s="1"/>
  <c r="O67" i="19"/>
  <c r="Q67" i="19" s="1"/>
  <c r="Q70" i="19" s="1"/>
  <c r="O37" i="19"/>
  <c r="Q37" i="19" s="1"/>
  <c r="Q40" i="19" s="1"/>
  <c r="C1" i="15"/>
  <c r="B34" i="40"/>
  <c r="B33" i="40"/>
  <c r="B32" i="40"/>
  <c r="B31" i="40"/>
  <c r="K28" i="40"/>
  <c r="G28" i="40"/>
  <c r="C28" i="40"/>
  <c r="B27" i="40"/>
  <c r="B54" i="40" s="1"/>
  <c r="B67" i="40" s="1"/>
  <c r="B21" i="40"/>
  <c r="B20" i="40"/>
  <c r="B19" i="40"/>
  <c r="B18" i="40"/>
  <c r="B17" i="40"/>
  <c r="M56" i="34"/>
  <c r="I56" i="34"/>
  <c r="E56" i="34"/>
  <c r="M30" i="34"/>
  <c r="I30" i="34"/>
  <c r="E30" i="34"/>
  <c r="K28" i="34"/>
  <c r="G28" i="34"/>
  <c r="C28" i="34"/>
  <c r="B34" i="34"/>
  <c r="B33" i="34"/>
  <c r="B32" i="34"/>
  <c r="B31" i="34"/>
  <c r="B27" i="34"/>
  <c r="B53" i="34" s="1"/>
  <c r="B66" i="34" s="1"/>
  <c r="B21" i="34"/>
  <c r="B20" i="34"/>
  <c r="B19" i="34"/>
  <c r="B18" i="34"/>
  <c r="B17" i="34"/>
  <c r="K64" i="39"/>
  <c r="M64" i="39" s="1"/>
  <c r="G64" i="39"/>
  <c r="I64" i="39" s="1"/>
  <c r="C64" i="39"/>
  <c r="E64" i="39" s="1"/>
  <c r="L39" i="39"/>
  <c r="H39" i="39"/>
  <c r="D39" i="39"/>
  <c r="B39" i="39"/>
  <c r="L38" i="39"/>
  <c r="H38" i="39"/>
  <c r="D38" i="39"/>
  <c r="B38" i="39"/>
  <c r="L37" i="39"/>
  <c r="H37" i="39"/>
  <c r="D37" i="39"/>
  <c r="B37" i="39"/>
  <c r="L36" i="39"/>
  <c r="K36" i="39"/>
  <c r="H36" i="39"/>
  <c r="G36" i="39"/>
  <c r="D36" i="39"/>
  <c r="C36" i="39"/>
  <c r="B36" i="39"/>
  <c r="K32" i="39"/>
  <c r="G32" i="39"/>
  <c r="C32" i="39"/>
  <c r="B31" i="39"/>
  <c r="L25" i="39"/>
  <c r="H25" i="39"/>
  <c r="D25" i="39"/>
  <c r="B25" i="39"/>
  <c r="L24" i="39"/>
  <c r="H24" i="39"/>
  <c r="D24" i="39"/>
  <c r="B24" i="39"/>
  <c r="L23" i="39"/>
  <c r="H23" i="39"/>
  <c r="D23" i="39"/>
  <c r="B23" i="39"/>
  <c r="L22" i="39"/>
  <c r="H22" i="39"/>
  <c r="D22" i="39"/>
  <c r="B22" i="39"/>
  <c r="L21" i="39"/>
  <c r="H21" i="39"/>
  <c r="D21" i="39"/>
  <c r="B21" i="39"/>
  <c r="K64" i="38"/>
  <c r="M64" i="38" s="1"/>
  <c r="G64" i="38"/>
  <c r="I64" i="38" s="1"/>
  <c r="C64" i="38"/>
  <c r="E64" i="38" s="1"/>
  <c r="L39" i="38"/>
  <c r="H39" i="38"/>
  <c r="D39" i="38"/>
  <c r="B39" i="38"/>
  <c r="L38" i="38"/>
  <c r="H38" i="38"/>
  <c r="D38" i="38"/>
  <c r="B38" i="38"/>
  <c r="L37" i="38"/>
  <c r="H37" i="38"/>
  <c r="D37" i="38"/>
  <c r="B37" i="38"/>
  <c r="L36" i="38"/>
  <c r="K36" i="38"/>
  <c r="H36" i="38"/>
  <c r="G36" i="38"/>
  <c r="D36" i="38"/>
  <c r="C36" i="38"/>
  <c r="E36" i="38" s="1"/>
  <c r="B36" i="38"/>
  <c r="K32" i="38"/>
  <c r="G32" i="38"/>
  <c r="C32" i="38"/>
  <c r="B31" i="38"/>
  <c r="L25" i="38"/>
  <c r="H25" i="38"/>
  <c r="D25" i="38"/>
  <c r="B25" i="38"/>
  <c r="L24" i="38"/>
  <c r="H24" i="38"/>
  <c r="D24" i="38"/>
  <c r="B24" i="38"/>
  <c r="L23" i="38"/>
  <c r="H23" i="38"/>
  <c r="D23" i="38"/>
  <c r="B23" i="38"/>
  <c r="L22" i="38"/>
  <c r="H22" i="38"/>
  <c r="D22" i="38"/>
  <c r="B22" i="38"/>
  <c r="L21" i="38"/>
  <c r="H21" i="38"/>
  <c r="D21" i="38"/>
  <c r="B21" i="38"/>
  <c r="K64" i="37"/>
  <c r="M64" i="37" s="1"/>
  <c r="G64" i="37"/>
  <c r="I64" i="37" s="1"/>
  <c r="C64" i="37"/>
  <c r="E64" i="37" s="1"/>
  <c r="L39" i="37"/>
  <c r="H39" i="37"/>
  <c r="D39" i="37"/>
  <c r="B39" i="37"/>
  <c r="L38" i="37"/>
  <c r="H38" i="37"/>
  <c r="D38" i="37"/>
  <c r="B38" i="37"/>
  <c r="L37" i="37"/>
  <c r="H37" i="37"/>
  <c r="D37" i="37"/>
  <c r="B37" i="37"/>
  <c r="L36" i="37"/>
  <c r="K36" i="37"/>
  <c r="H36" i="37"/>
  <c r="G36" i="37"/>
  <c r="D36" i="37"/>
  <c r="C36" i="37"/>
  <c r="B36" i="37"/>
  <c r="K32" i="37"/>
  <c r="G32" i="37"/>
  <c r="C32" i="37"/>
  <c r="B31" i="37"/>
  <c r="B59" i="37" s="1"/>
  <c r="B73" i="37" s="1"/>
  <c r="D25" i="37"/>
  <c r="B25" i="37"/>
  <c r="D24" i="37"/>
  <c r="B24" i="37"/>
  <c r="D23" i="37"/>
  <c r="B23" i="37"/>
  <c r="D22" i="37"/>
  <c r="B22" i="37"/>
  <c r="D21" i="37"/>
  <c r="B21" i="37"/>
  <c r="K32" i="36"/>
  <c r="G32" i="36"/>
  <c r="C32" i="36"/>
  <c r="K64" i="36"/>
  <c r="M64" i="36" s="1"/>
  <c r="G64" i="36"/>
  <c r="I64" i="36" s="1"/>
  <c r="C64" i="36"/>
  <c r="E64" i="36" s="1"/>
  <c r="L39" i="36"/>
  <c r="H39" i="36"/>
  <c r="D39" i="36"/>
  <c r="B39" i="36"/>
  <c r="L38" i="36"/>
  <c r="H38" i="36"/>
  <c r="D38" i="36"/>
  <c r="B38" i="36"/>
  <c r="L37" i="36"/>
  <c r="H37" i="36"/>
  <c r="D37" i="36"/>
  <c r="B37" i="36"/>
  <c r="L36" i="36"/>
  <c r="K36" i="36"/>
  <c r="H36" i="36"/>
  <c r="G36" i="36"/>
  <c r="D36" i="36"/>
  <c r="C36" i="36"/>
  <c r="B36" i="36"/>
  <c r="B31" i="36"/>
  <c r="B59" i="36" s="1"/>
  <c r="B73" i="36" s="1"/>
  <c r="D25" i="36"/>
  <c r="B25" i="36"/>
  <c r="D24" i="36"/>
  <c r="B24" i="36"/>
  <c r="D23" i="36"/>
  <c r="B23" i="36"/>
  <c r="D22" i="36"/>
  <c r="B22" i="36"/>
  <c r="D21" i="36"/>
  <c r="B21" i="36"/>
  <c r="K64" i="32"/>
  <c r="G64" i="32"/>
  <c r="I64" i="32" s="1"/>
  <c r="C64" i="32"/>
  <c r="E64" i="32" s="1"/>
  <c r="C60" i="32"/>
  <c r="L39" i="32"/>
  <c r="H39" i="32"/>
  <c r="D39" i="32"/>
  <c r="B39" i="32"/>
  <c r="L38" i="32"/>
  <c r="H38" i="32"/>
  <c r="D38" i="32"/>
  <c r="B38" i="32"/>
  <c r="L37" i="32"/>
  <c r="H37" i="32"/>
  <c r="D37" i="32"/>
  <c r="B37" i="32"/>
  <c r="L36" i="32"/>
  <c r="K36" i="32"/>
  <c r="H36" i="32"/>
  <c r="G36" i="32"/>
  <c r="D36" i="32"/>
  <c r="C36" i="32"/>
  <c r="B36" i="32"/>
  <c r="K32" i="32"/>
  <c r="G32" i="32"/>
  <c r="B31" i="32"/>
  <c r="B59" i="32" s="1"/>
  <c r="B73" i="32" s="1"/>
  <c r="L25" i="32"/>
  <c r="H25" i="32"/>
  <c r="D25" i="32"/>
  <c r="B25" i="32"/>
  <c r="L24" i="32"/>
  <c r="H24" i="32"/>
  <c r="D24" i="32"/>
  <c r="B24" i="32"/>
  <c r="L23" i="32"/>
  <c r="H23" i="32"/>
  <c r="D23" i="32"/>
  <c r="B23" i="32"/>
  <c r="L22" i="32"/>
  <c r="H22" i="32"/>
  <c r="D22" i="32"/>
  <c r="B22" i="32"/>
  <c r="L21" i="32"/>
  <c r="H21" i="32"/>
  <c r="D21" i="32"/>
  <c r="B21" i="32"/>
  <c r="K64" i="31"/>
  <c r="M64" i="31" s="1"/>
  <c r="G64" i="31"/>
  <c r="I64" i="31" s="1"/>
  <c r="C64" i="31"/>
  <c r="E64" i="31" s="1"/>
  <c r="C60" i="31"/>
  <c r="L39" i="31"/>
  <c r="H39" i="31"/>
  <c r="D39" i="31"/>
  <c r="B39" i="31"/>
  <c r="L38" i="31"/>
  <c r="H38" i="31"/>
  <c r="D38" i="31"/>
  <c r="B38" i="31"/>
  <c r="L37" i="31"/>
  <c r="H37" i="31"/>
  <c r="D37" i="31"/>
  <c r="B37" i="31"/>
  <c r="L36" i="31"/>
  <c r="K36" i="31"/>
  <c r="H36" i="31"/>
  <c r="G36" i="31"/>
  <c r="D36" i="31"/>
  <c r="C36" i="31"/>
  <c r="B36" i="31"/>
  <c r="K32" i="31"/>
  <c r="G32" i="31"/>
  <c r="B31" i="31"/>
  <c r="B59" i="31" s="1"/>
  <c r="B73" i="31" s="1"/>
  <c r="D25" i="31"/>
  <c r="B25" i="31"/>
  <c r="D24" i="31"/>
  <c r="B24" i="31"/>
  <c r="D23" i="31"/>
  <c r="B23" i="31"/>
  <c r="D22" i="31"/>
  <c r="B22" i="31"/>
  <c r="D21" i="31"/>
  <c r="B21" i="31"/>
  <c r="O64" i="30"/>
  <c r="Q64" i="30" s="1"/>
  <c r="Q57" i="34" s="1"/>
  <c r="K64" i="30"/>
  <c r="M64" i="30" s="1"/>
  <c r="G64" i="30"/>
  <c r="I64" i="30" s="1"/>
  <c r="C64" i="30"/>
  <c r="E64" i="30" s="1"/>
  <c r="C60" i="30"/>
  <c r="L39" i="30"/>
  <c r="H39" i="30"/>
  <c r="D39" i="30"/>
  <c r="B39" i="30"/>
  <c r="L38" i="30"/>
  <c r="H38" i="30"/>
  <c r="D38" i="30"/>
  <c r="B38" i="30"/>
  <c r="L37" i="30"/>
  <c r="H37" i="30"/>
  <c r="D37" i="30"/>
  <c r="B37" i="30"/>
  <c r="L36" i="30"/>
  <c r="K36" i="30"/>
  <c r="H36" i="30"/>
  <c r="G36" i="30"/>
  <c r="D36" i="30"/>
  <c r="C36" i="30"/>
  <c r="B36" i="30"/>
  <c r="O32" i="30"/>
  <c r="K32" i="30"/>
  <c r="K46" i="30" s="1"/>
  <c r="G32" i="30"/>
  <c r="G46" i="30" s="1"/>
  <c r="B31" i="30"/>
  <c r="B59" i="30" s="1"/>
  <c r="B73" i="30" s="1"/>
  <c r="L25" i="30"/>
  <c r="H25" i="30"/>
  <c r="D25" i="30"/>
  <c r="B25" i="30"/>
  <c r="L24" i="30"/>
  <c r="H24" i="30"/>
  <c r="D24" i="30"/>
  <c r="B24" i="30"/>
  <c r="L23" i="30"/>
  <c r="H23" i="30"/>
  <c r="D23" i="30"/>
  <c r="B23" i="30"/>
  <c r="L22" i="30"/>
  <c r="H22" i="30"/>
  <c r="D22" i="30"/>
  <c r="B22" i="30"/>
  <c r="L21" i="30"/>
  <c r="H21" i="30"/>
  <c r="D21" i="30"/>
  <c r="B21" i="30"/>
  <c r="E36" i="37" l="1"/>
  <c r="I36" i="37"/>
  <c r="O52" i="20"/>
  <c r="Q52" i="20" s="1"/>
  <c r="Q47" i="29" s="1"/>
  <c r="Q50" i="29" s="1"/>
  <c r="M36" i="38"/>
  <c r="M36" i="30"/>
  <c r="I36" i="32"/>
  <c r="G37" i="32" s="1"/>
  <c r="I37" i="32" s="1"/>
  <c r="I40" i="32" s="1"/>
  <c r="M36" i="32"/>
  <c r="K37" i="32" s="1"/>
  <c r="M37" i="32" s="1"/>
  <c r="M40" i="32" s="1"/>
  <c r="I36" i="36"/>
  <c r="I57" i="34"/>
  <c r="E36" i="31"/>
  <c r="C37" i="31" s="1"/>
  <c r="E37" i="31" s="1"/>
  <c r="E40" i="31" s="1"/>
  <c r="Q43" i="36"/>
  <c r="E58" i="40"/>
  <c r="I58" i="40"/>
  <c r="M58" i="40"/>
  <c r="M64" i="32"/>
  <c r="K65" i="32" s="1"/>
  <c r="M65" i="32" s="1"/>
  <c r="M68" i="32" s="1"/>
  <c r="E57" i="34"/>
  <c r="E52" i="40"/>
  <c r="E57" i="36"/>
  <c r="Q56" i="20"/>
  <c r="Q48" i="29"/>
  <c r="Q51" i="29" s="1"/>
  <c r="Q46" i="29"/>
  <c r="Q49" i="29" s="1"/>
  <c r="Q54" i="20"/>
  <c r="M56" i="19"/>
  <c r="M48" i="29"/>
  <c r="M51" i="29" s="1"/>
  <c r="M55" i="19"/>
  <c r="M47" i="29"/>
  <c r="M50" i="29" s="1"/>
  <c r="M54" i="19"/>
  <c r="M46" i="29"/>
  <c r="M49" i="29" s="1"/>
  <c r="I36" i="39"/>
  <c r="I36" i="38"/>
  <c r="G37" i="38" s="1"/>
  <c r="I37" i="38" s="1"/>
  <c r="I40" i="38" s="1"/>
  <c r="M36" i="39"/>
  <c r="K37" i="39" s="1"/>
  <c r="M37" i="39" s="1"/>
  <c r="M40" i="39" s="1"/>
  <c r="M36" i="37"/>
  <c r="K37" i="37" s="1"/>
  <c r="M37" i="37" s="1"/>
  <c r="M40" i="37" s="1"/>
  <c r="M36" i="36"/>
  <c r="M36" i="31"/>
  <c r="I36" i="30"/>
  <c r="I36" i="31"/>
  <c r="G37" i="31" s="1"/>
  <c r="I37" i="31" s="1"/>
  <c r="I40" i="31" s="1"/>
  <c r="Q71" i="28"/>
  <c r="Q32" i="29"/>
  <c r="Q35" i="29" s="1"/>
  <c r="E36" i="39"/>
  <c r="E48" i="29"/>
  <c r="E51" i="29" s="1"/>
  <c r="E57" i="15"/>
  <c r="E59" i="15" s="1"/>
  <c r="E47" i="29"/>
  <c r="E50" i="29" s="1"/>
  <c r="E36" i="36"/>
  <c r="C37" i="36" s="1"/>
  <c r="E37" i="36" s="1"/>
  <c r="Q71" i="37"/>
  <c r="Q69" i="36"/>
  <c r="Q71" i="36" s="1"/>
  <c r="Q60" i="40"/>
  <c r="Q63" i="40" s="1"/>
  <c r="E36" i="30"/>
  <c r="Q33" i="40"/>
  <c r="Q36" i="40" s="1"/>
  <c r="Q38" i="40" s="1"/>
  <c r="Q61" i="40"/>
  <c r="Q64" i="40" s="1"/>
  <c r="E36" i="32"/>
  <c r="C37" i="32" s="1"/>
  <c r="E37" i="32" s="1"/>
  <c r="E40" i="32" s="1"/>
  <c r="Q23" i="15"/>
  <c r="Q17" i="29" s="1"/>
  <c r="E57" i="30"/>
  <c r="E46" i="34"/>
  <c r="E49" i="34" s="1"/>
  <c r="Q38" i="23"/>
  <c r="Q41" i="23" s="1"/>
  <c r="Q43" i="23" s="1"/>
  <c r="Q43" i="22"/>
  <c r="O23" i="31"/>
  <c r="Q23" i="31" s="1"/>
  <c r="Q26" i="31" s="1"/>
  <c r="Q75" i="31" s="1"/>
  <c r="O66" i="20"/>
  <c r="Q66" i="20" s="1"/>
  <c r="Q69" i="20" s="1"/>
  <c r="Q71" i="20" s="1"/>
  <c r="O66" i="19"/>
  <c r="Q66" i="19" s="1"/>
  <c r="Q69" i="19" s="1"/>
  <c r="Q71" i="19" s="1"/>
  <c r="O68" i="15"/>
  <c r="Q68" i="15" s="1"/>
  <c r="Q71" i="15" s="1"/>
  <c r="O66" i="21"/>
  <c r="Q66" i="21" s="1"/>
  <c r="Q69" i="21" s="1"/>
  <c r="O40" i="15"/>
  <c r="Q40" i="15" s="1"/>
  <c r="Q43" i="15" s="1"/>
  <c r="O38" i="21"/>
  <c r="Q38" i="21" s="1"/>
  <c r="Q41" i="21" s="1"/>
  <c r="O38" i="20"/>
  <c r="Q38" i="20" s="1"/>
  <c r="Q41" i="20" s="1"/>
  <c r="O60" i="30"/>
  <c r="O46" i="30"/>
  <c r="O23" i="32"/>
  <c r="Q23" i="32" s="1"/>
  <c r="Q26" i="32" s="1"/>
  <c r="Q75" i="32" s="1"/>
  <c r="O23" i="26"/>
  <c r="Q23" i="26" s="1"/>
  <c r="Q26" i="26" s="1"/>
  <c r="Q75" i="26" s="1"/>
  <c r="O23" i="25"/>
  <c r="Q23" i="25" s="1"/>
  <c r="Q26" i="25" s="1"/>
  <c r="Q75" i="25" s="1"/>
  <c r="C55" i="40"/>
  <c r="C41" i="40"/>
  <c r="G55" i="40"/>
  <c r="G41" i="40"/>
  <c r="K55" i="40"/>
  <c r="K41" i="40"/>
  <c r="K60" i="39"/>
  <c r="K46" i="39"/>
  <c r="C60" i="39"/>
  <c r="C46" i="39"/>
  <c r="G60" i="39"/>
  <c r="G46" i="39"/>
  <c r="K60" i="38"/>
  <c r="K46" i="38"/>
  <c r="C60" i="38"/>
  <c r="C46" i="38"/>
  <c r="G60" i="38"/>
  <c r="G46" i="38"/>
  <c r="B59" i="38"/>
  <c r="B73" i="38" s="1"/>
  <c r="G60" i="37"/>
  <c r="G46" i="37"/>
  <c r="K60" i="37"/>
  <c r="K46" i="37"/>
  <c r="C60" i="37"/>
  <c r="C46" i="37"/>
  <c r="C60" i="36"/>
  <c r="C46" i="36"/>
  <c r="G60" i="36"/>
  <c r="G46" i="36"/>
  <c r="K60" i="36"/>
  <c r="K46" i="36"/>
  <c r="C54" i="34"/>
  <c r="C41" i="34"/>
  <c r="G54" i="34"/>
  <c r="G41" i="34"/>
  <c r="K54" i="34"/>
  <c r="K41" i="34"/>
  <c r="K60" i="32"/>
  <c r="K46" i="32"/>
  <c r="G60" i="32"/>
  <c r="G46" i="32"/>
  <c r="K60" i="31"/>
  <c r="K46" i="31"/>
  <c r="G60" i="31"/>
  <c r="G46" i="31"/>
  <c r="C65" i="31"/>
  <c r="E65" i="31" s="1"/>
  <c r="E68" i="31" s="1"/>
  <c r="G60" i="30"/>
  <c r="K60" i="30"/>
  <c r="O67" i="21"/>
  <c r="Q67" i="21" s="1"/>
  <c r="Q70" i="21" s="1"/>
  <c r="O39" i="21"/>
  <c r="Q39" i="21" s="1"/>
  <c r="Q42" i="21" s="1"/>
  <c r="O69" i="15"/>
  <c r="Q69" i="15" s="1"/>
  <c r="Q72" i="15" s="1"/>
  <c r="O41" i="15"/>
  <c r="Q41" i="15" s="1"/>
  <c r="Q44" i="15" s="1"/>
  <c r="K65" i="39"/>
  <c r="M65" i="39" s="1"/>
  <c r="M68" i="39" s="1"/>
  <c r="B59" i="39"/>
  <c r="B73" i="39" s="1"/>
  <c r="C65" i="39"/>
  <c r="E65" i="39" s="1"/>
  <c r="E68" i="39" s="1"/>
  <c r="K37" i="38"/>
  <c r="M37" i="38" s="1"/>
  <c r="M40" i="38" s="1"/>
  <c r="K65" i="38"/>
  <c r="M65" i="38" s="1"/>
  <c r="M68" i="38" s="1"/>
  <c r="C65" i="38"/>
  <c r="E65" i="38" s="1"/>
  <c r="E68" i="38" s="1"/>
  <c r="G37" i="37"/>
  <c r="I37" i="37" s="1"/>
  <c r="I40" i="37" s="1"/>
  <c r="C65" i="37"/>
  <c r="E65" i="37" s="1"/>
  <c r="E68" i="37" s="1"/>
  <c r="G37" i="36"/>
  <c r="I37" i="36" s="1"/>
  <c r="C65" i="36"/>
  <c r="E65" i="36" s="1"/>
  <c r="G37" i="30"/>
  <c r="I37" i="30" s="1"/>
  <c r="I40" i="30" s="1"/>
  <c r="G21" i="31"/>
  <c r="I21" i="31" s="1"/>
  <c r="C21" i="36"/>
  <c r="E21" i="36" s="1"/>
  <c r="K21" i="38"/>
  <c r="M21" i="38" s="1"/>
  <c r="K21" i="32"/>
  <c r="M21" i="32" s="1"/>
  <c r="C21" i="30"/>
  <c r="E21" i="30" s="1"/>
  <c r="K21" i="36"/>
  <c r="M21" i="36" s="1"/>
  <c r="K21" i="30"/>
  <c r="M21" i="30" s="1"/>
  <c r="G65" i="39"/>
  <c r="I65" i="39" s="1"/>
  <c r="I68" i="39" s="1"/>
  <c r="G65" i="38"/>
  <c r="I65" i="38" s="1"/>
  <c r="I68" i="38" s="1"/>
  <c r="C37" i="37"/>
  <c r="E37" i="37" s="1"/>
  <c r="E40" i="37" s="1"/>
  <c r="G65" i="37"/>
  <c r="I65" i="37" s="1"/>
  <c r="I68" i="37" s="1"/>
  <c r="G65" i="36"/>
  <c r="I65" i="36" s="1"/>
  <c r="K65" i="36"/>
  <c r="M65" i="36" s="1"/>
  <c r="K21" i="31"/>
  <c r="M21" i="31" s="1"/>
  <c r="C65" i="32"/>
  <c r="E65" i="32" s="1"/>
  <c r="E68" i="32" s="1"/>
  <c r="G65" i="31"/>
  <c r="I65" i="31" s="1"/>
  <c r="I68" i="31" s="1"/>
  <c r="O36" i="30"/>
  <c r="Q36" i="30" s="1"/>
  <c r="Q31" i="34" s="1"/>
  <c r="G65" i="30"/>
  <c r="I65" i="30" s="1"/>
  <c r="I68" i="30" s="1"/>
  <c r="O65" i="30"/>
  <c r="Q65" i="30" s="1"/>
  <c r="Q68" i="30" s="1"/>
  <c r="K65" i="30"/>
  <c r="M65" i="30" s="1"/>
  <c r="M68" i="30" s="1"/>
  <c r="M57" i="34" l="1"/>
  <c r="Q55" i="20"/>
  <c r="Q52" i="29"/>
  <c r="E52" i="29"/>
  <c r="M31" i="40"/>
  <c r="I31" i="40"/>
  <c r="G37" i="39"/>
  <c r="I37" i="39" s="1"/>
  <c r="I40" i="39" s="1"/>
  <c r="M31" i="34"/>
  <c r="K37" i="36"/>
  <c r="M37" i="36" s="1"/>
  <c r="M32" i="40" s="1"/>
  <c r="M57" i="19"/>
  <c r="Q57" i="20"/>
  <c r="M52" i="29"/>
  <c r="I31" i="34"/>
  <c r="E31" i="34"/>
  <c r="E31" i="40"/>
  <c r="I68" i="36"/>
  <c r="I59" i="40"/>
  <c r="I62" i="40" s="1"/>
  <c r="E40" i="36"/>
  <c r="M68" i="36"/>
  <c r="M40" i="36"/>
  <c r="C37" i="30"/>
  <c r="E37" i="30" s="1"/>
  <c r="E40" i="30" s="1"/>
  <c r="E68" i="36"/>
  <c r="E59" i="40"/>
  <c r="I40" i="36"/>
  <c r="I32" i="40"/>
  <c r="O24" i="15"/>
  <c r="M17" i="34"/>
  <c r="E57" i="32"/>
  <c r="E47" i="34"/>
  <c r="E50" i="34" s="1"/>
  <c r="Q58" i="34"/>
  <c r="Q61" i="34" s="1"/>
  <c r="I32" i="34"/>
  <c r="Q71" i="21"/>
  <c r="Q61" i="29"/>
  <c r="Q64" i="29" s="1"/>
  <c r="Q60" i="29"/>
  <c r="Q63" i="29" s="1"/>
  <c r="Q51" i="34"/>
  <c r="M51" i="34"/>
  <c r="Q73" i="15"/>
  <c r="Q43" i="20"/>
  <c r="Q45" i="15"/>
  <c r="O23" i="28"/>
  <c r="Q23" i="28" s="1"/>
  <c r="Q26" i="28" s="1"/>
  <c r="Q75" i="28" s="1"/>
  <c r="O23" i="27"/>
  <c r="Q23" i="27" s="1"/>
  <c r="Q26" i="27" s="1"/>
  <c r="Q75" i="27" s="1"/>
  <c r="O23" i="24"/>
  <c r="Q23" i="24" s="1"/>
  <c r="Q26" i="24" s="1"/>
  <c r="Q75" i="24" s="1"/>
  <c r="O23" i="23"/>
  <c r="Q23" i="23" s="1"/>
  <c r="Q26" i="23" s="1"/>
  <c r="Q75" i="23" s="1"/>
  <c r="O23" i="22"/>
  <c r="Q23" i="22" s="1"/>
  <c r="Q26" i="22" s="1"/>
  <c r="Q75" i="22" s="1"/>
  <c r="Q43" i="21"/>
  <c r="O23" i="21"/>
  <c r="Q23" i="21" s="1"/>
  <c r="Q26" i="21" s="1"/>
  <c r="Q75" i="21" s="1"/>
  <c r="O23" i="20"/>
  <c r="Q23" i="20" s="1"/>
  <c r="Q26" i="20" s="1"/>
  <c r="Q75" i="20" s="1"/>
  <c r="O23" i="19"/>
  <c r="Q23" i="19" s="1"/>
  <c r="Q26" i="19" s="1"/>
  <c r="Q75" i="19" s="1"/>
  <c r="O23" i="39"/>
  <c r="Q23" i="39" s="1"/>
  <c r="Q26" i="39" s="1"/>
  <c r="Q75" i="39" s="1"/>
  <c r="O23" i="38"/>
  <c r="Q23" i="38" s="1"/>
  <c r="Q26" i="38" s="1"/>
  <c r="Q75" i="38" s="1"/>
  <c r="O23" i="37"/>
  <c r="Q23" i="37" s="1"/>
  <c r="Q26" i="37" s="1"/>
  <c r="Q75" i="37" s="1"/>
  <c r="O24" i="31"/>
  <c r="Q24" i="31" s="1"/>
  <c r="Q27" i="31" s="1"/>
  <c r="Q76" i="31" s="1"/>
  <c r="K66" i="32"/>
  <c r="M66" i="32" s="1"/>
  <c r="M69" i="32" s="1"/>
  <c r="O38" i="19"/>
  <c r="Q38" i="19" s="1"/>
  <c r="Q41" i="19" s="1"/>
  <c r="G39" i="36"/>
  <c r="I39" i="36" s="1"/>
  <c r="O22" i="36"/>
  <c r="Q22" i="36" s="1"/>
  <c r="Q18" i="40" s="1"/>
  <c r="O25" i="31"/>
  <c r="Q25" i="31" s="1"/>
  <c r="Q28" i="31" s="1"/>
  <c r="Q77" i="31" s="1"/>
  <c r="Q65" i="40"/>
  <c r="O39" i="19"/>
  <c r="Q39" i="19" s="1"/>
  <c r="Q42" i="19" s="1"/>
  <c r="G39" i="37"/>
  <c r="I39" i="37" s="1"/>
  <c r="I42" i="37" s="1"/>
  <c r="C21" i="39"/>
  <c r="E21" i="39" s="1"/>
  <c r="K21" i="39"/>
  <c r="M21" i="39" s="1"/>
  <c r="C37" i="39"/>
  <c r="E37" i="39" s="1"/>
  <c r="E40" i="39" s="1"/>
  <c r="G21" i="39"/>
  <c r="I21" i="39" s="1"/>
  <c r="C37" i="38"/>
  <c r="E37" i="38" s="1"/>
  <c r="E40" i="38" s="1"/>
  <c r="K22" i="38"/>
  <c r="M22" i="38" s="1"/>
  <c r="C21" i="38"/>
  <c r="E21" i="38" s="1"/>
  <c r="G21" i="38"/>
  <c r="I21" i="38" s="1"/>
  <c r="G21" i="37"/>
  <c r="I21" i="37" s="1"/>
  <c r="K65" i="37"/>
  <c r="M65" i="37" s="1"/>
  <c r="M68" i="37" s="1"/>
  <c r="C39" i="37"/>
  <c r="E39" i="37" s="1"/>
  <c r="E42" i="37" s="1"/>
  <c r="C21" i="37"/>
  <c r="E21" i="37" s="1"/>
  <c r="K21" i="37"/>
  <c r="M21" i="37" s="1"/>
  <c r="K67" i="36"/>
  <c r="M67" i="36" s="1"/>
  <c r="G21" i="36"/>
  <c r="I21" i="36" s="1"/>
  <c r="G67" i="36"/>
  <c r="I67" i="36" s="1"/>
  <c r="C22" i="36"/>
  <c r="E22" i="36" s="1"/>
  <c r="K22" i="36"/>
  <c r="M22" i="36" s="1"/>
  <c r="C21" i="32"/>
  <c r="E21" i="32" s="1"/>
  <c r="K67" i="32"/>
  <c r="M67" i="32" s="1"/>
  <c r="M70" i="32" s="1"/>
  <c r="G21" i="32"/>
  <c r="I21" i="32" s="1"/>
  <c r="G65" i="32"/>
  <c r="I65" i="32" s="1"/>
  <c r="I68" i="32" s="1"/>
  <c r="K22" i="32"/>
  <c r="M22" i="32" s="1"/>
  <c r="K37" i="31"/>
  <c r="M37" i="31" s="1"/>
  <c r="M40" i="31" s="1"/>
  <c r="K65" i="31"/>
  <c r="M65" i="31" s="1"/>
  <c r="M68" i="31" s="1"/>
  <c r="C21" i="31"/>
  <c r="E21" i="31" s="1"/>
  <c r="G22" i="31"/>
  <c r="I22" i="31" s="1"/>
  <c r="K22" i="31"/>
  <c r="M22" i="31" s="1"/>
  <c r="K37" i="30"/>
  <c r="M37" i="30" s="1"/>
  <c r="M40" i="30" s="1"/>
  <c r="O21" i="30"/>
  <c r="Q21" i="30" s="1"/>
  <c r="Q17" i="34" s="1"/>
  <c r="G21" i="30"/>
  <c r="I21" i="30" s="1"/>
  <c r="C65" i="30"/>
  <c r="E65" i="30" s="1"/>
  <c r="E68" i="30" s="1"/>
  <c r="I35" i="40" l="1"/>
  <c r="M35" i="40"/>
  <c r="I35" i="34"/>
  <c r="M17" i="40"/>
  <c r="E32" i="34"/>
  <c r="E35" i="34" s="1"/>
  <c r="I17" i="34"/>
  <c r="M59" i="40"/>
  <c r="M62" i="40" s="1"/>
  <c r="O24" i="22"/>
  <c r="Q24" i="22" s="1"/>
  <c r="Q27" i="22" s="1"/>
  <c r="Q76" i="22" s="1"/>
  <c r="I17" i="40"/>
  <c r="M70" i="36"/>
  <c r="M58" i="34"/>
  <c r="M61" i="34" s="1"/>
  <c r="E17" i="40"/>
  <c r="E32" i="40"/>
  <c r="E35" i="40" s="1"/>
  <c r="I70" i="36"/>
  <c r="E17" i="34"/>
  <c r="I42" i="36"/>
  <c r="Q33" i="29"/>
  <c r="Q36" i="29" s="1"/>
  <c r="Q34" i="29"/>
  <c r="Q37" i="29" s="1"/>
  <c r="Q24" i="15"/>
  <c r="O25" i="15" s="1"/>
  <c r="E51" i="34"/>
  <c r="Q29" i="31"/>
  <c r="I58" i="34"/>
  <c r="I61" i="34" s="1"/>
  <c r="E58" i="34"/>
  <c r="E61" i="34" s="1"/>
  <c r="M32" i="34"/>
  <c r="M35" i="34" s="1"/>
  <c r="Q65" i="29"/>
  <c r="O24" i="38"/>
  <c r="Q24" i="38" s="1"/>
  <c r="Q27" i="38" s="1"/>
  <c r="Q76" i="38" s="1"/>
  <c r="O25" i="38"/>
  <c r="Q25" i="38" s="1"/>
  <c r="Q28" i="38" s="1"/>
  <c r="Q77" i="38" s="1"/>
  <c r="O25" i="27"/>
  <c r="Q25" i="27" s="1"/>
  <c r="Q28" i="27" s="1"/>
  <c r="Q77" i="27" s="1"/>
  <c r="O25" i="22"/>
  <c r="Q25" i="22" s="1"/>
  <c r="Q28" i="22" s="1"/>
  <c r="Q77" i="22" s="1"/>
  <c r="O24" i="21"/>
  <c r="Q24" i="21" s="1"/>
  <c r="Q27" i="21" s="1"/>
  <c r="Q76" i="21" s="1"/>
  <c r="O25" i="28"/>
  <c r="Q25" i="28" s="1"/>
  <c r="Q28" i="28" s="1"/>
  <c r="Q77" i="28" s="1"/>
  <c r="O24" i="27"/>
  <c r="Q24" i="27" s="1"/>
  <c r="Q27" i="27" s="1"/>
  <c r="Q76" i="27" s="1"/>
  <c r="O25" i="24"/>
  <c r="Q25" i="24" s="1"/>
  <c r="Q28" i="24" s="1"/>
  <c r="Q77" i="24" s="1"/>
  <c r="O25" i="23"/>
  <c r="Q25" i="23" s="1"/>
  <c r="Q28" i="23" s="1"/>
  <c r="Q77" i="23" s="1"/>
  <c r="O25" i="21"/>
  <c r="Q25" i="21" s="1"/>
  <c r="Q28" i="21" s="1"/>
  <c r="Q77" i="21" s="1"/>
  <c r="O25" i="20"/>
  <c r="Q25" i="20" s="1"/>
  <c r="Q28" i="20" s="1"/>
  <c r="Q77" i="20" s="1"/>
  <c r="Q43" i="19"/>
  <c r="O24" i="19"/>
  <c r="Q24" i="19" s="1"/>
  <c r="Q27" i="19" s="1"/>
  <c r="Q76" i="19" s="1"/>
  <c r="O25" i="19"/>
  <c r="Q25" i="19" s="1"/>
  <c r="Q28" i="19" s="1"/>
  <c r="Q77" i="19" s="1"/>
  <c r="O25" i="37"/>
  <c r="Q25" i="37" s="1"/>
  <c r="Q28" i="37" s="1"/>
  <c r="Q77" i="37" s="1"/>
  <c r="O23" i="36"/>
  <c r="Q23" i="36" s="1"/>
  <c r="C67" i="32"/>
  <c r="E67" i="32" s="1"/>
  <c r="E70" i="32" s="1"/>
  <c r="C39" i="32"/>
  <c r="E39" i="32" s="1"/>
  <c r="E42" i="32" s="1"/>
  <c r="K67" i="39"/>
  <c r="M67" i="39" s="1"/>
  <c r="M70" i="39" s="1"/>
  <c r="K67" i="38"/>
  <c r="M67" i="38" s="1"/>
  <c r="M70" i="38" s="1"/>
  <c r="G38" i="36"/>
  <c r="I38" i="36" s="1"/>
  <c r="O25" i="32"/>
  <c r="Q25" i="32" s="1"/>
  <c r="Q28" i="32" s="1"/>
  <c r="Q77" i="32" s="1"/>
  <c r="K39" i="32"/>
  <c r="M39" i="32" s="1"/>
  <c r="M42" i="32" s="1"/>
  <c r="C39" i="31"/>
  <c r="E39" i="31" s="1"/>
  <c r="E42" i="31" s="1"/>
  <c r="C38" i="31"/>
  <c r="E38" i="31" s="1"/>
  <c r="E41" i="31" s="1"/>
  <c r="K66" i="30"/>
  <c r="M66" i="30" s="1"/>
  <c r="M69" i="30" s="1"/>
  <c r="G66" i="39"/>
  <c r="I66" i="39" s="1"/>
  <c r="I69" i="39" s="1"/>
  <c r="G66" i="30"/>
  <c r="I66" i="30" s="1"/>
  <c r="I69" i="30" s="1"/>
  <c r="G66" i="38"/>
  <c r="I66" i="38" s="1"/>
  <c r="I69" i="38" s="1"/>
  <c r="C66" i="37"/>
  <c r="E66" i="37" s="1"/>
  <c r="E69" i="37" s="1"/>
  <c r="O66" i="30"/>
  <c r="Q66" i="30" s="1"/>
  <c r="Q69" i="30" s="1"/>
  <c r="K66" i="38"/>
  <c r="M66" i="38" s="1"/>
  <c r="M69" i="38" s="1"/>
  <c r="K66" i="36"/>
  <c r="K66" i="39"/>
  <c r="M66" i="39" s="1"/>
  <c r="M69" i="39" s="1"/>
  <c r="G66" i="37"/>
  <c r="I66" i="37" s="1"/>
  <c r="I69" i="37" s="1"/>
  <c r="G66" i="31"/>
  <c r="I66" i="31" s="1"/>
  <c r="I69" i="31" s="1"/>
  <c r="G66" i="36"/>
  <c r="C66" i="31"/>
  <c r="E66" i="31" s="1"/>
  <c r="E69" i="31" s="1"/>
  <c r="C66" i="32"/>
  <c r="E66" i="32" s="1"/>
  <c r="E69" i="32" s="1"/>
  <c r="C66" i="39"/>
  <c r="E66" i="39" s="1"/>
  <c r="E69" i="39" s="1"/>
  <c r="C66" i="36"/>
  <c r="E66" i="36" s="1"/>
  <c r="C66" i="38"/>
  <c r="E66" i="38" s="1"/>
  <c r="E69" i="38" s="1"/>
  <c r="K38" i="39"/>
  <c r="M38" i="39" s="1"/>
  <c r="M41" i="39" s="1"/>
  <c r="G38" i="31"/>
  <c r="I38" i="31" s="1"/>
  <c r="I41" i="31" s="1"/>
  <c r="G38" i="32"/>
  <c r="I38" i="32" s="1"/>
  <c r="I41" i="32" s="1"/>
  <c r="G38" i="37"/>
  <c r="C38" i="30"/>
  <c r="E38" i="30" s="1"/>
  <c r="E41" i="30" s="1"/>
  <c r="K38" i="37"/>
  <c r="K38" i="38"/>
  <c r="M38" i="38" s="1"/>
  <c r="M41" i="38" s="1"/>
  <c r="K38" i="36"/>
  <c r="M38" i="36" s="1"/>
  <c r="K38" i="32"/>
  <c r="M38" i="32" s="1"/>
  <c r="M41" i="32" s="1"/>
  <c r="G38" i="39"/>
  <c r="I38" i="39" s="1"/>
  <c r="I41" i="39" s="1"/>
  <c r="G38" i="30"/>
  <c r="I38" i="30" s="1"/>
  <c r="I41" i="30" s="1"/>
  <c r="G38" i="38"/>
  <c r="I38" i="38" s="1"/>
  <c r="I41" i="38" s="1"/>
  <c r="C38" i="32"/>
  <c r="E38" i="32" s="1"/>
  <c r="E41" i="32" s="1"/>
  <c r="C38" i="36"/>
  <c r="E38" i="36" s="1"/>
  <c r="C38" i="37"/>
  <c r="E38" i="37" s="1"/>
  <c r="E41" i="37" s="1"/>
  <c r="O24" i="26"/>
  <c r="Q24" i="26" s="1"/>
  <c r="Q27" i="26" s="1"/>
  <c r="Q76" i="26" s="1"/>
  <c r="O24" i="25"/>
  <c r="Q24" i="25" s="1"/>
  <c r="Q27" i="25" s="1"/>
  <c r="Q76" i="25" s="1"/>
  <c r="O24" i="32"/>
  <c r="Q24" i="32" s="1"/>
  <c r="Q27" i="32" s="1"/>
  <c r="Q76" i="32" s="1"/>
  <c r="O25" i="25"/>
  <c r="Q25" i="25" s="1"/>
  <c r="Q28" i="25" s="1"/>
  <c r="Q77" i="25" s="1"/>
  <c r="O25" i="26"/>
  <c r="Q25" i="26" s="1"/>
  <c r="Q28" i="26" s="1"/>
  <c r="Q77" i="26" s="1"/>
  <c r="G67" i="38"/>
  <c r="I67" i="38" s="1"/>
  <c r="I70" i="38" s="1"/>
  <c r="M71" i="32"/>
  <c r="C67" i="39"/>
  <c r="E67" i="39" s="1"/>
  <c r="E70" i="39" s="1"/>
  <c r="G67" i="39"/>
  <c r="I67" i="39" s="1"/>
  <c r="I70" i="39" s="1"/>
  <c r="C67" i="38"/>
  <c r="E67" i="38" s="1"/>
  <c r="E70" i="38" s="1"/>
  <c r="C67" i="36"/>
  <c r="E67" i="36" s="1"/>
  <c r="G67" i="30"/>
  <c r="I67" i="30" s="1"/>
  <c r="I70" i="30" s="1"/>
  <c r="O67" i="30"/>
  <c r="Q67" i="30" s="1"/>
  <c r="Q70" i="30" s="1"/>
  <c r="K67" i="30"/>
  <c r="M67" i="30" s="1"/>
  <c r="M70" i="30" s="1"/>
  <c r="G39" i="30"/>
  <c r="I39" i="30" s="1"/>
  <c r="I42" i="30" s="1"/>
  <c r="G39" i="31"/>
  <c r="I39" i="31" s="1"/>
  <c r="I42" i="31" s="1"/>
  <c r="K39" i="39"/>
  <c r="M39" i="39" s="1"/>
  <c r="M42" i="39" s="1"/>
  <c r="G39" i="32"/>
  <c r="I39" i="32" s="1"/>
  <c r="I42" i="32" s="1"/>
  <c r="G39" i="38"/>
  <c r="I39" i="38" s="1"/>
  <c r="I42" i="38" s="1"/>
  <c r="C39" i="30"/>
  <c r="E39" i="30" s="1"/>
  <c r="E42" i="30" s="1"/>
  <c r="K22" i="39"/>
  <c r="M22" i="39" s="1"/>
  <c r="C22" i="39"/>
  <c r="E22" i="39" s="1"/>
  <c r="G39" i="39"/>
  <c r="I39" i="39" s="1"/>
  <c r="I42" i="39" s="1"/>
  <c r="G22" i="39"/>
  <c r="I22" i="39" s="1"/>
  <c r="K23" i="38"/>
  <c r="M23" i="38" s="1"/>
  <c r="M26" i="38" s="1"/>
  <c r="M75" i="38" s="1"/>
  <c r="G22" i="38"/>
  <c r="I22" i="38" s="1"/>
  <c r="K39" i="38"/>
  <c r="M39" i="38" s="1"/>
  <c r="M42" i="38" s="1"/>
  <c r="K22" i="37"/>
  <c r="M22" i="37" s="1"/>
  <c r="C67" i="37"/>
  <c r="E67" i="37" s="1"/>
  <c r="E70" i="37" s="1"/>
  <c r="G67" i="37"/>
  <c r="I67" i="37" s="1"/>
  <c r="I70" i="37" s="1"/>
  <c r="C22" i="37"/>
  <c r="E22" i="37" s="1"/>
  <c r="K39" i="37"/>
  <c r="M39" i="37" s="1"/>
  <c r="M42" i="37" s="1"/>
  <c r="G22" i="37"/>
  <c r="I22" i="37" s="1"/>
  <c r="C23" i="36"/>
  <c r="E23" i="36" s="1"/>
  <c r="K23" i="36"/>
  <c r="M23" i="36" s="1"/>
  <c r="K39" i="36"/>
  <c r="M39" i="36" s="1"/>
  <c r="C39" i="36"/>
  <c r="E39" i="36" s="1"/>
  <c r="G22" i="36"/>
  <c r="I22" i="36" s="1"/>
  <c r="G22" i="32"/>
  <c r="I22" i="32" s="1"/>
  <c r="K23" i="32"/>
  <c r="M23" i="32" s="1"/>
  <c r="M26" i="32" s="1"/>
  <c r="M75" i="32" s="1"/>
  <c r="G23" i="31"/>
  <c r="I23" i="31" s="1"/>
  <c r="I26" i="31" s="1"/>
  <c r="I75" i="31" s="1"/>
  <c r="G67" i="31"/>
  <c r="I67" i="31" s="1"/>
  <c r="I70" i="31" s="1"/>
  <c r="K23" i="31"/>
  <c r="M23" i="31" s="1"/>
  <c r="M26" i="31" s="1"/>
  <c r="M75" i="31" s="1"/>
  <c r="C67" i="31"/>
  <c r="E67" i="31" s="1"/>
  <c r="E70" i="31" s="1"/>
  <c r="C22" i="31"/>
  <c r="E22" i="31" s="1"/>
  <c r="G22" i="30"/>
  <c r="I22" i="30" s="1"/>
  <c r="O37" i="30"/>
  <c r="Q37" i="30" s="1"/>
  <c r="Q40" i="30" s="1"/>
  <c r="K22" i="30"/>
  <c r="M22" i="30" s="1"/>
  <c r="C22" i="30"/>
  <c r="E22" i="30" s="1"/>
  <c r="E71" i="38" l="1"/>
  <c r="Q78" i="38"/>
  <c r="R11" i="35" s="1"/>
  <c r="S11" i="35" s="1"/>
  <c r="I71" i="39"/>
  <c r="Q25" i="15"/>
  <c r="Q19" i="29" s="1"/>
  <c r="I61" i="40"/>
  <c r="I64" i="40" s="1"/>
  <c r="M41" i="36"/>
  <c r="M71" i="39"/>
  <c r="E69" i="36"/>
  <c r="E60" i="40"/>
  <c r="E63" i="40" s="1"/>
  <c r="M18" i="40"/>
  <c r="Q38" i="29"/>
  <c r="M42" i="36"/>
  <c r="M34" i="40"/>
  <c r="M37" i="40" s="1"/>
  <c r="E70" i="36"/>
  <c r="E61" i="40"/>
  <c r="E64" i="40" s="1"/>
  <c r="E71" i="37"/>
  <c r="I34" i="40"/>
  <c r="I37" i="40" s="1"/>
  <c r="I41" i="36"/>
  <c r="I43" i="36" s="1"/>
  <c r="E42" i="36"/>
  <c r="E41" i="36"/>
  <c r="Q18" i="29"/>
  <c r="Q28" i="15"/>
  <c r="Q77" i="15" s="1"/>
  <c r="I18" i="40"/>
  <c r="Q26" i="36"/>
  <c r="Q75" i="36" s="1"/>
  <c r="Q19" i="40"/>
  <c r="Q22" i="40" s="1"/>
  <c r="Q69" i="40" s="1"/>
  <c r="M26" i="36"/>
  <c r="M75" i="36" s="1"/>
  <c r="E26" i="36"/>
  <c r="E75" i="36" s="1"/>
  <c r="Q78" i="31"/>
  <c r="R10" i="33" s="1"/>
  <c r="S10" i="33" s="1"/>
  <c r="Q78" i="32"/>
  <c r="Q32" i="34"/>
  <c r="Q35" i="34" s="1"/>
  <c r="I34" i="34"/>
  <c r="I37" i="34" s="1"/>
  <c r="Q59" i="34"/>
  <c r="Q62" i="34" s="1"/>
  <c r="I18" i="34"/>
  <c r="I33" i="34"/>
  <c r="I36" i="34" s="1"/>
  <c r="E33" i="34"/>
  <c r="E36" i="34" s="1"/>
  <c r="E43" i="30"/>
  <c r="Q60" i="34"/>
  <c r="Q63" i="34" s="1"/>
  <c r="E34" i="34"/>
  <c r="E37" i="34" s="1"/>
  <c r="M18" i="34"/>
  <c r="Q29" i="21"/>
  <c r="Q78" i="21"/>
  <c r="R12" i="52" s="1"/>
  <c r="S12" i="52" s="1"/>
  <c r="E62" i="40"/>
  <c r="Q29" i="27"/>
  <c r="Q78" i="26"/>
  <c r="R17" i="52" s="1"/>
  <c r="S17" i="52" s="1"/>
  <c r="Q29" i="26"/>
  <c r="Q78" i="25"/>
  <c r="R16" i="52" s="1"/>
  <c r="S16" i="52" s="1"/>
  <c r="Q29" i="25"/>
  <c r="Q29" i="22"/>
  <c r="Q29" i="19"/>
  <c r="I43" i="39"/>
  <c r="M43" i="39"/>
  <c r="E71" i="39"/>
  <c r="I71" i="38"/>
  <c r="M43" i="38"/>
  <c r="I43" i="38"/>
  <c r="Q29" i="38"/>
  <c r="M71" i="38"/>
  <c r="I38" i="37"/>
  <c r="I41" i="37" s="1"/>
  <c r="I43" i="37" s="1"/>
  <c r="I71" i="37"/>
  <c r="M38" i="37"/>
  <c r="M41" i="37" s="1"/>
  <c r="M43" i="37" s="1"/>
  <c r="M66" i="36"/>
  <c r="I66" i="36"/>
  <c r="Q78" i="22"/>
  <c r="R13" i="52" s="1"/>
  <c r="S13" i="52" s="1"/>
  <c r="Q78" i="19"/>
  <c r="R10" i="52" s="1"/>
  <c r="S10" i="52" s="1"/>
  <c r="O24" i="28"/>
  <c r="Q24" i="28" s="1"/>
  <c r="Q27" i="28" s="1"/>
  <c r="Q76" i="28" s="1"/>
  <c r="O24" i="24"/>
  <c r="Q24" i="24" s="1"/>
  <c r="Q27" i="24" s="1"/>
  <c r="Q76" i="24" s="1"/>
  <c r="O24" i="23"/>
  <c r="Q24" i="23" s="1"/>
  <c r="Q27" i="23" s="1"/>
  <c r="Q76" i="23" s="1"/>
  <c r="O24" i="20"/>
  <c r="Q24" i="20" s="1"/>
  <c r="Q27" i="20" s="1"/>
  <c r="Q76" i="20" s="1"/>
  <c r="O24" i="39"/>
  <c r="Q24" i="39" s="1"/>
  <c r="Q27" i="39" s="1"/>
  <c r="Q76" i="39" s="1"/>
  <c r="O25" i="39"/>
  <c r="Q25" i="39" s="1"/>
  <c r="Q28" i="39" s="1"/>
  <c r="Q77" i="39" s="1"/>
  <c r="O24" i="37"/>
  <c r="Q24" i="37" s="1"/>
  <c r="Q27" i="37" s="1"/>
  <c r="Q76" i="37" s="1"/>
  <c r="Q78" i="37" s="1"/>
  <c r="O25" i="36"/>
  <c r="Q25" i="36" s="1"/>
  <c r="I43" i="31"/>
  <c r="M43" i="32"/>
  <c r="O24" i="36"/>
  <c r="Q24" i="36" s="1"/>
  <c r="E43" i="31"/>
  <c r="E43" i="32"/>
  <c r="K66" i="37"/>
  <c r="M66" i="37" s="1"/>
  <c r="M69" i="37" s="1"/>
  <c r="K66" i="31"/>
  <c r="M66" i="31" s="1"/>
  <c r="M69" i="31" s="1"/>
  <c r="G66" i="32"/>
  <c r="I66" i="32" s="1"/>
  <c r="I69" i="32" s="1"/>
  <c r="C66" i="30"/>
  <c r="E66" i="30" s="1"/>
  <c r="E69" i="30" s="1"/>
  <c r="I43" i="32"/>
  <c r="K38" i="30"/>
  <c r="M38" i="30" s="1"/>
  <c r="M41" i="30" s="1"/>
  <c r="K38" i="31"/>
  <c r="M38" i="31" s="1"/>
  <c r="M41" i="31" s="1"/>
  <c r="I43" i="30"/>
  <c r="E43" i="37"/>
  <c r="C38" i="39"/>
  <c r="E38" i="39" s="1"/>
  <c r="E41" i="39" s="1"/>
  <c r="C38" i="38"/>
  <c r="E38" i="38" s="1"/>
  <c r="E41" i="38" s="1"/>
  <c r="E71" i="32"/>
  <c r="I71" i="31"/>
  <c r="E71" i="31"/>
  <c r="Q71" i="30"/>
  <c r="M71" i="30"/>
  <c r="I71" i="30"/>
  <c r="O22" i="30"/>
  <c r="Q22" i="30" s="1"/>
  <c r="G23" i="39"/>
  <c r="I23" i="39" s="1"/>
  <c r="I26" i="39" s="1"/>
  <c r="I75" i="39" s="1"/>
  <c r="C23" i="39"/>
  <c r="E23" i="39" s="1"/>
  <c r="E26" i="39" s="1"/>
  <c r="E75" i="39" s="1"/>
  <c r="K23" i="39"/>
  <c r="M23" i="39" s="1"/>
  <c r="M26" i="39" s="1"/>
  <c r="M75" i="39" s="1"/>
  <c r="C39" i="39"/>
  <c r="E39" i="39" s="1"/>
  <c r="E42" i="39" s="1"/>
  <c r="C22" i="38"/>
  <c r="E22" i="38" s="1"/>
  <c r="E18" i="40" s="1"/>
  <c r="G23" i="38"/>
  <c r="I23" i="38" s="1"/>
  <c r="I26" i="38" s="1"/>
  <c r="I75" i="38" s="1"/>
  <c r="C39" i="38"/>
  <c r="E39" i="38" s="1"/>
  <c r="E42" i="38" s="1"/>
  <c r="C23" i="37"/>
  <c r="E23" i="37" s="1"/>
  <c r="E26" i="37" s="1"/>
  <c r="E75" i="37" s="1"/>
  <c r="K23" i="37"/>
  <c r="M23" i="37" s="1"/>
  <c r="M26" i="37" s="1"/>
  <c r="M75" i="37" s="1"/>
  <c r="K67" i="37"/>
  <c r="M67" i="37" s="1"/>
  <c r="G23" i="36"/>
  <c r="I23" i="36" s="1"/>
  <c r="K25" i="32"/>
  <c r="M25" i="32" s="1"/>
  <c r="M28" i="32" s="1"/>
  <c r="M77" i="32" s="1"/>
  <c r="G23" i="32"/>
  <c r="I23" i="32" s="1"/>
  <c r="I26" i="32" s="1"/>
  <c r="I75" i="32" s="1"/>
  <c r="G67" i="32"/>
  <c r="I67" i="32" s="1"/>
  <c r="I70" i="32" s="1"/>
  <c r="C22" i="32"/>
  <c r="E22" i="32" s="1"/>
  <c r="G25" i="31"/>
  <c r="I25" i="31" s="1"/>
  <c r="I28" i="31" s="1"/>
  <c r="I77" i="31" s="1"/>
  <c r="K39" i="31"/>
  <c r="M39" i="31" s="1"/>
  <c r="M42" i="31" s="1"/>
  <c r="K67" i="31"/>
  <c r="M67" i="31" s="1"/>
  <c r="M70" i="31" s="1"/>
  <c r="K39" i="30"/>
  <c r="M39" i="30" s="1"/>
  <c r="M42" i="30" s="1"/>
  <c r="O38" i="30"/>
  <c r="Q38" i="30" s="1"/>
  <c r="Q41" i="30" s="1"/>
  <c r="K23" i="30"/>
  <c r="M23" i="30" s="1"/>
  <c r="M26" i="30" s="1"/>
  <c r="M75" i="30" s="1"/>
  <c r="G23" i="30"/>
  <c r="I23" i="30" s="1"/>
  <c r="I26" i="30" s="1"/>
  <c r="I75" i="30" s="1"/>
  <c r="C67" i="30"/>
  <c r="E67" i="30" s="1"/>
  <c r="E70" i="30" s="1"/>
  <c r="M43" i="36" l="1"/>
  <c r="E43" i="36"/>
  <c r="E43" i="38"/>
  <c r="Q22" i="29"/>
  <c r="Q69" i="29" s="1"/>
  <c r="E71" i="36"/>
  <c r="E34" i="40"/>
  <c r="E37" i="40" s="1"/>
  <c r="O27" i="15"/>
  <c r="Q27" i="15" s="1"/>
  <c r="O26" i="15"/>
  <c r="Q26" i="15" s="1"/>
  <c r="Q29" i="15" s="1"/>
  <c r="E33" i="40"/>
  <c r="E36" i="40" s="1"/>
  <c r="M33" i="40"/>
  <c r="M36" i="40" s="1"/>
  <c r="M38" i="40" s="1"/>
  <c r="I69" i="36"/>
  <c r="I71" i="36" s="1"/>
  <c r="I60" i="40"/>
  <c r="I63" i="40" s="1"/>
  <c r="I65" i="40" s="1"/>
  <c r="M69" i="36"/>
  <c r="M71" i="36" s="1"/>
  <c r="M60" i="40"/>
  <c r="M63" i="40" s="1"/>
  <c r="I33" i="40"/>
  <c r="I36" i="40" s="1"/>
  <c r="I38" i="40" s="1"/>
  <c r="M70" i="37"/>
  <c r="M71" i="37" s="1"/>
  <c r="M61" i="40"/>
  <c r="M64" i="40" s="1"/>
  <c r="Q78" i="39"/>
  <c r="Q28" i="36"/>
  <c r="Q77" i="36" s="1"/>
  <c r="Q21" i="40"/>
  <c r="Q24" i="40" s="1"/>
  <c r="Q71" i="40" s="1"/>
  <c r="Q27" i="36"/>
  <c r="Q20" i="40"/>
  <c r="Q23" i="40" s="1"/>
  <c r="I26" i="36"/>
  <c r="I75" i="36" s="1"/>
  <c r="M19" i="40"/>
  <c r="M22" i="40" s="1"/>
  <c r="M69" i="40" s="1"/>
  <c r="M59" i="34"/>
  <c r="M62" i="34" s="1"/>
  <c r="Q29" i="32"/>
  <c r="E18" i="34"/>
  <c r="I59" i="34"/>
  <c r="I62" i="34" s="1"/>
  <c r="I60" i="34"/>
  <c r="I63" i="34" s="1"/>
  <c r="E38" i="34"/>
  <c r="M60" i="34"/>
  <c r="M63" i="34" s="1"/>
  <c r="M34" i="34"/>
  <c r="M37" i="34" s="1"/>
  <c r="E59" i="34"/>
  <c r="E62" i="34" s="1"/>
  <c r="I38" i="34"/>
  <c r="Q18" i="34"/>
  <c r="E60" i="34"/>
  <c r="E63" i="34" s="1"/>
  <c r="M33" i="34"/>
  <c r="M36" i="34" s="1"/>
  <c r="Q64" i="34"/>
  <c r="Q33" i="34"/>
  <c r="Q36" i="34" s="1"/>
  <c r="Q78" i="28"/>
  <c r="R19" i="52" s="1"/>
  <c r="S19" i="52" s="1"/>
  <c r="Q29" i="28"/>
  <c r="Q29" i="24"/>
  <c r="Q78" i="23"/>
  <c r="R14" i="52" s="1"/>
  <c r="S14" i="52" s="1"/>
  <c r="Q29" i="23"/>
  <c r="Q29" i="20"/>
  <c r="Q29" i="39"/>
  <c r="E43" i="39"/>
  <c r="Q29" i="37"/>
  <c r="Q78" i="27"/>
  <c r="R18" i="52" s="1"/>
  <c r="S18" i="52" s="1"/>
  <c r="Q78" i="24"/>
  <c r="R15" i="52" s="1"/>
  <c r="S15" i="52" s="1"/>
  <c r="Q78" i="20"/>
  <c r="C23" i="31"/>
  <c r="E23" i="31" s="1"/>
  <c r="E26" i="31" s="1"/>
  <c r="E75" i="31" s="1"/>
  <c r="R11" i="33"/>
  <c r="S11" i="33" s="1"/>
  <c r="K24" i="36"/>
  <c r="M24" i="36" s="1"/>
  <c r="G24" i="31"/>
  <c r="I24" i="31" s="1"/>
  <c r="I27" i="31" s="1"/>
  <c r="I76" i="31" s="1"/>
  <c r="K24" i="31"/>
  <c r="M24" i="31" s="1"/>
  <c r="M27" i="31" s="1"/>
  <c r="M76" i="31" s="1"/>
  <c r="M43" i="30"/>
  <c r="M43" i="31"/>
  <c r="K24" i="38"/>
  <c r="M24" i="38" s="1"/>
  <c r="M27" i="38" s="1"/>
  <c r="M76" i="38" s="1"/>
  <c r="C24" i="36"/>
  <c r="E24" i="36" s="1"/>
  <c r="K24" i="32"/>
  <c r="M24" i="32" s="1"/>
  <c r="M27" i="32" s="1"/>
  <c r="M76" i="32" s="1"/>
  <c r="E65" i="40"/>
  <c r="I71" i="32"/>
  <c r="M71" i="31"/>
  <c r="E71" i="30"/>
  <c r="O39" i="30"/>
  <c r="Q39" i="30" s="1"/>
  <c r="Q42" i="30" s="1"/>
  <c r="C25" i="36"/>
  <c r="E25" i="36" s="1"/>
  <c r="K25" i="38"/>
  <c r="M25" i="38" s="1"/>
  <c r="M28" i="38" s="1"/>
  <c r="M77" i="38" s="1"/>
  <c r="C23" i="38"/>
  <c r="E23" i="38" s="1"/>
  <c r="E19" i="40" s="1"/>
  <c r="G23" i="37"/>
  <c r="I23" i="37" s="1"/>
  <c r="I26" i="37" s="1"/>
  <c r="I75" i="37" s="1"/>
  <c r="K25" i="36"/>
  <c r="M25" i="36" s="1"/>
  <c r="G25" i="36"/>
  <c r="I25" i="36" s="1"/>
  <c r="K25" i="31"/>
  <c r="M25" i="31" s="1"/>
  <c r="M28" i="31" s="1"/>
  <c r="M77" i="31" s="1"/>
  <c r="G25" i="30"/>
  <c r="I25" i="30" s="1"/>
  <c r="I28" i="30" s="1"/>
  <c r="I77" i="30" s="1"/>
  <c r="C23" i="30"/>
  <c r="E23" i="30" s="1"/>
  <c r="E26" i="30" s="1"/>
  <c r="E75" i="30" s="1"/>
  <c r="E38" i="40" l="1"/>
  <c r="E26" i="38"/>
  <c r="E75" i="38" s="1"/>
  <c r="M78" i="38"/>
  <c r="Q20" i="29"/>
  <c r="Q23" i="29" s="1"/>
  <c r="Q70" i="29" s="1"/>
  <c r="Q78" i="15"/>
  <c r="Q30" i="15"/>
  <c r="Q79" i="15" s="1"/>
  <c r="Q21" i="29"/>
  <c r="Q24" i="29" s="1"/>
  <c r="Q71" i="29" s="1"/>
  <c r="M65" i="40"/>
  <c r="Q70" i="40"/>
  <c r="Q72" i="40" s="1"/>
  <c r="Q25" i="40"/>
  <c r="Q76" i="36"/>
  <c r="Q78" i="36" s="1"/>
  <c r="R9" i="35" s="1"/>
  <c r="S9" i="35" s="1"/>
  <c r="Q29" i="36"/>
  <c r="M28" i="36"/>
  <c r="M77" i="36" s="1"/>
  <c r="M27" i="36"/>
  <c r="M76" i="36" s="1"/>
  <c r="I28" i="36"/>
  <c r="I77" i="36" s="1"/>
  <c r="E28" i="36"/>
  <c r="E77" i="36" s="1"/>
  <c r="E27" i="36"/>
  <c r="E76" i="36" s="1"/>
  <c r="I19" i="40"/>
  <c r="I22" i="40" s="1"/>
  <c r="I69" i="40" s="1"/>
  <c r="I19" i="34"/>
  <c r="E64" i="34"/>
  <c r="M19" i="34"/>
  <c r="M29" i="31"/>
  <c r="I64" i="34"/>
  <c r="M38" i="34"/>
  <c r="M78" i="32"/>
  <c r="I78" i="31"/>
  <c r="J10" i="33" s="1"/>
  <c r="K10" i="33" s="1"/>
  <c r="Q34" i="34"/>
  <c r="Q37" i="34" s="1"/>
  <c r="M29" i="38"/>
  <c r="R11" i="52"/>
  <c r="R12" i="35"/>
  <c r="S12" i="35" s="1"/>
  <c r="R10" i="35"/>
  <c r="S10" i="35" s="1"/>
  <c r="M64" i="34"/>
  <c r="C23" i="32"/>
  <c r="E23" i="32" s="1"/>
  <c r="E26" i="32" s="1"/>
  <c r="E75" i="32" s="1"/>
  <c r="O23" i="30"/>
  <c r="Q23" i="30" s="1"/>
  <c r="Q26" i="30" s="1"/>
  <c r="Q75" i="30" s="1"/>
  <c r="K24" i="37"/>
  <c r="M24" i="37" s="1"/>
  <c r="M27" i="37" s="1"/>
  <c r="M76" i="37" s="1"/>
  <c r="C24" i="39"/>
  <c r="E24" i="39" s="1"/>
  <c r="E27" i="39" s="1"/>
  <c r="E76" i="39" s="1"/>
  <c r="G24" i="36"/>
  <c r="I24" i="36" s="1"/>
  <c r="G24" i="30"/>
  <c r="I24" i="30" s="1"/>
  <c r="I27" i="30" s="1"/>
  <c r="I76" i="30" s="1"/>
  <c r="K24" i="39"/>
  <c r="M24" i="39" s="1"/>
  <c r="M27" i="39" s="1"/>
  <c r="M76" i="39" s="1"/>
  <c r="K24" i="30"/>
  <c r="M24" i="30" s="1"/>
  <c r="M27" i="30" s="1"/>
  <c r="M76" i="30" s="1"/>
  <c r="G24" i="38"/>
  <c r="I24" i="38" s="1"/>
  <c r="I27" i="38" s="1"/>
  <c r="I76" i="38" s="1"/>
  <c r="G24" i="32"/>
  <c r="I24" i="32" s="1"/>
  <c r="I27" i="32" s="1"/>
  <c r="I76" i="32" s="1"/>
  <c r="G24" i="39"/>
  <c r="I24" i="39" s="1"/>
  <c r="I27" i="39" s="1"/>
  <c r="I76" i="39" s="1"/>
  <c r="C24" i="31"/>
  <c r="E24" i="31" s="1"/>
  <c r="E27" i="31" s="1"/>
  <c r="E76" i="31" s="1"/>
  <c r="C24" i="37"/>
  <c r="E24" i="37" s="1"/>
  <c r="E27" i="37" s="1"/>
  <c r="E76" i="37" s="1"/>
  <c r="I29" i="31"/>
  <c r="Q43" i="30"/>
  <c r="M29" i="32"/>
  <c r="C25" i="31"/>
  <c r="E25" i="31" s="1"/>
  <c r="E28" i="31" s="1"/>
  <c r="E77" i="31" s="1"/>
  <c r="C25" i="39"/>
  <c r="E25" i="39" s="1"/>
  <c r="E28" i="39" s="1"/>
  <c r="E77" i="39" s="1"/>
  <c r="G25" i="32"/>
  <c r="I25" i="32" s="1"/>
  <c r="I28" i="32" s="1"/>
  <c r="I77" i="32" s="1"/>
  <c r="E22" i="40"/>
  <c r="K25" i="39"/>
  <c r="M25" i="39" s="1"/>
  <c r="M28" i="39" s="1"/>
  <c r="M77" i="39" s="1"/>
  <c r="G25" i="39"/>
  <c r="I25" i="39" s="1"/>
  <c r="I28" i="39" s="1"/>
  <c r="I77" i="39" s="1"/>
  <c r="G25" i="38"/>
  <c r="I25" i="38" s="1"/>
  <c r="I28" i="38" s="1"/>
  <c r="I77" i="38" s="1"/>
  <c r="C25" i="37"/>
  <c r="E25" i="37" s="1"/>
  <c r="E28" i="37" s="1"/>
  <c r="E77" i="37" s="1"/>
  <c r="K25" i="37"/>
  <c r="M25" i="37" s="1"/>
  <c r="M28" i="37" s="1"/>
  <c r="M77" i="37" s="1"/>
  <c r="K25" i="30"/>
  <c r="M25" i="30" s="1"/>
  <c r="M28" i="30" s="1"/>
  <c r="M77" i="30" s="1"/>
  <c r="E78" i="36" l="1"/>
  <c r="F9" i="35" s="1"/>
  <c r="G9" i="35" s="1"/>
  <c r="E78" i="39"/>
  <c r="Q72" i="29"/>
  <c r="Q25" i="29"/>
  <c r="Q31" i="15"/>
  <c r="Q80" i="15"/>
  <c r="E29" i="36"/>
  <c r="M22" i="34"/>
  <c r="M68" i="34" s="1"/>
  <c r="M29" i="36"/>
  <c r="E69" i="40"/>
  <c r="S69" i="40" s="1"/>
  <c r="E78" i="37"/>
  <c r="M78" i="39"/>
  <c r="I22" i="34"/>
  <c r="I68" i="34" s="1"/>
  <c r="M20" i="40"/>
  <c r="M23" i="40" s="1"/>
  <c r="I78" i="39"/>
  <c r="M78" i="36"/>
  <c r="N9" i="35" s="1"/>
  <c r="O9" i="35" s="1"/>
  <c r="I27" i="36"/>
  <c r="I76" i="36" s="1"/>
  <c r="I78" i="36" s="1"/>
  <c r="M21" i="40"/>
  <c r="M24" i="40" s="1"/>
  <c r="M71" i="40" s="1"/>
  <c r="I78" i="38"/>
  <c r="J11" i="35" s="1"/>
  <c r="K11" i="35" s="1"/>
  <c r="M78" i="37"/>
  <c r="N10" i="35" s="1"/>
  <c r="O10" i="35" s="1"/>
  <c r="Q38" i="34"/>
  <c r="M78" i="31"/>
  <c r="N10" i="33" s="1"/>
  <c r="O10" i="33" s="1"/>
  <c r="E19" i="34"/>
  <c r="C25" i="32"/>
  <c r="E25" i="32" s="1"/>
  <c r="E28" i="32" s="1"/>
  <c r="E77" i="32" s="1"/>
  <c r="E78" i="31"/>
  <c r="M20" i="34"/>
  <c r="Q19" i="34"/>
  <c r="M21" i="34"/>
  <c r="S13" i="35"/>
  <c r="S11" i="52"/>
  <c r="E29" i="39"/>
  <c r="M29" i="39"/>
  <c r="I29" i="39"/>
  <c r="I29" i="38"/>
  <c r="E29" i="37"/>
  <c r="M29" i="37"/>
  <c r="N11" i="35"/>
  <c r="O11" i="35" s="1"/>
  <c r="O25" i="30"/>
  <c r="Q25" i="30" s="1"/>
  <c r="Q28" i="30" s="1"/>
  <c r="Q77" i="30" s="1"/>
  <c r="N11" i="33"/>
  <c r="O11" i="33" s="1"/>
  <c r="G24" i="37"/>
  <c r="I24" i="37" s="1"/>
  <c r="I27" i="37" s="1"/>
  <c r="I76" i="37" s="1"/>
  <c r="C24" i="30"/>
  <c r="E24" i="30" s="1"/>
  <c r="E27" i="30" s="1"/>
  <c r="E76" i="30" s="1"/>
  <c r="C24" i="32"/>
  <c r="E24" i="32" s="1"/>
  <c r="E27" i="32" s="1"/>
  <c r="E76" i="32" s="1"/>
  <c r="C24" i="38"/>
  <c r="E24" i="38" s="1"/>
  <c r="E27" i="38" s="1"/>
  <c r="E76" i="38" s="1"/>
  <c r="E29" i="31"/>
  <c r="M29" i="30"/>
  <c r="C25" i="30"/>
  <c r="E25" i="30" s="1"/>
  <c r="E28" i="30" s="1"/>
  <c r="E77" i="30" s="1"/>
  <c r="C25" i="38"/>
  <c r="E25" i="38" s="1"/>
  <c r="E28" i="38" s="1"/>
  <c r="E77" i="38" s="1"/>
  <c r="G25" i="37"/>
  <c r="I25" i="37" s="1"/>
  <c r="B69" i="15"/>
  <c r="K38" i="15"/>
  <c r="G38" i="15"/>
  <c r="C38" i="15"/>
  <c r="E38" i="15" s="1"/>
  <c r="B68" i="15"/>
  <c r="D69" i="15"/>
  <c r="D68" i="15"/>
  <c r="D67" i="15"/>
  <c r="D66" i="15"/>
  <c r="D41" i="15"/>
  <c r="D40" i="15"/>
  <c r="B67" i="15"/>
  <c r="B66" i="15"/>
  <c r="C55" i="29"/>
  <c r="B34" i="29"/>
  <c r="B33" i="29"/>
  <c r="B32" i="29"/>
  <c r="B31" i="29"/>
  <c r="K28" i="29"/>
  <c r="K41" i="29" s="1"/>
  <c r="G28" i="29"/>
  <c r="G41" i="29" s="1"/>
  <c r="B27" i="29"/>
  <c r="B54" i="29" s="1"/>
  <c r="B67" i="29" s="1"/>
  <c r="B21" i="29"/>
  <c r="B20" i="29"/>
  <c r="B19" i="29"/>
  <c r="B18" i="29"/>
  <c r="B17" i="29"/>
  <c r="K64" i="28"/>
  <c r="M64" i="28" s="1"/>
  <c r="G64" i="28"/>
  <c r="I64" i="28" s="1"/>
  <c r="C64" i="28"/>
  <c r="E64" i="28" s="1"/>
  <c r="C60" i="28"/>
  <c r="L39" i="28"/>
  <c r="H39" i="28"/>
  <c r="D39" i="28"/>
  <c r="B39" i="28"/>
  <c r="L38" i="28"/>
  <c r="H38" i="28"/>
  <c r="D38" i="28"/>
  <c r="B38" i="28"/>
  <c r="L37" i="28"/>
  <c r="H37" i="28"/>
  <c r="D37" i="28"/>
  <c r="B37" i="28"/>
  <c r="L36" i="28"/>
  <c r="K36" i="28"/>
  <c r="H36" i="28"/>
  <c r="G36" i="28"/>
  <c r="D36" i="28"/>
  <c r="C36" i="28"/>
  <c r="B36" i="28"/>
  <c r="K32" i="28"/>
  <c r="K46" i="28" s="1"/>
  <c r="G60" i="28"/>
  <c r="B31" i="28"/>
  <c r="B59" i="28" s="1"/>
  <c r="B73" i="28" s="1"/>
  <c r="L25" i="28"/>
  <c r="H25" i="28"/>
  <c r="D25" i="28"/>
  <c r="B25" i="28"/>
  <c r="L24" i="28"/>
  <c r="H24" i="28"/>
  <c r="D24" i="28"/>
  <c r="B24" i="28"/>
  <c r="L23" i="28"/>
  <c r="H23" i="28"/>
  <c r="D23" i="28"/>
  <c r="B23" i="28"/>
  <c r="L22" i="28"/>
  <c r="H22" i="28"/>
  <c r="D22" i="28"/>
  <c r="B22" i="28"/>
  <c r="L21" i="28"/>
  <c r="H21" i="28"/>
  <c r="D21" i="28"/>
  <c r="B21" i="28"/>
  <c r="K64" i="27"/>
  <c r="M64" i="27" s="1"/>
  <c r="G64" i="27"/>
  <c r="I64" i="27" s="1"/>
  <c r="C64" i="27"/>
  <c r="E64" i="27" s="1"/>
  <c r="C60" i="27"/>
  <c r="L39" i="27"/>
  <c r="H39" i="27"/>
  <c r="D39" i="27"/>
  <c r="B39" i="27"/>
  <c r="L38" i="27"/>
  <c r="H38" i="27"/>
  <c r="D38" i="27"/>
  <c r="B38" i="27"/>
  <c r="L37" i="27"/>
  <c r="H37" i="27"/>
  <c r="D37" i="27"/>
  <c r="B37" i="27"/>
  <c r="L36" i="27"/>
  <c r="K36" i="27"/>
  <c r="H36" i="27"/>
  <c r="G36" i="27"/>
  <c r="D36" i="27"/>
  <c r="C36" i="27"/>
  <c r="B36" i="27"/>
  <c r="K60" i="27"/>
  <c r="G60" i="27"/>
  <c r="B31" i="27"/>
  <c r="B59" i="27" s="1"/>
  <c r="B73" i="27" s="1"/>
  <c r="L25" i="27"/>
  <c r="D25" i="27"/>
  <c r="B25" i="27"/>
  <c r="L24" i="27"/>
  <c r="D24" i="27"/>
  <c r="B24" i="27"/>
  <c r="L23" i="27"/>
  <c r="D23" i="27"/>
  <c r="B23" i="27"/>
  <c r="L22" i="27"/>
  <c r="D22" i="27"/>
  <c r="B22" i="27"/>
  <c r="L21" i="27"/>
  <c r="D21" i="27"/>
  <c r="B21" i="27"/>
  <c r="K64" i="26"/>
  <c r="M64" i="26" s="1"/>
  <c r="G64" i="26"/>
  <c r="I64" i="26" s="1"/>
  <c r="C64" i="26"/>
  <c r="E64" i="26" s="1"/>
  <c r="L39" i="26"/>
  <c r="H39" i="26"/>
  <c r="D39" i="26"/>
  <c r="B39" i="26"/>
  <c r="L38" i="26"/>
  <c r="H38" i="26"/>
  <c r="D38" i="26"/>
  <c r="B38" i="26"/>
  <c r="L37" i="26"/>
  <c r="H37" i="26"/>
  <c r="D37" i="26"/>
  <c r="B37" i="26"/>
  <c r="L36" i="26"/>
  <c r="K36" i="26"/>
  <c r="H36" i="26"/>
  <c r="I36" i="26" s="1"/>
  <c r="G36" i="26"/>
  <c r="D36" i="26"/>
  <c r="C36" i="26"/>
  <c r="B36" i="26"/>
  <c r="B31" i="26"/>
  <c r="B59" i="26" s="1"/>
  <c r="B73" i="26" s="1"/>
  <c r="L25" i="26"/>
  <c r="H25" i="26"/>
  <c r="D25" i="26"/>
  <c r="B25" i="26"/>
  <c r="L24" i="26"/>
  <c r="H24" i="26"/>
  <c r="D24" i="26"/>
  <c r="B24" i="26"/>
  <c r="L23" i="26"/>
  <c r="H23" i="26"/>
  <c r="D23" i="26"/>
  <c r="B23" i="26"/>
  <c r="L22" i="26"/>
  <c r="H22" i="26"/>
  <c r="D22" i="26"/>
  <c r="B22" i="26"/>
  <c r="L21" i="26"/>
  <c r="H21" i="26"/>
  <c r="D21" i="26"/>
  <c r="B21" i="26"/>
  <c r="K64" i="25"/>
  <c r="M64" i="25" s="1"/>
  <c r="G64" i="25"/>
  <c r="I64" i="25" s="1"/>
  <c r="C64" i="25"/>
  <c r="E64" i="25" s="1"/>
  <c r="L39" i="25"/>
  <c r="H39" i="25"/>
  <c r="D39" i="25"/>
  <c r="B39" i="25"/>
  <c r="L38" i="25"/>
  <c r="H38" i="25"/>
  <c r="D38" i="25"/>
  <c r="B38" i="25"/>
  <c r="L37" i="25"/>
  <c r="H37" i="25"/>
  <c r="D37" i="25"/>
  <c r="B37" i="25"/>
  <c r="L36" i="25"/>
  <c r="K36" i="25"/>
  <c r="H36" i="25"/>
  <c r="G36" i="25"/>
  <c r="D36" i="25"/>
  <c r="C36" i="25"/>
  <c r="B36" i="25"/>
  <c r="B31" i="25"/>
  <c r="B59" i="25" s="1"/>
  <c r="B73" i="25" s="1"/>
  <c r="L25" i="25"/>
  <c r="H25" i="25"/>
  <c r="D25" i="25"/>
  <c r="B25" i="25"/>
  <c r="L24" i="25"/>
  <c r="H24" i="25"/>
  <c r="D24" i="25"/>
  <c r="B24" i="25"/>
  <c r="L23" i="25"/>
  <c r="H23" i="25"/>
  <c r="D23" i="25"/>
  <c r="B23" i="25"/>
  <c r="L22" i="25"/>
  <c r="H22" i="25"/>
  <c r="D22" i="25"/>
  <c r="B22" i="25"/>
  <c r="L21" i="25"/>
  <c r="H21" i="25"/>
  <c r="D21" i="25"/>
  <c r="B21" i="25"/>
  <c r="K64" i="24"/>
  <c r="M64" i="24" s="1"/>
  <c r="G64" i="24"/>
  <c r="I64" i="24" s="1"/>
  <c r="C64" i="24"/>
  <c r="E64" i="24" s="1"/>
  <c r="C60" i="24"/>
  <c r="L39" i="24"/>
  <c r="H39" i="24"/>
  <c r="D39" i="24"/>
  <c r="B39" i="24"/>
  <c r="L38" i="24"/>
  <c r="H38" i="24"/>
  <c r="D38" i="24"/>
  <c r="B38" i="24"/>
  <c r="L37" i="24"/>
  <c r="H37" i="24"/>
  <c r="D37" i="24"/>
  <c r="B37" i="24"/>
  <c r="L36" i="24"/>
  <c r="K36" i="24"/>
  <c r="H36" i="24"/>
  <c r="G36" i="24"/>
  <c r="D36" i="24"/>
  <c r="C36" i="24"/>
  <c r="E36" i="24" s="1"/>
  <c r="B36" i="24"/>
  <c r="K32" i="24"/>
  <c r="K46" i="24" s="1"/>
  <c r="G32" i="24"/>
  <c r="G46" i="24" s="1"/>
  <c r="B31" i="24"/>
  <c r="B59" i="24" s="1"/>
  <c r="B73" i="24" s="1"/>
  <c r="L25" i="24"/>
  <c r="H25" i="24"/>
  <c r="D25" i="24"/>
  <c r="B25" i="24"/>
  <c r="L24" i="24"/>
  <c r="H24" i="24"/>
  <c r="D24" i="24"/>
  <c r="B24" i="24"/>
  <c r="L23" i="24"/>
  <c r="H23" i="24"/>
  <c r="D23" i="24"/>
  <c r="B23" i="24"/>
  <c r="L22" i="24"/>
  <c r="H22" i="24"/>
  <c r="D22" i="24"/>
  <c r="B22" i="24"/>
  <c r="L21" i="24"/>
  <c r="H21" i="24"/>
  <c r="D21" i="24"/>
  <c r="B21" i="24"/>
  <c r="K64" i="23"/>
  <c r="M64" i="23" s="1"/>
  <c r="G64" i="23"/>
  <c r="I64" i="23" s="1"/>
  <c r="C64" i="23"/>
  <c r="E64" i="23" s="1"/>
  <c r="C60" i="23"/>
  <c r="L39" i="23"/>
  <c r="H39" i="23"/>
  <c r="D39" i="23"/>
  <c r="B39" i="23"/>
  <c r="L38" i="23"/>
  <c r="H38" i="23"/>
  <c r="D38" i="23"/>
  <c r="B38" i="23"/>
  <c r="L37" i="23"/>
  <c r="H37" i="23"/>
  <c r="D37" i="23"/>
  <c r="B37" i="23"/>
  <c r="L36" i="23"/>
  <c r="K36" i="23"/>
  <c r="H36" i="23"/>
  <c r="G36" i="23"/>
  <c r="D36" i="23"/>
  <c r="C36" i="23"/>
  <c r="B36" i="23"/>
  <c r="K32" i="23"/>
  <c r="K46" i="23" s="1"/>
  <c r="G32" i="23"/>
  <c r="G46" i="23" s="1"/>
  <c r="B31" i="23"/>
  <c r="B59" i="23" s="1"/>
  <c r="B73" i="23" s="1"/>
  <c r="L25" i="23"/>
  <c r="H25" i="23"/>
  <c r="D25" i="23"/>
  <c r="B25" i="23"/>
  <c r="L24" i="23"/>
  <c r="H24" i="23"/>
  <c r="D24" i="23"/>
  <c r="B24" i="23"/>
  <c r="L23" i="23"/>
  <c r="H23" i="23"/>
  <c r="D23" i="23"/>
  <c r="B23" i="23"/>
  <c r="L22" i="23"/>
  <c r="H22" i="23"/>
  <c r="D22" i="23"/>
  <c r="B22" i="23"/>
  <c r="L21" i="23"/>
  <c r="H21" i="23"/>
  <c r="D21" i="23"/>
  <c r="B21" i="23"/>
  <c r="K64" i="22"/>
  <c r="M64" i="22" s="1"/>
  <c r="G64" i="22"/>
  <c r="I64" i="22" s="1"/>
  <c r="C64" i="22"/>
  <c r="E64" i="22" s="1"/>
  <c r="C60" i="22"/>
  <c r="L39" i="22"/>
  <c r="H39" i="22"/>
  <c r="D39" i="22"/>
  <c r="B39" i="22"/>
  <c r="L38" i="22"/>
  <c r="H38" i="22"/>
  <c r="D38" i="22"/>
  <c r="B38" i="22"/>
  <c r="L37" i="22"/>
  <c r="H37" i="22"/>
  <c r="D37" i="22"/>
  <c r="B37" i="22"/>
  <c r="L36" i="22"/>
  <c r="K36" i="22"/>
  <c r="H36" i="22"/>
  <c r="G36" i="22"/>
  <c r="D36" i="22"/>
  <c r="C36" i="22"/>
  <c r="B36" i="22"/>
  <c r="K32" i="22"/>
  <c r="K46" i="22" s="1"/>
  <c r="G32" i="22"/>
  <c r="G46" i="22" s="1"/>
  <c r="B31" i="22"/>
  <c r="B59" i="22" s="1"/>
  <c r="B73" i="22" s="1"/>
  <c r="L25" i="22"/>
  <c r="H25" i="22"/>
  <c r="D25" i="22"/>
  <c r="B25" i="22"/>
  <c r="L24" i="22"/>
  <c r="H24" i="22"/>
  <c r="D24" i="22"/>
  <c r="B24" i="22"/>
  <c r="L23" i="22"/>
  <c r="H23" i="22"/>
  <c r="D23" i="22"/>
  <c r="B23" i="22"/>
  <c r="L22" i="22"/>
  <c r="H22" i="22"/>
  <c r="D22" i="22"/>
  <c r="B22" i="22"/>
  <c r="L21" i="22"/>
  <c r="H21" i="22"/>
  <c r="D21" i="22"/>
  <c r="B21" i="22"/>
  <c r="B31" i="21"/>
  <c r="B59" i="21" s="1"/>
  <c r="B73" i="21" s="1"/>
  <c r="K64" i="21"/>
  <c r="M64" i="21" s="1"/>
  <c r="G64" i="21"/>
  <c r="I64" i="21" s="1"/>
  <c r="C64" i="21"/>
  <c r="E64" i="21" s="1"/>
  <c r="C60" i="21"/>
  <c r="L39" i="21"/>
  <c r="H39" i="21"/>
  <c r="D39" i="21"/>
  <c r="B39" i="21"/>
  <c r="L38" i="21"/>
  <c r="H38" i="21"/>
  <c r="D38" i="21"/>
  <c r="B38" i="21"/>
  <c r="L37" i="21"/>
  <c r="H37" i="21"/>
  <c r="D37" i="21"/>
  <c r="B37" i="21"/>
  <c r="L36" i="21"/>
  <c r="K36" i="21"/>
  <c r="H36" i="21"/>
  <c r="G36" i="21"/>
  <c r="D36" i="21"/>
  <c r="C36" i="21"/>
  <c r="B36" i="21"/>
  <c r="K60" i="21"/>
  <c r="G60" i="21"/>
  <c r="D25" i="21"/>
  <c r="B25" i="21"/>
  <c r="D24" i="21"/>
  <c r="B24" i="21"/>
  <c r="D23" i="21"/>
  <c r="B23" i="21"/>
  <c r="D22" i="21"/>
  <c r="B22" i="21"/>
  <c r="D21" i="21"/>
  <c r="B21" i="21"/>
  <c r="K64" i="20"/>
  <c r="M64" i="20" s="1"/>
  <c r="G64" i="20"/>
  <c r="I64" i="20" s="1"/>
  <c r="C64" i="20"/>
  <c r="E64" i="20" s="1"/>
  <c r="C60" i="20"/>
  <c r="L39" i="20"/>
  <c r="H39" i="20"/>
  <c r="D39" i="20"/>
  <c r="B39" i="20"/>
  <c r="L38" i="20"/>
  <c r="H38" i="20"/>
  <c r="D38" i="20"/>
  <c r="B38" i="20"/>
  <c r="L37" i="20"/>
  <c r="H37" i="20"/>
  <c r="D37" i="20"/>
  <c r="B37" i="20"/>
  <c r="L36" i="20"/>
  <c r="K36" i="20"/>
  <c r="H36" i="20"/>
  <c r="G36" i="20"/>
  <c r="D36" i="20"/>
  <c r="C36" i="20"/>
  <c r="B36" i="20"/>
  <c r="K32" i="20"/>
  <c r="K46" i="20" s="1"/>
  <c r="G32" i="20"/>
  <c r="G46" i="20" s="1"/>
  <c r="B31" i="20"/>
  <c r="B59" i="20" s="1"/>
  <c r="B73" i="20" s="1"/>
  <c r="L25" i="20"/>
  <c r="H25" i="20"/>
  <c r="D25" i="20"/>
  <c r="B25" i="20"/>
  <c r="L24" i="20"/>
  <c r="H24" i="20"/>
  <c r="D24" i="20"/>
  <c r="B24" i="20"/>
  <c r="L23" i="20"/>
  <c r="H23" i="20"/>
  <c r="D23" i="20"/>
  <c r="B23" i="20"/>
  <c r="L22" i="20"/>
  <c r="H22" i="20"/>
  <c r="D22" i="20"/>
  <c r="B22" i="20"/>
  <c r="L21" i="20"/>
  <c r="H21" i="20"/>
  <c r="D21" i="20"/>
  <c r="B21" i="20"/>
  <c r="B31" i="19"/>
  <c r="B59" i="19" s="1"/>
  <c r="B73" i="19" s="1"/>
  <c r="K64" i="19"/>
  <c r="M64" i="19" s="1"/>
  <c r="G64" i="19"/>
  <c r="I64" i="19" s="1"/>
  <c r="C64" i="19"/>
  <c r="E64" i="19" s="1"/>
  <c r="C60" i="19"/>
  <c r="L39" i="19"/>
  <c r="H39" i="19"/>
  <c r="D39" i="19"/>
  <c r="B39" i="19"/>
  <c r="L38" i="19"/>
  <c r="H38" i="19"/>
  <c r="D38" i="19"/>
  <c r="B38" i="19"/>
  <c r="L37" i="19"/>
  <c r="H37" i="19"/>
  <c r="D37" i="19"/>
  <c r="B37" i="19"/>
  <c r="L36" i="19"/>
  <c r="K36" i="19"/>
  <c r="H36" i="19"/>
  <c r="G36" i="19"/>
  <c r="D36" i="19"/>
  <c r="C36" i="19"/>
  <c r="B36" i="19"/>
  <c r="K60" i="19"/>
  <c r="G60" i="19"/>
  <c r="L25" i="19"/>
  <c r="H25" i="19"/>
  <c r="B25" i="19"/>
  <c r="L24" i="19"/>
  <c r="H24" i="19"/>
  <c r="B24" i="19"/>
  <c r="L23" i="19"/>
  <c r="H23" i="19"/>
  <c r="B23" i="19"/>
  <c r="L22" i="19"/>
  <c r="H22" i="19"/>
  <c r="B22" i="19"/>
  <c r="L21" i="19"/>
  <c r="H21" i="19"/>
  <c r="B21" i="19"/>
  <c r="I36" i="22" l="1"/>
  <c r="I36" i="23"/>
  <c r="G37" i="23" s="1"/>
  <c r="I37" i="23" s="1"/>
  <c r="I40" i="23" s="1"/>
  <c r="I36" i="20"/>
  <c r="I36" i="25"/>
  <c r="I36" i="27"/>
  <c r="M36" i="22"/>
  <c r="K37" i="22" s="1"/>
  <c r="M37" i="22" s="1"/>
  <c r="M40" i="22" s="1"/>
  <c r="M36" i="25"/>
  <c r="M36" i="20"/>
  <c r="K37" i="20" s="1"/>
  <c r="M37" i="20" s="1"/>
  <c r="M40" i="20" s="1"/>
  <c r="M36" i="23"/>
  <c r="K37" i="23" s="1"/>
  <c r="M37" i="23" s="1"/>
  <c r="M40" i="23" s="1"/>
  <c r="M36" i="19"/>
  <c r="M36" i="21"/>
  <c r="K37" i="21" s="1"/>
  <c r="M37" i="21" s="1"/>
  <c r="M40" i="21" s="1"/>
  <c r="M36" i="28"/>
  <c r="K37" i="28" s="1"/>
  <c r="M37" i="28" s="1"/>
  <c r="M40" i="28" s="1"/>
  <c r="M36" i="26"/>
  <c r="K37" i="26" s="1"/>
  <c r="M37" i="26" s="1"/>
  <c r="M40" i="26" s="1"/>
  <c r="M36" i="27"/>
  <c r="K37" i="27" s="1"/>
  <c r="M37" i="27" s="1"/>
  <c r="M40" i="27" s="1"/>
  <c r="M36" i="24"/>
  <c r="K37" i="24" s="1"/>
  <c r="M37" i="24" s="1"/>
  <c r="M40" i="24" s="1"/>
  <c r="I36" i="19"/>
  <c r="G37" i="19" s="1"/>
  <c r="I37" i="19" s="1"/>
  <c r="I40" i="19" s="1"/>
  <c r="I36" i="28"/>
  <c r="G37" i="28" s="1"/>
  <c r="I37" i="28" s="1"/>
  <c r="I40" i="28" s="1"/>
  <c r="I36" i="21"/>
  <c r="G37" i="21" s="1"/>
  <c r="I37" i="21" s="1"/>
  <c r="I40" i="21" s="1"/>
  <c r="I36" i="24"/>
  <c r="I29" i="36"/>
  <c r="E36" i="26"/>
  <c r="C37" i="26" s="1"/>
  <c r="E37" i="26" s="1"/>
  <c r="E40" i="26" s="1"/>
  <c r="E36" i="27"/>
  <c r="C37" i="27" s="1"/>
  <c r="E37" i="27" s="1"/>
  <c r="E40" i="27" s="1"/>
  <c r="E36" i="20"/>
  <c r="R9" i="52"/>
  <c r="S9" i="52" s="1"/>
  <c r="S20" i="52" s="1"/>
  <c r="I20" i="40"/>
  <c r="I23" i="40" s="1"/>
  <c r="I70" i="40" s="1"/>
  <c r="E36" i="23"/>
  <c r="C37" i="23" s="1"/>
  <c r="E37" i="23" s="1"/>
  <c r="E40" i="23" s="1"/>
  <c r="E36" i="19"/>
  <c r="C37" i="19" s="1"/>
  <c r="E37" i="19" s="1"/>
  <c r="E40" i="19" s="1"/>
  <c r="E36" i="22"/>
  <c r="C37" i="22" s="1"/>
  <c r="E37" i="22" s="1"/>
  <c r="E40" i="22" s="1"/>
  <c r="E36" i="25"/>
  <c r="C37" i="25" s="1"/>
  <c r="E37" i="25" s="1"/>
  <c r="E40" i="25" s="1"/>
  <c r="E36" i="21"/>
  <c r="E36" i="28"/>
  <c r="C37" i="28" s="1"/>
  <c r="E37" i="28" s="1"/>
  <c r="E40" i="28" s="1"/>
  <c r="E78" i="38"/>
  <c r="E20" i="40"/>
  <c r="E23" i="40" s="1"/>
  <c r="E22" i="34"/>
  <c r="E68" i="34" s="1"/>
  <c r="M24" i="34"/>
  <c r="M70" i="34" s="1"/>
  <c r="E21" i="40"/>
  <c r="E24" i="40" s="1"/>
  <c r="M70" i="40"/>
  <c r="M72" i="40" s="1"/>
  <c r="M25" i="40"/>
  <c r="Q22" i="34"/>
  <c r="Q68" i="34" s="1"/>
  <c r="I28" i="37"/>
  <c r="I77" i="37" s="1"/>
  <c r="I78" i="37" s="1"/>
  <c r="I21" i="40"/>
  <c r="I24" i="40" s="1"/>
  <c r="I71" i="40" s="1"/>
  <c r="M23" i="34"/>
  <c r="M69" i="34" s="1"/>
  <c r="M78" i="30"/>
  <c r="N9" i="33" s="1"/>
  <c r="O9" i="33" s="1"/>
  <c r="O12" i="33" s="1"/>
  <c r="I21" i="34"/>
  <c r="E21" i="34"/>
  <c r="Q21" i="34"/>
  <c r="I20" i="34"/>
  <c r="E20" i="34"/>
  <c r="E78" i="30"/>
  <c r="F9" i="33" s="1"/>
  <c r="E29" i="38"/>
  <c r="N12" i="35"/>
  <c r="J12" i="35"/>
  <c r="K12" i="35" s="1"/>
  <c r="J9" i="35"/>
  <c r="O24" i="30"/>
  <c r="Q24" i="30" s="1"/>
  <c r="Q27" i="30" s="1"/>
  <c r="Q76" i="30" s="1"/>
  <c r="F10" i="35"/>
  <c r="G10" i="35" s="1"/>
  <c r="F10" i="33"/>
  <c r="Q81" i="31"/>
  <c r="E29" i="32"/>
  <c r="G55" i="29"/>
  <c r="K55" i="29"/>
  <c r="K60" i="28"/>
  <c r="G60" i="24"/>
  <c r="K60" i="24"/>
  <c r="G60" i="23"/>
  <c r="K60" i="23"/>
  <c r="G60" i="22"/>
  <c r="K60" i="22"/>
  <c r="K60" i="20"/>
  <c r="G60" i="20"/>
  <c r="C65" i="25"/>
  <c r="E65" i="25" s="1"/>
  <c r="E68" i="25" s="1"/>
  <c r="G37" i="26"/>
  <c r="I37" i="26" s="1"/>
  <c r="I40" i="26" s="1"/>
  <c r="C65" i="19"/>
  <c r="E65" i="19" s="1"/>
  <c r="E68" i="19" s="1"/>
  <c r="E29" i="30"/>
  <c r="C65" i="26"/>
  <c r="E65" i="26" s="1"/>
  <c r="E68" i="26" s="1"/>
  <c r="C65" i="22"/>
  <c r="E65" i="22" s="1"/>
  <c r="E68" i="22" s="1"/>
  <c r="G37" i="22"/>
  <c r="I37" i="22" s="1"/>
  <c r="I40" i="22" s="1"/>
  <c r="K65" i="21"/>
  <c r="M65" i="21" s="1"/>
  <c r="M68" i="21" s="1"/>
  <c r="C65" i="21"/>
  <c r="E65" i="21" s="1"/>
  <c r="E68" i="21" s="1"/>
  <c r="G37" i="20"/>
  <c r="I37" i="20" s="1"/>
  <c r="I40" i="20" s="1"/>
  <c r="C65" i="20"/>
  <c r="E65" i="20" s="1"/>
  <c r="E68" i="20" s="1"/>
  <c r="C39" i="15"/>
  <c r="E39" i="15" s="1"/>
  <c r="E42" i="15" s="1"/>
  <c r="C65" i="27"/>
  <c r="E65" i="27" s="1"/>
  <c r="E68" i="27" s="1"/>
  <c r="G37" i="27"/>
  <c r="I37" i="27" s="1"/>
  <c r="I40" i="27" s="1"/>
  <c r="G37" i="25"/>
  <c r="I37" i="25" s="1"/>
  <c r="I40" i="25" s="1"/>
  <c r="C65" i="23"/>
  <c r="E65" i="23" s="1"/>
  <c r="E68" i="23" s="1"/>
  <c r="C65" i="24"/>
  <c r="E65" i="24" s="1"/>
  <c r="E68" i="24" s="1"/>
  <c r="G37" i="24"/>
  <c r="I37" i="24" s="1"/>
  <c r="I40" i="24" s="1"/>
  <c r="K21" i="23"/>
  <c r="M21" i="23" s="1"/>
  <c r="C21" i="20"/>
  <c r="E21" i="20" s="1"/>
  <c r="K21" i="20"/>
  <c r="M21" i="20" s="1"/>
  <c r="K21" i="24"/>
  <c r="M21" i="24" s="1"/>
  <c r="G21" i="26"/>
  <c r="I21" i="26" s="1"/>
  <c r="K21" i="27"/>
  <c r="M21" i="27" s="1"/>
  <c r="C21" i="23"/>
  <c r="E21" i="23" s="1"/>
  <c r="G21" i="19"/>
  <c r="I21" i="19" s="1"/>
  <c r="K21" i="21"/>
  <c r="M21" i="21" s="1"/>
  <c r="K21" i="22"/>
  <c r="M21" i="22" s="1"/>
  <c r="G21" i="27"/>
  <c r="I21" i="27" s="1"/>
  <c r="K21" i="25"/>
  <c r="M21" i="25" s="1"/>
  <c r="K21" i="26"/>
  <c r="M21" i="26" s="1"/>
  <c r="G65" i="28"/>
  <c r="I65" i="28" s="1"/>
  <c r="I68" i="28" s="1"/>
  <c r="G65" i="27"/>
  <c r="I65" i="27" s="1"/>
  <c r="I68" i="27" s="1"/>
  <c r="K65" i="27"/>
  <c r="M65" i="27" s="1"/>
  <c r="M68" i="27" s="1"/>
  <c r="G65" i="24"/>
  <c r="I65" i="24" s="1"/>
  <c r="I68" i="24" s="1"/>
  <c r="G65" i="23"/>
  <c r="I65" i="23" s="1"/>
  <c r="I68" i="23" s="1"/>
  <c r="G65" i="22"/>
  <c r="I65" i="22" s="1"/>
  <c r="I68" i="22" s="1"/>
  <c r="K65" i="22"/>
  <c r="M65" i="22" s="1"/>
  <c r="M68" i="22" s="1"/>
  <c r="C21" i="21"/>
  <c r="E21" i="21" s="1"/>
  <c r="G65" i="20"/>
  <c r="I65" i="20" s="1"/>
  <c r="I68" i="20" s="1"/>
  <c r="K37" i="19"/>
  <c r="M37" i="19" s="1"/>
  <c r="M40" i="19" s="1"/>
  <c r="I72" i="40" l="1"/>
  <c r="E31" i="29"/>
  <c r="M71" i="34"/>
  <c r="I23" i="34"/>
  <c r="I69" i="34" s="1"/>
  <c r="M25" i="34"/>
  <c r="Q24" i="34"/>
  <c r="Q70" i="34" s="1"/>
  <c r="I29" i="37"/>
  <c r="E24" i="34"/>
  <c r="I24" i="34"/>
  <c r="E70" i="40"/>
  <c r="E25" i="40"/>
  <c r="E23" i="34"/>
  <c r="E69" i="34" s="1"/>
  <c r="I25" i="40"/>
  <c r="E71" i="40"/>
  <c r="S71" i="40" s="1"/>
  <c r="E78" i="32"/>
  <c r="I78" i="32"/>
  <c r="J11" i="33" s="1"/>
  <c r="K11" i="33" s="1"/>
  <c r="I29" i="32"/>
  <c r="S68" i="34"/>
  <c r="I78" i="30"/>
  <c r="I29" i="30"/>
  <c r="O12" i="35"/>
  <c r="O13" i="35" s="1"/>
  <c r="K9" i="35"/>
  <c r="U9" i="35" s="1"/>
  <c r="G10" i="33"/>
  <c r="U10" i="33" s="1"/>
  <c r="Q81" i="39"/>
  <c r="F12" i="35"/>
  <c r="J10" i="35"/>
  <c r="Q81" i="36"/>
  <c r="K65" i="26"/>
  <c r="M65" i="26" s="1"/>
  <c r="M68" i="26" s="1"/>
  <c r="K39" i="28"/>
  <c r="M39" i="28" s="1"/>
  <c r="M42" i="28" s="1"/>
  <c r="G38" i="27"/>
  <c r="I38" i="27" s="1"/>
  <c r="I41" i="27" s="1"/>
  <c r="G39" i="23"/>
  <c r="I39" i="23" s="1"/>
  <c r="I42" i="23" s="1"/>
  <c r="C39" i="19"/>
  <c r="E39" i="19" s="1"/>
  <c r="E42" i="19" s="1"/>
  <c r="F11" i="35"/>
  <c r="Q81" i="38"/>
  <c r="G9" i="33"/>
  <c r="G26" i="15"/>
  <c r="G23" i="15"/>
  <c r="C23" i="15"/>
  <c r="E23" i="15" s="1"/>
  <c r="C21" i="28"/>
  <c r="E21" i="28" s="1"/>
  <c r="C65" i="28"/>
  <c r="E65" i="28" s="1"/>
  <c r="E68" i="28" s="1"/>
  <c r="G21" i="28"/>
  <c r="I21" i="28" s="1"/>
  <c r="K21" i="28"/>
  <c r="M21" i="28" s="1"/>
  <c r="K65" i="28"/>
  <c r="M65" i="28" s="1"/>
  <c r="M68" i="28" s="1"/>
  <c r="G67" i="27"/>
  <c r="I67" i="27" s="1"/>
  <c r="I70" i="27" s="1"/>
  <c r="C21" i="27"/>
  <c r="E21" i="27" s="1"/>
  <c r="K67" i="27"/>
  <c r="M67" i="27" s="1"/>
  <c r="M70" i="27" s="1"/>
  <c r="C21" i="26"/>
  <c r="E21" i="26" s="1"/>
  <c r="G22" i="26"/>
  <c r="I22" i="26" s="1"/>
  <c r="G65" i="26"/>
  <c r="I65" i="26" s="1"/>
  <c r="I68" i="26" s="1"/>
  <c r="K22" i="26"/>
  <c r="M22" i="26" s="1"/>
  <c r="C21" i="25"/>
  <c r="E21" i="25" s="1"/>
  <c r="G21" i="25"/>
  <c r="I21" i="25" s="1"/>
  <c r="K37" i="25"/>
  <c r="M37" i="25" s="1"/>
  <c r="M40" i="25" s="1"/>
  <c r="K65" i="25"/>
  <c r="M65" i="25" s="1"/>
  <c r="M68" i="25" s="1"/>
  <c r="G65" i="25"/>
  <c r="I65" i="25" s="1"/>
  <c r="I68" i="25" s="1"/>
  <c r="C21" i="24"/>
  <c r="E21" i="24" s="1"/>
  <c r="C37" i="24"/>
  <c r="E37" i="24" s="1"/>
  <c r="E40" i="24" s="1"/>
  <c r="K65" i="24"/>
  <c r="M65" i="24" s="1"/>
  <c r="M68" i="24" s="1"/>
  <c r="G21" i="24"/>
  <c r="I21" i="24" s="1"/>
  <c r="K39" i="23"/>
  <c r="M39" i="23" s="1"/>
  <c r="M42" i="23" s="1"/>
  <c r="C22" i="23"/>
  <c r="E22" i="23" s="1"/>
  <c r="K65" i="23"/>
  <c r="M65" i="23" s="1"/>
  <c r="M68" i="23" s="1"/>
  <c r="G21" i="23"/>
  <c r="I21" i="23" s="1"/>
  <c r="K67" i="22"/>
  <c r="M67" i="22" s="1"/>
  <c r="M70" i="22" s="1"/>
  <c r="G67" i="22"/>
  <c r="I67" i="22" s="1"/>
  <c r="I70" i="22" s="1"/>
  <c r="G21" i="22"/>
  <c r="I21" i="22" s="1"/>
  <c r="C21" i="22"/>
  <c r="E21" i="22" s="1"/>
  <c r="G21" i="21"/>
  <c r="I21" i="21" s="1"/>
  <c r="C37" i="21"/>
  <c r="E37" i="21" s="1"/>
  <c r="E40" i="21" s="1"/>
  <c r="G65" i="21"/>
  <c r="I65" i="21" s="1"/>
  <c r="I68" i="21" s="1"/>
  <c r="G39" i="20"/>
  <c r="I39" i="20" s="1"/>
  <c r="I42" i="20" s="1"/>
  <c r="C37" i="20"/>
  <c r="E37" i="20" s="1"/>
  <c r="E40" i="20" s="1"/>
  <c r="G67" i="20"/>
  <c r="I67" i="20" s="1"/>
  <c r="I70" i="20" s="1"/>
  <c r="K65" i="20"/>
  <c r="M65" i="20" s="1"/>
  <c r="M68" i="20" s="1"/>
  <c r="K22" i="20"/>
  <c r="M22" i="20" s="1"/>
  <c r="G21" i="20"/>
  <c r="I21" i="20" s="1"/>
  <c r="K39" i="19"/>
  <c r="M39" i="19" s="1"/>
  <c r="M42" i="19" s="1"/>
  <c r="K21" i="19"/>
  <c r="M21" i="19" s="1"/>
  <c r="G65" i="19"/>
  <c r="I65" i="19" s="1"/>
  <c r="I68" i="19" s="1"/>
  <c r="G22" i="19"/>
  <c r="I22" i="19" s="1"/>
  <c r="C21" i="19"/>
  <c r="E21" i="19" s="1"/>
  <c r="K65" i="19"/>
  <c r="M65" i="19" s="1"/>
  <c r="M68" i="19" s="1"/>
  <c r="I25" i="34" l="1"/>
  <c r="E25" i="34"/>
  <c r="Q81" i="32"/>
  <c r="F11" i="33"/>
  <c r="G11" i="33" s="1"/>
  <c r="U11" i="33" s="1"/>
  <c r="I70" i="34"/>
  <c r="I71" i="34" s="1"/>
  <c r="E17" i="29"/>
  <c r="E70" i="34"/>
  <c r="E72" i="40"/>
  <c r="S70" i="40"/>
  <c r="Q20" i="34"/>
  <c r="J9" i="33"/>
  <c r="K9" i="33" s="1"/>
  <c r="K12" i="33" s="1"/>
  <c r="G12" i="35"/>
  <c r="U12" i="35" s="1"/>
  <c r="G11" i="35"/>
  <c r="U11" i="35" s="1"/>
  <c r="K10" i="35"/>
  <c r="U10" i="35" s="1"/>
  <c r="E32" i="29"/>
  <c r="E35" i="29" s="1"/>
  <c r="K67" i="26"/>
  <c r="M67" i="26" s="1"/>
  <c r="M70" i="26" s="1"/>
  <c r="Q81" i="37"/>
  <c r="Q76" i="40" s="1"/>
  <c r="G39" i="24"/>
  <c r="I39" i="24" s="1"/>
  <c r="I42" i="24" s="1"/>
  <c r="G38" i="23"/>
  <c r="I38" i="23" s="1"/>
  <c r="I41" i="23" s="1"/>
  <c r="C38" i="23"/>
  <c r="E38" i="23" s="1"/>
  <c r="E41" i="23" s="1"/>
  <c r="C39" i="23"/>
  <c r="E39" i="23" s="1"/>
  <c r="E42" i="23" s="1"/>
  <c r="K39" i="20"/>
  <c r="M39" i="20" s="1"/>
  <c r="M42" i="20" s="1"/>
  <c r="K38" i="24"/>
  <c r="M38" i="24" s="1"/>
  <c r="M41" i="24" s="1"/>
  <c r="G38" i="24"/>
  <c r="I38" i="24" s="1"/>
  <c r="I41" i="24" s="1"/>
  <c r="K38" i="28"/>
  <c r="M38" i="28" s="1"/>
  <c r="M41" i="28" s="1"/>
  <c r="K66" i="21"/>
  <c r="M66" i="21" s="1"/>
  <c r="M69" i="21" s="1"/>
  <c r="G38" i="21"/>
  <c r="I38" i="21" s="1"/>
  <c r="I41" i="21" s="1"/>
  <c r="G38" i="20"/>
  <c r="I38" i="20" s="1"/>
  <c r="I41" i="20" s="1"/>
  <c r="C38" i="26"/>
  <c r="E38" i="26" s="1"/>
  <c r="E41" i="26" s="1"/>
  <c r="G66" i="24"/>
  <c r="I66" i="24" s="1"/>
  <c r="I69" i="24" s="1"/>
  <c r="G66" i="27"/>
  <c r="I66" i="27" s="1"/>
  <c r="I69" i="27" s="1"/>
  <c r="I71" i="27" s="1"/>
  <c r="C66" i="22"/>
  <c r="E66" i="22" s="1"/>
  <c r="E69" i="22" s="1"/>
  <c r="C66" i="24"/>
  <c r="E66" i="24" s="1"/>
  <c r="E69" i="24" s="1"/>
  <c r="K66" i="26"/>
  <c r="M66" i="26" s="1"/>
  <c r="M69" i="26" s="1"/>
  <c r="K66" i="27"/>
  <c r="M66" i="27" s="1"/>
  <c r="M69" i="27" s="1"/>
  <c r="M71" i="27" s="1"/>
  <c r="K67" i="21"/>
  <c r="M67" i="21" s="1"/>
  <c r="M70" i="21" s="1"/>
  <c r="K66" i="22"/>
  <c r="M66" i="22" s="1"/>
  <c r="M69" i="22" s="1"/>
  <c r="M71" i="22" s="1"/>
  <c r="G66" i="28"/>
  <c r="I66" i="28" s="1"/>
  <c r="I69" i="28" s="1"/>
  <c r="G66" i="23"/>
  <c r="I66" i="23" s="1"/>
  <c r="I69" i="23" s="1"/>
  <c r="G66" i="22"/>
  <c r="I66" i="22" s="1"/>
  <c r="I69" i="22" s="1"/>
  <c r="I71" i="22" s="1"/>
  <c r="G66" i="20"/>
  <c r="I66" i="20" s="1"/>
  <c r="I69" i="20" s="1"/>
  <c r="I71" i="20" s="1"/>
  <c r="C66" i="19"/>
  <c r="E66" i="19" s="1"/>
  <c r="E69" i="19" s="1"/>
  <c r="C66" i="21"/>
  <c r="E66" i="21" s="1"/>
  <c r="E69" i="21" s="1"/>
  <c r="C66" i="27"/>
  <c r="E66" i="27" s="1"/>
  <c r="E69" i="27" s="1"/>
  <c r="C66" i="26"/>
  <c r="E66" i="26" s="1"/>
  <c r="E69" i="26" s="1"/>
  <c r="C66" i="25"/>
  <c r="E66" i="25" s="1"/>
  <c r="E69" i="25" s="1"/>
  <c r="K38" i="20"/>
  <c r="M38" i="20" s="1"/>
  <c r="M41" i="20" s="1"/>
  <c r="K39" i="24"/>
  <c r="M39" i="24" s="1"/>
  <c r="M42" i="24" s="1"/>
  <c r="K38" i="27"/>
  <c r="M38" i="27" s="1"/>
  <c r="M41" i="27" s="1"/>
  <c r="G39" i="27"/>
  <c r="I39" i="27" s="1"/>
  <c r="I42" i="27" s="1"/>
  <c r="G38" i="19"/>
  <c r="I38" i="19" s="1"/>
  <c r="I41" i="19" s="1"/>
  <c r="G39" i="19"/>
  <c r="I39" i="19" s="1"/>
  <c r="I42" i="19" s="1"/>
  <c r="C38" i="19"/>
  <c r="E38" i="19" s="1"/>
  <c r="E41" i="19" s="1"/>
  <c r="C39" i="26"/>
  <c r="E39" i="26" s="1"/>
  <c r="E42" i="26" s="1"/>
  <c r="K38" i="26"/>
  <c r="M38" i="26" s="1"/>
  <c r="M41" i="26" s="1"/>
  <c r="K38" i="19"/>
  <c r="M38" i="19" s="1"/>
  <c r="M41" i="19" s="1"/>
  <c r="K38" i="23"/>
  <c r="M38" i="23" s="1"/>
  <c r="M41" i="23" s="1"/>
  <c r="K39" i="21"/>
  <c r="M39" i="21" s="1"/>
  <c r="M42" i="21" s="1"/>
  <c r="K38" i="22"/>
  <c r="M38" i="22" s="1"/>
  <c r="M41" i="22" s="1"/>
  <c r="K38" i="21"/>
  <c r="M38" i="21" s="1"/>
  <c r="M41" i="21" s="1"/>
  <c r="G38" i="22"/>
  <c r="I38" i="22" s="1"/>
  <c r="I41" i="22" s="1"/>
  <c r="G38" i="26"/>
  <c r="I38" i="26" s="1"/>
  <c r="I41" i="26" s="1"/>
  <c r="G39" i="22"/>
  <c r="I39" i="22" s="1"/>
  <c r="I42" i="22" s="1"/>
  <c r="G38" i="25"/>
  <c r="I38" i="25" s="1"/>
  <c r="I41" i="25" s="1"/>
  <c r="G38" i="28"/>
  <c r="I38" i="28" s="1"/>
  <c r="I41" i="28" s="1"/>
  <c r="C38" i="27"/>
  <c r="E38" i="27" s="1"/>
  <c r="E41" i="27" s="1"/>
  <c r="C38" i="25"/>
  <c r="E38" i="25" s="1"/>
  <c r="E41" i="25" s="1"/>
  <c r="C40" i="15"/>
  <c r="E40" i="15" s="1"/>
  <c r="E43" i="15" s="1"/>
  <c r="C38" i="22"/>
  <c r="E38" i="22" s="1"/>
  <c r="E41" i="22" s="1"/>
  <c r="C38" i="28"/>
  <c r="E38" i="28" s="1"/>
  <c r="E41" i="28" s="1"/>
  <c r="C66" i="23"/>
  <c r="E66" i="23" s="1"/>
  <c r="E69" i="23" s="1"/>
  <c r="C66" i="20"/>
  <c r="E66" i="20" s="1"/>
  <c r="E69" i="20" s="1"/>
  <c r="G67" i="23"/>
  <c r="I67" i="23" s="1"/>
  <c r="I70" i="23" s="1"/>
  <c r="G67" i="28"/>
  <c r="I67" i="28" s="1"/>
  <c r="I70" i="28" s="1"/>
  <c r="C67" i="22"/>
  <c r="E67" i="22" s="1"/>
  <c r="E70" i="22" s="1"/>
  <c r="G39" i="26"/>
  <c r="I39" i="26" s="1"/>
  <c r="I42" i="26" s="1"/>
  <c r="C41" i="15"/>
  <c r="E41" i="15" s="1"/>
  <c r="E44" i="15" s="1"/>
  <c r="C67" i="21"/>
  <c r="E67" i="21" s="1"/>
  <c r="E70" i="21" s="1"/>
  <c r="C67" i="20"/>
  <c r="E67" i="20" s="1"/>
  <c r="E70" i="20" s="1"/>
  <c r="G39" i="21"/>
  <c r="I39" i="21" s="1"/>
  <c r="I42" i="21" s="1"/>
  <c r="C67" i="25"/>
  <c r="E67" i="25" s="1"/>
  <c r="E70" i="25" s="1"/>
  <c r="C39" i="25"/>
  <c r="E39" i="25" s="1"/>
  <c r="E42" i="25" s="1"/>
  <c r="C67" i="23"/>
  <c r="E67" i="23" s="1"/>
  <c r="E70" i="23" s="1"/>
  <c r="G67" i="24"/>
  <c r="I67" i="24" s="1"/>
  <c r="I70" i="24" s="1"/>
  <c r="C39" i="22"/>
  <c r="E39" i="22" s="1"/>
  <c r="E42" i="22" s="1"/>
  <c r="C39" i="28"/>
  <c r="E39" i="28" s="1"/>
  <c r="E42" i="28" s="1"/>
  <c r="G39" i="28"/>
  <c r="I39" i="28" s="1"/>
  <c r="I42" i="28" s="1"/>
  <c r="G22" i="28"/>
  <c r="I22" i="28" s="1"/>
  <c r="C22" i="28"/>
  <c r="E22" i="28" s="1"/>
  <c r="K22" i="28"/>
  <c r="M22" i="28" s="1"/>
  <c r="K39" i="27"/>
  <c r="M39" i="27" s="1"/>
  <c r="M42" i="27" s="1"/>
  <c r="C67" i="27"/>
  <c r="E67" i="27" s="1"/>
  <c r="E70" i="27" s="1"/>
  <c r="K22" i="27"/>
  <c r="M22" i="27" s="1"/>
  <c r="C22" i="27"/>
  <c r="E22" i="27" s="1"/>
  <c r="C39" i="27"/>
  <c r="E39" i="27" s="1"/>
  <c r="E42" i="27" s="1"/>
  <c r="G22" i="27"/>
  <c r="I22" i="27" s="1"/>
  <c r="G23" i="26"/>
  <c r="I23" i="26" s="1"/>
  <c r="I26" i="26" s="1"/>
  <c r="I75" i="26" s="1"/>
  <c r="K23" i="26"/>
  <c r="M23" i="26" s="1"/>
  <c r="M26" i="26" s="1"/>
  <c r="M75" i="26" s="1"/>
  <c r="K39" i="26"/>
  <c r="M39" i="26" s="1"/>
  <c r="M42" i="26" s="1"/>
  <c r="C67" i="26"/>
  <c r="E67" i="26" s="1"/>
  <c r="E70" i="26" s="1"/>
  <c r="G39" i="25"/>
  <c r="I39" i="25" s="1"/>
  <c r="I42" i="25" s="1"/>
  <c r="K22" i="25"/>
  <c r="M22" i="25" s="1"/>
  <c r="G22" i="25"/>
  <c r="I22" i="25" s="1"/>
  <c r="K22" i="24"/>
  <c r="M22" i="24" s="1"/>
  <c r="C22" i="24"/>
  <c r="E22" i="24" s="1"/>
  <c r="C67" i="24"/>
  <c r="E67" i="24" s="1"/>
  <c r="E70" i="24" s="1"/>
  <c r="G22" i="24"/>
  <c r="I22" i="24" s="1"/>
  <c r="C23" i="23"/>
  <c r="E23" i="23" s="1"/>
  <c r="E26" i="23" s="1"/>
  <c r="E75" i="23" s="1"/>
  <c r="G22" i="23"/>
  <c r="I22" i="23" s="1"/>
  <c r="K22" i="23"/>
  <c r="M22" i="23" s="1"/>
  <c r="K39" i="22"/>
  <c r="M39" i="22" s="1"/>
  <c r="M42" i="22" s="1"/>
  <c r="G22" i="22"/>
  <c r="I22" i="22" s="1"/>
  <c r="K22" i="22"/>
  <c r="M22" i="22" s="1"/>
  <c r="K22" i="21"/>
  <c r="M22" i="21" s="1"/>
  <c r="C22" i="21"/>
  <c r="E22" i="21" s="1"/>
  <c r="G22" i="20"/>
  <c r="I22" i="20" s="1"/>
  <c r="K23" i="20"/>
  <c r="M23" i="20" s="1"/>
  <c r="M26" i="20" s="1"/>
  <c r="M75" i="20" s="1"/>
  <c r="C22" i="20"/>
  <c r="E22" i="20" s="1"/>
  <c r="G23" i="19"/>
  <c r="I23" i="19" s="1"/>
  <c r="I26" i="19" s="1"/>
  <c r="I75" i="19" s="1"/>
  <c r="C67" i="19"/>
  <c r="E67" i="19" s="1"/>
  <c r="E70" i="19" s="1"/>
  <c r="L38" i="15"/>
  <c r="M38" i="15" s="1"/>
  <c r="L39" i="15"/>
  <c r="L40" i="15"/>
  <c r="L41" i="15"/>
  <c r="H38" i="15"/>
  <c r="I38" i="15" s="1"/>
  <c r="H39" i="15"/>
  <c r="H40" i="15"/>
  <c r="H41" i="15"/>
  <c r="L23" i="15"/>
  <c r="L24" i="15"/>
  <c r="L25" i="15"/>
  <c r="L26" i="15"/>
  <c r="L27" i="15"/>
  <c r="H23" i="15"/>
  <c r="I23" i="15" s="1"/>
  <c r="I17" i="29" s="1"/>
  <c r="H24" i="15"/>
  <c r="H25" i="15"/>
  <c r="H26" i="15"/>
  <c r="I26" i="15" s="1"/>
  <c r="I29" i="15" s="1"/>
  <c r="H27" i="15"/>
  <c r="B38" i="15"/>
  <c r="B39" i="15"/>
  <c r="B40" i="15"/>
  <c r="B41" i="15"/>
  <c r="B23" i="15"/>
  <c r="B24" i="15"/>
  <c r="B25" i="15"/>
  <c r="B26" i="15"/>
  <c r="B27" i="15"/>
  <c r="M71" i="26" l="1"/>
  <c r="S70" i="34"/>
  <c r="E71" i="23"/>
  <c r="E71" i="24"/>
  <c r="E71" i="22"/>
  <c r="M31" i="29"/>
  <c r="K39" i="15"/>
  <c r="M39" i="15" s="1"/>
  <c r="E71" i="19"/>
  <c r="E71" i="25"/>
  <c r="I71" i="28"/>
  <c r="G39" i="15"/>
  <c r="I39" i="15" s="1"/>
  <c r="I32" i="29" s="1"/>
  <c r="I31" i="29"/>
  <c r="E71" i="26"/>
  <c r="Q23" i="34"/>
  <c r="Q69" i="34" s="1"/>
  <c r="E71" i="34"/>
  <c r="Q74" i="40"/>
  <c r="F12" i="1" s="1"/>
  <c r="S72" i="40"/>
  <c r="G13" i="35"/>
  <c r="G12" i="33"/>
  <c r="Q78" i="30"/>
  <c r="Q29" i="30"/>
  <c r="U13" i="35"/>
  <c r="K13" i="35"/>
  <c r="E71" i="21"/>
  <c r="M71" i="21"/>
  <c r="M43" i="21"/>
  <c r="E71" i="27"/>
  <c r="I71" i="24"/>
  <c r="I71" i="23"/>
  <c r="E71" i="20"/>
  <c r="I43" i="28"/>
  <c r="E43" i="28"/>
  <c r="M43" i="28"/>
  <c r="I43" i="27"/>
  <c r="M43" i="27"/>
  <c r="E43" i="27"/>
  <c r="I43" i="26"/>
  <c r="E43" i="26"/>
  <c r="I43" i="24"/>
  <c r="E43" i="23"/>
  <c r="I43" i="23"/>
  <c r="M43" i="23"/>
  <c r="M43" i="22"/>
  <c r="I43" i="22"/>
  <c r="I43" i="21"/>
  <c r="M43" i="20"/>
  <c r="I43" i="20"/>
  <c r="E43" i="19"/>
  <c r="M43" i="19"/>
  <c r="M43" i="26"/>
  <c r="I43" i="25"/>
  <c r="E43" i="25"/>
  <c r="M43" i="24"/>
  <c r="E43" i="22"/>
  <c r="I43" i="19"/>
  <c r="E45" i="15"/>
  <c r="K66" i="19"/>
  <c r="M66" i="19" s="1"/>
  <c r="M69" i="19" s="1"/>
  <c r="K66" i="28"/>
  <c r="M66" i="28" s="1"/>
  <c r="M69" i="28" s="1"/>
  <c r="K66" i="24"/>
  <c r="M66" i="24" s="1"/>
  <c r="M69" i="24" s="1"/>
  <c r="K66" i="25"/>
  <c r="M66" i="25" s="1"/>
  <c r="M69" i="25" s="1"/>
  <c r="K66" i="23"/>
  <c r="M66" i="23" s="1"/>
  <c r="M69" i="23" s="1"/>
  <c r="K66" i="20"/>
  <c r="M66" i="20" s="1"/>
  <c r="M69" i="20" s="1"/>
  <c r="G66" i="21"/>
  <c r="I66" i="21" s="1"/>
  <c r="I69" i="21" s="1"/>
  <c r="G66" i="19"/>
  <c r="I66" i="19" s="1"/>
  <c r="I69" i="19" s="1"/>
  <c r="G66" i="25"/>
  <c r="I66" i="25" s="1"/>
  <c r="I69" i="25" s="1"/>
  <c r="G66" i="26"/>
  <c r="I66" i="26" s="1"/>
  <c r="I69" i="26" s="1"/>
  <c r="C66" i="28"/>
  <c r="E66" i="28" s="1"/>
  <c r="E69" i="28" s="1"/>
  <c r="K38" i="25"/>
  <c r="M38" i="25" s="1"/>
  <c r="M41" i="25" s="1"/>
  <c r="C38" i="20"/>
  <c r="E38" i="20" s="1"/>
  <c r="E41" i="20" s="1"/>
  <c r="C38" i="24"/>
  <c r="E38" i="24" s="1"/>
  <c r="E41" i="24" s="1"/>
  <c r="C38" i="21"/>
  <c r="E38" i="21" s="1"/>
  <c r="E41" i="21" s="1"/>
  <c r="C67" i="28"/>
  <c r="E67" i="28" s="1"/>
  <c r="E70" i="28" s="1"/>
  <c r="G67" i="19"/>
  <c r="I67" i="19" s="1"/>
  <c r="I70" i="19" s="1"/>
  <c r="K67" i="25"/>
  <c r="M67" i="25" s="1"/>
  <c r="M70" i="25" s="1"/>
  <c r="G67" i="26"/>
  <c r="I67" i="26" s="1"/>
  <c r="I70" i="26" s="1"/>
  <c r="K67" i="23"/>
  <c r="M67" i="23" s="1"/>
  <c r="M70" i="23" s="1"/>
  <c r="C39" i="20"/>
  <c r="E39" i="20" s="1"/>
  <c r="E42" i="20" s="1"/>
  <c r="C39" i="21"/>
  <c r="E39" i="21" s="1"/>
  <c r="E42" i="21" s="1"/>
  <c r="G24" i="15"/>
  <c r="I24" i="15" s="1"/>
  <c r="C24" i="15"/>
  <c r="E24" i="15" s="1"/>
  <c r="G23" i="28"/>
  <c r="I23" i="28" s="1"/>
  <c r="I26" i="28" s="1"/>
  <c r="I75" i="28" s="1"/>
  <c r="C23" i="28"/>
  <c r="E23" i="28" s="1"/>
  <c r="E26" i="28" s="1"/>
  <c r="E75" i="28" s="1"/>
  <c r="K23" i="28"/>
  <c r="M23" i="28" s="1"/>
  <c r="M26" i="28" s="1"/>
  <c r="M75" i="28" s="1"/>
  <c r="K67" i="28"/>
  <c r="M67" i="28" s="1"/>
  <c r="M70" i="28" s="1"/>
  <c r="K23" i="27"/>
  <c r="M23" i="27" s="1"/>
  <c r="M26" i="27" s="1"/>
  <c r="M75" i="27" s="1"/>
  <c r="C23" i="27"/>
  <c r="E23" i="27" s="1"/>
  <c r="E26" i="27" s="1"/>
  <c r="E75" i="27" s="1"/>
  <c r="C22" i="26"/>
  <c r="E22" i="26" s="1"/>
  <c r="G23" i="25"/>
  <c r="I23" i="25" s="1"/>
  <c r="I26" i="25" s="1"/>
  <c r="I75" i="25" s="1"/>
  <c r="K23" i="25"/>
  <c r="M23" i="25" s="1"/>
  <c r="M26" i="25" s="1"/>
  <c r="M75" i="25" s="1"/>
  <c r="C22" i="25"/>
  <c r="E22" i="25" s="1"/>
  <c r="K39" i="25"/>
  <c r="M39" i="25" s="1"/>
  <c r="M42" i="25" s="1"/>
  <c r="G67" i="25"/>
  <c r="I67" i="25" s="1"/>
  <c r="I70" i="25" s="1"/>
  <c r="C23" i="24"/>
  <c r="E23" i="24" s="1"/>
  <c r="E26" i="24" s="1"/>
  <c r="E75" i="24" s="1"/>
  <c r="C39" i="24"/>
  <c r="E39" i="24" s="1"/>
  <c r="E42" i="24" s="1"/>
  <c r="G23" i="24"/>
  <c r="I23" i="24" s="1"/>
  <c r="I26" i="24" s="1"/>
  <c r="I75" i="24" s="1"/>
  <c r="K23" i="24"/>
  <c r="M23" i="24" s="1"/>
  <c r="M26" i="24" s="1"/>
  <c r="M75" i="24" s="1"/>
  <c r="K67" i="24"/>
  <c r="M67" i="24" s="1"/>
  <c r="M70" i="24" s="1"/>
  <c r="K23" i="23"/>
  <c r="M23" i="23" s="1"/>
  <c r="M26" i="23" s="1"/>
  <c r="M75" i="23" s="1"/>
  <c r="G23" i="22"/>
  <c r="I23" i="22" s="1"/>
  <c r="I26" i="22" s="1"/>
  <c r="I75" i="22" s="1"/>
  <c r="C22" i="22"/>
  <c r="E22" i="22" s="1"/>
  <c r="K23" i="22"/>
  <c r="M23" i="22" s="1"/>
  <c r="M26" i="22" s="1"/>
  <c r="M75" i="22" s="1"/>
  <c r="K23" i="21"/>
  <c r="C23" i="21"/>
  <c r="G22" i="21"/>
  <c r="I22" i="21" s="1"/>
  <c r="G67" i="21"/>
  <c r="I67" i="21" s="1"/>
  <c r="I70" i="21" s="1"/>
  <c r="K67" i="20"/>
  <c r="M67" i="20" s="1"/>
  <c r="M70" i="20" s="1"/>
  <c r="G23" i="20"/>
  <c r="I23" i="20" s="1"/>
  <c r="I26" i="20" s="1"/>
  <c r="I75" i="20" s="1"/>
  <c r="C22" i="19"/>
  <c r="E22" i="19" s="1"/>
  <c r="K22" i="19"/>
  <c r="M22" i="19" s="1"/>
  <c r="K67" i="19"/>
  <c r="M67" i="19" s="1"/>
  <c r="M70" i="19" s="1"/>
  <c r="E71" i="28" l="1"/>
  <c r="I42" i="15"/>
  <c r="I35" i="29"/>
  <c r="Q25" i="34"/>
  <c r="M71" i="28"/>
  <c r="I71" i="25"/>
  <c r="M42" i="15"/>
  <c r="M32" i="29"/>
  <c r="M35" i="29" s="1"/>
  <c r="I71" i="26"/>
  <c r="E18" i="29"/>
  <c r="I71" i="19"/>
  <c r="M71" i="19"/>
  <c r="U15" i="35"/>
  <c r="U16" i="35" s="1"/>
  <c r="Q81" i="30"/>
  <c r="Q75" i="34" s="1"/>
  <c r="R9" i="33"/>
  <c r="S9" i="33" s="1"/>
  <c r="S12" i="33" s="1"/>
  <c r="U14" i="33" s="1"/>
  <c r="Q71" i="34"/>
  <c r="S69" i="34"/>
  <c r="E23" i="21"/>
  <c r="E26" i="21" s="1"/>
  <c r="E75" i="21" s="1"/>
  <c r="M23" i="21"/>
  <c r="M26" i="21" s="1"/>
  <c r="M75" i="21" s="1"/>
  <c r="I71" i="21"/>
  <c r="E34" i="29"/>
  <c r="E37" i="29" s="1"/>
  <c r="E33" i="29"/>
  <c r="E36" i="29" s="1"/>
  <c r="I18" i="29"/>
  <c r="M71" i="25"/>
  <c r="M71" i="24"/>
  <c r="M71" i="23"/>
  <c r="M71" i="20"/>
  <c r="M43" i="25"/>
  <c r="E43" i="24"/>
  <c r="E43" i="21"/>
  <c r="E43" i="20"/>
  <c r="K24" i="20"/>
  <c r="M24" i="20" s="1"/>
  <c r="M27" i="20" s="1"/>
  <c r="M76" i="20" s="1"/>
  <c r="G24" i="19"/>
  <c r="I24" i="19" s="1"/>
  <c r="I27" i="19" s="1"/>
  <c r="I76" i="19" s="1"/>
  <c r="C24" i="23"/>
  <c r="E24" i="23" s="1"/>
  <c r="E27" i="23" s="1"/>
  <c r="E76" i="23" s="1"/>
  <c r="K24" i="26"/>
  <c r="M24" i="26" s="1"/>
  <c r="M27" i="26" s="1"/>
  <c r="M76" i="26" s="1"/>
  <c r="G24" i="26"/>
  <c r="I24" i="26" s="1"/>
  <c r="I27" i="26" s="1"/>
  <c r="I76" i="26" s="1"/>
  <c r="C25" i="23"/>
  <c r="E25" i="23" s="1"/>
  <c r="E28" i="23" s="1"/>
  <c r="E77" i="23" s="1"/>
  <c r="C25" i="15"/>
  <c r="E25" i="15" s="1"/>
  <c r="E28" i="15" s="1"/>
  <c r="K25" i="20"/>
  <c r="M25" i="20" s="1"/>
  <c r="M28" i="20" s="1"/>
  <c r="M77" i="20" s="1"/>
  <c r="G25" i="15"/>
  <c r="I25" i="15" s="1"/>
  <c r="I28" i="15" s="1"/>
  <c r="C25" i="28"/>
  <c r="E25" i="28" s="1"/>
  <c r="E28" i="28" s="1"/>
  <c r="E77" i="28" s="1"/>
  <c r="K25" i="27"/>
  <c r="M25" i="27" s="1"/>
  <c r="M28" i="27" s="1"/>
  <c r="M77" i="27" s="1"/>
  <c r="G23" i="27"/>
  <c r="I23" i="27" s="1"/>
  <c r="I26" i="27" s="1"/>
  <c r="I75" i="27" s="1"/>
  <c r="K25" i="26"/>
  <c r="M25" i="26" s="1"/>
  <c r="M28" i="26" s="1"/>
  <c r="M77" i="26" s="1"/>
  <c r="G25" i="26"/>
  <c r="I25" i="26" s="1"/>
  <c r="I28" i="26" s="1"/>
  <c r="I77" i="26" s="1"/>
  <c r="K25" i="25"/>
  <c r="M25" i="25" s="1"/>
  <c r="M28" i="25" s="1"/>
  <c r="M77" i="25" s="1"/>
  <c r="C23" i="25"/>
  <c r="E23" i="25" s="1"/>
  <c r="E26" i="25" s="1"/>
  <c r="E75" i="25" s="1"/>
  <c r="G25" i="25"/>
  <c r="I25" i="25" s="1"/>
  <c r="I28" i="25" s="1"/>
  <c r="I77" i="25" s="1"/>
  <c r="K25" i="23"/>
  <c r="M25" i="23" s="1"/>
  <c r="M28" i="23" s="1"/>
  <c r="M77" i="23" s="1"/>
  <c r="G23" i="23"/>
  <c r="I23" i="23" s="1"/>
  <c r="I26" i="23" s="1"/>
  <c r="I75" i="23" s="1"/>
  <c r="C23" i="22"/>
  <c r="E23" i="22" s="1"/>
  <c r="E26" i="22" s="1"/>
  <c r="E75" i="22" s="1"/>
  <c r="K25" i="22"/>
  <c r="M25" i="22" s="1"/>
  <c r="M28" i="22" s="1"/>
  <c r="M77" i="22" s="1"/>
  <c r="C23" i="20"/>
  <c r="E23" i="20" s="1"/>
  <c r="E26" i="20" s="1"/>
  <c r="E75" i="20" s="1"/>
  <c r="K23" i="19"/>
  <c r="M23" i="19" s="1"/>
  <c r="M26" i="19" s="1"/>
  <c r="M75" i="19" s="1"/>
  <c r="G25" i="19"/>
  <c r="I25" i="19" s="1"/>
  <c r="I28" i="19" s="1"/>
  <c r="I77" i="19" s="1"/>
  <c r="U9" i="33" l="1"/>
  <c r="U12" i="33" s="1"/>
  <c r="U15" i="33" s="1"/>
  <c r="E38" i="29"/>
  <c r="S71" i="34"/>
  <c r="Q73" i="34"/>
  <c r="F11" i="1" s="1"/>
  <c r="I29" i="26"/>
  <c r="M78" i="26"/>
  <c r="N17" i="52" s="1"/>
  <c r="O17" i="52" s="1"/>
  <c r="M29" i="26"/>
  <c r="E78" i="23"/>
  <c r="E29" i="23"/>
  <c r="M29" i="20"/>
  <c r="I78" i="19"/>
  <c r="I29" i="19"/>
  <c r="I78" i="26"/>
  <c r="J17" i="52" s="1"/>
  <c r="K17" i="52" s="1"/>
  <c r="M78" i="20"/>
  <c r="N11" i="52" s="1"/>
  <c r="O11" i="52" s="1"/>
  <c r="K24" i="21"/>
  <c r="M24" i="21" s="1"/>
  <c r="M27" i="21" s="1"/>
  <c r="M76" i="21" s="1"/>
  <c r="K40" i="15"/>
  <c r="M40" i="15" s="1"/>
  <c r="G40" i="15"/>
  <c r="I40" i="15" s="1"/>
  <c r="G24" i="28"/>
  <c r="I24" i="28" s="1"/>
  <c r="I27" i="28" s="1"/>
  <c r="I76" i="28" s="1"/>
  <c r="K24" i="23"/>
  <c r="M24" i="23" s="1"/>
  <c r="M27" i="23" s="1"/>
  <c r="M76" i="23" s="1"/>
  <c r="K24" i="27"/>
  <c r="M24" i="27" s="1"/>
  <c r="M27" i="27" s="1"/>
  <c r="M76" i="27" s="1"/>
  <c r="K24" i="25"/>
  <c r="M24" i="25" s="1"/>
  <c r="M27" i="25" s="1"/>
  <c r="M76" i="25" s="1"/>
  <c r="C24" i="28"/>
  <c r="E24" i="28" s="1"/>
  <c r="E27" i="28" s="1"/>
  <c r="E76" i="28" s="1"/>
  <c r="K24" i="28"/>
  <c r="M24" i="28" s="1"/>
  <c r="M27" i="28" s="1"/>
  <c r="M76" i="28" s="1"/>
  <c r="K24" i="22"/>
  <c r="M24" i="22" s="1"/>
  <c r="M27" i="22" s="1"/>
  <c r="M76" i="22" s="1"/>
  <c r="G24" i="22"/>
  <c r="I24" i="22" s="1"/>
  <c r="I27" i="22" s="1"/>
  <c r="I76" i="22" s="1"/>
  <c r="G24" i="24"/>
  <c r="I24" i="24" s="1"/>
  <c r="I27" i="24" s="1"/>
  <c r="I76" i="24" s="1"/>
  <c r="G24" i="20"/>
  <c r="I24" i="20" s="1"/>
  <c r="I27" i="20" s="1"/>
  <c r="I76" i="20" s="1"/>
  <c r="G24" i="25"/>
  <c r="I24" i="25" s="1"/>
  <c r="I27" i="25" s="1"/>
  <c r="I76" i="25" s="1"/>
  <c r="C24" i="21"/>
  <c r="E24" i="21" s="1"/>
  <c r="E27" i="21" s="1"/>
  <c r="E76" i="21" s="1"/>
  <c r="C24" i="24"/>
  <c r="E24" i="24" s="1"/>
  <c r="E27" i="24" s="1"/>
  <c r="E76" i="24" s="1"/>
  <c r="C24" i="27"/>
  <c r="E24" i="27" s="1"/>
  <c r="E27" i="27" s="1"/>
  <c r="E76" i="27" s="1"/>
  <c r="K24" i="24"/>
  <c r="M24" i="24" s="1"/>
  <c r="M27" i="24" s="1"/>
  <c r="M76" i="24" s="1"/>
  <c r="K25" i="21"/>
  <c r="M25" i="21" s="1"/>
  <c r="M28" i="21" s="1"/>
  <c r="M77" i="21" s="1"/>
  <c r="K25" i="28"/>
  <c r="M25" i="28" s="1"/>
  <c r="M28" i="28" s="1"/>
  <c r="M77" i="28" s="1"/>
  <c r="G25" i="22"/>
  <c r="I25" i="22" s="1"/>
  <c r="I28" i="22" s="1"/>
  <c r="I77" i="22" s="1"/>
  <c r="G25" i="24"/>
  <c r="I25" i="24" s="1"/>
  <c r="I28" i="24" s="1"/>
  <c r="I77" i="24" s="1"/>
  <c r="C25" i="21"/>
  <c r="E25" i="21" s="1"/>
  <c r="E28" i="21" s="1"/>
  <c r="E77" i="21" s="1"/>
  <c r="C25" i="24"/>
  <c r="E25" i="24" s="1"/>
  <c r="E28" i="24" s="1"/>
  <c r="E77" i="24" s="1"/>
  <c r="G41" i="15"/>
  <c r="I41" i="15" s="1"/>
  <c r="C25" i="27"/>
  <c r="E25" i="27" s="1"/>
  <c r="E28" i="27" s="1"/>
  <c r="E77" i="27" s="1"/>
  <c r="K41" i="15"/>
  <c r="M41" i="15" s="1"/>
  <c r="G25" i="28"/>
  <c r="I25" i="28" s="1"/>
  <c r="I28" i="28" s="1"/>
  <c r="I77" i="28" s="1"/>
  <c r="C23" i="26"/>
  <c r="E23" i="26" s="1"/>
  <c r="E26" i="26" s="1"/>
  <c r="E75" i="26" s="1"/>
  <c r="C25" i="25"/>
  <c r="E25" i="25" s="1"/>
  <c r="E28" i="25" s="1"/>
  <c r="E77" i="25" s="1"/>
  <c r="K25" i="24"/>
  <c r="M25" i="24" s="1"/>
  <c r="M28" i="24" s="1"/>
  <c r="M77" i="24" s="1"/>
  <c r="G23" i="21"/>
  <c r="I23" i="21" s="1"/>
  <c r="I26" i="21" s="1"/>
  <c r="I75" i="21" s="1"/>
  <c r="G25" i="20"/>
  <c r="I25" i="20" s="1"/>
  <c r="I28" i="20" s="1"/>
  <c r="I77" i="20" s="1"/>
  <c r="C23" i="19"/>
  <c r="E23" i="19" s="1"/>
  <c r="E26" i="19" s="1"/>
  <c r="E75" i="19" s="1"/>
  <c r="M44" i="15" l="1"/>
  <c r="M34" i="29"/>
  <c r="M37" i="29" s="1"/>
  <c r="I43" i="15"/>
  <c r="I33" i="29"/>
  <c r="I36" i="29" s="1"/>
  <c r="M43" i="15"/>
  <c r="M33" i="29"/>
  <c r="M36" i="29" s="1"/>
  <c r="I44" i="15"/>
  <c r="I34" i="29"/>
  <c r="I37" i="29" s="1"/>
  <c r="E19" i="29"/>
  <c r="E22" i="29" s="1"/>
  <c r="M29" i="21"/>
  <c r="E29" i="21"/>
  <c r="I19" i="29"/>
  <c r="I22" i="29" s="1"/>
  <c r="M29" i="28"/>
  <c r="E78" i="28"/>
  <c r="E29" i="28"/>
  <c r="I78" i="28"/>
  <c r="J19" i="52" s="1"/>
  <c r="K19" i="52" s="1"/>
  <c r="I29" i="28"/>
  <c r="M29" i="27"/>
  <c r="E78" i="27"/>
  <c r="E29" i="27"/>
  <c r="M78" i="25"/>
  <c r="N16" i="52" s="1"/>
  <c r="O16" i="52" s="1"/>
  <c r="M29" i="25"/>
  <c r="I29" i="25"/>
  <c r="E29" i="24"/>
  <c r="M78" i="24"/>
  <c r="N15" i="52" s="1"/>
  <c r="O15" i="52" s="1"/>
  <c r="M29" i="24"/>
  <c r="I78" i="24"/>
  <c r="J15" i="52" s="1"/>
  <c r="K15" i="52" s="1"/>
  <c r="I29" i="24"/>
  <c r="M29" i="23"/>
  <c r="I29" i="22"/>
  <c r="M78" i="22"/>
  <c r="N13" i="52" s="1"/>
  <c r="O13" i="52" s="1"/>
  <c r="M29" i="22"/>
  <c r="I29" i="20"/>
  <c r="M78" i="28"/>
  <c r="N19" i="52" s="1"/>
  <c r="O19" i="52" s="1"/>
  <c r="M78" i="27"/>
  <c r="N18" i="52" s="1"/>
  <c r="O18" i="52" s="1"/>
  <c r="I78" i="25"/>
  <c r="J16" i="52" s="1"/>
  <c r="K16" i="52" s="1"/>
  <c r="E78" i="24"/>
  <c r="M78" i="23"/>
  <c r="N14" i="52" s="1"/>
  <c r="O14" i="52" s="1"/>
  <c r="I78" i="22"/>
  <c r="J13" i="52" s="1"/>
  <c r="K13" i="52" s="1"/>
  <c r="I78" i="20"/>
  <c r="J11" i="52" s="1"/>
  <c r="K11" i="52" s="1"/>
  <c r="C27" i="15"/>
  <c r="E27" i="15" s="1"/>
  <c r="E30" i="15" s="1"/>
  <c r="J10" i="52"/>
  <c r="K10" i="52" s="1"/>
  <c r="K24" i="19"/>
  <c r="M24" i="19" s="1"/>
  <c r="M27" i="19" s="1"/>
  <c r="M76" i="19" s="1"/>
  <c r="G24" i="27"/>
  <c r="I24" i="27" s="1"/>
  <c r="I27" i="27" s="1"/>
  <c r="I76" i="27" s="1"/>
  <c r="G24" i="23"/>
  <c r="I24" i="23" s="1"/>
  <c r="I27" i="23" s="1"/>
  <c r="I76" i="23" s="1"/>
  <c r="C24" i="22"/>
  <c r="E24" i="22" s="1"/>
  <c r="E27" i="22" s="1"/>
  <c r="E76" i="22" s="1"/>
  <c r="C24" i="20"/>
  <c r="E24" i="20" s="1"/>
  <c r="E27" i="20" s="1"/>
  <c r="E76" i="20" s="1"/>
  <c r="C24" i="25"/>
  <c r="E24" i="25" s="1"/>
  <c r="E27" i="25" s="1"/>
  <c r="E76" i="25" s="1"/>
  <c r="C26" i="15"/>
  <c r="E26" i="15" s="1"/>
  <c r="E29" i="15" s="1"/>
  <c r="F14" i="52"/>
  <c r="G14" i="52" s="1"/>
  <c r="G27" i="15"/>
  <c r="I27" i="15" s="1"/>
  <c r="I30" i="15" s="1"/>
  <c r="C25" i="22"/>
  <c r="E25" i="22" s="1"/>
  <c r="E28" i="22" s="1"/>
  <c r="E77" i="22" s="1"/>
  <c r="G25" i="27"/>
  <c r="I25" i="27" s="1"/>
  <c r="I28" i="27" s="1"/>
  <c r="I77" i="27" s="1"/>
  <c r="G25" i="23"/>
  <c r="I25" i="23" s="1"/>
  <c r="I28" i="23" s="1"/>
  <c r="I77" i="23" s="1"/>
  <c r="C25" i="20"/>
  <c r="E25" i="20" s="1"/>
  <c r="E28" i="20" s="1"/>
  <c r="E77" i="20" s="1"/>
  <c r="K25" i="19"/>
  <c r="M25" i="19" s="1"/>
  <c r="M28" i="19" s="1"/>
  <c r="M77" i="19" s="1"/>
  <c r="M38" i="29" l="1"/>
  <c r="M45" i="15"/>
  <c r="I38" i="29"/>
  <c r="E78" i="21"/>
  <c r="F12" i="52" s="1"/>
  <c r="G12" i="52" s="1"/>
  <c r="M78" i="21"/>
  <c r="N12" i="52" s="1"/>
  <c r="O12" i="52" s="1"/>
  <c r="I29" i="27"/>
  <c r="E78" i="25"/>
  <c r="E29" i="25"/>
  <c r="I29" i="23"/>
  <c r="E29" i="22"/>
  <c r="E29" i="20"/>
  <c r="M29" i="19"/>
  <c r="E31" i="15"/>
  <c r="I31" i="15"/>
  <c r="I78" i="27"/>
  <c r="J18" i="52" s="1"/>
  <c r="K18" i="52" s="1"/>
  <c r="I78" i="23"/>
  <c r="E78" i="22"/>
  <c r="E78" i="20"/>
  <c r="M78" i="19"/>
  <c r="I45" i="15"/>
  <c r="C24" i="19"/>
  <c r="E24" i="19" s="1"/>
  <c r="E27" i="19" s="1"/>
  <c r="E76" i="19" s="1"/>
  <c r="C24" i="26"/>
  <c r="E24" i="26" s="1"/>
  <c r="E27" i="26" s="1"/>
  <c r="E76" i="26" s="1"/>
  <c r="G24" i="21"/>
  <c r="I24" i="21" s="1"/>
  <c r="I27" i="21" s="1"/>
  <c r="I76" i="21" s="1"/>
  <c r="F19" i="52"/>
  <c r="Q81" i="28"/>
  <c r="F18" i="52"/>
  <c r="G18" i="52" s="1"/>
  <c r="F15" i="52"/>
  <c r="Q81" i="24"/>
  <c r="G25" i="21"/>
  <c r="I25" i="21" s="1"/>
  <c r="I28" i="21" s="1"/>
  <c r="I77" i="21" s="1"/>
  <c r="C25" i="26"/>
  <c r="E25" i="26" s="1"/>
  <c r="E28" i="26" s="1"/>
  <c r="E77" i="26" s="1"/>
  <c r="C25" i="19"/>
  <c r="E25" i="19" s="1"/>
  <c r="E28" i="19" s="1"/>
  <c r="E77" i="19" s="1"/>
  <c r="E20" i="29" l="1"/>
  <c r="E23" i="29" s="1"/>
  <c r="E21" i="29"/>
  <c r="E24" i="29" s="1"/>
  <c r="G19" i="52"/>
  <c r="U19" i="52" s="1"/>
  <c r="G15" i="52"/>
  <c r="U15" i="52" s="1"/>
  <c r="I29" i="21"/>
  <c r="I20" i="29"/>
  <c r="I23" i="29" s="1"/>
  <c r="I21" i="29"/>
  <c r="I24" i="29" s="1"/>
  <c r="E29" i="26"/>
  <c r="E29" i="19"/>
  <c r="E78" i="26"/>
  <c r="E78" i="19"/>
  <c r="N10" i="52"/>
  <c r="O10" i="52" s="1"/>
  <c r="U18" i="52"/>
  <c r="Q81" i="27"/>
  <c r="F16" i="52"/>
  <c r="Q81" i="25"/>
  <c r="J14" i="52"/>
  <c r="Q81" i="23"/>
  <c r="F13" i="52"/>
  <c r="Q81" i="22"/>
  <c r="F11" i="52"/>
  <c r="Q81" i="20"/>
  <c r="E25" i="29" l="1"/>
  <c r="G16" i="52"/>
  <c r="U16" i="52" s="1"/>
  <c r="K14" i="52"/>
  <c r="U14" i="52" s="1"/>
  <c r="G13" i="52"/>
  <c r="U13" i="52" s="1"/>
  <c r="I78" i="21"/>
  <c r="J12" i="52" s="1"/>
  <c r="G11" i="52"/>
  <c r="U11" i="52" s="1"/>
  <c r="I25" i="29"/>
  <c r="Q81" i="19"/>
  <c r="F10" i="52"/>
  <c r="F17" i="52"/>
  <c r="Q81" i="26"/>
  <c r="M13" i="10"/>
  <c r="K66" i="15"/>
  <c r="M66" i="15" s="1"/>
  <c r="M58" i="29" s="1"/>
  <c r="G66" i="15"/>
  <c r="I66" i="15" s="1"/>
  <c r="I58" i="29" s="1"/>
  <c r="C66" i="15"/>
  <c r="E66" i="15" s="1"/>
  <c r="E58" i="29" s="1"/>
  <c r="K34" i="15"/>
  <c r="G34" i="15"/>
  <c r="B61" i="15"/>
  <c r="B75" i="15" s="1"/>
  <c r="G17" i="52" l="1"/>
  <c r="U17" i="52" s="1"/>
  <c r="Q81" i="21"/>
  <c r="K12" i="52"/>
  <c r="U12" i="52" s="1"/>
  <c r="G10" i="52"/>
  <c r="U10" i="52" s="1"/>
  <c r="K62" i="15"/>
  <c r="K48" i="15"/>
  <c r="G62" i="15"/>
  <c r="G48" i="15"/>
  <c r="K23" i="15"/>
  <c r="M23" i="15" s="1"/>
  <c r="M17" i="29" s="1"/>
  <c r="K67" i="15"/>
  <c r="M67" i="15" s="1"/>
  <c r="M22" i="10"/>
  <c r="M21" i="10"/>
  <c r="M20" i="10"/>
  <c r="M19" i="10"/>
  <c r="M18" i="10"/>
  <c r="M17" i="10"/>
  <c r="M16" i="10"/>
  <c r="M15" i="10"/>
  <c r="M14" i="10"/>
  <c r="M70" i="15" l="1"/>
  <c r="M59" i="29"/>
  <c r="M62" i="29" s="1"/>
  <c r="K24" i="15"/>
  <c r="M24" i="15" s="1"/>
  <c r="M18" i="29" s="1"/>
  <c r="C67" i="15"/>
  <c r="E67" i="15" s="1"/>
  <c r="G67" i="15"/>
  <c r="I67" i="15" s="1"/>
  <c r="I70" i="15" l="1"/>
  <c r="I77" i="15" s="1"/>
  <c r="I59" i="29"/>
  <c r="I62" i="29" s="1"/>
  <c r="E70" i="15"/>
  <c r="E77" i="15" s="1"/>
  <c r="E59" i="29"/>
  <c r="E62" i="29" s="1"/>
  <c r="K68" i="15"/>
  <c r="M68" i="15" s="1"/>
  <c r="K69" i="15"/>
  <c r="M69" i="15" s="1"/>
  <c r="K25" i="15"/>
  <c r="M25" i="15" s="1"/>
  <c r="M72" i="15" l="1"/>
  <c r="M61" i="29"/>
  <c r="M64" i="29" s="1"/>
  <c r="M71" i="15"/>
  <c r="M60" i="29"/>
  <c r="M63" i="29" s="1"/>
  <c r="E69" i="29"/>
  <c r="I69" i="29"/>
  <c r="M28" i="15"/>
  <c r="M77" i="15" s="1"/>
  <c r="M19" i="29"/>
  <c r="M22" i="29" s="1"/>
  <c r="G68" i="15"/>
  <c r="I68" i="15" s="1"/>
  <c r="C68" i="15"/>
  <c r="E68" i="15" s="1"/>
  <c r="C69" i="15"/>
  <c r="E69" i="15" s="1"/>
  <c r="G69" i="15"/>
  <c r="I69" i="15" s="1"/>
  <c r="G12" i="1"/>
  <c r="I12" i="1" s="1"/>
  <c r="G11" i="1"/>
  <c r="I11" i="1" s="1"/>
  <c r="M65" i="29" l="1"/>
  <c r="M73" i="15"/>
  <c r="I72" i="15"/>
  <c r="I79" i="15" s="1"/>
  <c r="I61" i="29"/>
  <c r="I64" i="29" s="1"/>
  <c r="I71" i="29" s="1"/>
  <c r="E72" i="15"/>
  <c r="E79" i="15" s="1"/>
  <c r="E61" i="29"/>
  <c r="E64" i="29" s="1"/>
  <c r="E71" i="29" s="1"/>
  <c r="E71" i="15"/>
  <c r="E78" i="15" s="1"/>
  <c r="E60" i="29"/>
  <c r="E63" i="29" s="1"/>
  <c r="I71" i="15"/>
  <c r="I78" i="15" s="1"/>
  <c r="I60" i="29"/>
  <c r="I63" i="29" s="1"/>
  <c r="M69" i="29"/>
  <c r="K26" i="15"/>
  <c r="M26" i="15" s="1"/>
  <c r="K27" i="15"/>
  <c r="M27" i="15" s="1"/>
  <c r="E80" i="15" l="1"/>
  <c r="I80" i="15"/>
  <c r="I73" i="15"/>
  <c r="E70" i="29"/>
  <c r="E72" i="29" s="1"/>
  <c r="E65" i="29"/>
  <c r="E73" i="15"/>
  <c r="I70" i="29"/>
  <c r="I72" i="29" s="1"/>
  <c r="I65" i="29"/>
  <c r="S69" i="29"/>
  <c r="M29" i="15"/>
  <c r="M78" i="15" s="1"/>
  <c r="M20" i="29"/>
  <c r="M23" i="29" s="1"/>
  <c r="M30" i="15"/>
  <c r="M79" i="15" s="1"/>
  <c r="M21" i="29"/>
  <c r="M24" i="29" s="1"/>
  <c r="M71" i="29" s="1"/>
  <c r="S71" i="29" s="1"/>
  <c r="M80" i="15" l="1"/>
  <c r="Q83" i="15" s="1"/>
  <c r="Q76" i="29" s="1"/>
  <c r="M70" i="29"/>
  <c r="M25" i="29"/>
  <c r="M31" i="15"/>
  <c r="F9" i="52"/>
  <c r="J9" i="52"/>
  <c r="M12" i="10"/>
  <c r="M38" i="10"/>
  <c r="S70" i="29" l="1"/>
  <c r="M72" i="29"/>
  <c r="K9" i="52"/>
  <c r="K20" i="52" s="1"/>
  <c r="G9" i="52"/>
  <c r="G20" i="52" s="1"/>
  <c r="N9" i="52"/>
  <c r="O9" i="52" s="1"/>
  <c r="M39" i="10"/>
  <c r="Q74" i="29" l="1"/>
  <c r="F10" i="1" s="1"/>
  <c r="G10" i="1" s="1"/>
  <c r="G16" i="1" s="1"/>
  <c r="S72" i="29"/>
  <c r="O20" i="52"/>
  <c r="U22" i="52" s="1"/>
  <c r="U9" i="52"/>
  <c r="U20" i="52" s="1"/>
  <c r="I10" i="1" l="1"/>
  <c r="I16" i="1" s="1"/>
  <c r="U23" i="52"/>
</calcChain>
</file>

<file path=xl/sharedStrings.xml><?xml version="1.0" encoding="utf-8"?>
<sst xmlns="http://schemas.openxmlformats.org/spreadsheetml/2006/main" count="4228" uniqueCount="475">
  <si>
    <t>Source Selection Information - See FAR 2.101 and 3.104</t>
  </si>
  <si>
    <t xml:space="preserve"> </t>
  </si>
  <si>
    <t>Offeror:</t>
  </si>
  <si>
    <t>CLIN Description</t>
  </si>
  <si>
    <t>Unit of Issue</t>
  </si>
  <si>
    <t xml:space="preserve">Basic Period CLIN
</t>
  </si>
  <si>
    <t xml:space="preserve">
BEQ</t>
  </si>
  <si>
    <t xml:space="preserve">
Unit
Price</t>
  </si>
  <si>
    <t xml:space="preserve">
Extended
Price</t>
  </si>
  <si>
    <t>TOTAL EVALUATED PRICE</t>
  </si>
  <si>
    <t>Support Equipment</t>
  </si>
  <si>
    <t>NSP</t>
  </si>
  <si>
    <t>TOTAL</t>
  </si>
  <si>
    <t>Double Check</t>
  </si>
  <si>
    <t>Difference should be $0</t>
  </si>
  <si>
    <t>Development</t>
  </si>
  <si>
    <t>Simulator Kit</t>
  </si>
  <si>
    <t>Systems Integration Laboratory (SIL)</t>
  </si>
  <si>
    <t>Travel - EMD</t>
  </si>
  <si>
    <t>Contract Type</t>
  </si>
  <si>
    <t>Cost Plus Incentive Fee (CPIF)</t>
  </si>
  <si>
    <t>CPIF</t>
  </si>
  <si>
    <t>Not Separately Priced (NSP)</t>
  </si>
  <si>
    <t>Cost Reimbursable - No Fee (CR-NF)</t>
  </si>
  <si>
    <t>Description</t>
  </si>
  <si>
    <t>0001</t>
  </si>
  <si>
    <t>0002</t>
  </si>
  <si>
    <t>0003</t>
  </si>
  <si>
    <t>EMD</t>
  </si>
  <si>
    <t>Labor Hours</t>
  </si>
  <si>
    <t>Development through PDR</t>
  </si>
  <si>
    <t>Development from PDR to CDR</t>
  </si>
  <si>
    <t>System Test and Evaluation</t>
  </si>
  <si>
    <t>Material - Development Kits (COTS and Developmental)</t>
  </si>
  <si>
    <t>Prototype Support, Installation, and Checkout</t>
  </si>
  <si>
    <t>Qualification, Developmental, and Operational Testing</t>
  </si>
  <si>
    <t>Material - Development Spares</t>
  </si>
  <si>
    <t>Black Label HW &amp; SW Certification</t>
  </si>
  <si>
    <t>Systems Engineering and Program Management</t>
  </si>
  <si>
    <t>Aircrew and maintenance training</t>
  </si>
  <si>
    <t>Support required to determine elements of Simulator Kit</t>
  </si>
  <si>
    <t>Material - 1 Simulator kit (Ref Section L)</t>
  </si>
  <si>
    <t>Delivery of material to Simulator SPO</t>
  </si>
  <si>
    <t>Systems Integration Laboratory</t>
  </si>
  <si>
    <t>Delivery of SIL to Government</t>
  </si>
  <si>
    <t>1.0</t>
  </si>
  <si>
    <t>Labor Category</t>
  </si>
  <si>
    <t>Labor Category and Indirect Rate Descriptions</t>
  </si>
  <si>
    <t>Conducts comprehensive system-wide review and analysis of all aspects of the development life cycle.  Provides expertise in the transition of legacy systems to modernized systems.</t>
  </si>
  <si>
    <t>Example Labor Category:  Systems Engineer/Integrator</t>
  </si>
  <si>
    <t>Indirect Rate Category</t>
  </si>
  <si>
    <t>General &amp; Administrative (G&amp;A)</t>
  </si>
  <si>
    <t>Facilities Capital Cost of Money (FCCOM)</t>
  </si>
  <si>
    <t>Example:  Labor Fringe</t>
  </si>
  <si>
    <t>Labor Fringe</t>
  </si>
  <si>
    <t>Includes employee retirement plans, health insurance, and paid time off for sick leave and vacation</t>
  </si>
  <si>
    <t>The base for Labor Fringe is total direct labor costs</t>
  </si>
  <si>
    <t>Rates</t>
  </si>
  <si>
    <t>Cost</t>
  </si>
  <si>
    <t>Base</t>
  </si>
  <si>
    <t>Proposed Add-on Factor (Overhead)</t>
  </si>
  <si>
    <t>Proposed Add-on Factor (G&amp;A)</t>
  </si>
  <si>
    <t>Proposed Add-on Factor (Fee)</t>
  </si>
  <si>
    <t>Total Proposed COM</t>
  </si>
  <si>
    <t>Proposed Prices (Labor, Material, and ODC)</t>
  </si>
  <si>
    <t xml:space="preserve">Notes:  </t>
  </si>
  <si>
    <t>Extended Target Cost</t>
  </si>
  <si>
    <t>KC-135 Center Console Refresh (CCR) Competitive Pricing Matrix                                                                                                                      CLIN X001:  Development (CPIF)</t>
  </si>
  <si>
    <t>Labor Rates</t>
  </si>
  <si>
    <t>PROPOSED COSTS/PRICES - LABOR</t>
  </si>
  <si>
    <t>Base Costs</t>
  </si>
  <si>
    <t>Total Proposed Target Fee</t>
  </si>
  <si>
    <t>Total Proposed FCCOM</t>
  </si>
  <si>
    <t>Total Proposed Labor Price (Target)</t>
  </si>
  <si>
    <t>Direct Labor Cost</t>
  </si>
  <si>
    <t>Proposed Direct Labor Rates</t>
  </si>
  <si>
    <t>Hourly Rate</t>
  </si>
  <si>
    <t>Proposed Indirect Rates/Factors</t>
  </si>
  <si>
    <t>Proposed Material Rates/Factors</t>
  </si>
  <si>
    <t>Proposed Other Direct Cost (ODC) Rates/Factors</t>
  </si>
  <si>
    <t>PROPOSED COSTS/PRICES - MATERIAL</t>
  </si>
  <si>
    <t>PROPOSED COSTS/PRICES - OTHER DIRECT COSTS (ODC)</t>
  </si>
  <si>
    <t>PROPOSED COSTS/PRICES - ODC</t>
  </si>
  <si>
    <t>Lot</t>
  </si>
  <si>
    <t xml:space="preserve">  </t>
  </si>
  <si>
    <t>Basic Period CLIN</t>
  </si>
  <si>
    <t xml:space="preserve">
By Event</t>
  </si>
  <si>
    <t>TOTAL DIRECT LABOR HOURS/COST</t>
  </si>
  <si>
    <t>Material Cost</t>
  </si>
  <si>
    <t>Other Direct Cost</t>
  </si>
  <si>
    <t>Overhead (Labor)</t>
  </si>
  <si>
    <t>Overhead (Material)</t>
  </si>
  <si>
    <t>Indirect Rate Category (Labor)</t>
  </si>
  <si>
    <t>Indirect Rate Category (Material)</t>
  </si>
  <si>
    <t>Indirect ODC Category (Other)</t>
  </si>
  <si>
    <t>KC-135 Center Console Refresh (CCR) Competitive Pricing Matrix                                                                                                                      CLIN X002:  Simulator Kit (CPIF)                                                                                              WBS 1.02 Material -1 Simulator Kit</t>
  </si>
  <si>
    <t>Development Labor to Have an Operational SIL</t>
  </si>
  <si>
    <t>Material - Contractor Procured Material for SIL</t>
  </si>
  <si>
    <t>Material - Anticipated Required GFE</t>
  </si>
  <si>
    <t xml:space="preserve">1. No inputs required by Offeror </t>
  </si>
  <si>
    <t>KC-135 Center Console Refresh (CCR) Competitive Pricing Matrix                                                                                                                      CLIN X002:  Simulator Kit (CPIF) - TOTAL</t>
  </si>
  <si>
    <t>0004</t>
  </si>
  <si>
    <t>0005</t>
  </si>
  <si>
    <t>0006</t>
  </si>
  <si>
    <t>N/A</t>
  </si>
  <si>
    <t>1.01.01</t>
  </si>
  <si>
    <t>1.01.02</t>
  </si>
  <si>
    <t>1.01.03</t>
  </si>
  <si>
    <t>Labor Category : [INSERT LABOR CATEGORY NAME HERE]</t>
  </si>
  <si>
    <t>Indirect Labor Category: [G&amp;A]</t>
  </si>
  <si>
    <t>Indirect Labor Category: [Labor Overhead]</t>
  </si>
  <si>
    <t>Indirect Labor Category:  [Labor Fringe]</t>
  </si>
  <si>
    <t>Indirect Labor Category: [FCCOM]</t>
  </si>
  <si>
    <t>Indirect Labor Category: [Target Fee]</t>
  </si>
  <si>
    <t>Indirect Category: [Material Overhead]</t>
  </si>
  <si>
    <t>Indirect Category: [G&amp;A]</t>
  </si>
  <si>
    <t>Indirect Category: [FCCOM]</t>
  </si>
  <si>
    <t>Indirect Category: [Target Fee]</t>
  </si>
  <si>
    <t>Indirect Category: [Overhead]</t>
  </si>
  <si>
    <t xml:space="preserve">Indirect Category: [FCCOM] </t>
  </si>
  <si>
    <t xml:space="preserve">Indirect Category: [Target Fee] </t>
  </si>
  <si>
    <t>Target Fee</t>
  </si>
  <si>
    <t>1.02.01</t>
  </si>
  <si>
    <t>1.02.02</t>
  </si>
  <si>
    <t>1.02.03</t>
  </si>
  <si>
    <t>1.03.01</t>
  </si>
  <si>
    <t>1.03.02</t>
  </si>
  <si>
    <t>1.03.03</t>
  </si>
  <si>
    <t>1.04.01</t>
  </si>
  <si>
    <t>1.04.02</t>
  </si>
  <si>
    <t>1.04.03</t>
  </si>
  <si>
    <t>1.05.01</t>
  </si>
  <si>
    <t>1.05.02</t>
  </si>
  <si>
    <t>1.05.03</t>
  </si>
  <si>
    <t>1.06.01</t>
  </si>
  <si>
    <t>1.06.02</t>
  </si>
  <si>
    <t>1.06.03</t>
  </si>
  <si>
    <t>1.07.01</t>
  </si>
  <si>
    <t>1.07.02</t>
  </si>
  <si>
    <t>1.07.03</t>
  </si>
  <si>
    <t>1.08.01</t>
  </si>
  <si>
    <t>1.08.02</t>
  </si>
  <si>
    <t>1.08.03</t>
  </si>
  <si>
    <t>1.09.01</t>
  </si>
  <si>
    <t>1.09.02</t>
  </si>
  <si>
    <t>1.09.03</t>
  </si>
  <si>
    <t>1.10.01</t>
  </si>
  <si>
    <t>1.10.02</t>
  </si>
  <si>
    <t>1.10.03</t>
  </si>
  <si>
    <t>1.11.01</t>
  </si>
  <si>
    <t>1.11.02</t>
  </si>
  <si>
    <t>1.11.03</t>
  </si>
  <si>
    <t>2.01.01</t>
  </si>
  <si>
    <t>2.01.02</t>
  </si>
  <si>
    <t>2.01.03</t>
  </si>
  <si>
    <t>2.02.01</t>
  </si>
  <si>
    <t>2.02.02</t>
  </si>
  <si>
    <t>2.02.03</t>
  </si>
  <si>
    <t>2.03.01</t>
  </si>
  <si>
    <t>2.03.02</t>
  </si>
  <si>
    <t>2.03.03</t>
  </si>
  <si>
    <t>3.01.01</t>
  </si>
  <si>
    <t>3.01.02</t>
  </si>
  <si>
    <t>3.01.03</t>
  </si>
  <si>
    <t>3.02.01</t>
  </si>
  <si>
    <t>3.02.02</t>
  </si>
  <si>
    <t>3.02.03</t>
  </si>
  <si>
    <t>3.03.01</t>
  </si>
  <si>
    <t>3.03.02</t>
  </si>
  <si>
    <t>3.03.03</t>
  </si>
  <si>
    <t>3.04.01</t>
  </si>
  <si>
    <t>3.04.02</t>
  </si>
  <si>
    <t>3.04.03</t>
  </si>
  <si>
    <t>Total Proposed Material Price (Target)</t>
  </si>
  <si>
    <t>Total Proposed ODC Price (Target)</t>
  </si>
  <si>
    <t># FTEs/Hours</t>
  </si>
  <si>
    <t>Development Thru PDR</t>
  </si>
  <si>
    <t>ADD TITLE HERE</t>
  </si>
  <si>
    <t>ENGINEER I</t>
  </si>
  <si>
    <t>To develop engineering plans</t>
  </si>
  <si>
    <t>ENGINEER II</t>
  </si>
  <si>
    <t>To evaluate engineering plans</t>
  </si>
  <si>
    <t>QUALITY SPECIALIST</t>
  </si>
  <si>
    <t>Task</t>
  </si>
  <si>
    <t>Other Direct Costs</t>
  </si>
  <si>
    <t>Total Proposed Target Labor Cost</t>
  </si>
  <si>
    <t>Total Proposed Target Material Cost</t>
  </si>
  <si>
    <t>Total Proposed Target Other Direct Costs</t>
  </si>
  <si>
    <t>Total Proposed Target Cost (Direct and Indirect)</t>
  </si>
  <si>
    <t xml:space="preserve">KC-135 Center Console Refresh (CCR) Competitive Pricing Matrix                                                                                                                      CLIN X002:  Simulator Kit (CPIF)                                                                                              </t>
  </si>
  <si>
    <t>KC-135 Center Console Refresh (CCR) Source Selection</t>
  </si>
  <si>
    <t>SIL</t>
  </si>
  <si>
    <t>Basic Period (48 months)</t>
  </si>
  <si>
    <t>Basic (Year 1)</t>
  </si>
  <si>
    <t>Basic (Year 2)</t>
  </si>
  <si>
    <t>Basic (Year 3)</t>
  </si>
  <si>
    <t>Basic (Year 4)</t>
  </si>
  <si>
    <t>Basic Period (Year 1)</t>
  </si>
  <si>
    <t>Basic Period (Year 3)</t>
  </si>
  <si>
    <t>Basic Period (Year 4)</t>
  </si>
  <si>
    <t>CLIN 0001: Basic Period (Year 1)</t>
  </si>
  <si>
    <t>CLIN 0001: Basic Period (Year 2)</t>
  </si>
  <si>
    <t>CLIN 0001: Basic Period (Year 4)</t>
  </si>
  <si>
    <t>CLIN 0001: Basic Period (Year 3)</t>
  </si>
  <si>
    <t>Total Proposed Target FCCOM</t>
  </si>
  <si>
    <t>CLIN 0001 - Basic Period (Year 1)</t>
  </si>
  <si>
    <t>CLIN 0001 - Basic Period (Year 2)</t>
  </si>
  <si>
    <t>CLIN 0001 - Basic Period (Year 3)</t>
  </si>
  <si>
    <t>CLIN 0001 - Basic Period (Year 4)</t>
  </si>
  <si>
    <t>KC-135 Center Console Refresh (CCR) Competitive Pricing Matrix                                                                                                                      CLIN 0001:  Development (CPIF)</t>
  </si>
  <si>
    <t>CLIN 0001:  Basic Period (Year 4)</t>
  </si>
  <si>
    <t>Basic Period (Year 2)</t>
  </si>
  <si>
    <t>PROPOSED COSTS/PRICES - SUBCONTRACTOR</t>
  </si>
  <si>
    <t>Proposed Prices (Labor, Material, Subcontractor, and ODC)</t>
  </si>
  <si>
    <t>Total Proposed Target Subcontractor Costs</t>
  </si>
  <si>
    <t>Total Proposed Subcontractor Price (Target)</t>
  </si>
  <si>
    <t>Indirect Rate Category (Subcontractor)</t>
  </si>
  <si>
    <t>Overhead (Subcontractor)</t>
  </si>
  <si>
    <t>Overhead (ODC)</t>
  </si>
  <si>
    <t>CLIN 0002 - Basic Period (Year 1)</t>
  </si>
  <si>
    <t>CLIN 0002 - Basic Period (Year 2)</t>
  </si>
  <si>
    <t>CLIN 0002 - Basic Period (Year 3)</t>
  </si>
  <si>
    <t>CLIN 0002 - Basic Period (Year 4)</t>
  </si>
  <si>
    <t>CLIN 0001 (CPIF)                                                 TOTAL</t>
  </si>
  <si>
    <t>Extended Target Price</t>
  </si>
  <si>
    <t>KC-135 Center Console Refresh (CCR) - Proposed Subcontractor Summary                                                                                                                              CLINs 0001, 0002, and 0003 (CPIF)</t>
  </si>
  <si>
    <t>Basic Period - Year 1</t>
  </si>
  <si>
    <t>Basic Period - Year 2</t>
  </si>
  <si>
    <t>Basic Period - Year 3</t>
  </si>
  <si>
    <t>Basic Period - Year 4</t>
  </si>
  <si>
    <t>TOTAL CPIF CLIN 0001</t>
  </si>
  <si>
    <t>TOTAL CPIF CLIN 0001 (Year 1)</t>
  </si>
  <si>
    <t>TOTAL CPIF CLIN 0001 (Year 2)</t>
  </si>
  <si>
    <t>TOTAL CPIF CLIN 0001 (Year 3)</t>
  </si>
  <si>
    <t>TOTAL CPIF CLIN 0001 (Year 4)</t>
  </si>
  <si>
    <t>Total Subcontractor Costs (CPIF)</t>
  </si>
  <si>
    <t>Total Proposed Subcontractor Costs (CPIF)</t>
  </si>
  <si>
    <t>Total CPIF CLIN 0001</t>
  </si>
  <si>
    <t>CLIN 0002: Basic Period (Year 1)</t>
  </si>
  <si>
    <t>CLIN 0002: Basic Period (Year 4)</t>
  </si>
  <si>
    <t>CLIN 0002: Basic Period (Year 3)</t>
  </si>
  <si>
    <t>CLIN 0002: Basic Period (Year 2)</t>
  </si>
  <si>
    <t>CLIN 0002 (CPIF)                                                     TOTAL</t>
  </si>
  <si>
    <t>Total CPIF CLIN 0002</t>
  </si>
  <si>
    <t>Total CPIF CLIN 0003</t>
  </si>
  <si>
    <t>Total Proposed Target Price - CLIN 0002</t>
  </si>
  <si>
    <t>KC-135 Center Console Refresh (CCR) Competitive Pricing Matrix                                                                                                 CLIN 0002:  Simulator Kit (CPIF)</t>
  </si>
  <si>
    <t>TOTAL CPIF CLIN 0002 (Year 1)</t>
  </si>
  <si>
    <t>TOTAL CPIF CLIN 0002 (Year 2)</t>
  </si>
  <si>
    <t>TOTAL CPIF CLIN 0002 (Year 3)</t>
  </si>
  <si>
    <t>TOTAL CPIF CLIN 0002 (Year 4)</t>
  </si>
  <si>
    <t>TOTAL CPIF CLIN 0002</t>
  </si>
  <si>
    <t>KC-135 Center Console Refresh (CCR) Competitive Pricing Matrix                                                                                                 CLIN 0001:  Development (CPIF)</t>
  </si>
  <si>
    <t>KC-135 Center Console Refresh (CCR) Competitive Pricing Matrix                                                                                                                      CLIN 0001:  Development (CPIF) - TOTAL</t>
  </si>
  <si>
    <t>Total Proposed Target Price - CLIN 0001</t>
  </si>
  <si>
    <t>KC-135 Center Console Refresh (CCR) Competitive Pricing Matrix                                                                                                 CLIN 0003:  Systems Integration Laboratory (CPIF)</t>
  </si>
  <si>
    <t>TOTAL CPIF CLIN 0003</t>
  </si>
  <si>
    <t>TOTAL CPIF CLIN 0003 (Year 1)</t>
  </si>
  <si>
    <t>TOTAL CPIF CLIN 0003 (Year 2)</t>
  </si>
  <si>
    <t>TOTAL CPIF CLIN 0003 (Year 3)</t>
  </si>
  <si>
    <t>TOTAL CPIF CLIN 0003 (Year 4)</t>
  </si>
  <si>
    <t>CLIN 0003 - Basic Period (Year 1)</t>
  </si>
  <si>
    <t>CLIN 0003 - Basic Period (Year 2)</t>
  </si>
  <si>
    <t>CLIN 0003 - Basic Period (Year 3)</t>
  </si>
  <si>
    <t>CLIN 0003 - Basic Period (Year 4)</t>
  </si>
  <si>
    <t>CLIN 0003: Basic Period (Year 1)</t>
  </si>
  <si>
    <t>CLIN 0003: Basic Period (Year 2)</t>
  </si>
  <si>
    <t>CLIN 0003: Basic Period (Year 3)</t>
  </si>
  <si>
    <t>CLIN 0003: Basic Period (Year 4)</t>
  </si>
  <si>
    <t xml:space="preserve">KC-135 Center Console Refresh (CCR) Competitive Pricing Matrix                                                                                                                      CLIN 0003:  Systems Integrated Laboratory (CPIF) </t>
  </si>
  <si>
    <t xml:space="preserve">KC-135 Center Console Refresh (CCR) Competitive Pricing Matrix                                                                                                                      CLIN 0003:  Systems Integrated Laboratory (CPIF)                                                                                              </t>
  </si>
  <si>
    <t>CLIN 0003 (CPIF)                                                  TOTAL</t>
  </si>
  <si>
    <t>KC-135 Center Console Refresh (CCR) Competitive Pricing Matrix                                                                                                                      CLIN 0003:  Systems Integration Laboratory (CPIF) - TOTAL</t>
  </si>
  <si>
    <t>Total Proposed Target Price - CLIN 0003</t>
  </si>
  <si>
    <t>Proposed Subcontractor Rates/Factors (Burdens added by Prime to Subcontractor Costs)</t>
  </si>
  <si>
    <t>KC-135 Center Console Refresh (CCR) Competitive Pricing Matrix                                                                                                                        SUMMARY</t>
  </si>
  <si>
    <t>KC-135 Center Console Refresh (CCR) - Proposed Material Summary                                                                                                                              CLINs 0001, 0002, and 0003 (CPIF)</t>
  </si>
  <si>
    <t>Total Proposed Material Costs (CPIF)</t>
  </si>
  <si>
    <t>Total Material Costs (CPIF)</t>
  </si>
  <si>
    <t>Insert all indirect categories that apply to labor; make changes to indirect categories in Column B accordingly and amend links in Columns C, G, K, and O as needed. Also ensure rates in Columns D, H, L and P are properly linked to 'PRIME-CPIF Rates (All)' worksheet</t>
  </si>
  <si>
    <t>Insert all indirect categories that the prime contractor will apply to subcontractor costs; make changes to indirect categories in Column B accordingly and amend links in Columns C, G, K, and O as needed. Also ensure rates in Columns D, H, L and P are properly linked to 'PRIME-CPIF Rates (All)' worksheet</t>
  </si>
  <si>
    <t>2. Proposed costs for Labor, Material, Subcontractor, and Other Direct Costs (ODCs) are linked to corresponding worksheets as specified below - no input required</t>
  </si>
  <si>
    <t>TOTAL PROPOSED TARGET PRICE FOR BASIC PERIOD - CLIN 0001</t>
  </si>
  <si>
    <t>TOTAL PROPOSED TARGET PRICE FOR BASIC PERIOD - CLIN 0002</t>
  </si>
  <si>
    <t>TOTAL PROPOSED TARGET PRICE FOR BASIC PERIOD - CLIN 0003</t>
  </si>
  <si>
    <t>`</t>
  </si>
  <si>
    <t>Rate</t>
  </si>
  <si>
    <t>Subcontractor Cost</t>
  </si>
  <si>
    <t>Labor Cost</t>
  </si>
  <si>
    <t>Base Cost</t>
  </si>
  <si>
    <t xml:space="preserve"> Labor Cost</t>
  </si>
  <si>
    <t>Notes:</t>
  </si>
  <si>
    <t>Rationale</t>
  </si>
  <si>
    <t>2 FTEs x 1,784 hours</t>
  </si>
  <si>
    <t>Example - For Illustrative Purposes Only</t>
  </si>
  <si>
    <t>To evaluate quality of the engineering plans</t>
  </si>
  <si>
    <t>3.  An example input has been provided in the template below (for illustrative purposes only); offerors shall delete the example in their proposal submission</t>
  </si>
  <si>
    <t>2. At the sub-WBS level, the Prime Offeror shall provide the task to be performed, the labor category proposed to perform this task, the number of Full-Time Equivalents (FTEs) and corresponding labor hours to be utilized, and rationale to support the proposed labor</t>
  </si>
  <si>
    <t>Note:  Offerors shall ensure the proposed unit prices are properly linked to the corresponding "CPIF CLIN 0002-WBS 1.XX INPUTS" worksheets</t>
  </si>
  <si>
    <t>Cost Model - CPIF CLINs 0001 - 0003:</t>
  </si>
  <si>
    <t>2.  All proposed dollar amounts and labor rates shall be rounded to two decimal places.  All proposed rates in percentages shall be rounded to four decimal places (ex. .0755 = 7.55%)</t>
  </si>
  <si>
    <t>Refer to the "Notes" on each CPIF worksheet for specific information/instructions</t>
  </si>
  <si>
    <t>Intellectual Property</t>
  </si>
  <si>
    <t>Data - EMD</t>
  </si>
  <si>
    <t>Aircrew and Maintenance Training</t>
  </si>
  <si>
    <t>Development Tasks</t>
  </si>
  <si>
    <t>Simulator Kit Tasks</t>
  </si>
  <si>
    <t>TASK</t>
  </si>
  <si>
    <t xml:space="preserve">1. The format of this worksheet shall be revised to include every WBS (at the sub-task level) with proposed labor (if a WBS does not include proposed labor, do not include below) </t>
  </si>
  <si>
    <t>Task Number</t>
  </si>
  <si>
    <t>1. The format of this worksheet should be revised as required to include all proposed labor by task</t>
  </si>
  <si>
    <t>CLIN 0001 DEVELOPMENT, TASK 1.01 DEVELOPMENT THROUGH PDR</t>
  </si>
  <si>
    <t>CLIN 0001 DEVELOPMENT, TASK 1.02 DEVELOPMENT FROM PDR TO CDR</t>
  </si>
  <si>
    <t>CLIN 0001 DEVELOPMENT, TASK 1.03 SYSTEM TEST AND EVALUATION</t>
  </si>
  <si>
    <t>CLIN 0001 DEVELOPMENT, TASK 1.04 DEVELOPMENT KITS (COTS AND DEVELOPMENTAL)</t>
  </si>
  <si>
    <t>CLIN 0001 DEVELOPMENT, TASK 1.05 PROTOTYPE SUPPORT, INSTALLATION, AND CHECKOUT</t>
  </si>
  <si>
    <t>CLIN 0001 DEVELOPMENT, TASK 1.06 QUALIFICATION, DEVELOPMENTAL, AND OPERATIONAL TESTING</t>
  </si>
  <si>
    <t>CLIN 0001 DEVELOPMENT, TASK 1.07 MATERIAL - DEVELOPMENT SPARES</t>
  </si>
  <si>
    <t>CLIN 0001 DEVELOPMENT, TASK 1.08 BLACK LABEL HARDWARE AND SOFTWARE CERTIFICATION</t>
  </si>
  <si>
    <t>CLIN 0001 DEVELOPMENT, TASK 1.09 SYSTEMS ENGINEERING AND PROGRAM MANAGEMENT</t>
  </si>
  <si>
    <t>CLIN 0001 DEVELOPMENT, TASK 1.10 AIRCREW AND MAINTENANCE TRAINING</t>
  </si>
  <si>
    <t>CLIN 0001 DEVELOPMENT, TASK 1.11 SUPPORT EQUIPMENT</t>
  </si>
  <si>
    <t>2. Populate the yellow-highlighted cells below to summarize the proposed material costs by CLIN/Task (the totals by CLIN/Task shall match the other than cost and pricing data provided in the CBOM)</t>
  </si>
  <si>
    <t>2. Populate the yellow-highlighted cells below to summarize the proposed ODC by CLIN/Task (the totals by CLIN/Task shall match the other than cost and pricing data provided in Contractor format)</t>
  </si>
  <si>
    <t xml:space="preserve">2. Populate the yellow-highlighted cells below to summarize the proposed subcontractor costs by CLIN/Task </t>
  </si>
  <si>
    <t>Note:  Offerors shall ensure the proposed unit prices are properly linked to the corresponding "CPIF CLIN 0001-TASK 1.XX INPUTS" worksheets</t>
  </si>
  <si>
    <t>6.  The total target price for CLIN 0001, TASK 1.01 will automatically calculate for the Basic Period</t>
  </si>
  <si>
    <t>CLIN 0001 (CPIF)                                                    TASK 1.01 DEVELOPMENT THROUGH PDR</t>
  </si>
  <si>
    <t>Total Proposed Target Price (CLIN 0001, TASK 1.01)</t>
  </si>
  <si>
    <t>TOTAL TARGET PRICE - CLIN 0001, TASK 1.01</t>
  </si>
  <si>
    <t>6.  The total target price for CLIN 0001, TASK 1.02 will automatically calculate for the Basic Period</t>
  </si>
  <si>
    <t>CLIN 0001 (CPIF)                                                    TASK 1.02 DEVELOPMENT FROM PDR TO CDR</t>
  </si>
  <si>
    <t>Total Proposed Target Price (CLIN 0001, TASK 1.02)</t>
  </si>
  <si>
    <t>TOTAL TARGET PRICE - CLIN 0001, TASK 1.02</t>
  </si>
  <si>
    <t>6.  The total target price for CLIN 0001, TASK 1.03 will automatically calculate for the Basic Period</t>
  </si>
  <si>
    <t>CLIN 0001 (CPIF)                                                    TASK 1.03 SYSTEM TEST AND EVALUATION</t>
  </si>
  <si>
    <t>Total Proposed Target Price (CLIN 0001, TASK 1.03)</t>
  </si>
  <si>
    <t>TOTAL TARGET PRICE - CLIN 0001, TASK 1.03</t>
  </si>
  <si>
    <t>6.  The total target price for CLIN 0001, TASK 1.04 will automatically calculate for the Basic Period</t>
  </si>
  <si>
    <t>CLIN 0001 (CPIF)                                                    TASK 1.04 MATERIAL - DEVELOPMENT KITS (COTS AND DEVELOPMENTAL)</t>
  </si>
  <si>
    <t>Total Proposed Target Price (CLIN 0001, TASK 1.04)</t>
  </si>
  <si>
    <t>TOTAL TARGET PRICE - CLIN 0001, TASK 1.04</t>
  </si>
  <si>
    <t>6.  The total target price for CLIN 0001, TASK 1.05 will automatically calculate for the Basic Period</t>
  </si>
  <si>
    <t>CLIN 0001 (CPIF)                                                    TASK 1.05 PROTOTYPE SUPPORT, INSTALLATION, AND CHECKOUT</t>
  </si>
  <si>
    <t>Total Proposed Target Price (CLIN 0001, TASK 1.05)</t>
  </si>
  <si>
    <t>TOTAL TARGET PRICE - CLIN 0001, TASK 1.05</t>
  </si>
  <si>
    <t>6.  The total target price for CLIN 0001, TASK 1.06 will automatically calculate for the Basic Period</t>
  </si>
  <si>
    <t>CLIN 0001 (CPIF)                                                    TASK 1.06 QUALIFICATION, DEVELOPMENTAL, AND OPERATIONAL TESTING</t>
  </si>
  <si>
    <t>Total Proposed Target Price (CLIN 0001, TASK 1.06)</t>
  </si>
  <si>
    <t>TOTAL TARGET PRICE - CLIN 0001, TASK 1.06</t>
  </si>
  <si>
    <t>6.  The total target price for CLIN 0001, TASK 1.07 will automatically calculate for the Basic Period</t>
  </si>
  <si>
    <t>CLIN 0001 (CPIF)                                                    TASK 1.07 MATERIAL - DEVELOPMENTAL SPARES</t>
  </si>
  <si>
    <t>Total Proposed Target Price (CLIN 0001, TASK 1.07)</t>
  </si>
  <si>
    <t>TOTAL TARGET PRICE - CLIN 0001, TASK 1.07</t>
  </si>
  <si>
    <t>6.  The total target price for CLIN 0001, TASK 1.08 will automatically calculate for the Basic Period</t>
  </si>
  <si>
    <t>CLIN 0001 (CPIF)                                                    TASK 1.08 BLACK LABEL HARDWARE &amp; SOFTWARE CERTIFICATION</t>
  </si>
  <si>
    <t>Total Proposed Target Price (CLIN 0001, TASK 1.08)</t>
  </si>
  <si>
    <t>TOTAL TARGET PRICE - CLIN 0001, TASK 1.08</t>
  </si>
  <si>
    <t>6.  The total target price for CLIN 0001, TASK 1.09 will automatically calculate for the Basic Period</t>
  </si>
  <si>
    <t>CLIN 0001 (CPIF)                                                    TASK 1.09 SYSTEMS ENGINEERING AND PROGRAM MANAGEMENT</t>
  </si>
  <si>
    <t>Total Proposed Target Price (CLIN 0001, TASK 1.09)</t>
  </si>
  <si>
    <t>TOTAL TARGET PRICE - CLIN 0001, TASK 1.09</t>
  </si>
  <si>
    <t>6.  The total target price for CLIN 0001, TASK 1.10 will automatically calculate for the Basic Period</t>
  </si>
  <si>
    <t>CLIN 0001 (CPIF)                                                    TASK 1.10 AIRCREW AND MAINTENANCE TRAINING</t>
  </si>
  <si>
    <t>Total Proposed Target Price (CLIN 0001, TASK 1.10)</t>
  </si>
  <si>
    <t>TOTAL TARGET PRICE - CLIN 0001, TASK 1.10</t>
  </si>
  <si>
    <t>6.  The total target price for CLIN 0001, TASK 1.11 will automatically calculate for the Basic Period</t>
  </si>
  <si>
    <t>CLIN 0001 (CPIF)                                                    TASK 1.11 SUPPORT EQUIPMENT</t>
  </si>
  <si>
    <t>Total Proposed Target Price (CLIN 0001, TASK 1.11)</t>
  </si>
  <si>
    <t>TOTAL TARGET PRICE - CLIN 0001, TASK 1.11</t>
  </si>
  <si>
    <t>6.  The total target price for CLIN 0002, TASK 1.01 will automatically calculate for the Basic Period</t>
  </si>
  <si>
    <t>CLIN 0002 (CPIF)                                                    TASK 1.01 SUPPORT REQUIRED TO DETERMINE ELEMENTS OF SIMULATOR KIT</t>
  </si>
  <si>
    <t>Total Proposed Target Price (CLIN 0002, TASK 1.01)</t>
  </si>
  <si>
    <t>TOTAL TARGET PRICE - CLIN 0002, TASK 1.01</t>
  </si>
  <si>
    <t>6.  The total target price for CLIN 0002, TASK 1.02 will automatically calculate for the Basic Period</t>
  </si>
  <si>
    <t>CLIN 0002 (CPIF)                                                    TASK 1.02 MATERIAL -1 SIMULATOR KIT</t>
  </si>
  <si>
    <t>Total Proposed Target Price (CLIN 0002, TASK 1.02)</t>
  </si>
  <si>
    <t>TOTAL TARGET PRICE - CLIN 0002, TASK 1.02</t>
  </si>
  <si>
    <t>KC-135 Center Console Refresh (CCR) Competitive Pricing Matrix                                                                                                                      CLIN X002:  Simulator Kit (CPIF)                                                                                              TASK 1.03 Material -1 Delivery of Material to Simulator SPO</t>
  </si>
  <si>
    <t>6.  The total target price for CLIN 0002, TASK 1.03 will automatically calculate for the Basic Period</t>
  </si>
  <si>
    <t>CLIN 0002 (CPIF)                                                     TASK 1.03 DELIVERY OF MATERIAL TO SIMULATOR SPO</t>
  </si>
  <si>
    <t>Total Proposed Target Price (CLIN 0002, TASK 1.03)</t>
  </si>
  <si>
    <t>TOTAL TARGET PRICE - CLIN 0002, TASK 1.03</t>
  </si>
  <si>
    <t>Note:  Offerors shall ensure the proposed unit prices are properly linked to the corresponding "CPIF CLIN 0003-TASK 1.XX INPUTS" worksheets</t>
  </si>
  <si>
    <t>KC-135 Center Console Refresh (CCR) Competitive Pricing Matrix                                                                                                                      CLIN 0003:  Systems Integrated Laboratory (CPIF)                                                                                              TASK 1.01 Development Labor to Have an Operational SIL</t>
  </si>
  <si>
    <t>6.  The total target price for CLIN 0003, TASK 1.01 will automatically calculate for the Basic Period</t>
  </si>
  <si>
    <t>Total Proposed Target Price (CLIN 0003, TASK 1.01)</t>
  </si>
  <si>
    <t>TOTAL TARGET PRICE - CLIN 0003, TASK 1.01</t>
  </si>
  <si>
    <t>6.  The total target price for CLIN 0003, TASK 1.02 will automatically calculate for the Basic Period</t>
  </si>
  <si>
    <t>CLIN 0003 (CPIF)                                                    TASK 1.02 MATERIAL - CONTRACTOR-PROCURED MATERIAL FOR SIL</t>
  </si>
  <si>
    <t>Total Proposed Target Price (CLIN 0003, TASK 1.02)</t>
  </si>
  <si>
    <t>TOTAL TARGET PRICE - CLIN 0003, TASK 1.02</t>
  </si>
  <si>
    <t>6.  The total target price for CLIN 0003, TASK 1.03 will automatically calculate for the Basic Period</t>
  </si>
  <si>
    <t>CLIN 0003 (CPIF)                                                    TASK 1.03 MATERIAL - ANTICIPATED REQUIRED GFE</t>
  </si>
  <si>
    <t>Total Proposed Target Price (CLIN 0003, TASK 1.03)</t>
  </si>
  <si>
    <t>TOTAL TARGET PRICE - CLIN 0003, TASK 1.03</t>
  </si>
  <si>
    <t>KC-135 Center Console Refresh (CCR) Competitive Pricing Matrix                                                                                                                      CLIN 0003:  Systems Integrated Laboratory (CPIF)                                                                                              TASK 1.04 Material - Delivery of SIL to Government</t>
  </si>
  <si>
    <t>6.  The total target price for CLIN 0003, TASK 1.04 will automatically calculate for the Basic Period</t>
  </si>
  <si>
    <t>CLIN 0003 (CPIF)                                                    TASK 1.04 Material - DELIVERY OF SIL TO TO GOVERNMENT</t>
  </si>
  <si>
    <t>Total Proposed Target Price (CLIN 0003, TASK 1.04)</t>
  </si>
  <si>
    <t>TOTAL TARGET PRICE - CLIN 0003, TASK 1.04</t>
  </si>
  <si>
    <t>The "CPIF CLIN 000X SUMMARY" worksheets includes links to the "CPIF CLIN 000X-TASK 1.XX INPUTS" worksheets; no inputs required</t>
  </si>
  <si>
    <t>Insert all direct labor categories that apply (add more rows if necessary); make changes to below categories accordingly and ensure cells properly link to the 'CPIF CLIN 000X - TASK 1.XX INPUTS' worksheets for CLINs 0001,0002, and 0003</t>
  </si>
  <si>
    <t>The "CPIF CLIN 000X TOTAL" worksheets are linked to the "CPIF CLIN 000X-TASK 1.XX INPUTS" worksheets; no inputs are required, but the format of these worksheets should be revised to align with "CPIF 000X-TASK 1.XX INPUTS" worksheets, if necessary</t>
  </si>
  <si>
    <t>Insert all indirect categories that apply to material costs; make changes to below categories accordingly and ensure cells link properly to the 'CPIF CLIN 000X - TASK 1.XX INPUTS' worksheets (Columns, E, I, and M for CLINs 0001, 0002, and 0003) and align with the rates reflected in the 'PRIME CPIF Rate Desc (All)' work sheet</t>
  </si>
  <si>
    <t>Insert all indirect categories that apply to ODC; make changes to below categories accordingly and ensure cells link properly to the 'CPIF CLIN 000X - TASK 1.XX INPUTS' worksheets (Columns, E, I, and M for CLINs 0001, 0002, and 0003) and align with the rates reflected in the 'PRIME CPIF Rate Desc (All)' work sheet</t>
  </si>
  <si>
    <t>Systems Integration Laboratory (SIL) Tasks</t>
  </si>
  <si>
    <t xml:space="preserve">No input - subcontractor costs linked to the 'PRIME CPIF TOTAL SUB' worksheet   </t>
  </si>
  <si>
    <t>3. Total Material costs by Task provided below are linked to each applicable worksheet (ex. "CPIF CLIN 0001 - TASK 1.01 INPUTS", "CPIF CLIN 0001 - TASK 1.02 INPUTS" and so forth); the Offeror shall ensure the cells are properly linked.</t>
  </si>
  <si>
    <t>3. Total ODC by Task provided below are linked to each applicable worksheet (ex. "CPIF CLIN 0001 - TASK 1.01 INPUTS", "CPIF CLIN 0001 - TASK 1.02 INPUTS" and so forth); the Offeror shall ensure the cells are properly linked.</t>
  </si>
  <si>
    <t>Insert proposed labor hours by labor category and sub-task</t>
  </si>
  <si>
    <t>Proposed Add-on Factor (FCCOM)</t>
  </si>
  <si>
    <t>CLIN 0002 SIMULATOR KIT, TASK 1.01 SUPPORT REQUIRED TO DETERMINE ELEMENTS OF SIMULATOR KIT</t>
  </si>
  <si>
    <t>CLIN 0002 SIMULATOR KIT, TASK 1.02 MATERIAL -1 SIMULATOR KIT (REFERENCE SECTION L)</t>
  </si>
  <si>
    <t>CLIN 0002 SIMULATOR KIT, TASK 1.03 DELIVERY OF MATERIAL TO SIMULATOR SPO</t>
  </si>
  <si>
    <t>CLIN 0003 SYSTEMS INTEGRATION LABORATORY (SIL), TASK 1.01 DEVELOPMENT LABOR TO HAVE AN OPERATIONAL SIL</t>
  </si>
  <si>
    <t>CLIN 0003 SIL, TASK 1.02 MATERIAL - CONTRACTOR PROCURED MATERIAL FOR SIL</t>
  </si>
  <si>
    <t>CLIN 0003 SIL, TASK 1.03 MATERIAL - ANTICIPATED REQUIRED GFE</t>
  </si>
  <si>
    <t>CLIN 0003 SIL, TASK 1.04 DELIVERY OF SIL TO GOVERNMENT</t>
  </si>
  <si>
    <t>Allocation Base  (Provide the base upon which the Indirect Rate is applied)</t>
  </si>
  <si>
    <t>2. The Major Subcontractor shall propose labor rates and indirect rates in the yellow-highlighted cells below.  All proposed labor rates shall be rounded to two (2) decimal places.  All rates in percentages shall be rounded to four decimal places (ex. .0755 = 7.55%)</t>
  </si>
  <si>
    <t>1. The format of this worksheet may be revised as required to be consistent with the Major Subcontractor's approved Accounting System to include, but not limited to, inserting additional labor categories and revising the indirect rate structure</t>
  </si>
  <si>
    <t>3. The Major Subcontractor shall input the proposed rates and indirect rates below and ensure these cells are linked correctly to the relevant CPIF rate cells on the "CPIF CLIN 0001 - TASK 1.0X" INPUTS", "CPIF CLIN 0002 - TASK 1.0X INPUTS", and "CPIF CLIN 0003 - TASK 1.0X INPUTS" worksheets</t>
  </si>
  <si>
    <t xml:space="preserve">5. The Major Subcontractor shall ensure that all labor and indirect rate categories included in the proposal for EMD CLINs 0001, 0002, and 0003 are included in this worksheet  </t>
  </si>
  <si>
    <t>Insert all indirect categories that apply to labor costs; make changes to below categories accordingly and ensure cells properly link to the 'CPIF CLIN 000X - TASK 1.XX INPUTS' worksheets (Columns E, I, and M  for CLINs 0001,0002, and 0003) and align with the rates reflected in the 'SUB CPIF RATE DESC (ALL)' work sheet</t>
  </si>
  <si>
    <t>Insert all indirect categories that the Major Subcontractor will apply to subcontractor costs; make changes to below categories accordingly and ensure cells link properly to the 'CPIF CLIN 000X - TASK 1.XX INPUTS' worksheets (Columns E, I, and M for CLINs 0001, 0002, and 0003) and align with the rates reflected in the 'PRIME CPIF RATE DESC (ALL)' work sheet</t>
  </si>
  <si>
    <t>4. The Major Subcontractor shall provide descriptions of the labor categories and indirect rates in the "SUB CPIF RATE DESC (ALL)" worksheet, in addition to base costs upon which indirect rates apply</t>
  </si>
  <si>
    <t>KC-135 Center Console Refresh (CCR)                                                          Major Subcontractor Direct Labor and Indirect Rates</t>
  </si>
  <si>
    <t>2. The Major Subcontractor shall list all proposed labor categories and provide a summary description for each labor category</t>
  </si>
  <si>
    <t>3. The Major Subcontractor shall list all proposed indirect rate categories, and provide a summary description of each indirect rate category along with the base cost upon which the indirect rate is applied</t>
  </si>
  <si>
    <t xml:space="preserve">4. The Major Subcontractor shall ensure that all labor and indirect rate categories included in the proposal for EMD CLINs 0001, 0002, and 0003 are included in this worksheet  </t>
  </si>
  <si>
    <t>KC-135 Center Console Refresh (CCR)                                                          Major Subcontractor Labor by Task</t>
  </si>
  <si>
    <t>KC-135 Center Console Refresh (CCR)                                                          Major Subontractor Direct Labor and Indirect Rates</t>
  </si>
  <si>
    <t>2. The Major Subcontractor shall input the proposed labor categories and corresponding labor hours by task (at the sub-task level) in the yellow-highlighted cells below; ensure consistency with the "PRIME LABOR by TASK" worksheet</t>
  </si>
  <si>
    <t>Insert all labor categories that apply; add/delete rows as necessary and ensure cells in Columns E, I, and M are properly linked to the rates in the 'SUB-CPIF RATES (ALL)' worksheet</t>
  </si>
  <si>
    <t>Insert applicable task by labor category at sub-task level (ex. 1.01.01, 1.01.02, and so forth); ensure consistency with the 'SUB LABOR by TASK' worksheet</t>
  </si>
  <si>
    <t>Link corresponding proposed labor rate; ensure the labor rate aligns with 'SUB CPIF RATES (ALL)' worksheet</t>
  </si>
  <si>
    <t>1. In Contractor format, the Major Subcontractor shall provide data other than cost or pricing data in a Consolidated Bill of Material (CBOM) for all Material costs associated with EMD CLINs 0001, 0002, and 0003 (at the subtask level), in accordance with RFP Section L, Paragraph 7.3.2.</t>
  </si>
  <si>
    <t xml:space="preserve">1. The Major Subcontractor Offeror shall provide data other than cost and pricing data for all proposed subcontractor costs associated with EMD CLINs 0001, 0002, and 0003; for each Major Subcontractor (valued at $2.5M+), a separate cost model (Attachment 3B) shall be submitted  </t>
  </si>
  <si>
    <t>3. Total subcontractor costs by Task provided below are linked to each applicable worksheet (ex. "CPIF CLIN 0001 - TASK 1.01 INPUTS", "CPIF CLIN 0001 - TASK 1.02 INPUTS" and so forth); the Offeror shall ensure the cells are properly linked.</t>
  </si>
  <si>
    <t>1. In Contractor format, the Major Subcontractor shall provide data other than cost or pricing data (at the sub-Task level) for all Other Direct Costs associated with EMD CLINs 0001, 0002, and 0003, if applicable.  Data may be provided as an additional worksheet in this EPW or as an attachment</t>
  </si>
  <si>
    <t>1. The format of this worksheet may be revised as required to be consistent with the Major Subcontractor's approved accounting system; amend base costs and direct/indirect rates as necessary</t>
  </si>
  <si>
    <t>3. The proposed indirect rates are linked to the "SUB CPIF RATES (ALL)" worksheet and will automatically be applied to the proposed amounts for labor, material, ODC, and subcontractor costs (CPIF Target Cost, Target FCCOM, Target Fee, and Total Price will automatically calculate)</t>
  </si>
  <si>
    <t>No input - total labor (labor hours and total labor costs) linked to the 'SUB CPIF LABOR INPUTS' worksheet</t>
  </si>
  <si>
    <t>Insert all indirect categories that apply to labor; make changes to indirect categories in Column B accordingly and amend links in Columns C, G, K, and O as needed. Also ensure rates in Columns D, H, L and P are properly linked to 'SUB-CPIF RATES (ALL)' worksheet</t>
  </si>
  <si>
    <t>No input - material costs linked to the 'SUB CPIF TOTAL MATERIAL' worksheet (amounts shall also match total material in Consolidated Bill of Materials (CBOM) in RFP Section L, Paragraph 7.3.2</t>
  </si>
  <si>
    <t>Insert all indirect categories that apply to material; make changes to indirect categories in Column B accordingly and amend links in Columns C, G, K, and O as needed. Also ensure rates in Columns D, H, L and P are properly linked to 'SUB-CPIF RATES (ALL)' worksheet</t>
  </si>
  <si>
    <t xml:space="preserve">No input - subcontractor costs linked to the 'SUB CPIF TOTAL SUB' worksheet   </t>
  </si>
  <si>
    <t>Insert all indirect categories that the prime contractor will apply to subcontractor costs; make changes to indirect categories in Column B accordingly and amend links in Columns C, G, K, and O as needed. Also ensure rates in Columns D, H, L and P are properly linked to 'SUB-CPIF RATES (ALL)' worksheet</t>
  </si>
  <si>
    <t xml:space="preserve">No input - total costs associated with ODC linked to the 'SUB CPIF ODC' worksheet </t>
  </si>
  <si>
    <t>Insert all indirect categories that the prime contractor will apply to ODC; make changes to indirect categories in Column B accordingly and amend links in Columns C, G, K, and O as needed. Also ensure rates in Columns D, H, L and P are properly linked to 'SUB-CPIF RATES (ALL)' worksheet</t>
  </si>
  <si>
    <t>2. The Major Subcontractor shall ensure the totals for CLINs 0001 are calculated properly based on the links to the 'CPIF CLIN 0001-TASK 1.XX INPUTS' worksheets</t>
  </si>
  <si>
    <t>2. The Major Subcontractor shall ensure the totals for CLINs 0002 are calculated properly based on the links to the 'CPIF CLIN 0002-TASK 1.XX INPUTS' worksheets</t>
  </si>
  <si>
    <t>2. The Major Subcontractor shall ensure the totals for CLINs 0003 are calculated properly based on the links to the "CPIF CLIN 0003-TASK 1.XX INPUTS" worksheets</t>
  </si>
  <si>
    <t>CLIN 0001 (CPIF)                                                     TASK 1.01 DEVELOPMENT THROUGH PDR</t>
  </si>
  <si>
    <t>CLIN 0003 (CPIF)                                                                TASK 1.01 DEVELOPMENT LABOR TO HAVE AN OPERATIONAL SIL</t>
  </si>
  <si>
    <t>Attachment 3B, EPW - SUB</t>
  </si>
  <si>
    <t>1.  The worksheet tabs highlighted in yellow within Attachment 3B require Offeror input; the cells within each worksheet requiring input are highlighted in yellow</t>
  </si>
  <si>
    <t>Instructions for completing this Cost Model:</t>
  </si>
  <si>
    <t>PRIME OFFEROR</t>
  </si>
  <si>
    <t>MAJOR SUBCONTRACTOR</t>
  </si>
  <si>
    <t xml:space="preserve">NAME </t>
  </si>
  <si>
    <t>3.  The total proposed price is calculated in the "SUMMARY" worksheet</t>
  </si>
  <si>
    <t>4.  The Major Subcontractor shall amend the indirect categories as needed, and ensure the proposed indirect rates are properly linked to the "SUB CPIF RATES (ALL)" worksheet</t>
  </si>
  <si>
    <t>5.  Definitions of the labor categories and indirect rates are included in the "SUB CPIF RATE (ALL)" worksheet; the Offeror shall amend as necessary</t>
  </si>
  <si>
    <t>The total proposed amounts for the CPIF CLINs will automatically populate the "SUMMARY" worksheet; no inputs required</t>
  </si>
  <si>
    <t>The "CPIF CLIN 000X-TASK 1.XX INPUTS" worksheets are linked to the "SUB CPIF RATES (ALL)", "SUB CPIF LABOR INPUTS", "SUB CPIF TOTAL MATERIAL", "SUB CPIF TOTAL SUB", and "SUB CPIF TOTAL ODC" worksheets.  Inputs in the "CPIF CLIN 000X-TASK 1.XX INPUTS" worksheets are not required, but the format of these worksheets may be revised, if necessary</t>
  </si>
  <si>
    <t xml:space="preserve">The format of the Cost Model worksheets entitled "SUB CPIF RATES (ALL)", "SUB CPIF RATE DESC (ALL)", "SUB CPIF LABOR by TASK", "SUB CPIF LABOR INPUTS", "SUB CPIF TOTAL MATERIAL", "SUB CPIF TOTAL SUB", "SUB CPIF TOTAL ODC" and "CPIF CLIN 000X-TASK 1.XX INPUTS" may be revised by the Offeror as necessary; if revisions are made, Offerors shall ensure properly linking to corresponding worksheets </t>
  </si>
  <si>
    <t>4. The Major Subcontractor shall ensure that all labor categories included in the proposal for EMD CLINs 0001, 0002, and 0003 are included in this worksheet</t>
  </si>
  <si>
    <t>3.  The Major Subcontractor shall ensure that the proposed labor rates properly link to the corresponding labor rates reflected in the "SUB-CPIF RATES (ALL)" worksheet</t>
  </si>
  <si>
    <t>Notes:  Proposed CLIN amounts are linked to the "CPIF CLIN 000X TOTAL" worksheets; no input required</t>
  </si>
  <si>
    <t>Qty</t>
  </si>
  <si>
    <t>Total Other Direct Costs (CPIF)</t>
  </si>
  <si>
    <t>Total Proposed Other Direct Costs (CPIF)</t>
  </si>
  <si>
    <t>Getting in there now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</si>
</sst>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4" formatCode="_(&quot;$&quot;* #,##0.00_);_(&quot;$&quot;* \(#,##0.00\);_(&quot;$&quot;* &quot;-&quot;??_);_(@_)"/>
    <numFmt numFmtId="43" formatCode="_(* #,##0.00_);_(* \(#,##0.00\);_(* &quot;-&quot;??_);_(@_)"/>
    <numFmt numFmtId="164" formatCode="#,##0.0000"/>
    <numFmt numFmtId="165" formatCode="0.000000"/>
    <numFmt numFmtId="166" formatCode="&quot;$&quot;#,##0.00"/>
    <numFmt numFmtId="167" formatCode="&quot;$&quot;#,##0"/>
    <numFmt numFmtId="168" formatCode="&quot;$&quot;#,##0.0"/>
    <numFmt numFmtId="169" formatCode="_(* #,##0.000000_);_(* \(#,##0.000000\);_(* &quot;-&quot;??_);_(@_)"/>
    <numFmt numFmtId="170" formatCode="_(&quot;$&quot;* #,##0.00000_);_(&quot;$&quot;* \(#,##0.00000\);_(&quot;$&quot;* &quot;-&quot;??_);_(@_)"/>
  </numFmts>
  <fonts count="38" x14ac:knownFonts="1">
    <font>
      <sz val="11"/>
      <color theme="1"/>
      <name val="Calibri"/>
      <family val="2"/>
      <scheme val="minor"/>
    </font>
    <font>
      <sz val="11"/>
      <color theme="1"/>
      <name val="Calibri"/>
      <family val="2"/>
      <scheme val="minor"/>
    </font>
    <font>
      <b/>
      <sz val="11"/>
      <color theme="1"/>
      <name val="Calibri"/>
      <family val="2"/>
      <scheme val="minor"/>
    </font>
    <font>
      <b/>
      <sz val="12"/>
      <color theme="1"/>
      <name val="Calibri"/>
      <family val="2"/>
      <scheme val="minor"/>
    </font>
    <font>
      <sz val="11"/>
      <name val="Calibri"/>
      <family val="2"/>
      <scheme val="minor"/>
    </font>
    <font>
      <b/>
      <sz val="11"/>
      <name val="Calibri"/>
      <family val="2"/>
      <scheme val="minor"/>
    </font>
    <font>
      <b/>
      <sz val="12"/>
      <name val="Calibri"/>
      <family val="2"/>
      <scheme val="minor"/>
    </font>
    <font>
      <sz val="11"/>
      <color rgb="FFFF0000"/>
      <name val="Calibri"/>
      <family val="2"/>
      <scheme val="minor"/>
    </font>
    <font>
      <sz val="12"/>
      <name val="Calibri"/>
      <family val="2"/>
      <scheme val="minor"/>
    </font>
    <font>
      <b/>
      <sz val="8"/>
      <name val="Calibri"/>
      <family val="2"/>
      <scheme val="minor"/>
    </font>
    <font>
      <sz val="8"/>
      <color theme="1"/>
      <name val="Calibri"/>
      <family val="2"/>
      <scheme val="minor"/>
    </font>
    <font>
      <sz val="10"/>
      <color theme="1"/>
      <name val="Calibri"/>
      <family val="2"/>
      <scheme val="minor"/>
    </font>
    <font>
      <b/>
      <sz val="14"/>
      <color theme="1"/>
      <name val="Calibri"/>
      <family val="2"/>
      <scheme val="minor"/>
    </font>
    <font>
      <sz val="10"/>
      <name val="Calibri"/>
      <family val="2"/>
      <scheme val="minor"/>
    </font>
    <font>
      <sz val="10"/>
      <color rgb="FFFF0000"/>
      <name val="Calibri"/>
      <family val="2"/>
      <scheme val="minor"/>
    </font>
    <font>
      <b/>
      <sz val="11"/>
      <color rgb="FFFF0000"/>
      <name val="Calibri"/>
      <family val="2"/>
      <scheme val="minor"/>
    </font>
    <font>
      <sz val="12"/>
      <color rgb="FFFF0000"/>
      <name val="Calibri"/>
      <family val="2"/>
      <scheme val="minor"/>
    </font>
    <font>
      <sz val="11"/>
      <color rgb="FF3F3F3F"/>
      <name val="Calibri"/>
      <family val="2"/>
      <scheme val="minor"/>
    </font>
    <font>
      <sz val="10"/>
      <name val="Arial"/>
      <family val="2"/>
    </font>
    <font>
      <sz val="11"/>
      <color theme="0" tint="-0.499984740745262"/>
      <name val="Calibri"/>
      <family val="2"/>
      <scheme val="minor"/>
    </font>
    <font>
      <b/>
      <sz val="12"/>
      <color rgb="FF000000"/>
      <name val="Calibri"/>
      <family val="2"/>
      <scheme val="minor"/>
    </font>
    <font>
      <b/>
      <sz val="9"/>
      <color theme="1"/>
      <name val="Calibri"/>
      <family val="2"/>
      <scheme val="minor"/>
    </font>
    <font>
      <sz val="10"/>
      <color rgb="FF000000"/>
      <name val="Calibri"/>
      <family val="2"/>
      <scheme val="minor"/>
    </font>
    <font>
      <b/>
      <u/>
      <sz val="9"/>
      <color theme="1"/>
      <name val="Calibri"/>
      <family val="2"/>
      <scheme val="minor"/>
    </font>
    <font>
      <sz val="12"/>
      <color theme="1"/>
      <name val="Calibri"/>
      <family val="2"/>
      <scheme val="minor"/>
    </font>
    <font>
      <b/>
      <sz val="12"/>
      <color rgb="FFFF0000"/>
      <name val="Calibri"/>
      <family val="2"/>
      <scheme val="minor"/>
    </font>
    <font>
      <sz val="10"/>
      <color theme="0" tint="-0.499984740745262"/>
      <name val="Calibri"/>
      <family val="2"/>
      <scheme val="minor"/>
    </font>
    <font>
      <b/>
      <sz val="9"/>
      <name val="Calibri"/>
      <family val="2"/>
      <scheme val="minor"/>
    </font>
    <font>
      <b/>
      <u/>
      <sz val="9"/>
      <name val="Calibri"/>
      <family val="2"/>
      <scheme val="minor"/>
    </font>
    <font>
      <sz val="8"/>
      <name val="Calibri"/>
      <family val="2"/>
      <scheme val="minor"/>
    </font>
    <font>
      <b/>
      <u/>
      <sz val="10"/>
      <name val="Arial"/>
      <family val="2"/>
    </font>
    <font>
      <sz val="10"/>
      <color theme="2" tint="-0.249977111117893"/>
      <name val="Calibri"/>
      <family val="2"/>
      <scheme val="minor"/>
    </font>
    <font>
      <sz val="10"/>
      <color theme="2" tint="-0.499984740745262"/>
      <name val="Calibri"/>
      <family val="2"/>
      <scheme val="minor"/>
    </font>
    <font>
      <sz val="12"/>
      <color theme="2" tint="-0.499984740745262"/>
      <name val="Calibri"/>
      <family val="2"/>
      <scheme val="minor"/>
    </font>
    <font>
      <b/>
      <u/>
      <sz val="10"/>
      <color theme="1"/>
      <name val="Arial"/>
      <family val="2"/>
    </font>
    <font>
      <sz val="11"/>
      <color theme="2" tint="-0.249977111117893"/>
      <name val="Calibri"/>
      <family val="2"/>
      <scheme val="minor"/>
    </font>
    <font>
      <b/>
      <sz val="9"/>
      <color rgb="FFFF0000"/>
      <name val="Calibri"/>
      <family val="2"/>
      <scheme val="minor"/>
    </font>
    <font>
      <b/>
      <sz val="10"/>
      <name val="Calibri"/>
      <family val="2"/>
      <scheme val="minor"/>
    </font>
  </fonts>
  <fills count="18">
    <fill>
      <patternFill patternType="none"/>
    </fill>
    <fill>
      <patternFill patternType="gray125"/>
    </fill>
    <fill>
      <patternFill patternType="solid">
        <fgColor rgb="FFFFFF00"/>
        <bgColor indexed="64"/>
      </patternFill>
    </fill>
    <fill>
      <patternFill patternType="solid">
        <fgColor theme="9" tint="0.59999389629810485"/>
        <bgColor indexed="64"/>
      </patternFill>
    </fill>
    <fill>
      <patternFill patternType="solid">
        <fgColor theme="1"/>
        <bgColor indexed="64"/>
      </patternFill>
    </fill>
    <fill>
      <patternFill patternType="solid">
        <fgColor theme="9" tint="0.79998168889431442"/>
        <bgColor indexed="64"/>
      </patternFill>
    </fill>
    <fill>
      <patternFill patternType="solid">
        <fgColor theme="8" tint="0.59999389629810485"/>
        <bgColor indexed="64"/>
      </patternFill>
    </fill>
    <fill>
      <patternFill patternType="solid">
        <fgColor theme="4" tint="0.79998168889431442"/>
        <bgColor indexed="64"/>
      </patternFill>
    </fill>
    <fill>
      <patternFill patternType="solid">
        <fgColor theme="5" tint="0.39997558519241921"/>
        <bgColor indexed="64"/>
      </patternFill>
    </fill>
    <fill>
      <patternFill patternType="solid">
        <fgColor theme="4" tint="0.59999389629810485"/>
        <bgColor indexed="64"/>
      </patternFill>
    </fill>
    <fill>
      <patternFill patternType="solid">
        <fgColor theme="2" tint="-0.249977111117893"/>
        <bgColor indexed="64"/>
      </patternFill>
    </fill>
    <fill>
      <patternFill patternType="solid">
        <fgColor rgb="FFBAA4B7"/>
        <bgColor indexed="64"/>
      </patternFill>
    </fill>
    <fill>
      <patternFill patternType="solid">
        <fgColor theme="0"/>
        <bgColor indexed="64"/>
      </patternFill>
    </fill>
    <fill>
      <patternFill patternType="solid">
        <fgColor theme="0" tint="-0.249977111117893"/>
        <bgColor indexed="64"/>
      </patternFill>
    </fill>
    <fill>
      <patternFill patternType="solid">
        <fgColor theme="5" tint="0.59999389629810485"/>
        <bgColor indexed="64"/>
      </patternFill>
    </fill>
    <fill>
      <patternFill patternType="solid">
        <fgColor rgb="FFD5C6E0"/>
        <bgColor indexed="64"/>
      </patternFill>
    </fill>
    <fill>
      <patternFill patternType="solid">
        <fgColor rgb="FF92D050"/>
        <bgColor indexed="64"/>
      </patternFill>
    </fill>
    <fill>
      <patternFill patternType="solid">
        <fgColor theme="7" tint="0.59999389629810485"/>
        <bgColor indexed="64"/>
      </patternFill>
    </fill>
  </fills>
  <borders count="69">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ck">
        <color indexed="64"/>
      </left>
      <right style="thick">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ck">
        <color auto="1"/>
      </left>
      <right/>
      <top/>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thin">
        <color indexed="64"/>
      </bottom>
      <diagonal/>
    </border>
    <border>
      <left style="thin">
        <color indexed="64"/>
      </left>
      <right style="thin">
        <color indexed="64"/>
      </right>
      <top/>
      <bottom/>
      <diagonal/>
    </border>
    <border>
      <left style="thin">
        <color indexed="64"/>
      </left>
      <right/>
      <top/>
      <bottom/>
      <diagonal/>
    </border>
    <border>
      <left/>
      <right/>
      <top style="thin">
        <color indexed="64"/>
      </top>
      <bottom/>
      <diagonal/>
    </border>
    <border>
      <left/>
      <right/>
      <top/>
      <bottom style="medium">
        <color indexed="64"/>
      </bottom>
      <diagonal/>
    </border>
    <border>
      <left style="thin">
        <color rgb="FF3F3F3F"/>
      </left>
      <right style="thin">
        <color rgb="FF3F3F3F"/>
      </right>
      <top style="thin">
        <color rgb="FF3F3F3F"/>
      </top>
      <bottom style="thin">
        <color rgb="FF3F3F3F"/>
      </bottom>
      <diagonal/>
    </border>
    <border>
      <left style="medium">
        <color indexed="64"/>
      </left>
      <right style="medium">
        <color indexed="64"/>
      </right>
      <top style="medium">
        <color indexed="64"/>
      </top>
      <bottom/>
      <diagonal/>
    </border>
    <border>
      <left/>
      <right style="thin">
        <color indexed="64"/>
      </right>
      <top style="thin">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right/>
      <top style="thin">
        <color indexed="64"/>
      </top>
      <bottom style="thin">
        <color indexed="64"/>
      </bottom>
      <diagonal/>
    </border>
    <border>
      <left style="medium">
        <color indexed="64"/>
      </left>
      <right/>
      <top style="thin">
        <color indexed="64"/>
      </top>
      <bottom style="thin">
        <color indexed="64"/>
      </bottom>
      <diagonal/>
    </border>
    <border>
      <left style="thin">
        <color indexed="64"/>
      </left>
      <right/>
      <top style="thin">
        <color indexed="64"/>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style="thin">
        <color indexed="64"/>
      </top>
      <bottom style="medium">
        <color indexed="64"/>
      </bottom>
      <diagonal/>
    </border>
    <border>
      <left style="medium">
        <color indexed="64"/>
      </left>
      <right/>
      <top style="thin">
        <color indexed="64"/>
      </top>
      <bottom/>
      <diagonal/>
    </border>
    <border>
      <left style="medium">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bottom/>
      <diagonal/>
    </border>
    <border>
      <left/>
      <right style="thin">
        <color indexed="64"/>
      </right>
      <top/>
      <bottom/>
      <diagonal/>
    </border>
    <border>
      <left style="medium">
        <color indexed="64"/>
      </left>
      <right style="thin">
        <color indexed="64"/>
      </right>
      <top/>
      <bottom style="medium">
        <color indexed="64"/>
      </bottom>
      <diagonal/>
    </border>
    <border>
      <left/>
      <right style="thin">
        <color indexed="64"/>
      </right>
      <top/>
      <bottom style="medium">
        <color indexed="64"/>
      </bottom>
      <diagonal/>
    </border>
    <border>
      <left/>
      <right style="medium">
        <color indexed="64"/>
      </right>
      <top style="thin">
        <color indexed="64"/>
      </top>
      <bottom style="medium">
        <color indexed="64"/>
      </bottom>
      <diagonal/>
    </border>
    <border>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right style="thin">
        <color indexed="64"/>
      </right>
      <top style="medium">
        <color indexed="64"/>
      </top>
      <bottom/>
      <diagonal/>
    </border>
    <border>
      <left style="thin">
        <color rgb="FF3F3F3F"/>
      </left>
      <right style="thin">
        <color rgb="FF3F3F3F"/>
      </right>
      <top style="thin">
        <color rgb="FF3F3F3F"/>
      </top>
      <bottom/>
      <diagonal/>
    </border>
    <border>
      <left style="thin">
        <color rgb="FF3F3F3F"/>
      </left>
      <right/>
      <top style="thin">
        <color rgb="FF3F3F3F"/>
      </top>
      <bottom style="thin">
        <color rgb="FF3F3F3F"/>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right/>
      <top style="thin">
        <color indexed="64"/>
      </top>
      <bottom style="double">
        <color indexed="64"/>
      </bottom>
      <diagonal/>
    </border>
    <border>
      <left style="thin">
        <color indexed="64"/>
      </left>
      <right style="medium">
        <color indexed="64"/>
      </right>
      <top/>
      <bottom style="medium">
        <color indexed="64"/>
      </bottom>
      <diagonal/>
    </border>
  </borders>
  <cellStyleXfs count="8">
    <xf numFmtId="0" fontId="0" fillId="0" borderId="0"/>
    <xf numFmtId="44" fontId="1" fillId="0" borderId="0" applyFont="0" applyFill="0" applyBorder="0" applyAlignment="0" applyProtection="0"/>
    <xf numFmtId="9" fontId="1" fillId="0" borderId="0" applyFont="0" applyFill="0" applyBorder="0" applyAlignment="0" applyProtection="0"/>
    <xf numFmtId="0" fontId="18" fillId="0" borderId="0"/>
    <xf numFmtId="0" fontId="1" fillId="0" borderId="0"/>
    <xf numFmtId="43" fontId="18" fillId="0" borderId="0" applyFont="0" applyFill="0" applyBorder="0" applyAlignment="0" applyProtection="0"/>
    <xf numFmtId="0" fontId="18" fillId="0" borderId="0"/>
    <xf numFmtId="43" fontId="1" fillId="0" borderId="0" applyFont="0" applyFill="0" applyBorder="0" applyAlignment="0" applyProtection="0"/>
  </cellStyleXfs>
  <cellXfs count="540">
    <xf numFmtId="0" fontId="0" fillId="0" borderId="0" xfId="0"/>
    <xf numFmtId="44" fontId="4" fillId="0" borderId="10" xfId="1" applyNumberFormat="1" applyFont="1" applyFill="1" applyBorder="1" applyAlignment="1" applyProtection="1">
      <alignment horizontal="center"/>
    </xf>
    <xf numFmtId="0" fontId="0" fillId="0" borderId="0" xfId="0" applyAlignment="1" applyProtection="1">
      <alignment horizontal="center" vertical="center"/>
    </xf>
    <xf numFmtId="0" fontId="2" fillId="10" borderId="0" xfId="0" applyFont="1" applyFill="1" applyBorder="1" applyAlignment="1" applyProtection="1">
      <alignment horizontal="center" vertical="center" wrapText="1"/>
    </xf>
    <xf numFmtId="0" fontId="2" fillId="0" borderId="0" xfId="0" applyFont="1" applyFill="1" applyBorder="1" applyAlignment="1" applyProtection="1">
      <alignment horizontal="center" vertical="center" wrapText="1"/>
    </xf>
    <xf numFmtId="0" fontId="2" fillId="0" borderId="0" xfId="0" applyFont="1" applyFill="1" applyBorder="1" applyAlignment="1" applyProtection="1">
      <alignment vertical="center" wrapText="1"/>
    </xf>
    <xf numFmtId="0" fontId="3" fillId="0" borderId="0" xfId="0" applyFont="1" applyBorder="1" applyAlignment="1" applyProtection="1">
      <alignment vertical="center" wrapText="1"/>
    </xf>
    <xf numFmtId="0" fontId="0" fillId="0" borderId="0" xfId="0" applyProtection="1"/>
    <xf numFmtId="0" fontId="5" fillId="0" borderId="0" xfId="0" applyFont="1" applyFill="1" applyBorder="1" applyAlignment="1" applyProtection="1">
      <alignment horizontal="center" vertical="center" wrapText="1"/>
    </xf>
    <xf numFmtId="164" fontId="2" fillId="0" borderId="10" xfId="0" applyNumberFormat="1" applyFont="1" applyBorder="1" applyAlignment="1" applyProtection="1">
      <alignment horizontal="center" wrapText="1"/>
    </xf>
    <xf numFmtId="0" fontId="3" fillId="11" borderId="14" xfId="0" applyFont="1" applyFill="1" applyBorder="1" applyAlignment="1" applyProtection="1">
      <alignment horizontal="center" vertical="center" wrapText="1"/>
    </xf>
    <xf numFmtId="0" fontId="4" fillId="0" borderId="10" xfId="0" applyFont="1" applyBorder="1" applyAlignment="1" applyProtection="1">
      <alignment horizontal="center" vertical="center" wrapText="1"/>
    </xf>
    <xf numFmtId="44" fontId="5" fillId="0" borderId="15" xfId="0" applyNumberFormat="1" applyFont="1" applyBorder="1" applyAlignment="1" applyProtection="1">
      <alignment horizontal="center"/>
    </xf>
    <xf numFmtId="0" fontId="0" fillId="0" borderId="0" xfId="0" applyBorder="1" applyAlignment="1" applyProtection="1">
      <alignment horizontal="center" vertical="center" wrapText="1"/>
    </xf>
    <xf numFmtId="0" fontId="5" fillId="0" borderId="0" xfId="0" applyFont="1" applyBorder="1" applyAlignment="1" applyProtection="1">
      <alignment horizontal="center" vertical="center" wrapText="1"/>
    </xf>
    <xf numFmtId="0" fontId="0" fillId="0" borderId="0" xfId="0" applyFill="1" applyBorder="1" applyAlignment="1" applyProtection="1">
      <alignment horizontal="center" vertical="center" wrapText="1"/>
    </xf>
    <xf numFmtId="44" fontId="0" fillId="0" borderId="0" xfId="0" applyNumberFormat="1" applyProtection="1"/>
    <xf numFmtId="0" fontId="5" fillId="10" borderId="9" xfId="0" applyFont="1" applyFill="1" applyBorder="1" applyAlignment="1" applyProtection="1">
      <alignment vertical="center" wrapText="1"/>
    </xf>
    <xf numFmtId="44" fontId="2" fillId="11" borderId="14" xfId="0" applyNumberFormat="1" applyFont="1" applyFill="1" applyBorder="1" applyAlignment="1" applyProtection="1">
      <alignment horizontal="center" vertical="center"/>
    </xf>
    <xf numFmtId="0" fontId="2" fillId="11" borderId="14" xfId="0" applyFont="1" applyFill="1" applyBorder="1" applyAlignment="1" applyProtection="1">
      <alignment horizontal="center" wrapText="1"/>
    </xf>
    <xf numFmtId="0" fontId="0" fillId="0" borderId="0" xfId="0" applyBorder="1" applyProtection="1"/>
    <xf numFmtId="0" fontId="0" fillId="0" borderId="0" xfId="0" applyBorder="1" applyAlignment="1" applyProtection="1">
      <alignment horizontal="center"/>
    </xf>
    <xf numFmtId="0" fontId="0" fillId="0" borderId="0" xfId="0" applyBorder="1" applyAlignment="1" applyProtection="1">
      <alignment horizontal="center" vertical="center"/>
    </xf>
    <xf numFmtId="0" fontId="4" fillId="0" borderId="0" xfId="0" applyFont="1" applyBorder="1" applyAlignment="1" applyProtection="1">
      <alignment horizontal="center" vertical="center"/>
    </xf>
    <xf numFmtId="164" fontId="4" fillId="0" borderId="0" xfId="0" applyNumberFormat="1" applyFont="1" applyBorder="1" applyAlignment="1" applyProtection="1">
      <alignment horizontal="center"/>
    </xf>
    <xf numFmtId="0" fontId="4" fillId="0" borderId="0" xfId="0" applyFont="1" applyBorder="1" applyProtection="1"/>
    <xf numFmtId="0" fontId="2" fillId="0" borderId="0" xfId="0" applyFont="1" applyBorder="1" applyAlignment="1" applyProtection="1">
      <alignment horizontal="center" vertical="center"/>
    </xf>
    <xf numFmtId="164" fontId="0" fillId="0" borderId="0" xfId="0" applyNumberFormat="1" applyBorder="1" applyAlignment="1" applyProtection="1">
      <alignment horizontal="center"/>
    </xf>
    <xf numFmtId="44" fontId="10" fillId="0" borderId="0" xfId="0" applyNumberFormat="1" applyFont="1" applyBorder="1" applyProtection="1"/>
    <xf numFmtId="165" fontId="10" fillId="0" borderId="0" xfId="0" applyNumberFormat="1" applyFont="1" applyBorder="1" applyProtection="1"/>
    <xf numFmtId="44" fontId="0" fillId="0" borderId="0" xfId="0" applyNumberFormat="1" applyBorder="1" applyProtection="1"/>
    <xf numFmtId="0" fontId="2" fillId="0" borderId="0" xfId="0" applyFont="1" applyAlignment="1" applyProtection="1">
      <alignment horizontal="center" vertical="center"/>
    </xf>
    <xf numFmtId="0" fontId="0" fillId="0" borderId="0" xfId="0" applyAlignment="1" applyProtection="1">
      <alignment horizontal="center"/>
    </xf>
    <xf numFmtId="0" fontId="0" fillId="0" borderId="12" xfId="0" applyBorder="1" applyAlignment="1" applyProtection="1">
      <alignment horizontal="center" vertical="center"/>
    </xf>
    <xf numFmtId="164" fontId="0" fillId="0" borderId="0" xfId="0" applyNumberFormat="1" applyAlignment="1" applyProtection="1">
      <alignment horizontal="center"/>
    </xf>
    <xf numFmtId="0" fontId="0" fillId="0" borderId="7" xfId="0" applyBorder="1" applyProtection="1"/>
    <xf numFmtId="0" fontId="4" fillId="0" borderId="10" xfId="0" applyFont="1" applyBorder="1" applyAlignment="1" applyProtection="1">
      <alignment horizontal="left" vertical="center" wrapText="1"/>
    </xf>
    <xf numFmtId="0" fontId="0" fillId="0" borderId="0" xfId="0"/>
    <xf numFmtId="0" fontId="4" fillId="0" borderId="11" xfId="0" applyFont="1" applyBorder="1" applyAlignment="1" applyProtection="1">
      <alignment horizontal="center" vertical="center" wrapText="1"/>
    </xf>
    <xf numFmtId="0" fontId="4" fillId="0" borderId="10" xfId="0" applyFont="1" applyBorder="1" applyAlignment="1" applyProtection="1">
      <alignment horizontal="center" wrapText="1"/>
    </xf>
    <xf numFmtId="0" fontId="2" fillId="0" borderId="16" xfId="0" applyFont="1" applyBorder="1" applyAlignment="1" applyProtection="1">
      <alignment horizontal="center" wrapText="1"/>
    </xf>
    <xf numFmtId="0" fontId="2" fillId="0" borderId="17" xfId="0" applyFont="1" applyBorder="1" applyAlignment="1" applyProtection="1">
      <alignment horizontal="center" wrapText="1"/>
    </xf>
    <xf numFmtId="0" fontId="4" fillId="0" borderId="11" xfId="0" applyFont="1" applyBorder="1" applyAlignment="1" applyProtection="1">
      <alignment horizontal="left" vertical="center" wrapText="1"/>
    </xf>
    <xf numFmtId="164" fontId="2" fillId="0" borderId="11" xfId="0" applyNumberFormat="1" applyFont="1" applyBorder="1" applyAlignment="1" applyProtection="1">
      <alignment horizontal="center" wrapText="1"/>
    </xf>
    <xf numFmtId="0" fontId="2" fillId="0" borderId="0" xfId="0" applyFont="1"/>
    <xf numFmtId="44" fontId="4" fillId="0" borderId="10" xfId="1" applyNumberFormat="1" applyFont="1" applyFill="1" applyBorder="1" applyAlignment="1" applyProtection="1">
      <alignment horizontal="center"/>
      <protection locked="0"/>
    </xf>
    <xf numFmtId="44" fontId="2" fillId="9" borderId="14" xfId="0" applyNumberFormat="1" applyFont="1" applyFill="1" applyBorder="1" applyAlignment="1" applyProtection="1">
      <alignment horizontal="center" vertical="center"/>
    </xf>
    <xf numFmtId="0" fontId="2" fillId="9" borderId="14" xfId="0" applyFont="1" applyFill="1" applyBorder="1" applyAlignment="1" applyProtection="1">
      <alignment horizontal="center" wrapText="1"/>
    </xf>
    <xf numFmtId="0" fontId="3" fillId="9" borderId="21" xfId="0" applyFont="1" applyFill="1" applyBorder="1" applyAlignment="1" applyProtection="1">
      <alignment horizontal="center" vertical="center" wrapText="1"/>
    </xf>
    <xf numFmtId="0" fontId="3" fillId="0" borderId="10" xfId="0" applyFont="1" applyFill="1" applyBorder="1" applyAlignment="1" applyProtection="1">
      <alignment horizontal="center" vertical="center" wrapText="1"/>
    </xf>
    <xf numFmtId="0" fontId="5" fillId="0" borderId="8" xfId="0" quotePrefix="1" applyFont="1" applyBorder="1" applyAlignment="1" applyProtection="1">
      <alignment horizontal="center" vertical="center"/>
    </xf>
    <xf numFmtId="0" fontId="2" fillId="0" borderId="4" xfId="0" applyFont="1" applyBorder="1" applyAlignment="1" applyProtection="1">
      <alignment horizontal="left" wrapText="1"/>
    </xf>
    <xf numFmtId="0" fontId="2" fillId="0" borderId="5" xfId="0" applyFont="1" applyBorder="1" applyAlignment="1" applyProtection="1">
      <alignment horizontal="left" wrapText="1"/>
    </xf>
    <xf numFmtId="164" fontId="5" fillId="3" borderId="23" xfId="0" applyNumberFormat="1" applyFont="1" applyFill="1" applyBorder="1" applyAlignment="1" applyProtection="1">
      <alignment horizontal="center" vertical="center" wrapText="1"/>
    </xf>
    <xf numFmtId="44" fontId="5" fillId="3" borderId="24" xfId="0" applyNumberFormat="1" applyFont="1" applyFill="1" applyBorder="1" applyAlignment="1" applyProtection="1">
      <alignment horizontal="center" vertical="center" wrapText="1"/>
    </xf>
    <xf numFmtId="0" fontId="2" fillId="0" borderId="25" xfId="0" applyFont="1" applyBorder="1" applyAlignment="1" applyProtection="1">
      <alignment horizontal="center" wrapText="1"/>
    </xf>
    <xf numFmtId="0" fontId="2" fillId="0" borderId="27" xfId="0" applyFont="1" applyBorder="1" applyAlignment="1" applyProtection="1">
      <alignment horizontal="center" wrapText="1"/>
    </xf>
    <xf numFmtId="0" fontId="2" fillId="0" borderId="28" xfId="0" applyFont="1" applyBorder="1" applyAlignment="1" applyProtection="1">
      <alignment horizontal="center" wrapText="1"/>
    </xf>
    <xf numFmtId="44" fontId="4" fillId="0" borderId="28" xfId="1" applyNumberFormat="1" applyFont="1" applyFill="1" applyBorder="1" applyAlignment="1" applyProtection="1">
      <alignment horizontal="center"/>
    </xf>
    <xf numFmtId="44" fontId="4" fillId="0" borderId="31" xfId="1" applyNumberFormat="1" applyFont="1" applyFill="1" applyBorder="1" applyAlignment="1" applyProtection="1">
      <alignment horizontal="center"/>
      <protection locked="0"/>
    </xf>
    <xf numFmtId="44" fontId="4" fillId="0" borderId="32" xfId="1" applyNumberFormat="1" applyFont="1" applyFill="1" applyBorder="1" applyAlignment="1" applyProtection="1">
      <alignment horizontal="center"/>
    </xf>
    <xf numFmtId="44" fontId="4" fillId="0" borderId="43" xfId="1" applyNumberFormat="1" applyFont="1" applyFill="1" applyBorder="1" applyAlignment="1" applyProtection="1">
      <alignment horizontal="center"/>
    </xf>
    <xf numFmtId="44" fontId="4" fillId="4" borderId="43" xfId="1" applyNumberFormat="1" applyFont="1" applyFill="1" applyBorder="1" applyAlignment="1" applyProtection="1">
      <alignment horizontal="center"/>
    </xf>
    <xf numFmtId="44" fontId="4" fillId="4" borderId="44" xfId="1" applyNumberFormat="1" applyFont="1" applyFill="1" applyBorder="1" applyAlignment="1" applyProtection="1">
      <alignment horizontal="center"/>
    </xf>
    <xf numFmtId="0" fontId="2" fillId="0" borderId="10" xfId="0" applyFont="1" applyFill="1" applyBorder="1" applyAlignment="1" applyProtection="1">
      <alignment wrapText="1"/>
    </xf>
    <xf numFmtId="49" fontId="2" fillId="0" borderId="10" xfId="0" applyNumberFormat="1" applyFont="1" applyFill="1" applyBorder="1" applyAlignment="1" applyProtection="1">
      <alignment horizontal="right" wrapText="1"/>
    </xf>
    <xf numFmtId="0" fontId="2" fillId="0" borderId="10" xfId="0" applyFont="1" applyFill="1" applyBorder="1" applyAlignment="1" applyProtection="1">
      <alignment horizontal="right" wrapText="1"/>
    </xf>
    <xf numFmtId="0" fontId="5" fillId="0" borderId="10" xfId="0" applyFont="1" applyBorder="1" applyAlignment="1" applyProtection="1">
      <alignment horizontal="right" vertical="center" wrapText="1"/>
    </xf>
    <xf numFmtId="0" fontId="5" fillId="0" borderId="11" xfId="0" applyFont="1" applyBorder="1" applyAlignment="1" applyProtection="1">
      <alignment horizontal="right" vertical="center" wrapText="1"/>
    </xf>
    <xf numFmtId="2" fontId="5" fillId="0" borderId="10" xfId="0" applyNumberFormat="1" applyFont="1" applyBorder="1" applyAlignment="1" applyProtection="1">
      <alignment horizontal="right" wrapText="1"/>
    </xf>
    <xf numFmtId="0" fontId="17" fillId="0" borderId="20" xfId="0" applyFont="1" applyFill="1" applyBorder="1"/>
    <xf numFmtId="0" fontId="2" fillId="0" borderId="0" xfId="0" applyFont="1" applyAlignment="1" applyProtection="1">
      <alignment horizontal="right" vertical="center"/>
    </xf>
    <xf numFmtId="0" fontId="0" fillId="2" borderId="10" xfId="0" applyFill="1" applyBorder="1"/>
    <xf numFmtId="0" fontId="0" fillId="12" borderId="0" xfId="0" applyFill="1" applyBorder="1"/>
    <xf numFmtId="0" fontId="0" fillId="12" borderId="0" xfId="0" applyFill="1"/>
    <xf numFmtId="0" fontId="2" fillId="0" borderId="0" xfId="0" applyFont="1" applyBorder="1" applyAlignment="1"/>
    <xf numFmtId="0" fontId="0" fillId="2" borderId="11" xfId="0" applyFill="1" applyBorder="1"/>
    <xf numFmtId="0" fontId="11" fillId="2" borderId="25" xfId="3" applyFont="1" applyFill="1" applyBorder="1" applyAlignment="1">
      <alignment horizontal="left" vertical="center"/>
    </xf>
    <xf numFmtId="0" fontId="0" fillId="2" borderId="28" xfId="0" applyFill="1" applyBorder="1"/>
    <xf numFmtId="0" fontId="11" fillId="2" borderId="27" xfId="3" applyFont="1" applyFill="1" applyBorder="1" applyAlignment="1">
      <alignment horizontal="left" vertical="center"/>
    </xf>
    <xf numFmtId="0" fontId="11" fillId="2" borderId="30" xfId="0" applyFont="1" applyFill="1" applyBorder="1"/>
    <xf numFmtId="0" fontId="0" fillId="2" borderId="31" xfId="0" applyFill="1" applyBorder="1"/>
    <xf numFmtId="0" fontId="0" fillId="2" borderId="32" xfId="0" applyFill="1" applyBorder="1"/>
    <xf numFmtId="0" fontId="5" fillId="8" borderId="14" xfId="0" applyFont="1" applyFill="1" applyBorder="1" applyAlignment="1" applyProtection="1">
      <alignment vertical="center" wrapText="1"/>
    </xf>
    <xf numFmtId="0" fontId="5" fillId="0" borderId="0" xfId="0" applyFont="1" applyFill="1" applyBorder="1" applyAlignment="1" applyProtection="1">
      <alignment vertical="center" wrapText="1"/>
    </xf>
    <xf numFmtId="0" fontId="2" fillId="0" borderId="36" xfId="0" applyFont="1" applyFill="1" applyBorder="1" applyAlignment="1">
      <alignment horizontal="center"/>
    </xf>
    <xf numFmtId="0" fontId="2" fillId="0" borderId="0" xfId="0" applyFont="1" applyFill="1" applyBorder="1" applyAlignment="1">
      <alignment horizontal="center"/>
    </xf>
    <xf numFmtId="0" fontId="2" fillId="0" borderId="0" xfId="0" applyFont="1" applyFill="1" applyBorder="1" applyAlignment="1"/>
    <xf numFmtId="0" fontId="0" fillId="0" borderId="0" xfId="0" applyFill="1"/>
    <xf numFmtId="0" fontId="2" fillId="7" borderId="37" xfId="0" applyFont="1" applyFill="1" applyBorder="1"/>
    <xf numFmtId="0" fontId="2" fillId="7" borderId="38" xfId="0" applyFont="1" applyFill="1" applyBorder="1"/>
    <xf numFmtId="0" fontId="2" fillId="7" borderId="39" xfId="0" applyFont="1" applyFill="1" applyBorder="1"/>
    <xf numFmtId="0" fontId="0" fillId="2" borderId="26" xfId="0" applyFill="1" applyBorder="1"/>
    <xf numFmtId="0" fontId="19" fillId="0" borderId="10" xfId="0" applyFont="1" applyBorder="1" applyAlignment="1">
      <alignment wrapText="1"/>
    </xf>
    <xf numFmtId="0" fontId="2" fillId="7" borderId="33" xfId="0" applyFont="1" applyFill="1" applyBorder="1"/>
    <xf numFmtId="0" fontId="2" fillId="7" borderId="35" xfId="0" applyFont="1" applyFill="1" applyBorder="1"/>
    <xf numFmtId="166" fontId="3" fillId="4" borderId="34" xfId="3" applyNumberFormat="1" applyFont="1" applyFill="1" applyBorder="1" applyAlignment="1">
      <alignment horizontal="center" vertical="center"/>
    </xf>
    <xf numFmtId="0" fontId="20" fillId="4" borderId="19" xfId="3" quotePrefix="1" applyFont="1" applyFill="1" applyBorder="1" applyAlignment="1">
      <alignment horizontal="center" vertical="center"/>
    </xf>
    <xf numFmtId="0" fontId="20" fillId="0" borderId="47" xfId="3" quotePrefix="1" applyFont="1" applyBorder="1" applyAlignment="1">
      <alignment horizontal="center" vertical="center"/>
    </xf>
    <xf numFmtId="0" fontId="20" fillId="0" borderId="48" xfId="3" quotePrefix="1" applyFont="1" applyBorder="1" applyAlignment="1">
      <alignment horizontal="center" vertical="center"/>
    </xf>
    <xf numFmtId="0" fontId="20" fillId="0" borderId="49" xfId="3" quotePrefix="1" applyFont="1" applyBorder="1" applyAlignment="1">
      <alignment horizontal="center" vertical="center"/>
    </xf>
    <xf numFmtId="0" fontId="20" fillId="4" borderId="0" xfId="3" quotePrefix="1" applyFont="1" applyFill="1" applyAlignment="1">
      <alignment horizontal="center" vertical="center"/>
    </xf>
    <xf numFmtId="3" fontId="21" fillId="2" borderId="27" xfId="4" applyNumberFormat="1" applyFont="1" applyFill="1" applyBorder="1" applyAlignment="1">
      <alignment horizontal="right" vertical="center" wrapText="1"/>
    </xf>
    <xf numFmtId="166" fontId="21" fillId="0" borderId="28" xfId="4" applyNumberFormat="1" applyFont="1" applyBorder="1" applyAlignment="1">
      <alignment vertical="center" wrapText="1"/>
    </xf>
    <xf numFmtId="166" fontId="21" fillId="4" borderId="17" xfId="4" applyNumberFormat="1" applyFont="1" applyFill="1" applyBorder="1" applyAlignment="1">
      <alignment vertical="center" wrapText="1"/>
    </xf>
    <xf numFmtId="166" fontId="21" fillId="0" borderId="32" xfId="4" applyNumberFormat="1" applyFont="1" applyBorder="1" applyAlignment="1">
      <alignment vertical="center" wrapText="1"/>
    </xf>
    <xf numFmtId="166" fontId="21" fillId="4" borderId="50" xfId="4" applyNumberFormat="1" applyFont="1" applyFill="1" applyBorder="1" applyAlignment="1">
      <alignment vertical="center" wrapText="1"/>
    </xf>
    <xf numFmtId="0" fontId="22" fillId="0" borderId="33" xfId="3" applyFont="1" applyBorder="1" applyAlignment="1">
      <alignment horizontal="center" wrapText="1"/>
    </xf>
    <xf numFmtId="3" fontId="21" fillId="0" borderId="51" xfId="4" applyNumberFormat="1" applyFont="1" applyBorder="1" applyAlignment="1">
      <alignment horizontal="right" vertical="center" wrapText="1"/>
    </xf>
    <xf numFmtId="166" fontId="21" fillId="0" borderId="51" xfId="4" applyNumberFormat="1" applyFont="1" applyBorder="1" applyAlignment="1">
      <alignment vertical="center" wrapText="1"/>
    </xf>
    <xf numFmtId="166" fontId="21" fillId="4" borderId="0" xfId="4" applyNumberFormat="1" applyFont="1" applyFill="1" applyAlignment="1">
      <alignment vertical="center" wrapText="1"/>
    </xf>
    <xf numFmtId="0" fontId="20" fillId="4" borderId="5" xfId="3" quotePrefix="1" applyFont="1" applyFill="1" applyBorder="1" applyAlignment="1">
      <alignment horizontal="center" vertical="center"/>
    </xf>
    <xf numFmtId="0" fontId="22" fillId="0" borderId="52" xfId="3" applyFont="1" applyBorder="1" applyAlignment="1">
      <alignment horizontal="left" wrapText="1"/>
    </xf>
    <xf numFmtId="166" fontId="21" fillId="0" borderId="53" xfId="4" applyNumberFormat="1" applyFont="1" applyBorder="1" applyAlignment="1">
      <alignment vertical="center" wrapText="1"/>
    </xf>
    <xf numFmtId="166" fontId="23" fillId="0" borderId="53" xfId="4" applyNumberFormat="1" applyFont="1" applyBorder="1" applyAlignment="1">
      <alignment vertical="center" wrapText="1"/>
    </xf>
    <xf numFmtId="166" fontId="23" fillId="4" borderId="0" xfId="4" applyNumberFormat="1" applyFont="1" applyFill="1" applyAlignment="1">
      <alignment vertical="center" wrapText="1"/>
    </xf>
    <xf numFmtId="166" fontId="21" fillId="4" borderId="19" xfId="4" applyNumberFormat="1" applyFont="1" applyFill="1" applyBorder="1" applyAlignment="1">
      <alignment vertical="center" wrapText="1"/>
    </xf>
    <xf numFmtId="0" fontId="22" fillId="0" borderId="0" xfId="3" applyFont="1" applyAlignment="1">
      <alignment horizontal="left" wrapText="1"/>
    </xf>
    <xf numFmtId="166" fontId="21" fillId="0" borderId="0" xfId="4" applyNumberFormat="1" applyFont="1" applyAlignment="1">
      <alignment vertical="center" wrapText="1"/>
    </xf>
    <xf numFmtId="0" fontId="3" fillId="0" borderId="0" xfId="3" applyFont="1" applyAlignment="1">
      <alignment vertical="center" wrapText="1"/>
    </xf>
    <xf numFmtId="166" fontId="3" fillId="4" borderId="35" xfId="3" applyNumberFormat="1" applyFont="1" applyFill="1" applyBorder="1" applyAlignment="1">
      <alignment horizontal="center" vertical="center"/>
    </xf>
    <xf numFmtId="0" fontId="20" fillId="4" borderId="24" xfId="3" quotePrefix="1" applyFont="1" applyFill="1" applyBorder="1" applyAlignment="1">
      <alignment horizontal="center" vertical="center"/>
    </xf>
    <xf numFmtId="166" fontId="3" fillId="13" borderId="36" xfId="3" applyNumberFormat="1" applyFont="1" applyFill="1" applyBorder="1" applyAlignment="1">
      <alignment horizontal="center" vertical="center"/>
    </xf>
    <xf numFmtId="166" fontId="21" fillId="4" borderId="18" xfId="4" applyNumberFormat="1" applyFont="1" applyFill="1" applyBorder="1" applyAlignment="1">
      <alignment vertical="center" wrapText="1"/>
    </xf>
    <xf numFmtId="166" fontId="3" fillId="13" borderId="46" xfId="3" applyNumberFormat="1" applyFont="1" applyFill="1" applyBorder="1" applyAlignment="1">
      <alignment horizontal="center" vertical="center"/>
    </xf>
    <xf numFmtId="166" fontId="3" fillId="13" borderId="22" xfId="3" applyNumberFormat="1" applyFont="1" applyFill="1" applyBorder="1" applyAlignment="1">
      <alignment horizontal="center" vertical="center"/>
    </xf>
    <xf numFmtId="166" fontId="3" fillId="13" borderId="55" xfId="3" applyNumberFormat="1" applyFont="1" applyFill="1" applyBorder="1" applyAlignment="1">
      <alignment horizontal="center" vertical="center"/>
    </xf>
    <xf numFmtId="166" fontId="23" fillId="0" borderId="28" xfId="4" applyNumberFormat="1" applyFont="1" applyBorder="1" applyAlignment="1">
      <alignment vertical="center" wrapText="1"/>
    </xf>
    <xf numFmtId="166" fontId="23" fillId="4" borderId="17" xfId="4" applyNumberFormat="1" applyFont="1" applyFill="1" applyBorder="1" applyAlignment="1">
      <alignment vertical="center" wrapText="1"/>
    </xf>
    <xf numFmtId="166" fontId="3" fillId="13" borderId="23" xfId="3" applyNumberFormat="1" applyFont="1" applyFill="1" applyBorder="1" applyAlignment="1">
      <alignment horizontal="center" vertical="center"/>
    </xf>
    <xf numFmtId="166" fontId="3" fillId="13" borderId="57" xfId="3" applyNumberFormat="1" applyFont="1" applyFill="1" applyBorder="1" applyAlignment="1">
      <alignment horizontal="center" vertical="center"/>
    </xf>
    <xf numFmtId="0" fontId="3" fillId="0" borderId="0" xfId="3" applyFont="1" applyAlignment="1">
      <alignment vertical="center"/>
    </xf>
    <xf numFmtId="0" fontId="3" fillId="4" borderId="0" xfId="3" applyFont="1" applyFill="1" applyAlignment="1">
      <alignment vertical="center"/>
    </xf>
    <xf numFmtId="0" fontId="20" fillId="0" borderId="51" xfId="3" quotePrefix="1" applyFont="1" applyBorder="1" applyAlignment="1">
      <alignment horizontal="center" vertical="center"/>
    </xf>
    <xf numFmtId="0" fontId="20" fillId="4" borderId="51" xfId="3" quotePrefix="1" applyFont="1" applyFill="1" applyBorder="1" applyAlignment="1">
      <alignment horizontal="center" vertical="center"/>
    </xf>
    <xf numFmtId="166" fontId="21" fillId="0" borderId="59" xfId="4" applyNumberFormat="1" applyFont="1" applyBorder="1" applyAlignment="1">
      <alignment vertical="center" wrapText="1"/>
    </xf>
    <xf numFmtId="0" fontId="3" fillId="0" borderId="0" xfId="3" applyFont="1" applyAlignment="1">
      <alignment horizontal="center" vertical="center"/>
    </xf>
    <xf numFmtId="0" fontId="2" fillId="0" borderId="0" xfId="3" applyFont="1"/>
    <xf numFmtId="0" fontId="3" fillId="0" borderId="0" xfId="3" applyFont="1"/>
    <xf numFmtId="0" fontId="25" fillId="0" borderId="0" xfId="3" applyFont="1" applyAlignment="1">
      <alignment vertical="center"/>
    </xf>
    <xf numFmtId="0" fontId="15" fillId="0" borderId="0" xfId="3" applyFont="1"/>
    <xf numFmtId="0" fontId="14" fillId="0" borderId="0" xfId="0" applyFont="1" applyBorder="1" applyAlignment="1" applyProtection="1">
      <alignment vertical="center"/>
    </xf>
    <xf numFmtId="0" fontId="7" fillId="0" borderId="0" xfId="0" applyFont="1" applyBorder="1" applyAlignment="1" applyProtection="1">
      <alignment vertical="center"/>
    </xf>
    <xf numFmtId="0" fontId="7" fillId="0" borderId="0" xfId="0" applyFont="1" applyBorder="1" applyAlignment="1" applyProtection="1">
      <alignment horizontal="center"/>
    </xf>
    <xf numFmtId="0" fontId="20" fillId="0" borderId="25" xfId="3" quotePrefix="1" applyFont="1" applyBorder="1" applyAlignment="1">
      <alignment horizontal="center" vertical="center"/>
    </xf>
    <xf numFmtId="0" fontId="20" fillId="0" borderId="6" xfId="3" quotePrefix="1" applyFont="1" applyBorder="1" applyAlignment="1">
      <alignment horizontal="center" vertical="center"/>
    </xf>
    <xf numFmtId="0" fontId="20" fillId="0" borderId="59" xfId="3" quotePrefix="1" applyFont="1" applyBorder="1" applyAlignment="1">
      <alignment horizontal="center" vertical="center"/>
    </xf>
    <xf numFmtId="0" fontId="20" fillId="4" borderId="0" xfId="3" quotePrefix="1" applyFont="1" applyFill="1" applyBorder="1" applyAlignment="1">
      <alignment horizontal="center" vertical="center"/>
    </xf>
    <xf numFmtId="0" fontId="26" fillId="0" borderId="52" xfId="3" applyFont="1" applyBorder="1" applyAlignment="1">
      <alignment horizontal="left" wrapText="1"/>
    </xf>
    <xf numFmtId="0" fontId="22" fillId="4" borderId="41" xfId="3" applyFont="1" applyFill="1" applyBorder="1" applyAlignment="1">
      <alignment horizontal="left" wrapText="1"/>
    </xf>
    <xf numFmtId="0" fontId="22" fillId="4" borderId="5" xfId="3" applyFont="1" applyFill="1" applyBorder="1" applyAlignment="1">
      <alignment horizontal="left" wrapText="1"/>
    </xf>
    <xf numFmtId="0" fontId="22" fillId="4" borderId="54" xfId="3" applyFont="1" applyFill="1" applyBorder="1" applyAlignment="1">
      <alignment horizontal="left" wrapText="1"/>
    </xf>
    <xf numFmtId="0" fontId="22" fillId="4" borderId="55" xfId="3" applyFont="1" applyFill="1" applyBorder="1" applyAlignment="1">
      <alignment horizontal="left" wrapText="1"/>
    </xf>
    <xf numFmtId="0" fontId="22" fillId="4" borderId="56" xfId="3" applyFont="1" applyFill="1" applyBorder="1" applyAlignment="1">
      <alignment horizontal="left" wrapText="1"/>
    </xf>
    <xf numFmtId="0" fontId="22" fillId="4" borderId="57" xfId="3" applyFont="1" applyFill="1" applyBorder="1" applyAlignment="1">
      <alignment horizontal="left" wrapText="1"/>
    </xf>
    <xf numFmtId="0" fontId="14" fillId="4" borderId="54" xfId="3" applyFont="1" applyFill="1" applyBorder="1" applyAlignment="1">
      <alignment horizontal="left" wrapText="1"/>
    </xf>
    <xf numFmtId="0" fontId="14" fillId="4" borderId="55" xfId="3" applyFont="1" applyFill="1" applyBorder="1" applyAlignment="1">
      <alignment horizontal="left" wrapText="1"/>
    </xf>
    <xf numFmtId="0" fontId="14" fillId="4" borderId="56" xfId="3" applyFont="1" applyFill="1" applyBorder="1" applyAlignment="1">
      <alignment horizontal="left" wrapText="1"/>
    </xf>
    <xf numFmtId="0" fontId="14" fillId="4" borderId="57" xfId="3" applyFont="1" applyFill="1" applyBorder="1" applyAlignment="1">
      <alignment horizontal="left" wrapText="1"/>
    </xf>
    <xf numFmtId="166" fontId="21" fillId="0" borderId="10" xfId="4" applyNumberFormat="1" applyFont="1" applyFill="1" applyBorder="1" applyAlignment="1">
      <alignment vertical="center" wrapText="1"/>
    </xf>
    <xf numFmtId="166" fontId="21" fillId="0" borderId="27" xfId="4" applyNumberFormat="1" applyFont="1" applyFill="1" applyBorder="1" applyAlignment="1">
      <alignment vertical="center" wrapText="1"/>
    </xf>
    <xf numFmtId="166" fontId="21" fillId="0" borderId="53" xfId="4" applyNumberFormat="1" applyFont="1" applyFill="1" applyBorder="1" applyAlignment="1">
      <alignment vertical="center" wrapText="1"/>
    </xf>
    <xf numFmtId="0" fontId="18" fillId="0" borderId="0" xfId="3"/>
    <xf numFmtId="0" fontId="20" fillId="0" borderId="14" xfId="3" quotePrefix="1" applyFont="1" applyBorder="1" applyAlignment="1">
      <alignment horizontal="center" vertical="center"/>
    </xf>
    <xf numFmtId="0" fontId="20" fillId="0" borderId="60" xfId="3" quotePrefix="1" applyFont="1" applyBorder="1" applyAlignment="1">
      <alignment horizontal="center" vertical="center"/>
    </xf>
    <xf numFmtId="0" fontId="20" fillId="0" borderId="61" xfId="3" quotePrefix="1" applyFont="1" applyBorder="1" applyAlignment="1">
      <alignment horizontal="center" vertical="center"/>
    </xf>
    <xf numFmtId="166" fontId="21" fillId="2" borderId="43" xfId="4" applyNumberFormat="1" applyFont="1" applyFill="1" applyBorder="1" applyAlignment="1">
      <alignment vertical="center" wrapText="1"/>
    </xf>
    <xf numFmtId="0" fontId="22" fillId="2" borderId="52" xfId="3" applyFont="1" applyFill="1" applyBorder="1" applyAlignment="1">
      <alignment horizontal="left"/>
    </xf>
    <xf numFmtId="0" fontId="22" fillId="2" borderId="52" xfId="3" applyFont="1" applyFill="1" applyBorder="1" applyAlignment="1">
      <alignment horizontal="left" wrapText="1"/>
    </xf>
    <xf numFmtId="0" fontId="3" fillId="4" borderId="33" xfId="3" applyFont="1" applyFill="1" applyBorder="1" applyAlignment="1">
      <alignment vertical="center" wrapText="1"/>
    </xf>
    <xf numFmtId="0" fontId="3" fillId="0" borderId="23" xfId="3" applyFont="1" applyFill="1" applyBorder="1" applyAlignment="1">
      <alignment horizontal="center" vertical="center" wrapText="1"/>
    </xf>
    <xf numFmtId="0" fontId="22" fillId="2" borderId="8" xfId="3" applyFont="1" applyFill="1" applyBorder="1" applyAlignment="1">
      <alignment horizontal="left" wrapText="1"/>
    </xf>
    <xf numFmtId="0" fontId="20" fillId="0" borderId="21" xfId="3" quotePrefix="1" applyFont="1" applyBorder="1" applyAlignment="1">
      <alignment horizontal="center" vertical="center"/>
    </xf>
    <xf numFmtId="0" fontId="26" fillId="0" borderId="1" xfId="3" applyFont="1" applyBorder="1" applyAlignment="1">
      <alignment horizontal="left" wrapText="1"/>
    </xf>
    <xf numFmtId="0" fontId="20" fillId="0" borderId="15" xfId="3" quotePrefix="1" applyFont="1" applyBorder="1" applyAlignment="1">
      <alignment horizontal="center" vertical="center"/>
    </xf>
    <xf numFmtId="166" fontId="27" fillId="0" borderId="53" xfId="4" applyNumberFormat="1" applyFont="1" applyBorder="1" applyAlignment="1">
      <alignment vertical="center" wrapText="1"/>
    </xf>
    <xf numFmtId="166" fontId="3" fillId="4" borderId="36" xfId="3" applyNumberFormat="1" applyFont="1" applyFill="1" applyBorder="1" applyAlignment="1">
      <alignment horizontal="center" vertical="center"/>
    </xf>
    <xf numFmtId="166" fontId="3" fillId="4" borderId="0" xfId="3" applyNumberFormat="1" applyFont="1" applyFill="1" applyAlignment="1">
      <alignment horizontal="center" vertical="center"/>
    </xf>
    <xf numFmtId="166" fontId="3" fillId="4" borderId="46" xfId="3" applyNumberFormat="1" applyFont="1" applyFill="1" applyBorder="1" applyAlignment="1">
      <alignment horizontal="center" vertical="center"/>
    </xf>
    <xf numFmtId="166" fontId="3" fillId="4" borderId="22" xfId="3" applyNumberFormat="1" applyFont="1" applyFill="1" applyBorder="1" applyAlignment="1">
      <alignment horizontal="center" vertical="center"/>
    </xf>
    <xf numFmtId="166" fontId="3" fillId="4" borderId="55" xfId="3" applyNumberFormat="1" applyFont="1" applyFill="1" applyBorder="1" applyAlignment="1">
      <alignment horizontal="center" vertical="center"/>
    </xf>
    <xf numFmtId="166" fontId="3" fillId="4" borderId="23" xfId="3" applyNumberFormat="1" applyFont="1" applyFill="1" applyBorder="1" applyAlignment="1">
      <alignment horizontal="center" vertical="center"/>
    </xf>
    <xf numFmtId="166" fontId="3" fillId="4" borderId="57" xfId="3" applyNumberFormat="1" applyFont="1" applyFill="1" applyBorder="1" applyAlignment="1">
      <alignment horizontal="center" vertical="center"/>
    </xf>
    <xf numFmtId="9" fontId="21" fillId="2" borderId="61" xfId="2" applyFont="1" applyFill="1" applyBorder="1" applyAlignment="1">
      <alignment vertical="center" wrapText="1"/>
    </xf>
    <xf numFmtId="9" fontId="21" fillId="2" borderId="43" xfId="2" applyFont="1" applyFill="1" applyBorder="1" applyAlignment="1">
      <alignment vertical="center" wrapText="1"/>
    </xf>
    <xf numFmtId="9" fontId="21" fillId="2" borderId="45" xfId="2" applyFont="1" applyFill="1" applyBorder="1" applyAlignment="1">
      <alignment vertical="center" wrapText="1"/>
    </xf>
    <xf numFmtId="0" fontId="22" fillId="0" borderId="52" xfId="3" applyFont="1" applyBorder="1" applyAlignment="1">
      <alignment horizontal="right" wrapText="1"/>
    </xf>
    <xf numFmtId="0" fontId="22" fillId="0" borderId="23" xfId="3" applyFont="1" applyBorder="1" applyAlignment="1">
      <alignment horizontal="right" wrapText="1"/>
    </xf>
    <xf numFmtId="10" fontId="21" fillId="0" borderId="9" xfId="2" applyNumberFormat="1" applyFont="1" applyFill="1" applyBorder="1" applyAlignment="1">
      <alignment vertical="center" wrapText="1"/>
    </xf>
    <xf numFmtId="169" fontId="21" fillId="0" borderId="9" xfId="5" applyNumberFormat="1" applyFont="1" applyFill="1" applyBorder="1" applyAlignment="1">
      <alignment vertical="center" wrapText="1"/>
    </xf>
    <xf numFmtId="166" fontId="28" fillId="0" borderId="53" xfId="4" applyNumberFormat="1" applyFont="1" applyBorder="1" applyAlignment="1">
      <alignment vertical="center" wrapText="1"/>
    </xf>
    <xf numFmtId="166" fontId="27" fillId="0" borderId="58" xfId="4" applyNumberFormat="1" applyFont="1" applyBorder="1" applyAlignment="1">
      <alignment vertical="center" wrapText="1"/>
    </xf>
    <xf numFmtId="0" fontId="6" fillId="4" borderId="41" xfId="3" applyFont="1" applyFill="1" applyBorder="1" applyAlignment="1">
      <alignment horizontal="center" vertical="center" wrapText="1"/>
    </xf>
    <xf numFmtId="0" fontId="3" fillId="4" borderId="41" xfId="3" applyFont="1" applyFill="1" applyBorder="1" applyAlignment="1">
      <alignment horizontal="center" vertical="center" wrapText="1"/>
    </xf>
    <xf numFmtId="0" fontId="3" fillId="0" borderId="0" xfId="3" applyFont="1" applyFill="1" applyAlignment="1">
      <alignment vertical="center"/>
    </xf>
    <xf numFmtId="0" fontId="11" fillId="2" borderId="27" xfId="3" applyFont="1" applyFill="1" applyBorder="1" applyAlignment="1">
      <alignment horizontal="left" vertical="center" wrapText="1"/>
    </xf>
    <xf numFmtId="0" fontId="19" fillId="0" borderId="27" xfId="0" applyFont="1" applyBorder="1"/>
    <xf numFmtId="0" fontId="19" fillId="0" borderId="28" xfId="0" applyFont="1" applyBorder="1"/>
    <xf numFmtId="0" fontId="11" fillId="12" borderId="0" xfId="3" applyFont="1" applyFill="1" applyBorder="1" applyAlignment="1">
      <alignment horizontal="left" vertical="center"/>
    </xf>
    <xf numFmtId="166" fontId="21" fillId="0" borderId="0" xfId="4" applyNumberFormat="1" applyFont="1" applyFill="1" applyAlignment="1">
      <alignment vertical="center" wrapText="1"/>
    </xf>
    <xf numFmtId="1" fontId="21" fillId="0" borderId="51" xfId="7" applyNumberFormat="1" applyFont="1" applyBorder="1" applyAlignment="1">
      <alignment horizontal="right" vertical="center" wrapText="1"/>
    </xf>
    <xf numFmtId="0" fontId="5" fillId="0" borderId="0" xfId="3" applyFont="1"/>
    <xf numFmtId="0" fontId="6" fillId="0" borderId="0" xfId="3" applyFont="1" applyAlignment="1">
      <alignment vertical="center"/>
    </xf>
    <xf numFmtId="0" fontId="6" fillId="0" borderId="0" xfId="3" applyFont="1" applyAlignment="1">
      <alignment horizontal="center" vertical="center"/>
    </xf>
    <xf numFmtId="0" fontId="30" fillId="0" borderId="0" xfId="6" applyFont="1"/>
    <xf numFmtId="0" fontId="13" fillId="0" borderId="52" xfId="3" applyFont="1" applyBorder="1" applyAlignment="1">
      <alignment horizontal="right" wrapText="1"/>
    </xf>
    <xf numFmtId="0" fontId="13" fillId="0" borderId="23" xfId="3" applyFont="1" applyBorder="1" applyAlignment="1">
      <alignment horizontal="right" wrapText="1"/>
    </xf>
    <xf numFmtId="0" fontId="20" fillId="0" borderId="23" xfId="3" applyFont="1" applyBorder="1" applyAlignment="1">
      <alignment horizontal="left" wrapText="1"/>
    </xf>
    <xf numFmtId="166" fontId="3" fillId="0" borderId="58" xfId="4" applyNumberFormat="1" applyFont="1" applyBorder="1" applyAlignment="1">
      <alignment vertical="center" wrapText="1"/>
    </xf>
    <xf numFmtId="0" fontId="20" fillId="0" borderId="23" xfId="3" applyFont="1" applyBorder="1" applyAlignment="1">
      <alignment horizontal="right" wrapText="1"/>
    </xf>
    <xf numFmtId="0" fontId="3" fillId="0" borderId="43" xfId="0" applyFont="1" applyFill="1" applyBorder="1" applyAlignment="1" applyProtection="1">
      <alignment horizontal="center" vertical="center" wrapText="1"/>
    </xf>
    <xf numFmtId="0" fontId="2" fillId="0" borderId="0" xfId="0" applyFont="1" applyFill="1" applyBorder="1" applyAlignment="1" applyProtection="1">
      <alignment vertical="center"/>
      <protection locked="0"/>
    </xf>
    <xf numFmtId="0" fontId="2" fillId="0" borderId="0" xfId="0" applyNumberFormat="1" applyFont="1" applyFill="1" applyBorder="1" applyAlignment="1" applyProtection="1">
      <alignment horizontal="center" vertical="center"/>
      <protection locked="0"/>
    </xf>
    <xf numFmtId="0" fontId="0" fillId="12" borderId="0" xfId="0" applyFill="1" applyBorder="1" applyProtection="1"/>
    <xf numFmtId="0" fontId="0" fillId="12" borderId="0" xfId="0" applyFill="1" applyBorder="1" applyAlignment="1" applyProtection="1">
      <alignment horizontal="center" vertical="center"/>
    </xf>
    <xf numFmtId="0" fontId="32" fillId="0" borderId="25" xfId="3" applyFont="1" applyBorder="1" applyAlignment="1">
      <alignment horizontal="left" wrapText="1"/>
    </xf>
    <xf numFmtId="0" fontId="11" fillId="2" borderId="27" xfId="3" applyFont="1" applyFill="1" applyBorder="1" applyAlignment="1">
      <alignment horizontal="center" vertical="center" wrapText="1"/>
    </xf>
    <xf numFmtId="1" fontId="33" fillId="4" borderId="16" xfId="3" applyNumberFormat="1" applyFont="1" applyFill="1" applyBorder="1" applyAlignment="1">
      <alignment horizontal="center" vertical="center" wrapText="1"/>
    </xf>
    <xf numFmtId="1" fontId="33" fillId="4" borderId="0" xfId="3" applyNumberFormat="1" applyFont="1" applyFill="1" applyAlignment="1">
      <alignment horizontal="center" vertical="center" wrapText="1"/>
    </xf>
    <xf numFmtId="1" fontId="33" fillId="4" borderId="55" xfId="3" applyNumberFormat="1" applyFont="1" applyFill="1" applyBorder="1" applyAlignment="1">
      <alignment horizontal="center" vertical="center" wrapText="1"/>
    </xf>
    <xf numFmtId="1" fontId="33" fillId="4" borderId="57" xfId="3" applyNumberFormat="1" applyFont="1" applyFill="1" applyBorder="1" applyAlignment="1">
      <alignment horizontal="center" vertical="center" wrapText="1"/>
    </xf>
    <xf numFmtId="1" fontId="24" fillId="4" borderId="16" xfId="3" applyNumberFormat="1" applyFont="1" applyFill="1" applyBorder="1" applyAlignment="1">
      <alignment horizontal="center" vertical="center" wrapText="1"/>
    </xf>
    <xf numFmtId="1" fontId="24" fillId="4" borderId="0" xfId="3" applyNumberFormat="1" applyFont="1" applyFill="1" applyAlignment="1">
      <alignment horizontal="center" vertical="center" wrapText="1"/>
    </xf>
    <xf numFmtId="1" fontId="24" fillId="4" borderId="55" xfId="3" applyNumberFormat="1" applyFont="1" applyFill="1" applyBorder="1" applyAlignment="1">
      <alignment horizontal="center" vertical="center" wrapText="1"/>
    </xf>
    <xf numFmtId="1" fontId="24" fillId="4" borderId="57" xfId="3" applyNumberFormat="1" applyFont="1" applyFill="1" applyBorder="1" applyAlignment="1">
      <alignment horizontal="center" vertical="center" wrapText="1"/>
    </xf>
    <xf numFmtId="0" fontId="31" fillId="2" borderId="27" xfId="3" applyFont="1" applyFill="1" applyBorder="1" applyAlignment="1">
      <alignment horizontal="center" vertical="center" wrapText="1"/>
    </xf>
    <xf numFmtId="166" fontId="3" fillId="4" borderId="0" xfId="3" applyNumberFormat="1" applyFont="1" applyFill="1" applyBorder="1" applyAlignment="1">
      <alignment horizontal="center" vertical="center"/>
    </xf>
    <xf numFmtId="166" fontId="21" fillId="0" borderId="9" xfId="4" applyNumberFormat="1" applyFont="1" applyFill="1" applyBorder="1" applyAlignment="1">
      <alignment vertical="center" wrapText="1"/>
    </xf>
    <xf numFmtId="0" fontId="22" fillId="0" borderId="27" xfId="3" applyFont="1" applyBorder="1" applyAlignment="1">
      <alignment horizontal="left" wrapText="1"/>
    </xf>
    <xf numFmtId="166" fontId="21" fillId="4" borderId="0" xfId="4" applyNumberFormat="1" applyFont="1" applyFill="1" applyBorder="1" applyAlignment="1">
      <alignment vertical="center" wrapText="1"/>
    </xf>
    <xf numFmtId="0" fontId="20" fillId="4" borderId="25" xfId="3" quotePrefix="1" applyFont="1" applyFill="1" applyBorder="1" applyAlignment="1">
      <alignment horizontal="center" vertical="center"/>
    </xf>
    <xf numFmtId="0" fontId="20" fillId="4" borderId="6" xfId="3" quotePrefix="1" applyFont="1" applyFill="1" applyBorder="1" applyAlignment="1">
      <alignment horizontal="center" vertical="center"/>
    </xf>
    <xf numFmtId="0" fontId="20" fillId="4" borderId="59" xfId="3" quotePrefix="1" applyFont="1" applyFill="1" applyBorder="1" applyAlignment="1">
      <alignment horizontal="center" vertical="center"/>
    </xf>
    <xf numFmtId="44" fontId="4" fillId="6" borderId="14" xfId="1" applyNumberFormat="1" applyFont="1" applyFill="1" applyBorder="1" applyAlignment="1" applyProtection="1">
      <alignment horizontal="center"/>
    </xf>
    <xf numFmtId="0" fontId="11" fillId="2" borderId="29" xfId="3" applyFont="1" applyFill="1" applyBorder="1" applyAlignment="1">
      <alignment horizontal="left" vertical="center" wrapText="1"/>
    </xf>
    <xf numFmtId="0" fontId="11" fillId="2" borderId="29" xfId="3" applyFont="1" applyFill="1" applyBorder="1" applyAlignment="1">
      <alignment horizontal="center" vertical="center" wrapText="1"/>
    </xf>
    <xf numFmtId="0" fontId="22" fillId="0" borderId="14" xfId="3" applyFont="1" applyBorder="1" applyAlignment="1">
      <alignment horizontal="center" wrapText="1"/>
    </xf>
    <xf numFmtId="0" fontId="2" fillId="0" borderId="10" xfId="0" applyFont="1" applyBorder="1"/>
    <xf numFmtId="0" fontId="22" fillId="0" borderId="1" xfId="3" applyFont="1" applyBorder="1" applyAlignment="1">
      <alignment horizontal="right" wrapText="1"/>
    </xf>
    <xf numFmtId="0" fontId="22" fillId="0" borderId="33" xfId="3" applyFont="1" applyBorder="1" applyAlignment="1">
      <alignment horizontal="right" wrapText="1"/>
    </xf>
    <xf numFmtId="0" fontId="32" fillId="0" borderId="52" xfId="3" applyFont="1" applyBorder="1" applyAlignment="1">
      <alignment horizontal="left" wrapText="1"/>
    </xf>
    <xf numFmtId="0" fontId="20" fillId="0" borderId="37" xfId="3" quotePrefix="1" applyFont="1" applyBorder="1" applyAlignment="1">
      <alignment horizontal="center" vertical="center"/>
    </xf>
    <xf numFmtId="0" fontId="20" fillId="0" borderId="62" xfId="3" quotePrefix="1" applyFont="1" applyBorder="1" applyAlignment="1">
      <alignment horizontal="center" vertical="center"/>
    </xf>
    <xf numFmtId="166" fontId="21" fillId="0" borderId="25" xfId="4" applyNumberFormat="1" applyFont="1" applyFill="1" applyBorder="1" applyAlignment="1">
      <alignment vertical="center" wrapText="1"/>
    </xf>
    <xf numFmtId="0" fontId="4" fillId="0" borderId="0" xfId="0" applyFont="1"/>
    <xf numFmtId="49" fontId="5" fillId="0" borderId="8" xfId="0" quotePrefix="1" applyNumberFormat="1" applyFont="1" applyBorder="1" applyAlignment="1" applyProtection="1">
      <alignment horizontal="center" vertical="center"/>
    </xf>
    <xf numFmtId="166" fontId="27" fillId="0" borderId="51" xfId="4" applyNumberFormat="1" applyFont="1" applyBorder="1" applyAlignment="1">
      <alignment vertical="center" wrapText="1"/>
    </xf>
    <xf numFmtId="0" fontId="0" fillId="0" borderId="0" xfId="0" applyFill="1" applyBorder="1" applyProtection="1"/>
    <xf numFmtId="0" fontId="34" fillId="0" borderId="0" xfId="6" applyFont="1"/>
    <xf numFmtId="0" fontId="4" fillId="0" borderId="0" xfId="0" applyFont="1" applyFill="1" applyBorder="1" applyProtection="1"/>
    <xf numFmtId="49" fontId="2" fillId="0" borderId="5" xfId="0" applyNumberFormat="1" applyFont="1" applyBorder="1" applyAlignment="1" applyProtection="1">
      <alignment horizontal="center" wrapText="1"/>
    </xf>
    <xf numFmtId="49" fontId="5" fillId="0" borderId="40" xfId="0" quotePrefix="1" applyNumberFormat="1" applyFont="1" applyBorder="1" applyAlignment="1" applyProtection="1">
      <alignment horizontal="center" vertical="center"/>
    </xf>
    <xf numFmtId="0" fontId="2" fillId="0" borderId="26" xfId="0" applyFont="1" applyBorder="1" applyAlignment="1" applyProtection="1">
      <alignment horizontal="center" wrapText="1"/>
    </xf>
    <xf numFmtId="1" fontId="4" fillId="0" borderId="27" xfId="0" applyNumberFormat="1" applyFont="1" applyBorder="1" applyAlignment="1" applyProtection="1">
      <alignment horizontal="center" vertical="center"/>
    </xf>
    <xf numFmtId="1" fontId="4" fillId="0" borderId="30" xfId="0" applyNumberFormat="1" applyFont="1" applyBorder="1" applyAlignment="1" applyProtection="1">
      <alignment horizontal="center" vertical="center"/>
    </xf>
    <xf numFmtId="1" fontId="4" fillId="0" borderId="27" xfId="0" applyNumberFormat="1" applyFont="1" applyFill="1" applyBorder="1" applyAlignment="1" applyProtection="1">
      <alignment horizontal="center" vertical="center"/>
    </xf>
    <xf numFmtId="44" fontId="5" fillId="3" borderId="11" xfId="0" applyNumberFormat="1" applyFont="1" applyFill="1" applyBorder="1" applyAlignment="1" applyProtection="1">
      <alignment horizontal="center" vertical="center" wrapText="1"/>
    </xf>
    <xf numFmtId="164" fontId="5" fillId="3" borderId="11" xfId="0" applyNumberFormat="1" applyFont="1" applyFill="1" applyBorder="1" applyAlignment="1" applyProtection="1">
      <alignment horizontal="center" vertical="center" wrapText="1"/>
    </xf>
    <xf numFmtId="0" fontId="2" fillId="0" borderId="0" xfId="0" applyFont="1" applyBorder="1" applyAlignment="1" applyProtection="1">
      <alignment horizontal="left" wrapText="1"/>
    </xf>
    <xf numFmtId="49" fontId="2" fillId="0" borderId="0" xfId="0" applyNumberFormat="1" applyFont="1" applyBorder="1" applyAlignment="1" applyProtection="1">
      <alignment horizontal="center" wrapText="1"/>
    </xf>
    <xf numFmtId="49" fontId="2" fillId="0" borderId="0" xfId="0" applyNumberFormat="1" applyFont="1" applyFill="1" applyBorder="1" applyAlignment="1" applyProtection="1">
      <alignment horizontal="center" wrapText="1"/>
    </xf>
    <xf numFmtId="0" fontId="13" fillId="0" borderId="52" xfId="3" applyFont="1" applyBorder="1" applyAlignment="1">
      <alignment horizontal="left" wrapText="1"/>
    </xf>
    <xf numFmtId="166" fontId="21" fillId="12" borderId="10" xfId="4" applyNumberFormat="1" applyFont="1" applyFill="1" applyBorder="1" applyAlignment="1">
      <alignment vertical="center" wrapText="1"/>
    </xf>
    <xf numFmtId="0" fontId="13" fillId="0" borderId="0" xfId="3" applyFont="1" applyAlignment="1">
      <alignment horizontal="left" wrapText="1"/>
    </xf>
    <xf numFmtId="0" fontId="6" fillId="0" borderId="0" xfId="3" applyFont="1" applyFill="1" applyAlignment="1">
      <alignment vertical="center"/>
    </xf>
    <xf numFmtId="0" fontId="6" fillId="4" borderId="0" xfId="3" applyFont="1" applyFill="1" applyAlignment="1">
      <alignment vertical="center"/>
    </xf>
    <xf numFmtId="0" fontId="22" fillId="0" borderId="41" xfId="3" applyFont="1" applyBorder="1" applyAlignment="1">
      <alignment horizontal="left" wrapText="1"/>
    </xf>
    <xf numFmtId="44" fontId="21" fillId="0" borderId="10" xfId="2" applyNumberFormat="1" applyFont="1" applyFill="1" applyBorder="1" applyAlignment="1">
      <alignment vertical="center" wrapText="1"/>
    </xf>
    <xf numFmtId="166" fontId="21" fillId="0" borderId="10" xfId="4" applyNumberFormat="1" applyFont="1" applyBorder="1" applyAlignment="1">
      <alignment vertical="center" wrapText="1"/>
    </xf>
    <xf numFmtId="10" fontId="21" fillId="0" borderId="10" xfId="2" applyNumberFormat="1" applyFont="1" applyFill="1" applyBorder="1" applyAlignment="1">
      <alignment vertical="center" wrapText="1"/>
    </xf>
    <xf numFmtId="0" fontId="2" fillId="5" borderId="14" xfId="0" applyFont="1" applyFill="1" applyBorder="1" applyAlignment="1" applyProtection="1">
      <alignment horizontal="center" vertical="center" wrapText="1"/>
    </xf>
    <xf numFmtId="44" fontId="5" fillId="3" borderId="14" xfId="0" applyNumberFormat="1" applyFont="1" applyFill="1" applyBorder="1" applyAlignment="1" applyProtection="1">
      <alignment horizontal="center" vertical="center" wrapText="1"/>
    </xf>
    <xf numFmtId="44" fontId="4" fillId="2" borderId="28" xfId="1" applyNumberFormat="1" applyFont="1" applyFill="1" applyBorder="1" applyAlignment="1" applyProtection="1">
      <alignment horizontal="center"/>
    </xf>
    <xf numFmtId="0" fontId="17" fillId="0" borderId="0" xfId="0" applyFont="1" applyFill="1" applyBorder="1"/>
    <xf numFmtId="49" fontId="5" fillId="0" borderId="0" xfId="0" quotePrefix="1" applyNumberFormat="1" applyFont="1" applyBorder="1" applyAlignment="1" applyProtection="1">
      <alignment horizontal="center" vertical="center"/>
    </xf>
    <xf numFmtId="0" fontId="5" fillId="0" borderId="0" xfId="0" applyFont="1" applyFill="1" applyBorder="1" applyAlignment="1" applyProtection="1">
      <alignment horizontal="right" vertical="center" wrapText="1"/>
    </xf>
    <xf numFmtId="0" fontId="4" fillId="0" borderId="0" xfId="0" applyFont="1" applyFill="1" applyBorder="1" applyAlignment="1" applyProtection="1">
      <alignment horizontal="center" vertical="center" wrapText="1"/>
    </xf>
    <xf numFmtId="49" fontId="5" fillId="0" borderId="0" xfId="0" quotePrefix="1" applyNumberFormat="1" applyFont="1" applyFill="1" applyBorder="1" applyAlignment="1" applyProtection="1">
      <alignment horizontal="center" vertical="center"/>
    </xf>
    <xf numFmtId="0" fontId="17" fillId="0" borderId="63" xfId="0" applyFont="1" applyFill="1" applyBorder="1"/>
    <xf numFmtId="44" fontId="4" fillId="0" borderId="0" xfId="1" applyNumberFormat="1" applyFont="1" applyFill="1" applyBorder="1" applyAlignment="1" applyProtection="1">
      <alignment horizontal="center"/>
    </xf>
    <xf numFmtId="44" fontId="5" fillId="0" borderId="0" xfId="0" applyNumberFormat="1" applyFont="1" applyFill="1" applyBorder="1" applyAlignment="1" applyProtection="1">
      <alignment horizontal="center"/>
    </xf>
    <xf numFmtId="0" fontId="3" fillId="0" borderId="0" xfId="0" applyFont="1" applyFill="1" applyBorder="1" applyAlignment="1" applyProtection="1">
      <alignment horizontal="center" vertical="center" wrapText="1"/>
    </xf>
    <xf numFmtId="44" fontId="5" fillId="0" borderId="61" xfId="0" applyNumberFormat="1" applyFont="1" applyBorder="1" applyAlignment="1" applyProtection="1">
      <alignment horizontal="center"/>
    </xf>
    <xf numFmtId="44" fontId="5" fillId="0" borderId="43" xfId="0" applyNumberFormat="1" applyFont="1" applyBorder="1" applyAlignment="1" applyProtection="1">
      <alignment horizontal="center"/>
    </xf>
    <xf numFmtId="44" fontId="5" fillId="0" borderId="45" xfId="0" applyNumberFormat="1" applyFont="1" applyBorder="1" applyAlignment="1" applyProtection="1">
      <alignment horizontal="center"/>
    </xf>
    <xf numFmtId="0" fontId="3" fillId="9" borderId="14" xfId="0" applyFont="1" applyFill="1" applyBorder="1" applyAlignment="1" applyProtection="1">
      <alignment horizontal="center" vertical="center" wrapText="1"/>
    </xf>
    <xf numFmtId="49" fontId="5" fillId="0" borderId="10" xfId="0" applyNumberFormat="1" applyFont="1" applyFill="1" applyBorder="1" applyAlignment="1" applyProtection="1">
      <alignment horizontal="right" wrapText="1"/>
    </xf>
    <xf numFmtId="0" fontId="5" fillId="0" borderId="10" xfId="0" applyFont="1" applyFill="1" applyBorder="1" applyAlignment="1" applyProtection="1">
      <alignment horizontal="right" wrapText="1"/>
    </xf>
    <xf numFmtId="0" fontId="17" fillId="0" borderId="64" xfId="0" applyFont="1" applyFill="1" applyBorder="1"/>
    <xf numFmtId="49" fontId="5" fillId="0" borderId="10" xfId="0" quotePrefix="1" applyNumberFormat="1" applyFont="1" applyFill="1" applyBorder="1" applyAlignment="1" applyProtection="1">
      <alignment horizontal="center" vertical="center"/>
    </xf>
    <xf numFmtId="0" fontId="17" fillId="0" borderId="10" xfId="0" applyFont="1" applyFill="1" applyBorder="1" applyAlignment="1">
      <alignment horizontal="right"/>
    </xf>
    <xf numFmtId="44" fontId="4" fillId="0" borderId="45" xfId="0" applyNumberFormat="1" applyFont="1" applyBorder="1" applyAlignment="1" applyProtection="1">
      <alignment horizontal="center"/>
    </xf>
    <xf numFmtId="0" fontId="14" fillId="0" borderId="0" xfId="0" applyFont="1" applyAlignment="1" applyProtection="1">
      <alignment horizontal="left" vertical="top" wrapText="1"/>
    </xf>
    <xf numFmtId="0" fontId="17" fillId="0" borderId="0" xfId="0" applyFont="1" applyFill="1" applyBorder="1" applyAlignment="1">
      <alignment horizontal="right"/>
    </xf>
    <xf numFmtId="0" fontId="5" fillId="0" borderId="0" xfId="0" applyFont="1" applyBorder="1" applyAlignment="1" applyProtection="1">
      <alignment horizontal="right" vertical="center" wrapText="1"/>
    </xf>
    <xf numFmtId="0" fontId="4" fillId="0" borderId="0" xfId="0" applyFont="1" applyBorder="1" applyAlignment="1" applyProtection="1">
      <alignment horizontal="center" vertical="center" wrapText="1"/>
    </xf>
    <xf numFmtId="44" fontId="4" fillId="12" borderId="10" xfId="1" applyNumberFormat="1" applyFont="1" applyFill="1" applyBorder="1" applyAlignment="1" applyProtection="1">
      <alignment horizontal="center"/>
      <protection locked="0"/>
    </xf>
    <xf numFmtId="0" fontId="2" fillId="0" borderId="26" xfId="0" applyFont="1" applyBorder="1" applyAlignment="1" applyProtection="1">
      <alignment horizontal="center"/>
    </xf>
    <xf numFmtId="0" fontId="2" fillId="0" borderId="5" xfId="0" applyFont="1" applyBorder="1" applyAlignment="1" applyProtection="1">
      <alignment horizontal="center" wrapText="1"/>
    </xf>
    <xf numFmtId="1" fontId="0" fillId="12" borderId="27" xfId="0" applyNumberFormat="1" applyFont="1" applyFill="1" applyBorder="1" applyAlignment="1" applyProtection="1">
      <alignment horizontal="center" vertical="center"/>
    </xf>
    <xf numFmtId="44" fontId="4" fillId="12" borderId="28" xfId="1" applyNumberFormat="1" applyFont="1" applyFill="1" applyBorder="1" applyAlignment="1" applyProtection="1">
      <alignment horizontal="center"/>
    </xf>
    <xf numFmtId="0" fontId="0" fillId="12" borderId="27" xfId="0" applyFont="1" applyFill="1" applyBorder="1" applyAlignment="1" applyProtection="1">
      <alignment horizontal="center" vertical="center"/>
    </xf>
    <xf numFmtId="0" fontId="4" fillId="12" borderId="30" xfId="0" applyFont="1" applyFill="1" applyBorder="1" applyAlignment="1" applyProtection="1">
      <alignment horizontal="center" vertical="center"/>
    </xf>
    <xf numFmtId="44" fontId="4" fillId="12" borderId="31" xfId="1" applyNumberFormat="1" applyFont="1" applyFill="1" applyBorder="1" applyAlignment="1" applyProtection="1">
      <alignment horizontal="center"/>
      <protection locked="0"/>
    </xf>
    <xf numFmtId="49" fontId="5" fillId="0" borderId="5" xfId="0" applyNumberFormat="1" applyFont="1" applyBorder="1" applyAlignment="1" applyProtection="1">
      <alignment horizontal="center" wrapText="1"/>
    </xf>
    <xf numFmtId="164" fontId="5" fillId="0" borderId="11" xfId="0" applyNumberFormat="1" applyFont="1" applyBorder="1" applyAlignment="1" applyProtection="1">
      <alignment horizontal="center" wrapText="1"/>
    </xf>
    <xf numFmtId="166" fontId="21" fillId="12" borderId="27" xfId="4" applyNumberFormat="1" applyFont="1" applyFill="1" applyBorder="1" applyAlignment="1">
      <alignment vertical="center" wrapText="1"/>
    </xf>
    <xf numFmtId="0" fontId="4" fillId="2" borderId="10" xfId="0" applyFont="1" applyFill="1" applyBorder="1"/>
    <xf numFmtId="0" fontId="5" fillId="0" borderId="0" xfId="0" applyFont="1"/>
    <xf numFmtId="0" fontId="2" fillId="12" borderId="0" xfId="0" applyFont="1" applyFill="1" applyBorder="1" applyAlignment="1" applyProtection="1">
      <alignment vertical="center"/>
      <protection locked="0"/>
    </xf>
    <xf numFmtId="166" fontId="21" fillId="12" borderId="53" xfId="4" applyNumberFormat="1" applyFont="1" applyFill="1" applyBorder="1" applyAlignment="1">
      <alignment vertical="center" wrapText="1"/>
    </xf>
    <xf numFmtId="166" fontId="21" fillId="12" borderId="9" xfId="4" applyNumberFormat="1" applyFont="1" applyFill="1" applyBorder="1" applyAlignment="1">
      <alignment vertical="center" wrapText="1"/>
    </xf>
    <xf numFmtId="0" fontId="13" fillId="0" borderId="0" xfId="0" applyFont="1" applyBorder="1" applyAlignment="1" applyProtection="1">
      <alignment vertical="center"/>
    </xf>
    <xf numFmtId="166" fontId="21" fillId="12" borderId="40" xfId="4" applyNumberFormat="1" applyFont="1" applyFill="1" applyBorder="1" applyAlignment="1">
      <alignment vertical="center" wrapText="1"/>
    </xf>
    <xf numFmtId="166" fontId="3" fillId="12" borderId="0" xfId="3" applyNumberFormat="1" applyFont="1" applyFill="1" applyBorder="1" applyAlignment="1">
      <alignment horizontal="center" vertical="center"/>
    </xf>
    <xf numFmtId="166" fontId="3" fillId="12" borderId="36" xfId="3" applyNumberFormat="1" applyFont="1" applyFill="1" applyBorder="1" applyAlignment="1">
      <alignment horizontal="center" vertical="center"/>
    </xf>
    <xf numFmtId="166" fontId="3" fillId="12" borderId="0" xfId="3" applyNumberFormat="1" applyFont="1" applyFill="1" applyAlignment="1">
      <alignment horizontal="center" vertical="center"/>
    </xf>
    <xf numFmtId="0" fontId="13" fillId="0" borderId="10" xfId="3" applyFont="1" applyBorder="1" applyAlignment="1">
      <alignment horizontal="left" wrapText="1"/>
    </xf>
    <xf numFmtId="166" fontId="3" fillId="0" borderId="0" xfId="3" applyNumberFormat="1" applyFont="1" applyBorder="1" applyAlignment="1">
      <alignment vertical="center"/>
    </xf>
    <xf numFmtId="0" fontId="3" fillId="17" borderId="14" xfId="3" applyFont="1" applyFill="1" applyBorder="1" applyAlignment="1">
      <alignment vertical="center" wrapText="1"/>
    </xf>
    <xf numFmtId="166" fontId="3" fillId="17" borderId="13" xfId="3" applyNumberFormat="1" applyFont="1" applyFill="1" applyBorder="1" applyAlignment="1">
      <alignment horizontal="center" vertical="center"/>
    </xf>
    <xf numFmtId="0" fontId="2" fillId="0" borderId="0" xfId="0" applyFont="1" applyBorder="1" applyAlignment="1" applyProtection="1">
      <alignment horizontal="right" vertical="center"/>
    </xf>
    <xf numFmtId="166" fontId="3" fillId="17" borderId="45" xfId="3" applyNumberFormat="1" applyFont="1" applyFill="1" applyBorder="1" applyAlignment="1">
      <alignment vertical="center"/>
    </xf>
    <xf numFmtId="0" fontId="3" fillId="17" borderId="61" xfId="3" applyFont="1" applyFill="1" applyBorder="1" applyAlignment="1">
      <alignment horizontal="right" vertical="center" wrapText="1"/>
    </xf>
    <xf numFmtId="0" fontId="2" fillId="0" borderId="0" xfId="0" applyFont="1" applyAlignment="1" applyProtection="1">
      <alignment horizontal="left" vertical="center"/>
    </xf>
    <xf numFmtId="0" fontId="19" fillId="0" borderId="29" xfId="0" applyFont="1" applyBorder="1"/>
    <xf numFmtId="0" fontId="19" fillId="0" borderId="65" xfId="0" applyFont="1" applyBorder="1" applyAlignment="1">
      <alignment wrapText="1"/>
    </xf>
    <xf numFmtId="0" fontId="11" fillId="2" borderId="30" xfId="3" applyFont="1" applyFill="1" applyBorder="1" applyAlignment="1">
      <alignment horizontal="left" vertical="center" wrapText="1"/>
    </xf>
    <xf numFmtId="0" fontId="2" fillId="0" borderId="10" xfId="0" applyFont="1" applyBorder="1" applyAlignment="1">
      <alignment wrapText="1"/>
    </xf>
    <xf numFmtId="0" fontId="5" fillId="0" borderId="0" xfId="0" applyFont="1" applyAlignment="1" applyProtection="1">
      <alignment horizontal="left" vertical="center"/>
    </xf>
    <xf numFmtId="0" fontId="5" fillId="0" borderId="0" xfId="0" applyFont="1" applyAlignment="1" applyProtection="1">
      <alignment horizontal="right" vertical="center"/>
    </xf>
    <xf numFmtId="0" fontId="35" fillId="2" borderId="10" xfId="0" applyFont="1" applyFill="1" applyBorder="1"/>
    <xf numFmtId="0" fontId="5" fillId="0" borderId="0" xfId="0" applyFont="1" applyFill="1" applyBorder="1" applyAlignment="1" applyProtection="1">
      <alignment vertical="center"/>
      <protection locked="0"/>
    </xf>
    <xf numFmtId="0" fontId="4" fillId="0" borderId="0" xfId="0" applyFont="1" applyAlignment="1" applyProtection="1">
      <alignment horizontal="center" vertical="center"/>
    </xf>
    <xf numFmtId="0" fontId="4" fillId="0" borderId="0" xfId="0" applyFont="1" applyProtection="1"/>
    <xf numFmtId="164" fontId="4" fillId="0" borderId="0" xfId="0" applyNumberFormat="1" applyFont="1" applyAlignment="1" applyProtection="1">
      <alignment horizontal="center"/>
    </xf>
    <xf numFmtId="0" fontId="5" fillId="0" borderId="0" xfId="0" applyFont="1" applyAlignment="1" applyProtection="1">
      <alignment horizontal="center" vertical="center"/>
    </xf>
    <xf numFmtId="0" fontId="4" fillId="0" borderId="0" xfId="0" applyFont="1" applyAlignment="1" applyProtection="1">
      <alignment horizontal="center"/>
    </xf>
    <xf numFmtId="0" fontId="2" fillId="0" borderId="16" xfId="0" applyFont="1" applyBorder="1" applyAlignment="1" applyProtection="1">
      <alignment horizontal="left" wrapText="1"/>
    </xf>
    <xf numFmtId="0" fontId="0" fillId="0" borderId="4" xfId="0" applyFont="1" applyBorder="1" applyAlignment="1" applyProtection="1">
      <alignment horizontal="center" vertical="center"/>
    </xf>
    <xf numFmtId="1" fontId="0" fillId="0" borderId="27" xfId="0" applyNumberFormat="1" applyFont="1" applyBorder="1" applyAlignment="1" applyProtection="1">
      <alignment horizontal="center" vertical="center"/>
    </xf>
    <xf numFmtId="44" fontId="0" fillId="0" borderId="28" xfId="1" applyNumberFormat="1" applyFont="1" applyFill="1" applyBorder="1" applyAlignment="1" applyProtection="1">
      <alignment horizontal="center"/>
    </xf>
    <xf numFmtId="1" fontId="0" fillId="4" borderId="27" xfId="0" applyNumberFormat="1" applyFont="1" applyFill="1" applyBorder="1" applyAlignment="1" applyProtection="1">
      <alignment horizontal="center" vertical="center"/>
    </xf>
    <xf numFmtId="44" fontId="0" fillId="4" borderId="28" xfId="1" applyNumberFormat="1" applyFont="1" applyFill="1" applyBorder="1" applyAlignment="1" applyProtection="1">
      <alignment horizontal="center"/>
    </xf>
    <xf numFmtId="1" fontId="0" fillId="4" borderId="29" xfId="0" applyNumberFormat="1" applyFont="1" applyFill="1" applyBorder="1" applyAlignment="1" applyProtection="1">
      <alignment horizontal="center" vertical="center"/>
    </xf>
    <xf numFmtId="44" fontId="0" fillId="4" borderId="42" xfId="1" applyNumberFormat="1" applyFont="1" applyFill="1" applyBorder="1" applyAlignment="1" applyProtection="1">
      <alignment horizontal="center"/>
    </xf>
    <xf numFmtId="0" fontId="2" fillId="0" borderId="10" xfId="0" applyFont="1" applyFill="1" applyBorder="1" applyAlignment="1" applyProtection="1">
      <alignment horizontal="center" wrapText="1"/>
    </xf>
    <xf numFmtId="166" fontId="21" fillId="2" borderId="10" xfId="4" applyNumberFormat="1" applyFont="1" applyFill="1" applyBorder="1" applyAlignment="1">
      <alignment vertical="center" wrapText="1"/>
    </xf>
    <xf numFmtId="166" fontId="21" fillId="12" borderId="3" xfId="4" applyNumberFormat="1" applyFont="1" applyFill="1" applyBorder="1" applyAlignment="1">
      <alignment vertical="center" wrapText="1"/>
    </xf>
    <xf numFmtId="10" fontId="21" fillId="0" borderId="6" xfId="2" applyNumberFormat="1" applyFont="1" applyFill="1" applyBorder="1" applyAlignment="1">
      <alignment vertical="center" wrapText="1"/>
    </xf>
    <xf numFmtId="166" fontId="21" fillId="12" borderId="66" xfId="4" applyNumberFormat="1" applyFont="1" applyFill="1" applyBorder="1" applyAlignment="1">
      <alignment vertical="center" wrapText="1"/>
    </xf>
    <xf numFmtId="166" fontId="21" fillId="0" borderId="47" xfId="4" applyNumberFormat="1" applyFont="1" applyFill="1" applyBorder="1" applyAlignment="1">
      <alignment vertical="center" wrapText="1"/>
    </xf>
    <xf numFmtId="10" fontId="21" fillId="0" borderId="48" xfId="2" applyNumberFormat="1" applyFont="1" applyFill="1" applyBorder="1" applyAlignment="1">
      <alignment vertical="center" wrapText="1"/>
    </xf>
    <xf numFmtId="166" fontId="21" fillId="0" borderId="30" xfId="4" applyNumberFormat="1" applyFont="1" applyFill="1" applyBorder="1" applyAlignment="1">
      <alignment vertical="center" wrapText="1"/>
    </xf>
    <xf numFmtId="10" fontId="21" fillId="0" borderId="31" xfId="2" applyNumberFormat="1" applyFont="1" applyFill="1" applyBorder="1" applyAlignment="1">
      <alignment vertical="center" wrapText="1"/>
    </xf>
    <xf numFmtId="166" fontId="3" fillId="0" borderId="0" xfId="3" applyNumberFormat="1" applyFont="1" applyAlignment="1">
      <alignment vertical="center"/>
    </xf>
    <xf numFmtId="170" fontId="21" fillId="0" borderId="9" xfId="5" applyNumberFormat="1" applyFont="1" applyFill="1" applyBorder="1" applyAlignment="1">
      <alignment vertical="center" wrapText="1"/>
    </xf>
    <xf numFmtId="170" fontId="21" fillId="0" borderId="10" xfId="2" applyNumberFormat="1" applyFont="1" applyFill="1" applyBorder="1" applyAlignment="1">
      <alignment vertical="center" wrapText="1"/>
    </xf>
    <xf numFmtId="170" fontId="21" fillId="0" borderId="9" xfId="1" applyNumberFormat="1" applyFont="1" applyFill="1" applyBorder="1" applyAlignment="1">
      <alignment vertical="center" wrapText="1"/>
    </xf>
    <xf numFmtId="170" fontId="21" fillId="0" borderId="10" xfId="1" applyNumberFormat="1" applyFont="1" applyFill="1" applyBorder="1" applyAlignment="1">
      <alignment vertical="center" wrapText="1"/>
    </xf>
    <xf numFmtId="2" fontId="25" fillId="0" borderId="0" xfId="3" applyNumberFormat="1" applyFont="1" applyAlignment="1">
      <alignment vertical="center"/>
    </xf>
    <xf numFmtId="166" fontId="36" fillId="0" borderId="0" xfId="4" applyNumberFormat="1" applyFont="1" applyFill="1" applyAlignment="1">
      <alignment vertical="center" wrapText="1"/>
    </xf>
    <xf numFmtId="166" fontId="36" fillId="0" borderId="0" xfId="4" applyNumberFormat="1" applyFont="1" applyAlignment="1">
      <alignment vertical="center" wrapText="1"/>
    </xf>
    <xf numFmtId="2" fontId="25" fillId="0" borderId="0" xfId="3" applyNumberFormat="1" applyFont="1" applyFill="1" applyAlignment="1">
      <alignment vertical="center"/>
    </xf>
    <xf numFmtId="166" fontId="3" fillId="0" borderId="67" xfId="3" applyNumberFormat="1" applyFont="1" applyBorder="1" applyAlignment="1">
      <alignment vertical="center"/>
    </xf>
    <xf numFmtId="0" fontId="3" fillId="0" borderId="14" xfId="3" applyFont="1" applyBorder="1" applyAlignment="1">
      <alignment horizontal="center" vertical="center"/>
    </xf>
    <xf numFmtId="0" fontId="5" fillId="0" borderId="0" xfId="3" applyFont="1" applyFill="1" applyAlignment="1">
      <alignment horizontal="right" vertical="center" wrapText="1"/>
    </xf>
    <xf numFmtId="166" fontId="5" fillId="0" borderId="0" xfId="3" applyNumberFormat="1" applyFont="1" applyFill="1" applyBorder="1" applyAlignment="1">
      <alignment horizontal="center" vertical="center"/>
    </xf>
    <xf numFmtId="0" fontId="2" fillId="2" borderId="14" xfId="0" applyFont="1" applyFill="1" applyBorder="1" applyAlignment="1" applyProtection="1">
      <alignment vertical="center"/>
      <protection locked="0"/>
    </xf>
    <xf numFmtId="0" fontId="20" fillId="0" borderId="35" xfId="3" quotePrefix="1" applyFont="1" applyBorder="1" applyAlignment="1">
      <alignment horizontal="center" vertical="center"/>
    </xf>
    <xf numFmtId="0" fontId="26" fillId="0" borderId="36" xfId="3" applyFont="1" applyBorder="1" applyAlignment="1">
      <alignment horizontal="left" wrapText="1"/>
    </xf>
    <xf numFmtId="0" fontId="26" fillId="0" borderId="21" xfId="3" applyFont="1" applyBorder="1" applyAlignment="1">
      <alignment horizontal="left" wrapText="1"/>
    </xf>
    <xf numFmtId="0" fontId="26" fillId="0" borderId="46" xfId="3" applyFont="1" applyBorder="1" applyAlignment="1">
      <alignment horizontal="left" wrapText="1"/>
    </xf>
    <xf numFmtId="0" fontId="26" fillId="0" borderId="44" xfId="3" applyFont="1" applyBorder="1" applyAlignment="1">
      <alignment horizontal="left" wrapText="1"/>
    </xf>
    <xf numFmtId="0" fontId="13" fillId="0" borderId="27" xfId="3" applyFont="1" applyBorder="1" applyAlignment="1">
      <alignment horizontal="left" wrapText="1"/>
    </xf>
    <xf numFmtId="166" fontId="21" fillId="0" borderId="68" xfId="4" applyNumberFormat="1" applyFont="1" applyBorder="1" applyAlignment="1">
      <alignment vertical="center" wrapText="1"/>
    </xf>
    <xf numFmtId="166" fontId="23" fillId="0" borderId="32" xfId="4" applyNumberFormat="1" applyFont="1" applyBorder="1" applyAlignment="1">
      <alignment vertical="center" wrapText="1"/>
    </xf>
    <xf numFmtId="166" fontId="23" fillId="4" borderId="50" xfId="4" applyNumberFormat="1" applyFont="1" applyFill="1" applyBorder="1" applyAlignment="1">
      <alignment vertical="center" wrapText="1"/>
    </xf>
    <xf numFmtId="166" fontId="21" fillId="12" borderId="28" xfId="4" applyNumberFormat="1" applyFont="1" applyFill="1" applyBorder="1" applyAlignment="1">
      <alignment vertical="center" wrapText="1"/>
    </xf>
    <xf numFmtId="0" fontId="2" fillId="0" borderId="0" xfId="0" applyFont="1" applyFill="1" applyBorder="1" applyAlignment="1" applyProtection="1">
      <alignment horizontal="center" vertical="center"/>
    </xf>
    <xf numFmtId="167" fontId="0" fillId="0" borderId="0" xfId="0" applyNumberFormat="1" applyFill="1" applyBorder="1" applyAlignment="1" applyProtection="1">
      <alignment horizontal="center"/>
    </xf>
    <xf numFmtId="0" fontId="0" fillId="0" borderId="0" xfId="0" applyFill="1" applyBorder="1" applyAlignment="1" applyProtection="1">
      <alignment horizontal="center"/>
    </xf>
    <xf numFmtId="0" fontId="0" fillId="0" borderId="0" xfId="0" applyFill="1" applyBorder="1" applyAlignment="1" applyProtection="1">
      <alignment horizontal="center" vertical="center"/>
    </xf>
    <xf numFmtId="168" fontId="0" fillId="0" borderId="0" xfId="0" applyNumberFormat="1" applyFill="1" applyBorder="1" applyProtection="1"/>
    <xf numFmtId="165" fontId="0" fillId="0" borderId="0" xfId="0" applyNumberFormat="1" applyFill="1" applyBorder="1" applyProtection="1"/>
    <xf numFmtId="44" fontId="9" fillId="0" borderId="0" xfId="0" applyNumberFormat="1" applyFont="1" applyFill="1" applyBorder="1" applyAlignment="1" applyProtection="1">
      <alignment horizontal="center" vertical="center"/>
    </xf>
    <xf numFmtId="0" fontId="9" fillId="0" borderId="0" xfId="0" applyFont="1" applyFill="1" applyBorder="1" applyAlignment="1" applyProtection="1">
      <alignment horizontal="center" vertical="center" wrapText="1"/>
    </xf>
    <xf numFmtId="0" fontId="0" fillId="0" borderId="0" xfId="0" applyBorder="1"/>
    <xf numFmtId="0" fontId="2" fillId="12" borderId="14" xfId="0" applyFont="1" applyFill="1" applyBorder="1" applyAlignment="1" applyProtection="1">
      <alignment vertical="center"/>
      <protection locked="0"/>
    </xf>
    <xf numFmtId="0" fontId="2" fillId="0" borderId="14" xfId="0" applyFont="1" applyBorder="1"/>
    <xf numFmtId="0" fontId="2" fillId="0" borderId="14" xfId="0" applyFont="1" applyFill="1" applyBorder="1" applyAlignment="1" applyProtection="1">
      <alignment vertical="center"/>
      <protection locked="0"/>
    </xf>
    <xf numFmtId="0" fontId="2" fillId="0" borderId="0" xfId="0" applyFont="1" applyFill="1" applyBorder="1" applyAlignment="1" applyProtection="1">
      <alignment horizontal="right" vertical="center"/>
      <protection locked="0"/>
    </xf>
    <xf numFmtId="0" fontId="2" fillId="0" borderId="0" xfId="0" applyFont="1" applyAlignment="1">
      <alignment horizontal="right"/>
    </xf>
    <xf numFmtId="0" fontId="3" fillId="0" borderId="0" xfId="3" applyFont="1" applyBorder="1" applyAlignment="1">
      <alignment vertical="center"/>
    </xf>
    <xf numFmtId="0" fontId="2" fillId="0" borderId="14" xfId="0" applyNumberFormat="1" applyFont="1" applyFill="1" applyBorder="1" applyAlignment="1" applyProtection="1">
      <alignment horizontal="left" vertical="center"/>
      <protection locked="0"/>
    </xf>
    <xf numFmtId="0" fontId="3" fillId="0" borderId="0" xfId="3" applyFont="1" applyAlignment="1">
      <alignment horizontal="right" vertical="center" wrapText="1"/>
    </xf>
    <xf numFmtId="0" fontId="3" fillId="0" borderId="14" xfId="3" applyFont="1" applyBorder="1" applyAlignment="1">
      <alignment vertical="center"/>
    </xf>
    <xf numFmtId="0" fontId="3" fillId="0" borderId="0" xfId="0" applyFont="1" applyBorder="1" applyAlignment="1" applyProtection="1">
      <alignment horizontal="right" vertical="center"/>
    </xf>
    <xf numFmtId="0" fontId="2" fillId="0" borderId="14" xfId="0" applyFont="1" applyBorder="1" applyAlignment="1" applyProtection="1">
      <alignment horizontal="left"/>
    </xf>
    <xf numFmtId="0" fontId="37" fillId="0" borderId="0" xfId="0" applyFont="1" applyBorder="1" applyAlignment="1" applyProtection="1">
      <alignment vertical="center"/>
    </xf>
    <xf numFmtId="0" fontId="2" fillId="12" borderId="14" xfId="0" applyNumberFormat="1" applyFont="1" applyFill="1" applyBorder="1" applyAlignment="1" applyProtection="1">
      <alignment horizontal="left" vertical="center"/>
    </xf>
    <xf numFmtId="44" fontId="0" fillId="0" borderId="10" xfId="1" applyNumberFormat="1" applyFont="1" applyFill="1" applyBorder="1" applyAlignment="1" applyProtection="1">
      <alignment horizontal="center"/>
    </xf>
    <xf numFmtId="44" fontId="0" fillId="4" borderId="10" xfId="1" applyNumberFormat="1" applyFont="1" applyFill="1" applyBorder="1" applyAlignment="1" applyProtection="1">
      <alignment horizontal="center"/>
    </xf>
    <xf numFmtId="44" fontId="0" fillId="4" borderId="3" xfId="1" applyNumberFormat="1" applyFont="1" applyFill="1" applyBorder="1" applyAlignment="1" applyProtection="1">
      <alignment horizontal="center"/>
    </xf>
    <xf numFmtId="0" fontId="7" fillId="0" borderId="0" xfId="0" applyFont="1" applyProtection="1"/>
    <xf numFmtId="0" fontId="6" fillId="0" borderId="0" xfId="0" applyFont="1" applyProtection="1"/>
    <xf numFmtId="0" fontId="8" fillId="0" borderId="0" xfId="0" applyFont="1" applyProtection="1"/>
    <xf numFmtId="0" fontId="16" fillId="0" borderId="0" xfId="0" applyFont="1" applyProtection="1"/>
    <xf numFmtId="0" fontId="8" fillId="0" borderId="0" xfId="0" applyFont="1" applyFill="1" applyBorder="1" applyAlignment="1" applyProtection="1">
      <alignment horizontal="left"/>
    </xf>
    <xf numFmtId="0" fontId="6" fillId="0" borderId="0" xfId="0" applyFont="1" applyFill="1" applyBorder="1" applyAlignment="1" applyProtection="1">
      <alignment horizontal="left"/>
    </xf>
    <xf numFmtId="0" fontId="6" fillId="0" borderId="0" xfId="0" applyFont="1" applyFill="1" applyProtection="1"/>
    <xf numFmtId="0" fontId="2" fillId="0" borderId="0" xfId="0" applyFont="1" applyAlignment="1">
      <alignment vertical="center" wrapText="1"/>
    </xf>
    <xf numFmtId="0" fontId="2" fillId="0" borderId="16" xfId="0" applyFont="1" applyBorder="1" applyAlignment="1">
      <alignment horizontal="center" wrapText="1"/>
    </xf>
    <xf numFmtId="0" fontId="2" fillId="0" borderId="17" xfId="0" applyFont="1" applyBorder="1" applyAlignment="1">
      <alignment horizontal="center" wrapText="1"/>
    </xf>
    <xf numFmtId="0" fontId="2" fillId="0" borderId="4" xfId="0" applyFont="1" applyBorder="1" applyAlignment="1">
      <alignment horizontal="left" wrapText="1"/>
    </xf>
    <xf numFmtId="49" fontId="2" fillId="0" borderId="10" xfId="0" applyNumberFormat="1" applyFont="1" applyBorder="1" applyAlignment="1">
      <alignment horizontal="right" wrapText="1"/>
    </xf>
    <xf numFmtId="0" fontId="2" fillId="0" borderId="5" xfId="0" applyFont="1" applyBorder="1" applyAlignment="1">
      <alignment horizontal="left" wrapText="1"/>
    </xf>
    <xf numFmtId="0" fontId="5" fillId="0" borderId="10" xfId="0" applyFont="1" applyBorder="1" applyAlignment="1">
      <alignment horizontal="right" vertical="center" wrapText="1"/>
    </xf>
    <xf numFmtId="0" fontId="4" fillId="0" borderId="10" xfId="0" applyFont="1" applyBorder="1" applyAlignment="1">
      <alignment horizontal="center" vertical="center" wrapText="1"/>
    </xf>
    <xf numFmtId="0" fontId="17" fillId="0" borderId="20" xfId="0" applyFont="1" applyBorder="1"/>
    <xf numFmtId="49" fontId="2" fillId="0" borderId="5" xfId="0" applyNumberFormat="1" applyFont="1" applyBorder="1" applyAlignment="1">
      <alignment horizontal="center" wrapText="1"/>
    </xf>
    <xf numFmtId="0" fontId="2" fillId="0" borderId="10" xfId="0" applyFont="1" applyBorder="1" applyAlignment="1">
      <alignment horizontal="right" wrapText="1"/>
    </xf>
    <xf numFmtId="49" fontId="5" fillId="0" borderId="40" xfId="0" quotePrefix="1" applyNumberFormat="1" applyFont="1" applyBorder="1" applyAlignment="1">
      <alignment horizontal="center" vertical="center"/>
    </xf>
    <xf numFmtId="0" fontId="5" fillId="0" borderId="11" xfId="0" applyFont="1" applyBorder="1" applyAlignment="1">
      <alignment horizontal="right" vertical="center" wrapText="1"/>
    </xf>
    <xf numFmtId="0" fontId="4" fillId="0" borderId="11" xfId="0" applyFont="1" applyBorder="1" applyAlignment="1">
      <alignment horizontal="center" vertical="center" wrapText="1"/>
    </xf>
    <xf numFmtId="49" fontId="5" fillId="0" borderId="8" xfId="0" quotePrefix="1" applyNumberFormat="1" applyFont="1" applyBorder="1" applyAlignment="1">
      <alignment horizontal="center" vertical="center"/>
    </xf>
    <xf numFmtId="2" fontId="5" fillId="0" borderId="10" xfId="0" applyNumberFormat="1" applyFont="1" applyBorder="1" applyAlignment="1">
      <alignment horizontal="right" wrapText="1"/>
    </xf>
    <xf numFmtId="0" fontId="17" fillId="0" borderId="63" xfId="0" applyFont="1" applyBorder="1"/>
    <xf numFmtId="0" fontId="17" fillId="0" borderId="10" xfId="0" applyFont="1" applyBorder="1" applyAlignment="1">
      <alignment horizontal="right"/>
    </xf>
    <xf numFmtId="49" fontId="5" fillId="0" borderId="0" xfId="0" quotePrefix="1" applyNumberFormat="1" applyFont="1" applyAlignment="1">
      <alignment horizontal="center" vertical="center"/>
    </xf>
    <xf numFmtId="49" fontId="5" fillId="0" borderId="10" xfId="0" applyNumberFormat="1" applyFont="1" applyBorder="1" applyAlignment="1">
      <alignment horizontal="right" wrapText="1"/>
    </xf>
    <xf numFmtId="0" fontId="5" fillId="0" borderId="10" xfId="0" applyFont="1" applyBorder="1" applyAlignment="1">
      <alignment horizontal="right" wrapText="1"/>
    </xf>
    <xf numFmtId="0" fontId="17" fillId="0" borderId="64" xfId="0" applyFont="1" applyBorder="1"/>
    <xf numFmtId="0" fontId="5" fillId="0" borderId="0" xfId="0" applyFont="1" applyAlignment="1">
      <alignment horizontal="right" vertical="center" wrapText="1"/>
    </xf>
    <xf numFmtId="0" fontId="4" fillId="0" borderId="0" xfId="0" applyFont="1" applyAlignment="1">
      <alignment horizontal="center" vertical="center" wrapText="1"/>
    </xf>
    <xf numFmtId="0" fontId="2" fillId="5" borderId="14" xfId="0" applyFont="1" applyFill="1" applyBorder="1" applyAlignment="1">
      <alignment horizontal="center" vertical="center" wrapText="1"/>
    </xf>
    <xf numFmtId="0" fontId="2" fillId="0" borderId="0" xfId="0" applyFont="1" applyAlignment="1">
      <alignment horizontal="center" vertical="center" wrapText="1"/>
    </xf>
    <xf numFmtId="0" fontId="2" fillId="0" borderId="26" xfId="0" applyFont="1" applyBorder="1" applyAlignment="1">
      <alignment horizontal="center" wrapText="1"/>
    </xf>
    <xf numFmtId="0" fontId="2" fillId="0" borderId="0" xfId="0" applyFont="1" applyAlignment="1">
      <alignment horizontal="left" wrapText="1"/>
    </xf>
    <xf numFmtId="0" fontId="3" fillId="9" borderId="14" xfId="0" applyFont="1" applyFill="1" applyBorder="1" applyAlignment="1">
      <alignment horizontal="center" vertical="center" wrapText="1"/>
    </xf>
    <xf numFmtId="0" fontId="2" fillId="12" borderId="0" xfId="0" applyFont="1" applyFill="1" applyBorder="1"/>
    <xf numFmtId="44" fontId="5" fillId="3" borderId="14" xfId="0" applyNumberFormat="1" applyFont="1" applyFill="1" applyBorder="1" applyAlignment="1">
      <alignment horizontal="center" vertical="center" wrapText="1"/>
    </xf>
    <xf numFmtId="0" fontId="0" fillId="0" borderId="0" xfId="0" applyAlignment="1">
      <alignment horizontal="center" vertical="center" wrapText="1"/>
    </xf>
    <xf numFmtId="0" fontId="5" fillId="0" borderId="0" xfId="0" applyFont="1" applyAlignment="1">
      <alignment vertical="center" wrapText="1"/>
    </xf>
    <xf numFmtId="44" fontId="2" fillId="9" borderId="14" xfId="0" applyNumberFormat="1" applyFont="1" applyFill="1" applyBorder="1" applyAlignment="1">
      <alignment horizontal="center" vertical="center"/>
    </xf>
    <xf numFmtId="0" fontId="2" fillId="9" borderId="14" xfId="0" applyFont="1" applyFill="1" applyBorder="1" applyAlignment="1">
      <alignment horizontal="center" wrapText="1"/>
    </xf>
    <xf numFmtId="0" fontId="0" fillId="0" borderId="0" xfId="0" applyAlignment="1">
      <alignment horizontal="center" vertical="center"/>
    </xf>
    <xf numFmtId="164" fontId="4" fillId="0" borderId="0" xfId="0" applyNumberFormat="1" applyFont="1" applyAlignment="1">
      <alignment horizontal="center"/>
    </xf>
    <xf numFmtId="164" fontId="0" fillId="0" borderId="0" xfId="0" applyNumberFormat="1" applyAlignment="1">
      <alignment horizontal="center"/>
    </xf>
    <xf numFmtId="44" fontId="10" fillId="0" borderId="0" xfId="0" applyNumberFormat="1" applyFont="1"/>
    <xf numFmtId="165" fontId="10" fillId="0" borderId="0" xfId="0" applyNumberFormat="1" applyFont="1"/>
    <xf numFmtId="0" fontId="2" fillId="0" borderId="11" xfId="0" applyFont="1" applyBorder="1" applyAlignment="1">
      <alignment wrapText="1"/>
    </xf>
    <xf numFmtId="44" fontId="5" fillId="0" borderId="61" xfId="0" applyNumberFormat="1" applyFont="1" applyBorder="1" applyAlignment="1">
      <alignment horizontal="center"/>
    </xf>
    <xf numFmtId="44" fontId="5" fillId="0" borderId="43" xfId="0" applyNumberFormat="1" applyFont="1" applyBorder="1" applyAlignment="1">
      <alignment horizontal="center"/>
    </xf>
    <xf numFmtId="44" fontId="5" fillId="0" borderId="45" xfId="0" applyNumberFormat="1" applyFont="1" applyBorder="1" applyAlignment="1">
      <alignment horizontal="center"/>
    </xf>
    <xf numFmtId="44" fontId="4" fillId="0" borderId="45" xfId="0" applyNumberFormat="1" applyFont="1" applyBorder="1" applyAlignment="1">
      <alignment horizontal="center"/>
    </xf>
    <xf numFmtId="44" fontId="5" fillId="0" borderId="0" xfId="0" applyNumberFormat="1" applyFont="1" applyAlignment="1">
      <alignment horizontal="center"/>
    </xf>
    <xf numFmtId="49" fontId="5" fillId="0" borderId="0" xfId="0" quotePrefix="1" applyNumberFormat="1" applyFont="1" applyBorder="1" applyAlignment="1">
      <alignment horizontal="center" vertical="center"/>
    </xf>
    <xf numFmtId="44" fontId="4" fillId="2" borderId="28" xfId="1" applyFont="1" applyFill="1" applyBorder="1" applyAlignment="1" applyProtection="1">
      <alignment horizontal="center"/>
    </xf>
    <xf numFmtId="49" fontId="2" fillId="0" borderId="0" xfId="0" applyNumberFormat="1" applyFont="1" applyAlignment="1">
      <alignment horizontal="center" wrapText="1"/>
    </xf>
    <xf numFmtId="44" fontId="4" fillId="0" borderId="10" xfId="1" applyFont="1" applyFill="1" applyBorder="1" applyAlignment="1" applyProtection="1">
      <alignment horizontal="center"/>
    </xf>
    <xf numFmtId="44" fontId="4" fillId="0" borderId="0" xfId="1" applyFont="1" applyFill="1" applyBorder="1" applyAlignment="1" applyProtection="1">
      <alignment horizontal="center"/>
    </xf>
    <xf numFmtId="0" fontId="6" fillId="16" borderId="1" xfId="0" applyFont="1" applyFill="1" applyBorder="1" applyAlignment="1" applyProtection="1">
      <alignment horizontal="left"/>
    </xf>
    <xf numFmtId="0" fontId="6" fillId="16" borderId="2" xfId="0" applyFont="1" applyFill="1" applyBorder="1" applyAlignment="1" applyProtection="1">
      <alignment horizontal="left"/>
    </xf>
    <xf numFmtId="0" fontId="6" fillId="16" borderId="13" xfId="0" applyFont="1" applyFill="1" applyBorder="1" applyAlignment="1" applyProtection="1">
      <alignment horizontal="left"/>
    </xf>
    <xf numFmtId="0" fontId="8" fillId="0" borderId="0" xfId="0" applyFont="1" applyAlignment="1" applyProtection="1">
      <alignment horizontal="center"/>
    </xf>
    <xf numFmtId="0" fontId="5" fillId="8" borderId="1" xfId="0" applyFont="1" applyFill="1" applyBorder="1" applyAlignment="1" applyProtection="1">
      <alignment horizontal="center" vertical="center" wrapText="1"/>
    </xf>
    <xf numFmtId="0" fontId="5" fillId="8" borderId="2" xfId="0" applyFont="1" applyFill="1" applyBorder="1" applyAlignment="1" applyProtection="1">
      <alignment horizontal="center" vertical="center" wrapText="1"/>
    </xf>
    <xf numFmtId="0" fontId="5" fillId="8" borderId="13" xfId="0" applyFont="1" applyFill="1" applyBorder="1" applyAlignment="1" applyProtection="1">
      <alignment horizontal="center" vertical="center" wrapText="1"/>
    </xf>
    <xf numFmtId="0" fontId="12" fillId="6" borderId="1" xfId="0" applyFont="1" applyFill="1" applyBorder="1" applyAlignment="1" applyProtection="1">
      <alignment horizontal="center" wrapText="1"/>
    </xf>
    <xf numFmtId="0" fontId="12" fillId="6" borderId="2" xfId="0" applyFont="1" applyFill="1" applyBorder="1" applyAlignment="1" applyProtection="1">
      <alignment horizontal="center" wrapText="1"/>
    </xf>
    <xf numFmtId="0" fontId="12" fillId="6" borderId="13" xfId="0" applyFont="1" applyFill="1" applyBorder="1" applyAlignment="1" applyProtection="1">
      <alignment horizontal="center" wrapText="1"/>
    </xf>
    <xf numFmtId="0" fontId="2" fillId="5" borderId="33" xfId="0" applyFont="1" applyFill="1" applyBorder="1" applyAlignment="1" applyProtection="1">
      <alignment horizontal="center" vertical="center" wrapText="1"/>
    </xf>
    <xf numFmtId="0" fontId="2" fillId="5" borderId="34" xfId="0" applyFont="1" applyFill="1" applyBorder="1" applyAlignment="1" applyProtection="1">
      <alignment horizontal="center" vertical="center" wrapText="1"/>
    </xf>
    <xf numFmtId="0" fontId="2" fillId="5" borderId="35" xfId="0" applyFont="1" applyFill="1" applyBorder="1" applyAlignment="1" applyProtection="1">
      <alignment horizontal="center" vertical="center" wrapText="1"/>
    </xf>
    <xf numFmtId="0" fontId="0" fillId="0" borderId="0" xfId="0" applyBorder="1" applyAlignment="1" applyProtection="1">
      <alignment horizontal="left" vertical="center"/>
    </xf>
    <xf numFmtId="0" fontId="3" fillId="4" borderId="33" xfId="3" applyFont="1" applyFill="1" applyBorder="1" applyAlignment="1">
      <alignment horizontal="center" vertical="center" wrapText="1"/>
    </xf>
    <xf numFmtId="0" fontId="3" fillId="4" borderId="23" xfId="3" applyFont="1" applyFill="1" applyBorder="1" applyAlignment="1">
      <alignment horizontal="center" vertical="center" wrapText="1"/>
    </xf>
    <xf numFmtId="166" fontId="3" fillId="9" borderId="1" xfId="3" applyNumberFormat="1" applyFont="1" applyFill="1" applyBorder="1" applyAlignment="1">
      <alignment horizontal="center" vertical="center"/>
    </xf>
    <xf numFmtId="166" fontId="3" fillId="9" borderId="2" xfId="3" applyNumberFormat="1" applyFont="1" applyFill="1" applyBorder="1" applyAlignment="1">
      <alignment horizontal="center" vertical="center"/>
    </xf>
    <xf numFmtId="166" fontId="3" fillId="9" borderId="13" xfId="3" applyNumberFormat="1" applyFont="1" applyFill="1" applyBorder="1" applyAlignment="1">
      <alignment horizontal="center" vertical="center"/>
    </xf>
    <xf numFmtId="0" fontId="2" fillId="9" borderId="1" xfId="0" applyFont="1" applyFill="1" applyBorder="1" applyAlignment="1">
      <alignment horizontal="center"/>
    </xf>
    <xf numFmtId="0" fontId="2" fillId="9" borderId="2" xfId="0" applyFont="1" applyFill="1" applyBorder="1" applyAlignment="1">
      <alignment horizontal="center"/>
    </xf>
    <xf numFmtId="0" fontId="2" fillId="9" borderId="13" xfId="0" applyFont="1" applyFill="1" applyBorder="1" applyAlignment="1">
      <alignment horizontal="center"/>
    </xf>
    <xf numFmtId="0" fontId="35" fillId="2" borderId="8" xfId="0" applyFont="1" applyFill="1" applyBorder="1" applyAlignment="1">
      <alignment horizontal="center"/>
    </xf>
    <xf numFmtId="0" fontId="35" fillId="2" borderId="40" xfId="0" applyFont="1" applyFill="1" applyBorder="1" applyAlignment="1">
      <alignment horizontal="center"/>
    </xf>
    <xf numFmtId="0" fontId="35" fillId="2" borderId="9" xfId="0" applyFont="1" applyFill="1" applyBorder="1" applyAlignment="1">
      <alignment horizontal="center"/>
    </xf>
    <xf numFmtId="0" fontId="20" fillId="5" borderId="1" xfId="3" quotePrefix="1" applyFont="1" applyFill="1" applyBorder="1" applyAlignment="1">
      <alignment horizontal="center" vertical="center" wrapText="1"/>
    </xf>
    <xf numFmtId="0" fontId="20" fillId="5" borderId="2" xfId="3" quotePrefix="1" applyFont="1" applyFill="1" applyBorder="1" applyAlignment="1">
      <alignment horizontal="center" vertical="center" wrapText="1"/>
    </xf>
    <xf numFmtId="0" fontId="20" fillId="5" borderId="13" xfId="3" quotePrefix="1" applyFont="1" applyFill="1" applyBorder="1" applyAlignment="1">
      <alignment horizontal="center" vertical="center" wrapText="1"/>
    </xf>
    <xf numFmtId="166" fontId="3" fillId="3" borderId="1" xfId="3" applyNumberFormat="1" applyFont="1" applyFill="1" applyBorder="1" applyAlignment="1">
      <alignment horizontal="center" vertical="center"/>
    </xf>
    <xf numFmtId="166" fontId="3" fillId="3" borderId="2" xfId="3" applyNumberFormat="1" applyFont="1" applyFill="1" applyBorder="1" applyAlignment="1">
      <alignment horizontal="center" vertical="center"/>
    </xf>
    <xf numFmtId="166" fontId="3" fillId="3" borderId="13" xfId="3" applyNumberFormat="1" applyFont="1" applyFill="1" applyBorder="1" applyAlignment="1">
      <alignment horizontal="center" vertical="center"/>
    </xf>
    <xf numFmtId="0" fontId="5" fillId="9" borderId="33" xfId="0" applyFont="1" applyFill="1" applyBorder="1" applyAlignment="1">
      <alignment horizontal="center" vertical="center"/>
    </xf>
    <xf numFmtId="0" fontId="5" fillId="9" borderId="35" xfId="0" applyFont="1" applyFill="1" applyBorder="1" applyAlignment="1">
      <alignment horizontal="center" vertical="center"/>
    </xf>
    <xf numFmtId="0" fontId="5" fillId="9" borderId="23" xfId="0" applyFont="1" applyFill="1" applyBorder="1" applyAlignment="1">
      <alignment horizontal="center" vertical="center"/>
    </xf>
    <xf numFmtId="0" fontId="5" fillId="9" borderId="24" xfId="0" applyFont="1" applyFill="1" applyBorder="1" applyAlignment="1">
      <alignment horizontal="center" vertical="center"/>
    </xf>
    <xf numFmtId="0" fontId="5" fillId="9" borderId="33" xfId="0" applyFont="1" applyFill="1" applyBorder="1" applyAlignment="1">
      <alignment horizontal="center" vertical="center" wrapText="1"/>
    </xf>
    <xf numFmtId="0" fontId="5" fillId="9" borderId="35" xfId="0" applyFont="1" applyFill="1" applyBorder="1" applyAlignment="1">
      <alignment horizontal="center" vertical="center" wrapText="1"/>
    </xf>
    <xf numFmtId="0" fontId="5" fillId="9" borderId="23" xfId="0" applyFont="1" applyFill="1" applyBorder="1" applyAlignment="1">
      <alignment horizontal="center" vertical="center" wrapText="1"/>
    </xf>
    <xf numFmtId="0" fontId="5" fillId="9" borderId="24" xfId="0" applyFont="1" applyFill="1" applyBorder="1" applyAlignment="1">
      <alignment horizontal="center" vertical="center" wrapText="1"/>
    </xf>
    <xf numFmtId="0" fontId="5" fillId="14" borderId="33" xfId="0" applyFont="1" applyFill="1" applyBorder="1" applyAlignment="1">
      <alignment horizontal="center" vertical="center" wrapText="1"/>
    </xf>
    <xf numFmtId="0" fontId="5" fillId="14" borderId="35" xfId="0" applyFont="1" applyFill="1" applyBorder="1" applyAlignment="1">
      <alignment horizontal="center" vertical="center" wrapText="1"/>
    </xf>
    <xf numFmtId="0" fontId="5" fillId="14" borderId="23" xfId="0" applyFont="1" applyFill="1" applyBorder="1" applyAlignment="1">
      <alignment horizontal="center" vertical="center" wrapText="1"/>
    </xf>
    <xf numFmtId="0" fontId="5" fillId="14" borderId="24" xfId="0" applyFont="1" applyFill="1" applyBorder="1" applyAlignment="1">
      <alignment horizontal="center" vertical="center" wrapText="1"/>
    </xf>
    <xf numFmtId="0" fontId="5" fillId="15" borderId="33" xfId="0" applyFont="1" applyFill="1" applyBorder="1" applyAlignment="1">
      <alignment horizontal="center" vertical="center" wrapText="1"/>
    </xf>
    <xf numFmtId="0" fontId="5" fillId="15" borderId="35" xfId="0" applyFont="1" applyFill="1" applyBorder="1" applyAlignment="1">
      <alignment horizontal="center" vertical="center" wrapText="1"/>
    </xf>
    <xf numFmtId="0" fontId="5" fillId="15" borderId="23" xfId="0" applyFont="1" applyFill="1" applyBorder="1" applyAlignment="1">
      <alignment horizontal="center" vertical="center" wrapText="1"/>
    </xf>
    <xf numFmtId="0" fontId="5" fillId="15" borderId="24" xfId="0" applyFont="1" applyFill="1" applyBorder="1" applyAlignment="1">
      <alignment horizontal="center" vertical="center" wrapText="1"/>
    </xf>
    <xf numFmtId="0" fontId="13" fillId="0" borderId="0" xfId="0" applyFont="1" applyAlignment="1" applyProtection="1">
      <alignment horizontal="left" vertical="top" wrapText="1"/>
    </xf>
    <xf numFmtId="0" fontId="14" fillId="0" borderId="0" xfId="0" applyFont="1" applyAlignment="1" applyProtection="1">
      <alignment horizontal="left" vertical="top" wrapText="1"/>
    </xf>
    <xf numFmtId="0" fontId="5" fillId="8" borderId="1" xfId="0" applyFont="1" applyFill="1" applyBorder="1" applyAlignment="1">
      <alignment horizontal="center" vertical="center" wrapText="1"/>
    </xf>
    <xf numFmtId="0" fontId="5" fillId="8" borderId="2" xfId="0" applyFont="1" applyFill="1" applyBorder="1" applyAlignment="1">
      <alignment horizontal="center" vertical="center" wrapText="1"/>
    </xf>
    <xf numFmtId="0" fontId="5" fillId="8" borderId="13" xfId="0" applyFont="1" applyFill="1" applyBorder="1" applyAlignment="1">
      <alignment horizontal="center" vertical="center" wrapText="1"/>
    </xf>
    <xf numFmtId="0" fontId="2" fillId="5" borderId="1" xfId="0" applyFont="1" applyFill="1" applyBorder="1" applyAlignment="1" applyProtection="1">
      <alignment horizontal="center" vertical="center" wrapText="1"/>
    </xf>
    <xf numFmtId="0" fontId="2" fillId="5" borderId="2" xfId="0" applyFont="1" applyFill="1" applyBorder="1" applyAlignment="1" applyProtection="1">
      <alignment horizontal="center" vertical="center" wrapText="1"/>
    </xf>
    <xf numFmtId="0" fontId="2" fillId="5" borderId="13" xfId="0" applyFont="1" applyFill="1" applyBorder="1" applyAlignment="1" applyProtection="1">
      <alignment horizontal="center" vertical="center" wrapText="1"/>
    </xf>
    <xf numFmtId="166" fontId="3" fillId="13" borderId="1" xfId="3" applyNumberFormat="1" applyFont="1" applyFill="1" applyBorder="1" applyAlignment="1">
      <alignment horizontal="center" vertical="center"/>
    </xf>
    <xf numFmtId="166" fontId="3" fillId="13" borderId="2" xfId="3" applyNumberFormat="1" applyFont="1" applyFill="1" applyBorder="1" applyAlignment="1">
      <alignment horizontal="center" vertical="center"/>
    </xf>
    <xf numFmtId="166" fontId="3" fillId="13" borderId="13" xfId="3" applyNumberFormat="1" applyFont="1" applyFill="1" applyBorder="1" applyAlignment="1">
      <alignment horizontal="center" vertical="center"/>
    </xf>
    <xf numFmtId="0" fontId="20" fillId="5" borderId="1" xfId="3" quotePrefix="1" applyFont="1" applyFill="1" applyBorder="1" applyAlignment="1">
      <alignment horizontal="center" vertical="center"/>
    </xf>
    <xf numFmtId="0" fontId="20" fillId="5" borderId="2" xfId="3" quotePrefix="1" applyFont="1" applyFill="1" applyBorder="1" applyAlignment="1">
      <alignment horizontal="center" vertical="center"/>
    </xf>
    <xf numFmtId="0" fontId="20" fillId="5" borderId="13" xfId="3" quotePrefix="1" applyFont="1" applyFill="1" applyBorder="1" applyAlignment="1">
      <alignment horizontal="center" vertical="center"/>
    </xf>
    <xf numFmtId="0" fontId="3" fillId="3" borderId="33" xfId="3" applyFont="1" applyFill="1" applyBorder="1" applyAlignment="1">
      <alignment horizontal="center" vertical="center" wrapText="1"/>
    </xf>
    <xf numFmtId="0" fontId="3" fillId="3" borderId="23" xfId="3" applyFont="1" applyFill="1" applyBorder="1" applyAlignment="1">
      <alignment horizontal="center" vertical="center" wrapText="1"/>
    </xf>
    <xf numFmtId="0" fontId="3" fillId="13" borderId="21" xfId="3" applyFont="1" applyFill="1" applyBorder="1" applyAlignment="1">
      <alignment horizontal="center" vertical="center" wrapText="1"/>
    </xf>
    <xf numFmtId="0" fontId="3" fillId="13" borderId="51" xfId="3" applyFont="1" applyFill="1" applyBorder="1" applyAlignment="1">
      <alignment horizontal="center" vertical="center" wrapText="1"/>
    </xf>
    <xf numFmtId="166" fontId="21" fillId="0" borderId="8" xfId="4" applyNumberFormat="1" applyFont="1" applyFill="1" applyBorder="1" applyAlignment="1">
      <alignment horizontal="center" vertical="center" wrapText="1"/>
    </xf>
    <xf numFmtId="166" fontId="21" fillId="0" borderId="40" xfId="4" applyNumberFormat="1" applyFont="1" applyFill="1" applyBorder="1" applyAlignment="1">
      <alignment horizontal="center" vertical="center" wrapText="1"/>
    </xf>
    <xf numFmtId="166" fontId="21" fillId="0" borderId="53" xfId="4" applyNumberFormat="1" applyFont="1" applyFill="1" applyBorder="1" applyAlignment="1">
      <alignment horizontal="center" vertical="center" wrapText="1"/>
    </xf>
    <xf numFmtId="166" fontId="21" fillId="0" borderId="41" xfId="4" applyNumberFormat="1" applyFont="1" applyFill="1" applyBorder="1" applyAlignment="1">
      <alignment horizontal="center" vertical="center" wrapText="1"/>
    </xf>
    <xf numFmtId="0" fontId="3" fillId="13" borderId="33" xfId="3" applyFont="1" applyFill="1" applyBorder="1" applyAlignment="1">
      <alignment horizontal="center" vertical="center" wrapText="1"/>
    </xf>
    <xf numFmtId="0" fontId="3" fillId="13" borderId="23" xfId="3" applyFont="1" applyFill="1" applyBorder="1" applyAlignment="1">
      <alignment horizontal="center" vertical="center" wrapText="1"/>
    </xf>
    <xf numFmtId="166" fontId="21" fillId="0" borderId="1" xfId="4" applyNumberFormat="1" applyFont="1" applyFill="1" applyBorder="1" applyAlignment="1">
      <alignment horizontal="center" vertical="center" wrapText="1"/>
    </xf>
    <xf numFmtId="166" fontId="21" fillId="0" borderId="2" xfId="4" applyNumberFormat="1" applyFont="1" applyFill="1" applyBorder="1" applyAlignment="1">
      <alignment horizontal="center" vertical="center" wrapText="1"/>
    </xf>
    <xf numFmtId="166" fontId="21" fillId="0" borderId="13" xfId="4" applyNumberFormat="1" applyFont="1" applyFill="1" applyBorder="1" applyAlignment="1">
      <alignment horizontal="center" vertical="center" wrapText="1"/>
    </xf>
    <xf numFmtId="0" fontId="6" fillId="3" borderId="33" xfId="3" applyFont="1" applyFill="1" applyBorder="1" applyAlignment="1">
      <alignment horizontal="center" vertical="center" wrapText="1"/>
    </xf>
    <xf numFmtId="0" fontId="6" fillId="3" borderId="23" xfId="3" applyFont="1" applyFill="1" applyBorder="1" applyAlignment="1">
      <alignment horizontal="center" vertical="center" wrapText="1"/>
    </xf>
    <xf numFmtId="0" fontId="3" fillId="3" borderId="21" xfId="3" applyFont="1" applyFill="1" applyBorder="1" applyAlignment="1">
      <alignment horizontal="center" vertical="center" wrapText="1"/>
    </xf>
    <xf numFmtId="0" fontId="3" fillId="3" borderId="51" xfId="3" applyFont="1" applyFill="1" applyBorder="1" applyAlignment="1">
      <alignment horizontal="center" vertical="center" wrapText="1"/>
    </xf>
  </cellXfs>
  <cellStyles count="8">
    <cellStyle name="Comma" xfId="7" builtinId="3"/>
    <cellStyle name="Comma 2" xfId="5" xr:uid="{926DB012-571D-4A3A-A36B-A5B3F764A647}"/>
    <cellStyle name="Currency" xfId="1" builtinId="4"/>
    <cellStyle name="Normal" xfId="0" builtinId="0"/>
    <cellStyle name="Normal 2" xfId="3" xr:uid="{8A7BF804-617E-461F-9D93-5F2996C38C14}"/>
    <cellStyle name="Normal 3" xfId="4" xr:uid="{F9B84AC7-CD2D-4A3D-9C9D-8E1648510225}"/>
    <cellStyle name="Normal 4 5" xfId="6" xr:uid="{8AD1B8A3-0997-4A37-A5A8-1E2786EFFF9F}"/>
    <cellStyle name="Percent" xfId="2" builtinId="5"/>
  </cellStyles>
  <dxfs count="0"/>
  <tableStyles count="0" defaultTableStyle="TableStyleMedium2" defaultPivotStyle="PivotStyleLight16"/>
  <colors>
    <mruColors>
      <color rgb="FF66FF99"/>
      <color rgb="FFD5C6E0"/>
      <color rgb="FFA4F8DE"/>
      <color rgb="FFBAA4B7"/>
      <color rgb="FFD886D4"/>
      <color rgb="FFC797B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ustomXml" Target="../customXml/item2.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calcChain" Target="calcChain.xml"/><Relationship Id="rId40"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E4A6AF-74D3-44F3-BEC6-7BF475E6394F}">
  <dimension ref="B1:Q18"/>
  <sheetViews>
    <sheetView zoomScale="130" zoomScaleNormal="130" workbookViewId="0">
      <selection sqref="A1:XFD1048576"/>
    </sheetView>
  </sheetViews>
  <sheetFormatPr defaultColWidth="9.140625" defaultRowHeight="15" x14ac:dyDescent="0.25"/>
  <cols>
    <col min="1" max="1" width="1.5703125" style="404" customWidth="1"/>
    <col min="2" max="2" width="4.28515625" style="404" customWidth="1"/>
    <col min="3" max="17" width="9.140625" style="404"/>
    <col min="18" max="18" width="25.85546875" style="404" customWidth="1"/>
    <col min="19" max="19" width="9.140625" style="404"/>
    <col min="20" max="20" width="25.42578125" style="404" customWidth="1"/>
    <col min="21" max="16384" width="9.140625" style="404"/>
  </cols>
  <sheetData>
    <row r="1" spans="2:17" s="334" customFormat="1" ht="15.75" x14ac:dyDescent="0.25">
      <c r="B1" s="465" t="s">
        <v>0</v>
      </c>
      <c r="C1" s="465"/>
      <c r="D1" s="465"/>
      <c r="E1" s="465"/>
      <c r="F1" s="465"/>
      <c r="G1" s="465"/>
      <c r="H1" s="465"/>
      <c r="I1" s="465"/>
      <c r="J1" s="465"/>
      <c r="K1" s="465"/>
      <c r="L1" s="465"/>
      <c r="M1" s="465"/>
      <c r="N1" s="465"/>
      <c r="O1" s="465"/>
    </row>
    <row r="2" spans="2:17" s="334" customFormat="1" ht="15.75" x14ac:dyDescent="0.25">
      <c r="B2" s="465" t="s">
        <v>190</v>
      </c>
      <c r="C2" s="465"/>
      <c r="D2" s="465"/>
      <c r="E2" s="465"/>
      <c r="F2" s="465"/>
      <c r="G2" s="465"/>
      <c r="H2" s="465"/>
      <c r="I2" s="465"/>
      <c r="J2" s="465"/>
      <c r="K2" s="465"/>
      <c r="L2" s="465"/>
      <c r="M2" s="465"/>
      <c r="N2" s="465"/>
      <c r="O2" s="465"/>
    </row>
    <row r="3" spans="2:17" ht="15.75" x14ac:dyDescent="0.25">
      <c r="B3" s="465" t="s">
        <v>456</v>
      </c>
      <c r="C3" s="465"/>
      <c r="D3" s="465"/>
      <c r="E3" s="465"/>
      <c r="F3" s="465"/>
      <c r="G3" s="465"/>
      <c r="H3" s="465"/>
      <c r="I3" s="465"/>
      <c r="J3" s="465"/>
      <c r="K3" s="465"/>
      <c r="L3" s="465"/>
      <c r="M3" s="465"/>
      <c r="N3" s="465"/>
      <c r="O3" s="465"/>
    </row>
    <row r="4" spans="2:17" s="407" customFormat="1" ht="15.75" x14ac:dyDescent="0.25">
      <c r="B4" s="405" t="s">
        <v>65</v>
      </c>
      <c r="C4" s="406"/>
      <c r="D4" s="406"/>
      <c r="E4" s="406"/>
      <c r="F4" s="406"/>
      <c r="G4" s="406"/>
      <c r="H4" s="406"/>
      <c r="I4" s="406"/>
      <c r="J4" s="406"/>
      <c r="K4" s="406"/>
      <c r="L4" s="406"/>
      <c r="M4" s="406"/>
      <c r="N4" s="406"/>
      <c r="O4" s="406"/>
      <c r="P4" s="406"/>
      <c r="Q4" s="406"/>
    </row>
    <row r="5" spans="2:17" s="406" customFormat="1" ht="15.75" x14ac:dyDescent="0.25">
      <c r="B5" s="406" t="s">
        <v>457</v>
      </c>
    </row>
    <row r="6" spans="2:17" s="406" customFormat="1" ht="15.75" x14ac:dyDescent="0.25">
      <c r="B6" s="406" t="s">
        <v>300</v>
      </c>
    </row>
    <row r="7" spans="2:17" s="406" customFormat="1" ht="15.75" x14ac:dyDescent="0.25">
      <c r="B7" s="406" t="s">
        <v>462</v>
      </c>
    </row>
    <row r="8" spans="2:17" ht="15.75" x14ac:dyDescent="0.25">
      <c r="B8" s="407"/>
    </row>
    <row r="9" spans="2:17" s="334" customFormat="1" ht="15.75" x14ac:dyDescent="0.25">
      <c r="B9" s="405" t="s">
        <v>458</v>
      </c>
      <c r="C9" s="405"/>
      <c r="D9" s="405"/>
      <c r="E9" s="405"/>
      <c r="F9" s="405"/>
      <c r="G9" s="405"/>
      <c r="H9" s="405"/>
      <c r="I9" s="406"/>
      <c r="J9" s="406"/>
      <c r="K9" s="406"/>
      <c r="L9" s="406"/>
      <c r="M9" s="406"/>
      <c r="N9" s="406"/>
    </row>
    <row r="10" spans="2:17" s="334" customFormat="1" ht="16.5" thickBot="1" x14ac:dyDescent="0.3">
      <c r="B10" s="406"/>
      <c r="C10" s="406"/>
      <c r="D10" s="406"/>
      <c r="E10" s="406"/>
      <c r="F10" s="406"/>
      <c r="G10" s="406"/>
      <c r="H10" s="406"/>
      <c r="I10" s="406"/>
      <c r="J10" s="406"/>
      <c r="K10" s="406"/>
      <c r="L10" s="406"/>
      <c r="M10" s="406"/>
      <c r="N10" s="406"/>
    </row>
    <row r="11" spans="2:17" s="405" customFormat="1" ht="15.75" customHeight="1" thickBot="1" x14ac:dyDescent="0.3">
      <c r="B11" s="462" t="s">
        <v>299</v>
      </c>
      <c r="C11" s="463"/>
      <c r="D11" s="463"/>
      <c r="E11" s="463"/>
      <c r="F11" s="463"/>
      <c r="G11" s="464"/>
    </row>
    <row r="12" spans="2:17" s="405" customFormat="1" ht="15.75" customHeight="1" x14ac:dyDescent="0.25">
      <c r="B12" s="334">
        <v>1</v>
      </c>
      <c r="C12" s="408" t="s">
        <v>301</v>
      </c>
      <c r="D12" s="409"/>
      <c r="E12" s="409"/>
      <c r="F12" s="409"/>
      <c r="G12" s="409"/>
      <c r="H12" s="410"/>
    </row>
    <row r="13" spans="2:17" s="405" customFormat="1" ht="15.75" customHeight="1" x14ac:dyDescent="0.25">
      <c r="B13" s="334">
        <v>2</v>
      </c>
      <c r="C13" s="408" t="s">
        <v>467</v>
      </c>
      <c r="D13" s="409"/>
      <c r="E13" s="409"/>
      <c r="F13" s="409"/>
      <c r="G13" s="409"/>
      <c r="H13" s="410"/>
    </row>
    <row r="14" spans="2:17" s="405" customFormat="1" ht="15.75" customHeight="1" x14ac:dyDescent="0.25">
      <c r="B14" s="334">
        <v>3</v>
      </c>
      <c r="C14" s="408" t="s">
        <v>466</v>
      </c>
      <c r="D14" s="409"/>
      <c r="E14" s="409"/>
      <c r="F14" s="409"/>
      <c r="G14" s="409"/>
      <c r="H14" s="410"/>
    </row>
    <row r="15" spans="2:17" ht="15.75" x14ac:dyDescent="0.25">
      <c r="B15" s="406">
        <v>4</v>
      </c>
      <c r="C15" s="406" t="s">
        <v>403</v>
      </c>
      <c r="D15" s="406"/>
      <c r="E15" s="406"/>
      <c r="F15" s="406"/>
      <c r="G15" s="406"/>
      <c r="H15" s="406"/>
      <c r="I15" s="406"/>
      <c r="J15" s="406"/>
      <c r="K15" s="406"/>
      <c r="L15" s="406"/>
      <c r="M15" s="406"/>
      <c r="N15" s="406"/>
      <c r="O15" s="406"/>
      <c r="P15" s="406"/>
    </row>
    <row r="16" spans="2:17" ht="15.75" x14ac:dyDescent="0.25">
      <c r="B16" s="406">
        <v>5</v>
      </c>
      <c r="C16" s="406" t="s">
        <v>401</v>
      </c>
      <c r="D16" s="406"/>
      <c r="E16" s="406"/>
      <c r="F16" s="406"/>
      <c r="G16" s="406"/>
      <c r="H16" s="406"/>
      <c r="I16" s="406"/>
      <c r="J16" s="406"/>
      <c r="K16" s="406"/>
      <c r="L16" s="406"/>
      <c r="M16" s="406"/>
      <c r="N16" s="406"/>
      <c r="O16" s="406"/>
      <c r="P16" s="406"/>
    </row>
    <row r="17" spans="2:16" ht="15.75" x14ac:dyDescent="0.25">
      <c r="B17" s="406">
        <v>6</v>
      </c>
      <c r="C17" s="406" t="s">
        <v>465</v>
      </c>
      <c r="D17" s="406"/>
      <c r="E17" s="406"/>
      <c r="F17" s="406"/>
      <c r="G17" s="406"/>
      <c r="H17" s="406"/>
      <c r="I17" s="406"/>
      <c r="J17" s="406"/>
      <c r="K17" s="406"/>
      <c r="L17" s="406"/>
      <c r="M17" s="406"/>
      <c r="N17" s="406"/>
      <c r="O17" s="406"/>
      <c r="P17" s="406"/>
    </row>
    <row r="18" spans="2:16" ht="15.75" x14ac:dyDescent="0.25">
      <c r="B18" s="406"/>
      <c r="C18" s="406"/>
      <c r="D18" s="406"/>
      <c r="E18" s="406"/>
      <c r="F18" s="406"/>
      <c r="G18" s="406"/>
      <c r="H18" s="406"/>
      <c r="I18" s="406"/>
      <c r="J18" s="406"/>
      <c r="K18" s="406"/>
      <c r="L18" s="406"/>
      <c r="M18" s="406"/>
      <c r="N18" s="406"/>
      <c r="O18" s="406"/>
      <c r="P18" s="406"/>
    </row>
  </sheetData>
  <sheetProtection algorithmName="SHA-512" hashValue="243t/ZpmTxJ40UcSiyY2lm2QHK33FSz+aidKwqssYKoP1Huwgfk4gCt8W28y0n2WyGWDhem4ihMHNEKuTmq7nQ==" saltValue="0ub3V5LQ+/Y0sY5TI0jpQg==" spinCount="100000" sheet="1" objects="1" scenarios="1" selectLockedCells="1"/>
  <mergeCells count="4">
    <mergeCell ref="B11:G11"/>
    <mergeCell ref="B1:O1"/>
    <mergeCell ref="B2:O2"/>
    <mergeCell ref="B3:O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005C0D-4D77-4189-8278-6296F927FC05}">
  <sheetPr>
    <tabColor theme="0"/>
  </sheetPr>
  <dimension ref="A1:K775"/>
  <sheetViews>
    <sheetView zoomScale="90" zoomScaleNormal="90" workbookViewId="0">
      <pane xSplit="3" ySplit="8" topLeftCell="D9" activePane="bottomRight" state="frozen"/>
      <selection pane="topRight" activeCell="E1" sqref="E1"/>
      <selection pane="bottomLeft" activeCell="A5" sqref="A5"/>
      <selection pane="bottomRight" sqref="A1:XFD1048576"/>
    </sheetView>
  </sheetViews>
  <sheetFormatPr defaultColWidth="9.140625" defaultRowHeight="15" x14ac:dyDescent="0.25"/>
  <cols>
    <col min="1" max="1" width="62.28515625" style="31" customWidth="1"/>
    <col min="2" max="2" width="36.7109375" style="32" bestFit="1" customWidth="1"/>
    <col min="3" max="3" width="15" style="32" customWidth="1"/>
    <col min="4" max="4" width="10.7109375" style="2" customWidth="1"/>
    <col min="5" max="5" width="12.28515625" style="7" customWidth="1"/>
    <col min="6" max="6" width="15.7109375" style="7" customWidth="1"/>
    <col min="7" max="7" width="20.85546875" style="7" customWidth="1"/>
    <col min="8" max="8" width="1.140625" style="20" customWidth="1"/>
    <col min="9" max="9" width="22.7109375" style="7" customWidth="1"/>
    <col min="10" max="10" width="18.28515625" style="35" customWidth="1"/>
    <col min="11" max="11" width="15.7109375" style="7" customWidth="1"/>
    <col min="12" max="16384" width="9.140625" style="7"/>
  </cols>
  <sheetData>
    <row r="1" spans="1:11" ht="15.75" thickBot="1" x14ac:dyDescent="0.3">
      <c r="A1" s="71" t="s">
        <v>460</v>
      </c>
      <c r="B1" s="400" t="str">
        <f>'SUB CPIF RATES (ALL)'!C1</f>
        <v xml:space="preserve">NAME </v>
      </c>
      <c r="C1" s="32" t="s">
        <v>1</v>
      </c>
      <c r="J1" s="20"/>
    </row>
    <row r="2" spans="1:11" ht="15.75" thickBot="1" x14ac:dyDescent="0.3">
      <c r="A2" s="71" t="s">
        <v>459</v>
      </c>
      <c r="B2" s="398" t="str">
        <f>'SUB CPIF RATES (ALL)'!C2</f>
        <v xml:space="preserve">NAME </v>
      </c>
      <c r="J2" s="20"/>
    </row>
    <row r="3" spans="1:11" x14ac:dyDescent="0.25">
      <c r="J3" s="20"/>
    </row>
    <row r="4" spans="1:11" x14ac:dyDescent="0.25">
      <c r="A4" s="324" t="s">
        <v>470</v>
      </c>
      <c r="J4" s="20"/>
    </row>
    <row r="5" spans="1:11" x14ac:dyDescent="0.25">
      <c r="J5" s="20"/>
    </row>
    <row r="6" spans="1:11" ht="15.75" thickBot="1" x14ac:dyDescent="0.3">
      <c r="J6" s="20"/>
    </row>
    <row r="7" spans="1:11" ht="48" customHeight="1" thickBot="1" x14ac:dyDescent="0.3">
      <c r="A7" s="466" t="s">
        <v>275</v>
      </c>
      <c r="B7" s="467"/>
      <c r="C7" s="468"/>
      <c r="D7" s="5"/>
      <c r="E7" s="472" t="s">
        <v>192</v>
      </c>
      <c r="F7" s="473"/>
      <c r="G7" s="474"/>
      <c r="H7" s="3"/>
      <c r="I7" s="5"/>
      <c r="J7" s="6"/>
    </row>
    <row r="8" spans="1:11" ht="60.75" thickBot="1" x14ac:dyDescent="0.3">
      <c r="A8" s="40" t="s">
        <v>3</v>
      </c>
      <c r="B8" s="40" t="s">
        <v>19</v>
      </c>
      <c r="C8" s="41" t="s">
        <v>4</v>
      </c>
      <c r="D8" s="51" t="s">
        <v>5</v>
      </c>
      <c r="E8" s="56" t="s">
        <v>471</v>
      </c>
      <c r="F8" s="9" t="s">
        <v>7</v>
      </c>
      <c r="G8" s="57" t="s">
        <v>8</v>
      </c>
      <c r="H8" s="3"/>
      <c r="I8" s="10" t="s">
        <v>9</v>
      </c>
      <c r="J8" s="7"/>
    </row>
    <row r="9" spans="1:11" ht="19.5" thickBot="1" x14ac:dyDescent="0.35">
      <c r="A9" s="469" t="s">
        <v>28</v>
      </c>
      <c r="B9" s="470"/>
      <c r="C9" s="471"/>
      <c r="D9" s="52"/>
      <c r="E9" s="469" t="s">
        <v>28</v>
      </c>
      <c r="F9" s="470"/>
      <c r="G9" s="471"/>
      <c r="H9" s="3"/>
      <c r="I9" s="233"/>
      <c r="J9" s="7"/>
    </row>
    <row r="10" spans="1:11" x14ac:dyDescent="0.25">
      <c r="A10" s="42" t="s">
        <v>15</v>
      </c>
      <c r="B10" s="38" t="s">
        <v>20</v>
      </c>
      <c r="C10" s="339" t="s">
        <v>83</v>
      </c>
      <c r="D10" s="50" t="s">
        <v>25</v>
      </c>
      <c r="E10" s="340">
        <v>1</v>
      </c>
      <c r="F10" s="401">
        <f>'CPIF CLIN 0001 TOTAL'!Q74</f>
        <v>0</v>
      </c>
      <c r="G10" s="341">
        <f>ROUND(E10*F10,0)</f>
        <v>0</v>
      </c>
      <c r="H10" s="3"/>
      <c r="I10" s="61">
        <f>G10</f>
        <v>0</v>
      </c>
      <c r="J10" s="7"/>
    </row>
    <row r="11" spans="1:11" x14ac:dyDescent="0.25">
      <c r="A11" s="36" t="s">
        <v>16</v>
      </c>
      <c r="B11" s="39" t="s">
        <v>21</v>
      </c>
      <c r="C11" s="339" t="s">
        <v>83</v>
      </c>
      <c r="D11" s="50" t="s">
        <v>26</v>
      </c>
      <c r="E11" s="340">
        <v>1</v>
      </c>
      <c r="F11" s="401">
        <f>'CPIF CLIN 0002 TOTAL'!Q73</f>
        <v>0</v>
      </c>
      <c r="G11" s="341">
        <f>ROUND(E11*F11,0)</f>
        <v>0</v>
      </c>
      <c r="H11" s="3"/>
      <c r="I11" s="61">
        <f t="shared" ref="I11:I12" si="0">G11</f>
        <v>0</v>
      </c>
      <c r="J11" s="7"/>
    </row>
    <row r="12" spans="1:11" x14ac:dyDescent="0.25">
      <c r="A12" s="36" t="s">
        <v>17</v>
      </c>
      <c r="B12" s="39" t="s">
        <v>21</v>
      </c>
      <c r="C12" s="339" t="s">
        <v>83</v>
      </c>
      <c r="D12" s="50" t="s">
        <v>27</v>
      </c>
      <c r="E12" s="340">
        <v>1</v>
      </c>
      <c r="F12" s="401">
        <f>'CPIF CLIN 0003 TOTAL'!Q74</f>
        <v>0</v>
      </c>
      <c r="G12" s="341">
        <f>ROUND(E12*F12,0)</f>
        <v>0</v>
      </c>
      <c r="H12" s="3"/>
      <c r="I12" s="61">
        <f t="shared" si="0"/>
        <v>0</v>
      </c>
      <c r="J12" s="7"/>
    </row>
    <row r="13" spans="1:11" x14ac:dyDescent="0.25">
      <c r="A13" s="36" t="s">
        <v>303</v>
      </c>
      <c r="B13" s="39" t="s">
        <v>22</v>
      </c>
      <c r="C13" s="339" t="s">
        <v>104</v>
      </c>
      <c r="D13" s="50" t="s">
        <v>101</v>
      </c>
      <c r="E13" s="342" t="s">
        <v>1</v>
      </c>
      <c r="F13" s="402" t="s">
        <v>1</v>
      </c>
      <c r="G13" s="343" t="s">
        <v>1</v>
      </c>
      <c r="H13" s="3"/>
      <c r="I13" s="62" t="s">
        <v>1</v>
      </c>
      <c r="J13" s="7"/>
    </row>
    <row r="14" spans="1:11" x14ac:dyDescent="0.25">
      <c r="A14" s="36" t="s">
        <v>18</v>
      </c>
      <c r="B14" s="11" t="s">
        <v>23</v>
      </c>
      <c r="C14" s="339" t="s">
        <v>104</v>
      </c>
      <c r="D14" s="245" t="s">
        <v>102</v>
      </c>
      <c r="E14" s="342" t="s">
        <v>1</v>
      </c>
      <c r="F14" s="402" t="s">
        <v>1</v>
      </c>
      <c r="G14" s="343" t="s">
        <v>1</v>
      </c>
      <c r="H14" s="3"/>
      <c r="I14" s="62" t="s">
        <v>1</v>
      </c>
      <c r="J14" s="7"/>
    </row>
    <row r="15" spans="1:11" ht="15.75" thickBot="1" x14ac:dyDescent="0.3">
      <c r="A15" s="36" t="s">
        <v>302</v>
      </c>
      <c r="B15" s="11" t="s">
        <v>11</v>
      </c>
      <c r="C15" s="339" t="s">
        <v>104</v>
      </c>
      <c r="D15" s="245" t="s">
        <v>103</v>
      </c>
      <c r="E15" s="344" t="s">
        <v>1</v>
      </c>
      <c r="F15" s="403" t="s">
        <v>1</v>
      </c>
      <c r="G15" s="345" t="s">
        <v>1</v>
      </c>
      <c r="H15" s="3"/>
      <c r="I15" s="63" t="s">
        <v>1</v>
      </c>
      <c r="J15" s="7"/>
    </row>
    <row r="16" spans="1:11" ht="31.5" customHeight="1" thickBot="1" x14ac:dyDescent="0.3">
      <c r="A16" s="4"/>
      <c r="B16" s="14"/>
      <c r="C16" s="8"/>
      <c r="D16" s="15"/>
      <c r="E16" s="13"/>
      <c r="F16" s="53" t="s">
        <v>12</v>
      </c>
      <c r="G16" s="54">
        <f>G10+G11+G12</f>
        <v>0</v>
      </c>
      <c r="H16" s="17"/>
      <c r="I16" s="18">
        <f>I10+I11+I12</f>
        <v>0</v>
      </c>
      <c r="J16" s="19" t="s">
        <v>9</v>
      </c>
      <c r="K16" s="20"/>
    </row>
    <row r="17" spans="1:10" s="20" customFormat="1" x14ac:dyDescent="0.25">
      <c r="A17" s="475"/>
      <c r="B17" s="475"/>
      <c r="C17" s="21"/>
      <c r="D17" s="22"/>
      <c r="H17" s="25"/>
      <c r="I17" s="25"/>
    </row>
    <row r="18" spans="1:10" s="247" customFormat="1" ht="12.75" customHeight="1" x14ac:dyDescent="0.25">
      <c r="A18" s="379"/>
      <c r="B18" s="380"/>
      <c r="C18" s="381"/>
      <c r="D18" s="382"/>
      <c r="E18" s="383"/>
      <c r="F18" s="247" t="s">
        <v>1</v>
      </c>
      <c r="H18" s="384"/>
      <c r="I18" s="385" t="s">
        <v>1</v>
      </c>
      <c r="J18" s="386" t="s">
        <v>1</v>
      </c>
    </row>
    <row r="19" spans="1:10" s="20" customFormat="1" ht="24.75" customHeight="1" x14ac:dyDescent="0.25">
      <c r="A19" s="22"/>
      <c r="E19" s="22"/>
      <c r="G19" s="22"/>
    </row>
    <row r="20" spans="1:10" s="20" customFormat="1" ht="39.75" customHeight="1" x14ac:dyDescent="0.25">
      <c r="A20" s="22"/>
      <c r="C20" s="213" t="s">
        <v>1</v>
      </c>
      <c r="D20" s="213"/>
      <c r="E20" s="214"/>
      <c r="G20" s="22"/>
    </row>
    <row r="21" spans="1:10" s="20" customFormat="1" ht="27.75" customHeight="1" x14ac:dyDescent="0.25">
      <c r="A21" s="22"/>
      <c r="E21" s="22"/>
      <c r="G21" s="22"/>
    </row>
    <row r="22" spans="1:10" s="20" customFormat="1" x14ac:dyDescent="0.25">
      <c r="A22" s="26"/>
      <c r="B22" s="21"/>
      <c r="C22" s="21"/>
      <c r="D22" s="22"/>
    </row>
    <row r="23" spans="1:10" s="20" customFormat="1" x14ac:dyDescent="0.25">
      <c r="A23" s="26"/>
      <c r="B23" s="21"/>
      <c r="C23" s="21"/>
      <c r="D23" s="22"/>
    </row>
    <row r="24" spans="1:10" s="20" customFormat="1" x14ac:dyDescent="0.25">
      <c r="A24" s="26"/>
      <c r="B24" s="21"/>
      <c r="C24" s="21"/>
      <c r="D24" s="22"/>
    </row>
    <row r="25" spans="1:10" s="20" customFormat="1" x14ac:dyDescent="0.25">
      <c r="A25" s="26"/>
      <c r="B25" s="21"/>
      <c r="C25" s="21"/>
      <c r="D25" s="22"/>
    </row>
    <row r="26" spans="1:10" s="20" customFormat="1" x14ac:dyDescent="0.25">
      <c r="A26" s="26"/>
      <c r="B26" s="21"/>
      <c r="C26" s="21"/>
      <c r="D26" s="22"/>
    </row>
    <row r="27" spans="1:10" s="20" customFormat="1" x14ac:dyDescent="0.25">
      <c r="A27" s="26"/>
      <c r="B27" s="21"/>
      <c r="C27" s="21"/>
      <c r="D27" s="22"/>
    </row>
    <row r="28" spans="1:10" s="20" customFormat="1" x14ac:dyDescent="0.25">
      <c r="A28" s="26"/>
      <c r="B28" s="21"/>
      <c r="C28" s="21"/>
      <c r="D28" s="22"/>
    </row>
    <row r="29" spans="1:10" s="20" customFormat="1" x14ac:dyDescent="0.25">
      <c r="A29" s="26"/>
      <c r="B29" s="21"/>
      <c r="C29" s="21"/>
      <c r="D29" s="22"/>
    </row>
    <row r="30" spans="1:10" s="20" customFormat="1" x14ac:dyDescent="0.25">
      <c r="A30" s="26"/>
      <c r="B30" s="21"/>
      <c r="C30" s="21"/>
      <c r="D30" s="22"/>
    </row>
    <row r="31" spans="1:10" s="20" customFormat="1" x14ac:dyDescent="0.25">
      <c r="A31" s="26"/>
      <c r="B31" s="21"/>
      <c r="C31" s="21"/>
      <c r="D31" s="22"/>
    </row>
    <row r="32" spans="1:10" s="20" customFormat="1" x14ac:dyDescent="0.25">
      <c r="A32" s="26"/>
      <c r="B32" s="21"/>
      <c r="C32" s="21"/>
      <c r="D32" s="22"/>
    </row>
    <row r="33" spans="1:4" s="20" customFormat="1" x14ac:dyDescent="0.25">
      <c r="A33" s="26"/>
      <c r="B33" s="21"/>
      <c r="C33" s="21"/>
      <c r="D33" s="22"/>
    </row>
    <row r="34" spans="1:4" s="20" customFormat="1" x14ac:dyDescent="0.25">
      <c r="A34" s="26"/>
      <c r="B34" s="21"/>
      <c r="C34" s="21"/>
      <c r="D34" s="22"/>
    </row>
    <row r="35" spans="1:4" s="20" customFormat="1" x14ac:dyDescent="0.25">
      <c r="A35" s="26"/>
      <c r="B35" s="21"/>
      <c r="C35" s="21"/>
      <c r="D35" s="22"/>
    </row>
    <row r="36" spans="1:4" s="20" customFormat="1" x14ac:dyDescent="0.25">
      <c r="A36" s="26"/>
      <c r="B36" s="21"/>
      <c r="C36" s="21"/>
      <c r="D36" s="22"/>
    </row>
    <row r="37" spans="1:4" s="20" customFormat="1" x14ac:dyDescent="0.25">
      <c r="A37" s="26"/>
      <c r="B37" s="21"/>
      <c r="C37" s="21"/>
      <c r="D37" s="22"/>
    </row>
    <row r="38" spans="1:4" s="20" customFormat="1" x14ac:dyDescent="0.25">
      <c r="A38" s="26"/>
      <c r="B38" s="21"/>
      <c r="C38" s="21"/>
      <c r="D38" s="22"/>
    </row>
    <row r="39" spans="1:4" s="20" customFormat="1" x14ac:dyDescent="0.25">
      <c r="A39" s="26"/>
      <c r="B39" s="21"/>
      <c r="C39" s="21"/>
      <c r="D39" s="22"/>
    </row>
    <row r="40" spans="1:4" s="20" customFormat="1" x14ac:dyDescent="0.25">
      <c r="A40" s="26"/>
      <c r="B40" s="21"/>
      <c r="C40" s="21"/>
      <c r="D40" s="22"/>
    </row>
    <row r="41" spans="1:4" s="20" customFormat="1" x14ac:dyDescent="0.25">
      <c r="A41" s="26"/>
      <c r="B41" s="21"/>
      <c r="C41" s="21"/>
      <c r="D41" s="22"/>
    </row>
    <row r="42" spans="1:4" s="20" customFormat="1" x14ac:dyDescent="0.25">
      <c r="A42" s="26"/>
      <c r="B42" s="21"/>
      <c r="C42" s="21"/>
      <c r="D42" s="22"/>
    </row>
    <row r="43" spans="1:4" s="20" customFormat="1" x14ac:dyDescent="0.25">
      <c r="A43" s="26"/>
      <c r="B43" s="21"/>
      <c r="C43" s="21"/>
      <c r="D43" s="22"/>
    </row>
    <row r="44" spans="1:4" s="20" customFormat="1" x14ac:dyDescent="0.25">
      <c r="A44" s="26"/>
      <c r="B44" s="21"/>
      <c r="C44" s="21"/>
      <c r="D44" s="22"/>
    </row>
    <row r="45" spans="1:4" s="20" customFormat="1" x14ac:dyDescent="0.25">
      <c r="A45" s="26"/>
      <c r="B45" s="21"/>
      <c r="C45" s="21"/>
      <c r="D45" s="22"/>
    </row>
    <row r="46" spans="1:4" s="20" customFormat="1" x14ac:dyDescent="0.25">
      <c r="A46" s="26"/>
      <c r="B46" s="21"/>
      <c r="C46" s="21"/>
      <c r="D46" s="22"/>
    </row>
    <row r="47" spans="1:4" s="20" customFormat="1" x14ac:dyDescent="0.25">
      <c r="A47" s="26"/>
      <c r="B47" s="21"/>
      <c r="C47" s="21"/>
      <c r="D47" s="22"/>
    </row>
    <row r="48" spans="1:4" s="20" customFormat="1" x14ac:dyDescent="0.25">
      <c r="A48" s="26"/>
      <c r="B48" s="21"/>
      <c r="C48" s="21"/>
      <c r="D48" s="22"/>
    </row>
    <row r="49" spans="1:4" s="20" customFormat="1" x14ac:dyDescent="0.25">
      <c r="A49" s="26"/>
      <c r="B49" s="21"/>
      <c r="C49" s="21"/>
      <c r="D49" s="22"/>
    </row>
    <row r="50" spans="1:4" s="20" customFormat="1" x14ac:dyDescent="0.25">
      <c r="A50" s="26"/>
      <c r="B50" s="21"/>
      <c r="C50" s="21"/>
      <c r="D50" s="22"/>
    </row>
    <row r="51" spans="1:4" s="20" customFormat="1" x14ac:dyDescent="0.25">
      <c r="A51" s="26"/>
      <c r="B51" s="21"/>
      <c r="C51" s="21"/>
      <c r="D51" s="22"/>
    </row>
    <row r="52" spans="1:4" s="20" customFormat="1" x14ac:dyDescent="0.25">
      <c r="A52" s="26"/>
      <c r="B52" s="21"/>
      <c r="C52" s="21"/>
      <c r="D52" s="22"/>
    </row>
    <row r="53" spans="1:4" s="20" customFormat="1" x14ac:dyDescent="0.25">
      <c r="A53" s="26"/>
      <c r="B53" s="21"/>
      <c r="C53" s="21"/>
      <c r="D53" s="22"/>
    </row>
    <row r="54" spans="1:4" s="20" customFormat="1" x14ac:dyDescent="0.25">
      <c r="A54" s="26"/>
      <c r="B54" s="21"/>
      <c r="C54" s="21"/>
      <c r="D54" s="22"/>
    </row>
    <row r="55" spans="1:4" s="20" customFormat="1" x14ac:dyDescent="0.25">
      <c r="A55" s="26"/>
      <c r="B55" s="21"/>
      <c r="C55" s="21"/>
      <c r="D55" s="22"/>
    </row>
    <row r="56" spans="1:4" s="20" customFormat="1" x14ac:dyDescent="0.25">
      <c r="A56" s="26"/>
      <c r="B56" s="21"/>
      <c r="C56" s="21"/>
      <c r="D56" s="22"/>
    </row>
    <row r="57" spans="1:4" s="20" customFormat="1" x14ac:dyDescent="0.25">
      <c r="A57" s="26"/>
      <c r="B57" s="21"/>
      <c r="C57" s="21"/>
      <c r="D57" s="22"/>
    </row>
    <row r="58" spans="1:4" s="20" customFormat="1" x14ac:dyDescent="0.25">
      <c r="A58" s="26"/>
      <c r="B58" s="21"/>
      <c r="C58" s="21"/>
      <c r="D58" s="22"/>
    </row>
    <row r="59" spans="1:4" s="20" customFormat="1" x14ac:dyDescent="0.25">
      <c r="A59" s="26"/>
      <c r="B59" s="21"/>
      <c r="C59" s="21"/>
      <c r="D59" s="22"/>
    </row>
    <row r="60" spans="1:4" s="20" customFormat="1" x14ac:dyDescent="0.25">
      <c r="A60" s="26"/>
      <c r="B60" s="21"/>
      <c r="C60" s="21"/>
      <c r="D60" s="22"/>
    </row>
    <row r="61" spans="1:4" s="20" customFormat="1" x14ac:dyDescent="0.25">
      <c r="A61" s="26"/>
      <c r="B61" s="21"/>
      <c r="C61" s="21"/>
      <c r="D61" s="22"/>
    </row>
    <row r="62" spans="1:4" s="20" customFormat="1" x14ac:dyDescent="0.25">
      <c r="A62" s="26"/>
      <c r="B62" s="21"/>
      <c r="C62" s="21"/>
      <c r="D62" s="22"/>
    </row>
    <row r="63" spans="1:4" s="20" customFormat="1" x14ac:dyDescent="0.25">
      <c r="A63" s="26"/>
      <c r="B63" s="21"/>
      <c r="C63" s="21"/>
      <c r="D63" s="22"/>
    </row>
    <row r="64" spans="1:4" s="20" customFormat="1" x14ac:dyDescent="0.25">
      <c r="A64" s="26"/>
      <c r="B64" s="21"/>
      <c r="C64" s="21"/>
      <c r="D64" s="22"/>
    </row>
    <row r="65" spans="1:4" s="20" customFormat="1" x14ac:dyDescent="0.25">
      <c r="A65" s="26"/>
      <c r="B65" s="21"/>
      <c r="C65" s="21"/>
      <c r="D65" s="22"/>
    </row>
    <row r="66" spans="1:4" s="20" customFormat="1" x14ac:dyDescent="0.25">
      <c r="A66" s="26"/>
      <c r="B66" s="21"/>
      <c r="C66" s="21"/>
      <c r="D66" s="22"/>
    </row>
    <row r="67" spans="1:4" s="20" customFormat="1" x14ac:dyDescent="0.25">
      <c r="A67" s="26"/>
      <c r="B67" s="21"/>
      <c r="C67" s="21"/>
      <c r="D67" s="22"/>
    </row>
    <row r="68" spans="1:4" s="20" customFormat="1" x14ac:dyDescent="0.25">
      <c r="A68" s="26"/>
      <c r="B68" s="21"/>
      <c r="C68" s="21"/>
      <c r="D68" s="22"/>
    </row>
    <row r="69" spans="1:4" s="20" customFormat="1" x14ac:dyDescent="0.25">
      <c r="A69" s="26"/>
      <c r="B69" s="21"/>
      <c r="C69" s="21"/>
      <c r="D69" s="22"/>
    </row>
    <row r="70" spans="1:4" s="20" customFormat="1" x14ac:dyDescent="0.25">
      <c r="A70" s="26"/>
      <c r="B70" s="21"/>
      <c r="C70" s="21"/>
      <c r="D70" s="22"/>
    </row>
    <row r="71" spans="1:4" s="20" customFormat="1" x14ac:dyDescent="0.25">
      <c r="A71" s="26"/>
      <c r="B71" s="21"/>
      <c r="C71" s="21"/>
      <c r="D71" s="22"/>
    </row>
    <row r="72" spans="1:4" s="20" customFormat="1" x14ac:dyDescent="0.25">
      <c r="A72" s="26"/>
      <c r="B72" s="21"/>
      <c r="C72" s="21"/>
      <c r="D72" s="22"/>
    </row>
    <row r="73" spans="1:4" s="20" customFormat="1" x14ac:dyDescent="0.25">
      <c r="A73" s="26"/>
      <c r="B73" s="21"/>
      <c r="C73" s="21"/>
      <c r="D73" s="22"/>
    </row>
    <row r="74" spans="1:4" s="20" customFormat="1" x14ac:dyDescent="0.25">
      <c r="A74" s="26"/>
      <c r="B74" s="21"/>
      <c r="C74" s="21"/>
      <c r="D74" s="22"/>
    </row>
    <row r="75" spans="1:4" s="20" customFormat="1" x14ac:dyDescent="0.25">
      <c r="A75" s="26"/>
      <c r="B75" s="21"/>
      <c r="C75" s="21"/>
      <c r="D75" s="22"/>
    </row>
    <row r="76" spans="1:4" s="20" customFormat="1" x14ac:dyDescent="0.25">
      <c r="A76" s="26"/>
      <c r="B76" s="21"/>
      <c r="C76" s="21"/>
      <c r="D76" s="22"/>
    </row>
    <row r="77" spans="1:4" s="20" customFormat="1" x14ac:dyDescent="0.25">
      <c r="A77" s="26"/>
      <c r="B77" s="21"/>
      <c r="C77" s="21"/>
      <c r="D77" s="22"/>
    </row>
    <row r="78" spans="1:4" s="20" customFormat="1" x14ac:dyDescent="0.25">
      <c r="A78" s="26"/>
      <c r="B78" s="21"/>
      <c r="C78" s="21"/>
      <c r="D78" s="22"/>
    </row>
    <row r="79" spans="1:4" s="20" customFormat="1" x14ac:dyDescent="0.25">
      <c r="A79" s="26"/>
      <c r="B79" s="21"/>
      <c r="C79" s="21"/>
      <c r="D79" s="22"/>
    </row>
    <row r="80" spans="1:4" s="20" customFormat="1" x14ac:dyDescent="0.25">
      <c r="A80" s="26"/>
      <c r="B80" s="21"/>
      <c r="C80" s="21"/>
      <c r="D80" s="22"/>
    </row>
    <row r="81" spans="1:4" s="20" customFormat="1" x14ac:dyDescent="0.25">
      <c r="A81" s="26"/>
      <c r="B81" s="21"/>
      <c r="C81" s="21"/>
      <c r="D81" s="22"/>
    </row>
    <row r="82" spans="1:4" s="20" customFormat="1" x14ac:dyDescent="0.25">
      <c r="A82" s="26"/>
      <c r="B82" s="21"/>
      <c r="C82" s="21"/>
      <c r="D82" s="22"/>
    </row>
    <row r="83" spans="1:4" s="20" customFormat="1" x14ac:dyDescent="0.25">
      <c r="A83" s="26"/>
      <c r="B83" s="21"/>
      <c r="C83" s="21"/>
      <c r="D83" s="22"/>
    </row>
    <row r="84" spans="1:4" s="20" customFormat="1" x14ac:dyDescent="0.25">
      <c r="A84" s="26"/>
      <c r="B84" s="21"/>
      <c r="C84" s="21"/>
      <c r="D84" s="22"/>
    </row>
    <row r="85" spans="1:4" s="20" customFormat="1" x14ac:dyDescent="0.25">
      <c r="A85" s="26"/>
      <c r="B85" s="21"/>
      <c r="C85" s="21"/>
      <c r="D85" s="22"/>
    </row>
    <row r="86" spans="1:4" s="20" customFormat="1" x14ac:dyDescent="0.25">
      <c r="A86" s="26"/>
      <c r="B86" s="21"/>
      <c r="C86" s="21"/>
      <c r="D86" s="22"/>
    </row>
    <row r="87" spans="1:4" s="20" customFormat="1" x14ac:dyDescent="0.25">
      <c r="A87" s="26"/>
      <c r="B87" s="21"/>
      <c r="C87" s="21"/>
      <c r="D87" s="22"/>
    </row>
    <row r="88" spans="1:4" s="20" customFormat="1" x14ac:dyDescent="0.25">
      <c r="A88" s="26"/>
      <c r="B88" s="21"/>
      <c r="C88" s="21"/>
      <c r="D88" s="22"/>
    </row>
    <row r="89" spans="1:4" s="20" customFormat="1" x14ac:dyDescent="0.25">
      <c r="A89" s="26"/>
      <c r="B89" s="21"/>
      <c r="C89" s="21"/>
      <c r="D89" s="22"/>
    </row>
    <row r="90" spans="1:4" s="20" customFormat="1" x14ac:dyDescent="0.25">
      <c r="A90" s="26"/>
      <c r="B90" s="21"/>
      <c r="C90" s="21"/>
      <c r="D90" s="22"/>
    </row>
    <row r="91" spans="1:4" s="20" customFormat="1" x14ac:dyDescent="0.25">
      <c r="A91" s="26"/>
      <c r="B91" s="21"/>
      <c r="C91" s="21"/>
      <c r="D91" s="22"/>
    </row>
    <row r="92" spans="1:4" s="20" customFormat="1" x14ac:dyDescent="0.25">
      <c r="A92" s="26"/>
      <c r="B92" s="21"/>
      <c r="C92" s="21"/>
      <c r="D92" s="22"/>
    </row>
    <row r="93" spans="1:4" s="20" customFormat="1" x14ac:dyDescent="0.25">
      <c r="A93" s="26"/>
      <c r="B93" s="21"/>
      <c r="C93" s="21"/>
      <c r="D93" s="22"/>
    </row>
    <row r="94" spans="1:4" s="20" customFormat="1" x14ac:dyDescent="0.25">
      <c r="A94" s="26"/>
      <c r="B94" s="21"/>
      <c r="C94" s="21"/>
      <c r="D94" s="22"/>
    </row>
    <row r="95" spans="1:4" s="20" customFormat="1" x14ac:dyDescent="0.25">
      <c r="A95" s="26"/>
      <c r="B95" s="21"/>
      <c r="C95" s="21"/>
      <c r="D95" s="22"/>
    </row>
    <row r="96" spans="1:4" s="20" customFormat="1" x14ac:dyDescent="0.25">
      <c r="A96" s="26"/>
      <c r="B96" s="21"/>
      <c r="C96" s="21"/>
      <c r="D96" s="22"/>
    </row>
    <row r="97" spans="1:4" s="20" customFormat="1" x14ac:dyDescent="0.25">
      <c r="A97" s="26"/>
      <c r="B97" s="21"/>
      <c r="C97" s="21"/>
      <c r="D97" s="22"/>
    </row>
    <row r="98" spans="1:4" s="20" customFormat="1" x14ac:dyDescent="0.25">
      <c r="A98" s="26"/>
      <c r="B98" s="21"/>
      <c r="C98" s="21"/>
      <c r="D98" s="22"/>
    </row>
    <row r="99" spans="1:4" s="20" customFormat="1" x14ac:dyDescent="0.25">
      <c r="A99" s="26"/>
      <c r="B99" s="21"/>
      <c r="C99" s="21"/>
      <c r="D99" s="22"/>
    </row>
    <row r="100" spans="1:4" s="20" customFormat="1" x14ac:dyDescent="0.25">
      <c r="A100" s="26"/>
      <c r="B100" s="21"/>
      <c r="C100" s="21"/>
      <c r="D100" s="22"/>
    </row>
    <row r="101" spans="1:4" s="20" customFormat="1" x14ac:dyDescent="0.25">
      <c r="A101" s="26"/>
      <c r="B101" s="21"/>
      <c r="C101" s="21"/>
      <c r="D101" s="22"/>
    </row>
    <row r="102" spans="1:4" s="20" customFormat="1" x14ac:dyDescent="0.25">
      <c r="A102" s="26"/>
      <c r="B102" s="21"/>
      <c r="C102" s="21"/>
      <c r="D102" s="22"/>
    </row>
    <row r="103" spans="1:4" s="20" customFormat="1" x14ac:dyDescent="0.25">
      <c r="A103" s="26"/>
      <c r="B103" s="21"/>
      <c r="C103" s="21"/>
      <c r="D103" s="22"/>
    </row>
    <row r="104" spans="1:4" s="20" customFormat="1" x14ac:dyDescent="0.25">
      <c r="A104" s="26"/>
      <c r="B104" s="21"/>
      <c r="C104" s="21"/>
      <c r="D104" s="22"/>
    </row>
    <row r="105" spans="1:4" s="20" customFormat="1" x14ac:dyDescent="0.25">
      <c r="A105" s="26"/>
      <c r="B105" s="21"/>
      <c r="C105" s="21"/>
      <c r="D105" s="22"/>
    </row>
    <row r="106" spans="1:4" s="20" customFormat="1" x14ac:dyDescent="0.25">
      <c r="A106" s="26"/>
      <c r="B106" s="21"/>
      <c r="C106" s="21"/>
      <c r="D106" s="22"/>
    </row>
    <row r="107" spans="1:4" s="20" customFormat="1" x14ac:dyDescent="0.25">
      <c r="A107" s="26"/>
      <c r="B107" s="21"/>
      <c r="C107" s="21"/>
      <c r="D107" s="22"/>
    </row>
    <row r="108" spans="1:4" s="20" customFormat="1" x14ac:dyDescent="0.25">
      <c r="A108" s="26"/>
      <c r="B108" s="21"/>
      <c r="C108" s="21"/>
      <c r="D108" s="22"/>
    </row>
    <row r="109" spans="1:4" s="20" customFormat="1" x14ac:dyDescent="0.25">
      <c r="A109" s="26"/>
      <c r="B109" s="21"/>
      <c r="C109" s="21"/>
      <c r="D109" s="22"/>
    </row>
    <row r="110" spans="1:4" s="20" customFormat="1" x14ac:dyDescent="0.25">
      <c r="A110" s="26"/>
      <c r="B110" s="21"/>
      <c r="C110" s="21"/>
      <c r="D110" s="22"/>
    </row>
    <row r="111" spans="1:4" s="20" customFormat="1" x14ac:dyDescent="0.25">
      <c r="A111" s="26"/>
      <c r="B111" s="21"/>
      <c r="C111" s="21"/>
      <c r="D111" s="22"/>
    </row>
    <row r="112" spans="1:4" s="20" customFormat="1" x14ac:dyDescent="0.25">
      <c r="A112" s="26"/>
      <c r="B112" s="21"/>
      <c r="C112" s="21"/>
      <c r="D112" s="22"/>
    </row>
    <row r="113" spans="1:4" s="20" customFormat="1" x14ac:dyDescent="0.25">
      <c r="A113" s="26"/>
      <c r="B113" s="21"/>
      <c r="C113" s="21"/>
      <c r="D113" s="22"/>
    </row>
    <row r="114" spans="1:4" s="20" customFormat="1" x14ac:dyDescent="0.25">
      <c r="A114" s="26"/>
      <c r="B114" s="21"/>
      <c r="C114" s="21"/>
      <c r="D114" s="22"/>
    </row>
    <row r="115" spans="1:4" s="20" customFormat="1" x14ac:dyDescent="0.25">
      <c r="A115" s="26"/>
      <c r="B115" s="21"/>
      <c r="C115" s="21"/>
      <c r="D115" s="22"/>
    </row>
    <row r="116" spans="1:4" s="20" customFormat="1" x14ac:dyDescent="0.25">
      <c r="A116" s="26"/>
      <c r="B116" s="21"/>
      <c r="C116" s="21"/>
      <c r="D116" s="22"/>
    </row>
    <row r="117" spans="1:4" s="20" customFormat="1" x14ac:dyDescent="0.25">
      <c r="A117" s="26"/>
      <c r="B117" s="21"/>
      <c r="C117" s="21"/>
      <c r="D117" s="22"/>
    </row>
    <row r="118" spans="1:4" s="20" customFormat="1" x14ac:dyDescent="0.25">
      <c r="A118" s="26"/>
      <c r="B118" s="21"/>
      <c r="C118" s="21"/>
      <c r="D118" s="22"/>
    </row>
    <row r="119" spans="1:4" s="20" customFormat="1" x14ac:dyDescent="0.25">
      <c r="A119" s="26"/>
      <c r="B119" s="21"/>
      <c r="C119" s="21"/>
      <c r="D119" s="22"/>
    </row>
    <row r="120" spans="1:4" s="20" customFormat="1" x14ac:dyDescent="0.25">
      <c r="A120" s="26"/>
      <c r="B120" s="21"/>
      <c r="C120" s="21"/>
      <c r="D120" s="22"/>
    </row>
    <row r="121" spans="1:4" s="20" customFormat="1" x14ac:dyDescent="0.25">
      <c r="A121" s="26"/>
      <c r="B121" s="21"/>
      <c r="C121" s="21"/>
      <c r="D121" s="22"/>
    </row>
    <row r="122" spans="1:4" s="20" customFormat="1" x14ac:dyDescent="0.25">
      <c r="A122" s="26"/>
      <c r="B122" s="21"/>
      <c r="C122" s="21"/>
      <c r="D122" s="22"/>
    </row>
    <row r="123" spans="1:4" s="20" customFormat="1" x14ac:dyDescent="0.25">
      <c r="A123" s="26"/>
      <c r="B123" s="21"/>
      <c r="C123" s="21"/>
      <c r="D123" s="22"/>
    </row>
    <row r="124" spans="1:4" s="20" customFormat="1" x14ac:dyDescent="0.25">
      <c r="A124" s="26"/>
      <c r="B124" s="21"/>
      <c r="C124" s="21"/>
      <c r="D124" s="22"/>
    </row>
    <row r="125" spans="1:4" s="20" customFormat="1" x14ac:dyDescent="0.25">
      <c r="A125" s="26"/>
      <c r="B125" s="21"/>
      <c r="C125" s="21"/>
      <c r="D125" s="22"/>
    </row>
    <row r="126" spans="1:4" s="20" customFormat="1" x14ac:dyDescent="0.25">
      <c r="A126" s="26"/>
      <c r="B126" s="21"/>
      <c r="C126" s="21"/>
      <c r="D126" s="22"/>
    </row>
    <row r="127" spans="1:4" s="20" customFormat="1" x14ac:dyDescent="0.25">
      <c r="A127" s="26"/>
      <c r="B127" s="21"/>
      <c r="C127" s="21"/>
      <c r="D127" s="22"/>
    </row>
    <row r="128" spans="1:4" s="20" customFormat="1" x14ac:dyDescent="0.25">
      <c r="A128" s="26"/>
      <c r="B128" s="21"/>
      <c r="C128" s="21"/>
      <c r="D128" s="22"/>
    </row>
    <row r="129" spans="1:4" s="20" customFormat="1" x14ac:dyDescent="0.25">
      <c r="A129" s="26"/>
      <c r="B129" s="21"/>
      <c r="C129" s="21"/>
      <c r="D129" s="22"/>
    </row>
    <row r="130" spans="1:4" s="20" customFormat="1" x14ac:dyDescent="0.25">
      <c r="A130" s="26"/>
      <c r="B130" s="21"/>
      <c r="C130" s="21"/>
      <c r="D130" s="22"/>
    </row>
    <row r="131" spans="1:4" s="20" customFormat="1" x14ac:dyDescent="0.25">
      <c r="A131" s="26"/>
      <c r="B131" s="21"/>
      <c r="C131" s="21"/>
      <c r="D131" s="22"/>
    </row>
    <row r="132" spans="1:4" s="20" customFormat="1" x14ac:dyDescent="0.25">
      <c r="A132" s="26"/>
      <c r="B132" s="21"/>
      <c r="C132" s="21"/>
      <c r="D132" s="22"/>
    </row>
    <row r="133" spans="1:4" s="20" customFormat="1" x14ac:dyDescent="0.25">
      <c r="A133" s="26"/>
      <c r="B133" s="21"/>
      <c r="C133" s="21"/>
      <c r="D133" s="22"/>
    </row>
    <row r="134" spans="1:4" s="20" customFormat="1" x14ac:dyDescent="0.25">
      <c r="A134" s="26"/>
      <c r="B134" s="21"/>
      <c r="C134" s="21"/>
      <c r="D134" s="22"/>
    </row>
    <row r="135" spans="1:4" s="20" customFormat="1" x14ac:dyDescent="0.25">
      <c r="A135" s="26"/>
      <c r="B135" s="21"/>
      <c r="C135" s="21"/>
      <c r="D135" s="22"/>
    </row>
    <row r="136" spans="1:4" s="20" customFormat="1" x14ac:dyDescent="0.25">
      <c r="A136" s="26"/>
      <c r="B136" s="21"/>
      <c r="C136" s="21"/>
      <c r="D136" s="22"/>
    </row>
    <row r="137" spans="1:4" s="20" customFormat="1" x14ac:dyDescent="0.25">
      <c r="A137" s="26"/>
      <c r="B137" s="21"/>
      <c r="C137" s="21"/>
      <c r="D137" s="22"/>
    </row>
    <row r="138" spans="1:4" s="20" customFormat="1" x14ac:dyDescent="0.25">
      <c r="A138" s="26"/>
      <c r="B138" s="21"/>
      <c r="C138" s="21"/>
      <c r="D138" s="22"/>
    </row>
    <row r="139" spans="1:4" s="20" customFormat="1" x14ac:dyDescent="0.25">
      <c r="A139" s="26"/>
      <c r="B139" s="21"/>
      <c r="C139" s="21"/>
      <c r="D139" s="22"/>
    </row>
    <row r="140" spans="1:4" s="20" customFormat="1" x14ac:dyDescent="0.25">
      <c r="A140" s="26"/>
      <c r="B140" s="21"/>
      <c r="C140" s="21"/>
      <c r="D140" s="22"/>
    </row>
    <row r="141" spans="1:4" s="20" customFormat="1" x14ac:dyDescent="0.25">
      <c r="A141" s="26"/>
      <c r="B141" s="21"/>
      <c r="C141" s="21"/>
      <c r="D141" s="22"/>
    </row>
    <row r="142" spans="1:4" s="20" customFormat="1" x14ac:dyDescent="0.25">
      <c r="A142" s="26"/>
      <c r="B142" s="21"/>
      <c r="C142" s="21"/>
      <c r="D142" s="22"/>
    </row>
    <row r="143" spans="1:4" s="20" customFormat="1" x14ac:dyDescent="0.25">
      <c r="A143" s="26"/>
      <c r="B143" s="21"/>
      <c r="C143" s="21"/>
      <c r="D143" s="22"/>
    </row>
    <row r="144" spans="1:4" s="20" customFormat="1" x14ac:dyDescent="0.25">
      <c r="A144" s="26"/>
      <c r="B144" s="21"/>
      <c r="C144" s="21"/>
      <c r="D144" s="22"/>
    </row>
    <row r="145" spans="1:4" s="20" customFormat="1" x14ac:dyDescent="0.25">
      <c r="A145" s="26"/>
      <c r="B145" s="21"/>
      <c r="C145" s="21"/>
      <c r="D145" s="22"/>
    </row>
    <row r="146" spans="1:4" s="20" customFormat="1" x14ac:dyDescent="0.25">
      <c r="A146" s="26"/>
      <c r="B146" s="21"/>
      <c r="C146" s="21"/>
      <c r="D146" s="22"/>
    </row>
    <row r="147" spans="1:4" s="20" customFormat="1" x14ac:dyDescent="0.25">
      <c r="A147" s="26"/>
      <c r="B147" s="21"/>
      <c r="C147" s="21"/>
      <c r="D147" s="22"/>
    </row>
    <row r="148" spans="1:4" s="20" customFormat="1" x14ac:dyDescent="0.25">
      <c r="A148" s="26"/>
      <c r="B148" s="21"/>
      <c r="C148" s="21"/>
      <c r="D148" s="22"/>
    </row>
    <row r="149" spans="1:4" s="20" customFormat="1" x14ac:dyDescent="0.25">
      <c r="A149" s="26"/>
      <c r="B149" s="21"/>
      <c r="C149" s="21"/>
      <c r="D149" s="22"/>
    </row>
    <row r="150" spans="1:4" s="20" customFormat="1" x14ac:dyDescent="0.25">
      <c r="A150" s="26"/>
      <c r="B150" s="21"/>
      <c r="C150" s="21"/>
      <c r="D150" s="22"/>
    </row>
    <row r="151" spans="1:4" s="20" customFormat="1" x14ac:dyDescent="0.25">
      <c r="A151" s="26"/>
      <c r="B151" s="21"/>
      <c r="C151" s="21"/>
      <c r="D151" s="22"/>
    </row>
    <row r="152" spans="1:4" s="20" customFormat="1" x14ac:dyDescent="0.25">
      <c r="A152" s="26"/>
      <c r="B152" s="21"/>
      <c r="C152" s="21"/>
      <c r="D152" s="22"/>
    </row>
    <row r="153" spans="1:4" s="20" customFormat="1" x14ac:dyDescent="0.25">
      <c r="A153" s="26"/>
      <c r="B153" s="21"/>
      <c r="C153" s="21"/>
      <c r="D153" s="22"/>
    </row>
    <row r="154" spans="1:4" s="20" customFormat="1" x14ac:dyDescent="0.25">
      <c r="A154" s="26"/>
      <c r="B154" s="21"/>
      <c r="C154" s="21"/>
      <c r="D154" s="22"/>
    </row>
    <row r="155" spans="1:4" s="20" customFormat="1" x14ac:dyDescent="0.25">
      <c r="A155" s="26"/>
      <c r="B155" s="21"/>
      <c r="C155" s="21"/>
      <c r="D155" s="22"/>
    </row>
    <row r="156" spans="1:4" s="20" customFormat="1" x14ac:dyDescent="0.25">
      <c r="A156" s="26"/>
      <c r="B156" s="21"/>
      <c r="C156" s="21"/>
      <c r="D156" s="22"/>
    </row>
    <row r="157" spans="1:4" s="20" customFormat="1" x14ac:dyDescent="0.25">
      <c r="A157" s="26"/>
      <c r="B157" s="21"/>
      <c r="C157" s="21"/>
      <c r="D157" s="22"/>
    </row>
    <row r="158" spans="1:4" s="20" customFormat="1" x14ac:dyDescent="0.25">
      <c r="A158" s="26"/>
      <c r="B158" s="21"/>
      <c r="C158" s="21"/>
      <c r="D158" s="22"/>
    </row>
    <row r="159" spans="1:4" s="20" customFormat="1" x14ac:dyDescent="0.25">
      <c r="A159" s="26"/>
      <c r="B159" s="21"/>
      <c r="C159" s="21"/>
      <c r="D159" s="22"/>
    </row>
    <row r="160" spans="1:4" s="20" customFormat="1" x14ac:dyDescent="0.25">
      <c r="A160" s="26"/>
      <c r="B160" s="21"/>
      <c r="C160" s="21"/>
      <c r="D160" s="22"/>
    </row>
    <row r="161" spans="1:4" s="20" customFormat="1" x14ac:dyDescent="0.25">
      <c r="A161" s="26"/>
      <c r="B161" s="21"/>
      <c r="C161" s="21"/>
      <c r="D161" s="22"/>
    </row>
    <row r="162" spans="1:4" s="20" customFormat="1" x14ac:dyDescent="0.25">
      <c r="A162" s="26"/>
      <c r="B162" s="21"/>
      <c r="C162" s="21"/>
      <c r="D162" s="22"/>
    </row>
    <row r="163" spans="1:4" s="20" customFormat="1" x14ac:dyDescent="0.25">
      <c r="A163" s="26"/>
      <c r="B163" s="21"/>
      <c r="C163" s="21"/>
      <c r="D163" s="22"/>
    </row>
    <row r="164" spans="1:4" s="20" customFormat="1" x14ac:dyDescent="0.25">
      <c r="A164" s="26"/>
      <c r="B164" s="21"/>
      <c r="C164" s="21"/>
      <c r="D164" s="22"/>
    </row>
    <row r="165" spans="1:4" s="20" customFormat="1" x14ac:dyDescent="0.25">
      <c r="A165" s="26"/>
      <c r="B165" s="21"/>
      <c r="C165" s="21"/>
      <c r="D165" s="22"/>
    </row>
    <row r="166" spans="1:4" s="20" customFormat="1" x14ac:dyDescent="0.25">
      <c r="A166" s="26"/>
      <c r="B166" s="21"/>
      <c r="C166" s="21"/>
      <c r="D166" s="22"/>
    </row>
    <row r="167" spans="1:4" s="20" customFormat="1" x14ac:dyDescent="0.25">
      <c r="A167" s="26"/>
      <c r="B167" s="21"/>
      <c r="C167" s="21"/>
      <c r="D167" s="22"/>
    </row>
    <row r="168" spans="1:4" s="20" customFormat="1" x14ac:dyDescent="0.25">
      <c r="A168" s="26"/>
      <c r="B168" s="21"/>
      <c r="C168" s="21"/>
      <c r="D168" s="22"/>
    </row>
    <row r="169" spans="1:4" s="20" customFormat="1" x14ac:dyDescent="0.25">
      <c r="A169" s="26"/>
      <c r="B169" s="21"/>
      <c r="C169" s="21"/>
      <c r="D169" s="22"/>
    </row>
    <row r="170" spans="1:4" s="20" customFormat="1" x14ac:dyDescent="0.25">
      <c r="A170" s="26"/>
      <c r="B170" s="21"/>
      <c r="C170" s="21"/>
      <c r="D170" s="22"/>
    </row>
    <row r="171" spans="1:4" s="20" customFormat="1" x14ac:dyDescent="0.25">
      <c r="A171" s="26"/>
      <c r="B171" s="21"/>
      <c r="C171" s="21"/>
      <c r="D171" s="22"/>
    </row>
    <row r="172" spans="1:4" s="20" customFormat="1" x14ac:dyDescent="0.25">
      <c r="A172" s="26"/>
      <c r="B172" s="21"/>
      <c r="C172" s="21"/>
      <c r="D172" s="22"/>
    </row>
    <row r="173" spans="1:4" s="20" customFormat="1" x14ac:dyDescent="0.25">
      <c r="A173" s="26"/>
      <c r="B173" s="21"/>
      <c r="C173" s="21"/>
      <c r="D173" s="22"/>
    </row>
    <row r="174" spans="1:4" s="20" customFormat="1" x14ac:dyDescent="0.25">
      <c r="A174" s="26"/>
      <c r="B174" s="21"/>
      <c r="C174" s="21"/>
      <c r="D174" s="22"/>
    </row>
    <row r="175" spans="1:4" s="20" customFormat="1" x14ac:dyDescent="0.25">
      <c r="A175" s="26"/>
      <c r="B175" s="21"/>
      <c r="C175" s="21"/>
      <c r="D175" s="22"/>
    </row>
    <row r="176" spans="1:4" s="20" customFormat="1" x14ac:dyDescent="0.25">
      <c r="A176" s="26"/>
      <c r="B176" s="21"/>
      <c r="C176" s="21"/>
      <c r="D176" s="22"/>
    </row>
    <row r="177" spans="1:4" s="20" customFormat="1" x14ac:dyDescent="0.25">
      <c r="A177" s="26"/>
      <c r="B177" s="21"/>
      <c r="C177" s="21"/>
      <c r="D177" s="22"/>
    </row>
    <row r="178" spans="1:4" s="20" customFormat="1" x14ac:dyDescent="0.25">
      <c r="A178" s="26"/>
      <c r="B178" s="21"/>
      <c r="C178" s="21"/>
      <c r="D178" s="22"/>
    </row>
    <row r="179" spans="1:4" s="20" customFormat="1" x14ac:dyDescent="0.25">
      <c r="A179" s="26"/>
      <c r="B179" s="21"/>
      <c r="C179" s="21"/>
      <c r="D179" s="22"/>
    </row>
    <row r="180" spans="1:4" s="20" customFormat="1" x14ac:dyDescent="0.25">
      <c r="A180" s="26"/>
      <c r="B180" s="21"/>
      <c r="C180" s="21"/>
      <c r="D180" s="22"/>
    </row>
    <row r="181" spans="1:4" s="20" customFormat="1" x14ac:dyDescent="0.25">
      <c r="A181" s="26"/>
      <c r="B181" s="21"/>
      <c r="C181" s="21"/>
      <c r="D181" s="22"/>
    </row>
    <row r="182" spans="1:4" s="20" customFormat="1" x14ac:dyDescent="0.25">
      <c r="A182" s="26"/>
      <c r="B182" s="21"/>
      <c r="C182" s="21"/>
      <c r="D182" s="22"/>
    </row>
    <row r="183" spans="1:4" s="20" customFormat="1" x14ac:dyDescent="0.25">
      <c r="A183" s="26"/>
      <c r="B183" s="21"/>
      <c r="C183" s="21"/>
      <c r="D183" s="22"/>
    </row>
    <row r="184" spans="1:4" s="20" customFormat="1" x14ac:dyDescent="0.25">
      <c r="A184" s="26"/>
      <c r="B184" s="21"/>
      <c r="C184" s="21"/>
      <c r="D184" s="22"/>
    </row>
    <row r="185" spans="1:4" s="20" customFormat="1" x14ac:dyDescent="0.25">
      <c r="A185" s="26"/>
      <c r="B185" s="21"/>
      <c r="C185" s="21"/>
      <c r="D185" s="22"/>
    </row>
    <row r="186" spans="1:4" s="20" customFormat="1" x14ac:dyDescent="0.25">
      <c r="A186" s="26"/>
      <c r="B186" s="21"/>
      <c r="C186" s="21"/>
      <c r="D186" s="22"/>
    </row>
    <row r="187" spans="1:4" s="20" customFormat="1" x14ac:dyDescent="0.25">
      <c r="A187" s="26"/>
      <c r="B187" s="21"/>
      <c r="C187" s="21"/>
      <c r="D187" s="22"/>
    </row>
    <row r="188" spans="1:4" s="20" customFormat="1" x14ac:dyDescent="0.25">
      <c r="A188" s="26"/>
      <c r="B188" s="21"/>
      <c r="C188" s="21"/>
      <c r="D188" s="22"/>
    </row>
    <row r="189" spans="1:4" s="20" customFormat="1" x14ac:dyDescent="0.25">
      <c r="A189" s="26"/>
      <c r="B189" s="21"/>
      <c r="C189" s="21"/>
      <c r="D189" s="22"/>
    </row>
    <row r="190" spans="1:4" s="20" customFormat="1" x14ac:dyDescent="0.25">
      <c r="A190" s="26"/>
      <c r="B190" s="21"/>
      <c r="C190" s="21"/>
      <c r="D190" s="22"/>
    </row>
    <row r="191" spans="1:4" s="20" customFormat="1" x14ac:dyDescent="0.25">
      <c r="A191" s="26"/>
      <c r="B191" s="21"/>
      <c r="C191" s="21"/>
      <c r="D191" s="22"/>
    </row>
    <row r="192" spans="1:4" s="20" customFormat="1" x14ac:dyDescent="0.25">
      <c r="A192" s="26"/>
      <c r="B192" s="21"/>
      <c r="C192" s="21"/>
      <c r="D192" s="22"/>
    </row>
    <row r="193" spans="1:4" s="20" customFormat="1" x14ac:dyDescent="0.25">
      <c r="A193" s="26"/>
      <c r="B193" s="21"/>
      <c r="C193" s="21"/>
      <c r="D193" s="22"/>
    </row>
    <row r="194" spans="1:4" s="20" customFormat="1" x14ac:dyDescent="0.25">
      <c r="A194" s="26"/>
      <c r="B194" s="21"/>
      <c r="C194" s="21"/>
      <c r="D194" s="22"/>
    </row>
    <row r="195" spans="1:4" s="20" customFormat="1" x14ac:dyDescent="0.25">
      <c r="A195" s="26"/>
      <c r="B195" s="21"/>
      <c r="C195" s="21"/>
      <c r="D195" s="22"/>
    </row>
    <row r="196" spans="1:4" s="20" customFormat="1" x14ac:dyDescent="0.25">
      <c r="A196" s="26"/>
      <c r="B196" s="21"/>
      <c r="C196" s="21"/>
      <c r="D196" s="22"/>
    </row>
    <row r="197" spans="1:4" s="20" customFormat="1" x14ac:dyDescent="0.25">
      <c r="A197" s="26"/>
      <c r="B197" s="21"/>
      <c r="C197" s="21"/>
      <c r="D197" s="22"/>
    </row>
    <row r="198" spans="1:4" s="20" customFormat="1" x14ac:dyDescent="0.25">
      <c r="A198" s="26"/>
      <c r="B198" s="21"/>
      <c r="C198" s="21"/>
      <c r="D198" s="22"/>
    </row>
    <row r="199" spans="1:4" s="20" customFormat="1" x14ac:dyDescent="0.25">
      <c r="A199" s="26"/>
      <c r="B199" s="21"/>
      <c r="C199" s="21"/>
      <c r="D199" s="22"/>
    </row>
    <row r="200" spans="1:4" s="20" customFormat="1" x14ac:dyDescent="0.25">
      <c r="A200" s="26"/>
      <c r="B200" s="21"/>
      <c r="C200" s="21"/>
      <c r="D200" s="22"/>
    </row>
    <row r="201" spans="1:4" s="20" customFormat="1" x14ac:dyDescent="0.25">
      <c r="A201" s="26"/>
      <c r="B201" s="21"/>
      <c r="C201" s="21"/>
      <c r="D201" s="22"/>
    </row>
    <row r="202" spans="1:4" s="20" customFormat="1" x14ac:dyDescent="0.25">
      <c r="A202" s="26"/>
      <c r="B202" s="21"/>
      <c r="C202" s="21"/>
      <c r="D202" s="22"/>
    </row>
    <row r="203" spans="1:4" s="20" customFormat="1" x14ac:dyDescent="0.25">
      <c r="A203" s="26"/>
      <c r="B203" s="21"/>
      <c r="C203" s="21"/>
      <c r="D203" s="22"/>
    </row>
    <row r="204" spans="1:4" s="20" customFormat="1" x14ac:dyDescent="0.25">
      <c r="A204" s="26"/>
      <c r="B204" s="21"/>
      <c r="C204" s="21"/>
      <c r="D204" s="22"/>
    </row>
    <row r="205" spans="1:4" s="20" customFormat="1" x14ac:dyDescent="0.25">
      <c r="A205" s="26"/>
      <c r="B205" s="21"/>
      <c r="C205" s="21"/>
      <c r="D205" s="22"/>
    </row>
    <row r="206" spans="1:4" s="20" customFormat="1" x14ac:dyDescent="0.25">
      <c r="A206" s="26"/>
      <c r="B206" s="21"/>
      <c r="C206" s="21"/>
      <c r="D206" s="22"/>
    </row>
    <row r="207" spans="1:4" s="20" customFormat="1" x14ac:dyDescent="0.25">
      <c r="A207" s="26"/>
      <c r="B207" s="21"/>
      <c r="C207" s="21"/>
      <c r="D207" s="22"/>
    </row>
    <row r="208" spans="1:4" s="20" customFormat="1" x14ac:dyDescent="0.25">
      <c r="A208" s="26"/>
      <c r="B208" s="21"/>
      <c r="C208" s="21"/>
      <c r="D208" s="22"/>
    </row>
    <row r="209" spans="1:4" s="20" customFormat="1" x14ac:dyDescent="0.25">
      <c r="A209" s="26"/>
      <c r="B209" s="21"/>
      <c r="C209" s="21"/>
      <c r="D209" s="22"/>
    </row>
    <row r="210" spans="1:4" s="20" customFormat="1" x14ac:dyDescent="0.25">
      <c r="A210" s="26"/>
      <c r="B210" s="21"/>
      <c r="C210" s="21"/>
      <c r="D210" s="22"/>
    </row>
    <row r="211" spans="1:4" s="20" customFormat="1" x14ac:dyDescent="0.25">
      <c r="A211" s="26"/>
      <c r="B211" s="21"/>
      <c r="C211" s="21"/>
      <c r="D211" s="22"/>
    </row>
    <row r="212" spans="1:4" s="20" customFormat="1" x14ac:dyDescent="0.25">
      <c r="A212" s="26"/>
      <c r="B212" s="21"/>
      <c r="C212" s="21"/>
      <c r="D212" s="22"/>
    </row>
    <row r="213" spans="1:4" s="20" customFormat="1" x14ac:dyDescent="0.25">
      <c r="A213" s="26"/>
      <c r="B213" s="21"/>
      <c r="C213" s="21"/>
      <c r="D213" s="22"/>
    </row>
    <row r="214" spans="1:4" s="20" customFormat="1" x14ac:dyDescent="0.25">
      <c r="A214" s="26"/>
      <c r="B214" s="21"/>
      <c r="C214" s="21"/>
      <c r="D214" s="22"/>
    </row>
    <row r="215" spans="1:4" s="20" customFormat="1" x14ac:dyDescent="0.25">
      <c r="A215" s="26"/>
      <c r="B215" s="21"/>
      <c r="C215" s="21"/>
      <c r="D215" s="22"/>
    </row>
    <row r="216" spans="1:4" s="20" customFormat="1" x14ac:dyDescent="0.25">
      <c r="A216" s="26"/>
      <c r="B216" s="21"/>
      <c r="C216" s="21"/>
      <c r="D216" s="22"/>
    </row>
    <row r="217" spans="1:4" s="20" customFormat="1" x14ac:dyDescent="0.25">
      <c r="A217" s="26"/>
      <c r="B217" s="21"/>
      <c r="C217" s="21"/>
      <c r="D217" s="22"/>
    </row>
    <row r="218" spans="1:4" s="20" customFormat="1" x14ac:dyDescent="0.25">
      <c r="A218" s="26"/>
      <c r="B218" s="21"/>
      <c r="C218" s="21"/>
      <c r="D218" s="22"/>
    </row>
    <row r="219" spans="1:4" s="20" customFormat="1" x14ac:dyDescent="0.25">
      <c r="A219" s="26"/>
      <c r="B219" s="21"/>
      <c r="C219" s="21"/>
      <c r="D219" s="22"/>
    </row>
    <row r="220" spans="1:4" s="20" customFormat="1" x14ac:dyDescent="0.25">
      <c r="A220" s="26"/>
      <c r="B220" s="21"/>
      <c r="C220" s="21"/>
      <c r="D220" s="22"/>
    </row>
    <row r="221" spans="1:4" s="20" customFormat="1" x14ac:dyDescent="0.25">
      <c r="A221" s="26"/>
      <c r="B221" s="21"/>
      <c r="C221" s="21"/>
      <c r="D221" s="22"/>
    </row>
    <row r="222" spans="1:4" s="20" customFormat="1" x14ac:dyDescent="0.25">
      <c r="A222" s="26"/>
      <c r="B222" s="21"/>
      <c r="C222" s="21"/>
      <c r="D222" s="22"/>
    </row>
    <row r="223" spans="1:4" s="20" customFormat="1" x14ac:dyDescent="0.25">
      <c r="A223" s="26"/>
      <c r="B223" s="21"/>
      <c r="C223" s="21"/>
      <c r="D223" s="22"/>
    </row>
    <row r="224" spans="1:4" s="20" customFormat="1" x14ac:dyDescent="0.25">
      <c r="A224" s="26"/>
      <c r="B224" s="21"/>
      <c r="C224" s="21"/>
      <c r="D224" s="22"/>
    </row>
    <row r="225" spans="1:4" s="20" customFormat="1" x14ac:dyDescent="0.25">
      <c r="A225" s="26"/>
      <c r="B225" s="21"/>
      <c r="C225" s="21"/>
      <c r="D225" s="22"/>
    </row>
    <row r="226" spans="1:4" s="20" customFormat="1" x14ac:dyDescent="0.25">
      <c r="A226" s="26"/>
      <c r="B226" s="21"/>
      <c r="C226" s="21"/>
      <c r="D226" s="22"/>
    </row>
    <row r="227" spans="1:4" s="20" customFormat="1" x14ac:dyDescent="0.25">
      <c r="A227" s="26"/>
      <c r="B227" s="21"/>
      <c r="C227" s="21"/>
      <c r="D227" s="22"/>
    </row>
    <row r="228" spans="1:4" s="20" customFormat="1" x14ac:dyDescent="0.25">
      <c r="A228" s="26"/>
      <c r="B228" s="21"/>
      <c r="C228" s="21"/>
      <c r="D228" s="22"/>
    </row>
    <row r="229" spans="1:4" s="20" customFormat="1" x14ac:dyDescent="0.25">
      <c r="A229" s="26"/>
      <c r="B229" s="21"/>
      <c r="C229" s="21"/>
      <c r="D229" s="22"/>
    </row>
    <row r="230" spans="1:4" s="20" customFormat="1" x14ac:dyDescent="0.25">
      <c r="A230" s="26"/>
      <c r="B230" s="21"/>
      <c r="C230" s="21"/>
      <c r="D230" s="22"/>
    </row>
    <row r="231" spans="1:4" s="20" customFormat="1" x14ac:dyDescent="0.25">
      <c r="A231" s="26"/>
      <c r="B231" s="21"/>
      <c r="C231" s="21"/>
      <c r="D231" s="22"/>
    </row>
    <row r="232" spans="1:4" s="20" customFormat="1" x14ac:dyDescent="0.25">
      <c r="A232" s="26"/>
      <c r="B232" s="21"/>
      <c r="C232" s="21"/>
      <c r="D232" s="22"/>
    </row>
    <row r="233" spans="1:4" s="20" customFormat="1" x14ac:dyDescent="0.25">
      <c r="A233" s="26"/>
      <c r="B233" s="21"/>
      <c r="C233" s="21"/>
      <c r="D233" s="22"/>
    </row>
    <row r="234" spans="1:4" s="20" customFormat="1" x14ac:dyDescent="0.25">
      <c r="A234" s="26"/>
      <c r="B234" s="21"/>
      <c r="C234" s="21"/>
      <c r="D234" s="22"/>
    </row>
    <row r="235" spans="1:4" s="20" customFormat="1" x14ac:dyDescent="0.25">
      <c r="A235" s="26"/>
      <c r="B235" s="21"/>
      <c r="C235" s="21"/>
      <c r="D235" s="22"/>
    </row>
    <row r="236" spans="1:4" s="20" customFormat="1" x14ac:dyDescent="0.25">
      <c r="A236" s="26"/>
      <c r="B236" s="21"/>
      <c r="C236" s="21"/>
      <c r="D236" s="22"/>
    </row>
    <row r="237" spans="1:4" s="20" customFormat="1" x14ac:dyDescent="0.25">
      <c r="A237" s="26"/>
      <c r="B237" s="21"/>
      <c r="C237" s="21"/>
      <c r="D237" s="22"/>
    </row>
    <row r="238" spans="1:4" s="20" customFormat="1" x14ac:dyDescent="0.25">
      <c r="A238" s="26"/>
      <c r="B238" s="21"/>
      <c r="C238" s="21"/>
      <c r="D238" s="22"/>
    </row>
    <row r="239" spans="1:4" s="20" customFormat="1" x14ac:dyDescent="0.25">
      <c r="A239" s="26"/>
      <c r="B239" s="21"/>
      <c r="C239" s="21"/>
      <c r="D239" s="22"/>
    </row>
    <row r="240" spans="1:4" s="20" customFormat="1" x14ac:dyDescent="0.25">
      <c r="A240" s="26"/>
      <c r="B240" s="21"/>
      <c r="C240" s="21"/>
      <c r="D240" s="22"/>
    </row>
    <row r="241" spans="1:4" s="20" customFormat="1" x14ac:dyDescent="0.25">
      <c r="A241" s="26"/>
      <c r="B241" s="21"/>
      <c r="C241" s="21"/>
      <c r="D241" s="22"/>
    </row>
    <row r="242" spans="1:4" s="20" customFormat="1" x14ac:dyDescent="0.25">
      <c r="A242" s="26"/>
      <c r="B242" s="21"/>
      <c r="C242" s="21"/>
      <c r="D242" s="22"/>
    </row>
    <row r="243" spans="1:4" s="20" customFormat="1" x14ac:dyDescent="0.25">
      <c r="A243" s="26"/>
      <c r="B243" s="21"/>
      <c r="C243" s="21"/>
      <c r="D243" s="22"/>
    </row>
    <row r="244" spans="1:4" s="20" customFormat="1" x14ac:dyDescent="0.25">
      <c r="A244" s="26"/>
      <c r="B244" s="21"/>
      <c r="C244" s="21"/>
      <c r="D244" s="22"/>
    </row>
    <row r="245" spans="1:4" s="20" customFormat="1" x14ac:dyDescent="0.25">
      <c r="A245" s="26"/>
      <c r="B245" s="21"/>
      <c r="C245" s="21"/>
      <c r="D245" s="22"/>
    </row>
    <row r="246" spans="1:4" s="20" customFormat="1" x14ac:dyDescent="0.25">
      <c r="A246" s="26"/>
      <c r="B246" s="21"/>
      <c r="C246" s="21"/>
      <c r="D246" s="22"/>
    </row>
    <row r="247" spans="1:4" s="20" customFormat="1" x14ac:dyDescent="0.25">
      <c r="A247" s="26"/>
      <c r="B247" s="21"/>
      <c r="C247" s="21"/>
      <c r="D247" s="22"/>
    </row>
    <row r="248" spans="1:4" s="20" customFormat="1" x14ac:dyDescent="0.25">
      <c r="A248" s="26"/>
      <c r="B248" s="21"/>
      <c r="C248" s="21"/>
      <c r="D248" s="22"/>
    </row>
    <row r="249" spans="1:4" s="20" customFormat="1" x14ac:dyDescent="0.25">
      <c r="A249" s="26"/>
      <c r="B249" s="21"/>
      <c r="C249" s="21"/>
      <c r="D249" s="22"/>
    </row>
    <row r="250" spans="1:4" s="20" customFormat="1" x14ac:dyDescent="0.25">
      <c r="A250" s="26"/>
      <c r="B250" s="21"/>
      <c r="C250" s="21"/>
      <c r="D250" s="22"/>
    </row>
    <row r="251" spans="1:4" s="20" customFormat="1" x14ac:dyDescent="0.25">
      <c r="A251" s="26"/>
      <c r="B251" s="21"/>
      <c r="C251" s="21"/>
      <c r="D251" s="22"/>
    </row>
    <row r="252" spans="1:4" s="20" customFormat="1" x14ac:dyDescent="0.25">
      <c r="A252" s="26"/>
      <c r="B252" s="21"/>
      <c r="C252" s="21"/>
      <c r="D252" s="22"/>
    </row>
    <row r="253" spans="1:4" s="20" customFormat="1" x14ac:dyDescent="0.25">
      <c r="A253" s="26"/>
      <c r="B253" s="21"/>
      <c r="C253" s="21"/>
      <c r="D253" s="22"/>
    </row>
    <row r="254" spans="1:4" s="20" customFormat="1" x14ac:dyDescent="0.25">
      <c r="A254" s="26"/>
      <c r="B254" s="21"/>
      <c r="C254" s="21"/>
      <c r="D254" s="22"/>
    </row>
    <row r="255" spans="1:4" s="20" customFormat="1" x14ac:dyDescent="0.25">
      <c r="A255" s="26"/>
      <c r="B255" s="21"/>
      <c r="C255" s="21"/>
      <c r="D255" s="22"/>
    </row>
    <row r="256" spans="1:4" s="20" customFormat="1" x14ac:dyDescent="0.25">
      <c r="A256" s="26"/>
      <c r="B256" s="21"/>
      <c r="C256" s="21"/>
      <c r="D256" s="22"/>
    </row>
    <row r="257" spans="1:4" s="20" customFormat="1" x14ac:dyDescent="0.25">
      <c r="A257" s="26"/>
      <c r="B257" s="21"/>
      <c r="C257" s="21"/>
      <c r="D257" s="22"/>
    </row>
    <row r="258" spans="1:4" s="20" customFormat="1" x14ac:dyDescent="0.25">
      <c r="A258" s="26"/>
      <c r="B258" s="21"/>
      <c r="C258" s="21"/>
      <c r="D258" s="22"/>
    </row>
    <row r="259" spans="1:4" s="20" customFormat="1" x14ac:dyDescent="0.25">
      <c r="A259" s="26"/>
      <c r="B259" s="21"/>
      <c r="C259" s="21"/>
      <c r="D259" s="22"/>
    </row>
    <row r="260" spans="1:4" s="20" customFormat="1" x14ac:dyDescent="0.25">
      <c r="A260" s="26"/>
      <c r="B260" s="21"/>
      <c r="C260" s="21"/>
      <c r="D260" s="22"/>
    </row>
    <row r="261" spans="1:4" s="20" customFormat="1" x14ac:dyDescent="0.25">
      <c r="A261" s="26"/>
      <c r="B261" s="21"/>
      <c r="C261" s="21"/>
      <c r="D261" s="22"/>
    </row>
    <row r="262" spans="1:4" s="20" customFormat="1" x14ac:dyDescent="0.25">
      <c r="A262" s="26"/>
      <c r="B262" s="21"/>
      <c r="C262" s="21"/>
      <c r="D262" s="22"/>
    </row>
    <row r="263" spans="1:4" s="20" customFormat="1" x14ac:dyDescent="0.25">
      <c r="A263" s="26"/>
      <c r="B263" s="21"/>
      <c r="C263" s="21"/>
      <c r="D263" s="22"/>
    </row>
    <row r="264" spans="1:4" s="20" customFormat="1" x14ac:dyDescent="0.25">
      <c r="A264" s="26"/>
      <c r="B264" s="21"/>
      <c r="C264" s="21"/>
      <c r="D264" s="22"/>
    </row>
    <row r="265" spans="1:4" s="20" customFormat="1" x14ac:dyDescent="0.25">
      <c r="A265" s="26"/>
      <c r="B265" s="21"/>
      <c r="C265" s="21"/>
      <c r="D265" s="22"/>
    </row>
    <row r="266" spans="1:4" s="20" customFormat="1" x14ac:dyDescent="0.25">
      <c r="A266" s="26"/>
      <c r="B266" s="21"/>
      <c r="C266" s="21"/>
      <c r="D266" s="22"/>
    </row>
    <row r="267" spans="1:4" s="20" customFormat="1" x14ac:dyDescent="0.25">
      <c r="A267" s="26"/>
      <c r="B267" s="21"/>
      <c r="C267" s="21"/>
      <c r="D267" s="22"/>
    </row>
    <row r="268" spans="1:4" s="20" customFormat="1" x14ac:dyDescent="0.25">
      <c r="A268" s="26"/>
      <c r="B268" s="21"/>
      <c r="C268" s="21"/>
      <c r="D268" s="22"/>
    </row>
    <row r="269" spans="1:4" s="20" customFormat="1" x14ac:dyDescent="0.25">
      <c r="A269" s="26"/>
      <c r="B269" s="21"/>
      <c r="C269" s="21"/>
      <c r="D269" s="22"/>
    </row>
    <row r="270" spans="1:4" s="20" customFormat="1" x14ac:dyDescent="0.25">
      <c r="A270" s="26"/>
      <c r="B270" s="21"/>
      <c r="C270" s="21"/>
      <c r="D270" s="22"/>
    </row>
    <row r="271" spans="1:4" s="20" customFormat="1" x14ac:dyDescent="0.25">
      <c r="A271" s="26"/>
      <c r="B271" s="21"/>
      <c r="C271" s="21"/>
      <c r="D271" s="22"/>
    </row>
    <row r="272" spans="1:4" s="20" customFormat="1" x14ac:dyDescent="0.25">
      <c r="A272" s="26"/>
      <c r="B272" s="21"/>
      <c r="C272" s="21"/>
      <c r="D272" s="22"/>
    </row>
    <row r="273" spans="1:4" s="20" customFormat="1" x14ac:dyDescent="0.25">
      <c r="A273" s="26"/>
      <c r="B273" s="21"/>
      <c r="C273" s="21"/>
      <c r="D273" s="22"/>
    </row>
    <row r="274" spans="1:4" s="20" customFormat="1" x14ac:dyDescent="0.25">
      <c r="A274" s="26"/>
      <c r="B274" s="21"/>
      <c r="C274" s="21"/>
      <c r="D274" s="22"/>
    </row>
    <row r="275" spans="1:4" s="20" customFormat="1" x14ac:dyDescent="0.25">
      <c r="A275" s="26"/>
      <c r="B275" s="21"/>
      <c r="C275" s="21"/>
      <c r="D275" s="22"/>
    </row>
    <row r="276" spans="1:4" s="20" customFormat="1" x14ac:dyDescent="0.25">
      <c r="A276" s="26"/>
      <c r="B276" s="21"/>
      <c r="C276" s="21"/>
      <c r="D276" s="22"/>
    </row>
    <row r="277" spans="1:4" s="20" customFormat="1" x14ac:dyDescent="0.25">
      <c r="A277" s="26"/>
      <c r="B277" s="21"/>
      <c r="C277" s="21"/>
      <c r="D277" s="22"/>
    </row>
    <row r="278" spans="1:4" s="20" customFormat="1" x14ac:dyDescent="0.25">
      <c r="A278" s="26"/>
      <c r="B278" s="21"/>
      <c r="C278" s="21"/>
      <c r="D278" s="22"/>
    </row>
    <row r="279" spans="1:4" s="20" customFormat="1" x14ac:dyDescent="0.25">
      <c r="A279" s="26"/>
      <c r="B279" s="21"/>
      <c r="C279" s="21"/>
      <c r="D279" s="22"/>
    </row>
    <row r="280" spans="1:4" s="20" customFormat="1" x14ac:dyDescent="0.25">
      <c r="A280" s="26"/>
      <c r="B280" s="21"/>
      <c r="C280" s="21"/>
      <c r="D280" s="22"/>
    </row>
    <row r="281" spans="1:4" s="20" customFormat="1" x14ac:dyDescent="0.25">
      <c r="A281" s="26"/>
      <c r="B281" s="21"/>
      <c r="C281" s="21"/>
      <c r="D281" s="22"/>
    </row>
    <row r="282" spans="1:4" s="20" customFormat="1" x14ac:dyDescent="0.25">
      <c r="A282" s="26"/>
      <c r="B282" s="21"/>
      <c r="C282" s="21"/>
      <c r="D282" s="22"/>
    </row>
    <row r="283" spans="1:4" s="20" customFormat="1" x14ac:dyDescent="0.25">
      <c r="A283" s="26"/>
      <c r="B283" s="21"/>
      <c r="C283" s="21"/>
      <c r="D283" s="22"/>
    </row>
    <row r="284" spans="1:4" s="20" customFormat="1" x14ac:dyDescent="0.25">
      <c r="A284" s="26"/>
      <c r="B284" s="21"/>
      <c r="C284" s="21"/>
      <c r="D284" s="22"/>
    </row>
    <row r="285" spans="1:4" s="20" customFormat="1" x14ac:dyDescent="0.25">
      <c r="A285" s="26"/>
      <c r="B285" s="21"/>
      <c r="C285" s="21"/>
      <c r="D285" s="22"/>
    </row>
    <row r="286" spans="1:4" s="20" customFormat="1" x14ac:dyDescent="0.25">
      <c r="A286" s="26"/>
      <c r="B286" s="21"/>
      <c r="C286" s="21"/>
      <c r="D286" s="22"/>
    </row>
    <row r="287" spans="1:4" s="20" customFormat="1" x14ac:dyDescent="0.25">
      <c r="A287" s="26"/>
      <c r="B287" s="21"/>
      <c r="C287" s="21"/>
      <c r="D287" s="22"/>
    </row>
    <row r="288" spans="1:4" s="20" customFormat="1" x14ac:dyDescent="0.25">
      <c r="A288" s="26"/>
      <c r="B288" s="21"/>
      <c r="C288" s="21"/>
      <c r="D288" s="22"/>
    </row>
    <row r="289" spans="1:4" s="20" customFormat="1" x14ac:dyDescent="0.25">
      <c r="A289" s="26"/>
      <c r="B289" s="21"/>
      <c r="C289" s="21"/>
      <c r="D289" s="22"/>
    </row>
    <row r="290" spans="1:4" s="20" customFormat="1" x14ac:dyDescent="0.25">
      <c r="A290" s="26"/>
      <c r="B290" s="21"/>
      <c r="C290" s="21"/>
      <c r="D290" s="22"/>
    </row>
    <row r="291" spans="1:4" s="20" customFormat="1" x14ac:dyDescent="0.25">
      <c r="A291" s="26"/>
      <c r="B291" s="21"/>
      <c r="C291" s="21"/>
      <c r="D291" s="22"/>
    </row>
    <row r="292" spans="1:4" s="20" customFormat="1" x14ac:dyDescent="0.25">
      <c r="A292" s="26"/>
      <c r="B292" s="21"/>
      <c r="C292" s="21"/>
      <c r="D292" s="22"/>
    </row>
    <row r="293" spans="1:4" s="20" customFormat="1" x14ac:dyDescent="0.25">
      <c r="A293" s="26"/>
      <c r="B293" s="21"/>
      <c r="C293" s="21"/>
      <c r="D293" s="22"/>
    </row>
    <row r="294" spans="1:4" s="20" customFormat="1" x14ac:dyDescent="0.25">
      <c r="A294" s="26"/>
      <c r="B294" s="21"/>
      <c r="C294" s="21"/>
      <c r="D294" s="22"/>
    </row>
    <row r="295" spans="1:4" s="20" customFormat="1" x14ac:dyDescent="0.25">
      <c r="A295" s="26"/>
      <c r="B295" s="21"/>
      <c r="C295" s="21"/>
      <c r="D295" s="22"/>
    </row>
    <row r="296" spans="1:4" s="20" customFormat="1" x14ac:dyDescent="0.25">
      <c r="A296" s="26"/>
      <c r="B296" s="21"/>
      <c r="C296" s="21"/>
      <c r="D296" s="22"/>
    </row>
    <row r="297" spans="1:4" s="20" customFormat="1" x14ac:dyDescent="0.25">
      <c r="A297" s="26"/>
      <c r="B297" s="21"/>
      <c r="C297" s="21"/>
      <c r="D297" s="22"/>
    </row>
    <row r="298" spans="1:4" s="20" customFormat="1" x14ac:dyDescent="0.25">
      <c r="A298" s="26"/>
      <c r="B298" s="21"/>
      <c r="C298" s="21"/>
      <c r="D298" s="22"/>
    </row>
    <row r="299" spans="1:4" s="20" customFormat="1" x14ac:dyDescent="0.25">
      <c r="A299" s="26"/>
      <c r="B299" s="21"/>
      <c r="C299" s="21"/>
      <c r="D299" s="22"/>
    </row>
    <row r="300" spans="1:4" s="20" customFormat="1" x14ac:dyDescent="0.25">
      <c r="A300" s="26"/>
      <c r="B300" s="21"/>
      <c r="C300" s="21"/>
      <c r="D300" s="22"/>
    </row>
    <row r="301" spans="1:4" s="20" customFormat="1" x14ac:dyDescent="0.25">
      <c r="A301" s="26"/>
      <c r="B301" s="21"/>
      <c r="C301" s="21"/>
      <c r="D301" s="22"/>
    </row>
    <row r="302" spans="1:4" s="20" customFormat="1" x14ac:dyDescent="0.25">
      <c r="A302" s="26"/>
      <c r="B302" s="21"/>
      <c r="C302" s="21"/>
      <c r="D302" s="22"/>
    </row>
    <row r="303" spans="1:4" s="20" customFormat="1" x14ac:dyDescent="0.25">
      <c r="A303" s="26"/>
      <c r="B303" s="21"/>
      <c r="C303" s="21"/>
      <c r="D303" s="22"/>
    </row>
    <row r="304" spans="1:4" s="20" customFormat="1" x14ac:dyDescent="0.25">
      <c r="A304" s="26"/>
      <c r="B304" s="21"/>
      <c r="C304" s="21"/>
      <c r="D304" s="22"/>
    </row>
    <row r="305" spans="1:4" s="20" customFormat="1" x14ac:dyDescent="0.25">
      <c r="A305" s="26"/>
      <c r="B305" s="21"/>
      <c r="C305" s="21"/>
      <c r="D305" s="22"/>
    </row>
    <row r="306" spans="1:4" s="20" customFormat="1" x14ac:dyDescent="0.25">
      <c r="A306" s="26"/>
      <c r="B306" s="21"/>
      <c r="C306" s="21"/>
      <c r="D306" s="22"/>
    </row>
    <row r="307" spans="1:4" s="20" customFormat="1" x14ac:dyDescent="0.25">
      <c r="A307" s="26"/>
      <c r="B307" s="21"/>
      <c r="C307" s="21"/>
      <c r="D307" s="22"/>
    </row>
    <row r="308" spans="1:4" s="20" customFormat="1" x14ac:dyDescent="0.25">
      <c r="A308" s="26"/>
      <c r="B308" s="21"/>
      <c r="C308" s="21"/>
      <c r="D308" s="22"/>
    </row>
    <row r="309" spans="1:4" s="20" customFormat="1" x14ac:dyDescent="0.25">
      <c r="A309" s="26"/>
      <c r="B309" s="21"/>
      <c r="C309" s="21"/>
      <c r="D309" s="22"/>
    </row>
    <row r="310" spans="1:4" s="20" customFormat="1" x14ac:dyDescent="0.25">
      <c r="A310" s="26"/>
      <c r="B310" s="21"/>
      <c r="C310" s="21"/>
      <c r="D310" s="22"/>
    </row>
    <row r="311" spans="1:4" s="20" customFormat="1" x14ac:dyDescent="0.25">
      <c r="A311" s="26"/>
      <c r="B311" s="21"/>
      <c r="C311" s="21"/>
      <c r="D311" s="22"/>
    </row>
    <row r="312" spans="1:4" s="20" customFormat="1" x14ac:dyDescent="0.25">
      <c r="A312" s="26"/>
      <c r="B312" s="21"/>
      <c r="C312" s="21"/>
      <c r="D312" s="22"/>
    </row>
    <row r="313" spans="1:4" s="20" customFormat="1" x14ac:dyDescent="0.25">
      <c r="A313" s="26"/>
      <c r="B313" s="21"/>
      <c r="C313" s="21"/>
      <c r="D313" s="22"/>
    </row>
    <row r="314" spans="1:4" s="20" customFormat="1" x14ac:dyDescent="0.25">
      <c r="A314" s="26"/>
      <c r="B314" s="21"/>
      <c r="C314" s="21"/>
      <c r="D314" s="22"/>
    </row>
    <row r="315" spans="1:4" s="20" customFormat="1" x14ac:dyDescent="0.25">
      <c r="A315" s="26"/>
      <c r="B315" s="21"/>
      <c r="C315" s="21"/>
      <c r="D315" s="22"/>
    </row>
    <row r="316" spans="1:4" s="20" customFormat="1" x14ac:dyDescent="0.25">
      <c r="A316" s="26"/>
      <c r="B316" s="21"/>
      <c r="C316" s="21"/>
      <c r="D316" s="22"/>
    </row>
    <row r="317" spans="1:4" s="20" customFormat="1" x14ac:dyDescent="0.25">
      <c r="A317" s="26"/>
      <c r="B317" s="21"/>
      <c r="C317" s="21"/>
      <c r="D317" s="22"/>
    </row>
    <row r="318" spans="1:4" s="20" customFormat="1" x14ac:dyDescent="0.25">
      <c r="A318" s="26"/>
      <c r="B318" s="21"/>
      <c r="C318" s="21"/>
      <c r="D318" s="22"/>
    </row>
    <row r="319" spans="1:4" s="20" customFormat="1" x14ac:dyDescent="0.25">
      <c r="A319" s="26"/>
      <c r="B319" s="21"/>
      <c r="C319" s="21"/>
      <c r="D319" s="22"/>
    </row>
    <row r="320" spans="1:4" s="20" customFormat="1" x14ac:dyDescent="0.25">
      <c r="A320" s="26"/>
      <c r="B320" s="21"/>
      <c r="C320" s="21"/>
      <c r="D320" s="22"/>
    </row>
    <row r="321" spans="1:4" s="20" customFormat="1" x14ac:dyDescent="0.25">
      <c r="A321" s="26"/>
      <c r="B321" s="21"/>
      <c r="C321" s="21"/>
      <c r="D321" s="22"/>
    </row>
    <row r="322" spans="1:4" s="20" customFormat="1" x14ac:dyDescent="0.25">
      <c r="A322" s="26"/>
      <c r="B322" s="21"/>
      <c r="C322" s="21"/>
      <c r="D322" s="22"/>
    </row>
    <row r="323" spans="1:4" s="20" customFormat="1" x14ac:dyDescent="0.25">
      <c r="A323" s="26"/>
      <c r="B323" s="21"/>
      <c r="C323" s="21"/>
      <c r="D323" s="22"/>
    </row>
    <row r="324" spans="1:4" s="20" customFormat="1" x14ac:dyDescent="0.25">
      <c r="A324" s="26"/>
      <c r="B324" s="21"/>
      <c r="C324" s="21"/>
      <c r="D324" s="22"/>
    </row>
    <row r="325" spans="1:4" s="20" customFormat="1" x14ac:dyDescent="0.25">
      <c r="A325" s="26"/>
      <c r="B325" s="21"/>
      <c r="C325" s="21"/>
      <c r="D325" s="22"/>
    </row>
    <row r="326" spans="1:4" s="20" customFormat="1" x14ac:dyDescent="0.25">
      <c r="A326" s="26"/>
      <c r="B326" s="21"/>
      <c r="C326" s="21"/>
      <c r="D326" s="22"/>
    </row>
    <row r="327" spans="1:4" s="20" customFormat="1" x14ac:dyDescent="0.25">
      <c r="A327" s="26"/>
      <c r="B327" s="21"/>
      <c r="C327" s="21"/>
      <c r="D327" s="22"/>
    </row>
    <row r="328" spans="1:4" s="20" customFormat="1" x14ac:dyDescent="0.25">
      <c r="A328" s="26"/>
      <c r="B328" s="21"/>
      <c r="C328" s="21"/>
      <c r="D328" s="22"/>
    </row>
    <row r="329" spans="1:4" s="20" customFormat="1" x14ac:dyDescent="0.25">
      <c r="A329" s="26"/>
      <c r="B329" s="21"/>
      <c r="C329" s="21"/>
      <c r="D329" s="22"/>
    </row>
    <row r="330" spans="1:4" s="20" customFormat="1" x14ac:dyDescent="0.25">
      <c r="A330" s="26"/>
      <c r="B330" s="21"/>
      <c r="C330" s="21"/>
      <c r="D330" s="22"/>
    </row>
    <row r="331" spans="1:4" s="20" customFormat="1" x14ac:dyDescent="0.25">
      <c r="A331" s="26"/>
      <c r="B331" s="21"/>
      <c r="C331" s="21"/>
      <c r="D331" s="22"/>
    </row>
    <row r="332" spans="1:4" s="20" customFormat="1" x14ac:dyDescent="0.25">
      <c r="A332" s="26"/>
      <c r="B332" s="21"/>
      <c r="C332" s="21"/>
      <c r="D332" s="22"/>
    </row>
    <row r="333" spans="1:4" s="20" customFormat="1" x14ac:dyDescent="0.25">
      <c r="A333" s="26"/>
      <c r="B333" s="21"/>
      <c r="C333" s="21"/>
      <c r="D333" s="22"/>
    </row>
    <row r="334" spans="1:4" s="20" customFormat="1" x14ac:dyDescent="0.25">
      <c r="A334" s="26"/>
      <c r="B334" s="21"/>
      <c r="C334" s="21"/>
      <c r="D334" s="22"/>
    </row>
    <row r="335" spans="1:4" s="20" customFormat="1" x14ac:dyDescent="0.25">
      <c r="A335" s="26"/>
      <c r="B335" s="21"/>
      <c r="C335" s="21"/>
      <c r="D335" s="22"/>
    </row>
    <row r="336" spans="1:4" s="20" customFormat="1" x14ac:dyDescent="0.25">
      <c r="A336" s="26"/>
      <c r="B336" s="21"/>
      <c r="C336" s="21"/>
      <c r="D336" s="22"/>
    </row>
    <row r="337" spans="1:4" s="20" customFormat="1" x14ac:dyDescent="0.25">
      <c r="A337" s="26"/>
      <c r="B337" s="21"/>
      <c r="C337" s="21"/>
      <c r="D337" s="22"/>
    </row>
    <row r="338" spans="1:4" s="20" customFormat="1" x14ac:dyDescent="0.25">
      <c r="A338" s="26"/>
      <c r="B338" s="21"/>
      <c r="C338" s="21"/>
      <c r="D338" s="22"/>
    </row>
    <row r="339" spans="1:4" s="20" customFormat="1" x14ac:dyDescent="0.25">
      <c r="A339" s="26"/>
      <c r="B339" s="21"/>
      <c r="C339" s="21"/>
      <c r="D339" s="22"/>
    </row>
    <row r="340" spans="1:4" s="20" customFormat="1" x14ac:dyDescent="0.25">
      <c r="A340" s="26"/>
      <c r="B340" s="21"/>
      <c r="C340" s="21"/>
      <c r="D340" s="22"/>
    </row>
    <row r="341" spans="1:4" s="20" customFormat="1" x14ac:dyDescent="0.25">
      <c r="A341" s="26"/>
      <c r="B341" s="21"/>
      <c r="C341" s="21"/>
      <c r="D341" s="22"/>
    </row>
    <row r="342" spans="1:4" s="20" customFormat="1" x14ac:dyDescent="0.25">
      <c r="A342" s="26"/>
      <c r="B342" s="21"/>
      <c r="C342" s="21"/>
      <c r="D342" s="22"/>
    </row>
    <row r="343" spans="1:4" s="20" customFormat="1" x14ac:dyDescent="0.25">
      <c r="A343" s="26"/>
      <c r="B343" s="21"/>
      <c r="C343" s="21"/>
      <c r="D343" s="22"/>
    </row>
    <row r="344" spans="1:4" s="20" customFormat="1" x14ac:dyDescent="0.25">
      <c r="A344" s="26"/>
      <c r="B344" s="21"/>
      <c r="C344" s="21"/>
      <c r="D344" s="22"/>
    </row>
    <row r="345" spans="1:4" s="20" customFormat="1" x14ac:dyDescent="0.25">
      <c r="A345" s="26"/>
      <c r="B345" s="21"/>
      <c r="C345" s="21"/>
      <c r="D345" s="22"/>
    </row>
    <row r="346" spans="1:4" s="20" customFormat="1" x14ac:dyDescent="0.25">
      <c r="A346" s="26"/>
      <c r="B346" s="21"/>
      <c r="C346" s="21"/>
      <c r="D346" s="22"/>
    </row>
    <row r="347" spans="1:4" s="20" customFormat="1" x14ac:dyDescent="0.25">
      <c r="A347" s="26"/>
      <c r="B347" s="21"/>
      <c r="C347" s="21"/>
      <c r="D347" s="22"/>
    </row>
    <row r="348" spans="1:4" s="20" customFormat="1" x14ac:dyDescent="0.25">
      <c r="A348" s="26"/>
      <c r="B348" s="21"/>
      <c r="C348" s="21"/>
      <c r="D348" s="22"/>
    </row>
    <row r="349" spans="1:4" s="20" customFormat="1" x14ac:dyDescent="0.25">
      <c r="A349" s="26"/>
      <c r="B349" s="21"/>
      <c r="C349" s="21"/>
      <c r="D349" s="22"/>
    </row>
    <row r="350" spans="1:4" s="20" customFormat="1" x14ac:dyDescent="0.25">
      <c r="A350" s="26"/>
      <c r="B350" s="21"/>
      <c r="C350" s="21"/>
      <c r="D350" s="22"/>
    </row>
    <row r="351" spans="1:4" s="20" customFormat="1" x14ac:dyDescent="0.25">
      <c r="A351" s="26"/>
      <c r="B351" s="21"/>
      <c r="C351" s="21"/>
      <c r="D351" s="22"/>
    </row>
    <row r="352" spans="1:4" s="20" customFormat="1" x14ac:dyDescent="0.25">
      <c r="A352" s="26"/>
      <c r="B352" s="21"/>
      <c r="C352" s="21"/>
      <c r="D352" s="22"/>
    </row>
    <row r="353" spans="1:4" s="20" customFormat="1" x14ac:dyDescent="0.25">
      <c r="A353" s="26"/>
      <c r="B353" s="21"/>
      <c r="C353" s="21"/>
      <c r="D353" s="22"/>
    </row>
    <row r="354" spans="1:4" s="20" customFormat="1" x14ac:dyDescent="0.25">
      <c r="A354" s="26"/>
      <c r="B354" s="21"/>
      <c r="C354" s="21"/>
      <c r="D354" s="22"/>
    </row>
    <row r="355" spans="1:4" s="20" customFormat="1" x14ac:dyDescent="0.25">
      <c r="A355" s="26"/>
      <c r="B355" s="21"/>
      <c r="C355" s="21"/>
      <c r="D355" s="22"/>
    </row>
    <row r="356" spans="1:4" s="20" customFormat="1" x14ac:dyDescent="0.25">
      <c r="A356" s="26"/>
      <c r="B356" s="21"/>
      <c r="C356" s="21"/>
      <c r="D356" s="22"/>
    </row>
    <row r="357" spans="1:4" s="20" customFormat="1" x14ac:dyDescent="0.25">
      <c r="A357" s="26"/>
      <c r="B357" s="21"/>
      <c r="C357" s="21"/>
      <c r="D357" s="22"/>
    </row>
    <row r="358" spans="1:4" s="20" customFormat="1" x14ac:dyDescent="0.25">
      <c r="A358" s="26"/>
      <c r="B358" s="21"/>
      <c r="C358" s="21"/>
      <c r="D358" s="22"/>
    </row>
    <row r="359" spans="1:4" s="20" customFormat="1" x14ac:dyDescent="0.25">
      <c r="A359" s="26"/>
      <c r="B359" s="21"/>
      <c r="C359" s="21"/>
      <c r="D359" s="22"/>
    </row>
    <row r="360" spans="1:4" s="20" customFormat="1" x14ac:dyDescent="0.25">
      <c r="A360" s="26"/>
      <c r="B360" s="21"/>
      <c r="C360" s="21"/>
      <c r="D360" s="22"/>
    </row>
    <row r="361" spans="1:4" s="20" customFormat="1" x14ac:dyDescent="0.25">
      <c r="A361" s="26"/>
      <c r="B361" s="21"/>
      <c r="C361" s="21"/>
      <c r="D361" s="22"/>
    </row>
    <row r="362" spans="1:4" s="20" customFormat="1" x14ac:dyDescent="0.25">
      <c r="A362" s="26"/>
      <c r="B362" s="21"/>
      <c r="C362" s="21"/>
      <c r="D362" s="22"/>
    </row>
    <row r="363" spans="1:4" s="20" customFormat="1" x14ac:dyDescent="0.25">
      <c r="A363" s="26"/>
      <c r="B363" s="21"/>
      <c r="C363" s="21"/>
      <c r="D363" s="22"/>
    </row>
    <row r="364" spans="1:4" s="20" customFormat="1" x14ac:dyDescent="0.25">
      <c r="A364" s="26"/>
      <c r="B364" s="21"/>
      <c r="C364" s="21"/>
      <c r="D364" s="22"/>
    </row>
    <row r="365" spans="1:4" s="20" customFormat="1" x14ac:dyDescent="0.25">
      <c r="A365" s="26"/>
      <c r="B365" s="21"/>
      <c r="C365" s="21"/>
      <c r="D365" s="22"/>
    </row>
    <row r="366" spans="1:4" s="20" customFormat="1" x14ac:dyDescent="0.25">
      <c r="A366" s="26"/>
      <c r="B366" s="21"/>
      <c r="C366" s="21"/>
      <c r="D366" s="22"/>
    </row>
    <row r="367" spans="1:4" s="20" customFormat="1" x14ac:dyDescent="0.25">
      <c r="A367" s="26"/>
      <c r="B367" s="21"/>
      <c r="C367" s="21"/>
      <c r="D367" s="22"/>
    </row>
    <row r="368" spans="1:4" s="20" customFormat="1" x14ac:dyDescent="0.25">
      <c r="A368" s="26"/>
      <c r="B368" s="21"/>
      <c r="C368" s="21"/>
      <c r="D368" s="22"/>
    </row>
    <row r="369" spans="1:4" s="20" customFormat="1" x14ac:dyDescent="0.25">
      <c r="A369" s="26"/>
      <c r="B369" s="21"/>
      <c r="C369" s="21"/>
      <c r="D369" s="22"/>
    </row>
    <row r="370" spans="1:4" s="20" customFormat="1" x14ac:dyDescent="0.25">
      <c r="A370" s="26"/>
      <c r="B370" s="21"/>
      <c r="C370" s="21"/>
      <c r="D370" s="22"/>
    </row>
    <row r="371" spans="1:4" s="20" customFormat="1" x14ac:dyDescent="0.25">
      <c r="A371" s="26"/>
      <c r="B371" s="21"/>
      <c r="C371" s="21"/>
      <c r="D371" s="22"/>
    </row>
    <row r="372" spans="1:4" s="20" customFormat="1" x14ac:dyDescent="0.25">
      <c r="A372" s="26"/>
      <c r="B372" s="21"/>
      <c r="C372" s="21"/>
      <c r="D372" s="22"/>
    </row>
    <row r="373" spans="1:4" s="20" customFormat="1" x14ac:dyDescent="0.25">
      <c r="A373" s="26"/>
      <c r="B373" s="21"/>
      <c r="C373" s="21"/>
      <c r="D373" s="22"/>
    </row>
    <row r="374" spans="1:4" s="20" customFormat="1" x14ac:dyDescent="0.25">
      <c r="A374" s="26"/>
      <c r="B374" s="21"/>
      <c r="C374" s="21"/>
      <c r="D374" s="22"/>
    </row>
    <row r="375" spans="1:4" s="20" customFormat="1" x14ac:dyDescent="0.25">
      <c r="A375" s="26"/>
      <c r="B375" s="21"/>
      <c r="C375" s="21"/>
      <c r="D375" s="22"/>
    </row>
    <row r="376" spans="1:4" s="20" customFormat="1" x14ac:dyDescent="0.25">
      <c r="A376" s="26"/>
      <c r="B376" s="21"/>
      <c r="C376" s="21"/>
      <c r="D376" s="22"/>
    </row>
    <row r="377" spans="1:4" s="20" customFormat="1" x14ac:dyDescent="0.25">
      <c r="A377" s="26"/>
      <c r="B377" s="21"/>
      <c r="C377" s="21"/>
      <c r="D377" s="22"/>
    </row>
    <row r="378" spans="1:4" s="20" customFormat="1" x14ac:dyDescent="0.25">
      <c r="A378" s="26"/>
      <c r="B378" s="21"/>
      <c r="C378" s="21"/>
      <c r="D378" s="22"/>
    </row>
    <row r="379" spans="1:4" s="20" customFormat="1" x14ac:dyDescent="0.25">
      <c r="A379" s="26"/>
      <c r="B379" s="21"/>
      <c r="C379" s="21"/>
      <c r="D379" s="22"/>
    </row>
    <row r="380" spans="1:4" s="20" customFormat="1" x14ac:dyDescent="0.25">
      <c r="A380" s="26"/>
      <c r="B380" s="21"/>
      <c r="C380" s="21"/>
      <c r="D380" s="22"/>
    </row>
    <row r="381" spans="1:4" s="20" customFormat="1" x14ac:dyDescent="0.25">
      <c r="A381" s="26"/>
      <c r="B381" s="21"/>
      <c r="C381" s="21"/>
      <c r="D381" s="22"/>
    </row>
    <row r="382" spans="1:4" s="20" customFormat="1" x14ac:dyDescent="0.25">
      <c r="A382" s="26"/>
      <c r="B382" s="21"/>
      <c r="C382" s="21"/>
      <c r="D382" s="22"/>
    </row>
    <row r="383" spans="1:4" s="20" customFormat="1" x14ac:dyDescent="0.25">
      <c r="A383" s="26"/>
      <c r="B383" s="21"/>
      <c r="C383" s="21"/>
      <c r="D383" s="22"/>
    </row>
    <row r="384" spans="1:4" s="20" customFormat="1" x14ac:dyDescent="0.25">
      <c r="A384" s="26"/>
      <c r="B384" s="21"/>
      <c r="C384" s="21"/>
      <c r="D384" s="22"/>
    </row>
    <row r="385" spans="1:4" s="20" customFormat="1" x14ac:dyDescent="0.25">
      <c r="A385" s="26"/>
      <c r="B385" s="21"/>
      <c r="C385" s="21"/>
      <c r="D385" s="22"/>
    </row>
    <row r="386" spans="1:4" s="20" customFormat="1" x14ac:dyDescent="0.25">
      <c r="A386" s="26"/>
      <c r="B386" s="21"/>
      <c r="C386" s="21"/>
      <c r="D386" s="22"/>
    </row>
    <row r="387" spans="1:4" s="20" customFormat="1" x14ac:dyDescent="0.25">
      <c r="A387" s="26"/>
      <c r="B387" s="21"/>
      <c r="C387" s="21"/>
      <c r="D387" s="22"/>
    </row>
    <row r="388" spans="1:4" s="20" customFormat="1" x14ac:dyDescent="0.25">
      <c r="A388" s="26"/>
      <c r="B388" s="21"/>
      <c r="C388" s="21"/>
      <c r="D388" s="22"/>
    </row>
    <row r="389" spans="1:4" s="20" customFormat="1" x14ac:dyDescent="0.25">
      <c r="A389" s="26"/>
      <c r="B389" s="21"/>
      <c r="C389" s="21"/>
      <c r="D389" s="22"/>
    </row>
    <row r="390" spans="1:4" s="20" customFormat="1" x14ac:dyDescent="0.25">
      <c r="A390" s="26"/>
      <c r="B390" s="21"/>
      <c r="C390" s="21"/>
      <c r="D390" s="22"/>
    </row>
    <row r="391" spans="1:4" s="20" customFormat="1" x14ac:dyDescent="0.25">
      <c r="A391" s="26"/>
      <c r="B391" s="21"/>
      <c r="C391" s="21"/>
      <c r="D391" s="22"/>
    </row>
    <row r="392" spans="1:4" s="20" customFormat="1" x14ac:dyDescent="0.25">
      <c r="A392" s="26"/>
      <c r="B392" s="21"/>
      <c r="C392" s="21"/>
      <c r="D392" s="22"/>
    </row>
    <row r="393" spans="1:4" s="20" customFormat="1" x14ac:dyDescent="0.25">
      <c r="A393" s="26"/>
      <c r="B393" s="21"/>
      <c r="C393" s="21"/>
      <c r="D393" s="22"/>
    </row>
    <row r="394" spans="1:4" s="20" customFormat="1" x14ac:dyDescent="0.25">
      <c r="A394" s="26"/>
      <c r="B394" s="21"/>
      <c r="C394" s="21"/>
      <c r="D394" s="22"/>
    </row>
    <row r="395" spans="1:4" s="20" customFormat="1" x14ac:dyDescent="0.25">
      <c r="A395" s="26"/>
      <c r="B395" s="21"/>
      <c r="C395" s="21"/>
      <c r="D395" s="22"/>
    </row>
    <row r="396" spans="1:4" s="20" customFormat="1" x14ac:dyDescent="0.25">
      <c r="A396" s="26"/>
      <c r="B396" s="21"/>
      <c r="C396" s="21"/>
      <c r="D396" s="22"/>
    </row>
    <row r="397" spans="1:4" s="20" customFormat="1" x14ac:dyDescent="0.25">
      <c r="A397" s="26"/>
      <c r="B397" s="21"/>
      <c r="C397" s="21"/>
      <c r="D397" s="22"/>
    </row>
    <row r="398" spans="1:4" s="20" customFormat="1" x14ac:dyDescent="0.25">
      <c r="A398" s="26"/>
      <c r="B398" s="21"/>
      <c r="C398" s="21"/>
      <c r="D398" s="22"/>
    </row>
    <row r="399" spans="1:4" s="20" customFormat="1" x14ac:dyDescent="0.25">
      <c r="A399" s="26"/>
      <c r="B399" s="21"/>
      <c r="C399" s="21"/>
      <c r="D399" s="22"/>
    </row>
    <row r="400" spans="1:4" s="20" customFormat="1" x14ac:dyDescent="0.25">
      <c r="A400" s="26"/>
      <c r="B400" s="21"/>
      <c r="C400" s="21"/>
      <c r="D400" s="22"/>
    </row>
    <row r="401" spans="1:4" s="20" customFormat="1" x14ac:dyDescent="0.25">
      <c r="A401" s="26"/>
      <c r="B401" s="21"/>
      <c r="C401" s="21"/>
      <c r="D401" s="22"/>
    </row>
    <row r="402" spans="1:4" s="20" customFormat="1" x14ac:dyDescent="0.25">
      <c r="A402" s="26"/>
      <c r="B402" s="21"/>
      <c r="C402" s="21"/>
      <c r="D402" s="22"/>
    </row>
    <row r="403" spans="1:4" s="20" customFormat="1" x14ac:dyDescent="0.25">
      <c r="A403" s="26"/>
      <c r="B403" s="21"/>
      <c r="C403" s="21"/>
      <c r="D403" s="22"/>
    </row>
    <row r="404" spans="1:4" s="20" customFormat="1" x14ac:dyDescent="0.25">
      <c r="A404" s="26"/>
      <c r="B404" s="21"/>
      <c r="C404" s="21"/>
      <c r="D404" s="22"/>
    </row>
    <row r="405" spans="1:4" s="20" customFormat="1" x14ac:dyDescent="0.25">
      <c r="A405" s="26"/>
      <c r="B405" s="21"/>
      <c r="C405" s="21"/>
      <c r="D405" s="22"/>
    </row>
    <row r="406" spans="1:4" s="20" customFormat="1" x14ac:dyDescent="0.25">
      <c r="A406" s="26"/>
      <c r="B406" s="21"/>
      <c r="C406" s="21"/>
      <c r="D406" s="22"/>
    </row>
    <row r="407" spans="1:4" s="20" customFormat="1" x14ac:dyDescent="0.25">
      <c r="A407" s="26"/>
      <c r="B407" s="21"/>
      <c r="C407" s="21"/>
      <c r="D407" s="22"/>
    </row>
    <row r="408" spans="1:4" s="20" customFormat="1" x14ac:dyDescent="0.25">
      <c r="A408" s="26"/>
      <c r="B408" s="21"/>
      <c r="C408" s="21"/>
      <c r="D408" s="22"/>
    </row>
    <row r="409" spans="1:4" s="20" customFormat="1" x14ac:dyDescent="0.25">
      <c r="A409" s="26"/>
      <c r="B409" s="21"/>
      <c r="C409" s="21"/>
      <c r="D409" s="22"/>
    </row>
    <row r="410" spans="1:4" s="20" customFormat="1" x14ac:dyDescent="0.25">
      <c r="A410" s="26"/>
      <c r="B410" s="21"/>
      <c r="C410" s="21"/>
      <c r="D410" s="22"/>
    </row>
    <row r="411" spans="1:4" s="20" customFormat="1" x14ac:dyDescent="0.25">
      <c r="A411" s="26"/>
      <c r="B411" s="21"/>
      <c r="C411" s="21"/>
      <c r="D411" s="22"/>
    </row>
    <row r="412" spans="1:4" s="20" customFormat="1" x14ac:dyDescent="0.25">
      <c r="A412" s="26"/>
      <c r="B412" s="21"/>
      <c r="C412" s="21"/>
      <c r="D412" s="22"/>
    </row>
    <row r="413" spans="1:4" s="20" customFormat="1" x14ac:dyDescent="0.25">
      <c r="A413" s="26"/>
      <c r="B413" s="21"/>
      <c r="C413" s="21"/>
      <c r="D413" s="22"/>
    </row>
    <row r="414" spans="1:4" s="20" customFormat="1" x14ac:dyDescent="0.25">
      <c r="A414" s="26"/>
      <c r="B414" s="21"/>
      <c r="C414" s="21"/>
      <c r="D414" s="22"/>
    </row>
    <row r="415" spans="1:4" s="20" customFormat="1" x14ac:dyDescent="0.25">
      <c r="A415" s="26"/>
      <c r="B415" s="21"/>
      <c r="C415" s="21"/>
      <c r="D415" s="22"/>
    </row>
    <row r="416" spans="1:4" s="20" customFormat="1" x14ac:dyDescent="0.25">
      <c r="A416" s="26"/>
      <c r="B416" s="21"/>
      <c r="C416" s="21"/>
      <c r="D416" s="22"/>
    </row>
    <row r="417" spans="1:4" s="20" customFormat="1" x14ac:dyDescent="0.25">
      <c r="A417" s="26"/>
      <c r="B417" s="21"/>
      <c r="C417" s="21"/>
      <c r="D417" s="22"/>
    </row>
    <row r="418" spans="1:4" s="20" customFormat="1" x14ac:dyDescent="0.25">
      <c r="A418" s="26"/>
      <c r="B418" s="21"/>
      <c r="C418" s="21"/>
      <c r="D418" s="22"/>
    </row>
    <row r="419" spans="1:4" s="20" customFormat="1" x14ac:dyDescent="0.25">
      <c r="A419" s="26"/>
      <c r="B419" s="21"/>
      <c r="C419" s="21"/>
      <c r="D419" s="22"/>
    </row>
    <row r="420" spans="1:4" s="20" customFormat="1" x14ac:dyDescent="0.25">
      <c r="A420" s="26"/>
      <c r="B420" s="21"/>
      <c r="C420" s="21"/>
      <c r="D420" s="22"/>
    </row>
    <row r="421" spans="1:4" s="20" customFormat="1" x14ac:dyDescent="0.25">
      <c r="A421" s="26"/>
      <c r="B421" s="21"/>
      <c r="C421" s="21"/>
      <c r="D421" s="22"/>
    </row>
    <row r="422" spans="1:4" s="20" customFormat="1" x14ac:dyDescent="0.25">
      <c r="A422" s="26"/>
      <c r="B422" s="21"/>
      <c r="C422" s="21"/>
      <c r="D422" s="22"/>
    </row>
    <row r="423" spans="1:4" s="20" customFormat="1" x14ac:dyDescent="0.25">
      <c r="A423" s="26"/>
      <c r="B423" s="21"/>
      <c r="C423" s="21"/>
      <c r="D423" s="22"/>
    </row>
    <row r="424" spans="1:4" s="20" customFormat="1" x14ac:dyDescent="0.25">
      <c r="A424" s="26"/>
      <c r="B424" s="21"/>
      <c r="C424" s="21"/>
      <c r="D424" s="22"/>
    </row>
    <row r="425" spans="1:4" s="20" customFormat="1" x14ac:dyDescent="0.25">
      <c r="A425" s="26"/>
      <c r="B425" s="21"/>
      <c r="C425" s="21"/>
      <c r="D425" s="22"/>
    </row>
    <row r="426" spans="1:4" s="20" customFormat="1" x14ac:dyDescent="0.25">
      <c r="A426" s="26"/>
      <c r="B426" s="21"/>
      <c r="C426" s="21"/>
      <c r="D426" s="22"/>
    </row>
    <row r="427" spans="1:4" s="20" customFormat="1" x14ac:dyDescent="0.25">
      <c r="A427" s="26"/>
      <c r="B427" s="21"/>
      <c r="C427" s="21"/>
      <c r="D427" s="22"/>
    </row>
    <row r="428" spans="1:4" s="20" customFormat="1" x14ac:dyDescent="0.25">
      <c r="A428" s="26"/>
      <c r="B428" s="21"/>
      <c r="C428" s="21"/>
      <c r="D428" s="22"/>
    </row>
    <row r="429" spans="1:4" s="20" customFormat="1" x14ac:dyDescent="0.25">
      <c r="A429" s="26"/>
      <c r="B429" s="21"/>
      <c r="C429" s="21"/>
      <c r="D429" s="22"/>
    </row>
    <row r="430" spans="1:4" s="20" customFormat="1" x14ac:dyDescent="0.25">
      <c r="A430" s="26"/>
      <c r="B430" s="21"/>
      <c r="C430" s="21"/>
      <c r="D430" s="22"/>
    </row>
    <row r="431" spans="1:4" s="20" customFormat="1" x14ac:dyDescent="0.25">
      <c r="A431" s="26"/>
      <c r="B431" s="21"/>
      <c r="C431" s="21"/>
      <c r="D431" s="22"/>
    </row>
    <row r="432" spans="1:4" s="20" customFormat="1" x14ac:dyDescent="0.25">
      <c r="A432" s="26"/>
      <c r="B432" s="21"/>
      <c r="C432" s="21"/>
      <c r="D432" s="22"/>
    </row>
    <row r="433" spans="1:4" s="20" customFormat="1" x14ac:dyDescent="0.25">
      <c r="A433" s="26"/>
      <c r="B433" s="21"/>
      <c r="C433" s="21"/>
      <c r="D433" s="22"/>
    </row>
    <row r="434" spans="1:4" s="20" customFormat="1" x14ac:dyDescent="0.25">
      <c r="A434" s="26"/>
      <c r="B434" s="21"/>
      <c r="C434" s="21"/>
      <c r="D434" s="22"/>
    </row>
    <row r="435" spans="1:4" s="20" customFormat="1" x14ac:dyDescent="0.25">
      <c r="A435" s="26"/>
      <c r="B435" s="21"/>
      <c r="C435" s="21"/>
      <c r="D435" s="22"/>
    </row>
    <row r="436" spans="1:4" s="20" customFormat="1" x14ac:dyDescent="0.25">
      <c r="A436" s="26"/>
      <c r="B436" s="21"/>
      <c r="C436" s="21"/>
      <c r="D436" s="22"/>
    </row>
    <row r="437" spans="1:4" s="20" customFormat="1" x14ac:dyDescent="0.25">
      <c r="A437" s="26"/>
      <c r="B437" s="21"/>
      <c r="C437" s="21"/>
      <c r="D437" s="22"/>
    </row>
    <row r="438" spans="1:4" s="20" customFormat="1" x14ac:dyDescent="0.25">
      <c r="A438" s="26"/>
      <c r="B438" s="21"/>
      <c r="C438" s="21"/>
      <c r="D438" s="22"/>
    </row>
    <row r="439" spans="1:4" s="20" customFormat="1" x14ac:dyDescent="0.25">
      <c r="A439" s="26"/>
      <c r="B439" s="21"/>
      <c r="C439" s="21"/>
      <c r="D439" s="22"/>
    </row>
    <row r="440" spans="1:4" s="20" customFormat="1" x14ac:dyDescent="0.25">
      <c r="A440" s="26"/>
      <c r="B440" s="21"/>
      <c r="C440" s="21"/>
      <c r="D440" s="22"/>
    </row>
    <row r="441" spans="1:4" s="20" customFormat="1" x14ac:dyDescent="0.25">
      <c r="A441" s="26"/>
      <c r="B441" s="21"/>
      <c r="C441" s="21"/>
      <c r="D441" s="22"/>
    </row>
    <row r="442" spans="1:4" s="20" customFormat="1" x14ac:dyDescent="0.25">
      <c r="A442" s="26"/>
      <c r="B442" s="21"/>
      <c r="C442" s="21"/>
      <c r="D442" s="22"/>
    </row>
    <row r="443" spans="1:4" s="20" customFormat="1" x14ac:dyDescent="0.25">
      <c r="A443" s="26"/>
      <c r="B443" s="21"/>
      <c r="C443" s="21"/>
      <c r="D443" s="22"/>
    </row>
    <row r="444" spans="1:4" s="20" customFormat="1" x14ac:dyDescent="0.25">
      <c r="A444" s="26"/>
      <c r="B444" s="21"/>
      <c r="C444" s="21"/>
      <c r="D444" s="22"/>
    </row>
    <row r="445" spans="1:4" s="20" customFormat="1" x14ac:dyDescent="0.25">
      <c r="A445" s="26"/>
      <c r="B445" s="21"/>
      <c r="C445" s="21"/>
      <c r="D445" s="22"/>
    </row>
    <row r="446" spans="1:4" s="20" customFormat="1" x14ac:dyDescent="0.25">
      <c r="A446" s="26"/>
      <c r="B446" s="21"/>
      <c r="C446" s="21"/>
      <c r="D446" s="22"/>
    </row>
    <row r="447" spans="1:4" s="20" customFormat="1" x14ac:dyDescent="0.25">
      <c r="A447" s="26"/>
      <c r="B447" s="21"/>
      <c r="C447" s="21"/>
      <c r="D447" s="22"/>
    </row>
    <row r="448" spans="1:4" s="20" customFormat="1" x14ac:dyDescent="0.25">
      <c r="A448" s="26"/>
      <c r="B448" s="21"/>
      <c r="C448" s="21"/>
      <c r="D448" s="22"/>
    </row>
    <row r="449" spans="1:4" s="20" customFormat="1" x14ac:dyDescent="0.25">
      <c r="A449" s="26"/>
      <c r="B449" s="21"/>
      <c r="C449" s="21"/>
      <c r="D449" s="22"/>
    </row>
    <row r="450" spans="1:4" s="20" customFormat="1" x14ac:dyDescent="0.25">
      <c r="A450" s="26"/>
      <c r="B450" s="21"/>
      <c r="C450" s="21"/>
      <c r="D450" s="22"/>
    </row>
    <row r="451" spans="1:4" s="20" customFormat="1" x14ac:dyDescent="0.25">
      <c r="A451" s="26"/>
      <c r="B451" s="21"/>
      <c r="C451" s="21"/>
      <c r="D451" s="22"/>
    </row>
    <row r="452" spans="1:4" s="20" customFormat="1" x14ac:dyDescent="0.25">
      <c r="A452" s="26"/>
      <c r="B452" s="21"/>
      <c r="C452" s="21"/>
      <c r="D452" s="22"/>
    </row>
    <row r="453" spans="1:4" s="20" customFormat="1" x14ac:dyDescent="0.25">
      <c r="A453" s="26"/>
      <c r="B453" s="21"/>
      <c r="C453" s="21"/>
      <c r="D453" s="22"/>
    </row>
    <row r="454" spans="1:4" s="20" customFormat="1" x14ac:dyDescent="0.25">
      <c r="A454" s="26"/>
      <c r="B454" s="21"/>
      <c r="C454" s="21"/>
      <c r="D454" s="22"/>
    </row>
    <row r="455" spans="1:4" s="20" customFormat="1" x14ac:dyDescent="0.25">
      <c r="A455" s="26"/>
      <c r="B455" s="21"/>
      <c r="C455" s="21"/>
      <c r="D455" s="22"/>
    </row>
    <row r="456" spans="1:4" s="20" customFormat="1" x14ac:dyDescent="0.25">
      <c r="A456" s="26"/>
      <c r="B456" s="21"/>
      <c r="C456" s="21"/>
      <c r="D456" s="22"/>
    </row>
    <row r="457" spans="1:4" s="20" customFormat="1" x14ac:dyDescent="0.25">
      <c r="A457" s="26"/>
      <c r="B457" s="21"/>
      <c r="C457" s="21"/>
      <c r="D457" s="22"/>
    </row>
    <row r="458" spans="1:4" s="20" customFormat="1" x14ac:dyDescent="0.25">
      <c r="A458" s="26"/>
      <c r="B458" s="21"/>
      <c r="C458" s="21"/>
      <c r="D458" s="22"/>
    </row>
    <row r="459" spans="1:4" s="20" customFormat="1" x14ac:dyDescent="0.25">
      <c r="A459" s="26"/>
      <c r="B459" s="21"/>
      <c r="C459" s="21"/>
      <c r="D459" s="22"/>
    </row>
    <row r="460" spans="1:4" s="20" customFormat="1" x14ac:dyDescent="0.25">
      <c r="A460" s="26"/>
      <c r="B460" s="21"/>
      <c r="C460" s="21"/>
      <c r="D460" s="22"/>
    </row>
    <row r="461" spans="1:4" s="20" customFormat="1" x14ac:dyDescent="0.25">
      <c r="A461" s="26"/>
      <c r="B461" s="21"/>
      <c r="C461" s="21"/>
      <c r="D461" s="22"/>
    </row>
    <row r="462" spans="1:4" s="20" customFormat="1" x14ac:dyDescent="0.25">
      <c r="A462" s="26"/>
      <c r="B462" s="21"/>
      <c r="C462" s="21"/>
      <c r="D462" s="22"/>
    </row>
    <row r="463" spans="1:4" s="20" customFormat="1" x14ac:dyDescent="0.25">
      <c r="A463" s="26"/>
      <c r="B463" s="21"/>
      <c r="C463" s="21"/>
      <c r="D463" s="22"/>
    </row>
    <row r="464" spans="1:4" s="20" customFormat="1" x14ac:dyDescent="0.25">
      <c r="A464" s="26"/>
      <c r="B464" s="21"/>
      <c r="C464" s="21"/>
      <c r="D464" s="22"/>
    </row>
    <row r="465" spans="1:4" s="20" customFormat="1" x14ac:dyDescent="0.25">
      <c r="A465" s="26"/>
      <c r="B465" s="21"/>
      <c r="C465" s="21"/>
      <c r="D465" s="22"/>
    </row>
    <row r="466" spans="1:4" s="20" customFormat="1" x14ac:dyDescent="0.25">
      <c r="A466" s="26"/>
      <c r="B466" s="21"/>
      <c r="C466" s="21"/>
      <c r="D466" s="22"/>
    </row>
    <row r="467" spans="1:4" s="20" customFormat="1" x14ac:dyDescent="0.25">
      <c r="A467" s="26"/>
      <c r="B467" s="21"/>
      <c r="C467" s="21"/>
      <c r="D467" s="22"/>
    </row>
    <row r="468" spans="1:4" s="20" customFormat="1" x14ac:dyDescent="0.25">
      <c r="A468" s="26"/>
      <c r="B468" s="21"/>
      <c r="C468" s="21"/>
      <c r="D468" s="22"/>
    </row>
    <row r="469" spans="1:4" s="20" customFormat="1" x14ac:dyDescent="0.25">
      <c r="A469" s="26"/>
      <c r="B469" s="21"/>
      <c r="C469" s="21"/>
      <c r="D469" s="22"/>
    </row>
    <row r="470" spans="1:4" s="20" customFormat="1" x14ac:dyDescent="0.25">
      <c r="A470" s="26"/>
      <c r="B470" s="21"/>
      <c r="C470" s="21"/>
      <c r="D470" s="22"/>
    </row>
    <row r="471" spans="1:4" s="20" customFormat="1" x14ac:dyDescent="0.25">
      <c r="A471" s="26"/>
      <c r="B471" s="21"/>
      <c r="C471" s="21"/>
      <c r="D471" s="22"/>
    </row>
    <row r="472" spans="1:4" s="20" customFormat="1" x14ac:dyDescent="0.25">
      <c r="A472" s="26"/>
      <c r="B472" s="21"/>
      <c r="C472" s="21"/>
      <c r="D472" s="22"/>
    </row>
    <row r="473" spans="1:4" s="20" customFormat="1" x14ac:dyDescent="0.25">
      <c r="A473" s="26"/>
      <c r="B473" s="21"/>
      <c r="C473" s="21"/>
      <c r="D473" s="22"/>
    </row>
    <row r="474" spans="1:4" s="20" customFormat="1" x14ac:dyDescent="0.25">
      <c r="A474" s="26"/>
      <c r="B474" s="21"/>
      <c r="C474" s="21"/>
      <c r="D474" s="22"/>
    </row>
    <row r="475" spans="1:4" s="20" customFormat="1" x14ac:dyDescent="0.25">
      <c r="A475" s="26"/>
      <c r="B475" s="21"/>
      <c r="C475" s="21"/>
      <c r="D475" s="22"/>
    </row>
    <row r="476" spans="1:4" s="20" customFormat="1" x14ac:dyDescent="0.25">
      <c r="A476" s="26"/>
      <c r="B476" s="21"/>
      <c r="C476" s="21"/>
      <c r="D476" s="22"/>
    </row>
    <row r="477" spans="1:4" s="20" customFormat="1" x14ac:dyDescent="0.25">
      <c r="A477" s="26"/>
      <c r="B477" s="21"/>
      <c r="C477" s="21"/>
      <c r="D477" s="22"/>
    </row>
    <row r="478" spans="1:4" s="20" customFormat="1" x14ac:dyDescent="0.25">
      <c r="A478" s="26"/>
      <c r="B478" s="21"/>
      <c r="C478" s="21"/>
      <c r="D478" s="22"/>
    </row>
    <row r="479" spans="1:4" s="20" customFormat="1" x14ac:dyDescent="0.25">
      <c r="A479" s="26"/>
      <c r="B479" s="21"/>
      <c r="C479" s="21"/>
      <c r="D479" s="22"/>
    </row>
    <row r="480" spans="1:4" s="20" customFormat="1" x14ac:dyDescent="0.25">
      <c r="A480" s="26"/>
      <c r="B480" s="21"/>
      <c r="C480" s="21"/>
      <c r="D480" s="22"/>
    </row>
    <row r="481" spans="1:4" s="20" customFormat="1" x14ac:dyDescent="0.25">
      <c r="A481" s="26"/>
      <c r="B481" s="21"/>
      <c r="C481" s="21"/>
      <c r="D481" s="22"/>
    </row>
    <row r="482" spans="1:4" s="20" customFormat="1" x14ac:dyDescent="0.25">
      <c r="A482" s="26"/>
      <c r="B482" s="21"/>
      <c r="C482" s="21"/>
      <c r="D482" s="22"/>
    </row>
    <row r="483" spans="1:4" s="20" customFormat="1" x14ac:dyDescent="0.25">
      <c r="A483" s="26"/>
      <c r="B483" s="21"/>
      <c r="C483" s="21"/>
      <c r="D483" s="22"/>
    </row>
    <row r="484" spans="1:4" s="20" customFormat="1" x14ac:dyDescent="0.25">
      <c r="A484" s="26"/>
      <c r="B484" s="21"/>
      <c r="C484" s="21"/>
      <c r="D484" s="22"/>
    </row>
    <row r="485" spans="1:4" s="20" customFormat="1" x14ac:dyDescent="0.25">
      <c r="A485" s="26"/>
      <c r="B485" s="21"/>
      <c r="C485" s="21"/>
      <c r="D485" s="22"/>
    </row>
    <row r="486" spans="1:4" s="20" customFormat="1" x14ac:dyDescent="0.25">
      <c r="A486" s="26"/>
      <c r="B486" s="21"/>
      <c r="C486" s="21"/>
      <c r="D486" s="22"/>
    </row>
    <row r="487" spans="1:4" s="20" customFormat="1" x14ac:dyDescent="0.25">
      <c r="A487" s="26"/>
      <c r="B487" s="21"/>
      <c r="C487" s="21"/>
      <c r="D487" s="22"/>
    </row>
    <row r="488" spans="1:4" s="20" customFormat="1" x14ac:dyDescent="0.25">
      <c r="A488" s="26"/>
      <c r="B488" s="21"/>
      <c r="C488" s="21"/>
      <c r="D488" s="22"/>
    </row>
    <row r="489" spans="1:4" s="20" customFormat="1" x14ac:dyDescent="0.25">
      <c r="A489" s="26"/>
      <c r="B489" s="21"/>
      <c r="C489" s="21"/>
      <c r="D489" s="22"/>
    </row>
    <row r="490" spans="1:4" s="20" customFormat="1" x14ac:dyDescent="0.25">
      <c r="A490" s="26"/>
      <c r="B490" s="21"/>
      <c r="C490" s="21"/>
      <c r="D490" s="22"/>
    </row>
    <row r="491" spans="1:4" s="20" customFormat="1" x14ac:dyDescent="0.25">
      <c r="A491" s="26"/>
      <c r="B491" s="21"/>
      <c r="C491" s="21"/>
      <c r="D491" s="22"/>
    </row>
    <row r="492" spans="1:4" s="20" customFormat="1" x14ac:dyDescent="0.25">
      <c r="A492" s="26"/>
      <c r="B492" s="21"/>
      <c r="C492" s="21"/>
      <c r="D492" s="22"/>
    </row>
    <row r="493" spans="1:4" s="20" customFormat="1" x14ac:dyDescent="0.25">
      <c r="A493" s="26"/>
      <c r="B493" s="21"/>
      <c r="C493" s="21"/>
      <c r="D493" s="22"/>
    </row>
    <row r="494" spans="1:4" s="20" customFormat="1" x14ac:dyDescent="0.25">
      <c r="A494" s="26"/>
      <c r="B494" s="21"/>
      <c r="C494" s="21"/>
      <c r="D494" s="22"/>
    </row>
    <row r="495" spans="1:4" s="20" customFormat="1" x14ac:dyDescent="0.25">
      <c r="A495" s="26"/>
      <c r="B495" s="21"/>
      <c r="C495" s="21"/>
      <c r="D495" s="22"/>
    </row>
    <row r="496" spans="1:4" s="20" customFormat="1" x14ac:dyDescent="0.25">
      <c r="A496" s="26"/>
      <c r="B496" s="21"/>
      <c r="C496" s="21"/>
      <c r="D496" s="22"/>
    </row>
    <row r="497" spans="1:4" s="20" customFormat="1" x14ac:dyDescent="0.25">
      <c r="A497" s="26"/>
      <c r="B497" s="21"/>
      <c r="C497" s="21"/>
      <c r="D497" s="22"/>
    </row>
    <row r="498" spans="1:4" s="20" customFormat="1" x14ac:dyDescent="0.25">
      <c r="A498" s="26"/>
      <c r="B498" s="21"/>
      <c r="C498" s="21"/>
      <c r="D498" s="22"/>
    </row>
    <row r="499" spans="1:4" s="20" customFormat="1" x14ac:dyDescent="0.25">
      <c r="A499" s="26"/>
      <c r="B499" s="21"/>
      <c r="C499" s="21"/>
      <c r="D499" s="22"/>
    </row>
    <row r="500" spans="1:4" s="20" customFormat="1" x14ac:dyDescent="0.25">
      <c r="A500" s="26"/>
      <c r="B500" s="21"/>
      <c r="C500" s="21"/>
      <c r="D500" s="22"/>
    </row>
    <row r="501" spans="1:4" s="20" customFormat="1" x14ac:dyDescent="0.25">
      <c r="A501" s="26"/>
      <c r="B501" s="21"/>
      <c r="C501" s="21"/>
      <c r="D501" s="22"/>
    </row>
    <row r="502" spans="1:4" s="20" customFormat="1" x14ac:dyDescent="0.25">
      <c r="A502" s="26"/>
      <c r="B502" s="21"/>
      <c r="C502" s="21"/>
      <c r="D502" s="22"/>
    </row>
    <row r="503" spans="1:4" s="20" customFormat="1" x14ac:dyDescent="0.25">
      <c r="A503" s="26"/>
      <c r="B503" s="21"/>
      <c r="C503" s="21"/>
      <c r="D503" s="22"/>
    </row>
    <row r="504" spans="1:4" s="20" customFormat="1" x14ac:dyDescent="0.25">
      <c r="A504" s="26"/>
      <c r="B504" s="21"/>
      <c r="C504" s="21"/>
      <c r="D504" s="22"/>
    </row>
    <row r="505" spans="1:4" s="20" customFormat="1" x14ac:dyDescent="0.25">
      <c r="A505" s="26"/>
      <c r="B505" s="21"/>
      <c r="C505" s="21"/>
      <c r="D505" s="22"/>
    </row>
    <row r="506" spans="1:4" s="20" customFormat="1" x14ac:dyDescent="0.25">
      <c r="A506" s="26"/>
      <c r="B506" s="21"/>
      <c r="C506" s="21"/>
      <c r="D506" s="22"/>
    </row>
    <row r="507" spans="1:4" s="20" customFormat="1" x14ac:dyDescent="0.25">
      <c r="A507" s="26"/>
      <c r="B507" s="21"/>
      <c r="C507" s="21"/>
      <c r="D507" s="22"/>
    </row>
    <row r="508" spans="1:4" s="20" customFormat="1" x14ac:dyDescent="0.25">
      <c r="A508" s="26"/>
      <c r="B508" s="21"/>
      <c r="C508" s="21"/>
      <c r="D508" s="22"/>
    </row>
    <row r="509" spans="1:4" s="20" customFormat="1" x14ac:dyDescent="0.25">
      <c r="A509" s="26"/>
      <c r="B509" s="21"/>
      <c r="C509" s="21"/>
      <c r="D509" s="22"/>
    </row>
    <row r="510" spans="1:4" s="20" customFormat="1" x14ac:dyDescent="0.25">
      <c r="A510" s="26"/>
      <c r="B510" s="21"/>
      <c r="C510" s="21"/>
      <c r="D510" s="22"/>
    </row>
    <row r="511" spans="1:4" s="20" customFormat="1" x14ac:dyDescent="0.25">
      <c r="A511" s="26"/>
      <c r="B511" s="21"/>
      <c r="C511" s="21"/>
      <c r="D511" s="22"/>
    </row>
    <row r="512" spans="1:4" s="20" customFormat="1" x14ac:dyDescent="0.25">
      <c r="A512" s="26"/>
      <c r="B512" s="21"/>
      <c r="C512" s="21"/>
      <c r="D512" s="22"/>
    </row>
    <row r="513" spans="1:4" s="20" customFormat="1" x14ac:dyDescent="0.25">
      <c r="A513" s="26"/>
      <c r="B513" s="21"/>
      <c r="C513" s="21"/>
      <c r="D513" s="22"/>
    </row>
    <row r="514" spans="1:4" s="20" customFormat="1" x14ac:dyDescent="0.25">
      <c r="A514" s="26"/>
      <c r="B514" s="21"/>
      <c r="C514" s="21"/>
      <c r="D514" s="22"/>
    </row>
    <row r="515" spans="1:4" s="20" customFormat="1" x14ac:dyDescent="0.25">
      <c r="A515" s="26"/>
      <c r="B515" s="21"/>
      <c r="C515" s="21"/>
      <c r="D515" s="22"/>
    </row>
    <row r="516" spans="1:4" s="20" customFormat="1" x14ac:dyDescent="0.25">
      <c r="A516" s="26"/>
      <c r="B516" s="21"/>
      <c r="C516" s="21"/>
      <c r="D516" s="22"/>
    </row>
    <row r="517" spans="1:4" s="20" customFormat="1" x14ac:dyDescent="0.25">
      <c r="A517" s="26"/>
      <c r="B517" s="21"/>
      <c r="C517" s="21"/>
      <c r="D517" s="22"/>
    </row>
    <row r="518" spans="1:4" s="20" customFormat="1" x14ac:dyDescent="0.25">
      <c r="A518" s="26"/>
      <c r="B518" s="21"/>
      <c r="C518" s="21"/>
      <c r="D518" s="22"/>
    </row>
    <row r="519" spans="1:4" s="20" customFormat="1" x14ac:dyDescent="0.25">
      <c r="A519" s="26"/>
      <c r="B519" s="21"/>
      <c r="C519" s="21"/>
      <c r="D519" s="22"/>
    </row>
    <row r="520" spans="1:4" s="20" customFormat="1" x14ac:dyDescent="0.25">
      <c r="A520" s="26"/>
      <c r="B520" s="21"/>
      <c r="C520" s="21"/>
      <c r="D520" s="22"/>
    </row>
    <row r="521" spans="1:4" s="20" customFormat="1" x14ac:dyDescent="0.25">
      <c r="A521" s="26"/>
      <c r="B521" s="21"/>
      <c r="C521" s="21"/>
      <c r="D521" s="22"/>
    </row>
    <row r="522" spans="1:4" s="20" customFormat="1" x14ac:dyDescent="0.25">
      <c r="A522" s="26"/>
      <c r="B522" s="21"/>
      <c r="C522" s="21"/>
      <c r="D522" s="22"/>
    </row>
    <row r="523" spans="1:4" s="20" customFormat="1" x14ac:dyDescent="0.25">
      <c r="A523" s="26"/>
      <c r="B523" s="21"/>
      <c r="C523" s="21"/>
      <c r="D523" s="22"/>
    </row>
    <row r="524" spans="1:4" s="20" customFormat="1" x14ac:dyDescent="0.25">
      <c r="A524" s="26"/>
      <c r="B524" s="21"/>
      <c r="C524" s="21"/>
      <c r="D524" s="22"/>
    </row>
    <row r="525" spans="1:4" s="20" customFormat="1" x14ac:dyDescent="0.25">
      <c r="A525" s="26"/>
      <c r="B525" s="21"/>
      <c r="C525" s="21"/>
      <c r="D525" s="22"/>
    </row>
    <row r="526" spans="1:4" s="20" customFormat="1" x14ac:dyDescent="0.25">
      <c r="A526" s="26"/>
      <c r="B526" s="21"/>
      <c r="C526" s="21"/>
      <c r="D526" s="22"/>
    </row>
    <row r="527" spans="1:4" s="20" customFormat="1" x14ac:dyDescent="0.25">
      <c r="A527" s="26"/>
      <c r="B527" s="21"/>
      <c r="C527" s="21"/>
      <c r="D527" s="22"/>
    </row>
    <row r="528" spans="1:4" s="20" customFormat="1" x14ac:dyDescent="0.25">
      <c r="A528" s="26"/>
      <c r="B528" s="21"/>
      <c r="C528" s="21"/>
      <c r="D528" s="22"/>
    </row>
    <row r="529" spans="1:4" s="20" customFormat="1" x14ac:dyDescent="0.25">
      <c r="A529" s="26"/>
      <c r="B529" s="21"/>
      <c r="C529" s="21"/>
      <c r="D529" s="22"/>
    </row>
    <row r="530" spans="1:4" s="20" customFormat="1" x14ac:dyDescent="0.25">
      <c r="A530" s="26"/>
      <c r="B530" s="21"/>
      <c r="C530" s="21"/>
      <c r="D530" s="22"/>
    </row>
    <row r="531" spans="1:4" s="20" customFormat="1" x14ac:dyDescent="0.25">
      <c r="A531" s="26"/>
      <c r="B531" s="21"/>
      <c r="C531" s="21"/>
      <c r="D531" s="22"/>
    </row>
    <row r="532" spans="1:4" s="20" customFormat="1" x14ac:dyDescent="0.25">
      <c r="A532" s="26"/>
      <c r="B532" s="21"/>
      <c r="C532" s="21"/>
      <c r="D532" s="22"/>
    </row>
    <row r="533" spans="1:4" s="20" customFormat="1" x14ac:dyDescent="0.25">
      <c r="A533" s="26"/>
      <c r="B533" s="21"/>
      <c r="C533" s="21"/>
      <c r="D533" s="22"/>
    </row>
    <row r="534" spans="1:4" s="20" customFormat="1" x14ac:dyDescent="0.25">
      <c r="A534" s="26"/>
      <c r="B534" s="21"/>
      <c r="C534" s="21"/>
      <c r="D534" s="22"/>
    </row>
    <row r="535" spans="1:4" s="20" customFormat="1" x14ac:dyDescent="0.25">
      <c r="A535" s="26"/>
      <c r="B535" s="21"/>
      <c r="C535" s="21"/>
      <c r="D535" s="22"/>
    </row>
    <row r="536" spans="1:4" s="20" customFormat="1" x14ac:dyDescent="0.25">
      <c r="A536" s="26"/>
      <c r="B536" s="21"/>
      <c r="C536" s="21"/>
      <c r="D536" s="22"/>
    </row>
    <row r="537" spans="1:4" s="20" customFormat="1" x14ac:dyDescent="0.25">
      <c r="A537" s="26"/>
      <c r="B537" s="21"/>
      <c r="C537" s="21"/>
      <c r="D537" s="22"/>
    </row>
    <row r="538" spans="1:4" s="20" customFormat="1" x14ac:dyDescent="0.25">
      <c r="A538" s="26"/>
      <c r="B538" s="21"/>
      <c r="C538" s="21"/>
      <c r="D538" s="22"/>
    </row>
    <row r="539" spans="1:4" s="20" customFormat="1" x14ac:dyDescent="0.25">
      <c r="A539" s="26"/>
      <c r="B539" s="21"/>
      <c r="C539" s="21"/>
      <c r="D539" s="22"/>
    </row>
    <row r="540" spans="1:4" s="20" customFormat="1" x14ac:dyDescent="0.25">
      <c r="A540" s="26"/>
      <c r="B540" s="21"/>
      <c r="C540" s="21"/>
      <c r="D540" s="22"/>
    </row>
    <row r="541" spans="1:4" s="20" customFormat="1" x14ac:dyDescent="0.25">
      <c r="A541" s="26"/>
      <c r="B541" s="21"/>
      <c r="C541" s="21"/>
      <c r="D541" s="22"/>
    </row>
    <row r="542" spans="1:4" s="20" customFormat="1" x14ac:dyDescent="0.25">
      <c r="A542" s="26"/>
      <c r="B542" s="21"/>
      <c r="C542" s="21"/>
      <c r="D542" s="22"/>
    </row>
    <row r="543" spans="1:4" s="20" customFormat="1" x14ac:dyDescent="0.25">
      <c r="A543" s="26"/>
      <c r="B543" s="21"/>
      <c r="C543" s="21"/>
      <c r="D543" s="22"/>
    </row>
    <row r="544" spans="1:4" s="20" customFormat="1" x14ac:dyDescent="0.25">
      <c r="A544" s="26"/>
      <c r="B544" s="21"/>
      <c r="C544" s="21"/>
      <c r="D544" s="22"/>
    </row>
    <row r="545" spans="1:4" s="20" customFormat="1" x14ac:dyDescent="0.25">
      <c r="A545" s="26"/>
      <c r="B545" s="21"/>
      <c r="C545" s="21"/>
      <c r="D545" s="22"/>
    </row>
    <row r="546" spans="1:4" s="20" customFormat="1" x14ac:dyDescent="0.25">
      <c r="A546" s="26"/>
      <c r="B546" s="21"/>
      <c r="C546" s="21"/>
      <c r="D546" s="22"/>
    </row>
    <row r="547" spans="1:4" s="20" customFormat="1" x14ac:dyDescent="0.25">
      <c r="A547" s="26"/>
      <c r="B547" s="21"/>
      <c r="C547" s="21"/>
      <c r="D547" s="22"/>
    </row>
    <row r="548" spans="1:4" s="20" customFormat="1" x14ac:dyDescent="0.25">
      <c r="A548" s="26"/>
      <c r="B548" s="21"/>
      <c r="C548" s="21"/>
      <c r="D548" s="22"/>
    </row>
    <row r="549" spans="1:4" s="20" customFormat="1" x14ac:dyDescent="0.25">
      <c r="A549" s="26"/>
      <c r="B549" s="21"/>
      <c r="C549" s="21"/>
      <c r="D549" s="22"/>
    </row>
    <row r="550" spans="1:4" s="20" customFormat="1" x14ac:dyDescent="0.25">
      <c r="A550" s="26"/>
      <c r="B550" s="21"/>
      <c r="C550" s="21"/>
      <c r="D550" s="22"/>
    </row>
    <row r="551" spans="1:4" s="20" customFormat="1" x14ac:dyDescent="0.25">
      <c r="A551" s="26"/>
      <c r="B551" s="21"/>
      <c r="C551" s="21"/>
      <c r="D551" s="22"/>
    </row>
    <row r="552" spans="1:4" s="20" customFormat="1" x14ac:dyDescent="0.25">
      <c r="A552" s="26"/>
      <c r="B552" s="21"/>
      <c r="C552" s="21"/>
      <c r="D552" s="22"/>
    </row>
    <row r="553" spans="1:4" s="20" customFormat="1" x14ac:dyDescent="0.25">
      <c r="A553" s="26"/>
      <c r="B553" s="21"/>
      <c r="C553" s="21"/>
      <c r="D553" s="22"/>
    </row>
    <row r="554" spans="1:4" s="20" customFormat="1" x14ac:dyDescent="0.25">
      <c r="A554" s="26"/>
      <c r="B554" s="21"/>
      <c r="C554" s="21"/>
      <c r="D554" s="22"/>
    </row>
    <row r="555" spans="1:4" s="20" customFormat="1" x14ac:dyDescent="0.25">
      <c r="A555" s="26"/>
      <c r="B555" s="21"/>
      <c r="C555" s="21"/>
      <c r="D555" s="22"/>
    </row>
    <row r="556" spans="1:4" s="20" customFormat="1" x14ac:dyDescent="0.25">
      <c r="A556" s="26"/>
      <c r="B556" s="21"/>
      <c r="C556" s="21"/>
      <c r="D556" s="22"/>
    </row>
    <row r="557" spans="1:4" s="20" customFormat="1" x14ac:dyDescent="0.25">
      <c r="A557" s="26"/>
      <c r="B557" s="21"/>
      <c r="C557" s="21"/>
      <c r="D557" s="22"/>
    </row>
    <row r="558" spans="1:4" s="20" customFormat="1" x14ac:dyDescent="0.25">
      <c r="A558" s="26"/>
      <c r="B558" s="21"/>
      <c r="C558" s="21"/>
      <c r="D558" s="22"/>
    </row>
    <row r="559" spans="1:4" s="20" customFormat="1" x14ac:dyDescent="0.25">
      <c r="A559" s="26"/>
      <c r="B559" s="21"/>
      <c r="C559" s="21"/>
      <c r="D559" s="22"/>
    </row>
    <row r="560" spans="1:4" s="20" customFormat="1" x14ac:dyDescent="0.25">
      <c r="A560" s="26"/>
      <c r="B560" s="21"/>
      <c r="C560" s="21"/>
      <c r="D560" s="22"/>
    </row>
    <row r="561" spans="1:4" s="20" customFormat="1" x14ac:dyDescent="0.25">
      <c r="A561" s="26"/>
      <c r="B561" s="21"/>
      <c r="C561" s="21"/>
      <c r="D561" s="22"/>
    </row>
    <row r="562" spans="1:4" s="20" customFormat="1" x14ac:dyDescent="0.25">
      <c r="A562" s="26"/>
      <c r="B562" s="21"/>
      <c r="C562" s="21"/>
      <c r="D562" s="22"/>
    </row>
    <row r="563" spans="1:4" s="20" customFormat="1" x14ac:dyDescent="0.25">
      <c r="A563" s="26"/>
      <c r="B563" s="21"/>
      <c r="C563" s="21"/>
      <c r="D563" s="22"/>
    </row>
    <row r="564" spans="1:4" s="20" customFormat="1" x14ac:dyDescent="0.25">
      <c r="A564" s="26"/>
      <c r="B564" s="21"/>
      <c r="C564" s="21"/>
      <c r="D564" s="22"/>
    </row>
    <row r="565" spans="1:4" s="20" customFormat="1" x14ac:dyDescent="0.25">
      <c r="A565" s="26"/>
      <c r="B565" s="21"/>
      <c r="C565" s="21"/>
      <c r="D565" s="22"/>
    </row>
    <row r="566" spans="1:4" s="20" customFormat="1" x14ac:dyDescent="0.25">
      <c r="A566" s="26"/>
      <c r="B566" s="21"/>
      <c r="C566" s="21"/>
      <c r="D566" s="22"/>
    </row>
    <row r="567" spans="1:4" s="20" customFormat="1" x14ac:dyDescent="0.25">
      <c r="A567" s="26"/>
      <c r="B567" s="21"/>
      <c r="C567" s="21"/>
      <c r="D567" s="22"/>
    </row>
    <row r="568" spans="1:4" s="20" customFormat="1" x14ac:dyDescent="0.25">
      <c r="A568" s="26"/>
      <c r="B568" s="21"/>
      <c r="C568" s="21"/>
      <c r="D568" s="22"/>
    </row>
    <row r="569" spans="1:4" s="20" customFormat="1" x14ac:dyDescent="0.25">
      <c r="A569" s="26"/>
      <c r="B569" s="21"/>
      <c r="C569" s="21"/>
      <c r="D569" s="22"/>
    </row>
    <row r="570" spans="1:4" s="20" customFormat="1" x14ac:dyDescent="0.25">
      <c r="A570" s="26"/>
      <c r="B570" s="21"/>
      <c r="C570" s="21"/>
      <c r="D570" s="22"/>
    </row>
    <row r="571" spans="1:4" s="20" customFormat="1" x14ac:dyDescent="0.25">
      <c r="A571" s="26"/>
      <c r="B571" s="21"/>
      <c r="C571" s="21"/>
      <c r="D571" s="22"/>
    </row>
    <row r="572" spans="1:4" s="20" customFormat="1" x14ac:dyDescent="0.25">
      <c r="A572" s="26"/>
      <c r="B572" s="21"/>
      <c r="C572" s="21"/>
      <c r="D572" s="22"/>
    </row>
    <row r="573" spans="1:4" s="20" customFormat="1" x14ac:dyDescent="0.25">
      <c r="A573" s="26"/>
      <c r="B573" s="21"/>
      <c r="C573" s="21"/>
      <c r="D573" s="22"/>
    </row>
    <row r="574" spans="1:4" s="20" customFormat="1" x14ac:dyDescent="0.25">
      <c r="A574" s="26"/>
      <c r="B574" s="21"/>
      <c r="C574" s="21"/>
      <c r="D574" s="22"/>
    </row>
    <row r="575" spans="1:4" s="20" customFormat="1" x14ac:dyDescent="0.25">
      <c r="A575" s="26"/>
      <c r="B575" s="21"/>
      <c r="C575" s="21"/>
      <c r="D575" s="22"/>
    </row>
    <row r="576" spans="1:4" s="20" customFormat="1" x14ac:dyDescent="0.25">
      <c r="A576" s="26"/>
      <c r="B576" s="21"/>
      <c r="C576" s="21"/>
      <c r="D576" s="22"/>
    </row>
    <row r="577" spans="1:4" s="20" customFormat="1" x14ac:dyDescent="0.25">
      <c r="A577" s="26"/>
      <c r="B577" s="21"/>
      <c r="C577" s="21"/>
      <c r="D577" s="22"/>
    </row>
    <row r="578" spans="1:4" s="20" customFormat="1" x14ac:dyDescent="0.25">
      <c r="A578" s="26"/>
      <c r="B578" s="21"/>
      <c r="C578" s="21"/>
      <c r="D578" s="22"/>
    </row>
    <row r="579" spans="1:4" s="20" customFormat="1" x14ac:dyDescent="0.25">
      <c r="A579" s="26"/>
      <c r="B579" s="21"/>
      <c r="C579" s="21"/>
      <c r="D579" s="22"/>
    </row>
    <row r="580" spans="1:4" s="20" customFormat="1" x14ac:dyDescent="0.25">
      <c r="A580" s="26"/>
      <c r="B580" s="21"/>
      <c r="C580" s="21"/>
      <c r="D580" s="22"/>
    </row>
    <row r="581" spans="1:4" s="20" customFormat="1" x14ac:dyDescent="0.25">
      <c r="A581" s="26"/>
      <c r="B581" s="21"/>
      <c r="C581" s="21"/>
      <c r="D581" s="22"/>
    </row>
    <row r="582" spans="1:4" s="20" customFormat="1" x14ac:dyDescent="0.25">
      <c r="A582" s="26"/>
      <c r="B582" s="21"/>
      <c r="C582" s="21"/>
      <c r="D582" s="22"/>
    </row>
    <row r="583" spans="1:4" s="20" customFormat="1" x14ac:dyDescent="0.25">
      <c r="A583" s="26"/>
      <c r="B583" s="21"/>
      <c r="C583" s="21"/>
      <c r="D583" s="22"/>
    </row>
    <row r="584" spans="1:4" s="20" customFormat="1" x14ac:dyDescent="0.25">
      <c r="A584" s="26"/>
      <c r="B584" s="21"/>
      <c r="C584" s="21"/>
      <c r="D584" s="22"/>
    </row>
    <row r="585" spans="1:4" s="20" customFormat="1" x14ac:dyDescent="0.25">
      <c r="A585" s="26"/>
      <c r="B585" s="21"/>
      <c r="C585" s="21"/>
      <c r="D585" s="22"/>
    </row>
    <row r="586" spans="1:4" s="20" customFormat="1" x14ac:dyDescent="0.25">
      <c r="A586" s="26"/>
      <c r="B586" s="21"/>
      <c r="C586" s="21"/>
      <c r="D586" s="22"/>
    </row>
    <row r="587" spans="1:4" s="20" customFormat="1" x14ac:dyDescent="0.25">
      <c r="A587" s="26"/>
      <c r="B587" s="21"/>
      <c r="C587" s="21"/>
      <c r="D587" s="22"/>
    </row>
    <row r="588" spans="1:4" s="20" customFormat="1" x14ac:dyDescent="0.25">
      <c r="A588" s="26"/>
      <c r="B588" s="21"/>
      <c r="C588" s="21"/>
      <c r="D588" s="22"/>
    </row>
    <row r="589" spans="1:4" s="20" customFormat="1" x14ac:dyDescent="0.25">
      <c r="A589" s="26"/>
      <c r="B589" s="21"/>
      <c r="C589" s="21"/>
      <c r="D589" s="22"/>
    </row>
    <row r="590" spans="1:4" s="20" customFormat="1" x14ac:dyDescent="0.25">
      <c r="A590" s="26"/>
      <c r="B590" s="21"/>
      <c r="C590" s="21"/>
      <c r="D590" s="22"/>
    </row>
    <row r="591" spans="1:4" s="20" customFormat="1" x14ac:dyDescent="0.25">
      <c r="A591" s="26"/>
      <c r="B591" s="21"/>
      <c r="C591" s="21"/>
      <c r="D591" s="22"/>
    </row>
    <row r="592" spans="1:4" s="20" customFormat="1" x14ac:dyDescent="0.25">
      <c r="A592" s="26"/>
      <c r="B592" s="21"/>
      <c r="C592" s="21"/>
      <c r="D592" s="22"/>
    </row>
    <row r="593" spans="1:4" s="20" customFormat="1" x14ac:dyDescent="0.25">
      <c r="A593" s="26"/>
      <c r="B593" s="21"/>
      <c r="C593" s="21"/>
      <c r="D593" s="22"/>
    </row>
    <row r="594" spans="1:4" s="20" customFormat="1" x14ac:dyDescent="0.25">
      <c r="A594" s="26"/>
      <c r="B594" s="21"/>
      <c r="C594" s="21"/>
      <c r="D594" s="22"/>
    </row>
    <row r="595" spans="1:4" s="20" customFormat="1" x14ac:dyDescent="0.25">
      <c r="A595" s="26"/>
      <c r="B595" s="21"/>
      <c r="C595" s="21"/>
      <c r="D595" s="22"/>
    </row>
    <row r="596" spans="1:4" s="20" customFormat="1" x14ac:dyDescent="0.25">
      <c r="A596" s="26"/>
      <c r="B596" s="21"/>
      <c r="C596" s="21"/>
      <c r="D596" s="22"/>
    </row>
    <row r="597" spans="1:4" s="20" customFormat="1" x14ac:dyDescent="0.25">
      <c r="A597" s="26"/>
      <c r="B597" s="21"/>
      <c r="C597" s="21"/>
      <c r="D597" s="22"/>
    </row>
    <row r="598" spans="1:4" s="20" customFormat="1" x14ac:dyDescent="0.25">
      <c r="A598" s="26"/>
      <c r="B598" s="21"/>
      <c r="C598" s="21"/>
      <c r="D598" s="22"/>
    </row>
    <row r="599" spans="1:4" s="20" customFormat="1" x14ac:dyDescent="0.25">
      <c r="A599" s="26"/>
      <c r="B599" s="21"/>
      <c r="C599" s="21"/>
      <c r="D599" s="22"/>
    </row>
    <row r="600" spans="1:4" s="20" customFormat="1" x14ac:dyDescent="0.25">
      <c r="A600" s="26"/>
      <c r="B600" s="21"/>
      <c r="C600" s="21"/>
      <c r="D600" s="22"/>
    </row>
    <row r="601" spans="1:4" s="20" customFormat="1" x14ac:dyDescent="0.25">
      <c r="A601" s="26"/>
      <c r="B601" s="21"/>
      <c r="C601" s="21"/>
      <c r="D601" s="22"/>
    </row>
    <row r="602" spans="1:4" s="20" customFormat="1" x14ac:dyDescent="0.25">
      <c r="A602" s="26"/>
      <c r="B602" s="21"/>
      <c r="C602" s="21"/>
      <c r="D602" s="22"/>
    </row>
    <row r="603" spans="1:4" s="20" customFormat="1" x14ac:dyDescent="0.25">
      <c r="A603" s="26"/>
      <c r="B603" s="21"/>
      <c r="C603" s="21"/>
      <c r="D603" s="22"/>
    </row>
    <row r="604" spans="1:4" s="20" customFormat="1" x14ac:dyDescent="0.25">
      <c r="A604" s="26"/>
      <c r="B604" s="21"/>
      <c r="C604" s="21"/>
      <c r="D604" s="22"/>
    </row>
    <row r="605" spans="1:4" s="20" customFormat="1" x14ac:dyDescent="0.25">
      <c r="A605" s="26"/>
      <c r="B605" s="21"/>
      <c r="C605" s="21"/>
      <c r="D605" s="22"/>
    </row>
    <row r="606" spans="1:4" s="20" customFormat="1" x14ac:dyDescent="0.25">
      <c r="A606" s="26"/>
      <c r="B606" s="21"/>
      <c r="C606" s="21"/>
      <c r="D606" s="22"/>
    </row>
    <row r="607" spans="1:4" s="20" customFormat="1" x14ac:dyDescent="0.25">
      <c r="A607" s="26"/>
      <c r="B607" s="21"/>
      <c r="C607" s="21"/>
      <c r="D607" s="22"/>
    </row>
    <row r="608" spans="1:4" s="20" customFormat="1" x14ac:dyDescent="0.25">
      <c r="A608" s="26"/>
      <c r="B608" s="21"/>
      <c r="C608" s="21"/>
      <c r="D608" s="22"/>
    </row>
    <row r="609" spans="1:4" s="20" customFormat="1" x14ac:dyDescent="0.25">
      <c r="A609" s="26"/>
      <c r="B609" s="21"/>
      <c r="C609" s="21"/>
      <c r="D609" s="22"/>
    </row>
    <row r="610" spans="1:4" s="20" customFormat="1" x14ac:dyDescent="0.25">
      <c r="A610" s="26"/>
      <c r="B610" s="21"/>
      <c r="C610" s="21"/>
      <c r="D610" s="22"/>
    </row>
    <row r="611" spans="1:4" s="20" customFormat="1" x14ac:dyDescent="0.25">
      <c r="A611" s="26"/>
      <c r="B611" s="21"/>
      <c r="C611" s="21"/>
      <c r="D611" s="22"/>
    </row>
    <row r="612" spans="1:4" s="20" customFormat="1" x14ac:dyDescent="0.25">
      <c r="A612" s="26"/>
      <c r="B612" s="21"/>
      <c r="C612" s="21"/>
      <c r="D612" s="22"/>
    </row>
    <row r="613" spans="1:4" s="20" customFormat="1" x14ac:dyDescent="0.25">
      <c r="A613" s="26"/>
      <c r="B613" s="21"/>
      <c r="C613" s="21"/>
      <c r="D613" s="22"/>
    </row>
    <row r="614" spans="1:4" s="20" customFormat="1" x14ac:dyDescent="0.25">
      <c r="A614" s="26"/>
      <c r="B614" s="21"/>
      <c r="C614" s="21"/>
      <c r="D614" s="22"/>
    </row>
    <row r="615" spans="1:4" s="20" customFormat="1" x14ac:dyDescent="0.25">
      <c r="A615" s="26"/>
      <c r="B615" s="21"/>
      <c r="C615" s="21"/>
      <c r="D615" s="22"/>
    </row>
    <row r="616" spans="1:4" s="20" customFormat="1" x14ac:dyDescent="0.25">
      <c r="A616" s="26"/>
      <c r="B616" s="21"/>
      <c r="C616" s="21"/>
      <c r="D616" s="22"/>
    </row>
    <row r="617" spans="1:4" s="20" customFormat="1" x14ac:dyDescent="0.25">
      <c r="A617" s="26"/>
      <c r="B617" s="21"/>
      <c r="C617" s="21"/>
      <c r="D617" s="22"/>
    </row>
    <row r="618" spans="1:4" s="20" customFormat="1" x14ac:dyDescent="0.25">
      <c r="A618" s="26"/>
      <c r="B618" s="21"/>
      <c r="C618" s="21"/>
      <c r="D618" s="22"/>
    </row>
    <row r="619" spans="1:4" s="20" customFormat="1" x14ac:dyDescent="0.25">
      <c r="A619" s="26"/>
      <c r="B619" s="21"/>
      <c r="C619" s="21"/>
      <c r="D619" s="22"/>
    </row>
    <row r="620" spans="1:4" s="20" customFormat="1" x14ac:dyDescent="0.25">
      <c r="A620" s="26"/>
      <c r="B620" s="21"/>
      <c r="C620" s="21"/>
      <c r="D620" s="22"/>
    </row>
    <row r="621" spans="1:4" s="20" customFormat="1" x14ac:dyDescent="0.25">
      <c r="A621" s="26"/>
      <c r="B621" s="21"/>
      <c r="C621" s="21"/>
      <c r="D621" s="22"/>
    </row>
    <row r="622" spans="1:4" s="20" customFormat="1" x14ac:dyDescent="0.25">
      <c r="A622" s="26"/>
      <c r="B622" s="21"/>
      <c r="C622" s="21"/>
      <c r="D622" s="22"/>
    </row>
    <row r="623" spans="1:4" s="20" customFormat="1" x14ac:dyDescent="0.25">
      <c r="A623" s="26"/>
      <c r="B623" s="21"/>
      <c r="C623" s="21"/>
      <c r="D623" s="22"/>
    </row>
    <row r="624" spans="1:4" s="20" customFormat="1" x14ac:dyDescent="0.25">
      <c r="A624" s="26"/>
      <c r="B624" s="21"/>
      <c r="C624" s="21"/>
      <c r="D624" s="22"/>
    </row>
    <row r="625" spans="1:4" s="20" customFormat="1" x14ac:dyDescent="0.25">
      <c r="A625" s="26"/>
      <c r="B625" s="21"/>
      <c r="C625" s="21"/>
      <c r="D625" s="22"/>
    </row>
    <row r="626" spans="1:4" s="20" customFormat="1" x14ac:dyDescent="0.25">
      <c r="A626" s="26"/>
      <c r="B626" s="21"/>
      <c r="C626" s="21"/>
      <c r="D626" s="22"/>
    </row>
    <row r="627" spans="1:4" s="20" customFormat="1" x14ac:dyDescent="0.25">
      <c r="A627" s="26"/>
      <c r="B627" s="21"/>
      <c r="C627" s="21"/>
      <c r="D627" s="22"/>
    </row>
    <row r="628" spans="1:4" s="20" customFormat="1" x14ac:dyDescent="0.25">
      <c r="A628" s="26"/>
      <c r="B628" s="21"/>
      <c r="C628" s="21"/>
      <c r="D628" s="22"/>
    </row>
    <row r="629" spans="1:4" s="20" customFormat="1" x14ac:dyDescent="0.25">
      <c r="A629" s="26"/>
      <c r="B629" s="21"/>
      <c r="C629" s="21"/>
      <c r="D629" s="22"/>
    </row>
    <row r="630" spans="1:4" s="20" customFormat="1" x14ac:dyDescent="0.25">
      <c r="A630" s="26"/>
      <c r="B630" s="21"/>
      <c r="C630" s="21"/>
      <c r="D630" s="22"/>
    </row>
    <row r="631" spans="1:4" s="20" customFormat="1" x14ac:dyDescent="0.25">
      <c r="A631" s="26"/>
      <c r="B631" s="21"/>
      <c r="C631" s="21"/>
      <c r="D631" s="22"/>
    </row>
    <row r="632" spans="1:4" s="20" customFormat="1" x14ac:dyDescent="0.25">
      <c r="A632" s="26"/>
      <c r="B632" s="21"/>
      <c r="C632" s="21"/>
      <c r="D632" s="22"/>
    </row>
    <row r="633" spans="1:4" s="20" customFormat="1" x14ac:dyDescent="0.25">
      <c r="A633" s="26"/>
      <c r="B633" s="21"/>
      <c r="C633" s="21"/>
      <c r="D633" s="22"/>
    </row>
    <row r="634" spans="1:4" s="20" customFormat="1" x14ac:dyDescent="0.25">
      <c r="A634" s="26"/>
      <c r="B634" s="21"/>
      <c r="C634" s="21"/>
      <c r="D634" s="22"/>
    </row>
    <row r="635" spans="1:4" s="20" customFormat="1" x14ac:dyDescent="0.25">
      <c r="A635" s="26"/>
      <c r="B635" s="21"/>
      <c r="C635" s="21"/>
      <c r="D635" s="22"/>
    </row>
    <row r="636" spans="1:4" s="20" customFormat="1" x14ac:dyDescent="0.25">
      <c r="A636" s="26"/>
      <c r="B636" s="21"/>
      <c r="C636" s="21"/>
      <c r="D636" s="22"/>
    </row>
    <row r="637" spans="1:4" s="20" customFormat="1" x14ac:dyDescent="0.25">
      <c r="A637" s="26"/>
      <c r="B637" s="21"/>
      <c r="C637" s="21"/>
      <c r="D637" s="22"/>
    </row>
    <row r="638" spans="1:4" s="20" customFormat="1" x14ac:dyDescent="0.25">
      <c r="A638" s="26"/>
      <c r="B638" s="21"/>
      <c r="C638" s="21"/>
      <c r="D638" s="22"/>
    </row>
    <row r="639" spans="1:4" s="20" customFormat="1" x14ac:dyDescent="0.25">
      <c r="A639" s="26"/>
      <c r="B639" s="21"/>
      <c r="C639" s="21"/>
      <c r="D639" s="22"/>
    </row>
    <row r="640" spans="1:4" s="20" customFormat="1" x14ac:dyDescent="0.25">
      <c r="A640" s="26"/>
      <c r="B640" s="21"/>
      <c r="C640" s="21"/>
      <c r="D640" s="22"/>
    </row>
    <row r="641" spans="1:4" s="20" customFormat="1" x14ac:dyDescent="0.25">
      <c r="A641" s="26"/>
      <c r="B641" s="21"/>
      <c r="C641" s="21"/>
      <c r="D641" s="22"/>
    </row>
    <row r="642" spans="1:4" s="20" customFormat="1" x14ac:dyDescent="0.25">
      <c r="A642" s="26"/>
      <c r="B642" s="21"/>
      <c r="C642" s="21"/>
      <c r="D642" s="22"/>
    </row>
    <row r="643" spans="1:4" s="20" customFormat="1" x14ac:dyDescent="0.25">
      <c r="A643" s="26"/>
      <c r="B643" s="21"/>
      <c r="C643" s="21"/>
      <c r="D643" s="22"/>
    </row>
    <row r="644" spans="1:4" s="20" customFormat="1" x14ac:dyDescent="0.25">
      <c r="A644" s="26"/>
      <c r="B644" s="21"/>
      <c r="C644" s="21"/>
      <c r="D644" s="22"/>
    </row>
    <row r="645" spans="1:4" s="20" customFormat="1" x14ac:dyDescent="0.25">
      <c r="A645" s="26"/>
      <c r="B645" s="21"/>
      <c r="C645" s="21"/>
      <c r="D645" s="22"/>
    </row>
    <row r="646" spans="1:4" s="20" customFormat="1" x14ac:dyDescent="0.25">
      <c r="A646" s="26"/>
      <c r="B646" s="21"/>
      <c r="C646" s="21"/>
      <c r="D646" s="22"/>
    </row>
    <row r="647" spans="1:4" s="20" customFormat="1" x14ac:dyDescent="0.25">
      <c r="A647" s="26"/>
      <c r="B647" s="21"/>
      <c r="C647" s="21"/>
      <c r="D647" s="22"/>
    </row>
    <row r="648" spans="1:4" s="20" customFormat="1" x14ac:dyDescent="0.25">
      <c r="A648" s="26"/>
      <c r="B648" s="21"/>
      <c r="C648" s="21"/>
      <c r="D648" s="22"/>
    </row>
    <row r="649" spans="1:4" s="20" customFormat="1" x14ac:dyDescent="0.25">
      <c r="A649" s="26"/>
      <c r="B649" s="21"/>
      <c r="C649" s="21"/>
      <c r="D649" s="22"/>
    </row>
    <row r="650" spans="1:4" s="20" customFormat="1" x14ac:dyDescent="0.25">
      <c r="A650" s="26"/>
      <c r="B650" s="21"/>
      <c r="C650" s="21"/>
      <c r="D650" s="22"/>
    </row>
    <row r="651" spans="1:4" s="20" customFormat="1" x14ac:dyDescent="0.25">
      <c r="A651" s="26"/>
      <c r="B651" s="21"/>
      <c r="C651" s="21"/>
      <c r="D651" s="22"/>
    </row>
    <row r="652" spans="1:4" s="20" customFormat="1" x14ac:dyDescent="0.25">
      <c r="A652" s="26"/>
      <c r="B652" s="21"/>
      <c r="C652" s="21"/>
      <c r="D652" s="22"/>
    </row>
    <row r="653" spans="1:4" s="20" customFormat="1" x14ac:dyDescent="0.25">
      <c r="A653" s="26"/>
      <c r="B653" s="21"/>
      <c r="C653" s="21"/>
      <c r="D653" s="22"/>
    </row>
    <row r="654" spans="1:4" s="20" customFormat="1" x14ac:dyDescent="0.25">
      <c r="A654" s="26"/>
      <c r="B654" s="21"/>
      <c r="C654" s="21"/>
      <c r="D654" s="22"/>
    </row>
    <row r="655" spans="1:4" s="20" customFormat="1" x14ac:dyDescent="0.25">
      <c r="A655" s="26"/>
      <c r="B655" s="21"/>
      <c r="C655" s="21"/>
      <c r="D655" s="22"/>
    </row>
    <row r="656" spans="1:4" s="20" customFormat="1" x14ac:dyDescent="0.25">
      <c r="A656" s="26"/>
      <c r="B656" s="21"/>
      <c r="C656" s="21"/>
      <c r="D656" s="22"/>
    </row>
    <row r="657" spans="1:4" s="20" customFormat="1" x14ac:dyDescent="0.25">
      <c r="A657" s="26"/>
      <c r="B657" s="21"/>
      <c r="C657" s="21"/>
      <c r="D657" s="22"/>
    </row>
    <row r="658" spans="1:4" s="20" customFormat="1" x14ac:dyDescent="0.25">
      <c r="A658" s="26"/>
      <c r="B658" s="21"/>
      <c r="C658" s="21"/>
      <c r="D658" s="22"/>
    </row>
    <row r="659" spans="1:4" s="20" customFormat="1" x14ac:dyDescent="0.25">
      <c r="A659" s="26"/>
      <c r="B659" s="21"/>
      <c r="C659" s="21"/>
      <c r="D659" s="22"/>
    </row>
    <row r="660" spans="1:4" s="20" customFormat="1" x14ac:dyDescent="0.25">
      <c r="A660" s="26"/>
      <c r="B660" s="21"/>
      <c r="C660" s="21"/>
      <c r="D660" s="22"/>
    </row>
    <row r="661" spans="1:4" s="20" customFormat="1" x14ac:dyDescent="0.25">
      <c r="A661" s="26"/>
      <c r="B661" s="21"/>
      <c r="C661" s="21"/>
      <c r="D661" s="22"/>
    </row>
    <row r="662" spans="1:4" s="20" customFormat="1" x14ac:dyDescent="0.25">
      <c r="A662" s="26"/>
      <c r="B662" s="21"/>
      <c r="C662" s="21"/>
      <c r="D662" s="22"/>
    </row>
    <row r="663" spans="1:4" s="20" customFormat="1" x14ac:dyDescent="0.25">
      <c r="A663" s="26"/>
      <c r="B663" s="21"/>
      <c r="C663" s="21"/>
      <c r="D663" s="22"/>
    </row>
    <row r="664" spans="1:4" s="20" customFormat="1" x14ac:dyDescent="0.25">
      <c r="A664" s="26"/>
      <c r="B664" s="21"/>
      <c r="C664" s="21"/>
      <c r="D664" s="22"/>
    </row>
    <row r="665" spans="1:4" s="20" customFormat="1" x14ac:dyDescent="0.25">
      <c r="A665" s="26"/>
      <c r="B665" s="21"/>
      <c r="C665" s="21"/>
      <c r="D665" s="22"/>
    </row>
    <row r="666" spans="1:4" s="20" customFormat="1" x14ac:dyDescent="0.25">
      <c r="A666" s="26"/>
      <c r="B666" s="21"/>
      <c r="C666" s="21"/>
      <c r="D666" s="22"/>
    </row>
    <row r="667" spans="1:4" s="20" customFormat="1" x14ac:dyDescent="0.25">
      <c r="A667" s="26"/>
      <c r="B667" s="21"/>
      <c r="C667" s="21"/>
      <c r="D667" s="22"/>
    </row>
    <row r="668" spans="1:4" s="20" customFormat="1" x14ac:dyDescent="0.25">
      <c r="A668" s="26"/>
      <c r="B668" s="21"/>
      <c r="C668" s="21"/>
      <c r="D668" s="22"/>
    </row>
    <row r="669" spans="1:4" s="20" customFormat="1" x14ac:dyDescent="0.25">
      <c r="A669" s="26"/>
      <c r="B669" s="21"/>
      <c r="C669" s="21"/>
      <c r="D669" s="22"/>
    </row>
    <row r="670" spans="1:4" s="20" customFormat="1" x14ac:dyDescent="0.25">
      <c r="A670" s="26"/>
      <c r="B670" s="21"/>
      <c r="C670" s="21"/>
      <c r="D670" s="22"/>
    </row>
    <row r="671" spans="1:4" s="20" customFormat="1" x14ac:dyDescent="0.25">
      <c r="A671" s="26"/>
      <c r="B671" s="21"/>
      <c r="C671" s="21"/>
      <c r="D671" s="22"/>
    </row>
    <row r="672" spans="1:4" s="20" customFormat="1" x14ac:dyDescent="0.25">
      <c r="A672" s="26"/>
      <c r="B672" s="21"/>
      <c r="C672" s="21"/>
      <c r="D672" s="22"/>
    </row>
    <row r="673" spans="1:4" s="20" customFormat="1" x14ac:dyDescent="0.25">
      <c r="A673" s="26"/>
      <c r="B673" s="21"/>
      <c r="C673" s="21"/>
      <c r="D673" s="22"/>
    </row>
    <row r="674" spans="1:4" s="20" customFormat="1" x14ac:dyDescent="0.25">
      <c r="A674" s="26"/>
      <c r="B674" s="21"/>
      <c r="C674" s="21"/>
      <c r="D674" s="22"/>
    </row>
    <row r="675" spans="1:4" s="20" customFormat="1" x14ac:dyDescent="0.25">
      <c r="A675" s="26"/>
      <c r="B675" s="21"/>
      <c r="C675" s="21"/>
      <c r="D675" s="22"/>
    </row>
    <row r="676" spans="1:4" s="20" customFormat="1" x14ac:dyDescent="0.25">
      <c r="A676" s="26"/>
      <c r="B676" s="21"/>
      <c r="C676" s="21"/>
      <c r="D676" s="22"/>
    </row>
    <row r="677" spans="1:4" s="20" customFormat="1" x14ac:dyDescent="0.25">
      <c r="A677" s="26"/>
      <c r="B677" s="21"/>
      <c r="C677" s="21"/>
      <c r="D677" s="22"/>
    </row>
    <row r="678" spans="1:4" s="20" customFormat="1" x14ac:dyDescent="0.25">
      <c r="A678" s="26"/>
      <c r="B678" s="21"/>
      <c r="C678" s="21"/>
      <c r="D678" s="22"/>
    </row>
    <row r="679" spans="1:4" s="20" customFormat="1" x14ac:dyDescent="0.25">
      <c r="A679" s="26"/>
      <c r="B679" s="21"/>
      <c r="C679" s="21"/>
      <c r="D679" s="22"/>
    </row>
    <row r="680" spans="1:4" s="20" customFormat="1" x14ac:dyDescent="0.25">
      <c r="A680" s="26"/>
      <c r="B680" s="21"/>
      <c r="C680" s="21"/>
      <c r="D680" s="22"/>
    </row>
    <row r="681" spans="1:4" s="20" customFormat="1" x14ac:dyDescent="0.25">
      <c r="A681" s="26"/>
      <c r="B681" s="21"/>
      <c r="C681" s="21"/>
      <c r="D681" s="22"/>
    </row>
    <row r="682" spans="1:4" s="20" customFormat="1" x14ac:dyDescent="0.25">
      <c r="A682" s="26"/>
      <c r="B682" s="21"/>
      <c r="C682" s="21"/>
      <c r="D682" s="22"/>
    </row>
    <row r="683" spans="1:4" s="20" customFormat="1" x14ac:dyDescent="0.25">
      <c r="A683" s="26"/>
      <c r="B683" s="21"/>
      <c r="C683" s="21"/>
      <c r="D683" s="22"/>
    </row>
    <row r="684" spans="1:4" s="20" customFormat="1" x14ac:dyDescent="0.25">
      <c r="A684" s="26"/>
      <c r="B684" s="21"/>
      <c r="C684" s="21"/>
      <c r="D684" s="22"/>
    </row>
    <row r="685" spans="1:4" s="20" customFormat="1" x14ac:dyDescent="0.25">
      <c r="A685" s="26"/>
      <c r="B685" s="21"/>
      <c r="C685" s="21"/>
      <c r="D685" s="22"/>
    </row>
    <row r="686" spans="1:4" s="20" customFormat="1" x14ac:dyDescent="0.25">
      <c r="A686" s="26"/>
      <c r="B686" s="21"/>
      <c r="C686" s="21"/>
      <c r="D686" s="22"/>
    </row>
    <row r="687" spans="1:4" s="20" customFormat="1" x14ac:dyDescent="0.25">
      <c r="A687" s="26"/>
      <c r="B687" s="21"/>
      <c r="C687" s="21"/>
      <c r="D687" s="22"/>
    </row>
    <row r="688" spans="1:4" s="20" customFormat="1" x14ac:dyDescent="0.25">
      <c r="A688" s="26"/>
      <c r="B688" s="21"/>
      <c r="C688" s="21"/>
      <c r="D688" s="22"/>
    </row>
    <row r="689" spans="1:4" s="20" customFormat="1" x14ac:dyDescent="0.25">
      <c r="A689" s="26"/>
      <c r="B689" s="21"/>
      <c r="C689" s="21"/>
      <c r="D689" s="22"/>
    </row>
    <row r="690" spans="1:4" s="20" customFormat="1" x14ac:dyDescent="0.25">
      <c r="A690" s="26"/>
      <c r="B690" s="21"/>
      <c r="C690" s="21"/>
      <c r="D690" s="22"/>
    </row>
    <row r="691" spans="1:4" s="20" customFormat="1" x14ac:dyDescent="0.25">
      <c r="A691" s="26"/>
      <c r="B691" s="21"/>
      <c r="C691" s="21"/>
      <c r="D691" s="22"/>
    </row>
    <row r="692" spans="1:4" s="20" customFormat="1" x14ac:dyDescent="0.25">
      <c r="A692" s="26"/>
      <c r="B692" s="21"/>
      <c r="C692" s="21"/>
      <c r="D692" s="22"/>
    </row>
    <row r="693" spans="1:4" s="20" customFormat="1" x14ac:dyDescent="0.25">
      <c r="A693" s="26"/>
      <c r="B693" s="21"/>
      <c r="C693" s="21"/>
      <c r="D693" s="22"/>
    </row>
    <row r="694" spans="1:4" s="20" customFormat="1" x14ac:dyDescent="0.25">
      <c r="A694" s="26"/>
      <c r="B694" s="21"/>
      <c r="C694" s="21"/>
      <c r="D694" s="22"/>
    </row>
    <row r="695" spans="1:4" s="20" customFormat="1" x14ac:dyDescent="0.25">
      <c r="A695" s="26"/>
      <c r="B695" s="21"/>
      <c r="C695" s="21"/>
      <c r="D695" s="22"/>
    </row>
    <row r="696" spans="1:4" s="20" customFormat="1" x14ac:dyDescent="0.25">
      <c r="A696" s="26"/>
      <c r="B696" s="21"/>
      <c r="C696" s="21"/>
      <c r="D696" s="22"/>
    </row>
    <row r="697" spans="1:4" s="20" customFormat="1" x14ac:dyDescent="0.25">
      <c r="A697" s="26"/>
      <c r="B697" s="21"/>
      <c r="C697" s="21"/>
      <c r="D697" s="22"/>
    </row>
    <row r="698" spans="1:4" s="20" customFormat="1" x14ac:dyDescent="0.25">
      <c r="A698" s="26"/>
      <c r="B698" s="21"/>
      <c r="C698" s="21"/>
      <c r="D698" s="22"/>
    </row>
    <row r="699" spans="1:4" s="20" customFormat="1" x14ac:dyDescent="0.25">
      <c r="A699" s="26"/>
      <c r="B699" s="21"/>
      <c r="C699" s="21"/>
      <c r="D699" s="22"/>
    </row>
    <row r="700" spans="1:4" s="20" customFormat="1" x14ac:dyDescent="0.25">
      <c r="A700" s="26"/>
      <c r="B700" s="21"/>
      <c r="C700" s="21"/>
      <c r="D700" s="22"/>
    </row>
    <row r="701" spans="1:4" s="20" customFormat="1" x14ac:dyDescent="0.25">
      <c r="A701" s="26"/>
      <c r="B701" s="21"/>
      <c r="C701" s="21"/>
      <c r="D701" s="22"/>
    </row>
    <row r="702" spans="1:4" s="20" customFormat="1" x14ac:dyDescent="0.25">
      <c r="A702" s="26"/>
      <c r="B702" s="21"/>
      <c r="C702" s="21"/>
      <c r="D702" s="22"/>
    </row>
    <row r="703" spans="1:4" s="20" customFormat="1" x14ac:dyDescent="0.25">
      <c r="A703" s="26"/>
      <c r="B703" s="21"/>
      <c r="C703" s="21"/>
      <c r="D703" s="22"/>
    </row>
    <row r="704" spans="1:4" s="20" customFormat="1" x14ac:dyDescent="0.25">
      <c r="A704" s="26"/>
      <c r="B704" s="21"/>
      <c r="C704" s="21"/>
      <c r="D704" s="22"/>
    </row>
    <row r="705" spans="1:4" s="20" customFormat="1" x14ac:dyDescent="0.25">
      <c r="A705" s="26"/>
      <c r="B705" s="21"/>
      <c r="C705" s="21"/>
      <c r="D705" s="22"/>
    </row>
    <row r="706" spans="1:4" s="20" customFormat="1" x14ac:dyDescent="0.25">
      <c r="A706" s="26"/>
      <c r="B706" s="21"/>
      <c r="C706" s="21"/>
      <c r="D706" s="22"/>
    </row>
    <row r="707" spans="1:4" s="20" customFormat="1" x14ac:dyDescent="0.25">
      <c r="A707" s="26"/>
      <c r="B707" s="21"/>
      <c r="C707" s="21"/>
      <c r="D707" s="22"/>
    </row>
    <row r="708" spans="1:4" s="20" customFormat="1" x14ac:dyDescent="0.25">
      <c r="A708" s="26"/>
      <c r="B708" s="21"/>
      <c r="C708" s="21"/>
      <c r="D708" s="22"/>
    </row>
    <row r="709" spans="1:4" s="20" customFormat="1" x14ac:dyDescent="0.25">
      <c r="A709" s="26"/>
      <c r="B709" s="21"/>
      <c r="C709" s="21"/>
      <c r="D709" s="22"/>
    </row>
    <row r="710" spans="1:4" s="20" customFormat="1" x14ac:dyDescent="0.25">
      <c r="A710" s="26"/>
      <c r="B710" s="21"/>
      <c r="C710" s="21"/>
      <c r="D710" s="22"/>
    </row>
    <row r="711" spans="1:4" s="20" customFormat="1" x14ac:dyDescent="0.25">
      <c r="A711" s="26"/>
      <c r="B711" s="21"/>
      <c r="C711" s="21"/>
      <c r="D711" s="22"/>
    </row>
    <row r="712" spans="1:4" s="20" customFormat="1" x14ac:dyDescent="0.25">
      <c r="A712" s="26"/>
      <c r="B712" s="21"/>
      <c r="C712" s="21"/>
      <c r="D712" s="22"/>
    </row>
    <row r="713" spans="1:4" s="20" customFormat="1" x14ac:dyDescent="0.25">
      <c r="A713" s="26"/>
      <c r="B713" s="21"/>
      <c r="C713" s="21"/>
      <c r="D713" s="22"/>
    </row>
    <row r="714" spans="1:4" s="20" customFormat="1" x14ac:dyDescent="0.25">
      <c r="A714" s="26"/>
      <c r="B714" s="21"/>
      <c r="C714" s="21"/>
      <c r="D714" s="22"/>
    </row>
    <row r="715" spans="1:4" s="20" customFormat="1" x14ac:dyDescent="0.25">
      <c r="A715" s="26"/>
      <c r="B715" s="21"/>
      <c r="C715" s="21"/>
      <c r="D715" s="22"/>
    </row>
    <row r="716" spans="1:4" s="20" customFormat="1" x14ac:dyDescent="0.25">
      <c r="A716" s="26"/>
      <c r="B716" s="21"/>
      <c r="C716" s="21"/>
      <c r="D716" s="22"/>
    </row>
    <row r="717" spans="1:4" s="20" customFormat="1" x14ac:dyDescent="0.25">
      <c r="A717" s="26"/>
      <c r="B717" s="21"/>
      <c r="C717" s="21"/>
      <c r="D717" s="22"/>
    </row>
    <row r="718" spans="1:4" s="20" customFormat="1" x14ac:dyDescent="0.25">
      <c r="A718" s="26"/>
      <c r="B718" s="21"/>
      <c r="C718" s="21"/>
      <c r="D718" s="22"/>
    </row>
    <row r="719" spans="1:4" s="20" customFormat="1" x14ac:dyDescent="0.25">
      <c r="A719" s="26"/>
      <c r="B719" s="21"/>
      <c r="C719" s="21"/>
      <c r="D719" s="22"/>
    </row>
    <row r="720" spans="1:4" s="20" customFormat="1" x14ac:dyDescent="0.25">
      <c r="A720" s="26"/>
      <c r="B720" s="21"/>
      <c r="C720" s="21"/>
      <c r="D720" s="22"/>
    </row>
    <row r="721" spans="1:4" s="20" customFormat="1" x14ac:dyDescent="0.25">
      <c r="A721" s="26"/>
      <c r="B721" s="21"/>
      <c r="C721" s="21"/>
      <c r="D721" s="22"/>
    </row>
    <row r="722" spans="1:4" s="20" customFormat="1" x14ac:dyDescent="0.25">
      <c r="A722" s="26"/>
      <c r="B722" s="21"/>
      <c r="C722" s="21"/>
      <c r="D722" s="22"/>
    </row>
    <row r="723" spans="1:4" s="20" customFormat="1" x14ac:dyDescent="0.25">
      <c r="A723" s="26"/>
      <c r="B723" s="21"/>
      <c r="C723" s="21"/>
      <c r="D723" s="22"/>
    </row>
    <row r="724" spans="1:4" s="20" customFormat="1" x14ac:dyDescent="0.25">
      <c r="A724" s="26"/>
      <c r="B724" s="21"/>
      <c r="C724" s="21"/>
      <c r="D724" s="22"/>
    </row>
    <row r="725" spans="1:4" s="20" customFormat="1" x14ac:dyDescent="0.25">
      <c r="A725" s="26"/>
      <c r="B725" s="21"/>
      <c r="C725" s="21"/>
      <c r="D725" s="22"/>
    </row>
    <row r="726" spans="1:4" s="20" customFormat="1" x14ac:dyDescent="0.25">
      <c r="A726" s="26"/>
      <c r="B726" s="21"/>
      <c r="C726" s="21"/>
      <c r="D726" s="22"/>
    </row>
    <row r="727" spans="1:4" s="20" customFormat="1" x14ac:dyDescent="0.25">
      <c r="A727" s="26"/>
      <c r="B727" s="21"/>
      <c r="C727" s="21"/>
      <c r="D727" s="22"/>
    </row>
    <row r="728" spans="1:4" s="20" customFormat="1" x14ac:dyDescent="0.25">
      <c r="A728" s="26"/>
      <c r="B728" s="21"/>
      <c r="C728" s="21"/>
      <c r="D728" s="22"/>
    </row>
    <row r="729" spans="1:4" s="20" customFormat="1" x14ac:dyDescent="0.25">
      <c r="A729" s="26"/>
      <c r="B729" s="21"/>
      <c r="C729" s="21"/>
      <c r="D729" s="22"/>
    </row>
    <row r="730" spans="1:4" s="20" customFormat="1" x14ac:dyDescent="0.25">
      <c r="A730" s="26"/>
      <c r="B730" s="21"/>
      <c r="C730" s="21"/>
      <c r="D730" s="22"/>
    </row>
    <row r="731" spans="1:4" s="20" customFormat="1" x14ac:dyDescent="0.25">
      <c r="A731" s="26"/>
      <c r="B731" s="21"/>
      <c r="C731" s="21"/>
      <c r="D731" s="22"/>
    </row>
    <row r="732" spans="1:4" s="20" customFormat="1" x14ac:dyDescent="0.25">
      <c r="A732" s="26"/>
      <c r="B732" s="21"/>
      <c r="C732" s="21"/>
      <c r="D732" s="22"/>
    </row>
    <row r="733" spans="1:4" s="20" customFormat="1" x14ac:dyDescent="0.25">
      <c r="A733" s="26"/>
      <c r="B733" s="21"/>
      <c r="C733" s="21"/>
      <c r="D733" s="22"/>
    </row>
    <row r="734" spans="1:4" s="20" customFormat="1" x14ac:dyDescent="0.25">
      <c r="A734" s="26"/>
      <c r="B734" s="21"/>
      <c r="C734" s="21"/>
      <c r="D734" s="22"/>
    </row>
    <row r="735" spans="1:4" s="20" customFormat="1" x14ac:dyDescent="0.25">
      <c r="A735" s="26"/>
      <c r="B735" s="21"/>
      <c r="C735" s="21"/>
      <c r="D735" s="22"/>
    </row>
    <row r="736" spans="1:4" s="20" customFormat="1" x14ac:dyDescent="0.25">
      <c r="A736" s="26"/>
      <c r="B736" s="21"/>
      <c r="C736" s="21"/>
      <c r="D736" s="22"/>
    </row>
    <row r="737" spans="1:4" s="20" customFormat="1" x14ac:dyDescent="0.25">
      <c r="A737" s="26"/>
      <c r="B737" s="21"/>
      <c r="C737" s="21"/>
      <c r="D737" s="22"/>
    </row>
    <row r="738" spans="1:4" s="20" customFormat="1" x14ac:dyDescent="0.25">
      <c r="A738" s="26"/>
      <c r="B738" s="21"/>
      <c r="C738" s="21"/>
      <c r="D738" s="22"/>
    </row>
    <row r="739" spans="1:4" s="20" customFormat="1" x14ac:dyDescent="0.25">
      <c r="A739" s="26"/>
      <c r="B739" s="21"/>
      <c r="C739" s="21"/>
      <c r="D739" s="22"/>
    </row>
    <row r="740" spans="1:4" s="20" customFormat="1" x14ac:dyDescent="0.25">
      <c r="A740" s="26"/>
      <c r="B740" s="21"/>
      <c r="C740" s="21"/>
      <c r="D740" s="22"/>
    </row>
    <row r="741" spans="1:4" s="20" customFormat="1" x14ac:dyDescent="0.25">
      <c r="A741" s="26"/>
      <c r="B741" s="21"/>
      <c r="C741" s="21"/>
      <c r="D741" s="22"/>
    </row>
    <row r="742" spans="1:4" s="20" customFormat="1" x14ac:dyDescent="0.25">
      <c r="A742" s="26"/>
      <c r="B742" s="21"/>
      <c r="C742" s="21"/>
      <c r="D742" s="22"/>
    </row>
    <row r="743" spans="1:4" s="20" customFormat="1" x14ac:dyDescent="0.25">
      <c r="A743" s="26"/>
      <c r="B743" s="21"/>
      <c r="C743" s="21"/>
      <c r="D743" s="22"/>
    </row>
    <row r="744" spans="1:4" s="20" customFormat="1" x14ac:dyDescent="0.25">
      <c r="A744" s="26"/>
      <c r="B744" s="21"/>
      <c r="C744" s="21"/>
      <c r="D744" s="22"/>
    </row>
    <row r="745" spans="1:4" s="20" customFormat="1" x14ac:dyDescent="0.25">
      <c r="A745" s="26"/>
      <c r="B745" s="21"/>
      <c r="C745" s="21"/>
      <c r="D745" s="22"/>
    </row>
    <row r="746" spans="1:4" s="20" customFormat="1" x14ac:dyDescent="0.25">
      <c r="A746" s="26"/>
      <c r="B746" s="21"/>
      <c r="C746" s="21"/>
      <c r="D746" s="22"/>
    </row>
    <row r="747" spans="1:4" s="20" customFormat="1" x14ac:dyDescent="0.25">
      <c r="A747" s="26"/>
      <c r="B747" s="21"/>
      <c r="C747" s="21"/>
      <c r="D747" s="22"/>
    </row>
    <row r="748" spans="1:4" s="20" customFormat="1" x14ac:dyDescent="0.25">
      <c r="A748" s="26"/>
      <c r="B748" s="21"/>
      <c r="C748" s="21"/>
      <c r="D748" s="22"/>
    </row>
    <row r="749" spans="1:4" s="20" customFormat="1" x14ac:dyDescent="0.25">
      <c r="A749" s="26"/>
      <c r="B749" s="21"/>
      <c r="C749" s="21"/>
      <c r="D749" s="22"/>
    </row>
    <row r="750" spans="1:4" s="20" customFormat="1" x14ac:dyDescent="0.25">
      <c r="A750" s="26"/>
      <c r="B750" s="21"/>
      <c r="C750" s="21"/>
      <c r="D750" s="22"/>
    </row>
    <row r="751" spans="1:4" s="20" customFormat="1" x14ac:dyDescent="0.25">
      <c r="A751" s="26"/>
      <c r="B751" s="21"/>
      <c r="C751" s="21"/>
      <c r="D751" s="22"/>
    </row>
    <row r="752" spans="1:4" s="20" customFormat="1" x14ac:dyDescent="0.25">
      <c r="A752" s="26"/>
      <c r="B752" s="21"/>
      <c r="C752" s="21"/>
      <c r="D752" s="22"/>
    </row>
    <row r="753" spans="1:4" s="20" customFormat="1" x14ac:dyDescent="0.25">
      <c r="A753" s="26"/>
      <c r="B753" s="21"/>
      <c r="C753" s="21"/>
      <c r="D753" s="22"/>
    </row>
    <row r="754" spans="1:4" s="20" customFormat="1" x14ac:dyDescent="0.25">
      <c r="A754" s="26"/>
      <c r="B754" s="21"/>
      <c r="C754" s="21"/>
      <c r="D754" s="22"/>
    </row>
    <row r="755" spans="1:4" s="20" customFormat="1" x14ac:dyDescent="0.25">
      <c r="A755" s="26"/>
      <c r="B755" s="21"/>
      <c r="C755" s="21"/>
      <c r="D755" s="22"/>
    </row>
    <row r="756" spans="1:4" s="20" customFormat="1" x14ac:dyDescent="0.25">
      <c r="A756" s="26"/>
      <c r="B756" s="21"/>
      <c r="C756" s="21"/>
      <c r="D756" s="22"/>
    </row>
    <row r="757" spans="1:4" s="20" customFormat="1" x14ac:dyDescent="0.25">
      <c r="A757" s="26"/>
      <c r="B757" s="21"/>
      <c r="C757" s="21"/>
      <c r="D757" s="22"/>
    </row>
    <row r="758" spans="1:4" s="20" customFormat="1" x14ac:dyDescent="0.25">
      <c r="A758" s="26"/>
      <c r="B758" s="21"/>
      <c r="C758" s="21"/>
      <c r="D758" s="22"/>
    </row>
    <row r="759" spans="1:4" s="20" customFormat="1" x14ac:dyDescent="0.25">
      <c r="A759" s="26"/>
      <c r="B759" s="21"/>
      <c r="C759" s="21"/>
      <c r="D759" s="22"/>
    </row>
    <row r="760" spans="1:4" s="20" customFormat="1" x14ac:dyDescent="0.25">
      <c r="A760" s="26"/>
      <c r="B760" s="21"/>
      <c r="C760" s="21"/>
      <c r="D760" s="22"/>
    </row>
    <row r="761" spans="1:4" s="20" customFormat="1" x14ac:dyDescent="0.25">
      <c r="A761" s="26"/>
      <c r="B761" s="21"/>
      <c r="C761" s="21"/>
      <c r="D761" s="22"/>
    </row>
    <row r="762" spans="1:4" s="20" customFormat="1" x14ac:dyDescent="0.25">
      <c r="A762" s="26"/>
      <c r="B762" s="21"/>
      <c r="C762" s="21"/>
      <c r="D762" s="22"/>
    </row>
    <row r="763" spans="1:4" s="20" customFormat="1" x14ac:dyDescent="0.25">
      <c r="A763" s="26"/>
      <c r="B763" s="21"/>
      <c r="C763" s="21"/>
      <c r="D763" s="22"/>
    </row>
    <row r="764" spans="1:4" s="20" customFormat="1" x14ac:dyDescent="0.25">
      <c r="A764" s="26"/>
      <c r="B764" s="21"/>
      <c r="C764" s="21"/>
      <c r="D764" s="22"/>
    </row>
    <row r="765" spans="1:4" s="20" customFormat="1" x14ac:dyDescent="0.25">
      <c r="A765" s="26"/>
      <c r="B765" s="21"/>
      <c r="C765" s="21"/>
      <c r="D765" s="22"/>
    </row>
    <row r="766" spans="1:4" s="20" customFormat="1" x14ac:dyDescent="0.25">
      <c r="A766" s="26"/>
      <c r="B766" s="21"/>
      <c r="C766" s="21"/>
      <c r="D766" s="22"/>
    </row>
    <row r="767" spans="1:4" s="20" customFormat="1" x14ac:dyDescent="0.25">
      <c r="A767" s="26"/>
      <c r="B767" s="21"/>
      <c r="C767" s="21"/>
      <c r="D767" s="22"/>
    </row>
    <row r="768" spans="1:4" s="20" customFormat="1" x14ac:dyDescent="0.25">
      <c r="A768" s="26"/>
      <c r="B768" s="21"/>
      <c r="C768" s="21"/>
      <c r="D768" s="22"/>
    </row>
    <row r="769" spans="1:7" s="20" customFormat="1" x14ac:dyDescent="0.25">
      <c r="A769" s="26"/>
      <c r="B769" s="21"/>
      <c r="C769" s="21"/>
      <c r="D769" s="22"/>
    </row>
    <row r="770" spans="1:7" s="20" customFormat="1" x14ac:dyDescent="0.25">
      <c r="A770" s="26"/>
      <c r="B770" s="21"/>
      <c r="C770" s="21"/>
      <c r="D770" s="22"/>
    </row>
    <row r="771" spans="1:7" s="20" customFormat="1" x14ac:dyDescent="0.25">
      <c r="A771" s="26"/>
      <c r="B771" s="21"/>
      <c r="C771" s="21"/>
      <c r="D771" s="22"/>
    </row>
    <row r="772" spans="1:7" s="20" customFormat="1" x14ac:dyDescent="0.25">
      <c r="A772" s="26"/>
      <c r="B772" s="21"/>
      <c r="C772" s="21"/>
      <c r="D772" s="22"/>
    </row>
    <row r="773" spans="1:7" s="20" customFormat="1" x14ac:dyDescent="0.25">
      <c r="A773" s="26"/>
      <c r="B773" s="21"/>
      <c r="C773" s="21"/>
      <c r="D773" s="22"/>
    </row>
    <row r="774" spans="1:7" s="20" customFormat="1" x14ac:dyDescent="0.25">
      <c r="A774" s="26"/>
      <c r="B774" s="21"/>
      <c r="C774" s="21"/>
      <c r="D774" s="22"/>
      <c r="F774" s="7"/>
      <c r="G774" s="7"/>
    </row>
    <row r="775" spans="1:7" s="20" customFormat="1" x14ac:dyDescent="0.25">
      <c r="A775" s="26"/>
      <c r="B775" s="21"/>
      <c r="C775" s="21"/>
      <c r="D775" s="22"/>
      <c r="F775" s="7"/>
      <c r="G775" s="7"/>
    </row>
  </sheetData>
  <sheetProtection algorithmName="SHA-512" hashValue="r9+NhrLpIE2Gz3cGNaOJwODujm/rOv2WDej9sQ+k2Jp898J/TnYzK7aXBX2vLi+dvW9e+tRyFqfM+BiC06V3MA==" saltValue="urybhvq3VdPxEgd5M6Ca/g==" spinCount="100000" sheet="1" objects="1" scenarios="1" formatColumns="0" formatRows="0" selectLockedCells="1"/>
  <mergeCells count="5">
    <mergeCell ref="A7:C7"/>
    <mergeCell ref="A9:C9"/>
    <mergeCell ref="E7:G7"/>
    <mergeCell ref="E9:G9"/>
    <mergeCell ref="A17:B17"/>
  </mergeCells>
  <phoneticPr fontId="29"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A9DFE0-5EBF-4CDC-B37E-9DB3CD819759}">
  <sheetPr>
    <tabColor rgb="FFFFFF00"/>
  </sheetPr>
  <dimension ref="A1:J64"/>
  <sheetViews>
    <sheetView workbookViewId="0">
      <selection activeCell="H60" sqref="H60:I60"/>
    </sheetView>
  </sheetViews>
  <sheetFormatPr defaultColWidth="8.7109375" defaultRowHeight="12.75" x14ac:dyDescent="0.2"/>
  <cols>
    <col min="1" max="1" width="2.42578125" style="162" customWidth="1"/>
    <col min="2" max="2" width="45.7109375" style="162" customWidth="1"/>
    <col min="3" max="3" width="30.28515625" style="162" bestFit="1" customWidth="1"/>
    <col min="4" max="4" width="27.28515625" style="162" customWidth="1"/>
    <col min="5" max="5" width="28" style="162" customWidth="1"/>
    <col min="6" max="6" width="29.28515625" style="162" customWidth="1"/>
    <col min="7" max="16384" width="8.7109375" style="162"/>
  </cols>
  <sheetData>
    <row r="1" spans="1:10" s="37" customFormat="1" ht="15.75" thickBot="1" x14ac:dyDescent="0.3">
      <c r="B1" s="71" t="s">
        <v>460</v>
      </c>
      <c r="C1" s="368" t="s">
        <v>461</v>
      </c>
    </row>
    <row r="2" spans="1:10" s="37" customFormat="1" ht="15.75" thickBot="1" x14ac:dyDescent="0.3">
      <c r="B2" s="71" t="s">
        <v>459</v>
      </c>
      <c r="C2" s="368" t="s">
        <v>461</v>
      </c>
    </row>
    <row r="3" spans="1:10" ht="13.5" thickBot="1" x14ac:dyDescent="0.25"/>
    <row r="4" spans="1:10" ht="45.75" thickBot="1" x14ac:dyDescent="0.25">
      <c r="B4" s="83" t="s">
        <v>432</v>
      </c>
    </row>
    <row r="6" spans="1:10" s="131" customFormat="1" ht="15.75" x14ac:dyDescent="0.2">
      <c r="A6" s="136"/>
      <c r="B6" s="248" t="s">
        <v>65</v>
      </c>
      <c r="C6" s="139"/>
      <c r="D6" s="139"/>
      <c r="E6" s="139"/>
      <c r="F6" s="139"/>
      <c r="G6" s="139"/>
      <c r="H6" s="139"/>
      <c r="I6" s="139"/>
      <c r="J6" s="139"/>
    </row>
    <row r="7" spans="1:10" s="131" customFormat="1" ht="15.75" x14ac:dyDescent="0.25">
      <c r="A7" s="137"/>
      <c r="B7" s="137" t="s">
        <v>421</v>
      </c>
      <c r="C7" s="140"/>
      <c r="D7" s="140"/>
      <c r="E7" s="139"/>
      <c r="F7" s="139"/>
      <c r="G7" s="139"/>
      <c r="H7" s="139"/>
      <c r="I7" s="139"/>
      <c r="J7" s="139"/>
    </row>
    <row r="8" spans="1:10" s="131" customFormat="1" ht="15.75" x14ac:dyDescent="0.25">
      <c r="A8" s="137"/>
      <c r="B8" s="137" t="s">
        <v>420</v>
      </c>
    </row>
    <row r="9" spans="1:10" s="131" customFormat="1" ht="15.75" x14ac:dyDescent="0.25">
      <c r="A9" s="137"/>
      <c r="B9" s="137" t="s">
        <v>422</v>
      </c>
      <c r="C9" s="139"/>
      <c r="D9" s="139"/>
      <c r="E9" s="139"/>
      <c r="F9" s="139"/>
      <c r="G9" s="139"/>
      <c r="H9" s="139"/>
      <c r="I9" s="139"/>
      <c r="J9" s="139"/>
    </row>
    <row r="10" spans="1:10" s="131" customFormat="1" ht="15.75" x14ac:dyDescent="0.25">
      <c r="A10" s="137"/>
      <c r="B10" s="137" t="s">
        <v>426</v>
      </c>
      <c r="C10" s="139"/>
      <c r="D10" s="139"/>
      <c r="E10" s="139"/>
      <c r="F10" s="139"/>
      <c r="G10" s="139"/>
      <c r="H10" s="139"/>
      <c r="I10" s="139"/>
      <c r="J10" s="139"/>
    </row>
    <row r="11" spans="1:10" s="131" customFormat="1" ht="15.75" x14ac:dyDescent="0.25">
      <c r="A11" s="137"/>
      <c r="B11" s="201" t="s">
        <v>423</v>
      </c>
      <c r="C11" s="37"/>
      <c r="D11" s="37"/>
      <c r="E11" s="139"/>
      <c r="F11" s="139"/>
      <c r="G11" s="139"/>
      <c r="H11" s="139"/>
      <c r="I11" s="139"/>
      <c r="J11" s="139"/>
    </row>
    <row r="12" spans="1:10" s="131" customFormat="1" ht="16.5" thickBot="1" x14ac:dyDescent="0.3">
      <c r="A12" s="137"/>
      <c r="B12" s="137"/>
    </row>
    <row r="13" spans="1:10" s="131" customFormat="1" ht="16.5" thickBot="1" x14ac:dyDescent="0.3">
      <c r="A13" s="136"/>
      <c r="B13" s="476"/>
      <c r="C13" s="478" t="s">
        <v>75</v>
      </c>
      <c r="D13" s="479"/>
      <c r="E13" s="479"/>
      <c r="F13" s="480"/>
    </row>
    <row r="14" spans="1:10" ht="16.5" thickBot="1" x14ac:dyDescent="0.25">
      <c r="B14" s="477"/>
      <c r="C14" s="163" t="s">
        <v>193</v>
      </c>
      <c r="D14" s="163" t="s">
        <v>194</v>
      </c>
      <c r="E14" s="163" t="s">
        <v>195</v>
      </c>
      <c r="F14" s="163" t="s">
        <v>196</v>
      </c>
    </row>
    <row r="15" spans="1:10" ht="16.5" thickBot="1" x14ac:dyDescent="0.25">
      <c r="B15" s="164" t="s">
        <v>46</v>
      </c>
      <c r="C15" s="165" t="s">
        <v>76</v>
      </c>
      <c r="D15" s="165" t="s">
        <v>76</v>
      </c>
      <c r="E15" s="165" t="s">
        <v>76</v>
      </c>
      <c r="F15" s="165" t="s">
        <v>76</v>
      </c>
    </row>
    <row r="16" spans="1:10" ht="64.5" thickBot="1" x14ac:dyDescent="0.25">
      <c r="B16" s="173" t="s">
        <v>402</v>
      </c>
      <c r="C16" s="174"/>
      <c r="D16" s="174"/>
      <c r="E16" s="174"/>
      <c r="F16" s="174"/>
    </row>
    <row r="17" spans="2:6" x14ac:dyDescent="0.2">
      <c r="B17" s="195"/>
      <c r="C17" s="166"/>
      <c r="D17" s="166"/>
      <c r="E17" s="166"/>
      <c r="F17" s="166"/>
    </row>
    <row r="18" spans="2:6" x14ac:dyDescent="0.2">
      <c r="B18" s="195"/>
      <c r="C18" s="166"/>
      <c r="D18" s="166"/>
      <c r="E18" s="166"/>
      <c r="F18" s="166"/>
    </row>
    <row r="19" spans="2:6" x14ac:dyDescent="0.2">
      <c r="B19" s="195"/>
      <c r="C19" s="166"/>
      <c r="D19" s="166"/>
      <c r="E19" s="166"/>
      <c r="F19" s="166"/>
    </row>
    <row r="20" spans="2:6" x14ac:dyDescent="0.2">
      <c r="B20" s="195"/>
      <c r="C20" s="166"/>
      <c r="D20" s="166"/>
      <c r="E20" s="166"/>
      <c r="F20" s="166"/>
    </row>
    <row r="21" spans="2:6" x14ac:dyDescent="0.2">
      <c r="B21" s="195"/>
      <c r="C21" s="166"/>
      <c r="D21" s="166"/>
      <c r="E21" s="166"/>
      <c r="F21" s="166"/>
    </row>
    <row r="22" spans="2:6" x14ac:dyDescent="0.2">
      <c r="B22" s="195"/>
      <c r="C22" s="166"/>
      <c r="D22" s="166"/>
      <c r="E22" s="166"/>
      <c r="F22" s="166"/>
    </row>
    <row r="23" spans="2:6" x14ac:dyDescent="0.2">
      <c r="B23" s="195"/>
      <c r="C23" s="166"/>
      <c r="D23" s="166"/>
      <c r="E23" s="166"/>
      <c r="F23" s="166"/>
    </row>
    <row r="24" spans="2:6" x14ac:dyDescent="0.2">
      <c r="B24" s="195"/>
      <c r="C24" s="166"/>
      <c r="D24" s="166"/>
      <c r="E24" s="166"/>
      <c r="F24" s="166"/>
    </row>
    <row r="25" spans="2:6" x14ac:dyDescent="0.2">
      <c r="B25" s="195"/>
      <c r="C25" s="166"/>
      <c r="D25" s="166"/>
      <c r="E25" s="166"/>
      <c r="F25" s="166"/>
    </row>
    <row r="26" spans="2:6" x14ac:dyDescent="0.2">
      <c r="B26" s="195"/>
      <c r="C26" s="166"/>
      <c r="D26" s="166"/>
      <c r="E26" s="166"/>
      <c r="F26" s="166"/>
    </row>
    <row r="27" spans="2:6" x14ac:dyDescent="0.2">
      <c r="B27" s="195"/>
      <c r="C27" s="166"/>
      <c r="D27" s="166"/>
      <c r="E27" s="166"/>
      <c r="F27" s="166"/>
    </row>
    <row r="28" spans="2:6" x14ac:dyDescent="0.2">
      <c r="B28" s="195"/>
      <c r="C28" s="166"/>
      <c r="D28" s="166"/>
      <c r="E28" s="166"/>
      <c r="F28" s="166"/>
    </row>
    <row r="29" spans="2:6" x14ac:dyDescent="0.2">
      <c r="B29" s="195"/>
      <c r="C29" s="166"/>
      <c r="D29" s="166"/>
      <c r="E29" s="166"/>
      <c r="F29" s="166"/>
    </row>
    <row r="30" spans="2:6" x14ac:dyDescent="0.2">
      <c r="B30" s="195"/>
      <c r="C30" s="166"/>
      <c r="D30" s="166"/>
      <c r="E30" s="166"/>
      <c r="F30" s="166"/>
    </row>
    <row r="31" spans="2:6" x14ac:dyDescent="0.2">
      <c r="B31" s="195"/>
      <c r="C31" s="166"/>
      <c r="D31" s="166"/>
      <c r="E31" s="166"/>
      <c r="F31" s="166"/>
    </row>
    <row r="32" spans="2:6" ht="13.5" thickBot="1" x14ac:dyDescent="0.25"/>
    <row r="33" spans="2:9" ht="16.5" thickBot="1" x14ac:dyDescent="0.25">
      <c r="B33" s="169"/>
      <c r="C33" s="478" t="s">
        <v>77</v>
      </c>
      <c r="D33" s="479"/>
      <c r="E33" s="479"/>
      <c r="F33" s="480"/>
    </row>
    <row r="34" spans="2:9" ht="16.5" thickBot="1" x14ac:dyDescent="0.25">
      <c r="B34" s="170" t="s">
        <v>92</v>
      </c>
      <c r="C34" s="163" t="s">
        <v>193</v>
      </c>
      <c r="D34" s="163" t="s">
        <v>194</v>
      </c>
      <c r="E34" s="163" t="s">
        <v>195</v>
      </c>
      <c r="F34" s="163" t="s">
        <v>196</v>
      </c>
    </row>
    <row r="35" spans="2:9" ht="77.25" thickBot="1" x14ac:dyDescent="0.25">
      <c r="B35" s="173" t="s">
        <v>424</v>
      </c>
      <c r="C35" s="163"/>
      <c r="D35" s="163"/>
      <c r="E35" s="163"/>
      <c r="F35" s="163"/>
    </row>
    <row r="36" spans="2:9" x14ac:dyDescent="0.2">
      <c r="B36" s="167" t="s">
        <v>111</v>
      </c>
      <c r="C36" s="183"/>
      <c r="D36" s="183"/>
      <c r="E36" s="183"/>
      <c r="F36" s="183"/>
    </row>
    <row r="37" spans="2:9" x14ac:dyDescent="0.2">
      <c r="B37" s="167" t="s">
        <v>110</v>
      </c>
      <c r="C37" s="184"/>
      <c r="D37" s="184"/>
      <c r="E37" s="184"/>
      <c r="F37" s="184"/>
    </row>
    <row r="38" spans="2:9" x14ac:dyDescent="0.2">
      <c r="B38" s="168" t="s">
        <v>109</v>
      </c>
      <c r="C38" s="184"/>
      <c r="D38" s="184"/>
      <c r="E38" s="184"/>
      <c r="F38" s="184"/>
    </row>
    <row r="39" spans="2:9" x14ac:dyDescent="0.2">
      <c r="B39" s="171" t="s">
        <v>112</v>
      </c>
      <c r="C39" s="184"/>
      <c r="D39" s="184"/>
      <c r="E39" s="184"/>
      <c r="F39" s="184"/>
    </row>
    <row r="40" spans="2:9" ht="13.5" thickBot="1" x14ac:dyDescent="0.25">
      <c r="B40" s="171" t="s">
        <v>113</v>
      </c>
      <c r="C40" s="185"/>
      <c r="D40" s="185"/>
      <c r="E40" s="185"/>
      <c r="F40" s="185"/>
    </row>
    <row r="41" spans="2:9" ht="13.5" thickBot="1" x14ac:dyDescent="0.25"/>
    <row r="42" spans="2:9" ht="16.5" thickBot="1" x14ac:dyDescent="0.25">
      <c r="B42" s="169"/>
      <c r="C42" s="478" t="s">
        <v>274</v>
      </c>
      <c r="D42" s="479"/>
      <c r="E42" s="479"/>
      <c r="F42" s="480"/>
    </row>
    <row r="43" spans="2:9" ht="16.5" thickBot="1" x14ac:dyDescent="0.25">
      <c r="B43" s="170" t="s">
        <v>216</v>
      </c>
      <c r="C43" s="163" t="s">
        <v>193</v>
      </c>
      <c r="D43" s="163" t="s">
        <v>194</v>
      </c>
      <c r="E43" s="163" t="s">
        <v>195</v>
      </c>
      <c r="F43" s="163" t="s">
        <v>196</v>
      </c>
    </row>
    <row r="44" spans="2:9" ht="66" customHeight="1" thickBot="1" x14ac:dyDescent="0.25">
      <c r="B44" s="173" t="s">
        <v>425</v>
      </c>
      <c r="C44" s="172"/>
      <c r="D44" s="172"/>
      <c r="E44" s="172"/>
      <c r="F44" s="172"/>
    </row>
    <row r="45" spans="2:9" x14ac:dyDescent="0.2">
      <c r="B45" s="167" t="s">
        <v>118</v>
      </c>
      <c r="C45" s="183"/>
      <c r="D45" s="183"/>
      <c r="E45" s="183"/>
      <c r="F45" s="183"/>
      <c r="I45" s="162" t="s">
        <v>285</v>
      </c>
    </row>
    <row r="46" spans="2:9" x14ac:dyDescent="0.2">
      <c r="B46" s="168" t="s">
        <v>115</v>
      </c>
      <c r="C46" s="184"/>
      <c r="D46" s="184"/>
      <c r="E46" s="184"/>
      <c r="F46" s="184"/>
    </row>
    <row r="47" spans="2:9" x14ac:dyDescent="0.2">
      <c r="B47" s="171" t="s">
        <v>116</v>
      </c>
      <c r="C47" s="184"/>
      <c r="D47" s="184"/>
      <c r="E47" s="184"/>
      <c r="F47" s="184"/>
    </row>
    <row r="48" spans="2:9" ht="13.5" thickBot="1" x14ac:dyDescent="0.25">
      <c r="B48" s="171" t="s">
        <v>117</v>
      </c>
      <c r="C48" s="185"/>
      <c r="D48" s="185"/>
      <c r="E48" s="185"/>
      <c r="F48" s="185"/>
    </row>
    <row r="49" spans="2:6" ht="13.5" thickBot="1" x14ac:dyDescent="0.25"/>
    <row r="50" spans="2:6" ht="16.5" thickBot="1" x14ac:dyDescent="0.25">
      <c r="B50" s="169"/>
      <c r="C50" s="478" t="s">
        <v>78</v>
      </c>
      <c r="D50" s="479"/>
      <c r="E50" s="479"/>
      <c r="F50" s="480"/>
    </row>
    <row r="51" spans="2:6" ht="16.5" thickBot="1" x14ac:dyDescent="0.25">
      <c r="B51" s="170" t="s">
        <v>93</v>
      </c>
      <c r="C51" s="163" t="s">
        <v>193</v>
      </c>
      <c r="D51" s="163" t="s">
        <v>194</v>
      </c>
      <c r="E51" s="163" t="s">
        <v>195</v>
      </c>
      <c r="F51" s="163" t="s">
        <v>196</v>
      </c>
    </row>
    <row r="52" spans="2:6" ht="77.25" thickBot="1" x14ac:dyDescent="0.25">
      <c r="B52" s="173" t="s">
        <v>404</v>
      </c>
      <c r="C52" s="172"/>
      <c r="D52" s="172"/>
      <c r="E52" s="172"/>
      <c r="F52" s="172"/>
    </row>
    <row r="53" spans="2:6" ht="12.75" customHeight="1" x14ac:dyDescent="0.2">
      <c r="B53" s="167" t="s">
        <v>114</v>
      </c>
      <c r="C53" s="183"/>
      <c r="D53" s="183"/>
      <c r="E53" s="183"/>
      <c r="F53" s="183"/>
    </row>
    <row r="54" spans="2:6" x14ac:dyDescent="0.2">
      <c r="B54" s="168" t="s">
        <v>115</v>
      </c>
      <c r="C54" s="184"/>
      <c r="D54" s="184"/>
      <c r="E54" s="184"/>
      <c r="F54" s="184"/>
    </row>
    <row r="55" spans="2:6" x14ac:dyDescent="0.2">
      <c r="B55" s="171" t="s">
        <v>116</v>
      </c>
      <c r="C55" s="184"/>
      <c r="D55" s="184"/>
      <c r="E55" s="184"/>
      <c r="F55" s="184"/>
    </row>
    <row r="56" spans="2:6" ht="13.5" thickBot="1" x14ac:dyDescent="0.25">
      <c r="B56" s="171" t="s">
        <v>117</v>
      </c>
      <c r="C56" s="185"/>
      <c r="D56" s="185"/>
      <c r="E56" s="185"/>
      <c r="F56" s="185"/>
    </row>
    <row r="57" spans="2:6" ht="13.5" thickBot="1" x14ac:dyDescent="0.25"/>
    <row r="58" spans="2:6" ht="16.5" thickBot="1" x14ac:dyDescent="0.25">
      <c r="B58" s="169"/>
      <c r="C58" s="478" t="s">
        <v>79</v>
      </c>
      <c r="D58" s="479"/>
      <c r="E58" s="479"/>
      <c r="F58" s="480"/>
    </row>
    <row r="59" spans="2:6" ht="16.5" thickBot="1" x14ac:dyDescent="0.25">
      <c r="B59" s="170" t="s">
        <v>94</v>
      </c>
      <c r="C59" s="163" t="s">
        <v>193</v>
      </c>
      <c r="D59" s="163" t="s">
        <v>194</v>
      </c>
      <c r="E59" s="163" t="s">
        <v>195</v>
      </c>
      <c r="F59" s="163" t="s">
        <v>196</v>
      </c>
    </row>
    <row r="60" spans="2:6" ht="77.25" thickBot="1" x14ac:dyDescent="0.25">
      <c r="B60" s="173" t="s">
        <v>405</v>
      </c>
      <c r="C60" s="172"/>
      <c r="D60" s="172"/>
      <c r="E60" s="172"/>
      <c r="F60" s="172"/>
    </row>
    <row r="61" spans="2:6" x14ac:dyDescent="0.2">
      <c r="B61" s="167" t="s">
        <v>118</v>
      </c>
      <c r="C61" s="183"/>
      <c r="D61" s="183"/>
      <c r="E61" s="183"/>
      <c r="F61" s="183"/>
    </row>
    <row r="62" spans="2:6" x14ac:dyDescent="0.2">
      <c r="B62" s="168" t="s">
        <v>115</v>
      </c>
      <c r="C62" s="184"/>
      <c r="D62" s="184"/>
      <c r="E62" s="184"/>
      <c r="F62" s="184"/>
    </row>
    <row r="63" spans="2:6" x14ac:dyDescent="0.2">
      <c r="B63" s="171" t="s">
        <v>119</v>
      </c>
      <c r="C63" s="184"/>
      <c r="D63" s="184"/>
      <c r="E63" s="184"/>
      <c r="F63" s="184"/>
    </row>
    <row r="64" spans="2:6" ht="13.5" thickBot="1" x14ac:dyDescent="0.25">
      <c r="B64" s="171" t="s">
        <v>120</v>
      </c>
      <c r="C64" s="185"/>
      <c r="D64" s="185"/>
      <c r="E64" s="185"/>
      <c r="F64" s="185"/>
    </row>
  </sheetData>
  <mergeCells count="6">
    <mergeCell ref="B13:B14"/>
    <mergeCell ref="C13:F13"/>
    <mergeCell ref="C33:F33"/>
    <mergeCell ref="C50:F50"/>
    <mergeCell ref="C58:F58"/>
    <mergeCell ref="C42:F4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637F13-59D3-495C-BC02-74E510E18247}">
  <sheetPr>
    <tabColor rgb="FFFFFF00"/>
  </sheetPr>
  <dimension ref="A1:H41"/>
  <sheetViews>
    <sheetView workbookViewId="0">
      <selection activeCell="C3" sqref="C3"/>
    </sheetView>
  </sheetViews>
  <sheetFormatPr defaultRowHeight="15" x14ac:dyDescent="0.25"/>
  <cols>
    <col min="1" max="1" width="3.28515625" style="37" customWidth="1"/>
    <col min="2" max="2" width="52.42578125" customWidth="1"/>
    <col min="3" max="3" width="49" customWidth="1"/>
    <col min="4" max="4" width="68.5703125" bestFit="1" customWidth="1"/>
  </cols>
  <sheetData>
    <row r="1" spans="2:8" s="37" customFormat="1" ht="15.75" thickBot="1" x14ac:dyDescent="0.3">
      <c r="B1" s="71" t="s">
        <v>460</v>
      </c>
      <c r="C1" s="388" t="str">
        <f>'SUB CPIF RATES (ALL)'!C1</f>
        <v xml:space="preserve">NAME </v>
      </c>
      <c r="D1" s="309"/>
    </row>
    <row r="2" spans="2:8" s="37" customFormat="1" ht="15.75" thickBot="1" x14ac:dyDescent="0.3">
      <c r="B2" s="71" t="s">
        <v>459</v>
      </c>
      <c r="C2" s="388" t="str">
        <f>'SUB CPIF RATES (ALL)'!C2</f>
        <v xml:space="preserve">NAME </v>
      </c>
      <c r="D2" s="309"/>
    </row>
    <row r="3" spans="2:8" s="37" customFormat="1" ht="15.75" thickBot="1" x14ac:dyDescent="0.3">
      <c r="B3" s="31"/>
      <c r="C3" s="211"/>
      <c r="D3" s="211"/>
      <c r="E3" s="387"/>
    </row>
    <row r="4" spans="2:8" ht="42.75" customHeight="1" thickBot="1" x14ac:dyDescent="0.3">
      <c r="B4" s="83" t="s">
        <v>427</v>
      </c>
      <c r="C4" s="84"/>
      <c r="D4" s="84"/>
    </row>
    <row r="6" spans="2:8" s="244" customFormat="1" x14ac:dyDescent="0.25">
      <c r="B6" s="204" t="s">
        <v>65</v>
      </c>
    </row>
    <row r="7" spans="2:8" s="244" customFormat="1" x14ac:dyDescent="0.25">
      <c r="B7" s="201" t="s">
        <v>421</v>
      </c>
    </row>
    <row r="8" spans="2:8" s="244" customFormat="1" x14ac:dyDescent="0.25">
      <c r="B8" s="201" t="s">
        <v>428</v>
      </c>
    </row>
    <row r="9" spans="2:8" s="244" customFormat="1" x14ac:dyDescent="0.25">
      <c r="B9" s="201" t="s">
        <v>429</v>
      </c>
    </row>
    <row r="10" spans="2:8" s="37" customFormat="1" x14ac:dyDescent="0.25">
      <c r="B10" s="201" t="s">
        <v>430</v>
      </c>
    </row>
    <row r="11" spans="2:8" s="37" customFormat="1" ht="15.75" thickBot="1" x14ac:dyDescent="0.3">
      <c r="B11" s="137"/>
    </row>
    <row r="12" spans="2:8" s="37" customFormat="1" ht="15.75" thickBot="1" x14ac:dyDescent="0.3">
      <c r="B12" s="481" t="s">
        <v>47</v>
      </c>
      <c r="C12" s="482"/>
      <c r="D12" s="483"/>
      <c r="E12" s="75"/>
      <c r="F12" s="75"/>
      <c r="G12" s="75"/>
      <c r="H12" s="75"/>
    </row>
    <row r="13" spans="2:8" s="88" customFormat="1" ht="15.75" thickBot="1" x14ac:dyDescent="0.3">
      <c r="B13" s="85"/>
      <c r="C13" s="86"/>
      <c r="D13" s="86"/>
      <c r="E13" s="87"/>
      <c r="F13" s="87"/>
      <c r="G13" s="87"/>
      <c r="H13" s="87"/>
    </row>
    <row r="14" spans="2:8" x14ac:dyDescent="0.25">
      <c r="B14" s="94" t="s">
        <v>46</v>
      </c>
      <c r="C14" s="95" t="s">
        <v>24</v>
      </c>
    </row>
    <row r="15" spans="2:8" s="37" customFormat="1" ht="60" x14ac:dyDescent="0.25">
      <c r="B15" s="325" t="s">
        <v>49</v>
      </c>
      <c r="C15" s="326" t="s">
        <v>48</v>
      </c>
    </row>
    <row r="16" spans="2:8" x14ac:dyDescent="0.25">
      <c r="B16" s="195">
        <f>'SUB CPIF RATES (ALL)'!B17</f>
        <v>0</v>
      </c>
      <c r="C16" s="78"/>
    </row>
    <row r="17" spans="2:6" x14ac:dyDescent="0.25">
      <c r="B17" s="195">
        <f>'SUB CPIF RATES (ALL)'!B18</f>
        <v>0</v>
      </c>
      <c r="C17" s="78"/>
    </row>
    <row r="18" spans="2:6" x14ac:dyDescent="0.25">
      <c r="B18" s="195">
        <f>'SUB CPIF RATES (ALL)'!B19</f>
        <v>0</v>
      </c>
      <c r="C18" s="78"/>
    </row>
    <row r="19" spans="2:6" x14ac:dyDescent="0.25">
      <c r="B19" s="195">
        <f>'SUB CPIF RATES (ALL)'!B20</f>
        <v>0</v>
      </c>
      <c r="C19" s="78"/>
    </row>
    <row r="20" spans="2:6" x14ac:dyDescent="0.25">
      <c r="B20" s="195">
        <f>'SUB CPIF RATES (ALL)'!B21</f>
        <v>0</v>
      </c>
      <c r="C20" s="78"/>
    </row>
    <row r="21" spans="2:6" x14ac:dyDescent="0.25">
      <c r="B21" s="195">
        <f>'SUB CPIF RATES (ALL)'!B22</f>
        <v>0</v>
      </c>
      <c r="C21" s="78"/>
    </row>
    <row r="22" spans="2:6" x14ac:dyDescent="0.25">
      <c r="B22" s="195">
        <f>'SUB CPIF RATES (ALL)'!B23</f>
        <v>0</v>
      </c>
      <c r="C22" s="78"/>
    </row>
    <row r="23" spans="2:6" x14ac:dyDescent="0.25">
      <c r="B23" s="195">
        <f>'SUB CPIF RATES (ALL)'!B24</f>
        <v>0</v>
      </c>
      <c r="C23" s="78"/>
    </row>
    <row r="24" spans="2:6" x14ac:dyDescent="0.25">
      <c r="B24" s="195">
        <f>'SUB CPIF RATES (ALL)'!B25</f>
        <v>0</v>
      </c>
      <c r="C24" s="78"/>
    </row>
    <row r="25" spans="2:6" x14ac:dyDescent="0.25">
      <c r="B25" s="195">
        <f>'SUB CPIF RATES (ALL)'!B26</f>
        <v>0</v>
      </c>
      <c r="C25" s="78"/>
    </row>
    <row r="26" spans="2:6" s="37" customFormat="1" x14ac:dyDescent="0.25">
      <c r="B26" s="195">
        <f>'SUB CPIF RATES (ALL)'!B27</f>
        <v>0</v>
      </c>
      <c r="C26" s="78"/>
    </row>
    <row r="27" spans="2:6" s="37" customFormat="1" x14ac:dyDescent="0.25">
      <c r="B27" s="195">
        <f>'SUB CPIF RATES (ALL)'!B28</f>
        <v>0</v>
      </c>
      <c r="C27" s="78"/>
    </row>
    <row r="28" spans="2:6" s="37" customFormat="1" x14ac:dyDescent="0.25">
      <c r="B28" s="195">
        <f>'SUB CPIF RATES (ALL)'!B29</f>
        <v>0</v>
      </c>
      <c r="C28" s="78"/>
    </row>
    <row r="29" spans="2:6" s="37" customFormat="1" x14ac:dyDescent="0.25">
      <c r="B29" s="195">
        <f>'SUB CPIF RATES (ALL)'!B30</f>
        <v>0</v>
      </c>
      <c r="C29" s="78"/>
    </row>
    <row r="30" spans="2:6" s="37" customFormat="1" ht="15.75" thickBot="1" x14ac:dyDescent="0.3">
      <c r="B30" s="327">
        <f>'SUB CPIF RATES (ALL)'!B31</f>
        <v>0</v>
      </c>
      <c r="C30" s="82"/>
    </row>
    <row r="31" spans="2:6" s="74" customFormat="1" ht="15.75" thickBot="1" x14ac:dyDescent="0.3">
      <c r="B31" s="198"/>
      <c r="C31" s="73"/>
      <c r="D31" s="73"/>
    </row>
    <row r="32" spans="2:6" s="74" customFormat="1" x14ac:dyDescent="0.25">
      <c r="B32" s="89" t="s">
        <v>50</v>
      </c>
      <c r="C32" s="90" t="s">
        <v>24</v>
      </c>
      <c r="D32" s="91" t="s">
        <v>419</v>
      </c>
      <c r="E32" s="73"/>
      <c r="F32" s="73"/>
    </row>
    <row r="33" spans="2:4" s="74" customFormat="1" ht="27.75" customHeight="1" x14ac:dyDescent="0.25">
      <c r="B33" s="196" t="s">
        <v>53</v>
      </c>
      <c r="C33" s="93" t="s">
        <v>55</v>
      </c>
      <c r="D33" s="197" t="s">
        <v>56</v>
      </c>
    </row>
    <row r="34" spans="2:4" s="74" customFormat="1" x14ac:dyDescent="0.25">
      <c r="B34" s="77" t="s">
        <v>54</v>
      </c>
      <c r="C34" s="76"/>
      <c r="D34" s="92"/>
    </row>
    <row r="35" spans="2:4" s="74" customFormat="1" x14ac:dyDescent="0.25">
      <c r="B35" s="77" t="s">
        <v>90</v>
      </c>
      <c r="C35" s="76"/>
      <c r="D35" s="92"/>
    </row>
    <row r="36" spans="2:4" s="74" customFormat="1" x14ac:dyDescent="0.25">
      <c r="B36" s="79" t="s">
        <v>91</v>
      </c>
      <c r="C36" s="72"/>
      <c r="D36" s="78"/>
    </row>
    <row r="37" spans="2:4" s="74" customFormat="1" x14ac:dyDescent="0.25">
      <c r="B37" s="79" t="s">
        <v>217</v>
      </c>
      <c r="C37" s="72"/>
      <c r="D37" s="78"/>
    </row>
    <row r="38" spans="2:4" s="74" customFormat="1" x14ac:dyDescent="0.25">
      <c r="B38" s="79" t="s">
        <v>218</v>
      </c>
      <c r="C38" s="72"/>
      <c r="D38" s="78"/>
    </row>
    <row r="39" spans="2:4" s="74" customFormat="1" x14ac:dyDescent="0.25">
      <c r="B39" s="79" t="s">
        <v>51</v>
      </c>
      <c r="C39" s="72"/>
      <c r="D39" s="78"/>
    </row>
    <row r="40" spans="2:4" s="74" customFormat="1" x14ac:dyDescent="0.25">
      <c r="B40" s="79" t="s">
        <v>52</v>
      </c>
      <c r="C40" s="72"/>
      <c r="D40" s="78"/>
    </row>
    <row r="41" spans="2:4" s="74" customFormat="1" ht="15.75" thickBot="1" x14ac:dyDescent="0.3">
      <c r="B41" s="80" t="s">
        <v>121</v>
      </c>
      <c r="C41" s="81"/>
      <c r="D41" s="82"/>
    </row>
  </sheetData>
  <mergeCells count="1">
    <mergeCell ref="B12:D1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BBD0A9-E698-4922-9076-0F33DD2B5EA5}">
  <sheetPr>
    <tabColor rgb="FFFFFF00"/>
  </sheetPr>
  <dimension ref="A1:E62"/>
  <sheetViews>
    <sheetView workbookViewId="0">
      <selection activeCell="C3" sqref="C3"/>
    </sheetView>
  </sheetViews>
  <sheetFormatPr defaultRowHeight="15" x14ac:dyDescent="0.25"/>
  <cols>
    <col min="1" max="1" width="11.7109375" style="37" customWidth="1"/>
    <col min="2" max="2" width="44.42578125" style="37" customWidth="1"/>
    <col min="3" max="3" width="30.5703125" style="37" bestFit="1" customWidth="1"/>
    <col min="4" max="4" width="30.5703125" style="37" customWidth="1"/>
    <col min="5" max="5" width="40" style="37" customWidth="1"/>
    <col min="6" max="16384" width="9.140625" style="37"/>
  </cols>
  <sheetData>
    <row r="1" spans="1:5" ht="15.75" thickBot="1" x14ac:dyDescent="0.3">
      <c r="B1" s="71" t="s">
        <v>460</v>
      </c>
      <c r="C1" s="389" t="str">
        <f>'SUB CPIF RATES (ALL)'!C1</f>
        <v xml:space="preserve">NAME </v>
      </c>
    </row>
    <row r="2" spans="1:5" ht="15.75" thickBot="1" x14ac:dyDescent="0.3">
      <c r="B2" s="71" t="s">
        <v>459</v>
      </c>
      <c r="C2" s="389" t="str">
        <f>'SUB CPIF RATES (ALL)'!C2</f>
        <v xml:space="preserve">NAME </v>
      </c>
    </row>
    <row r="3" spans="1:5" ht="15.75" thickBot="1" x14ac:dyDescent="0.3">
      <c r="A3" s="71"/>
    </row>
    <row r="4" spans="1:5" ht="45.75" customHeight="1" thickBot="1" x14ac:dyDescent="0.3">
      <c r="B4" s="83" t="s">
        <v>431</v>
      </c>
      <c r="C4" s="84"/>
      <c r="D4" s="84"/>
    </row>
    <row r="5" spans="1:5" x14ac:dyDescent="0.25">
      <c r="A5" s="71"/>
    </row>
    <row r="6" spans="1:5" x14ac:dyDescent="0.25">
      <c r="A6" s="71"/>
      <c r="B6" s="329" t="s">
        <v>291</v>
      </c>
    </row>
    <row r="7" spans="1:5" x14ac:dyDescent="0.25">
      <c r="A7" s="71"/>
      <c r="B7" s="201" t="s">
        <v>308</v>
      </c>
    </row>
    <row r="8" spans="1:5" s="244" customFormat="1" x14ac:dyDescent="0.25">
      <c r="A8" s="330"/>
      <c r="B8" s="308" t="s">
        <v>297</v>
      </c>
    </row>
    <row r="9" spans="1:5" x14ac:dyDescent="0.25">
      <c r="B9" s="308" t="s">
        <v>296</v>
      </c>
    </row>
    <row r="10" spans="1:5" x14ac:dyDescent="0.25">
      <c r="B10" s="44"/>
    </row>
    <row r="11" spans="1:5" ht="30" x14ac:dyDescent="0.25">
      <c r="A11" s="328" t="s">
        <v>309</v>
      </c>
      <c r="B11" s="237" t="s">
        <v>183</v>
      </c>
      <c r="C11" s="237" t="s">
        <v>46</v>
      </c>
      <c r="D11" s="237" t="s">
        <v>175</v>
      </c>
      <c r="E11" s="237" t="s">
        <v>292</v>
      </c>
    </row>
    <row r="12" spans="1:5" x14ac:dyDescent="0.25">
      <c r="A12" s="484" t="s">
        <v>294</v>
      </c>
      <c r="B12" s="485"/>
      <c r="C12" s="485"/>
      <c r="D12" s="485"/>
      <c r="E12" s="486"/>
    </row>
    <row r="13" spans="1:5" x14ac:dyDescent="0.25">
      <c r="A13" s="331">
        <v>1.01</v>
      </c>
      <c r="B13" s="331" t="s">
        <v>176</v>
      </c>
      <c r="C13" s="331"/>
      <c r="D13" s="331"/>
      <c r="E13" s="331"/>
    </row>
    <row r="14" spans="1:5" x14ac:dyDescent="0.25">
      <c r="A14" s="331" t="s">
        <v>105</v>
      </c>
      <c r="B14" s="331" t="s">
        <v>177</v>
      </c>
      <c r="C14" s="331" t="s">
        <v>178</v>
      </c>
      <c r="D14" s="331" t="s">
        <v>293</v>
      </c>
      <c r="E14" s="331" t="s">
        <v>179</v>
      </c>
    </row>
    <row r="15" spans="1:5" x14ac:dyDescent="0.25">
      <c r="A15" s="331"/>
      <c r="B15" s="331"/>
      <c r="C15" s="331" t="s">
        <v>180</v>
      </c>
      <c r="D15" s="331"/>
      <c r="E15" s="331" t="s">
        <v>181</v>
      </c>
    </row>
    <row r="16" spans="1:5" x14ac:dyDescent="0.25">
      <c r="A16" s="331"/>
      <c r="B16" s="331"/>
      <c r="C16" s="331" t="s">
        <v>182</v>
      </c>
      <c r="D16" s="331"/>
      <c r="E16" s="331" t="s">
        <v>295</v>
      </c>
    </row>
    <row r="17" spans="1:5" x14ac:dyDescent="0.25">
      <c r="A17" s="72"/>
      <c r="B17" s="307"/>
      <c r="C17" s="72" t="s">
        <v>1</v>
      </c>
      <c r="D17" s="72"/>
      <c r="E17" s="72" t="s">
        <v>1</v>
      </c>
    </row>
    <row r="18" spans="1:5" x14ac:dyDescent="0.25">
      <c r="A18" s="72"/>
      <c r="B18" s="307"/>
      <c r="C18" s="72"/>
      <c r="D18" s="72"/>
      <c r="E18" s="72"/>
    </row>
    <row r="19" spans="1:5" x14ac:dyDescent="0.25">
      <c r="A19" s="72"/>
      <c r="B19" s="307"/>
      <c r="C19" s="72"/>
      <c r="D19" s="72"/>
      <c r="E19" s="72"/>
    </row>
    <row r="20" spans="1:5" x14ac:dyDescent="0.25">
      <c r="A20" s="72"/>
      <c r="B20" s="307"/>
      <c r="C20" s="72"/>
      <c r="D20" s="72"/>
      <c r="E20" s="72"/>
    </row>
    <row r="21" spans="1:5" x14ac:dyDescent="0.25">
      <c r="A21" s="72"/>
      <c r="B21" s="307"/>
      <c r="C21" s="72"/>
      <c r="D21" s="72"/>
      <c r="E21" s="72"/>
    </row>
    <row r="22" spans="1:5" x14ac:dyDescent="0.25">
      <c r="A22" s="72"/>
      <c r="B22" s="307"/>
      <c r="C22" s="72"/>
      <c r="D22" s="72"/>
      <c r="E22" s="72"/>
    </row>
    <row r="23" spans="1:5" x14ac:dyDescent="0.25">
      <c r="A23" s="72"/>
      <c r="B23" s="307"/>
      <c r="C23" s="72"/>
      <c r="D23" s="72"/>
      <c r="E23" s="72"/>
    </row>
    <row r="24" spans="1:5" x14ac:dyDescent="0.25">
      <c r="A24" s="72"/>
      <c r="B24" s="307"/>
      <c r="C24" s="72"/>
      <c r="D24" s="72"/>
      <c r="E24" s="72"/>
    </row>
    <row r="25" spans="1:5" x14ac:dyDescent="0.25">
      <c r="A25" s="72"/>
      <c r="B25" s="307"/>
      <c r="C25" s="72"/>
      <c r="D25" s="72"/>
      <c r="E25" s="72"/>
    </row>
    <row r="26" spans="1:5" x14ac:dyDescent="0.25">
      <c r="A26" s="72"/>
      <c r="B26" s="307"/>
      <c r="C26" s="72"/>
      <c r="D26" s="72"/>
      <c r="E26" s="72"/>
    </row>
    <row r="27" spans="1:5" x14ac:dyDescent="0.25">
      <c r="A27" s="72"/>
      <c r="B27" s="307"/>
      <c r="C27" s="72"/>
      <c r="D27" s="72"/>
      <c r="E27" s="72"/>
    </row>
    <row r="28" spans="1:5" x14ac:dyDescent="0.25">
      <c r="A28" s="72"/>
      <c r="B28" s="307"/>
      <c r="C28" s="72"/>
      <c r="D28" s="72"/>
      <c r="E28" s="72"/>
    </row>
    <row r="29" spans="1:5" x14ac:dyDescent="0.25">
      <c r="A29" s="72"/>
      <c r="B29" s="307"/>
      <c r="C29" s="72"/>
      <c r="D29" s="72"/>
      <c r="E29" s="72"/>
    </row>
    <row r="30" spans="1:5" x14ac:dyDescent="0.25">
      <c r="A30" s="72"/>
      <c r="B30" s="307"/>
      <c r="C30" s="72"/>
      <c r="D30" s="72"/>
      <c r="E30" s="72"/>
    </row>
    <row r="31" spans="1:5" x14ac:dyDescent="0.25">
      <c r="A31" s="72"/>
      <c r="B31" s="307"/>
      <c r="C31" s="72"/>
      <c r="D31" s="72"/>
      <c r="E31" s="72"/>
    </row>
    <row r="32" spans="1:5" x14ac:dyDescent="0.25">
      <c r="A32" s="72"/>
      <c r="B32" s="72"/>
      <c r="C32" s="72"/>
      <c r="D32" s="72"/>
      <c r="E32" s="72"/>
    </row>
    <row r="33" spans="1:5" x14ac:dyDescent="0.25">
      <c r="A33" s="72"/>
      <c r="B33" s="72"/>
      <c r="C33" s="72"/>
      <c r="D33" s="72"/>
      <c r="E33" s="72"/>
    </row>
    <row r="34" spans="1:5" x14ac:dyDescent="0.25">
      <c r="A34" s="72"/>
      <c r="B34" s="72"/>
      <c r="C34" s="72"/>
      <c r="D34" s="72"/>
      <c r="E34" s="72"/>
    </row>
    <row r="35" spans="1:5" x14ac:dyDescent="0.25">
      <c r="A35" s="72"/>
      <c r="B35" s="72"/>
      <c r="C35" s="72"/>
      <c r="D35" s="72"/>
      <c r="E35" s="72"/>
    </row>
    <row r="36" spans="1:5" x14ac:dyDescent="0.25">
      <c r="A36" s="72"/>
      <c r="B36" s="72"/>
      <c r="C36" s="72"/>
      <c r="D36" s="72"/>
      <c r="E36" s="72"/>
    </row>
    <row r="37" spans="1:5" x14ac:dyDescent="0.25">
      <c r="A37" s="72"/>
      <c r="B37" s="72"/>
      <c r="C37" s="72"/>
      <c r="D37" s="72"/>
      <c r="E37" s="72"/>
    </row>
    <row r="38" spans="1:5" x14ac:dyDescent="0.25">
      <c r="A38" s="72"/>
      <c r="B38" s="72"/>
      <c r="C38" s="72"/>
      <c r="D38" s="72"/>
      <c r="E38" s="72"/>
    </row>
    <row r="39" spans="1:5" x14ac:dyDescent="0.25">
      <c r="A39" s="72"/>
      <c r="B39" s="72"/>
      <c r="C39" s="72"/>
      <c r="D39" s="72"/>
      <c r="E39" s="72"/>
    </row>
    <row r="40" spans="1:5" x14ac:dyDescent="0.25">
      <c r="A40" s="72"/>
      <c r="B40" s="72"/>
      <c r="C40" s="72"/>
      <c r="D40" s="72"/>
      <c r="E40" s="72"/>
    </row>
    <row r="41" spans="1:5" x14ac:dyDescent="0.25">
      <c r="A41" s="72"/>
      <c r="B41" s="72"/>
      <c r="C41" s="72"/>
      <c r="D41" s="72"/>
      <c r="E41" s="72"/>
    </row>
    <row r="42" spans="1:5" x14ac:dyDescent="0.25">
      <c r="A42" s="72"/>
      <c r="B42" s="72"/>
      <c r="C42" s="72"/>
      <c r="D42" s="72"/>
      <c r="E42" s="72"/>
    </row>
    <row r="43" spans="1:5" x14ac:dyDescent="0.25">
      <c r="A43" s="72"/>
      <c r="B43" s="72"/>
      <c r="C43" s="72"/>
      <c r="D43" s="72"/>
      <c r="E43" s="72"/>
    </row>
    <row r="44" spans="1:5" x14ac:dyDescent="0.25">
      <c r="A44" s="72"/>
      <c r="B44" s="72"/>
      <c r="C44" s="72"/>
      <c r="D44" s="72"/>
      <c r="E44" s="72"/>
    </row>
    <row r="45" spans="1:5" x14ac:dyDescent="0.25">
      <c r="A45" s="72"/>
      <c r="B45" s="72"/>
      <c r="C45" s="72"/>
      <c r="D45" s="72"/>
      <c r="E45" s="72"/>
    </row>
    <row r="46" spans="1:5" x14ac:dyDescent="0.25">
      <c r="A46" s="72"/>
      <c r="B46" s="72"/>
      <c r="C46" s="72"/>
      <c r="D46" s="72"/>
      <c r="E46" s="72"/>
    </row>
    <row r="47" spans="1:5" x14ac:dyDescent="0.25">
      <c r="A47" s="72"/>
      <c r="B47" s="72"/>
      <c r="C47" s="72"/>
      <c r="D47" s="72"/>
      <c r="E47" s="72"/>
    </row>
    <row r="48" spans="1:5" x14ac:dyDescent="0.25">
      <c r="A48" s="72"/>
      <c r="B48" s="72"/>
      <c r="C48" s="72"/>
      <c r="D48" s="72"/>
      <c r="E48" s="72"/>
    </row>
    <row r="49" spans="1:5" x14ac:dyDescent="0.25">
      <c r="A49" s="72"/>
      <c r="B49" s="72"/>
      <c r="C49" s="72"/>
      <c r="D49" s="72"/>
      <c r="E49" s="72"/>
    </row>
    <row r="50" spans="1:5" x14ac:dyDescent="0.25">
      <c r="A50" s="72"/>
      <c r="B50" s="72"/>
      <c r="C50" s="72"/>
      <c r="D50" s="72"/>
      <c r="E50" s="72"/>
    </row>
    <row r="51" spans="1:5" x14ac:dyDescent="0.25">
      <c r="A51" s="72"/>
      <c r="B51" s="72"/>
      <c r="C51" s="72"/>
      <c r="D51" s="72"/>
      <c r="E51" s="72"/>
    </row>
    <row r="52" spans="1:5" x14ac:dyDescent="0.25">
      <c r="A52" s="72"/>
      <c r="B52" s="72"/>
      <c r="C52" s="72"/>
      <c r="D52" s="72"/>
      <c r="E52" s="72"/>
    </row>
    <row r="53" spans="1:5" x14ac:dyDescent="0.25">
      <c r="A53" s="72"/>
      <c r="B53" s="72"/>
      <c r="C53" s="72"/>
      <c r="D53" s="72"/>
      <c r="E53" s="72"/>
    </row>
    <row r="54" spans="1:5" x14ac:dyDescent="0.25">
      <c r="A54" s="72"/>
      <c r="B54" s="72"/>
      <c r="C54" s="72"/>
      <c r="D54" s="72"/>
      <c r="E54" s="72"/>
    </row>
    <row r="55" spans="1:5" x14ac:dyDescent="0.25">
      <c r="A55" s="72"/>
      <c r="B55" s="72"/>
      <c r="C55" s="72"/>
      <c r="D55" s="72"/>
      <c r="E55" s="72"/>
    </row>
    <row r="56" spans="1:5" x14ac:dyDescent="0.25">
      <c r="A56" s="72"/>
      <c r="B56" s="72"/>
      <c r="C56" s="72"/>
      <c r="D56" s="72"/>
      <c r="E56" s="72"/>
    </row>
    <row r="57" spans="1:5" x14ac:dyDescent="0.25">
      <c r="A57" s="72"/>
      <c r="B57" s="72"/>
      <c r="C57" s="72"/>
      <c r="D57" s="72"/>
      <c r="E57" s="72"/>
    </row>
    <row r="58" spans="1:5" x14ac:dyDescent="0.25">
      <c r="A58" s="72"/>
      <c r="B58" s="72"/>
      <c r="C58" s="72"/>
      <c r="D58" s="72"/>
      <c r="E58" s="72"/>
    </row>
    <row r="59" spans="1:5" x14ac:dyDescent="0.25">
      <c r="A59" s="72"/>
      <c r="B59" s="72"/>
      <c r="C59" s="72"/>
      <c r="D59" s="72"/>
      <c r="E59" s="72"/>
    </row>
    <row r="60" spans="1:5" x14ac:dyDescent="0.25">
      <c r="A60" s="72"/>
      <c r="B60" s="72"/>
      <c r="C60" s="72"/>
      <c r="D60" s="72"/>
      <c r="E60" s="72"/>
    </row>
    <row r="61" spans="1:5" x14ac:dyDescent="0.25">
      <c r="A61" s="72"/>
      <c r="B61" s="72"/>
      <c r="C61" s="72"/>
      <c r="D61" s="72"/>
      <c r="E61" s="72"/>
    </row>
    <row r="62" spans="1:5" x14ac:dyDescent="0.25">
      <c r="A62" s="72"/>
      <c r="B62" s="72"/>
      <c r="C62" s="72"/>
      <c r="D62" s="72"/>
      <c r="E62" s="72"/>
    </row>
  </sheetData>
  <mergeCells count="1">
    <mergeCell ref="A12:E1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8943CF-AF02-4577-8234-DAF52F3DC72D}">
  <sheetPr>
    <tabColor rgb="FFFFFF00"/>
  </sheetPr>
  <dimension ref="A1:R386"/>
  <sheetViews>
    <sheetView workbookViewId="0">
      <selection activeCell="D4" sqref="D4"/>
    </sheetView>
  </sheetViews>
  <sheetFormatPr defaultRowHeight="15" x14ac:dyDescent="0.25"/>
  <cols>
    <col min="1" max="1" width="4" style="37" customWidth="1"/>
    <col min="2" max="2" width="51.5703125" bestFit="1" customWidth="1"/>
    <col min="3" max="3" width="30.85546875" customWidth="1"/>
    <col min="4" max="4" width="12.85546875" bestFit="1" customWidth="1"/>
    <col min="5" max="5" width="12.42578125" bestFit="1" customWidth="1"/>
    <col min="6" max="6" width="18" bestFit="1" customWidth="1"/>
    <col min="7" max="7" width="1.7109375" customWidth="1"/>
    <col min="8" max="8" width="12.85546875" bestFit="1" customWidth="1"/>
    <col min="9" max="9" width="12.42578125" bestFit="1" customWidth="1"/>
    <col min="10" max="10" width="18" bestFit="1" customWidth="1"/>
    <col min="11" max="11" width="1.7109375" customWidth="1"/>
    <col min="12" max="12" width="12.85546875" bestFit="1" customWidth="1"/>
    <col min="13" max="13" width="12.42578125" bestFit="1" customWidth="1"/>
    <col min="14" max="14" width="18" bestFit="1" customWidth="1"/>
    <col min="15" max="15" width="1.7109375" style="37" customWidth="1"/>
    <col min="16" max="16" width="12.85546875" style="37" bestFit="1" customWidth="1"/>
    <col min="17" max="17" width="12.42578125" style="37" bestFit="1" customWidth="1"/>
    <col min="18" max="18" width="18" style="37" bestFit="1" customWidth="1"/>
  </cols>
  <sheetData>
    <row r="1" spans="2:18" s="37" customFormat="1" ht="15.75" thickBot="1" x14ac:dyDescent="0.3">
      <c r="B1" s="71" t="s">
        <v>460</v>
      </c>
      <c r="C1" s="389" t="str">
        <f>'SUB CPIF RATES (ALL)'!C1</f>
        <v xml:space="preserve">NAME </v>
      </c>
    </row>
    <row r="2" spans="2:18" s="37" customFormat="1" ht="15.75" thickBot="1" x14ac:dyDescent="0.3">
      <c r="B2" s="71" t="s">
        <v>459</v>
      </c>
      <c r="C2" s="389" t="str">
        <f>'SUB CPIF RATES (ALL)'!C2</f>
        <v xml:space="preserve">NAME </v>
      </c>
    </row>
    <row r="3" spans="2:18" s="37" customFormat="1" x14ac:dyDescent="0.25">
      <c r="B3" s="71"/>
    </row>
    <row r="4" spans="2:18" s="37" customFormat="1" x14ac:dyDescent="0.25">
      <c r="B4" s="308" t="s">
        <v>291</v>
      </c>
    </row>
    <row r="5" spans="2:18" s="37" customFormat="1" x14ac:dyDescent="0.25">
      <c r="B5" s="201" t="s">
        <v>310</v>
      </c>
    </row>
    <row r="6" spans="2:18" s="244" customFormat="1" x14ac:dyDescent="0.25">
      <c r="B6" s="308" t="s">
        <v>433</v>
      </c>
    </row>
    <row r="7" spans="2:18" s="244" customFormat="1" x14ac:dyDescent="0.25">
      <c r="B7" s="308" t="s">
        <v>469</v>
      </c>
    </row>
    <row r="8" spans="2:18" s="37" customFormat="1" x14ac:dyDescent="0.25">
      <c r="B8" s="201" t="s">
        <v>468</v>
      </c>
    </row>
    <row r="9" spans="2:18" s="37" customFormat="1" ht="15.75" thickBot="1" x14ac:dyDescent="0.3"/>
    <row r="10" spans="2:18" s="37" customFormat="1" ht="18" customHeight="1" thickBot="1" x14ac:dyDescent="0.3">
      <c r="B10" s="493" t="s">
        <v>311</v>
      </c>
      <c r="C10" s="494"/>
      <c r="D10" s="490" t="s">
        <v>69</v>
      </c>
      <c r="E10" s="491"/>
      <c r="F10" s="492"/>
      <c r="G10" s="96"/>
      <c r="H10" s="490" t="s">
        <v>69</v>
      </c>
      <c r="I10" s="491"/>
      <c r="J10" s="492"/>
      <c r="K10" s="96"/>
      <c r="L10" s="490" t="s">
        <v>69</v>
      </c>
      <c r="M10" s="491"/>
      <c r="N10" s="492"/>
      <c r="O10" s="96"/>
      <c r="P10" s="490" t="s">
        <v>69</v>
      </c>
      <c r="Q10" s="491"/>
      <c r="R10" s="492"/>
    </row>
    <row r="11" spans="2:18" s="37" customFormat="1" ht="18" customHeight="1" thickBot="1" x14ac:dyDescent="0.3">
      <c r="B11" s="495"/>
      <c r="C11" s="496"/>
      <c r="D11" s="487" t="s">
        <v>197</v>
      </c>
      <c r="E11" s="488"/>
      <c r="F11" s="489"/>
      <c r="G11" s="97"/>
      <c r="H11" s="487" t="s">
        <v>211</v>
      </c>
      <c r="I11" s="488"/>
      <c r="J11" s="489"/>
      <c r="K11" s="97"/>
      <c r="L11" s="487" t="s">
        <v>198</v>
      </c>
      <c r="M11" s="488"/>
      <c r="N11" s="489"/>
      <c r="O11" s="97"/>
      <c r="P11" s="487" t="s">
        <v>199</v>
      </c>
      <c r="Q11" s="488"/>
      <c r="R11" s="489"/>
    </row>
    <row r="12" spans="2:18" s="131" customFormat="1" ht="16.5" thickBot="1" x14ac:dyDescent="0.3">
      <c r="B12" s="98" t="s">
        <v>46</v>
      </c>
      <c r="C12" s="98" t="s">
        <v>183</v>
      </c>
      <c r="D12" s="98" t="s">
        <v>29</v>
      </c>
      <c r="E12" s="99" t="s">
        <v>68</v>
      </c>
      <c r="F12" s="369" t="s">
        <v>74</v>
      </c>
      <c r="G12" s="101"/>
      <c r="H12" s="98" t="s">
        <v>29</v>
      </c>
      <c r="I12" s="99" t="s">
        <v>68</v>
      </c>
      <c r="J12" s="369" t="s">
        <v>74</v>
      </c>
      <c r="K12" s="101"/>
      <c r="L12" s="241" t="s">
        <v>29</v>
      </c>
      <c r="M12" s="242" t="s">
        <v>68</v>
      </c>
      <c r="N12" s="369" t="s">
        <v>74</v>
      </c>
      <c r="O12" s="101"/>
      <c r="P12" s="241" t="s">
        <v>29</v>
      </c>
      <c r="Q12" s="242" t="s">
        <v>68</v>
      </c>
      <c r="R12" s="369" t="s">
        <v>74</v>
      </c>
    </row>
    <row r="13" spans="2:18" s="131" customFormat="1" ht="132" customHeight="1" x14ac:dyDescent="0.2">
      <c r="B13" s="370" t="s">
        <v>434</v>
      </c>
      <c r="C13" s="370" t="s">
        <v>435</v>
      </c>
      <c r="D13" s="370" t="s">
        <v>410</v>
      </c>
      <c r="E13" s="370" t="s">
        <v>436</v>
      </c>
      <c r="F13" s="371"/>
      <c r="G13" s="101"/>
      <c r="H13" s="370" t="s">
        <v>410</v>
      </c>
      <c r="I13" s="370" t="s">
        <v>436</v>
      </c>
      <c r="J13" s="371"/>
      <c r="K13" s="101"/>
      <c r="L13" s="372" t="s">
        <v>410</v>
      </c>
      <c r="M13" s="372" t="s">
        <v>436</v>
      </c>
      <c r="N13" s="373"/>
      <c r="O13" s="101"/>
      <c r="P13" s="372" t="s">
        <v>410</v>
      </c>
      <c r="Q13" s="372" t="s">
        <v>436</v>
      </c>
      <c r="R13" s="373"/>
    </row>
    <row r="14" spans="2:18" s="131" customFormat="1" ht="15.75" x14ac:dyDescent="0.25">
      <c r="B14" s="195" t="s">
        <v>108</v>
      </c>
      <c r="C14" s="225" t="s">
        <v>105</v>
      </c>
      <c r="D14" s="102">
        <v>0</v>
      </c>
      <c r="E14" s="347">
        <v>0</v>
      </c>
      <c r="F14" s="103">
        <f>ROUND(D14*E14,0)</f>
        <v>0</v>
      </c>
      <c r="G14" s="104"/>
      <c r="H14" s="102">
        <v>0</v>
      </c>
      <c r="I14" s="347">
        <v>0</v>
      </c>
      <c r="J14" s="103">
        <f>ROUND(H14*I14,0)</f>
        <v>0</v>
      </c>
      <c r="K14" s="104"/>
      <c r="L14" s="102">
        <v>0</v>
      </c>
      <c r="M14" s="347">
        <v>0</v>
      </c>
      <c r="N14" s="103">
        <f>ROUND(L14*M14,0)</f>
        <v>0</v>
      </c>
      <c r="O14" s="104"/>
      <c r="P14" s="102">
        <v>0</v>
      </c>
      <c r="Q14" s="347">
        <v>0</v>
      </c>
      <c r="R14" s="103">
        <f>ROUND(P14*Q14,0)</f>
        <v>0</v>
      </c>
    </row>
    <row r="15" spans="2:18" s="131" customFormat="1" ht="15.75" x14ac:dyDescent="0.25">
      <c r="B15" s="195" t="s">
        <v>108</v>
      </c>
      <c r="C15" s="216" t="s">
        <v>1</v>
      </c>
      <c r="D15" s="102">
        <v>0</v>
      </c>
      <c r="E15" s="347">
        <v>0</v>
      </c>
      <c r="F15" s="103">
        <f t="shared" ref="F15:F28" si="0">ROUND(D15*E15,0)</f>
        <v>0</v>
      </c>
      <c r="G15" s="104"/>
      <c r="H15" s="102">
        <v>0</v>
      </c>
      <c r="I15" s="347">
        <v>0</v>
      </c>
      <c r="J15" s="103">
        <f t="shared" ref="J15:J28" si="1">ROUND(H15*I15,0)</f>
        <v>0</v>
      </c>
      <c r="K15" s="104"/>
      <c r="L15" s="102">
        <v>0</v>
      </c>
      <c r="M15" s="347">
        <v>0</v>
      </c>
      <c r="N15" s="103">
        <f t="shared" ref="N15:N28" si="2">ROUND(L15*M15,0)</f>
        <v>0</v>
      </c>
      <c r="O15" s="104"/>
      <c r="P15" s="102">
        <v>0</v>
      </c>
      <c r="Q15" s="347">
        <v>0</v>
      </c>
      <c r="R15" s="103">
        <f t="shared" ref="R15:R28" si="3">ROUND(P15*Q15,0)</f>
        <v>0</v>
      </c>
    </row>
    <row r="16" spans="2:18" s="131" customFormat="1" ht="15.75" x14ac:dyDescent="0.25">
      <c r="B16" s="195" t="s">
        <v>108</v>
      </c>
      <c r="C16" s="216"/>
      <c r="D16" s="102">
        <v>0</v>
      </c>
      <c r="E16" s="347">
        <v>0</v>
      </c>
      <c r="F16" s="103">
        <f t="shared" si="0"/>
        <v>0</v>
      </c>
      <c r="G16" s="104"/>
      <c r="H16" s="102">
        <v>0</v>
      </c>
      <c r="I16" s="347">
        <v>0</v>
      </c>
      <c r="J16" s="103">
        <f t="shared" si="1"/>
        <v>0</v>
      </c>
      <c r="K16" s="104"/>
      <c r="L16" s="102">
        <v>0</v>
      </c>
      <c r="M16" s="347">
        <v>0</v>
      </c>
      <c r="N16" s="103">
        <f t="shared" si="2"/>
        <v>0</v>
      </c>
      <c r="O16" s="104"/>
      <c r="P16" s="102">
        <v>0</v>
      </c>
      <c r="Q16" s="347">
        <v>0</v>
      </c>
      <c r="R16" s="103">
        <f t="shared" si="3"/>
        <v>0</v>
      </c>
    </row>
    <row r="17" spans="2:18" s="131" customFormat="1" ht="15.75" x14ac:dyDescent="0.25">
      <c r="B17" s="195" t="s">
        <v>108</v>
      </c>
      <c r="C17" s="216"/>
      <c r="D17" s="102">
        <v>0</v>
      </c>
      <c r="E17" s="347">
        <v>0</v>
      </c>
      <c r="F17" s="103">
        <f t="shared" si="0"/>
        <v>0</v>
      </c>
      <c r="G17" s="104"/>
      <c r="H17" s="102">
        <v>0</v>
      </c>
      <c r="I17" s="347">
        <v>0</v>
      </c>
      <c r="J17" s="103">
        <f t="shared" si="1"/>
        <v>0</v>
      </c>
      <c r="K17" s="104"/>
      <c r="L17" s="102">
        <v>0</v>
      </c>
      <c r="M17" s="347">
        <v>0</v>
      </c>
      <c r="N17" s="103">
        <f t="shared" si="2"/>
        <v>0</v>
      </c>
      <c r="O17" s="104"/>
      <c r="P17" s="102">
        <v>0</v>
      </c>
      <c r="Q17" s="347">
        <v>0</v>
      </c>
      <c r="R17" s="103">
        <f t="shared" si="3"/>
        <v>0</v>
      </c>
    </row>
    <row r="18" spans="2:18" s="131" customFormat="1" ht="15.75" x14ac:dyDescent="0.25">
      <c r="B18" s="195" t="s">
        <v>108</v>
      </c>
      <c r="C18" s="216"/>
      <c r="D18" s="102">
        <v>0</v>
      </c>
      <c r="E18" s="347">
        <v>0</v>
      </c>
      <c r="F18" s="103">
        <f t="shared" si="0"/>
        <v>0</v>
      </c>
      <c r="G18" s="104"/>
      <c r="H18" s="102">
        <v>0</v>
      </c>
      <c r="I18" s="347">
        <v>0</v>
      </c>
      <c r="J18" s="103">
        <f t="shared" si="1"/>
        <v>0</v>
      </c>
      <c r="K18" s="104"/>
      <c r="L18" s="102">
        <v>0</v>
      </c>
      <c r="M18" s="347">
        <v>0</v>
      </c>
      <c r="N18" s="103">
        <f t="shared" si="2"/>
        <v>0</v>
      </c>
      <c r="O18" s="104"/>
      <c r="P18" s="102">
        <v>0</v>
      </c>
      <c r="Q18" s="347">
        <v>0</v>
      </c>
      <c r="R18" s="103">
        <f t="shared" si="3"/>
        <v>0</v>
      </c>
    </row>
    <row r="19" spans="2:18" s="131" customFormat="1" ht="15.75" x14ac:dyDescent="0.25">
      <c r="B19" s="195" t="s">
        <v>108</v>
      </c>
      <c r="C19" s="225" t="s">
        <v>106</v>
      </c>
      <c r="D19" s="102">
        <v>0</v>
      </c>
      <c r="E19" s="347">
        <v>0</v>
      </c>
      <c r="F19" s="103">
        <f t="shared" si="0"/>
        <v>0</v>
      </c>
      <c r="G19" s="104"/>
      <c r="H19" s="102">
        <v>0</v>
      </c>
      <c r="I19" s="347">
        <v>0</v>
      </c>
      <c r="J19" s="103">
        <f t="shared" si="1"/>
        <v>0</v>
      </c>
      <c r="K19" s="104"/>
      <c r="L19" s="102">
        <v>0</v>
      </c>
      <c r="M19" s="347">
        <v>0</v>
      </c>
      <c r="N19" s="103">
        <f t="shared" si="2"/>
        <v>0</v>
      </c>
      <c r="O19" s="104"/>
      <c r="P19" s="102">
        <v>0</v>
      </c>
      <c r="Q19" s="347">
        <v>0</v>
      </c>
      <c r="R19" s="103">
        <f t="shared" si="3"/>
        <v>0</v>
      </c>
    </row>
    <row r="20" spans="2:18" s="131" customFormat="1" ht="15.75" x14ac:dyDescent="0.25">
      <c r="B20" s="195" t="s">
        <v>108</v>
      </c>
      <c r="C20" s="216"/>
      <c r="D20" s="102">
        <v>0</v>
      </c>
      <c r="E20" s="347">
        <v>0</v>
      </c>
      <c r="F20" s="103">
        <f t="shared" si="0"/>
        <v>0</v>
      </c>
      <c r="G20" s="104"/>
      <c r="H20" s="102">
        <v>0</v>
      </c>
      <c r="I20" s="347">
        <v>0</v>
      </c>
      <c r="J20" s="103">
        <f t="shared" si="1"/>
        <v>0</v>
      </c>
      <c r="K20" s="104"/>
      <c r="L20" s="102">
        <v>0</v>
      </c>
      <c r="M20" s="347">
        <v>0</v>
      </c>
      <c r="N20" s="103">
        <f t="shared" si="2"/>
        <v>0</v>
      </c>
      <c r="O20" s="104"/>
      <c r="P20" s="102">
        <v>0</v>
      </c>
      <c r="Q20" s="347">
        <v>0</v>
      </c>
      <c r="R20" s="103">
        <f t="shared" si="3"/>
        <v>0</v>
      </c>
    </row>
    <row r="21" spans="2:18" s="131" customFormat="1" ht="15.75" x14ac:dyDescent="0.25">
      <c r="B21" s="195" t="s">
        <v>108</v>
      </c>
      <c r="C21" s="216"/>
      <c r="D21" s="102">
        <v>0</v>
      </c>
      <c r="E21" s="347">
        <v>0</v>
      </c>
      <c r="F21" s="103">
        <f t="shared" si="0"/>
        <v>0</v>
      </c>
      <c r="G21" s="104"/>
      <c r="H21" s="102">
        <v>0</v>
      </c>
      <c r="I21" s="347">
        <v>0</v>
      </c>
      <c r="J21" s="103">
        <f t="shared" si="1"/>
        <v>0</v>
      </c>
      <c r="K21" s="104"/>
      <c r="L21" s="102">
        <v>0</v>
      </c>
      <c r="M21" s="347">
        <v>0</v>
      </c>
      <c r="N21" s="103">
        <f t="shared" si="2"/>
        <v>0</v>
      </c>
      <c r="O21" s="104"/>
      <c r="P21" s="102">
        <v>0</v>
      </c>
      <c r="Q21" s="347">
        <v>0</v>
      </c>
      <c r="R21" s="103">
        <f t="shared" si="3"/>
        <v>0</v>
      </c>
    </row>
    <row r="22" spans="2:18" s="131" customFormat="1" ht="15.75" x14ac:dyDescent="0.25">
      <c r="B22" s="195" t="s">
        <v>108</v>
      </c>
      <c r="C22" s="216"/>
      <c r="D22" s="102">
        <v>0</v>
      </c>
      <c r="E22" s="347">
        <v>0</v>
      </c>
      <c r="F22" s="103">
        <f t="shared" si="0"/>
        <v>0</v>
      </c>
      <c r="G22" s="104"/>
      <c r="H22" s="102">
        <v>0</v>
      </c>
      <c r="I22" s="347">
        <v>0</v>
      </c>
      <c r="J22" s="103">
        <f t="shared" si="1"/>
        <v>0</v>
      </c>
      <c r="K22" s="104"/>
      <c r="L22" s="102">
        <v>0</v>
      </c>
      <c r="M22" s="347">
        <v>0</v>
      </c>
      <c r="N22" s="103">
        <f t="shared" si="2"/>
        <v>0</v>
      </c>
      <c r="O22" s="104"/>
      <c r="P22" s="102">
        <v>0</v>
      </c>
      <c r="Q22" s="347">
        <v>0</v>
      </c>
      <c r="R22" s="103">
        <f t="shared" si="3"/>
        <v>0</v>
      </c>
    </row>
    <row r="23" spans="2:18" s="131" customFormat="1" ht="15.75" x14ac:dyDescent="0.25">
      <c r="B23" s="195" t="s">
        <v>108</v>
      </c>
      <c r="C23" s="216"/>
      <c r="D23" s="102">
        <v>0</v>
      </c>
      <c r="E23" s="347">
        <v>0</v>
      </c>
      <c r="F23" s="103">
        <f t="shared" si="0"/>
        <v>0</v>
      </c>
      <c r="G23" s="104"/>
      <c r="H23" s="102">
        <v>0</v>
      </c>
      <c r="I23" s="347">
        <v>0</v>
      </c>
      <c r="J23" s="103">
        <f t="shared" si="1"/>
        <v>0</v>
      </c>
      <c r="K23" s="104"/>
      <c r="L23" s="102">
        <v>0</v>
      </c>
      <c r="M23" s="347">
        <v>0</v>
      </c>
      <c r="N23" s="103">
        <f t="shared" si="2"/>
        <v>0</v>
      </c>
      <c r="O23" s="104"/>
      <c r="P23" s="102">
        <v>0</v>
      </c>
      <c r="Q23" s="347">
        <v>0</v>
      </c>
      <c r="R23" s="103">
        <f t="shared" si="3"/>
        <v>0</v>
      </c>
    </row>
    <row r="24" spans="2:18" s="131" customFormat="1" ht="14.25" customHeight="1" x14ac:dyDescent="0.25">
      <c r="B24" s="195" t="s">
        <v>108</v>
      </c>
      <c r="C24" s="225" t="s">
        <v>107</v>
      </c>
      <c r="D24" s="102">
        <v>0</v>
      </c>
      <c r="E24" s="347">
        <v>0</v>
      </c>
      <c r="F24" s="103">
        <f t="shared" si="0"/>
        <v>0</v>
      </c>
      <c r="G24" s="104"/>
      <c r="H24" s="102">
        <v>0</v>
      </c>
      <c r="I24" s="347">
        <v>0</v>
      </c>
      <c r="J24" s="103">
        <f t="shared" si="1"/>
        <v>0</v>
      </c>
      <c r="K24" s="104"/>
      <c r="L24" s="102">
        <v>0</v>
      </c>
      <c r="M24" s="347">
        <v>0</v>
      </c>
      <c r="N24" s="103">
        <f t="shared" si="2"/>
        <v>0</v>
      </c>
      <c r="O24" s="104"/>
      <c r="P24" s="102">
        <v>0</v>
      </c>
      <c r="Q24" s="347">
        <v>0</v>
      </c>
      <c r="R24" s="103">
        <f t="shared" si="3"/>
        <v>0</v>
      </c>
    </row>
    <row r="25" spans="2:18" s="131" customFormat="1" ht="15.75" x14ac:dyDescent="0.25">
      <c r="B25" s="195" t="s">
        <v>108</v>
      </c>
      <c r="C25" s="216"/>
      <c r="D25" s="102">
        <v>0</v>
      </c>
      <c r="E25" s="347">
        <v>0</v>
      </c>
      <c r="F25" s="103">
        <f t="shared" si="0"/>
        <v>0</v>
      </c>
      <c r="G25" s="104"/>
      <c r="H25" s="102">
        <v>0</v>
      </c>
      <c r="I25" s="347">
        <v>0</v>
      </c>
      <c r="J25" s="103">
        <f t="shared" si="1"/>
        <v>0</v>
      </c>
      <c r="K25" s="104"/>
      <c r="L25" s="102">
        <v>0</v>
      </c>
      <c r="M25" s="347">
        <v>0</v>
      </c>
      <c r="N25" s="103">
        <f t="shared" si="2"/>
        <v>0</v>
      </c>
      <c r="O25" s="104"/>
      <c r="P25" s="102">
        <v>0</v>
      </c>
      <c r="Q25" s="347">
        <v>0</v>
      </c>
      <c r="R25" s="103">
        <f t="shared" si="3"/>
        <v>0</v>
      </c>
    </row>
    <row r="26" spans="2:18" s="131" customFormat="1" ht="15" customHeight="1" x14ac:dyDescent="0.25">
      <c r="B26" s="195" t="s">
        <v>108</v>
      </c>
      <c r="C26" s="216"/>
      <c r="D26" s="102">
        <v>0</v>
      </c>
      <c r="E26" s="347">
        <v>0</v>
      </c>
      <c r="F26" s="103">
        <f t="shared" si="0"/>
        <v>0</v>
      </c>
      <c r="G26" s="104"/>
      <c r="H26" s="102">
        <v>0</v>
      </c>
      <c r="I26" s="347">
        <v>0</v>
      </c>
      <c r="J26" s="103">
        <f t="shared" si="1"/>
        <v>0</v>
      </c>
      <c r="K26" s="104"/>
      <c r="L26" s="102">
        <v>0</v>
      </c>
      <c r="M26" s="347">
        <v>0</v>
      </c>
      <c r="N26" s="103">
        <f t="shared" si="2"/>
        <v>0</v>
      </c>
      <c r="O26" s="104"/>
      <c r="P26" s="102">
        <v>0</v>
      </c>
      <c r="Q26" s="347">
        <v>0</v>
      </c>
      <c r="R26" s="103">
        <f t="shared" si="3"/>
        <v>0</v>
      </c>
    </row>
    <row r="27" spans="2:18" s="131" customFormat="1" ht="15.75" x14ac:dyDescent="0.25">
      <c r="B27" s="195" t="s">
        <v>108</v>
      </c>
      <c r="C27" s="216"/>
      <c r="D27" s="102">
        <v>0</v>
      </c>
      <c r="E27" s="347">
        <v>0</v>
      </c>
      <c r="F27" s="103">
        <f t="shared" si="0"/>
        <v>0</v>
      </c>
      <c r="G27" s="104"/>
      <c r="H27" s="102">
        <v>0</v>
      </c>
      <c r="I27" s="347">
        <v>0</v>
      </c>
      <c r="J27" s="103">
        <f t="shared" si="1"/>
        <v>0</v>
      </c>
      <c r="K27" s="104"/>
      <c r="L27" s="102">
        <v>0</v>
      </c>
      <c r="M27" s="347">
        <v>0</v>
      </c>
      <c r="N27" s="103">
        <f t="shared" si="2"/>
        <v>0</v>
      </c>
      <c r="O27" s="104"/>
      <c r="P27" s="102">
        <v>0</v>
      </c>
      <c r="Q27" s="347">
        <v>0</v>
      </c>
      <c r="R27" s="103">
        <f t="shared" si="3"/>
        <v>0</v>
      </c>
    </row>
    <row r="28" spans="2:18" s="131" customFormat="1" ht="16.5" thickBot="1" x14ac:dyDescent="0.3">
      <c r="B28" s="234" t="s">
        <v>108</v>
      </c>
      <c r="C28" s="235"/>
      <c r="D28" s="102">
        <v>0</v>
      </c>
      <c r="E28" s="347">
        <v>0</v>
      </c>
      <c r="F28" s="103">
        <f t="shared" si="0"/>
        <v>0</v>
      </c>
      <c r="G28" s="104"/>
      <c r="H28" s="102">
        <v>0</v>
      </c>
      <c r="I28" s="347">
        <v>0</v>
      </c>
      <c r="J28" s="103">
        <f t="shared" si="1"/>
        <v>0</v>
      </c>
      <c r="K28" s="104"/>
      <c r="L28" s="102">
        <v>0</v>
      </c>
      <c r="M28" s="347">
        <v>0</v>
      </c>
      <c r="N28" s="103">
        <f t="shared" si="2"/>
        <v>0</v>
      </c>
      <c r="O28" s="104"/>
      <c r="P28" s="102">
        <v>0</v>
      </c>
      <c r="Q28" s="347">
        <v>0</v>
      </c>
      <c r="R28" s="103">
        <f t="shared" si="3"/>
        <v>0</v>
      </c>
    </row>
    <row r="29" spans="2:18" s="131" customFormat="1" ht="16.5" thickBot="1" x14ac:dyDescent="0.25">
      <c r="B29" s="238" t="s">
        <v>87</v>
      </c>
      <c r="C29" s="236"/>
      <c r="D29" s="200">
        <f>SUM(D14:D28)</f>
        <v>0</v>
      </c>
      <c r="E29" s="150"/>
      <c r="F29" s="109">
        <f>ROUND(SUM(F14:F28),0)</f>
        <v>0</v>
      </c>
      <c r="G29" s="110"/>
      <c r="H29" s="200">
        <f>SUM(H14:H28)</f>
        <v>0</v>
      </c>
      <c r="I29" s="150" t="s">
        <v>1</v>
      </c>
      <c r="J29" s="109">
        <f>ROUND(SUM(J14:J28),0)</f>
        <v>0</v>
      </c>
      <c r="K29" s="110"/>
      <c r="L29" s="200">
        <f>SUM(L14:L28)</f>
        <v>0</v>
      </c>
      <c r="M29" s="150"/>
      <c r="N29" s="109">
        <f>ROUND(SUM(N14:N28),0)</f>
        <v>0</v>
      </c>
      <c r="O29" s="110"/>
      <c r="P29" s="200">
        <f>SUM(P14:P28)</f>
        <v>0</v>
      </c>
      <c r="Q29" s="150"/>
      <c r="R29" s="109">
        <f>ROUND(SUM(R14:R28),0)</f>
        <v>0</v>
      </c>
    </row>
    <row r="30" spans="2:18" ht="15.75" thickBot="1" x14ac:dyDescent="0.3"/>
    <row r="31" spans="2:18" ht="16.5" thickBot="1" x14ac:dyDescent="0.3">
      <c r="B31" s="493" t="s">
        <v>312</v>
      </c>
      <c r="C31" s="494"/>
      <c r="D31" s="490" t="s">
        <v>69</v>
      </c>
      <c r="E31" s="491"/>
      <c r="F31" s="492"/>
      <c r="G31" s="96"/>
      <c r="H31" s="490" t="s">
        <v>69</v>
      </c>
      <c r="I31" s="491"/>
      <c r="J31" s="492"/>
      <c r="K31" s="96"/>
      <c r="L31" s="490" t="s">
        <v>69</v>
      </c>
      <c r="M31" s="491"/>
      <c r="N31" s="492"/>
      <c r="O31" s="96"/>
      <c r="P31" s="490" t="s">
        <v>69</v>
      </c>
      <c r="Q31" s="491"/>
      <c r="R31" s="492"/>
    </row>
    <row r="32" spans="2:18" ht="21" customHeight="1" thickBot="1" x14ac:dyDescent="0.3">
      <c r="B32" s="495"/>
      <c r="C32" s="496"/>
      <c r="D32" s="487" t="str">
        <f>D11</f>
        <v>Basic Period (Year 1)</v>
      </c>
      <c r="E32" s="488"/>
      <c r="F32" s="489"/>
      <c r="G32" s="97"/>
      <c r="H32" s="487" t="str">
        <f>H11</f>
        <v>Basic Period (Year 2)</v>
      </c>
      <c r="I32" s="488"/>
      <c r="J32" s="489"/>
      <c r="K32" s="97"/>
      <c r="L32" s="487" t="str">
        <f>L11</f>
        <v>Basic Period (Year 3)</v>
      </c>
      <c r="M32" s="488"/>
      <c r="N32" s="489"/>
      <c r="O32" s="97"/>
      <c r="P32" s="487" t="str">
        <f>P11</f>
        <v>Basic Period (Year 4)</v>
      </c>
      <c r="Q32" s="488"/>
      <c r="R32" s="489"/>
    </row>
    <row r="33" spans="2:18" ht="16.5" thickBot="1" x14ac:dyDescent="0.3">
      <c r="B33" s="98" t="s">
        <v>46</v>
      </c>
      <c r="C33" s="98" t="s">
        <v>183</v>
      </c>
      <c r="D33" s="98" t="s">
        <v>29</v>
      </c>
      <c r="E33" s="99" t="s">
        <v>68</v>
      </c>
      <c r="F33" s="100" t="s">
        <v>74</v>
      </c>
      <c r="G33" s="101"/>
      <c r="H33" s="98" t="s">
        <v>29</v>
      </c>
      <c r="I33" s="99" t="s">
        <v>68</v>
      </c>
      <c r="J33" s="100" t="s">
        <v>74</v>
      </c>
      <c r="K33" s="101"/>
      <c r="L33" s="98" t="s">
        <v>29</v>
      </c>
      <c r="M33" s="99" t="s">
        <v>68</v>
      </c>
      <c r="N33" s="100" t="s">
        <v>74</v>
      </c>
      <c r="O33" s="101"/>
      <c r="P33" s="98" t="s">
        <v>29</v>
      </c>
      <c r="Q33" s="99" t="s">
        <v>68</v>
      </c>
      <c r="R33" s="100" t="s">
        <v>74</v>
      </c>
    </row>
    <row r="34" spans="2:18" ht="128.25" x14ac:dyDescent="0.25">
      <c r="B34" s="370" t="s">
        <v>434</v>
      </c>
      <c r="C34" s="370" t="s">
        <v>435</v>
      </c>
      <c r="D34" s="370" t="s">
        <v>410</v>
      </c>
      <c r="E34" s="370" t="s">
        <v>436</v>
      </c>
      <c r="F34" s="371"/>
      <c r="G34" s="101"/>
      <c r="H34" s="370" t="s">
        <v>410</v>
      </c>
      <c r="I34" s="370" t="s">
        <v>436</v>
      </c>
      <c r="J34" s="371"/>
      <c r="K34" s="101"/>
      <c r="L34" s="372" t="s">
        <v>410</v>
      </c>
      <c r="M34" s="372" t="s">
        <v>436</v>
      </c>
      <c r="N34" s="373"/>
      <c r="O34" s="101"/>
      <c r="P34" s="372" t="s">
        <v>410</v>
      </c>
      <c r="Q34" s="372" t="s">
        <v>436</v>
      </c>
      <c r="R34" s="373"/>
    </row>
    <row r="35" spans="2:18" x14ac:dyDescent="0.25">
      <c r="B35" s="195" t="s">
        <v>108</v>
      </c>
      <c r="C35" s="225" t="s">
        <v>122</v>
      </c>
      <c r="D35" s="102">
        <v>0</v>
      </c>
      <c r="E35" s="347">
        <v>0</v>
      </c>
      <c r="F35" s="103">
        <f>ROUND(D35*E35,0)</f>
        <v>0</v>
      </c>
      <c r="G35" s="104"/>
      <c r="H35" s="102">
        <v>0</v>
      </c>
      <c r="I35" s="347">
        <v>0</v>
      </c>
      <c r="J35" s="103">
        <f>ROUND(H35*I35,0)</f>
        <v>0</v>
      </c>
      <c r="K35" s="104"/>
      <c r="L35" s="102">
        <v>0</v>
      </c>
      <c r="M35" s="347">
        <v>0</v>
      </c>
      <c r="N35" s="103">
        <f>ROUND(L35*M35,0)</f>
        <v>0</v>
      </c>
      <c r="O35" s="104"/>
      <c r="P35" s="102">
        <v>0</v>
      </c>
      <c r="Q35" s="347">
        <v>0</v>
      </c>
      <c r="R35" s="103">
        <f>ROUND(P35*Q35,0)</f>
        <v>0</v>
      </c>
    </row>
    <row r="36" spans="2:18" x14ac:dyDescent="0.25">
      <c r="B36" s="195" t="s">
        <v>108</v>
      </c>
      <c r="C36" s="216" t="s">
        <v>1</v>
      </c>
      <c r="D36" s="102">
        <v>0</v>
      </c>
      <c r="E36" s="347">
        <v>0</v>
      </c>
      <c r="F36" s="103">
        <f t="shared" ref="F36:F49" si="4">ROUND(D36*E36,0)</f>
        <v>0</v>
      </c>
      <c r="G36" s="104"/>
      <c r="H36" s="102">
        <v>0</v>
      </c>
      <c r="I36" s="347">
        <v>0</v>
      </c>
      <c r="J36" s="103">
        <f t="shared" ref="J36:J49" si="5">ROUND(H36*I36,0)</f>
        <v>0</v>
      </c>
      <c r="K36" s="104"/>
      <c r="L36" s="102">
        <v>0</v>
      </c>
      <c r="M36" s="347">
        <v>0</v>
      </c>
      <c r="N36" s="103">
        <f t="shared" ref="N36:N49" si="6">ROUND(L36*M36,0)</f>
        <v>0</v>
      </c>
      <c r="O36" s="104"/>
      <c r="P36" s="102">
        <v>0</v>
      </c>
      <c r="Q36" s="347">
        <v>0</v>
      </c>
      <c r="R36" s="103">
        <f t="shared" ref="R36:R49" si="7">ROUND(P36*Q36,0)</f>
        <v>0</v>
      </c>
    </row>
    <row r="37" spans="2:18" x14ac:dyDescent="0.25">
      <c r="B37" s="195" t="s">
        <v>108</v>
      </c>
      <c r="C37" s="216"/>
      <c r="D37" s="102">
        <v>0</v>
      </c>
      <c r="E37" s="347">
        <v>0</v>
      </c>
      <c r="F37" s="103">
        <f t="shared" si="4"/>
        <v>0</v>
      </c>
      <c r="G37" s="104"/>
      <c r="H37" s="102">
        <v>0</v>
      </c>
      <c r="I37" s="347">
        <v>0</v>
      </c>
      <c r="J37" s="103">
        <f t="shared" si="5"/>
        <v>0</v>
      </c>
      <c r="K37" s="104"/>
      <c r="L37" s="102">
        <v>0</v>
      </c>
      <c r="M37" s="347">
        <v>0</v>
      </c>
      <c r="N37" s="103">
        <f t="shared" si="6"/>
        <v>0</v>
      </c>
      <c r="O37" s="104"/>
      <c r="P37" s="102">
        <v>0</v>
      </c>
      <c r="Q37" s="347">
        <v>0</v>
      </c>
      <c r="R37" s="103">
        <f t="shared" si="7"/>
        <v>0</v>
      </c>
    </row>
    <row r="38" spans="2:18" x14ac:dyDescent="0.25">
      <c r="B38" s="195" t="s">
        <v>108</v>
      </c>
      <c r="C38" s="216"/>
      <c r="D38" s="102">
        <v>0</v>
      </c>
      <c r="E38" s="347">
        <v>0</v>
      </c>
      <c r="F38" s="103">
        <f t="shared" si="4"/>
        <v>0</v>
      </c>
      <c r="G38" s="104"/>
      <c r="H38" s="102">
        <v>0</v>
      </c>
      <c r="I38" s="347">
        <v>0</v>
      </c>
      <c r="J38" s="103">
        <f t="shared" si="5"/>
        <v>0</v>
      </c>
      <c r="K38" s="104"/>
      <c r="L38" s="102">
        <v>0</v>
      </c>
      <c r="M38" s="347">
        <v>0</v>
      </c>
      <c r="N38" s="103">
        <f t="shared" si="6"/>
        <v>0</v>
      </c>
      <c r="O38" s="104"/>
      <c r="P38" s="102">
        <v>0</v>
      </c>
      <c r="Q38" s="347">
        <v>0</v>
      </c>
      <c r="R38" s="103">
        <f t="shared" si="7"/>
        <v>0</v>
      </c>
    </row>
    <row r="39" spans="2:18" x14ac:dyDescent="0.25">
      <c r="B39" s="195" t="s">
        <v>108</v>
      </c>
      <c r="C39" s="216"/>
      <c r="D39" s="102">
        <v>0</v>
      </c>
      <c r="E39" s="347">
        <v>0</v>
      </c>
      <c r="F39" s="103">
        <f t="shared" si="4"/>
        <v>0</v>
      </c>
      <c r="G39" s="104"/>
      <c r="H39" s="102">
        <v>0</v>
      </c>
      <c r="I39" s="347">
        <v>0</v>
      </c>
      <c r="J39" s="103">
        <f t="shared" si="5"/>
        <v>0</v>
      </c>
      <c r="K39" s="104"/>
      <c r="L39" s="102">
        <v>0</v>
      </c>
      <c r="M39" s="347">
        <v>0</v>
      </c>
      <c r="N39" s="103">
        <f t="shared" si="6"/>
        <v>0</v>
      </c>
      <c r="O39" s="104"/>
      <c r="P39" s="102">
        <v>0</v>
      </c>
      <c r="Q39" s="347">
        <v>0</v>
      </c>
      <c r="R39" s="103">
        <f t="shared" si="7"/>
        <v>0</v>
      </c>
    </row>
    <row r="40" spans="2:18" x14ac:dyDescent="0.25">
      <c r="B40" s="195" t="s">
        <v>108</v>
      </c>
      <c r="C40" s="225" t="s">
        <v>123</v>
      </c>
      <c r="D40" s="102">
        <v>0</v>
      </c>
      <c r="E40" s="347">
        <v>0</v>
      </c>
      <c r="F40" s="103">
        <f t="shared" si="4"/>
        <v>0</v>
      </c>
      <c r="G40" s="104"/>
      <c r="H40" s="102">
        <v>0</v>
      </c>
      <c r="I40" s="347">
        <v>0</v>
      </c>
      <c r="J40" s="103">
        <f t="shared" si="5"/>
        <v>0</v>
      </c>
      <c r="K40" s="104"/>
      <c r="L40" s="102">
        <v>0</v>
      </c>
      <c r="M40" s="347">
        <v>0</v>
      </c>
      <c r="N40" s="103">
        <f t="shared" si="6"/>
        <v>0</v>
      </c>
      <c r="O40" s="104"/>
      <c r="P40" s="102">
        <v>0</v>
      </c>
      <c r="Q40" s="347">
        <v>0</v>
      </c>
      <c r="R40" s="103">
        <f t="shared" si="7"/>
        <v>0</v>
      </c>
    </row>
    <row r="41" spans="2:18" x14ac:dyDescent="0.25">
      <c r="B41" s="195" t="s">
        <v>108</v>
      </c>
      <c r="C41" s="216"/>
      <c r="D41" s="102">
        <v>0</v>
      </c>
      <c r="E41" s="347">
        <v>0</v>
      </c>
      <c r="F41" s="103">
        <f t="shared" si="4"/>
        <v>0</v>
      </c>
      <c r="G41" s="104"/>
      <c r="H41" s="102">
        <v>0</v>
      </c>
      <c r="I41" s="347">
        <v>0</v>
      </c>
      <c r="J41" s="103">
        <f t="shared" si="5"/>
        <v>0</v>
      </c>
      <c r="K41" s="104"/>
      <c r="L41" s="102">
        <v>0</v>
      </c>
      <c r="M41" s="347">
        <v>0</v>
      </c>
      <c r="N41" s="103">
        <f t="shared" si="6"/>
        <v>0</v>
      </c>
      <c r="O41" s="104"/>
      <c r="P41" s="102">
        <v>0</v>
      </c>
      <c r="Q41" s="347">
        <v>0</v>
      </c>
      <c r="R41" s="103">
        <f t="shared" si="7"/>
        <v>0</v>
      </c>
    </row>
    <row r="42" spans="2:18" x14ac:dyDescent="0.25">
      <c r="B42" s="195" t="s">
        <v>108</v>
      </c>
      <c r="C42" s="216"/>
      <c r="D42" s="102">
        <v>0</v>
      </c>
      <c r="E42" s="347">
        <v>0</v>
      </c>
      <c r="F42" s="103">
        <f t="shared" si="4"/>
        <v>0</v>
      </c>
      <c r="G42" s="104"/>
      <c r="H42" s="102">
        <v>0</v>
      </c>
      <c r="I42" s="347">
        <v>0</v>
      </c>
      <c r="J42" s="103">
        <f t="shared" si="5"/>
        <v>0</v>
      </c>
      <c r="K42" s="104"/>
      <c r="L42" s="102">
        <v>0</v>
      </c>
      <c r="M42" s="347">
        <v>0</v>
      </c>
      <c r="N42" s="103">
        <f t="shared" si="6"/>
        <v>0</v>
      </c>
      <c r="O42" s="104"/>
      <c r="P42" s="102">
        <v>0</v>
      </c>
      <c r="Q42" s="347">
        <v>0</v>
      </c>
      <c r="R42" s="103">
        <f t="shared" si="7"/>
        <v>0</v>
      </c>
    </row>
    <row r="43" spans="2:18" x14ac:dyDescent="0.25">
      <c r="B43" s="195" t="s">
        <v>108</v>
      </c>
      <c r="C43" s="216"/>
      <c r="D43" s="102">
        <v>0</v>
      </c>
      <c r="E43" s="347">
        <v>0</v>
      </c>
      <c r="F43" s="103">
        <f t="shared" si="4"/>
        <v>0</v>
      </c>
      <c r="G43" s="104"/>
      <c r="H43" s="102">
        <v>0</v>
      </c>
      <c r="I43" s="347">
        <v>0</v>
      </c>
      <c r="J43" s="103">
        <f t="shared" si="5"/>
        <v>0</v>
      </c>
      <c r="K43" s="104"/>
      <c r="L43" s="102">
        <v>0</v>
      </c>
      <c r="M43" s="347">
        <v>0</v>
      </c>
      <c r="N43" s="103">
        <f t="shared" si="6"/>
        <v>0</v>
      </c>
      <c r="O43" s="104"/>
      <c r="P43" s="102">
        <v>0</v>
      </c>
      <c r="Q43" s="347">
        <v>0</v>
      </c>
      <c r="R43" s="103">
        <f t="shared" si="7"/>
        <v>0</v>
      </c>
    </row>
    <row r="44" spans="2:18" x14ac:dyDescent="0.25">
      <c r="B44" s="195" t="s">
        <v>108</v>
      </c>
      <c r="C44" s="216"/>
      <c r="D44" s="102">
        <v>0</v>
      </c>
      <c r="E44" s="347">
        <v>0</v>
      </c>
      <c r="F44" s="103">
        <f t="shared" si="4"/>
        <v>0</v>
      </c>
      <c r="G44" s="104"/>
      <c r="H44" s="102">
        <v>0</v>
      </c>
      <c r="I44" s="347">
        <v>0</v>
      </c>
      <c r="J44" s="103">
        <f t="shared" si="5"/>
        <v>0</v>
      </c>
      <c r="K44" s="104"/>
      <c r="L44" s="102">
        <v>0</v>
      </c>
      <c r="M44" s="347">
        <v>0</v>
      </c>
      <c r="N44" s="103">
        <f t="shared" si="6"/>
        <v>0</v>
      </c>
      <c r="O44" s="104"/>
      <c r="P44" s="102">
        <v>0</v>
      </c>
      <c r="Q44" s="347">
        <v>0</v>
      </c>
      <c r="R44" s="103">
        <f t="shared" si="7"/>
        <v>0</v>
      </c>
    </row>
    <row r="45" spans="2:18" x14ac:dyDescent="0.25">
      <c r="B45" s="195" t="s">
        <v>108</v>
      </c>
      <c r="C45" s="225" t="s">
        <v>124</v>
      </c>
      <c r="D45" s="102">
        <v>0</v>
      </c>
      <c r="E45" s="347">
        <v>0</v>
      </c>
      <c r="F45" s="103">
        <f t="shared" si="4"/>
        <v>0</v>
      </c>
      <c r="G45" s="104"/>
      <c r="H45" s="102">
        <v>0</v>
      </c>
      <c r="I45" s="347">
        <v>0</v>
      </c>
      <c r="J45" s="103">
        <f t="shared" si="5"/>
        <v>0</v>
      </c>
      <c r="K45" s="104"/>
      <c r="L45" s="102">
        <v>0</v>
      </c>
      <c r="M45" s="347">
        <v>0</v>
      </c>
      <c r="N45" s="103">
        <f t="shared" si="6"/>
        <v>0</v>
      </c>
      <c r="O45" s="104"/>
      <c r="P45" s="102">
        <v>0</v>
      </c>
      <c r="Q45" s="347">
        <v>0</v>
      </c>
      <c r="R45" s="103">
        <f t="shared" si="7"/>
        <v>0</v>
      </c>
    </row>
    <row r="46" spans="2:18" x14ac:dyDescent="0.25">
      <c r="B46" s="195" t="s">
        <v>108</v>
      </c>
      <c r="C46" s="216"/>
      <c r="D46" s="102">
        <v>0</v>
      </c>
      <c r="E46" s="347">
        <v>0</v>
      </c>
      <c r="F46" s="103">
        <f t="shared" si="4"/>
        <v>0</v>
      </c>
      <c r="G46" s="104"/>
      <c r="H46" s="102">
        <v>0</v>
      </c>
      <c r="I46" s="347">
        <v>0</v>
      </c>
      <c r="J46" s="103">
        <f t="shared" si="5"/>
        <v>0</v>
      </c>
      <c r="K46" s="104"/>
      <c r="L46" s="102">
        <v>0</v>
      </c>
      <c r="M46" s="347">
        <v>0</v>
      </c>
      <c r="N46" s="103">
        <f t="shared" si="6"/>
        <v>0</v>
      </c>
      <c r="O46" s="104"/>
      <c r="P46" s="102">
        <v>0</v>
      </c>
      <c r="Q46" s="347">
        <v>0</v>
      </c>
      <c r="R46" s="103">
        <f t="shared" si="7"/>
        <v>0</v>
      </c>
    </row>
    <row r="47" spans="2:18" x14ac:dyDescent="0.25">
      <c r="B47" s="195" t="s">
        <v>108</v>
      </c>
      <c r="C47" s="216"/>
      <c r="D47" s="102">
        <v>0</v>
      </c>
      <c r="E47" s="347">
        <v>0</v>
      </c>
      <c r="F47" s="103">
        <f t="shared" si="4"/>
        <v>0</v>
      </c>
      <c r="G47" s="104"/>
      <c r="H47" s="102">
        <v>0</v>
      </c>
      <c r="I47" s="347">
        <v>0</v>
      </c>
      <c r="J47" s="103">
        <f t="shared" si="5"/>
        <v>0</v>
      </c>
      <c r="K47" s="104"/>
      <c r="L47" s="102">
        <v>0</v>
      </c>
      <c r="M47" s="347">
        <v>0</v>
      </c>
      <c r="N47" s="103">
        <f t="shared" si="6"/>
        <v>0</v>
      </c>
      <c r="O47" s="104"/>
      <c r="P47" s="102">
        <v>0</v>
      </c>
      <c r="Q47" s="347">
        <v>0</v>
      </c>
      <c r="R47" s="103">
        <f t="shared" si="7"/>
        <v>0</v>
      </c>
    </row>
    <row r="48" spans="2:18" x14ac:dyDescent="0.25">
      <c r="B48" s="195" t="s">
        <v>108</v>
      </c>
      <c r="C48" s="216"/>
      <c r="D48" s="102">
        <v>0</v>
      </c>
      <c r="E48" s="347">
        <v>0</v>
      </c>
      <c r="F48" s="103">
        <f t="shared" si="4"/>
        <v>0</v>
      </c>
      <c r="G48" s="104"/>
      <c r="H48" s="102">
        <v>0</v>
      </c>
      <c r="I48" s="347">
        <v>0</v>
      </c>
      <c r="J48" s="103">
        <f t="shared" si="5"/>
        <v>0</v>
      </c>
      <c r="K48" s="104"/>
      <c r="L48" s="102">
        <v>0</v>
      </c>
      <c r="M48" s="347">
        <v>0</v>
      </c>
      <c r="N48" s="103">
        <f t="shared" si="6"/>
        <v>0</v>
      </c>
      <c r="O48" s="104"/>
      <c r="P48" s="102">
        <v>0</v>
      </c>
      <c r="Q48" s="347">
        <v>0</v>
      </c>
      <c r="R48" s="103">
        <f t="shared" si="7"/>
        <v>0</v>
      </c>
    </row>
    <row r="49" spans="2:18" ht="15.75" thickBot="1" x14ac:dyDescent="0.3">
      <c r="B49" s="234" t="s">
        <v>108</v>
      </c>
      <c r="C49" s="235"/>
      <c r="D49" s="102">
        <v>0</v>
      </c>
      <c r="E49" s="347">
        <v>0</v>
      </c>
      <c r="F49" s="103">
        <f t="shared" si="4"/>
        <v>0</v>
      </c>
      <c r="G49" s="104"/>
      <c r="H49" s="102">
        <v>0</v>
      </c>
      <c r="I49" s="347">
        <v>0</v>
      </c>
      <c r="J49" s="103">
        <f t="shared" si="5"/>
        <v>0</v>
      </c>
      <c r="K49" s="104"/>
      <c r="L49" s="102">
        <v>0</v>
      </c>
      <c r="M49" s="347">
        <v>0</v>
      </c>
      <c r="N49" s="103">
        <f t="shared" si="6"/>
        <v>0</v>
      </c>
      <c r="O49" s="104"/>
      <c r="P49" s="102">
        <v>0</v>
      </c>
      <c r="Q49" s="347">
        <v>0</v>
      </c>
      <c r="R49" s="103">
        <f t="shared" si="7"/>
        <v>0</v>
      </c>
    </row>
    <row r="50" spans="2:18" ht="15.75" thickBot="1" x14ac:dyDescent="0.3">
      <c r="B50" s="238" t="s">
        <v>87</v>
      </c>
      <c r="C50" s="236"/>
      <c r="D50" s="200">
        <f>SUM(D35:D49)</f>
        <v>0</v>
      </c>
      <c r="E50" s="150"/>
      <c r="F50" s="109">
        <f>ROUND(SUM(F35:F49),0)</f>
        <v>0</v>
      </c>
      <c r="G50" s="110"/>
      <c r="H50" s="200">
        <f>SUM(H35:H49)</f>
        <v>0</v>
      </c>
      <c r="I50" s="150" t="s">
        <v>1</v>
      </c>
      <c r="J50" s="109">
        <f>ROUND(SUM(J35:J49),0)</f>
        <v>0</v>
      </c>
      <c r="K50" s="110"/>
      <c r="L50" s="200">
        <f>SUM(L35:L49)</f>
        <v>0</v>
      </c>
      <c r="M50" s="150"/>
      <c r="N50" s="109">
        <f>ROUND(SUM(N35:N49),0)</f>
        <v>0</v>
      </c>
      <c r="O50" s="110"/>
      <c r="P50" s="200">
        <f>SUM(P35:P49)</f>
        <v>0</v>
      </c>
      <c r="Q50" s="150"/>
      <c r="R50" s="109">
        <f>ROUND(SUM(R35:R49),0)</f>
        <v>0</v>
      </c>
    </row>
    <row r="51" spans="2:18" ht="15.75" thickBot="1" x14ac:dyDescent="0.3"/>
    <row r="52" spans="2:18" ht="16.5" thickBot="1" x14ac:dyDescent="0.3">
      <c r="B52" s="493" t="s">
        <v>313</v>
      </c>
      <c r="C52" s="494"/>
      <c r="D52" s="490" t="s">
        <v>69</v>
      </c>
      <c r="E52" s="491"/>
      <c r="F52" s="492"/>
      <c r="G52" s="96"/>
      <c r="H52" s="490" t="s">
        <v>69</v>
      </c>
      <c r="I52" s="491"/>
      <c r="J52" s="492"/>
      <c r="K52" s="96"/>
      <c r="L52" s="490" t="s">
        <v>69</v>
      </c>
      <c r="M52" s="491"/>
      <c r="N52" s="492"/>
      <c r="O52" s="96"/>
      <c r="P52" s="490" t="s">
        <v>69</v>
      </c>
      <c r="Q52" s="491"/>
      <c r="R52" s="492"/>
    </row>
    <row r="53" spans="2:18" ht="16.5" thickBot="1" x14ac:dyDescent="0.3">
      <c r="B53" s="495"/>
      <c r="C53" s="496"/>
      <c r="D53" s="487" t="str">
        <f>D11</f>
        <v>Basic Period (Year 1)</v>
      </c>
      <c r="E53" s="488"/>
      <c r="F53" s="489"/>
      <c r="G53" s="97"/>
      <c r="H53" s="487" t="str">
        <f>H11</f>
        <v>Basic Period (Year 2)</v>
      </c>
      <c r="I53" s="488"/>
      <c r="J53" s="489"/>
      <c r="K53" s="97"/>
      <c r="L53" s="487" t="str">
        <f>L11</f>
        <v>Basic Period (Year 3)</v>
      </c>
      <c r="M53" s="488"/>
      <c r="N53" s="489"/>
      <c r="O53" s="97"/>
      <c r="P53" s="487" t="str">
        <f>P11</f>
        <v>Basic Period (Year 4)</v>
      </c>
      <c r="Q53" s="488"/>
      <c r="R53" s="489"/>
    </row>
    <row r="54" spans="2:18" ht="16.5" thickBot="1" x14ac:dyDescent="0.3">
      <c r="B54" s="98" t="s">
        <v>46</v>
      </c>
      <c r="C54" s="98" t="s">
        <v>183</v>
      </c>
      <c r="D54" s="98" t="s">
        <v>29</v>
      </c>
      <c r="E54" s="99" t="s">
        <v>68</v>
      </c>
      <c r="F54" s="100" t="s">
        <v>74</v>
      </c>
      <c r="G54" s="101"/>
      <c r="H54" s="98" t="s">
        <v>29</v>
      </c>
      <c r="I54" s="99" t="s">
        <v>68</v>
      </c>
      <c r="J54" s="100" t="s">
        <v>74</v>
      </c>
      <c r="K54" s="101"/>
      <c r="L54" s="98" t="s">
        <v>29</v>
      </c>
      <c r="M54" s="99" t="s">
        <v>68</v>
      </c>
      <c r="N54" s="100" t="s">
        <v>74</v>
      </c>
      <c r="O54" s="101"/>
      <c r="P54" s="98" t="s">
        <v>29</v>
      </c>
      <c r="Q54" s="99" t="s">
        <v>68</v>
      </c>
      <c r="R54" s="100" t="s">
        <v>74</v>
      </c>
    </row>
    <row r="55" spans="2:18" ht="128.25" x14ac:dyDescent="0.25">
      <c r="B55" s="370" t="s">
        <v>434</v>
      </c>
      <c r="C55" s="370" t="s">
        <v>435</v>
      </c>
      <c r="D55" s="370" t="s">
        <v>410</v>
      </c>
      <c r="E55" s="370" t="s">
        <v>436</v>
      </c>
      <c r="F55" s="371"/>
      <c r="G55" s="101"/>
      <c r="H55" s="370" t="s">
        <v>410</v>
      </c>
      <c r="I55" s="370" t="s">
        <v>436</v>
      </c>
      <c r="J55" s="371"/>
      <c r="K55" s="101"/>
      <c r="L55" s="372" t="s">
        <v>410</v>
      </c>
      <c r="M55" s="372" t="s">
        <v>436</v>
      </c>
      <c r="N55" s="373"/>
      <c r="O55" s="101"/>
      <c r="P55" s="372" t="s">
        <v>410</v>
      </c>
      <c r="Q55" s="372" t="s">
        <v>436</v>
      </c>
      <c r="R55" s="373"/>
    </row>
    <row r="56" spans="2:18" x14ac:dyDescent="0.25">
      <c r="B56" s="195">
        <f>'SUB CPIF RATES (ALL)'!B20</f>
        <v>0</v>
      </c>
      <c r="C56" s="225" t="s">
        <v>125</v>
      </c>
      <c r="D56" s="102">
        <v>0</v>
      </c>
      <c r="E56" s="347">
        <v>0</v>
      </c>
      <c r="F56" s="103">
        <f>ROUND(D56*E56,0)</f>
        <v>0</v>
      </c>
      <c r="G56" s="104"/>
      <c r="H56" s="102">
        <v>0</v>
      </c>
      <c r="I56" s="347">
        <v>0</v>
      </c>
      <c r="J56" s="103">
        <f>ROUND(H56*I56,0)</f>
        <v>0</v>
      </c>
      <c r="K56" s="104"/>
      <c r="L56" s="102">
        <v>0</v>
      </c>
      <c r="M56" s="347">
        <v>0</v>
      </c>
      <c r="N56" s="103">
        <f>ROUND(L56*M56,0)</f>
        <v>0</v>
      </c>
      <c r="O56" s="104"/>
      <c r="P56" s="102">
        <v>0</v>
      </c>
      <c r="Q56" s="347">
        <v>0</v>
      </c>
      <c r="R56" s="103">
        <f>ROUND(P56*Q56,0)</f>
        <v>0</v>
      </c>
    </row>
    <row r="57" spans="2:18" x14ac:dyDescent="0.25">
      <c r="B57" s="195" t="s">
        <v>108</v>
      </c>
      <c r="C57" s="216" t="s">
        <v>1</v>
      </c>
      <c r="D57" s="102">
        <v>0</v>
      </c>
      <c r="E57" s="347">
        <v>0</v>
      </c>
      <c r="F57" s="103">
        <f t="shared" ref="F57:F70" si="8">ROUND(D57*E57,0)</f>
        <v>0</v>
      </c>
      <c r="G57" s="104"/>
      <c r="H57" s="102">
        <v>0</v>
      </c>
      <c r="I57" s="347">
        <v>0</v>
      </c>
      <c r="J57" s="103">
        <f t="shared" ref="J57:J70" si="9">ROUND(H57*I57,0)</f>
        <v>0</v>
      </c>
      <c r="K57" s="104"/>
      <c r="L57" s="102">
        <v>0</v>
      </c>
      <c r="M57" s="347">
        <v>0</v>
      </c>
      <c r="N57" s="103">
        <f t="shared" ref="N57:N70" si="10">ROUND(L57*M57,0)</f>
        <v>0</v>
      </c>
      <c r="O57" s="104"/>
      <c r="P57" s="102">
        <v>0</v>
      </c>
      <c r="Q57" s="347">
        <v>0</v>
      </c>
      <c r="R57" s="103">
        <f t="shared" ref="R57:R70" si="11">ROUND(P57*Q57,0)</f>
        <v>0</v>
      </c>
    </row>
    <row r="58" spans="2:18" x14ac:dyDescent="0.25">
      <c r="B58" s="195" t="s">
        <v>108</v>
      </c>
      <c r="C58" s="216"/>
      <c r="D58" s="102">
        <v>0</v>
      </c>
      <c r="E58" s="347">
        <v>0</v>
      </c>
      <c r="F58" s="103">
        <f t="shared" si="8"/>
        <v>0</v>
      </c>
      <c r="G58" s="104"/>
      <c r="H58" s="102">
        <v>0</v>
      </c>
      <c r="I58" s="347">
        <v>0</v>
      </c>
      <c r="J58" s="103">
        <f t="shared" si="9"/>
        <v>0</v>
      </c>
      <c r="K58" s="104"/>
      <c r="L58" s="102">
        <v>0</v>
      </c>
      <c r="M58" s="347">
        <v>0</v>
      </c>
      <c r="N58" s="103">
        <f t="shared" si="10"/>
        <v>0</v>
      </c>
      <c r="O58" s="104"/>
      <c r="P58" s="102">
        <v>0</v>
      </c>
      <c r="Q58" s="347">
        <v>0</v>
      </c>
      <c r="R58" s="103">
        <f t="shared" si="11"/>
        <v>0</v>
      </c>
    </row>
    <row r="59" spans="2:18" x14ac:dyDescent="0.25">
      <c r="B59" s="195" t="s">
        <v>108</v>
      </c>
      <c r="C59" s="216"/>
      <c r="D59" s="102">
        <v>0</v>
      </c>
      <c r="E59" s="347">
        <v>0</v>
      </c>
      <c r="F59" s="103">
        <f t="shared" si="8"/>
        <v>0</v>
      </c>
      <c r="G59" s="104"/>
      <c r="H59" s="102">
        <v>0</v>
      </c>
      <c r="I59" s="347">
        <v>0</v>
      </c>
      <c r="J59" s="103">
        <f t="shared" si="9"/>
        <v>0</v>
      </c>
      <c r="K59" s="104"/>
      <c r="L59" s="102">
        <v>0</v>
      </c>
      <c r="M59" s="347">
        <v>0</v>
      </c>
      <c r="N59" s="103">
        <f t="shared" si="10"/>
        <v>0</v>
      </c>
      <c r="O59" s="104"/>
      <c r="P59" s="102">
        <v>0</v>
      </c>
      <c r="Q59" s="347">
        <v>0</v>
      </c>
      <c r="R59" s="103">
        <f t="shared" si="11"/>
        <v>0</v>
      </c>
    </row>
    <row r="60" spans="2:18" x14ac:dyDescent="0.25">
      <c r="B60" s="195" t="s">
        <v>108</v>
      </c>
      <c r="C60" s="216"/>
      <c r="D60" s="102">
        <v>0</v>
      </c>
      <c r="E60" s="347">
        <v>0</v>
      </c>
      <c r="F60" s="103">
        <f t="shared" si="8"/>
        <v>0</v>
      </c>
      <c r="G60" s="104"/>
      <c r="H60" s="102">
        <v>0</v>
      </c>
      <c r="I60" s="347">
        <v>0</v>
      </c>
      <c r="J60" s="103">
        <f t="shared" si="9"/>
        <v>0</v>
      </c>
      <c r="K60" s="104"/>
      <c r="L60" s="102">
        <v>0</v>
      </c>
      <c r="M60" s="347">
        <v>0</v>
      </c>
      <c r="N60" s="103">
        <f t="shared" si="10"/>
        <v>0</v>
      </c>
      <c r="O60" s="104"/>
      <c r="P60" s="102">
        <v>0</v>
      </c>
      <c r="Q60" s="347">
        <v>0</v>
      </c>
      <c r="R60" s="103">
        <f t="shared" si="11"/>
        <v>0</v>
      </c>
    </row>
    <row r="61" spans="2:18" x14ac:dyDescent="0.25">
      <c r="B61" s="195" t="s">
        <v>108</v>
      </c>
      <c r="C61" s="225" t="s">
        <v>126</v>
      </c>
      <c r="D61" s="102">
        <v>0</v>
      </c>
      <c r="E61" s="347">
        <v>0</v>
      </c>
      <c r="F61" s="103">
        <f t="shared" si="8"/>
        <v>0</v>
      </c>
      <c r="G61" s="104"/>
      <c r="H61" s="102">
        <v>0</v>
      </c>
      <c r="I61" s="347">
        <v>0</v>
      </c>
      <c r="J61" s="103">
        <f t="shared" si="9"/>
        <v>0</v>
      </c>
      <c r="K61" s="104"/>
      <c r="L61" s="102">
        <v>0</v>
      </c>
      <c r="M61" s="347">
        <v>0</v>
      </c>
      <c r="N61" s="103">
        <f t="shared" si="10"/>
        <v>0</v>
      </c>
      <c r="O61" s="104"/>
      <c r="P61" s="102">
        <v>0</v>
      </c>
      <c r="Q61" s="347">
        <v>0</v>
      </c>
      <c r="R61" s="103">
        <f t="shared" si="11"/>
        <v>0</v>
      </c>
    </row>
    <row r="62" spans="2:18" x14ac:dyDescent="0.25">
      <c r="B62" s="195" t="s">
        <v>108</v>
      </c>
      <c r="C62" s="216"/>
      <c r="D62" s="102">
        <v>0</v>
      </c>
      <c r="E62" s="347">
        <v>0</v>
      </c>
      <c r="F62" s="103">
        <f t="shared" si="8"/>
        <v>0</v>
      </c>
      <c r="G62" s="104"/>
      <c r="H62" s="102">
        <v>0</v>
      </c>
      <c r="I62" s="347">
        <v>0</v>
      </c>
      <c r="J62" s="103">
        <f t="shared" si="9"/>
        <v>0</v>
      </c>
      <c r="K62" s="104"/>
      <c r="L62" s="102">
        <v>0</v>
      </c>
      <c r="M62" s="347">
        <v>0</v>
      </c>
      <c r="N62" s="103">
        <f t="shared" si="10"/>
        <v>0</v>
      </c>
      <c r="O62" s="104"/>
      <c r="P62" s="102">
        <v>0</v>
      </c>
      <c r="Q62" s="347">
        <v>0</v>
      </c>
      <c r="R62" s="103">
        <f t="shared" si="11"/>
        <v>0</v>
      </c>
    </row>
    <row r="63" spans="2:18" x14ac:dyDescent="0.25">
      <c r="B63" s="195" t="s">
        <v>108</v>
      </c>
      <c r="C63" s="216"/>
      <c r="D63" s="102">
        <v>0</v>
      </c>
      <c r="E63" s="347">
        <v>0</v>
      </c>
      <c r="F63" s="103">
        <f t="shared" si="8"/>
        <v>0</v>
      </c>
      <c r="G63" s="104"/>
      <c r="H63" s="102">
        <v>0</v>
      </c>
      <c r="I63" s="347">
        <v>0</v>
      </c>
      <c r="J63" s="103">
        <f t="shared" si="9"/>
        <v>0</v>
      </c>
      <c r="K63" s="104"/>
      <c r="L63" s="102">
        <v>0</v>
      </c>
      <c r="M63" s="347">
        <v>0</v>
      </c>
      <c r="N63" s="103">
        <f t="shared" si="10"/>
        <v>0</v>
      </c>
      <c r="O63" s="104"/>
      <c r="P63" s="102">
        <v>0</v>
      </c>
      <c r="Q63" s="347">
        <v>0</v>
      </c>
      <c r="R63" s="103">
        <f t="shared" si="11"/>
        <v>0</v>
      </c>
    </row>
    <row r="64" spans="2:18" x14ac:dyDescent="0.25">
      <c r="B64" s="195" t="s">
        <v>108</v>
      </c>
      <c r="C64" s="216"/>
      <c r="D64" s="102">
        <v>0</v>
      </c>
      <c r="E64" s="347">
        <v>0</v>
      </c>
      <c r="F64" s="103">
        <f t="shared" si="8"/>
        <v>0</v>
      </c>
      <c r="G64" s="104"/>
      <c r="H64" s="102">
        <v>0</v>
      </c>
      <c r="I64" s="347">
        <v>0</v>
      </c>
      <c r="J64" s="103">
        <f t="shared" si="9"/>
        <v>0</v>
      </c>
      <c r="K64" s="104"/>
      <c r="L64" s="102">
        <v>0</v>
      </c>
      <c r="M64" s="347">
        <v>0</v>
      </c>
      <c r="N64" s="103">
        <f t="shared" si="10"/>
        <v>0</v>
      </c>
      <c r="O64" s="104"/>
      <c r="P64" s="102">
        <v>0</v>
      </c>
      <c r="Q64" s="347">
        <v>0</v>
      </c>
      <c r="R64" s="103">
        <f t="shared" si="11"/>
        <v>0</v>
      </c>
    </row>
    <row r="65" spans="2:18" x14ac:dyDescent="0.25">
      <c r="B65" s="195" t="s">
        <v>108</v>
      </c>
      <c r="C65" s="216"/>
      <c r="D65" s="102">
        <v>0</v>
      </c>
      <c r="E65" s="347">
        <v>0</v>
      </c>
      <c r="F65" s="103">
        <f t="shared" si="8"/>
        <v>0</v>
      </c>
      <c r="G65" s="104"/>
      <c r="H65" s="102">
        <v>0</v>
      </c>
      <c r="I65" s="347">
        <v>0</v>
      </c>
      <c r="J65" s="103">
        <f t="shared" si="9"/>
        <v>0</v>
      </c>
      <c r="K65" s="104"/>
      <c r="L65" s="102">
        <v>0</v>
      </c>
      <c r="M65" s="347">
        <v>0</v>
      </c>
      <c r="N65" s="103">
        <f t="shared" si="10"/>
        <v>0</v>
      </c>
      <c r="O65" s="104"/>
      <c r="P65" s="102">
        <v>0</v>
      </c>
      <c r="Q65" s="347">
        <v>0</v>
      </c>
      <c r="R65" s="103">
        <f t="shared" si="11"/>
        <v>0</v>
      </c>
    </row>
    <row r="66" spans="2:18" x14ac:dyDescent="0.25">
      <c r="B66" s="195" t="s">
        <v>108</v>
      </c>
      <c r="C66" s="225" t="s">
        <v>127</v>
      </c>
      <c r="D66" s="102">
        <v>0</v>
      </c>
      <c r="E66" s="347">
        <v>0</v>
      </c>
      <c r="F66" s="103">
        <f t="shared" si="8"/>
        <v>0</v>
      </c>
      <c r="G66" s="104"/>
      <c r="H66" s="102">
        <v>0</v>
      </c>
      <c r="I66" s="347">
        <v>0</v>
      </c>
      <c r="J66" s="103">
        <f t="shared" si="9"/>
        <v>0</v>
      </c>
      <c r="K66" s="104"/>
      <c r="L66" s="102">
        <v>0</v>
      </c>
      <c r="M66" s="347">
        <v>0</v>
      </c>
      <c r="N66" s="103">
        <f t="shared" si="10"/>
        <v>0</v>
      </c>
      <c r="O66" s="104"/>
      <c r="P66" s="102">
        <v>0</v>
      </c>
      <c r="Q66" s="347">
        <v>0</v>
      </c>
      <c r="R66" s="103">
        <f t="shared" si="11"/>
        <v>0</v>
      </c>
    </row>
    <row r="67" spans="2:18" x14ac:dyDescent="0.25">
      <c r="B67" s="195" t="s">
        <v>108</v>
      </c>
      <c r="C67" s="216"/>
      <c r="D67" s="102">
        <v>0</v>
      </c>
      <c r="E67" s="347">
        <v>0</v>
      </c>
      <c r="F67" s="103">
        <f t="shared" si="8"/>
        <v>0</v>
      </c>
      <c r="G67" s="104"/>
      <c r="H67" s="102">
        <v>0</v>
      </c>
      <c r="I67" s="347">
        <v>0</v>
      </c>
      <c r="J67" s="103">
        <f t="shared" si="9"/>
        <v>0</v>
      </c>
      <c r="K67" s="104"/>
      <c r="L67" s="102">
        <v>0</v>
      </c>
      <c r="M67" s="347">
        <v>0</v>
      </c>
      <c r="N67" s="103">
        <f t="shared" si="10"/>
        <v>0</v>
      </c>
      <c r="O67" s="104"/>
      <c r="P67" s="102">
        <v>0</v>
      </c>
      <c r="Q67" s="347">
        <v>0</v>
      </c>
      <c r="R67" s="103">
        <f t="shared" si="11"/>
        <v>0</v>
      </c>
    </row>
    <row r="68" spans="2:18" x14ac:dyDescent="0.25">
      <c r="B68" s="195" t="s">
        <v>108</v>
      </c>
      <c r="C68" s="216"/>
      <c r="D68" s="102">
        <v>0</v>
      </c>
      <c r="E68" s="347">
        <v>0</v>
      </c>
      <c r="F68" s="103">
        <f t="shared" si="8"/>
        <v>0</v>
      </c>
      <c r="G68" s="104"/>
      <c r="H68" s="102">
        <v>0</v>
      </c>
      <c r="I68" s="347">
        <v>0</v>
      </c>
      <c r="J68" s="103">
        <f t="shared" si="9"/>
        <v>0</v>
      </c>
      <c r="K68" s="104"/>
      <c r="L68" s="102">
        <v>0</v>
      </c>
      <c r="M68" s="347">
        <v>0</v>
      </c>
      <c r="N68" s="103">
        <f t="shared" si="10"/>
        <v>0</v>
      </c>
      <c r="O68" s="104"/>
      <c r="P68" s="102">
        <v>0</v>
      </c>
      <c r="Q68" s="347">
        <v>0</v>
      </c>
      <c r="R68" s="103">
        <f t="shared" si="11"/>
        <v>0</v>
      </c>
    </row>
    <row r="69" spans="2:18" x14ac:dyDescent="0.25">
      <c r="B69" s="195" t="s">
        <v>108</v>
      </c>
      <c r="C69" s="216"/>
      <c r="D69" s="102">
        <v>0</v>
      </c>
      <c r="E69" s="347">
        <v>0</v>
      </c>
      <c r="F69" s="103">
        <f t="shared" si="8"/>
        <v>0</v>
      </c>
      <c r="G69" s="104"/>
      <c r="H69" s="102">
        <v>0</v>
      </c>
      <c r="I69" s="347">
        <v>0</v>
      </c>
      <c r="J69" s="103">
        <f t="shared" si="9"/>
        <v>0</v>
      </c>
      <c r="K69" s="104"/>
      <c r="L69" s="102">
        <v>0</v>
      </c>
      <c r="M69" s="347">
        <v>0</v>
      </c>
      <c r="N69" s="103">
        <f t="shared" si="10"/>
        <v>0</v>
      </c>
      <c r="O69" s="104"/>
      <c r="P69" s="102">
        <v>0</v>
      </c>
      <c r="Q69" s="347">
        <v>0</v>
      </c>
      <c r="R69" s="103">
        <f t="shared" si="11"/>
        <v>0</v>
      </c>
    </row>
    <row r="70" spans="2:18" ht="15.75" thickBot="1" x14ac:dyDescent="0.3">
      <c r="B70" s="234" t="s">
        <v>108</v>
      </c>
      <c r="C70" s="235"/>
      <c r="D70" s="102">
        <v>0</v>
      </c>
      <c r="E70" s="347">
        <v>0</v>
      </c>
      <c r="F70" s="103">
        <f t="shared" si="8"/>
        <v>0</v>
      </c>
      <c r="G70" s="104"/>
      <c r="H70" s="102">
        <v>0</v>
      </c>
      <c r="I70" s="347">
        <v>0</v>
      </c>
      <c r="J70" s="103">
        <f t="shared" si="9"/>
        <v>0</v>
      </c>
      <c r="K70" s="104"/>
      <c r="L70" s="102">
        <v>0</v>
      </c>
      <c r="M70" s="347">
        <v>0</v>
      </c>
      <c r="N70" s="103">
        <f t="shared" si="10"/>
        <v>0</v>
      </c>
      <c r="O70" s="104"/>
      <c r="P70" s="102">
        <v>0</v>
      </c>
      <c r="Q70" s="347">
        <v>0</v>
      </c>
      <c r="R70" s="103">
        <f t="shared" si="11"/>
        <v>0</v>
      </c>
    </row>
    <row r="71" spans="2:18" ht="15.75" thickBot="1" x14ac:dyDescent="0.3">
      <c r="B71" s="238" t="s">
        <v>87</v>
      </c>
      <c r="C71" s="236"/>
      <c r="D71" s="200">
        <f>SUM(D56:D70)</f>
        <v>0</v>
      </c>
      <c r="E71" s="150"/>
      <c r="F71" s="109">
        <f>ROUND(SUM(F56:F70),0)</f>
        <v>0</v>
      </c>
      <c r="G71" s="110"/>
      <c r="H71" s="200">
        <f>SUM(H56:H70)</f>
        <v>0</v>
      </c>
      <c r="I71" s="150" t="s">
        <v>1</v>
      </c>
      <c r="J71" s="109">
        <f>ROUND(SUM(J56:J70),0)</f>
        <v>0</v>
      </c>
      <c r="K71" s="110"/>
      <c r="L71" s="200">
        <f>SUM(L56:L70)</f>
        <v>0</v>
      </c>
      <c r="M71" s="150"/>
      <c r="N71" s="109">
        <f>ROUND(SUM(N56:N70),0)</f>
        <v>0</v>
      </c>
      <c r="O71" s="110"/>
      <c r="P71" s="200">
        <f>SUM(P56:P70)</f>
        <v>0</v>
      </c>
      <c r="Q71" s="150"/>
      <c r="R71" s="109">
        <f>ROUND(SUM(R56:R70),0)</f>
        <v>0</v>
      </c>
    </row>
    <row r="72" spans="2:18" ht="15.75" thickBot="1" x14ac:dyDescent="0.3"/>
    <row r="73" spans="2:18" ht="16.5" thickBot="1" x14ac:dyDescent="0.3">
      <c r="B73" s="493" t="s">
        <v>314</v>
      </c>
      <c r="C73" s="494"/>
      <c r="D73" s="490" t="s">
        <v>69</v>
      </c>
      <c r="E73" s="491"/>
      <c r="F73" s="492"/>
      <c r="G73" s="96"/>
      <c r="H73" s="490" t="s">
        <v>69</v>
      </c>
      <c r="I73" s="491"/>
      <c r="J73" s="492"/>
      <c r="K73" s="96"/>
      <c r="L73" s="490" t="s">
        <v>69</v>
      </c>
      <c r="M73" s="491"/>
      <c r="N73" s="492"/>
      <c r="O73" s="96"/>
      <c r="P73" s="490" t="s">
        <v>69</v>
      </c>
      <c r="Q73" s="491"/>
      <c r="R73" s="492"/>
    </row>
    <row r="74" spans="2:18" ht="16.5" thickBot="1" x14ac:dyDescent="0.3">
      <c r="B74" s="495"/>
      <c r="C74" s="496"/>
      <c r="D74" s="487" t="str">
        <f>D11</f>
        <v>Basic Period (Year 1)</v>
      </c>
      <c r="E74" s="488"/>
      <c r="F74" s="489"/>
      <c r="G74" s="97"/>
      <c r="H74" s="487" t="str">
        <f>H11</f>
        <v>Basic Period (Year 2)</v>
      </c>
      <c r="I74" s="488"/>
      <c r="J74" s="489"/>
      <c r="K74" s="97"/>
      <c r="L74" s="487" t="str">
        <f>L11</f>
        <v>Basic Period (Year 3)</v>
      </c>
      <c r="M74" s="488"/>
      <c r="N74" s="489"/>
      <c r="O74" s="97"/>
      <c r="P74" s="487" t="str">
        <f>P11</f>
        <v>Basic Period (Year 4)</v>
      </c>
      <c r="Q74" s="488"/>
      <c r="R74" s="489"/>
    </row>
    <row r="75" spans="2:18" ht="16.5" thickBot="1" x14ac:dyDescent="0.3">
      <c r="B75" s="98" t="s">
        <v>46</v>
      </c>
      <c r="C75" s="98" t="s">
        <v>183</v>
      </c>
      <c r="D75" s="98" t="s">
        <v>29</v>
      </c>
      <c r="E75" s="99" t="s">
        <v>68</v>
      </c>
      <c r="F75" s="100" t="s">
        <v>74</v>
      </c>
      <c r="G75" s="101"/>
      <c r="H75" s="98" t="s">
        <v>29</v>
      </c>
      <c r="I75" s="99" t="s">
        <v>68</v>
      </c>
      <c r="J75" s="100" t="s">
        <v>74</v>
      </c>
      <c r="K75" s="101"/>
      <c r="L75" s="98" t="s">
        <v>29</v>
      </c>
      <c r="M75" s="99" t="s">
        <v>68</v>
      </c>
      <c r="N75" s="100" t="s">
        <v>74</v>
      </c>
      <c r="O75" s="101"/>
      <c r="P75" s="98" t="s">
        <v>29</v>
      </c>
      <c r="Q75" s="99" t="s">
        <v>68</v>
      </c>
      <c r="R75" s="100" t="s">
        <v>74</v>
      </c>
    </row>
    <row r="76" spans="2:18" ht="128.25" x14ac:dyDescent="0.25">
      <c r="B76" s="370" t="s">
        <v>434</v>
      </c>
      <c r="C76" s="370" t="s">
        <v>435</v>
      </c>
      <c r="D76" s="370" t="s">
        <v>410</v>
      </c>
      <c r="E76" s="370" t="s">
        <v>436</v>
      </c>
      <c r="F76" s="371"/>
      <c r="G76" s="101"/>
      <c r="H76" s="370" t="s">
        <v>410</v>
      </c>
      <c r="I76" s="370" t="s">
        <v>436</v>
      </c>
      <c r="J76" s="371"/>
      <c r="K76" s="101"/>
      <c r="L76" s="372" t="s">
        <v>410</v>
      </c>
      <c r="M76" s="372" t="s">
        <v>436</v>
      </c>
      <c r="N76" s="373"/>
      <c r="O76" s="101"/>
      <c r="P76" s="372" t="s">
        <v>410</v>
      </c>
      <c r="Q76" s="372" t="s">
        <v>436</v>
      </c>
      <c r="R76" s="373"/>
    </row>
    <row r="77" spans="2:18" x14ac:dyDescent="0.25">
      <c r="B77" s="195">
        <f>'SUB CPIF RATES (ALL)'!B21</f>
        <v>0</v>
      </c>
      <c r="C77" s="225" t="s">
        <v>128</v>
      </c>
      <c r="D77" s="102">
        <v>0</v>
      </c>
      <c r="E77" s="347">
        <v>0</v>
      </c>
      <c r="F77" s="103">
        <f>ROUND(D77*E77,0)</f>
        <v>0</v>
      </c>
      <c r="G77" s="104"/>
      <c r="H77" s="102">
        <v>0</v>
      </c>
      <c r="I77" s="347">
        <v>0</v>
      </c>
      <c r="J77" s="103">
        <f>ROUND(H77*I77,0)</f>
        <v>0</v>
      </c>
      <c r="K77" s="104"/>
      <c r="L77" s="102">
        <v>0</v>
      </c>
      <c r="M77" s="347">
        <v>0</v>
      </c>
      <c r="N77" s="103">
        <f>ROUND(L77*M77,0)</f>
        <v>0</v>
      </c>
      <c r="O77" s="104"/>
      <c r="P77" s="102">
        <v>0</v>
      </c>
      <c r="Q77" s="347">
        <v>0</v>
      </c>
      <c r="R77" s="103">
        <f>ROUND(P77*Q77,0)</f>
        <v>0</v>
      </c>
    </row>
    <row r="78" spans="2:18" x14ac:dyDescent="0.25">
      <c r="B78" s="195" t="s">
        <v>108</v>
      </c>
      <c r="C78" s="216" t="s">
        <v>1</v>
      </c>
      <c r="D78" s="102">
        <v>0</v>
      </c>
      <c r="E78" s="347">
        <v>0</v>
      </c>
      <c r="F78" s="103">
        <f t="shared" ref="F78:F91" si="12">ROUND(D78*E78,0)</f>
        <v>0</v>
      </c>
      <c r="G78" s="104"/>
      <c r="H78" s="102">
        <v>0</v>
      </c>
      <c r="I78" s="347">
        <v>0</v>
      </c>
      <c r="J78" s="103">
        <f t="shared" ref="J78:J91" si="13">ROUND(H78*I78,0)</f>
        <v>0</v>
      </c>
      <c r="K78" s="104"/>
      <c r="L78" s="102">
        <v>0</v>
      </c>
      <c r="M78" s="347">
        <v>0</v>
      </c>
      <c r="N78" s="103">
        <f t="shared" ref="N78:N91" si="14">ROUND(L78*M78,0)</f>
        <v>0</v>
      </c>
      <c r="O78" s="104"/>
      <c r="P78" s="102">
        <v>0</v>
      </c>
      <c r="Q78" s="347">
        <v>0</v>
      </c>
      <c r="R78" s="103">
        <f t="shared" ref="R78:R91" si="15">ROUND(P78*Q78,0)</f>
        <v>0</v>
      </c>
    </row>
    <row r="79" spans="2:18" x14ac:dyDescent="0.25">
      <c r="B79" s="195" t="s">
        <v>108</v>
      </c>
      <c r="C79" s="216"/>
      <c r="D79" s="102">
        <v>0</v>
      </c>
      <c r="E79" s="347">
        <v>0</v>
      </c>
      <c r="F79" s="103">
        <f t="shared" si="12"/>
        <v>0</v>
      </c>
      <c r="G79" s="104"/>
      <c r="H79" s="102">
        <v>0</v>
      </c>
      <c r="I79" s="347">
        <v>0</v>
      </c>
      <c r="J79" s="103">
        <f t="shared" si="13"/>
        <v>0</v>
      </c>
      <c r="K79" s="104"/>
      <c r="L79" s="102">
        <v>0</v>
      </c>
      <c r="M79" s="347">
        <v>0</v>
      </c>
      <c r="N79" s="103">
        <f t="shared" si="14"/>
        <v>0</v>
      </c>
      <c r="O79" s="104"/>
      <c r="P79" s="102">
        <v>0</v>
      </c>
      <c r="Q79" s="347">
        <v>0</v>
      </c>
      <c r="R79" s="103">
        <f t="shared" si="15"/>
        <v>0</v>
      </c>
    </row>
    <row r="80" spans="2:18" x14ac:dyDescent="0.25">
      <c r="B80" s="195" t="s">
        <v>108</v>
      </c>
      <c r="C80" s="216"/>
      <c r="D80" s="102">
        <v>0</v>
      </c>
      <c r="E80" s="347">
        <v>0</v>
      </c>
      <c r="F80" s="103">
        <f t="shared" si="12"/>
        <v>0</v>
      </c>
      <c r="G80" s="104"/>
      <c r="H80" s="102">
        <v>0</v>
      </c>
      <c r="I80" s="347">
        <v>0</v>
      </c>
      <c r="J80" s="103">
        <f t="shared" si="13"/>
        <v>0</v>
      </c>
      <c r="K80" s="104"/>
      <c r="L80" s="102">
        <v>0</v>
      </c>
      <c r="M80" s="347">
        <v>0</v>
      </c>
      <c r="N80" s="103">
        <f t="shared" si="14"/>
        <v>0</v>
      </c>
      <c r="O80" s="104"/>
      <c r="P80" s="102">
        <v>0</v>
      </c>
      <c r="Q80" s="347">
        <v>0</v>
      </c>
      <c r="R80" s="103">
        <f t="shared" si="15"/>
        <v>0</v>
      </c>
    </row>
    <row r="81" spans="2:18" x14ac:dyDescent="0.25">
      <c r="B81" s="195" t="s">
        <v>108</v>
      </c>
      <c r="C81" s="216"/>
      <c r="D81" s="102">
        <v>0</v>
      </c>
      <c r="E81" s="347">
        <v>0</v>
      </c>
      <c r="F81" s="103">
        <f t="shared" si="12"/>
        <v>0</v>
      </c>
      <c r="G81" s="104"/>
      <c r="H81" s="102">
        <v>0</v>
      </c>
      <c r="I81" s="347">
        <v>0</v>
      </c>
      <c r="J81" s="103">
        <f t="shared" si="13"/>
        <v>0</v>
      </c>
      <c r="K81" s="104"/>
      <c r="L81" s="102">
        <v>0</v>
      </c>
      <c r="M81" s="347">
        <v>0</v>
      </c>
      <c r="N81" s="103">
        <f t="shared" si="14"/>
        <v>0</v>
      </c>
      <c r="O81" s="104"/>
      <c r="P81" s="102">
        <v>0</v>
      </c>
      <c r="Q81" s="347">
        <v>0</v>
      </c>
      <c r="R81" s="103">
        <f t="shared" si="15"/>
        <v>0</v>
      </c>
    </row>
    <row r="82" spans="2:18" x14ac:dyDescent="0.25">
      <c r="B82" s="195" t="s">
        <v>108</v>
      </c>
      <c r="C82" s="225" t="s">
        <v>129</v>
      </c>
      <c r="D82" s="102">
        <v>0</v>
      </c>
      <c r="E82" s="347">
        <v>0</v>
      </c>
      <c r="F82" s="103">
        <f t="shared" si="12"/>
        <v>0</v>
      </c>
      <c r="G82" s="104"/>
      <c r="H82" s="102">
        <v>0</v>
      </c>
      <c r="I82" s="347">
        <v>0</v>
      </c>
      <c r="J82" s="103">
        <f t="shared" si="13"/>
        <v>0</v>
      </c>
      <c r="K82" s="104"/>
      <c r="L82" s="102">
        <v>0</v>
      </c>
      <c r="M82" s="347">
        <v>0</v>
      </c>
      <c r="N82" s="103">
        <f t="shared" si="14"/>
        <v>0</v>
      </c>
      <c r="O82" s="104"/>
      <c r="P82" s="102">
        <v>0</v>
      </c>
      <c r="Q82" s="347">
        <v>0</v>
      </c>
      <c r="R82" s="103">
        <f t="shared" si="15"/>
        <v>0</v>
      </c>
    </row>
    <row r="83" spans="2:18" x14ac:dyDescent="0.25">
      <c r="B83" s="195" t="s">
        <v>108</v>
      </c>
      <c r="C83" s="216"/>
      <c r="D83" s="102">
        <v>0</v>
      </c>
      <c r="E83" s="347">
        <v>0</v>
      </c>
      <c r="F83" s="103">
        <f t="shared" si="12"/>
        <v>0</v>
      </c>
      <c r="G83" s="104"/>
      <c r="H83" s="102">
        <v>0</v>
      </c>
      <c r="I83" s="347">
        <v>0</v>
      </c>
      <c r="J83" s="103">
        <f t="shared" si="13"/>
        <v>0</v>
      </c>
      <c r="K83" s="104"/>
      <c r="L83" s="102">
        <v>0</v>
      </c>
      <c r="M83" s="347">
        <v>0</v>
      </c>
      <c r="N83" s="103">
        <f t="shared" si="14"/>
        <v>0</v>
      </c>
      <c r="O83" s="104"/>
      <c r="P83" s="102">
        <v>0</v>
      </c>
      <c r="Q83" s="347">
        <v>0</v>
      </c>
      <c r="R83" s="103">
        <f t="shared" si="15"/>
        <v>0</v>
      </c>
    </row>
    <row r="84" spans="2:18" x14ac:dyDescent="0.25">
      <c r="B84" s="195" t="s">
        <v>108</v>
      </c>
      <c r="C84" s="216"/>
      <c r="D84" s="102">
        <v>0</v>
      </c>
      <c r="E84" s="347">
        <v>0</v>
      </c>
      <c r="F84" s="103">
        <f t="shared" si="12"/>
        <v>0</v>
      </c>
      <c r="G84" s="104"/>
      <c r="H84" s="102">
        <v>0</v>
      </c>
      <c r="I84" s="347">
        <v>0</v>
      </c>
      <c r="J84" s="103">
        <f t="shared" si="13"/>
        <v>0</v>
      </c>
      <c r="K84" s="104"/>
      <c r="L84" s="102">
        <v>0</v>
      </c>
      <c r="M84" s="347">
        <v>0</v>
      </c>
      <c r="N84" s="103">
        <f t="shared" si="14"/>
        <v>0</v>
      </c>
      <c r="O84" s="104"/>
      <c r="P84" s="102">
        <v>0</v>
      </c>
      <c r="Q84" s="347">
        <v>0</v>
      </c>
      <c r="R84" s="103">
        <f t="shared" si="15"/>
        <v>0</v>
      </c>
    </row>
    <row r="85" spans="2:18" x14ac:dyDescent="0.25">
      <c r="B85" s="195" t="s">
        <v>108</v>
      </c>
      <c r="C85" s="216"/>
      <c r="D85" s="102">
        <v>0</v>
      </c>
      <c r="E85" s="347">
        <v>0</v>
      </c>
      <c r="F85" s="103">
        <f t="shared" si="12"/>
        <v>0</v>
      </c>
      <c r="G85" s="104"/>
      <c r="H85" s="102">
        <v>0</v>
      </c>
      <c r="I85" s="347">
        <v>0</v>
      </c>
      <c r="J85" s="103">
        <f t="shared" si="13"/>
        <v>0</v>
      </c>
      <c r="K85" s="104"/>
      <c r="L85" s="102">
        <v>0</v>
      </c>
      <c r="M85" s="347">
        <v>0</v>
      </c>
      <c r="N85" s="103">
        <f t="shared" si="14"/>
        <v>0</v>
      </c>
      <c r="O85" s="104"/>
      <c r="P85" s="102">
        <v>0</v>
      </c>
      <c r="Q85" s="347">
        <v>0</v>
      </c>
      <c r="R85" s="103">
        <f t="shared" si="15"/>
        <v>0</v>
      </c>
    </row>
    <row r="86" spans="2:18" x14ac:dyDescent="0.25">
      <c r="B86" s="195" t="s">
        <v>108</v>
      </c>
      <c r="C86" s="216"/>
      <c r="D86" s="102">
        <v>0</v>
      </c>
      <c r="E86" s="347">
        <v>0</v>
      </c>
      <c r="F86" s="103">
        <f t="shared" si="12"/>
        <v>0</v>
      </c>
      <c r="G86" s="104"/>
      <c r="H86" s="102">
        <v>0</v>
      </c>
      <c r="I86" s="347">
        <v>0</v>
      </c>
      <c r="J86" s="103">
        <f t="shared" si="13"/>
        <v>0</v>
      </c>
      <c r="K86" s="104"/>
      <c r="L86" s="102">
        <v>0</v>
      </c>
      <c r="M86" s="347">
        <v>0</v>
      </c>
      <c r="N86" s="103">
        <f t="shared" si="14"/>
        <v>0</v>
      </c>
      <c r="O86" s="104"/>
      <c r="P86" s="102">
        <v>0</v>
      </c>
      <c r="Q86" s="347">
        <v>0</v>
      </c>
      <c r="R86" s="103">
        <f t="shared" si="15"/>
        <v>0</v>
      </c>
    </row>
    <row r="87" spans="2:18" x14ac:dyDescent="0.25">
      <c r="B87" s="195" t="s">
        <v>108</v>
      </c>
      <c r="C87" s="225" t="s">
        <v>130</v>
      </c>
      <c r="D87" s="102">
        <v>0</v>
      </c>
      <c r="E87" s="347">
        <v>0</v>
      </c>
      <c r="F87" s="103">
        <f t="shared" si="12"/>
        <v>0</v>
      </c>
      <c r="G87" s="104"/>
      <c r="H87" s="102">
        <v>0</v>
      </c>
      <c r="I87" s="347">
        <v>0</v>
      </c>
      <c r="J87" s="103">
        <f t="shared" si="13"/>
        <v>0</v>
      </c>
      <c r="K87" s="104"/>
      <c r="L87" s="102">
        <v>0</v>
      </c>
      <c r="M87" s="347">
        <v>0</v>
      </c>
      <c r="N87" s="103">
        <f t="shared" si="14"/>
        <v>0</v>
      </c>
      <c r="O87" s="104"/>
      <c r="P87" s="102">
        <v>0</v>
      </c>
      <c r="Q87" s="347">
        <v>0</v>
      </c>
      <c r="R87" s="103">
        <f t="shared" si="15"/>
        <v>0</v>
      </c>
    </row>
    <row r="88" spans="2:18" x14ac:dyDescent="0.25">
      <c r="B88" s="195" t="s">
        <v>108</v>
      </c>
      <c r="C88" s="216"/>
      <c r="D88" s="102">
        <v>0</v>
      </c>
      <c r="E88" s="347">
        <v>0</v>
      </c>
      <c r="F88" s="103">
        <f t="shared" si="12"/>
        <v>0</v>
      </c>
      <c r="G88" s="104"/>
      <c r="H88" s="102">
        <v>0</v>
      </c>
      <c r="I88" s="347">
        <v>0</v>
      </c>
      <c r="J88" s="103">
        <f t="shared" si="13"/>
        <v>0</v>
      </c>
      <c r="K88" s="104"/>
      <c r="L88" s="102">
        <v>0</v>
      </c>
      <c r="M88" s="347">
        <v>0</v>
      </c>
      <c r="N88" s="103">
        <f t="shared" si="14"/>
        <v>0</v>
      </c>
      <c r="O88" s="104"/>
      <c r="P88" s="102">
        <v>0</v>
      </c>
      <c r="Q88" s="347">
        <v>0</v>
      </c>
      <c r="R88" s="103">
        <f t="shared" si="15"/>
        <v>0</v>
      </c>
    </row>
    <row r="89" spans="2:18" x14ac:dyDescent="0.25">
      <c r="B89" s="195" t="s">
        <v>108</v>
      </c>
      <c r="C89" s="216"/>
      <c r="D89" s="102">
        <v>0</v>
      </c>
      <c r="E89" s="347">
        <v>0</v>
      </c>
      <c r="F89" s="103">
        <f t="shared" si="12"/>
        <v>0</v>
      </c>
      <c r="G89" s="104"/>
      <c r="H89" s="102">
        <v>0</v>
      </c>
      <c r="I89" s="347">
        <v>0</v>
      </c>
      <c r="J89" s="103">
        <f t="shared" si="13"/>
        <v>0</v>
      </c>
      <c r="K89" s="104"/>
      <c r="L89" s="102">
        <v>0</v>
      </c>
      <c r="M89" s="347">
        <v>0</v>
      </c>
      <c r="N89" s="103">
        <f t="shared" si="14"/>
        <v>0</v>
      </c>
      <c r="O89" s="104"/>
      <c r="P89" s="102">
        <v>0</v>
      </c>
      <c r="Q89" s="347">
        <v>0</v>
      </c>
      <c r="R89" s="103">
        <f t="shared" si="15"/>
        <v>0</v>
      </c>
    </row>
    <row r="90" spans="2:18" x14ac:dyDescent="0.25">
      <c r="B90" s="195" t="s">
        <v>108</v>
      </c>
      <c r="C90" s="216"/>
      <c r="D90" s="102">
        <v>0</v>
      </c>
      <c r="E90" s="347">
        <v>0</v>
      </c>
      <c r="F90" s="103">
        <f t="shared" si="12"/>
        <v>0</v>
      </c>
      <c r="G90" s="104"/>
      <c r="H90" s="102">
        <v>0</v>
      </c>
      <c r="I90" s="347">
        <v>0</v>
      </c>
      <c r="J90" s="103">
        <f t="shared" si="13"/>
        <v>0</v>
      </c>
      <c r="K90" s="104"/>
      <c r="L90" s="102">
        <v>0</v>
      </c>
      <c r="M90" s="347">
        <v>0</v>
      </c>
      <c r="N90" s="103">
        <f t="shared" si="14"/>
        <v>0</v>
      </c>
      <c r="O90" s="104"/>
      <c r="P90" s="102">
        <v>0</v>
      </c>
      <c r="Q90" s="347">
        <v>0</v>
      </c>
      <c r="R90" s="103">
        <f t="shared" si="15"/>
        <v>0</v>
      </c>
    </row>
    <row r="91" spans="2:18" ht="15.75" thickBot="1" x14ac:dyDescent="0.3">
      <c r="B91" s="234" t="s">
        <v>108</v>
      </c>
      <c r="C91" s="235"/>
      <c r="D91" s="102">
        <v>0</v>
      </c>
      <c r="E91" s="347">
        <v>0</v>
      </c>
      <c r="F91" s="103">
        <f t="shared" si="12"/>
        <v>0</v>
      </c>
      <c r="G91" s="104"/>
      <c r="H91" s="102">
        <v>0</v>
      </c>
      <c r="I91" s="347">
        <v>0</v>
      </c>
      <c r="J91" s="103">
        <f t="shared" si="13"/>
        <v>0</v>
      </c>
      <c r="K91" s="104"/>
      <c r="L91" s="102">
        <v>0</v>
      </c>
      <c r="M91" s="347">
        <v>0</v>
      </c>
      <c r="N91" s="103">
        <f t="shared" si="14"/>
        <v>0</v>
      </c>
      <c r="O91" s="104"/>
      <c r="P91" s="102">
        <v>0</v>
      </c>
      <c r="Q91" s="347">
        <v>0</v>
      </c>
      <c r="R91" s="103">
        <f t="shared" si="15"/>
        <v>0</v>
      </c>
    </row>
    <row r="92" spans="2:18" ht="15.75" thickBot="1" x14ac:dyDescent="0.3">
      <c r="B92" s="238" t="s">
        <v>87</v>
      </c>
      <c r="C92" s="236"/>
      <c r="D92" s="200">
        <f>SUM(D77:D91)</f>
        <v>0</v>
      </c>
      <c r="E92" s="150"/>
      <c r="F92" s="109">
        <f>ROUND(SUM(F77:F91),0)</f>
        <v>0</v>
      </c>
      <c r="G92" s="110"/>
      <c r="H92" s="200">
        <f>SUM(H77:H91)</f>
        <v>0</v>
      </c>
      <c r="I92" s="150" t="s">
        <v>1</v>
      </c>
      <c r="J92" s="109">
        <f>ROUND(SUM(J77:J91),0)</f>
        <v>0</v>
      </c>
      <c r="K92" s="110"/>
      <c r="L92" s="200">
        <f>SUM(L77:L91)</f>
        <v>0</v>
      </c>
      <c r="M92" s="150"/>
      <c r="N92" s="109">
        <f>ROUND(SUM(N77:N91),0)</f>
        <v>0</v>
      </c>
      <c r="O92" s="110"/>
      <c r="P92" s="200">
        <f>SUM(P77:P91)</f>
        <v>0</v>
      </c>
      <c r="Q92" s="150"/>
      <c r="R92" s="109">
        <f>ROUND(SUM(R77:R91),0)</f>
        <v>0</v>
      </c>
    </row>
    <row r="93" spans="2:18" ht="15.75" thickBot="1" x14ac:dyDescent="0.3"/>
    <row r="94" spans="2:18" ht="16.5" thickBot="1" x14ac:dyDescent="0.3">
      <c r="B94" s="497" t="s">
        <v>315</v>
      </c>
      <c r="C94" s="498"/>
      <c r="D94" s="490" t="s">
        <v>69</v>
      </c>
      <c r="E94" s="491"/>
      <c r="F94" s="492"/>
      <c r="G94" s="96"/>
      <c r="H94" s="490" t="s">
        <v>69</v>
      </c>
      <c r="I94" s="491"/>
      <c r="J94" s="492"/>
      <c r="K94" s="96"/>
      <c r="L94" s="490" t="s">
        <v>69</v>
      </c>
      <c r="M94" s="491"/>
      <c r="N94" s="492"/>
      <c r="O94" s="96"/>
      <c r="P94" s="490" t="s">
        <v>69</v>
      </c>
      <c r="Q94" s="491"/>
      <c r="R94" s="492"/>
    </row>
    <row r="95" spans="2:18" ht="16.5" thickBot="1" x14ac:dyDescent="0.3">
      <c r="B95" s="499"/>
      <c r="C95" s="500"/>
      <c r="D95" s="487" t="str">
        <f>D11</f>
        <v>Basic Period (Year 1)</v>
      </c>
      <c r="E95" s="488"/>
      <c r="F95" s="489"/>
      <c r="G95" s="97"/>
      <c r="H95" s="487" t="str">
        <f>H11</f>
        <v>Basic Period (Year 2)</v>
      </c>
      <c r="I95" s="488"/>
      <c r="J95" s="489"/>
      <c r="K95" s="97"/>
      <c r="L95" s="487" t="str">
        <f>L11</f>
        <v>Basic Period (Year 3)</v>
      </c>
      <c r="M95" s="488"/>
      <c r="N95" s="489"/>
      <c r="O95" s="97"/>
      <c r="P95" s="487" t="str">
        <f>P11</f>
        <v>Basic Period (Year 4)</v>
      </c>
      <c r="Q95" s="488"/>
      <c r="R95" s="489"/>
    </row>
    <row r="96" spans="2:18" ht="16.5" thickBot="1" x14ac:dyDescent="0.3">
      <c r="B96" s="98" t="s">
        <v>46</v>
      </c>
      <c r="C96" s="98" t="s">
        <v>183</v>
      </c>
      <c r="D96" s="98" t="s">
        <v>29</v>
      </c>
      <c r="E96" s="99" t="s">
        <v>68</v>
      </c>
      <c r="F96" s="100" t="s">
        <v>74</v>
      </c>
      <c r="G96" s="101"/>
      <c r="H96" s="98" t="s">
        <v>29</v>
      </c>
      <c r="I96" s="99" t="s">
        <v>68</v>
      </c>
      <c r="J96" s="100" t="s">
        <v>74</v>
      </c>
      <c r="K96" s="101"/>
      <c r="L96" s="98" t="s">
        <v>29</v>
      </c>
      <c r="M96" s="99" t="s">
        <v>68</v>
      </c>
      <c r="N96" s="100" t="s">
        <v>74</v>
      </c>
      <c r="O96" s="101"/>
      <c r="P96" s="98" t="s">
        <v>29</v>
      </c>
      <c r="Q96" s="99" t="s">
        <v>68</v>
      </c>
      <c r="R96" s="100" t="s">
        <v>74</v>
      </c>
    </row>
    <row r="97" spans="2:18" ht="128.25" x14ac:dyDescent="0.25">
      <c r="B97" s="370" t="s">
        <v>434</v>
      </c>
      <c r="C97" s="370" t="s">
        <v>435</v>
      </c>
      <c r="D97" s="370" t="s">
        <v>410</v>
      </c>
      <c r="E97" s="370" t="s">
        <v>436</v>
      </c>
      <c r="F97" s="371"/>
      <c r="G97" s="101"/>
      <c r="H97" s="370" t="s">
        <v>410</v>
      </c>
      <c r="I97" s="370" t="s">
        <v>436</v>
      </c>
      <c r="J97" s="371"/>
      <c r="K97" s="101"/>
      <c r="L97" s="372" t="s">
        <v>410</v>
      </c>
      <c r="M97" s="372" t="s">
        <v>436</v>
      </c>
      <c r="N97" s="373"/>
      <c r="O97" s="101"/>
      <c r="P97" s="372" t="s">
        <v>410</v>
      </c>
      <c r="Q97" s="372" t="s">
        <v>436</v>
      </c>
      <c r="R97" s="373"/>
    </row>
    <row r="98" spans="2:18" x14ac:dyDescent="0.25">
      <c r="B98" s="195" t="s">
        <v>108</v>
      </c>
      <c r="C98" s="225" t="s">
        <v>131</v>
      </c>
      <c r="D98" s="102">
        <v>0</v>
      </c>
      <c r="E98" s="347">
        <v>0</v>
      </c>
      <c r="F98" s="103">
        <f>ROUND(D98*E98,0)</f>
        <v>0</v>
      </c>
      <c r="G98" s="104"/>
      <c r="H98" s="102">
        <v>0</v>
      </c>
      <c r="I98" s="347">
        <v>0</v>
      </c>
      <c r="J98" s="103">
        <f>ROUND(H98*I98,0)</f>
        <v>0</v>
      </c>
      <c r="K98" s="104"/>
      <c r="L98" s="102">
        <v>0</v>
      </c>
      <c r="M98" s="347">
        <v>0</v>
      </c>
      <c r="N98" s="103">
        <f>ROUND(L98*M98,0)</f>
        <v>0</v>
      </c>
      <c r="O98" s="104"/>
      <c r="P98" s="102">
        <v>0</v>
      </c>
      <c r="Q98" s="347">
        <v>0</v>
      </c>
      <c r="R98" s="103">
        <f>ROUND(P98*Q98,0)</f>
        <v>0</v>
      </c>
    </row>
    <row r="99" spans="2:18" x14ac:dyDescent="0.25">
      <c r="B99" s="195" t="s">
        <v>108</v>
      </c>
      <c r="C99" s="216" t="s">
        <v>1</v>
      </c>
      <c r="D99" s="102">
        <v>0</v>
      </c>
      <c r="E99" s="347">
        <v>0</v>
      </c>
      <c r="F99" s="103">
        <f t="shared" ref="F99:F112" si="16">ROUND(D99*E99,0)</f>
        <v>0</v>
      </c>
      <c r="G99" s="104"/>
      <c r="H99" s="102">
        <v>0</v>
      </c>
      <c r="I99" s="347">
        <v>0</v>
      </c>
      <c r="J99" s="103">
        <f t="shared" ref="J99:J112" si="17">ROUND(H99*I99,0)</f>
        <v>0</v>
      </c>
      <c r="K99" s="104"/>
      <c r="L99" s="102">
        <v>0</v>
      </c>
      <c r="M99" s="347">
        <v>0</v>
      </c>
      <c r="N99" s="103">
        <f t="shared" ref="N99:N112" si="18">ROUND(L99*M99,0)</f>
        <v>0</v>
      </c>
      <c r="O99" s="104"/>
      <c r="P99" s="102">
        <v>0</v>
      </c>
      <c r="Q99" s="347">
        <v>0</v>
      </c>
      <c r="R99" s="103">
        <f t="shared" ref="R99:R112" si="19">ROUND(P99*Q99,0)</f>
        <v>0</v>
      </c>
    </row>
    <row r="100" spans="2:18" x14ac:dyDescent="0.25">
      <c r="B100" s="195" t="s">
        <v>108</v>
      </c>
      <c r="C100" s="216"/>
      <c r="D100" s="102">
        <v>0</v>
      </c>
      <c r="E100" s="347">
        <v>0</v>
      </c>
      <c r="F100" s="103">
        <f t="shared" si="16"/>
        <v>0</v>
      </c>
      <c r="G100" s="104"/>
      <c r="H100" s="102">
        <v>0</v>
      </c>
      <c r="I100" s="347">
        <v>0</v>
      </c>
      <c r="J100" s="103">
        <f t="shared" si="17"/>
        <v>0</v>
      </c>
      <c r="K100" s="104"/>
      <c r="L100" s="102">
        <v>0</v>
      </c>
      <c r="M100" s="347">
        <v>0</v>
      </c>
      <c r="N100" s="103">
        <f t="shared" si="18"/>
        <v>0</v>
      </c>
      <c r="O100" s="104"/>
      <c r="P100" s="102">
        <v>0</v>
      </c>
      <c r="Q100" s="347">
        <v>0</v>
      </c>
      <c r="R100" s="103">
        <f t="shared" si="19"/>
        <v>0</v>
      </c>
    </row>
    <row r="101" spans="2:18" x14ac:dyDescent="0.25">
      <c r="B101" s="195" t="s">
        <v>108</v>
      </c>
      <c r="C101" s="216"/>
      <c r="D101" s="102">
        <v>0</v>
      </c>
      <c r="E101" s="347">
        <v>0</v>
      </c>
      <c r="F101" s="103">
        <f t="shared" si="16"/>
        <v>0</v>
      </c>
      <c r="G101" s="104"/>
      <c r="H101" s="102">
        <v>0</v>
      </c>
      <c r="I101" s="347">
        <v>0</v>
      </c>
      <c r="J101" s="103">
        <f t="shared" si="17"/>
        <v>0</v>
      </c>
      <c r="K101" s="104"/>
      <c r="L101" s="102">
        <v>0</v>
      </c>
      <c r="M101" s="347">
        <v>0</v>
      </c>
      <c r="N101" s="103">
        <f t="shared" si="18"/>
        <v>0</v>
      </c>
      <c r="O101" s="104"/>
      <c r="P101" s="102">
        <v>0</v>
      </c>
      <c r="Q101" s="347">
        <v>0</v>
      </c>
      <c r="R101" s="103">
        <f t="shared" si="19"/>
        <v>0</v>
      </c>
    </row>
    <row r="102" spans="2:18" x14ac:dyDescent="0.25">
      <c r="B102" s="195" t="s">
        <v>108</v>
      </c>
      <c r="C102" s="216"/>
      <c r="D102" s="102">
        <v>0</v>
      </c>
      <c r="E102" s="347">
        <v>0</v>
      </c>
      <c r="F102" s="103">
        <f t="shared" si="16"/>
        <v>0</v>
      </c>
      <c r="G102" s="104"/>
      <c r="H102" s="102">
        <v>0</v>
      </c>
      <c r="I102" s="347">
        <v>0</v>
      </c>
      <c r="J102" s="103">
        <f t="shared" si="17"/>
        <v>0</v>
      </c>
      <c r="K102" s="104"/>
      <c r="L102" s="102">
        <v>0</v>
      </c>
      <c r="M102" s="347">
        <v>0</v>
      </c>
      <c r="N102" s="103">
        <f t="shared" si="18"/>
        <v>0</v>
      </c>
      <c r="O102" s="104"/>
      <c r="P102" s="102">
        <v>0</v>
      </c>
      <c r="Q102" s="347">
        <v>0</v>
      </c>
      <c r="R102" s="103">
        <f t="shared" si="19"/>
        <v>0</v>
      </c>
    </row>
    <row r="103" spans="2:18" x14ac:dyDescent="0.25">
      <c r="B103" s="195" t="s">
        <v>108</v>
      </c>
      <c r="C103" s="225" t="s">
        <v>132</v>
      </c>
      <c r="D103" s="102">
        <v>0</v>
      </c>
      <c r="E103" s="347">
        <v>0</v>
      </c>
      <c r="F103" s="103">
        <f t="shared" si="16"/>
        <v>0</v>
      </c>
      <c r="G103" s="104"/>
      <c r="H103" s="102">
        <v>0</v>
      </c>
      <c r="I103" s="347">
        <v>0</v>
      </c>
      <c r="J103" s="103">
        <f t="shared" si="17"/>
        <v>0</v>
      </c>
      <c r="K103" s="104"/>
      <c r="L103" s="102">
        <v>0</v>
      </c>
      <c r="M103" s="347">
        <v>0</v>
      </c>
      <c r="N103" s="103">
        <f t="shared" si="18"/>
        <v>0</v>
      </c>
      <c r="O103" s="104"/>
      <c r="P103" s="102">
        <v>0</v>
      </c>
      <c r="Q103" s="347">
        <v>0</v>
      </c>
      <c r="R103" s="103">
        <f t="shared" si="19"/>
        <v>0</v>
      </c>
    </row>
    <row r="104" spans="2:18" x14ac:dyDescent="0.25">
      <c r="B104" s="195" t="s">
        <v>108</v>
      </c>
      <c r="C104" s="216"/>
      <c r="D104" s="102">
        <v>0</v>
      </c>
      <c r="E104" s="347">
        <v>0</v>
      </c>
      <c r="F104" s="103">
        <f t="shared" si="16"/>
        <v>0</v>
      </c>
      <c r="G104" s="104"/>
      <c r="H104" s="102">
        <v>0</v>
      </c>
      <c r="I104" s="347">
        <v>0</v>
      </c>
      <c r="J104" s="103">
        <f t="shared" si="17"/>
        <v>0</v>
      </c>
      <c r="K104" s="104"/>
      <c r="L104" s="102">
        <v>0</v>
      </c>
      <c r="M104" s="347">
        <v>0</v>
      </c>
      <c r="N104" s="103">
        <f t="shared" si="18"/>
        <v>0</v>
      </c>
      <c r="O104" s="104"/>
      <c r="P104" s="102">
        <v>0</v>
      </c>
      <c r="Q104" s="347">
        <v>0</v>
      </c>
      <c r="R104" s="103">
        <f t="shared" si="19"/>
        <v>0</v>
      </c>
    </row>
    <row r="105" spans="2:18" x14ac:dyDescent="0.25">
      <c r="B105" s="195" t="s">
        <v>108</v>
      </c>
      <c r="C105" s="216"/>
      <c r="D105" s="102">
        <v>0</v>
      </c>
      <c r="E105" s="347">
        <v>0</v>
      </c>
      <c r="F105" s="103">
        <f t="shared" si="16"/>
        <v>0</v>
      </c>
      <c r="G105" s="104"/>
      <c r="H105" s="102">
        <v>0</v>
      </c>
      <c r="I105" s="347">
        <v>0</v>
      </c>
      <c r="J105" s="103">
        <f t="shared" si="17"/>
        <v>0</v>
      </c>
      <c r="K105" s="104"/>
      <c r="L105" s="102">
        <v>0</v>
      </c>
      <c r="M105" s="347">
        <v>0</v>
      </c>
      <c r="N105" s="103">
        <f t="shared" si="18"/>
        <v>0</v>
      </c>
      <c r="O105" s="104"/>
      <c r="P105" s="102">
        <v>0</v>
      </c>
      <c r="Q105" s="347">
        <v>0</v>
      </c>
      <c r="R105" s="103">
        <f t="shared" si="19"/>
        <v>0</v>
      </c>
    </row>
    <row r="106" spans="2:18" x14ac:dyDescent="0.25">
      <c r="B106" s="195" t="s">
        <v>108</v>
      </c>
      <c r="C106" s="216"/>
      <c r="D106" s="102">
        <v>0</v>
      </c>
      <c r="E106" s="347">
        <v>0</v>
      </c>
      <c r="F106" s="103">
        <f t="shared" si="16"/>
        <v>0</v>
      </c>
      <c r="G106" s="104"/>
      <c r="H106" s="102">
        <v>0</v>
      </c>
      <c r="I106" s="347">
        <v>0</v>
      </c>
      <c r="J106" s="103">
        <f t="shared" si="17"/>
        <v>0</v>
      </c>
      <c r="K106" s="104"/>
      <c r="L106" s="102">
        <v>0</v>
      </c>
      <c r="M106" s="347">
        <v>0</v>
      </c>
      <c r="N106" s="103">
        <f t="shared" si="18"/>
        <v>0</v>
      </c>
      <c r="O106" s="104"/>
      <c r="P106" s="102">
        <v>0</v>
      </c>
      <c r="Q106" s="347">
        <v>0</v>
      </c>
      <c r="R106" s="103">
        <f t="shared" si="19"/>
        <v>0</v>
      </c>
    </row>
    <row r="107" spans="2:18" x14ac:dyDescent="0.25">
      <c r="B107" s="195" t="s">
        <v>108</v>
      </c>
      <c r="C107" s="216"/>
      <c r="D107" s="102">
        <v>0</v>
      </c>
      <c r="E107" s="347">
        <v>0</v>
      </c>
      <c r="F107" s="103">
        <f t="shared" si="16"/>
        <v>0</v>
      </c>
      <c r="G107" s="104"/>
      <c r="H107" s="102">
        <v>0</v>
      </c>
      <c r="I107" s="347">
        <v>0</v>
      </c>
      <c r="J107" s="103">
        <f t="shared" si="17"/>
        <v>0</v>
      </c>
      <c r="K107" s="104"/>
      <c r="L107" s="102">
        <v>0</v>
      </c>
      <c r="M107" s="347">
        <v>0</v>
      </c>
      <c r="N107" s="103">
        <f t="shared" si="18"/>
        <v>0</v>
      </c>
      <c r="O107" s="104"/>
      <c r="P107" s="102">
        <v>0</v>
      </c>
      <c r="Q107" s="347">
        <v>0</v>
      </c>
      <c r="R107" s="103">
        <f t="shared" si="19"/>
        <v>0</v>
      </c>
    </row>
    <row r="108" spans="2:18" x14ac:dyDescent="0.25">
      <c r="B108" s="195" t="s">
        <v>108</v>
      </c>
      <c r="C108" s="225" t="s">
        <v>133</v>
      </c>
      <c r="D108" s="102">
        <v>0</v>
      </c>
      <c r="E108" s="347">
        <v>0</v>
      </c>
      <c r="F108" s="103">
        <f t="shared" si="16"/>
        <v>0</v>
      </c>
      <c r="G108" s="104"/>
      <c r="H108" s="102">
        <v>0</v>
      </c>
      <c r="I108" s="347">
        <v>0</v>
      </c>
      <c r="J108" s="103">
        <f t="shared" si="17"/>
        <v>0</v>
      </c>
      <c r="K108" s="104"/>
      <c r="L108" s="102">
        <v>0</v>
      </c>
      <c r="M108" s="347">
        <v>0</v>
      </c>
      <c r="N108" s="103">
        <f t="shared" si="18"/>
        <v>0</v>
      </c>
      <c r="O108" s="104"/>
      <c r="P108" s="102">
        <v>0</v>
      </c>
      <c r="Q108" s="347">
        <v>0</v>
      </c>
      <c r="R108" s="103">
        <f t="shared" si="19"/>
        <v>0</v>
      </c>
    </row>
    <row r="109" spans="2:18" x14ac:dyDescent="0.25">
      <c r="B109" s="195" t="s">
        <v>108</v>
      </c>
      <c r="C109" s="216"/>
      <c r="D109" s="102">
        <v>0</v>
      </c>
      <c r="E109" s="347">
        <v>0</v>
      </c>
      <c r="F109" s="103">
        <f t="shared" si="16"/>
        <v>0</v>
      </c>
      <c r="G109" s="104"/>
      <c r="H109" s="102">
        <v>0</v>
      </c>
      <c r="I109" s="347">
        <v>0</v>
      </c>
      <c r="J109" s="103">
        <f t="shared" si="17"/>
        <v>0</v>
      </c>
      <c r="K109" s="104"/>
      <c r="L109" s="102">
        <v>0</v>
      </c>
      <c r="M109" s="347">
        <v>0</v>
      </c>
      <c r="N109" s="103">
        <f t="shared" si="18"/>
        <v>0</v>
      </c>
      <c r="O109" s="104"/>
      <c r="P109" s="102">
        <v>0</v>
      </c>
      <c r="Q109" s="347">
        <v>0</v>
      </c>
      <c r="R109" s="103">
        <f t="shared" si="19"/>
        <v>0</v>
      </c>
    </row>
    <row r="110" spans="2:18" x14ac:dyDescent="0.25">
      <c r="B110" s="195" t="s">
        <v>108</v>
      </c>
      <c r="C110" s="216"/>
      <c r="D110" s="102">
        <v>0</v>
      </c>
      <c r="E110" s="347">
        <v>0</v>
      </c>
      <c r="F110" s="103">
        <f t="shared" si="16"/>
        <v>0</v>
      </c>
      <c r="G110" s="104"/>
      <c r="H110" s="102">
        <v>0</v>
      </c>
      <c r="I110" s="347">
        <v>0</v>
      </c>
      <c r="J110" s="103">
        <f t="shared" si="17"/>
        <v>0</v>
      </c>
      <c r="K110" s="104"/>
      <c r="L110" s="102">
        <v>0</v>
      </c>
      <c r="M110" s="347">
        <v>0</v>
      </c>
      <c r="N110" s="103">
        <f t="shared" si="18"/>
        <v>0</v>
      </c>
      <c r="O110" s="104"/>
      <c r="P110" s="102">
        <v>0</v>
      </c>
      <c r="Q110" s="347">
        <v>0</v>
      </c>
      <c r="R110" s="103">
        <f t="shared" si="19"/>
        <v>0</v>
      </c>
    </row>
    <row r="111" spans="2:18" x14ac:dyDescent="0.25">
      <c r="B111" s="195" t="s">
        <v>108</v>
      </c>
      <c r="C111" s="216"/>
      <c r="D111" s="102">
        <v>0</v>
      </c>
      <c r="E111" s="347">
        <v>0</v>
      </c>
      <c r="F111" s="103">
        <f t="shared" si="16"/>
        <v>0</v>
      </c>
      <c r="G111" s="104"/>
      <c r="H111" s="102">
        <v>0</v>
      </c>
      <c r="I111" s="347">
        <v>0</v>
      </c>
      <c r="J111" s="103">
        <f t="shared" si="17"/>
        <v>0</v>
      </c>
      <c r="K111" s="104"/>
      <c r="L111" s="102">
        <v>0</v>
      </c>
      <c r="M111" s="347">
        <v>0</v>
      </c>
      <c r="N111" s="103">
        <f t="shared" si="18"/>
        <v>0</v>
      </c>
      <c r="O111" s="104"/>
      <c r="P111" s="102">
        <v>0</v>
      </c>
      <c r="Q111" s="347">
        <v>0</v>
      </c>
      <c r="R111" s="103">
        <f t="shared" si="19"/>
        <v>0</v>
      </c>
    </row>
    <row r="112" spans="2:18" ht="15.75" thickBot="1" x14ac:dyDescent="0.3">
      <c r="B112" s="234" t="s">
        <v>108</v>
      </c>
      <c r="C112" s="235"/>
      <c r="D112" s="102">
        <v>0</v>
      </c>
      <c r="E112" s="347">
        <v>0</v>
      </c>
      <c r="F112" s="103">
        <f t="shared" si="16"/>
        <v>0</v>
      </c>
      <c r="G112" s="104"/>
      <c r="H112" s="102">
        <v>0</v>
      </c>
      <c r="I112" s="347">
        <v>0</v>
      </c>
      <c r="J112" s="103">
        <f t="shared" si="17"/>
        <v>0</v>
      </c>
      <c r="K112" s="104"/>
      <c r="L112" s="102">
        <v>0</v>
      </c>
      <c r="M112" s="347">
        <v>0</v>
      </c>
      <c r="N112" s="103">
        <f t="shared" si="18"/>
        <v>0</v>
      </c>
      <c r="O112" s="104"/>
      <c r="P112" s="102">
        <v>0</v>
      </c>
      <c r="Q112" s="347">
        <v>0</v>
      </c>
      <c r="R112" s="103">
        <f t="shared" si="19"/>
        <v>0</v>
      </c>
    </row>
    <row r="113" spans="2:18" ht="15.75" thickBot="1" x14ac:dyDescent="0.3">
      <c r="B113" s="238" t="s">
        <v>87</v>
      </c>
      <c r="C113" s="236"/>
      <c r="D113" s="200">
        <f>SUM(D98:D112)</f>
        <v>0</v>
      </c>
      <c r="E113" s="150"/>
      <c r="F113" s="109">
        <f>ROUND(SUM(F98:F112),0)</f>
        <v>0</v>
      </c>
      <c r="G113" s="110"/>
      <c r="H113" s="200">
        <f>SUM(H98:H112)</f>
        <v>0</v>
      </c>
      <c r="I113" s="150" t="s">
        <v>1</v>
      </c>
      <c r="J113" s="109">
        <f>ROUND(SUM(J98:J112),0)</f>
        <v>0</v>
      </c>
      <c r="K113" s="110"/>
      <c r="L113" s="200">
        <f>SUM(L98:L112)</f>
        <v>0</v>
      </c>
      <c r="M113" s="150"/>
      <c r="N113" s="109">
        <f>ROUND(SUM(N98:N112),0)</f>
        <v>0</v>
      </c>
      <c r="O113" s="110"/>
      <c r="P113" s="200">
        <f>SUM(P98:P112)</f>
        <v>0</v>
      </c>
      <c r="Q113" s="150"/>
      <c r="R113" s="109">
        <f>ROUND(SUM(R98:R112),0)</f>
        <v>0</v>
      </c>
    </row>
    <row r="114" spans="2:18" ht="15.75" thickBot="1" x14ac:dyDescent="0.3"/>
    <row r="115" spans="2:18" ht="16.5" thickBot="1" x14ac:dyDescent="0.3">
      <c r="B115" s="497" t="s">
        <v>316</v>
      </c>
      <c r="C115" s="498"/>
      <c r="D115" s="490" t="s">
        <v>69</v>
      </c>
      <c r="E115" s="491"/>
      <c r="F115" s="492"/>
      <c r="G115" s="96"/>
      <c r="H115" s="490" t="s">
        <v>69</v>
      </c>
      <c r="I115" s="491"/>
      <c r="J115" s="492"/>
      <c r="K115" s="96"/>
      <c r="L115" s="490" t="s">
        <v>69</v>
      </c>
      <c r="M115" s="491"/>
      <c r="N115" s="492"/>
      <c r="O115" s="96"/>
      <c r="P115" s="490" t="s">
        <v>69</v>
      </c>
      <c r="Q115" s="491"/>
      <c r="R115" s="492"/>
    </row>
    <row r="116" spans="2:18" ht="16.5" thickBot="1" x14ac:dyDescent="0.3">
      <c r="B116" s="499"/>
      <c r="C116" s="500"/>
      <c r="D116" s="487" t="str">
        <f>D11</f>
        <v>Basic Period (Year 1)</v>
      </c>
      <c r="E116" s="488"/>
      <c r="F116" s="489"/>
      <c r="G116" s="97"/>
      <c r="H116" s="487" t="str">
        <f>H11</f>
        <v>Basic Period (Year 2)</v>
      </c>
      <c r="I116" s="488"/>
      <c r="J116" s="489"/>
      <c r="K116" s="97"/>
      <c r="L116" s="487" t="str">
        <f>L11</f>
        <v>Basic Period (Year 3)</v>
      </c>
      <c r="M116" s="488"/>
      <c r="N116" s="489"/>
      <c r="O116" s="97"/>
      <c r="P116" s="487" t="str">
        <f>P11</f>
        <v>Basic Period (Year 4)</v>
      </c>
      <c r="Q116" s="488"/>
      <c r="R116" s="489"/>
    </row>
    <row r="117" spans="2:18" ht="16.5" thickBot="1" x14ac:dyDescent="0.3">
      <c r="B117" s="98" t="s">
        <v>46</v>
      </c>
      <c r="C117" s="98" t="s">
        <v>183</v>
      </c>
      <c r="D117" s="98" t="s">
        <v>29</v>
      </c>
      <c r="E117" s="99" t="s">
        <v>68</v>
      </c>
      <c r="F117" s="100" t="s">
        <v>74</v>
      </c>
      <c r="G117" s="101"/>
      <c r="H117" s="98" t="s">
        <v>29</v>
      </c>
      <c r="I117" s="99" t="s">
        <v>68</v>
      </c>
      <c r="J117" s="100" t="s">
        <v>74</v>
      </c>
      <c r="K117" s="101"/>
      <c r="L117" s="98" t="s">
        <v>29</v>
      </c>
      <c r="M117" s="99" t="s">
        <v>68</v>
      </c>
      <c r="N117" s="100" t="s">
        <v>74</v>
      </c>
      <c r="O117" s="101"/>
      <c r="P117" s="98" t="s">
        <v>29</v>
      </c>
      <c r="Q117" s="99" t="s">
        <v>68</v>
      </c>
      <c r="R117" s="100" t="s">
        <v>74</v>
      </c>
    </row>
    <row r="118" spans="2:18" ht="128.25" x14ac:dyDescent="0.25">
      <c r="B118" s="370" t="s">
        <v>434</v>
      </c>
      <c r="C118" s="370" t="s">
        <v>435</v>
      </c>
      <c r="D118" s="370" t="s">
        <v>410</v>
      </c>
      <c r="E118" s="370" t="s">
        <v>436</v>
      </c>
      <c r="F118" s="371"/>
      <c r="G118" s="101"/>
      <c r="H118" s="370" t="s">
        <v>410</v>
      </c>
      <c r="I118" s="370" t="s">
        <v>436</v>
      </c>
      <c r="J118" s="371"/>
      <c r="K118" s="101"/>
      <c r="L118" s="372" t="s">
        <v>410</v>
      </c>
      <c r="M118" s="372" t="s">
        <v>436</v>
      </c>
      <c r="N118" s="373"/>
      <c r="O118" s="101"/>
      <c r="P118" s="372" t="s">
        <v>410</v>
      </c>
      <c r="Q118" s="372" t="s">
        <v>436</v>
      </c>
      <c r="R118" s="373"/>
    </row>
    <row r="119" spans="2:18" x14ac:dyDescent="0.25">
      <c r="B119" s="195" t="s">
        <v>108</v>
      </c>
      <c r="C119" s="225" t="s">
        <v>134</v>
      </c>
      <c r="D119" s="102">
        <v>0</v>
      </c>
      <c r="E119" s="347">
        <v>0</v>
      </c>
      <c r="F119" s="103">
        <f>ROUND(D119*E119,0)</f>
        <v>0</v>
      </c>
      <c r="G119" s="104"/>
      <c r="H119" s="102">
        <v>0</v>
      </c>
      <c r="I119" s="347">
        <v>0</v>
      </c>
      <c r="J119" s="103">
        <f>ROUND(H119*I119,0)</f>
        <v>0</v>
      </c>
      <c r="K119" s="104"/>
      <c r="L119" s="102">
        <v>0</v>
      </c>
      <c r="M119" s="347">
        <v>0</v>
      </c>
      <c r="N119" s="103">
        <f>ROUND(L119*M119,0)</f>
        <v>0</v>
      </c>
      <c r="O119" s="104"/>
      <c r="P119" s="102">
        <v>0</v>
      </c>
      <c r="Q119" s="347">
        <v>0</v>
      </c>
      <c r="R119" s="103">
        <f>ROUND(P119*Q119,0)</f>
        <v>0</v>
      </c>
    </row>
    <row r="120" spans="2:18" x14ac:dyDescent="0.25">
      <c r="B120" s="195" t="s">
        <v>108</v>
      </c>
      <c r="C120" s="216" t="s">
        <v>1</v>
      </c>
      <c r="D120" s="102">
        <v>0</v>
      </c>
      <c r="E120" s="347">
        <v>0</v>
      </c>
      <c r="F120" s="103">
        <f t="shared" ref="F120:F133" si="20">ROUND(D120*E120,0)</f>
        <v>0</v>
      </c>
      <c r="G120" s="104"/>
      <c r="H120" s="102">
        <v>0</v>
      </c>
      <c r="I120" s="347">
        <v>0</v>
      </c>
      <c r="J120" s="103">
        <f t="shared" ref="J120:J133" si="21">ROUND(H120*I120,0)</f>
        <v>0</v>
      </c>
      <c r="K120" s="104"/>
      <c r="L120" s="102">
        <v>0</v>
      </c>
      <c r="M120" s="347">
        <v>0</v>
      </c>
      <c r="N120" s="103">
        <f t="shared" ref="N120:N133" si="22">ROUND(L120*M120,0)</f>
        <v>0</v>
      </c>
      <c r="O120" s="104"/>
      <c r="P120" s="102">
        <v>0</v>
      </c>
      <c r="Q120" s="347">
        <v>0</v>
      </c>
      <c r="R120" s="103">
        <f t="shared" ref="R120:R133" si="23">ROUND(P120*Q120,0)</f>
        <v>0</v>
      </c>
    </row>
    <row r="121" spans="2:18" x14ac:dyDescent="0.25">
      <c r="B121" s="195" t="s">
        <v>108</v>
      </c>
      <c r="C121" s="216"/>
      <c r="D121" s="102">
        <v>0</v>
      </c>
      <c r="E121" s="347">
        <v>0</v>
      </c>
      <c r="F121" s="103">
        <f t="shared" si="20"/>
        <v>0</v>
      </c>
      <c r="G121" s="104"/>
      <c r="H121" s="102">
        <v>0</v>
      </c>
      <c r="I121" s="347">
        <v>0</v>
      </c>
      <c r="J121" s="103">
        <f t="shared" si="21"/>
        <v>0</v>
      </c>
      <c r="K121" s="104"/>
      <c r="L121" s="102">
        <v>0</v>
      </c>
      <c r="M121" s="347">
        <v>0</v>
      </c>
      <c r="N121" s="103">
        <f t="shared" si="22"/>
        <v>0</v>
      </c>
      <c r="O121" s="104"/>
      <c r="P121" s="102">
        <v>0</v>
      </c>
      <c r="Q121" s="347">
        <v>0</v>
      </c>
      <c r="R121" s="103">
        <f t="shared" si="23"/>
        <v>0</v>
      </c>
    </row>
    <row r="122" spans="2:18" x14ac:dyDescent="0.25">
      <c r="B122" s="195" t="s">
        <v>108</v>
      </c>
      <c r="C122" s="216"/>
      <c r="D122" s="102">
        <v>0</v>
      </c>
      <c r="E122" s="347">
        <v>0</v>
      </c>
      <c r="F122" s="103">
        <f t="shared" si="20"/>
        <v>0</v>
      </c>
      <c r="G122" s="104"/>
      <c r="H122" s="102">
        <v>0</v>
      </c>
      <c r="I122" s="347">
        <v>0</v>
      </c>
      <c r="J122" s="103">
        <f t="shared" si="21"/>
        <v>0</v>
      </c>
      <c r="K122" s="104"/>
      <c r="L122" s="102">
        <v>0</v>
      </c>
      <c r="M122" s="347">
        <v>0</v>
      </c>
      <c r="N122" s="103">
        <f t="shared" si="22"/>
        <v>0</v>
      </c>
      <c r="O122" s="104"/>
      <c r="P122" s="102">
        <v>0</v>
      </c>
      <c r="Q122" s="347">
        <v>0</v>
      </c>
      <c r="R122" s="103">
        <f t="shared" si="23"/>
        <v>0</v>
      </c>
    </row>
    <row r="123" spans="2:18" x14ac:dyDescent="0.25">
      <c r="B123" s="195" t="s">
        <v>108</v>
      </c>
      <c r="C123" s="216"/>
      <c r="D123" s="102">
        <v>0</v>
      </c>
      <c r="E123" s="347">
        <v>0</v>
      </c>
      <c r="F123" s="103">
        <f t="shared" si="20"/>
        <v>0</v>
      </c>
      <c r="G123" s="104"/>
      <c r="H123" s="102">
        <v>0</v>
      </c>
      <c r="I123" s="347">
        <v>0</v>
      </c>
      <c r="J123" s="103">
        <f t="shared" si="21"/>
        <v>0</v>
      </c>
      <c r="K123" s="104"/>
      <c r="L123" s="102">
        <v>0</v>
      </c>
      <c r="M123" s="347">
        <v>0</v>
      </c>
      <c r="N123" s="103">
        <f t="shared" si="22"/>
        <v>0</v>
      </c>
      <c r="O123" s="104"/>
      <c r="P123" s="102">
        <v>0</v>
      </c>
      <c r="Q123" s="347">
        <v>0</v>
      </c>
      <c r="R123" s="103">
        <f t="shared" si="23"/>
        <v>0</v>
      </c>
    </row>
    <row r="124" spans="2:18" x14ac:dyDescent="0.25">
      <c r="B124" s="195" t="s">
        <v>108</v>
      </c>
      <c r="C124" s="225" t="s">
        <v>135</v>
      </c>
      <c r="D124" s="102">
        <v>0</v>
      </c>
      <c r="E124" s="347">
        <v>0</v>
      </c>
      <c r="F124" s="103">
        <f t="shared" si="20"/>
        <v>0</v>
      </c>
      <c r="G124" s="104"/>
      <c r="H124" s="102">
        <v>0</v>
      </c>
      <c r="I124" s="347">
        <v>0</v>
      </c>
      <c r="J124" s="103">
        <f t="shared" si="21"/>
        <v>0</v>
      </c>
      <c r="K124" s="104"/>
      <c r="L124" s="102">
        <v>0</v>
      </c>
      <c r="M124" s="347">
        <v>0</v>
      </c>
      <c r="N124" s="103">
        <f t="shared" si="22"/>
        <v>0</v>
      </c>
      <c r="O124" s="104"/>
      <c r="P124" s="102">
        <v>0</v>
      </c>
      <c r="Q124" s="347">
        <v>0</v>
      </c>
      <c r="R124" s="103">
        <f t="shared" si="23"/>
        <v>0</v>
      </c>
    </row>
    <row r="125" spans="2:18" x14ac:dyDescent="0.25">
      <c r="B125" s="195" t="s">
        <v>108</v>
      </c>
      <c r="C125" s="216"/>
      <c r="D125" s="102">
        <v>0</v>
      </c>
      <c r="E125" s="347">
        <v>0</v>
      </c>
      <c r="F125" s="103">
        <f t="shared" si="20"/>
        <v>0</v>
      </c>
      <c r="G125" s="104"/>
      <c r="H125" s="102">
        <v>0</v>
      </c>
      <c r="I125" s="347">
        <v>0</v>
      </c>
      <c r="J125" s="103">
        <f t="shared" si="21"/>
        <v>0</v>
      </c>
      <c r="K125" s="104"/>
      <c r="L125" s="102">
        <v>0</v>
      </c>
      <c r="M125" s="347">
        <v>0</v>
      </c>
      <c r="N125" s="103">
        <f t="shared" si="22"/>
        <v>0</v>
      </c>
      <c r="O125" s="104"/>
      <c r="P125" s="102">
        <v>0</v>
      </c>
      <c r="Q125" s="347">
        <v>0</v>
      </c>
      <c r="R125" s="103">
        <f t="shared" si="23"/>
        <v>0</v>
      </c>
    </row>
    <row r="126" spans="2:18" x14ac:dyDescent="0.25">
      <c r="B126" s="195" t="s">
        <v>108</v>
      </c>
      <c r="C126" s="216"/>
      <c r="D126" s="102">
        <v>0</v>
      </c>
      <c r="E126" s="347">
        <v>0</v>
      </c>
      <c r="F126" s="103">
        <f t="shared" si="20"/>
        <v>0</v>
      </c>
      <c r="G126" s="104"/>
      <c r="H126" s="102">
        <v>0</v>
      </c>
      <c r="I126" s="347">
        <v>0</v>
      </c>
      <c r="J126" s="103">
        <f t="shared" si="21"/>
        <v>0</v>
      </c>
      <c r="K126" s="104"/>
      <c r="L126" s="102">
        <v>0</v>
      </c>
      <c r="M126" s="347">
        <v>0</v>
      </c>
      <c r="N126" s="103">
        <f t="shared" si="22"/>
        <v>0</v>
      </c>
      <c r="O126" s="104"/>
      <c r="P126" s="102">
        <v>0</v>
      </c>
      <c r="Q126" s="347">
        <v>0</v>
      </c>
      <c r="R126" s="103">
        <f t="shared" si="23"/>
        <v>0</v>
      </c>
    </row>
    <row r="127" spans="2:18" x14ac:dyDescent="0.25">
      <c r="B127" s="195" t="s">
        <v>108</v>
      </c>
      <c r="C127" s="216"/>
      <c r="D127" s="102">
        <v>0</v>
      </c>
      <c r="E127" s="347">
        <v>0</v>
      </c>
      <c r="F127" s="103">
        <f t="shared" si="20"/>
        <v>0</v>
      </c>
      <c r="G127" s="104"/>
      <c r="H127" s="102">
        <v>0</v>
      </c>
      <c r="I127" s="347">
        <v>0</v>
      </c>
      <c r="J127" s="103">
        <f t="shared" si="21"/>
        <v>0</v>
      </c>
      <c r="K127" s="104"/>
      <c r="L127" s="102">
        <v>0</v>
      </c>
      <c r="M127" s="347">
        <v>0</v>
      </c>
      <c r="N127" s="103">
        <f t="shared" si="22"/>
        <v>0</v>
      </c>
      <c r="O127" s="104"/>
      <c r="P127" s="102">
        <v>0</v>
      </c>
      <c r="Q127" s="347">
        <v>0</v>
      </c>
      <c r="R127" s="103">
        <f t="shared" si="23"/>
        <v>0</v>
      </c>
    </row>
    <row r="128" spans="2:18" x14ac:dyDescent="0.25">
      <c r="B128" s="195" t="s">
        <v>108</v>
      </c>
      <c r="C128" s="216"/>
      <c r="D128" s="102">
        <v>0</v>
      </c>
      <c r="E128" s="347">
        <v>0</v>
      </c>
      <c r="F128" s="103">
        <f t="shared" si="20"/>
        <v>0</v>
      </c>
      <c r="G128" s="104"/>
      <c r="H128" s="102">
        <v>0</v>
      </c>
      <c r="I128" s="347">
        <v>0</v>
      </c>
      <c r="J128" s="103">
        <f t="shared" si="21"/>
        <v>0</v>
      </c>
      <c r="K128" s="104"/>
      <c r="L128" s="102">
        <v>0</v>
      </c>
      <c r="M128" s="347">
        <v>0</v>
      </c>
      <c r="N128" s="103">
        <f t="shared" si="22"/>
        <v>0</v>
      </c>
      <c r="O128" s="104"/>
      <c r="P128" s="102">
        <v>0</v>
      </c>
      <c r="Q128" s="347">
        <v>0</v>
      </c>
      <c r="R128" s="103">
        <f t="shared" si="23"/>
        <v>0</v>
      </c>
    </row>
    <row r="129" spans="2:18" x14ac:dyDescent="0.25">
      <c r="B129" s="195" t="s">
        <v>108</v>
      </c>
      <c r="C129" s="225" t="s">
        <v>136</v>
      </c>
      <c r="D129" s="102">
        <v>0</v>
      </c>
      <c r="E129" s="347">
        <v>0</v>
      </c>
      <c r="F129" s="103">
        <f t="shared" si="20"/>
        <v>0</v>
      </c>
      <c r="G129" s="104"/>
      <c r="H129" s="102">
        <v>0</v>
      </c>
      <c r="I129" s="347">
        <v>0</v>
      </c>
      <c r="J129" s="103">
        <f t="shared" si="21"/>
        <v>0</v>
      </c>
      <c r="K129" s="104"/>
      <c r="L129" s="102">
        <v>0</v>
      </c>
      <c r="M129" s="347">
        <v>0</v>
      </c>
      <c r="N129" s="103">
        <f t="shared" si="22"/>
        <v>0</v>
      </c>
      <c r="O129" s="104"/>
      <c r="P129" s="102">
        <v>0</v>
      </c>
      <c r="Q129" s="347">
        <v>0</v>
      </c>
      <c r="R129" s="103">
        <f t="shared" si="23"/>
        <v>0</v>
      </c>
    </row>
    <row r="130" spans="2:18" x14ac:dyDescent="0.25">
      <c r="B130" s="195" t="s">
        <v>108</v>
      </c>
      <c r="C130" s="216"/>
      <c r="D130" s="102">
        <v>0</v>
      </c>
      <c r="E130" s="347">
        <v>0</v>
      </c>
      <c r="F130" s="103">
        <f t="shared" si="20"/>
        <v>0</v>
      </c>
      <c r="G130" s="104"/>
      <c r="H130" s="102">
        <v>0</v>
      </c>
      <c r="I130" s="347">
        <v>0</v>
      </c>
      <c r="J130" s="103">
        <f t="shared" si="21"/>
        <v>0</v>
      </c>
      <c r="K130" s="104"/>
      <c r="L130" s="102">
        <v>0</v>
      </c>
      <c r="M130" s="347">
        <v>0</v>
      </c>
      <c r="N130" s="103">
        <f t="shared" si="22"/>
        <v>0</v>
      </c>
      <c r="O130" s="104"/>
      <c r="P130" s="102">
        <v>0</v>
      </c>
      <c r="Q130" s="347">
        <v>0</v>
      </c>
      <c r="R130" s="103">
        <f t="shared" si="23"/>
        <v>0</v>
      </c>
    </row>
    <row r="131" spans="2:18" x14ac:dyDescent="0.25">
      <c r="B131" s="195" t="s">
        <v>108</v>
      </c>
      <c r="C131" s="216"/>
      <c r="D131" s="102">
        <v>0</v>
      </c>
      <c r="E131" s="347">
        <v>0</v>
      </c>
      <c r="F131" s="103">
        <f t="shared" si="20"/>
        <v>0</v>
      </c>
      <c r="G131" s="104"/>
      <c r="H131" s="102">
        <v>0</v>
      </c>
      <c r="I131" s="347">
        <v>0</v>
      </c>
      <c r="J131" s="103">
        <f t="shared" si="21"/>
        <v>0</v>
      </c>
      <c r="K131" s="104"/>
      <c r="L131" s="102">
        <v>0</v>
      </c>
      <c r="M131" s="347">
        <v>0</v>
      </c>
      <c r="N131" s="103">
        <f t="shared" si="22"/>
        <v>0</v>
      </c>
      <c r="O131" s="104"/>
      <c r="P131" s="102">
        <v>0</v>
      </c>
      <c r="Q131" s="347">
        <v>0</v>
      </c>
      <c r="R131" s="103">
        <f t="shared" si="23"/>
        <v>0</v>
      </c>
    </row>
    <row r="132" spans="2:18" x14ac:dyDescent="0.25">
      <c r="B132" s="195" t="s">
        <v>108</v>
      </c>
      <c r="C132" s="216"/>
      <c r="D132" s="102">
        <v>0</v>
      </c>
      <c r="E132" s="347">
        <v>0</v>
      </c>
      <c r="F132" s="103">
        <f t="shared" si="20"/>
        <v>0</v>
      </c>
      <c r="G132" s="104"/>
      <c r="H132" s="102">
        <v>0</v>
      </c>
      <c r="I132" s="347">
        <v>0</v>
      </c>
      <c r="J132" s="103">
        <f t="shared" si="21"/>
        <v>0</v>
      </c>
      <c r="K132" s="104"/>
      <c r="L132" s="102">
        <v>0</v>
      </c>
      <c r="M132" s="347">
        <v>0</v>
      </c>
      <c r="N132" s="103">
        <f t="shared" si="22"/>
        <v>0</v>
      </c>
      <c r="O132" s="104"/>
      <c r="P132" s="102">
        <v>0</v>
      </c>
      <c r="Q132" s="347">
        <v>0</v>
      </c>
      <c r="R132" s="103">
        <f t="shared" si="23"/>
        <v>0</v>
      </c>
    </row>
    <row r="133" spans="2:18" ht="15.75" thickBot="1" x14ac:dyDescent="0.3">
      <c r="B133" s="234" t="s">
        <v>108</v>
      </c>
      <c r="C133" s="235"/>
      <c r="D133" s="102">
        <v>0</v>
      </c>
      <c r="E133" s="347">
        <v>0</v>
      </c>
      <c r="F133" s="103">
        <f t="shared" si="20"/>
        <v>0</v>
      </c>
      <c r="G133" s="104"/>
      <c r="H133" s="102">
        <v>0</v>
      </c>
      <c r="I133" s="347">
        <v>0</v>
      </c>
      <c r="J133" s="103">
        <f t="shared" si="21"/>
        <v>0</v>
      </c>
      <c r="K133" s="104"/>
      <c r="L133" s="102">
        <v>0</v>
      </c>
      <c r="M133" s="347">
        <v>0</v>
      </c>
      <c r="N133" s="103">
        <f t="shared" si="22"/>
        <v>0</v>
      </c>
      <c r="O133" s="104"/>
      <c r="P133" s="102">
        <v>0</v>
      </c>
      <c r="Q133" s="347">
        <v>0</v>
      </c>
      <c r="R133" s="103">
        <f t="shared" si="23"/>
        <v>0</v>
      </c>
    </row>
    <row r="134" spans="2:18" ht="15.75" thickBot="1" x14ac:dyDescent="0.3">
      <c r="B134" s="238" t="s">
        <v>87</v>
      </c>
      <c r="C134" s="236"/>
      <c r="D134" s="200">
        <f>SUM(D119:D133)</f>
        <v>0</v>
      </c>
      <c r="E134" s="150"/>
      <c r="F134" s="109">
        <f>ROUND(SUM(F119:F133),0)</f>
        <v>0</v>
      </c>
      <c r="G134" s="110"/>
      <c r="H134" s="200">
        <f>SUM(H119:H133)</f>
        <v>0</v>
      </c>
      <c r="I134" s="150" t="s">
        <v>1</v>
      </c>
      <c r="J134" s="109">
        <f>ROUND(SUM(J119:J133),0)</f>
        <v>0</v>
      </c>
      <c r="K134" s="110"/>
      <c r="L134" s="200">
        <f>SUM(L119:L133)</f>
        <v>0</v>
      </c>
      <c r="M134" s="150"/>
      <c r="N134" s="109">
        <f>ROUND(SUM(N119:N133),0)</f>
        <v>0</v>
      </c>
      <c r="O134" s="110"/>
      <c r="P134" s="200">
        <f>SUM(P119:P133)</f>
        <v>0</v>
      </c>
      <c r="Q134" s="150"/>
      <c r="R134" s="109">
        <f>ROUND(SUM(R119:R133),0)</f>
        <v>0</v>
      </c>
    </row>
    <row r="135" spans="2:18" ht="15.75" thickBot="1" x14ac:dyDescent="0.3">
      <c r="B135" s="37"/>
      <c r="C135" s="37"/>
      <c r="D135" s="37"/>
      <c r="E135" s="37"/>
      <c r="F135" s="37"/>
      <c r="G135" s="37"/>
      <c r="H135" s="37"/>
      <c r="I135" s="37"/>
      <c r="J135" s="37"/>
      <c r="K135" s="37"/>
      <c r="L135" s="37"/>
      <c r="M135" s="37"/>
      <c r="N135" s="37"/>
    </row>
    <row r="136" spans="2:18" ht="16.5" thickBot="1" x14ac:dyDescent="0.3">
      <c r="B136" s="493" t="s">
        <v>317</v>
      </c>
      <c r="C136" s="494"/>
      <c r="D136" s="490" t="s">
        <v>69</v>
      </c>
      <c r="E136" s="491"/>
      <c r="F136" s="492"/>
      <c r="G136" s="96"/>
      <c r="H136" s="490" t="s">
        <v>69</v>
      </c>
      <c r="I136" s="491"/>
      <c r="J136" s="492"/>
      <c r="K136" s="96"/>
      <c r="L136" s="490" t="s">
        <v>69</v>
      </c>
      <c r="M136" s="491"/>
      <c r="N136" s="492"/>
      <c r="O136" s="96"/>
      <c r="P136" s="490" t="s">
        <v>69</v>
      </c>
      <c r="Q136" s="491"/>
      <c r="R136" s="492"/>
    </row>
    <row r="137" spans="2:18" ht="16.5" thickBot="1" x14ac:dyDescent="0.3">
      <c r="B137" s="495"/>
      <c r="C137" s="496"/>
      <c r="D137" s="487" t="str">
        <f>D11</f>
        <v>Basic Period (Year 1)</v>
      </c>
      <c r="E137" s="488"/>
      <c r="F137" s="489"/>
      <c r="G137" s="97"/>
      <c r="H137" s="487" t="str">
        <f>H11</f>
        <v>Basic Period (Year 2)</v>
      </c>
      <c r="I137" s="488"/>
      <c r="J137" s="489"/>
      <c r="K137" s="97"/>
      <c r="L137" s="487" t="str">
        <f>L11</f>
        <v>Basic Period (Year 3)</v>
      </c>
      <c r="M137" s="488"/>
      <c r="N137" s="489"/>
      <c r="O137" s="97"/>
      <c r="P137" s="487" t="str">
        <f>P11</f>
        <v>Basic Period (Year 4)</v>
      </c>
      <c r="Q137" s="488"/>
      <c r="R137" s="489"/>
    </row>
    <row r="138" spans="2:18" ht="16.5" thickBot="1" x14ac:dyDescent="0.3">
      <c r="B138" s="98" t="s">
        <v>46</v>
      </c>
      <c r="C138" s="98" t="s">
        <v>183</v>
      </c>
      <c r="D138" s="98" t="s">
        <v>29</v>
      </c>
      <c r="E138" s="99" t="s">
        <v>68</v>
      </c>
      <c r="F138" s="100" t="s">
        <v>74</v>
      </c>
      <c r="G138" s="101"/>
      <c r="H138" s="98" t="s">
        <v>29</v>
      </c>
      <c r="I138" s="99" t="s">
        <v>68</v>
      </c>
      <c r="J138" s="100" t="s">
        <v>74</v>
      </c>
      <c r="K138" s="101"/>
      <c r="L138" s="98" t="s">
        <v>29</v>
      </c>
      <c r="M138" s="99" t="s">
        <v>68</v>
      </c>
      <c r="N138" s="100" t="s">
        <v>74</v>
      </c>
      <c r="O138" s="101"/>
      <c r="P138" s="98" t="s">
        <v>29</v>
      </c>
      <c r="Q138" s="99" t="s">
        <v>68</v>
      </c>
      <c r="R138" s="100" t="s">
        <v>74</v>
      </c>
    </row>
    <row r="139" spans="2:18" ht="128.25" x14ac:dyDescent="0.25">
      <c r="B139" s="370" t="s">
        <v>434</v>
      </c>
      <c r="C139" s="370" t="s">
        <v>435</v>
      </c>
      <c r="D139" s="370" t="s">
        <v>410</v>
      </c>
      <c r="E139" s="370" t="s">
        <v>436</v>
      </c>
      <c r="F139" s="371"/>
      <c r="G139" s="101"/>
      <c r="H139" s="370" t="s">
        <v>410</v>
      </c>
      <c r="I139" s="370" t="s">
        <v>436</v>
      </c>
      <c r="J139" s="371"/>
      <c r="K139" s="101"/>
      <c r="L139" s="372" t="s">
        <v>410</v>
      </c>
      <c r="M139" s="372" t="s">
        <v>436</v>
      </c>
      <c r="N139" s="373"/>
      <c r="O139" s="101"/>
      <c r="P139" s="372" t="s">
        <v>410</v>
      </c>
      <c r="Q139" s="372" t="s">
        <v>436</v>
      </c>
      <c r="R139" s="373"/>
    </row>
    <row r="140" spans="2:18" x14ac:dyDescent="0.25">
      <c r="B140" s="195" t="s">
        <v>108</v>
      </c>
      <c r="C140" s="225" t="s">
        <v>137</v>
      </c>
      <c r="D140" s="102">
        <v>0</v>
      </c>
      <c r="E140" s="347">
        <v>0</v>
      </c>
      <c r="F140" s="103">
        <f>ROUND(D140*E140,0)</f>
        <v>0</v>
      </c>
      <c r="G140" s="104"/>
      <c r="H140" s="102">
        <v>0</v>
      </c>
      <c r="I140" s="347">
        <v>0</v>
      </c>
      <c r="J140" s="103">
        <f>ROUND(H140*I140,0)</f>
        <v>0</v>
      </c>
      <c r="K140" s="104"/>
      <c r="L140" s="102">
        <v>0</v>
      </c>
      <c r="M140" s="347">
        <v>0</v>
      </c>
      <c r="N140" s="103">
        <f>ROUND(L140*M140,0)</f>
        <v>0</v>
      </c>
      <c r="O140" s="104"/>
      <c r="P140" s="102">
        <v>0</v>
      </c>
      <c r="Q140" s="347">
        <v>0</v>
      </c>
      <c r="R140" s="103">
        <f>ROUND(P140*Q140,0)</f>
        <v>0</v>
      </c>
    </row>
    <row r="141" spans="2:18" x14ac:dyDescent="0.25">
      <c r="B141" s="195" t="s">
        <v>108</v>
      </c>
      <c r="C141" s="216" t="s">
        <v>1</v>
      </c>
      <c r="D141" s="102">
        <v>0</v>
      </c>
      <c r="E141" s="347">
        <v>0</v>
      </c>
      <c r="F141" s="103">
        <f t="shared" ref="F141:F154" si="24">ROUND(D141*E141,0)</f>
        <v>0</v>
      </c>
      <c r="G141" s="104"/>
      <c r="H141" s="102">
        <v>0</v>
      </c>
      <c r="I141" s="347">
        <v>0</v>
      </c>
      <c r="J141" s="103">
        <f t="shared" ref="J141:J154" si="25">ROUND(H141*I141,0)</f>
        <v>0</v>
      </c>
      <c r="K141" s="104"/>
      <c r="L141" s="102">
        <v>0</v>
      </c>
      <c r="M141" s="347">
        <v>0</v>
      </c>
      <c r="N141" s="103">
        <f t="shared" ref="N141:N154" si="26">ROUND(L141*M141,0)</f>
        <v>0</v>
      </c>
      <c r="O141" s="104"/>
      <c r="P141" s="102">
        <v>0</v>
      </c>
      <c r="Q141" s="347">
        <v>0</v>
      </c>
      <c r="R141" s="103">
        <f t="shared" ref="R141:R154" si="27">ROUND(P141*Q141,0)</f>
        <v>0</v>
      </c>
    </row>
    <row r="142" spans="2:18" x14ac:dyDescent="0.25">
      <c r="B142" s="195" t="s">
        <v>108</v>
      </c>
      <c r="C142" s="216"/>
      <c r="D142" s="102">
        <v>0</v>
      </c>
      <c r="E142" s="347">
        <v>0</v>
      </c>
      <c r="F142" s="103">
        <f t="shared" si="24"/>
        <v>0</v>
      </c>
      <c r="G142" s="104"/>
      <c r="H142" s="102">
        <v>0</v>
      </c>
      <c r="I142" s="347">
        <v>0</v>
      </c>
      <c r="J142" s="103">
        <f t="shared" si="25"/>
        <v>0</v>
      </c>
      <c r="K142" s="104"/>
      <c r="L142" s="102">
        <v>0</v>
      </c>
      <c r="M142" s="347">
        <v>0</v>
      </c>
      <c r="N142" s="103">
        <f t="shared" si="26"/>
        <v>0</v>
      </c>
      <c r="O142" s="104"/>
      <c r="P142" s="102">
        <v>0</v>
      </c>
      <c r="Q142" s="347">
        <v>0</v>
      </c>
      <c r="R142" s="103">
        <f t="shared" si="27"/>
        <v>0</v>
      </c>
    </row>
    <row r="143" spans="2:18" x14ac:dyDescent="0.25">
      <c r="B143" s="195" t="s">
        <v>108</v>
      </c>
      <c r="C143" s="216"/>
      <c r="D143" s="102">
        <v>0</v>
      </c>
      <c r="E143" s="347">
        <v>0</v>
      </c>
      <c r="F143" s="103">
        <f t="shared" si="24"/>
        <v>0</v>
      </c>
      <c r="G143" s="104"/>
      <c r="H143" s="102">
        <v>0</v>
      </c>
      <c r="I143" s="347">
        <v>0</v>
      </c>
      <c r="J143" s="103">
        <f t="shared" si="25"/>
        <v>0</v>
      </c>
      <c r="K143" s="104"/>
      <c r="L143" s="102">
        <v>0</v>
      </c>
      <c r="M143" s="347">
        <v>0</v>
      </c>
      <c r="N143" s="103">
        <f t="shared" si="26"/>
        <v>0</v>
      </c>
      <c r="O143" s="104"/>
      <c r="P143" s="102">
        <v>0</v>
      </c>
      <c r="Q143" s="347">
        <v>0</v>
      </c>
      <c r="R143" s="103">
        <f t="shared" si="27"/>
        <v>0</v>
      </c>
    </row>
    <row r="144" spans="2:18" x14ac:dyDescent="0.25">
      <c r="B144" s="195" t="s">
        <v>108</v>
      </c>
      <c r="C144" s="216"/>
      <c r="D144" s="102">
        <v>0</v>
      </c>
      <c r="E144" s="347">
        <v>0</v>
      </c>
      <c r="F144" s="103">
        <f t="shared" si="24"/>
        <v>0</v>
      </c>
      <c r="G144" s="104"/>
      <c r="H144" s="102">
        <v>0</v>
      </c>
      <c r="I144" s="347">
        <v>0</v>
      </c>
      <c r="J144" s="103">
        <f t="shared" si="25"/>
        <v>0</v>
      </c>
      <c r="K144" s="104"/>
      <c r="L144" s="102">
        <v>0</v>
      </c>
      <c r="M144" s="347">
        <v>0</v>
      </c>
      <c r="N144" s="103">
        <f t="shared" si="26"/>
        <v>0</v>
      </c>
      <c r="O144" s="104"/>
      <c r="P144" s="102">
        <v>0</v>
      </c>
      <c r="Q144" s="347">
        <v>0</v>
      </c>
      <c r="R144" s="103">
        <f t="shared" si="27"/>
        <v>0</v>
      </c>
    </row>
    <row r="145" spans="2:18" x14ac:dyDescent="0.25">
      <c r="B145" s="195" t="s">
        <v>108</v>
      </c>
      <c r="C145" s="225" t="s">
        <v>138</v>
      </c>
      <c r="D145" s="102">
        <v>0</v>
      </c>
      <c r="E145" s="347">
        <v>0</v>
      </c>
      <c r="F145" s="103">
        <f t="shared" si="24"/>
        <v>0</v>
      </c>
      <c r="G145" s="104"/>
      <c r="H145" s="102">
        <v>0</v>
      </c>
      <c r="I145" s="347">
        <v>0</v>
      </c>
      <c r="J145" s="103">
        <f t="shared" si="25"/>
        <v>0</v>
      </c>
      <c r="K145" s="104"/>
      <c r="L145" s="102">
        <v>0</v>
      </c>
      <c r="M145" s="347">
        <v>0</v>
      </c>
      <c r="N145" s="103">
        <f t="shared" si="26"/>
        <v>0</v>
      </c>
      <c r="O145" s="104"/>
      <c r="P145" s="102">
        <v>0</v>
      </c>
      <c r="Q145" s="347">
        <v>0</v>
      </c>
      <c r="R145" s="103">
        <f t="shared" si="27"/>
        <v>0</v>
      </c>
    </row>
    <row r="146" spans="2:18" x14ac:dyDescent="0.25">
      <c r="B146" s="195" t="s">
        <v>108</v>
      </c>
      <c r="C146" s="216"/>
      <c r="D146" s="102">
        <v>0</v>
      </c>
      <c r="E146" s="347">
        <v>0</v>
      </c>
      <c r="F146" s="103">
        <f t="shared" si="24"/>
        <v>0</v>
      </c>
      <c r="G146" s="104"/>
      <c r="H146" s="102">
        <v>0</v>
      </c>
      <c r="I146" s="347">
        <v>0</v>
      </c>
      <c r="J146" s="103">
        <f t="shared" si="25"/>
        <v>0</v>
      </c>
      <c r="K146" s="104"/>
      <c r="L146" s="102">
        <v>0</v>
      </c>
      <c r="M146" s="347">
        <v>0</v>
      </c>
      <c r="N146" s="103">
        <f t="shared" si="26"/>
        <v>0</v>
      </c>
      <c r="O146" s="104"/>
      <c r="P146" s="102">
        <v>0</v>
      </c>
      <c r="Q146" s="347">
        <v>0</v>
      </c>
      <c r="R146" s="103">
        <f t="shared" si="27"/>
        <v>0</v>
      </c>
    </row>
    <row r="147" spans="2:18" x14ac:dyDescent="0.25">
      <c r="B147" s="195" t="s">
        <v>108</v>
      </c>
      <c r="C147" s="216"/>
      <c r="D147" s="102">
        <v>0</v>
      </c>
      <c r="E147" s="347">
        <v>0</v>
      </c>
      <c r="F147" s="103">
        <f t="shared" si="24"/>
        <v>0</v>
      </c>
      <c r="G147" s="104"/>
      <c r="H147" s="102">
        <v>0</v>
      </c>
      <c r="I147" s="347">
        <v>0</v>
      </c>
      <c r="J147" s="103">
        <f t="shared" si="25"/>
        <v>0</v>
      </c>
      <c r="K147" s="104"/>
      <c r="L147" s="102">
        <v>0</v>
      </c>
      <c r="M147" s="347">
        <v>0</v>
      </c>
      <c r="N147" s="103">
        <f t="shared" si="26"/>
        <v>0</v>
      </c>
      <c r="O147" s="104"/>
      <c r="P147" s="102">
        <v>0</v>
      </c>
      <c r="Q147" s="347">
        <v>0</v>
      </c>
      <c r="R147" s="103">
        <f t="shared" si="27"/>
        <v>0</v>
      </c>
    </row>
    <row r="148" spans="2:18" x14ac:dyDescent="0.25">
      <c r="B148" s="195" t="s">
        <v>108</v>
      </c>
      <c r="C148" s="216"/>
      <c r="D148" s="102">
        <v>0</v>
      </c>
      <c r="E148" s="347">
        <v>0</v>
      </c>
      <c r="F148" s="103">
        <f t="shared" si="24"/>
        <v>0</v>
      </c>
      <c r="G148" s="104"/>
      <c r="H148" s="102">
        <v>0</v>
      </c>
      <c r="I148" s="347">
        <v>0</v>
      </c>
      <c r="J148" s="103">
        <f t="shared" si="25"/>
        <v>0</v>
      </c>
      <c r="K148" s="104"/>
      <c r="L148" s="102">
        <v>0</v>
      </c>
      <c r="M148" s="347">
        <v>0</v>
      </c>
      <c r="N148" s="103">
        <f t="shared" si="26"/>
        <v>0</v>
      </c>
      <c r="O148" s="104"/>
      <c r="P148" s="102">
        <v>0</v>
      </c>
      <c r="Q148" s="347">
        <v>0</v>
      </c>
      <c r="R148" s="103">
        <f t="shared" si="27"/>
        <v>0</v>
      </c>
    </row>
    <row r="149" spans="2:18" x14ac:dyDescent="0.25">
      <c r="B149" s="195" t="s">
        <v>108</v>
      </c>
      <c r="C149" s="216"/>
      <c r="D149" s="102">
        <v>0</v>
      </c>
      <c r="E149" s="347">
        <v>0</v>
      </c>
      <c r="F149" s="103">
        <f t="shared" si="24"/>
        <v>0</v>
      </c>
      <c r="G149" s="104"/>
      <c r="H149" s="102">
        <v>0</v>
      </c>
      <c r="I149" s="347">
        <v>0</v>
      </c>
      <c r="J149" s="103">
        <f t="shared" si="25"/>
        <v>0</v>
      </c>
      <c r="K149" s="104"/>
      <c r="L149" s="102">
        <v>0</v>
      </c>
      <c r="M149" s="347">
        <v>0</v>
      </c>
      <c r="N149" s="103">
        <f t="shared" si="26"/>
        <v>0</v>
      </c>
      <c r="O149" s="104"/>
      <c r="P149" s="102">
        <v>0</v>
      </c>
      <c r="Q149" s="347">
        <v>0</v>
      </c>
      <c r="R149" s="103">
        <f t="shared" si="27"/>
        <v>0</v>
      </c>
    </row>
    <row r="150" spans="2:18" x14ac:dyDescent="0.25">
      <c r="B150" s="195" t="s">
        <v>108</v>
      </c>
      <c r="C150" s="225" t="s">
        <v>139</v>
      </c>
      <c r="D150" s="102">
        <v>0</v>
      </c>
      <c r="E150" s="347">
        <v>0</v>
      </c>
      <c r="F150" s="103">
        <f t="shared" si="24"/>
        <v>0</v>
      </c>
      <c r="G150" s="104"/>
      <c r="H150" s="102">
        <v>0</v>
      </c>
      <c r="I150" s="347">
        <v>0</v>
      </c>
      <c r="J150" s="103">
        <f t="shared" si="25"/>
        <v>0</v>
      </c>
      <c r="K150" s="104"/>
      <c r="L150" s="102">
        <v>0</v>
      </c>
      <c r="M150" s="347">
        <v>0</v>
      </c>
      <c r="N150" s="103">
        <f t="shared" si="26"/>
        <v>0</v>
      </c>
      <c r="O150" s="104"/>
      <c r="P150" s="102">
        <v>0</v>
      </c>
      <c r="Q150" s="347">
        <v>0</v>
      </c>
      <c r="R150" s="103">
        <f t="shared" si="27"/>
        <v>0</v>
      </c>
    </row>
    <row r="151" spans="2:18" x14ac:dyDescent="0.25">
      <c r="B151" s="195" t="s">
        <v>108</v>
      </c>
      <c r="C151" s="216"/>
      <c r="D151" s="102">
        <v>0</v>
      </c>
      <c r="E151" s="347">
        <v>0</v>
      </c>
      <c r="F151" s="103">
        <f t="shared" si="24"/>
        <v>0</v>
      </c>
      <c r="G151" s="104"/>
      <c r="H151" s="102">
        <v>0</v>
      </c>
      <c r="I151" s="347">
        <v>0</v>
      </c>
      <c r="J151" s="103">
        <f t="shared" si="25"/>
        <v>0</v>
      </c>
      <c r="K151" s="104"/>
      <c r="L151" s="102">
        <v>0</v>
      </c>
      <c r="M151" s="347">
        <v>0</v>
      </c>
      <c r="N151" s="103">
        <f t="shared" si="26"/>
        <v>0</v>
      </c>
      <c r="O151" s="104"/>
      <c r="P151" s="102">
        <v>0</v>
      </c>
      <c r="Q151" s="347">
        <v>0</v>
      </c>
      <c r="R151" s="103">
        <f t="shared" si="27"/>
        <v>0</v>
      </c>
    </row>
    <row r="152" spans="2:18" x14ac:dyDescent="0.25">
      <c r="B152" s="195" t="s">
        <v>108</v>
      </c>
      <c r="C152" s="216"/>
      <c r="D152" s="102">
        <v>0</v>
      </c>
      <c r="E152" s="347">
        <v>0</v>
      </c>
      <c r="F152" s="103">
        <f t="shared" si="24"/>
        <v>0</v>
      </c>
      <c r="G152" s="104"/>
      <c r="H152" s="102">
        <v>0</v>
      </c>
      <c r="I152" s="347">
        <v>0</v>
      </c>
      <c r="J152" s="103">
        <f t="shared" si="25"/>
        <v>0</v>
      </c>
      <c r="K152" s="104"/>
      <c r="L152" s="102">
        <v>0</v>
      </c>
      <c r="M152" s="347">
        <v>0</v>
      </c>
      <c r="N152" s="103">
        <f t="shared" si="26"/>
        <v>0</v>
      </c>
      <c r="O152" s="104"/>
      <c r="P152" s="102">
        <v>0</v>
      </c>
      <c r="Q152" s="347">
        <v>0</v>
      </c>
      <c r="R152" s="103">
        <f t="shared" si="27"/>
        <v>0</v>
      </c>
    </row>
    <row r="153" spans="2:18" x14ac:dyDescent="0.25">
      <c r="B153" s="195" t="s">
        <v>108</v>
      </c>
      <c r="C153" s="216"/>
      <c r="D153" s="102">
        <v>0</v>
      </c>
      <c r="E153" s="347">
        <v>0</v>
      </c>
      <c r="F153" s="103">
        <f t="shared" si="24"/>
        <v>0</v>
      </c>
      <c r="G153" s="104"/>
      <c r="H153" s="102">
        <v>0</v>
      </c>
      <c r="I153" s="347">
        <v>0</v>
      </c>
      <c r="J153" s="103">
        <f t="shared" si="25"/>
        <v>0</v>
      </c>
      <c r="K153" s="104"/>
      <c r="L153" s="102">
        <v>0</v>
      </c>
      <c r="M153" s="347">
        <v>0</v>
      </c>
      <c r="N153" s="103">
        <f t="shared" si="26"/>
        <v>0</v>
      </c>
      <c r="O153" s="104"/>
      <c r="P153" s="102">
        <v>0</v>
      </c>
      <c r="Q153" s="347">
        <v>0</v>
      </c>
      <c r="R153" s="103">
        <f t="shared" si="27"/>
        <v>0</v>
      </c>
    </row>
    <row r="154" spans="2:18" ht="15.75" thickBot="1" x14ac:dyDescent="0.3">
      <c r="B154" s="234" t="s">
        <v>108</v>
      </c>
      <c r="C154" s="235"/>
      <c r="D154" s="102">
        <v>0</v>
      </c>
      <c r="E154" s="347">
        <v>0</v>
      </c>
      <c r="F154" s="103">
        <f t="shared" si="24"/>
        <v>0</v>
      </c>
      <c r="G154" s="104"/>
      <c r="H154" s="102">
        <v>0</v>
      </c>
      <c r="I154" s="347">
        <v>0</v>
      </c>
      <c r="J154" s="103">
        <f t="shared" si="25"/>
        <v>0</v>
      </c>
      <c r="K154" s="104"/>
      <c r="L154" s="102">
        <v>0</v>
      </c>
      <c r="M154" s="347">
        <v>0</v>
      </c>
      <c r="N154" s="103">
        <f t="shared" si="26"/>
        <v>0</v>
      </c>
      <c r="O154" s="104"/>
      <c r="P154" s="102">
        <v>0</v>
      </c>
      <c r="Q154" s="347">
        <v>0</v>
      </c>
      <c r="R154" s="103">
        <f t="shared" si="27"/>
        <v>0</v>
      </c>
    </row>
    <row r="155" spans="2:18" ht="15.75" thickBot="1" x14ac:dyDescent="0.3">
      <c r="B155" s="238" t="s">
        <v>87</v>
      </c>
      <c r="C155" s="236"/>
      <c r="D155" s="200">
        <f>SUM(D140:D154)</f>
        <v>0</v>
      </c>
      <c r="E155" s="150"/>
      <c r="F155" s="109">
        <f>ROUND(SUM(F140:F154),0)</f>
        <v>0</v>
      </c>
      <c r="G155" s="110"/>
      <c r="H155" s="200">
        <f>SUM(H140:H154)</f>
        <v>0</v>
      </c>
      <c r="I155" s="150" t="s">
        <v>1</v>
      </c>
      <c r="J155" s="109">
        <f>ROUND(SUM(J140:J154),0)</f>
        <v>0</v>
      </c>
      <c r="K155" s="110"/>
      <c r="L155" s="200">
        <f>SUM(L140:L154)</f>
        <v>0</v>
      </c>
      <c r="M155" s="150"/>
      <c r="N155" s="109">
        <f>ROUND(SUM(N140:N154),0)</f>
        <v>0</v>
      </c>
      <c r="O155" s="110"/>
      <c r="P155" s="200">
        <f>SUM(P140:P154)</f>
        <v>0</v>
      </c>
      <c r="Q155" s="150"/>
      <c r="R155" s="109">
        <f>ROUND(SUM(R140:R154),0)</f>
        <v>0</v>
      </c>
    </row>
    <row r="156" spans="2:18" ht="15.75" thickBot="1" x14ac:dyDescent="0.3">
      <c r="B156" s="37"/>
      <c r="C156" s="37"/>
      <c r="D156" s="37"/>
      <c r="E156" s="37"/>
      <c r="F156" s="37"/>
      <c r="G156" s="37"/>
      <c r="H156" s="37"/>
      <c r="I156" s="37"/>
      <c r="J156" s="37"/>
      <c r="K156" s="37"/>
      <c r="L156" s="37"/>
      <c r="M156" s="37"/>
      <c r="N156" s="37"/>
    </row>
    <row r="157" spans="2:18" ht="16.5" thickBot="1" x14ac:dyDescent="0.3">
      <c r="B157" s="497" t="s">
        <v>318</v>
      </c>
      <c r="C157" s="498"/>
      <c r="D157" s="490" t="s">
        <v>69</v>
      </c>
      <c r="E157" s="491"/>
      <c r="F157" s="492"/>
      <c r="G157" s="96"/>
      <c r="H157" s="490" t="s">
        <v>69</v>
      </c>
      <c r="I157" s="491"/>
      <c r="J157" s="492"/>
      <c r="K157" s="96"/>
      <c r="L157" s="490" t="s">
        <v>69</v>
      </c>
      <c r="M157" s="491"/>
      <c r="N157" s="492"/>
      <c r="O157" s="96"/>
      <c r="P157" s="490" t="s">
        <v>69</v>
      </c>
      <c r="Q157" s="491"/>
      <c r="R157" s="492"/>
    </row>
    <row r="158" spans="2:18" ht="16.5" thickBot="1" x14ac:dyDescent="0.3">
      <c r="B158" s="499"/>
      <c r="C158" s="500"/>
      <c r="D158" s="487" t="str">
        <f>D11</f>
        <v>Basic Period (Year 1)</v>
      </c>
      <c r="E158" s="488"/>
      <c r="F158" s="489"/>
      <c r="G158" s="97"/>
      <c r="H158" s="487" t="str">
        <f>H11</f>
        <v>Basic Period (Year 2)</v>
      </c>
      <c r="I158" s="488"/>
      <c r="J158" s="489"/>
      <c r="K158" s="97"/>
      <c r="L158" s="487" t="str">
        <f>L11</f>
        <v>Basic Period (Year 3)</v>
      </c>
      <c r="M158" s="488"/>
      <c r="N158" s="489"/>
      <c r="O158" s="97"/>
      <c r="P158" s="487" t="str">
        <f>P11</f>
        <v>Basic Period (Year 4)</v>
      </c>
      <c r="Q158" s="488"/>
      <c r="R158" s="489"/>
    </row>
    <row r="159" spans="2:18" ht="16.5" thickBot="1" x14ac:dyDescent="0.3">
      <c r="B159" s="98" t="s">
        <v>46</v>
      </c>
      <c r="C159" s="98" t="s">
        <v>183</v>
      </c>
      <c r="D159" s="98" t="s">
        <v>29</v>
      </c>
      <c r="E159" s="99" t="s">
        <v>68</v>
      </c>
      <c r="F159" s="100" t="s">
        <v>74</v>
      </c>
      <c r="G159" s="101"/>
      <c r="H159" s="98" t="s">
        <v>29</v>
      </c>
      <c r="I159" s="99" t="s">
        <v>68</v>
      </c>
      <c r="J159" s="100" t="s">
        <v>74</v>
      </c>
      <c r="K159" s="101"/>
      <c r="L159" s="98" t="s">
        <v>29</v>
      </c>
      <c r="M159" s="99" t="s">
        <v>68</v>
      </c>
      <c r="N159" s="100" t="s">
        <v>74</v>
      </c>
      <c r="O159" s="101"/>
      <c r="P159" s="98" t="s">
        <v>29</v>
      </c>
      <c r="Q159" s="99" t="s">
        <v>68</v>
      </c>
      <c r="R159" s="100" t="s">
        <v>74</v>
      </c>
    </row>
    <row r="160" spans="2:18" ht="128.25" x14ac:dyDescent="0.25">
      <c r="B160" s="370" t="s">
        <v>434</v>
      </c>
      <c r="C160" s="370" t="s">
        <v>435</v>
      </c>
      <c r="D160" s="370" t="s">
        <v>410</v>
      </c>
      <c r="E160" s="370" t="s">
        <v>436</v>
      </c>
      <c r="F160" s="371"/>
      <c r="G160" s="101"/>
      <c r="H160" s="370" t="s">
        <v>410</v>
      </c>
      <c r="I160" s="370" t="s">
        <v>436</v>
      </c>
      <c r="J160" s="371"/>
      <c r="K160" s="101"/>
      <c r="L160" s="372" t="s">
        <v>410</v>
      </c>
      <c r="M160" s="372" t="s">
        <v>436</v>
      </c>
      <c r="N160" s="373"/>
      <c r="O160" s="101"/>
      <c r="P160" s="372" t="s">
        <v>410</v>
      </c>
      <c r="Q160" s="372" t="s">
        <v>436</v>
      </c>
      <c r="R160" s="373"/>
    </row>
    <row r="161" spans="2:18" x14ac:dyDescent="0.25">
      <c r="B161" s="195" t="s">
        <v>108</v>
      </c>
      <c r="C161" s="225" t="s">
        <v>140</v>
      </c>
      <c r="D161" s="102">
        <v>0</v>
      </c>
      <c r="E161" s="347">
        <v>0</v>
      </c>
      <c r="F161" s="103">
        <f>ROUND(D161*E161,0)</f>
        <v>0</v>
      </c>
      <c r="G161" s="104"/>
      <c r="H161" s="102">
        <v>0</v>
      </c>
      <c r="I161" s="347">
        <v>0</v>
      </c>
      <c r="J161" s="103">
        <f>ROUND(H161*I161,0)</f>
        <v>0</v>
      </c>
      <c r="K161" s="104"/>
      <c r="L161" s="102">
        <v>0</v>
      </c>
      <c r="M161" s="347">
        <v>0</v>
      </c>
      <c r="N161" s="103">
        <f>ROUND(L161*M161,0)</f>
        <v>0</v>
      </c>
      <c r="O161" s="104"/>
      <c r="P161" s="102">
        <v>0</v>
      </c>
      <c r="Q161" s="347">
        <v>0</v>
      </c>
      <c r="R161" s="103">
        <f>ROUND(P161*Q161,0)</f>
        <v>0</v>
      </c>
    </row>
    <row r="162" spans="2:18" x14ac:dyDescent="0.25">
      <c r="B162" s="195" t="s">
        <v>108</v>
      </c>
      <c r="C162" s="216" t="s">
        <v>1</v>
      </c>
      <c r="D162" s="102">
        <v>0</v>
      </c>
      <c r="E162" s="347">
        <v>0</v>
      </c>
      <c r="F162" s="103">
        <f t="shared" ref="F162:F175" si="28">ROUND(D162*E162,0)</f>
        <v>0</v>
      </c>
      <c r="G162" s="104"/>
      <c r="H162" s="102">
        <v>0</v>
      </c>
      <c r="I162" s="347">
        <v>0</v>
      </c>
      <c r="J162" s="103">
        <f t="shared" ref="J162:J175" si="29">ROUND(H162*I162,0)</f>
        <v>0</v>
      </c>
      <c r="K162" s="104"/>
      <c r="L162" s="102">
        <v>0</v>
      </c>
      <c r="M162" s="347">
        <v>0</v>
      </c>
      <c r="N162" s="103">
        <f t="shared" ref="N162:N175" si="30">ROUND(L162*M162,0)</f>
        <v>0</v>
      </c>
      <c r="O162" s="104"/>
      <c r="P162" s="102">
        <v>0</v>
      </c>
      <c r="Q162" s="347">
        <v>0</v>
      </c>
      <c r="R162" s="103">
        <f t="shared" ref="R162:R175" si="31">ROUND(P162*Q162,0)</f>
        <v>0</v>
      </c>
    </row>
    <row r="163" spans="2:18" x14ac:dyDescent="0.25">
      <c r="B163" s="195" t="s">
        <v>108</v>
      </c>
      <c r="C163" s="216"/>
      <c r="D163" s="102">
        <v>0</v>
      </c>
      <c r="E163" s="347">
        <v>0</v>
      </c>
      <c r="F163" s="103">
        <f t="shared" si="28"/>
        <v>0</v>
      </c>
      <c r="G163" s="104"/>
      <c r="H163" s="102">
        <v>0</v>
      </c>
      <c r="I163" s="347">
        <v>0</v>
      </c>
      <c r="J163" s="103">
        <f t="shared" si="29"/>
        <v>0</v>
      </c>
      <c r="K163" s="104"/>
      <c r="L163" s="102">
        <v>0</v>
      </c>
      <c r="M163" s="347">
        <v>0</v>
      </c>
      <c r="N163" s="103">
        <f t="shared" si="30"/>
        <v>0</v>
      </c>
      <c r="O163" s="104"/>
      <c r="P163" s="102">
        <v>0</v>
      </c>
      <c r="Q163" s="347">
        <v>0</v>
      </c>
      <c r="R163" s="103">
        <f t="shared" si="31"/>
        <v>0</v>
      </c>
    </row>
    <row r="164" spans="2:18" x14ac:dyDescent="0.25">
      <c r="B164" s="195" t="s">
        <v>108</v>
      </c>
      <c r="C164" s="216"/>
      <c r="D164" s="102">
        <v>0</v>
      </c>
      <c r="E164" s="347">
        <v>0</v>
      </c>
      <c r="F164" s="103">
        <f t="shared" si="28"/>
        <v>0</v>
      </c>
      <c r="G164" s="104"/>
      <c r="H164" s="102">
        <v>0</v>
      </c>
      <c r="I164" s="347">
        <v>0</v>
      </c>
      <c r="J164" s="103">
        <f t="shared" si="29"/>
        <v>0</v>
      </c>
      <c r="K164" s="104"/>
      <c r="L164" s="102">
        <v>0</v>
      </c>
      <c r="M164" s="347">
        <v>0</v>
      </c>
      <c r="N164" s="103">
        <f t="shared" si="30"/>
        <v>0</v>
      </c>
      <c r="O164" s="104"/>
      <c r="P164" s="102">
        <v>0</v>
      </c>
      <c r="Q164" s="347">
        <v>0</v>
      </c>
      <c r="R164" s="103">
        <f t="shared" si="31"/>
        <v>0</v>
      </c>
    </row>
    <row r="165" spans="2:18" x14ac:dyDescent="0.25">
      <c r="B165" s="195" t="s">
        <v>108</v>
      </c>
      <c r="C165" s="216"/>
      <c r="D165" s="102">
        <v>0</v>
      </c>
      <c r="E165" s="347">
        <v>0</v>
      </c>
      <c r="F165" s="103">
        <f t="shared" si="28"/>
        <v>0</v>
      </c>
      <c r="G165" s="104"/>
      <c r="H165" s="102">
        <v>0</v>
      </c>
      <c r="I165" s="347">
        <v>0</v>
      </c>
      <c r="J165" s="103">
        <f t="shared" si="29"/>
        <v>0</v>
      </c>
      <c r="K165" s="104"/>
      <c r="L165" s="102">
        <v>0</v>
      </c>
      <c r="M165" s="347">
        <v>0</v>
      </c>
      <c r="N165" s="103">
        <f t="shared" si="30"/>
        <v>0</v>
      </c>
      <c r="O165" s="104"/>
      <c r="P165" s="102">
        <v>0</v>
      </c>
      <c r="Q165" s="347">
        <v>0</v>
      </c>
      <c r="R165" s="103">
        <f t="shared" si="31"/>
        <v>0</v>
      </c>
    </row>
    <row r="166" spans="2:18" x14ac:dyDescent="0.25">
      <c r="B166" s="195" t="s">
        <v>108</v>
      </c>
      <c r="C166" s="225" t="s">
        <v>141</v>
      </c>
      <c r="D166" s="102">
        <v>0</v>
      </c>
      <c r="E166" s="347">
        <v>0</v>
      </c>
      <c r="F166" s="103">
        <f t="shared" si="28"/>
        <v>0</v>
      </c>
      <c r="G166" s="104"/>
      <c r="H166" s="102">
        <v>0</v>
      </c>
      <c r="I166" s="347">
        <v>0</v>
      </c>
      <c r="J166" s="103">
        <f t="shared" si="29"/>
        <v>0</v>
      </c>
      <c r="K166" s="104"/>
      <c r="L166" s="102">
        <v>0</v>
      </c>
      <c r="M166" s="347">
        <v>0</v>
      </c>
      <c r="N166" s="103">
        <f t="shared" si="30"/>
        <v>0</v>
      </c>
      <c r="O166" s="104"/>
      <c r="P166" s="102">
        <v>0</v>
      </c>
      <c r="Q166" s="347">
        <v>0</v>
      </c>
      <c r="R166" s="103">
        <f t="shared" si="31"/>
        <v>0</v>
      </c>
    </row>
    <row r="167" spans="2:18" x14ac:dyDescent="0.25">
      <c r="B167" s="195" t="s">
        <v>108</v>
      </c>
      <c r="C167" s="216"/>
      <c r="D167" s="102">
        <v>0</v>
      </c>
      <c r="E167" s="347">
        <v>0</v>
      </c>
      <c r="F167" s="103">
        <f t="shared" si="28"/>
        <v>0</v>
      </c>
      <c r="G167" s="104"/>
      <c r="H167" s="102">
        <v>0</v>
      </c>
      <c r="I167" s="347">
        <v>0</v>
      </c>
      <c r="J167" s="103">
        <f t="shared" si="29"/>
        <v>0</v>
      </c>
      <c r="K167" s="104"/>
      <c r="L167" s="102">
        <v>0</v>
      </c>
      <c r="M167" s="347">
        <v>0</v>
      </c>
      <c r="N167" s="103">
        <f t="shared" si="30"/>
        <v>0</v>
      </c>
      <c r="O167" s="104"/>
      <c r="P167" s="102">
        <v>0</v>
      </c>
      <c r="Q167" s="347">
        <v>0</v>
      </c>
      <c r="R167" s="103">
        <f t="shared" si="31"/>
        <v>0</v>
      </c>
    </row>
    <row r="168" spans="2:18" x14ac:dyDescent="0.25">
      <c r="B168" s="195" t="s">
        <v>108</v>
      </c>
      <c r="C168" s="216"/>
      <c r="D168" s="102">
        <v>0</v>
      </c>
      <c r="E168" s="347">
        <v>0</v>
      </c>
      <c r="F168" s="103">
        <f t="shared" si="28"/>
        <v>0</v>
      </c>
      <c r="G168" s="104"/>
      <c r="H168" s="102">
        <v>0</v>
      </c>
      <c r="I168" s="347">
        <v>0</v>
      </c>
      <c r="J168" s="103">
        <f t="shared" si="29"/>
        <v>0</v>
      </c>
      <c r="K168" s="104"/>
      <c r="L168" s="102">
        <v>0</v>
      </c>
      <c r="M168" s="347">
        <v>0</v>
      </c>
      <c r="N168" s="103">
        <f t="shared" si="30"/>
        <v>0</v>
      </c>
      <c r="O168" s="104"/>
      <c r="P168" s="102">
        <v>0</v>
      </c>
      <c r="Q168" s="347">
        <v>0</v>
      </c>
      <c r="R168" s="103">
        <f t="shared" si="31"/>
        <v>0</v>
      </c>
    </row>
    <row r="169" spans="2:18" x14ac:dyDescent="0.25">
      <c r="B169" s="195" t="s">
        <v>108</v>
      </c>
      <c r="C169" s="216"/>
      <c r="D169" s="102">
        <v>0</v>
      </c>
      <c r="E169" s="347">
        <v>0</v>
      </c>
      <c r="F169" s="103">
        <f t="shared" si="28"/>
        <v>0</v>
      </c>
      <c r="G169" s="104"/>
      <c r="H169" s="102">
        <v>0</v>
      </c>
      <c r="I169" s="347">
        <v>0</v>
      </c>
      <c r="J169" s="103">
        <f t="shared" si="29"/>
        <v>0</v>
      </c>
      <c r="K169" s="104"/>
      <c r="L169" s="102">
        <v>0</v>
      </c>
      <c r="M169" s="347">
        <v>0</v>
      </c>
      <c r="N169" s="103">
        <f t="shared" si="30"/>
        <v>0</v>
      </c>
      <c r="O169" s="104"/>
      <c r="P169" s="102">
        <v>0</v>
      </c>
      <c r="Q169" s="347">
        <v>0</v>
      </c>
      <c r="R169" s="103">
        <f t="shared" si="31"/>
        <v>0</v>
      </c>
    </row>
    <row r="170" spans="2:18" x14ac:dyDescent="0.25">
      <c r="B170" s="195" t="s">
        <v>108</v>
      </c>
      <c r="C170" s="216"/>
      <c r="D170" s="102">
        <v>0</v>
      </c>
      <c r="E170" s="347">
        <v>0</v>
      </c>
      <c r="F170" s="103">
        <f t="shared" si="28"/>
        <v>0</v>
      </c>
      <c r="G170" s="104"/>
      <c r="H170" s="102">
        <v>0</v>
      </c>
      <c r="I170" s="347">
        <v>0</v>
      </c>
      <c r="J170" s="103">
        <f t="shared" si="29"/>
        <v>0</v>
      </c>
      <c r="K170" s="104"/>
      <c r="L170" s="102">
        <v>0</v>
      </c>
      <c r="M170" s="347">
        <v>0</v>
      </c>
      <c r="N170" s="103">
        <f t="shared" si="30"/>
        <v>0</v>
      </c>
      <c r="O170" s="104"/>
      <c r="P170" s="102">
        <v>0</v>
      </c>
      <c r="Q170" s="347">
        <v>0</v>
      </c>
      <c r="R170" s="103">
        <f t="shared" si="31"/>
        <v>0</v>
      </c>
    </row>
    <row r="171" spans="2:18" x14ac:dyDescent="0.25">
      <c r="B171" s="195" t="s">
        <v>108</v>
      </c>
      <c r="C171" s="225" t="s">
        <v>142</v>
      </c>
      <c r="D171" s="102">
        <v>0</v>
      </c>
      <c r="E171" s="347">
        <v>0</v>
      </c>
      <c r="F171" s="103">
        <f t="shared" si="28"/>
        <v>0</v>
      </c>
      <c r="G171" s="104"/>
      <c r="H171" s="102">
        <v>0</v>
      </c>
      <c r="I171" s="347">
        <v>0</v>
      </c>
      <c r="J171" s="103">
        <f t="shared" si="29"/>
        <v>0</v>
      </c>
      <c r="K171" s="104"/>
      <c r="L171" s="102">
        <v>0</v>
      </c>
      <c r="M171" s="347">
        <v>0</v>
      </c>
      <c r="N171" s="103">
        <f t="shared" si="30"/>
        <v>0</v>
      </c>
      <c r="O171" s="104"/>
      <c r="P171" s="102">
        <v>0</v>
      </c>
      <c r="Q171" s="347">
        <v>0</v>
      </c>
      <c r="R171" s="103">
        <f t="shared" si="31"/>
        <v>0</v>
      </c>
    </row>
    <row r="172" spans="2:18" x14ac:dyDescent="0.25">
      <c r="B172" s="195" t="s">
        <v>108</v>
      </c>
      <c r="C172" s="216"/>
      <c r="D172" s="102">
        <v>0</v>
      </c>
      <c r="E172" s="347">
        <v>0</v>
      </c>
      <c r="F172" s="103">
        <f t="shared" si="28"/>
        <v>0</v>
      </c>
      <c r="G172" s="104"/>
      <c r="H172" s="102">
        <v>0</v>
      </c>
      <c r="I172" s="347">
        <v>0</v>
      </c>
      <c r="J172" s="103">
        <f t="shared" si="29"/>
        <v>0</v>
      </c>
      <c r="K172" s="104"/>
      <c r="L172" s="102">
        <v>0</v>
      </c>
      <c r="M172" s="347">
        <v>0</v>
      </c>
      <c r="N172" s="103">
        <f t="shared" si="30"/>
        <v>0</v>
      </c>
      <c r="O172" s="104"/>
      <c r="P172" s="102">
        <v>0</v>
      </c>
      <c r="Q172" s="347">
        <v>0</v>
      </c>
      <c r="R172" s="103">
        <f t="shared" si="31"/>
        <v>0</v>
      </c>
    </row>
    <row r="173" spans="2:18" x14ac:dyDescent="0.25">
      <c r="B173" s="195" t="s">
        <v>108</v>
      </c>
      <c r="C173" s="216"/>
      <c r="D173" s="102">
        <v>0</v>
      </c>
      <c r="E173" s="347">
        <v>0</v>
      </c>
      <c r="F173" s="103">
        <f t="shared" si="28"/>
        <v>0</v>
      </c>
      <c r="G173" s="104"/>
      <c r="H173" s="102">
        <v>0</v>
      </c>
      <c r="I173" s="347">
        <v>0</v>
      </c>
      <c r="J173" s="103">
        <f t="shared" si="29"/>
        <v>0</v>
      </c>
      <c r="K173" s="104"/>
      <c r="L173" s="102">
        <v>0</v>
      </c>
      <c r="M173" s="347">
        <v>0</v>
      </c>
      <c r="N173" s="103">
        <f t="shared" si="30"/>
        <v>0</v>
      </c>
      <c r="O173" s="104"/>
      <c r="P173" s="102">
        <v>0</v>
      </c>
      <c r="Q173" s="347">
        <v>0</v>
      </c>
      <c r="R173" s="103">
        <f t="shared" si="31"/>
        <v>0</v>
      </c>
    </row>
    <row r="174" spans="2:18" x14ac:dyDescent="0.25">
      <c r="B174" s="195" t="s">
        <v>108</v>
      </c>
      <c r="C174" s="216"/>
      <c r="D174" s="102">
        <v>0</v>
      </c>
      <c r="E174" s="347">
        <v>0</v>
      </c>
      <c r="F174" s="103">
        <f t="shared" si="28"/>
        <v>0</v>
      </c>
      <c r="G174" s="104"/>
      <c r="H174" s="102">
        <v>0</v>
      </c>
      <c r="I174" s="347">
        <v>0</v>
      </c>
      <c r="J174" s="103">
        <f t="shared" si="29"/>
        <v>0</v>
      </c>
      <c r="K174" s="104"/>
      <c r="L174" s="102">
        <v>0</v>
      </c>
      <c r="M174" s="347">
        <v>0</v>
      </c>
      <c r="N174" s="103">
        <f t="shared" si="30"/>
        <v>0</v>
      </c>
      <c r="O174" s="104"/>
      <c r="P174" s="102">
        <v>0</v>
      </c>
      <c r="Q174" s="347">
        <v>0</v>
      </c>
      <c r="R174" s="103">
        <f t="shared" si="31"/>
        <v>0</v>
      </c>
    </row>
    <row r="175" spans="2:18" ht="15.75" thickBot="1" x14ac:dyDescent="0.3">
      <c r="B175" s="234" t="s">
        <v>108</v>
      </c>
      <c r="C175" s="235"/>
      <c r="D175" s="102">
        <v>0</v>
      </c>
      <c r="E175" s="347">
        <v>0</v>
      </c>
      <c r="F175" s="103">
        <f t="shared" si="28"/>
        <v>0</v>
      </c>
      <c r="G175" s="104"/>
      <c r="H175" s="102">
        <v>0</v>
      </c>
      <c r="I175" s="347">
        <v>0</v>
      </c>
      <c r="J175" s="103">
        <f t="shared" si="29"/>
        <v>0</v>
      </c>
      <c r="K175" s="104"/>
      <c r="L175" s="102">
        <v>0</v>
      </c>
      <c r="M175" s="347">
        <v>0</v>
      </c>
      <c r="N175" s="103">
        <f t="shared" si="30"/>
        <v>0</v>
      </c>
      <c r="O175" s="104"/>
      <c r="P175" s="102">
        <v>0</v>
      </c>
      <c r="Q175" s="347">
        <v>0</v>
      </c>
      <c r="R175" s="103">
        <f t="shared" si="31"/>
        <v>0</v>
      </c>
    </row>
    <row r="176" spans="2:18" ht="15.75" thickBot="1" x14ac:dyDescent="0.3">
      <c r="B176" s="238" t="s">
        <v>87</v>
      </c>
      <c r="C176" s="236"/>
      <c r="D176" s="200">
        <f>SUM(D161:D175)</f>
        <v>0</v>
      </c>
      <c r="E176" s="150"/>
      <c r="F176" s="109">
        <f>ROUND(SUM(F161:F175),0)</f>
        <v>0</v>
      </c>
      <c r="G176" s="110"/>
      <c r="H176" s="200">
        <f>SUM(H161:H175)</f>
        <v>0</v>
      </c>
      <c r="I176" s="150" t="s">
        <v>1</v>
      </c>
      <c r="J176" s="109">
        <f>ROUND(SUM(J161:J175),0)</f>
        <v>0</v>
      </c>
      <c r="K176" s="110"/>
      <c r="L176" s="200">
        <f>SUM(L161:L175)</f>
        <v>0</v>
      </c>
      <c r="M176" s="150"/>
      <c r="N176" s="109">
        <f>ROUND(SUM(N161:N175),0)</f>
        <v>0</v>
      </c>
      <c r="O176" s="110"/>
      <c r="P176" s="200">
        <f>SUM(P161:P175)</f>
        <v>0</v>
      </c>
      <c r="Q176" s="150"/>
      <c r="R176" s="109">
        <f>ROUND(SUM(R161:R175),0)</f>
        <v>0</v>
      </c>
    </row>
    <row r="177" spans="2:18" ht="15.75" thickBot="1" x14ac:dyDescent="0.3">
      <c r="B177" s="37"/>
      <c r="C177" s="37"/>
      <c r="D177" s="37"/>
      <c r="E177" s="37"/>
      <c r="F177" s="37"/>
      <c r="G177" s="37"/>
      <c r="H177" s="37"/>
      <c r="I177" s="37"/>
      <c r="J177" s="37"/>
      <c r="K177" s="37"/>
      <c r="L177" s="37"/>
      <c r="M177" s="37"/>
      <c r="N177" s="37"/>
    </row>
    <row r="178" spans="2:18" ht="16.5" thickBot="1" x14ac:dyDescent="0.3">
      <c r="B178" s="497" t="s">
        <v>319</v>
      </c>
      <c r="C178" s="498"/>
      <c r="D178" s="490" t="s">
        <v>69</v>
      </c>
      <c r="E178" s="491"/>
      <c r="F178" s="492"/>
      <c r="G178" s="96"/>
      <c r="H178" s="490" t="s">
        <v>69</v>
      </c>
      <c r="I178" s="491"/>
      <c r="J178" s="492"/>
      <c r="K178" s="96"/>
      <c r="L178" s="490" t="s">
        <v>69</v>
      </c>
      <c r="M178" s="491"/>
      <c r="N178" s="492"/>
      <c r="O178" s="96"/>
      <c r="P178" s="490" t="s">
        <v>69</v>
      </c>
      <c r="Q178" s="491"/>
      <c r="R178" s="492"/>
    </row>
    <row r="179" spans="2:18" ht="16.5" thickBot="1" x14ac:dyDescent="0.3">
      <c r="B179" s="499"/>
      <c r="C179" s="500"/>
      <c r="D179" s="487" t="str">
        <f>D11</f>
        <v>Basic Period (Year 1)</v>
      </c>
      <c r="E179" s="488"/>
      <c r="F179" s="489"/>
      <c r="G179" s="97"/>
      <c r="H179" s="487" t="str">
        <f>H11</f>
        <v>Basic Period (Year 2)</v>
      </c>
      <c r="I179" s="488"/>
      <c r="J179" s="489"/>
      <c r="K179" s="97"/>
      <c r="L179" s="487" t="str">
        <f>L11</f>
        <v>Basic Period (Year 3)</v>
      </c>
      <c r="M179" s="488"/>
      <c r="N179" s="489"/>
      <c r="O179" s="97"/>
      <c r="P179" s="487" t="str">
        <f>P11</f>
        <v>Basic Period (Year 4)</v>
      </c>
      <c r="Q179" s="488"/>
      <c r="R179" s="489"/>
    </row>
    <row r="180" spans="2:18" ht="16.5" thickBot="1" x14ac:dyDescent="0.3">
      <c r="B180" s="98" t="s">
        <v>46</v>
      </c>
      <c r="C180" s="98" t="s">
        <v>183</v>
      </c>
      <c r="D180" s="98" t="s">
        <v>29</v>
      </c>
      <c r="E180" s="99" t="s">
        <v>68</v>
      </c>
      <c r="F180" s="100" t="s">
        <v>74</v>
      </c>
      <c r="G180" s="101"/>
      <c r="H180" s="98" t="s">
        <v>29</v>
      </c>
      <c r="I180" s="99" t="s">
        <v>68</v>
      </c>
      <c r="J180" s="100" t="s">
        <v>74</v>
      </c>
      <c r="K180" s="101"/>
      <c r="L180" s="98" t="s">
        <v>29</v>
      </c>
      <c r="M180" s="99" t="s">
        <v>68</v>
      </c>
      <c r="N180" s="100" t="s">
        <v>74</v>
      </c>
      <c r="O180" s="101"/>
      <c r="P180" s="98" t="s">
        <v>29</v>
      </c>
      <c r="Q180" s="99" t="s">
        <v>68</v>
      </c>
      <c r="R180" s="100" t="s">
        <v>74</v>
      </c>
    </row>
    <row r="181" spans="2:18" ht="128.25" x14ac:dyDescent="0.25">
      <c r="B181" s="370" t="s">
        <v>434</v>
      </c>
      <c r="C181" s="370" t="s">
        <v>435</v>
      </c>
      <c r="D181" s="370" t="s">
        <v>410</v>
      </c>
      <c r="E181" s="370" t="s">
        <v>436</v>
      </c>
      <c r="F181" s="371"/>
      <c r="G181" s="101"/>
      <c r="H181" s="370" t="s">
        <v>410</v>
      </c>
      <c r="I181" s="370" t="s">
        <v>436</v>
      </c>
      <c r="J181" s="371"/>
      <c r="K181" s="101"/>
      <c r="L181" s="372" t="s">
        <v>410</v>
      </c>
      <c r="M181" s="372" t="s">
        <v>436</v>
      </c>
      <c r="N181" s="373"/>
      <c r="O181" s="101"/>
      <c r="P181" s="372" t="s">
        <v>410</v>
      </c>
      <c r="Q181" s="372" t="s">
        <v>436</v>
      </c>
      <c r="R181" s="373"/>
    </row>
    <row r="182" spans="2:18" x14ac:dyDescent="0.25">
      <c r="B182" s="195" t="s">
        <v>108</v>
      </c>
      <c r="C182" s="225" t="s">
        <v>143</v>
      </c>
      <c r="D182" s="102">
        <v>0</v>
      </c>
      <c r="E182" s="347">
        <v>0</v>
      </c>
      <c r="F182" s="103">
        <f>ROUND(D182*E182,0)</f>
        <v>0</v>
      </c>
      <c r="G182" s="104"/>
      <c r="H182" s="102">
        <v>0</v>
      </c>
      <c r="I182" s="347">
        <v>0</v>
      </c>
      <c r="J182" s="103">
        <f>ROUND(H182*I182,0)</f>
        <v>0</v>
      </c>
      <c r="K182" s="104"/>
      <c r="L182" s="102">
        <v>0</v>
      </c>
      <c r="M182" s="347">
        <v>0</v>
      </c>
      <c r="N182" s="103">
        <f>ROUND(L182*M182,0)</f>
        <v>0</v>
      </c>
      <c r="O182" s="104"/>
      <c r="P182" s="102">
        <v>0</v>
      </c>
      <c r="Q182" s="347">
        <v>0</v>
      </c>
      <c r="R182" s="103">
        <f>ROUND(P182*Q182,0)</f>
        <v>0</v>
      </c>
    </row>
    <row r="183" spans="2:18" x14ac:dyDescent="0.25">
      <c r="B183" s="195" t="s">
        <v>108</v>
      </c>
      <c r="C183" s="216" t="s">
        <v>1</v>
      </c>
      <c r="D183" s="102">
        <v>0</v>
      </c>
      <c r="E183" s="347">
        <v>0</v>
      </c>
      <c r="F183" s="103">
        <f t="shared" ref="F183:F196" si="32">ROUND(D183*E183,0)</f>
        <v>0</v>
      </c>
      <c r="G183" s="104"/>
      <c r="H183" s="102">
        <v>0</v>
      </c>
      <c r="I183" s="347">
        <v>0</v>
      </c>
      <c r="J183" s="103">
        <f t="shared" ref="J183:J196" si="33">ROUND(H183*I183,0)</f>
        <v>0</v>
      </c>
      <c r="K183" s="104"/>
      <c r="L183" s="102">
        <v>0</v>
      </c>
      <c r="M183" s="347">
        <v>0</v>
      </c>
      <c r="N183" s="103">
        <f t="shared" ref="N183:N196" si="34">ROUND(L183*M183,0)</f>
        <v>0</v>
      </c>
      <c r="O183" s="104"/>
      <c r="P183" s="102">
        <v>0</v>
      </c>
      <c r="Q183" s="347">
        <v>0</v>
      </c>
      <c r="R183" s="103">
        <f t="shared" ref="R183:R196" si="35">ROUND(P183*Q183,0)</f>
        <v>0</v>
      </c>
    </row>
    <row r="184" spans="2:18" x14ac:dyDescent="0.25">
      <c r="B184" s="195" t="s">
        <v>108</v>
      </c>
      <c r="C184" s="216"/>
      <c r="D184" s="102">
        <v>0</v>
      </c>
      <c r="E184" s="347">
        <v>0</v>
      </c>
      <c r="F184" s="103">
        <f t="shared" si="32"/>
        <v>0</v>
      </c>
      <c r="G184" s="104"/>
      <c r="H184" s="102">
        <v>0</v>
      </c>
      <c r="I184" s="347">
        <v>0</v>
      </c>
      <c r="J184" s="103">
        <f t="shared" si="33"/>
        <v>0</v>
      </c>
      <c r="K184" s="104"/>
      <c r="L184" s="102">
        <v>0</v>
      </c>
      <c r="M184" s="347">
        <v>0</v>
      </c>
      <c r="N184" s="103">
        <f t="shared" si="34"/>
        <v>0</v>
      </c>
      <c r="O184" s="104"/>
      <c r="P184" s="102">
        <v>0</v>
      </c>
      <c r="Q184" s="347">
        <v>0</v>
      </c>
      <c r="R184" s="103">
        <f t="shared" si="35"/>
        <v>0</v>
      </c>
    </row>
    <row r="185" spans="2:18" x14ac:dyDescent="0.25">
      <c r="B185" s="195" t="s">
        <v>108</v>
      </c>
      <c r="C185" s="216"/>
      <c r="D185" s="102">
        <v>0</v>
      </c>
      <c r="E185" s="347">
        <v>0</v>
      </c>
      <c r="F185" s="103">
        <f t="shared" si="32"/>
        <v>0</v>
      </c>
      <c r="G185" s="104"/>
      <c r="H185" s="102">
        <v>0</v>
      </c>
      <c r="I185" s="347">
        <v>0</v>
      </c>
      <c r="J185" s="103">
        <f t="shared" si="33"/>
        <v>0</v>
      </c>
      <c r="K185" s="104"/>
      <c r="L185" s="102">
        <v>0</v>
      </c>
      <c r="M185" s="347">
        <v>0</v>
      </c>
      <c r="N185" s="103">
        <f t="shared" si="34"/>
        <v>0</v>
      </c>
      <c r="O185" s="104"/>
      <c r="P185" s="102">
        <v>0</v>
      </c>
      <c r="Q185" s="347">
        <v>0</v>
      </c>
      <c r="R185" s="103">
        <f t="shared" si="35"/>
        <v>0</v>
      </c>
    </row>
    <row r="186" spans="2:18" x14ac:dyDescent="0.25">
      <c r="B186" s="195" t="s">
        <v>108</v>
      </c>
      <c r="C186" s="216"/>
      <c r="D186" s="102">
        <v>0</v>
      </c>
      <c r="E186" s="347">
        <v>0</v>
      </c>
      <c r="F186" s="103">
        <f t="shared" si="32"/>
        <v>0</v>
      </c>
      <c r="G186" s="104"/>
      <c r="H186" s="102">
        <v>0</v>
      </c>
      <c r="I186" s="347">
        <v>0</v>
      </c>
      <c r="J186" s="103">
        <f t="shared" si="33"/>
        <v>0</v>
      </c>
      <c r="K186" s="104"/>
      <c r="L186" s="102">
        <v>0</v>
      </c>
      <c r="M186" s="347">
        <v>0</v>
      </c>
      <c r="N186" s="103">
        <f t="shared" si="34"/>
        <v>0</v>
      </c>
      <c r="O186" s="104"/>
      <c r="P186" s="102">
        <v>0</v>
      </c>
      <c r="Q186" s="347">
        <v>0</v>
      </c>
      <c r="R186" s="103">
        <f t="shared" si="35"/>
        <v>0</v>
      </c>
    </row>
    <row r="187" spans="2:18" x14ac:dyDescent="0.25">
      <c r="B187" s="195" t="s">
        <v>108</v>
      </c>
      <c r="C187" s="225" t="s">
        <v>144</v>
      </c>
      <c r="D187" s="102">
        <v>0</v>
      </c>
      <c r="E187" s="347">
        <v>0</v>
      </c>
      <c r="F187" s="103">
        <f t="shared" si="32"/>
        <v>0</v>
      </c>
      <c r="G187" s="104"/>
      <c r="H187" s="102">
        <v>0</v>
      </c>
      <c r="I187" s="347">
        <v>0</v>
      </c>
      <c r="J187" s="103">
        <f t="shared" si="33"/>
        <v>0</v>
      </c>
      <c r="K187" s="104"/>
      <c r="L187" s="102">
        <v>0</v>
      </c>
      <c r="M187" s="347">
        <v>0</v>
      </c>
      <c r="N187" s="103">
        <f t="shared" si="34"/>
        <v>0</v>
      </c>
      <c r="O187" s="104"/>
      <c r="P187" s="102">
        <v>0</v>
      </c>
      <c r="Q187" s="347">
        <v>0</v>
      </c>
      <c r="R187" s="103">
        <f t="shared" si="35"/>
        <v>0</v>
      </c>
    </row>
    <row r="188" spans="2:18" x14ac:dyDescent="0.25">
      <c r="B188" s="195" t="s">
        <v>108</v>
      </c>
      <c r="C188" s="216"/>
      <c r="D188" s="102">
        <v>0</v>
      </c>
      <c r="E188" s="347">
        <v>0</v>
      </c>
      <c r="F188" s="103">
        <f t="shared" si="32"/>
        <v>0</v>
      </c>
      <c r="G188" s="104"/>
      <c r="H188" s="102">
        <v>0</v>
      </c>
      <c r="I188" s="347">
        <v>0</v>
      </c>
      <c r="J188" s="103">
        <f t="shared" si="33"/>
        <v>0</v>
      </c>
      <c r="K188" s="104"/>
      <c r="L188" s="102">
        <v>0</v>
      </c>
      <c r="M188" s="347">
        <v>0</v>
      </c>
      <c r="N188" s="103">
        <f t="shared" si="34"/>
        <v>0</v>
      </c>
      <c r="O188" s="104"/>
      <c r="P188" s="102">
        <v>0</v>
      </c>
      <c r="Q188" s="347">
        <v>0</v>
      </c>
      <c r="R188" s="103">
        <f t="shared" si="35"/>
        <v>0</v>
      </c>
    </row>
    <row r="189" spans="2:18" x14ac:dyDescent="0.25">
      <c r="B189" s="195" t="s">
        <v>108</v>
      </c>
      <c r="C189" s="216"/>
      <c r="D189" s="102">
        <v>0</v>
      </c>
      <c r="E189" s="347">
        <v>0</v>
      </c>
      <c r="F189" s="103">
        <f t="shared" si="32"/>
        <v>0</v>
      </c>
      <c r="G189" s="104"/>
      <c r="H189" s="102">
        <v>0</v>
      </c>
      <c r="I189" s="347">
        <v>0</v>
      </c>
      <c r="J189" s="103">
        <f t="shared" si="33"/>
        <v>0</v>
      </c>
      <c r="K189" s="104"/>
      <c r="L189" s="102">
        <v>0</v>
      </c>
      <c r="M189" s="347">
        <v>0</v>
      </c>
      <c r="N189" s="103">
        <f t="shared" si="34"/>
        <v>0</v>
      </c>
      <c r="O189" s="104"/>
      <c r="P189" s="102">
        <v>0</v>
      </c>
      <c r="Q189" s="347">
        <v>0</v>
      </c>
      <c r="R189" s="103">
        <f t="shared" si="35"/>
        <v>0</v>
      </c>
    </row>
    <row r="190" spans="2:18" x14ac:dyDescent="0.25">
      <c r="B190" s="195" t="s">
        <v>108</v>
      </c>
      <c r="C190" s="216"/>
      <c r="D190" s="102">
        <v>0</v>
      </c>
      <c r="E190" s="347">
        <v>0</v>
      </c>
      <c r="F190" s="103">
        <f t="shared" si="32"/>
        <v>0</v>
      </c>
      <c r="G190" s="104"/>
      <c r="H190" s="102">
        <v>0</v>
      </c>
      <c r="I190" s="347">
        <v>0</v>
      </c>
      <c r="J190" s="103">
        <f t="shared" si="33"/>
        <v>0</v>
      </c>
      <c r="K190" s="104"/>
      <c r="L190" s="102">
        <v>0</v>
      </c>
      <c r="M190" s="347">
        <v>0</v>
      </c>
      <c r="N190" s="103">
        <f t="shared" si="34"/>
        <v>0</v>
      </c>
      <c r="O190" s="104"/>
      <c r="P190" s="102">
        <v>0</v>
      </c>
      <c r="Q190" s="347">
        <v>0</v>
      </c>
      <c r="R190" s="103">
        <f t="shared" si="35"/>
        <v>0</v>
      </c>
    </row>
    <row r="191" spans="2:18" x14ac:dyDescent="0.25">
      <c r="B191" s="195" t="s">
        <v>108</v>
      </c>
      <c r="C191" s="216"/>
      <c r="D191" s="102">
        <v>0</v>
      </c>
      <c r="E191" s="347">
        <v>0</v>
      </c>
      <c r="F191" s="103">
        <f t="shared" si="32"/>
        <v>0</v>
      </c>
      <c r="G191" s="104"/>
      <c r="H191" s="102">
        <v>0</v>
      </c>
      <c r="I191" s="347">
        <v>0</v>
      </c>
      <c r="J191" s="103">
        <f t="shared" si="33"/>
        <v>0</v>
      </c>
      <c r="K191" s="104"/>
      <c r="L191" s="102">
        <v>0</v>
      </c>
      <c r="M191" s="347">
        <v>0</v>
      </c>
      <c r="N191" s="103">
        <f t="shared" si="34"/>
        <v>0</v>
      </c>
      <c r="O191" s="104"/>
      <c r="P191" s="102">
        <v>0</v>
      </c>
      <c r="Q191" s="347">
        <v>0</v>
      </c>
      <c r="R191" s="103">
        <f t="shared" si="35"/>
        <v>0</v>
      </c>
    </row>
    <row r="192" spans="2:18" x14ac:dyDescent="0.25">
      <c r="B192" s="195" t="s">
        <v>108</v>
      </c>
      <c r="C192" s="225" t="s">
        <v>145</v>
      </c>
      <c r="D192" s="102">
        <v>0</v>
      </c>
      <c r="E192" s="347">
        <v>0</v>
      </c>
      <c r="F192" s="103">
        <f t="shared" si="32"/>
        <v>0</v>
      </c>
      <c r="G192" s="104"/>
      <c r="H192" s="102">
        <v>0</v>
      </c>
      <c r="I192" s="347">
        <v>0</v>
      </c>
      <c r="J192" s="103">
        <f t="shared" si="33"/>
        <v>0</v>
      </c>
      <c r="K192" s="104"/>
      <c r="L192" s="102">
        <v>0</v>
      </c>
      <c r="M192" s="347">
        <v>0</v>
      </c>
      <c r="N192" s="103">
        <f t="shared" si="34"/>
        <v>0</v>
      </c>
      <c r="O192" s="104"/>
      <c r="P192" s="102">
        <v>0</v>
      </c>
      <c r="Q192" s="347">
        <v>0</v>
      </c>
      <c r="R192" s="103">
        <f t="shared" si="35"/>
        <v>0</v>
      </c>
    </row>
    <row r="193" spans="2:18" x14ac:dyDescent="0.25">
      <c r="B193" s="195" t="s">
        <v>108</v>
      </c>
      <c r="C193" s="216"/>
      <c r="D193" s="102">
        <v>0</v>
      </c>
      <c r="E193" s="347">
        <v>0</v>
      </c>
      <c r="F193" s="103">
        <f t="shared" si="32"/>
        <v>0</v>
      </c>
      <c r="G193" s="104"/>
      <c r="H193" s="102">
        <v>0</v>
      </c>
      <c r="I193" s="347">
        <v>0</v>
      </c>
      <c r="J193" s="103">
        <f t="shared" si="33"/>
        <v>0</v>
      </c>
      <c r="K193" s="104"/>
      <c r="L193" s="102">
        <v>0</v>
      </c>
      <c r="M193" s="347">
        <v>0</v>
      </c>
      <c r="N193" s="103">
        <f t="shared" si="34"/>
        <v>0</v>
      </c>
      <c r="O193" s="104"/>
      <c r="P193" s="102">
        <v>0</v>
      </c>
      <c r="Q193" s="347">
        <v>0</v>
      </c>
      <c r="R193" s="103">
        <f t="shared" si="35"/>
        <v>0</v>
      </c>
    </row>
    <row r="194" spans="2:18" x14ac:dyDescent="0.25">
      <c r="B194" s="195" t="s">
        <v>108</v>
      </c>
      <c r="C194" s="216"/>
      <c r="D194" s="102">
        <v>0</v>
      </c>
      <c r="E194" s="347">
        <v>0</v>
      </c>
      <c r="F194" s="103">
        <f t="shared" si="32"/>
        <v>0</v>
      </c>
      <c r="G194" s="104"/>
      <c r="H194" s="102">
        <v>0</v>
      </c>
      <c r="I194" s="347">
        <v>0</v>
      </c>
      <c r="J194" s="103">
        <f t="shared" si="33"/>
        <v>0</v>
      </c>
      <c r="K194" s="104"/>
      <c r="L194" s="102">
        <v>0</v>
      </c>
      <c r="M194" s="347">
        <v>0</v>
      </c>
      <c r="N194" s="103">
        <f t="shared" si="34"/>
        <v>0</v>
      </c>
      <c r="O194" s="104"/>
      <c r="P194" s="102">
        <v>0</v>
      </c>
      <c r="Q194" s="347">
        <v>0</v>
      </c>
      <c r="R194" s="103">
        <f t="shared" si="35"/>
        <v>0</v>
      </c>
    </row>
    <row r="195" spans="2:18" x14ac:dyDescent="0.25">
      <c r="B195" s="195" t="s">
        <v>108</v>
      </c>
      <c r="C195" s="216"/>
      <c r="D195" s="102">
        <v>0</v>
      </c>
      <c r="E195" s="347">
        <v>0</v>
      </c>
      <c r="F195" s="103">
        <f t="shared" si="32"/>
        <v>0</v>
      </c>
      <c r="G195" s="104"/>
      <c r="H195" s="102">
        <v>0</v>
      </c>
      <c r="I195" s="347">
        <v>0</v>
      </c>
      <c r="J195" s="103">
        <f t="shared" si="33"/>
        <v>0</v>
      </c>
      <c r="K195" s="104"/>
      <c r="L195" s="102">
        <v>0</v>
      </c>
      <c r="M195" s="347">
        <v>0</v>
      </c>
      <c r="N195" s="103">
        <f t="shared" si="34"/>
        <v>0</v>
      </c>
      <c r="O195" s="104"/>
      <c r="P195" s="102">
        <v>0</v>
      </c>
      <c r="Q195" s="347">
        <v>0</v>
      </c>
      <c r="R195" s="103">
        <f t="shared" si="35"/>
        <v>0</v>
      </c>
    </row>
    <row r="196" spans="2:18" ht="15.75" thickBot="1" x14ac:dyDescent="0.3">
      <c r="B196" s="234" t="s">
        <v>108</v>
      </c>
      <c r="C196" s="235"/>
      <c r="D196" s="102">
        <v>0</v>
      </c>
      <c r="E196" s="347">
        <v>0</v>
      </c>
      <c r="F196" s="103">
        <f t="shared" si="32"/>
        <v>0</v>
      </c>
      <c r="G196" s="104"/>
      <c r="H196" s="102">
        <v>0</v>
      </c>
      <c r="I196" s="347">
        <v>0</v>
      </c>
      <c r="J196" s="103">
        <f t="shared" si="33"/>
        <v>0</v>
      </c>
      <c r="K196" s="104"/>
      <c r="L196" s="102">
        <v>0</v>
      </c>
      <c r="M196" s="347">
        <v>0</v>
      </c>
      <c r="N196" s="103">
        <f t="shared" si="34"/>
        <v>0</v>
      </c>
      <c r="O196" s="104"/>
      <c r="P196" s="102">
        <v>0</v>
      </c>
      <c r="Q196" s="347">
        <v>0</v>
      </c>
      <c r="R196" s="103">
        <f t="shared" si="35"/>
        <v>0</v>
      </c>
    </row>
    <row r="197" spans="2:18" ht="15.75" thickBot="1" x14ac:dyDescent="0.3">
      <c r="B197" s="238" t="s">
        <v>87</v>
      </c>
      <c r="C197" s="236"/>
      <c r="D197" s="200">
        <f>SUM(D182:D196)</f>
        <v>0</v>
      </c>
      <c r="E197" s="150"/>
      <c r="F197" s="109">
        <f>ROUND(SUM(F182:F196),0)</f>
        <v>0</v>
      </c>
      <c r="G197" s="110"/>
      <c r="H197" s="200">
        <f>SUM(H182:H196)</f>
        <v>0</v>
      </c>
      <c r="I197" s="150" t="s">
        <v>1</v>
      </c>
      <c r="J197" s="109">
        <f>ROUND(SUM(J182:J196),0)</f>
        <v>0</v>
      </c>
      <c r="K197" s="110"/>
      <c r="L197" s="200">
        <f>SUM(L182:L196)</f>
        <v>0</v>
      </c>
      <c r="M197" s="150"/>
      <c r="N197" s="109">
        <f>ROUND(SUM(N182:N196),0)</f>
        <v>0</v>
      </c>
      <c r="O197" s="110"/>
      <c r="P197" s="200">
        <f>SUM(P182:P196)</f>
        <v>0</v>
      </c>
      <c r="Q197" s="150"/>
      <c r="R197" s="109">
        <f>ROUND(SUM(R182:R196),0)</f>
        <v>0</v>
      </c>
    </row>
    <row r="198" spans="2:18" ht="15.75" thickBot="1" x14ac:dyDescent="0.3">
      <c r="B198" s="37"/>
      <c r="C198" s="37"/>
      <c r="D198" s="37"/>
      <c r="E198" s="37"/>
      <c r="F198" s="37"/>
      <c r="G198" s="37"/>
      <c r="H198" s="37"/>
      <c r="I198" s="37"/>
      <c r="J198" s="37"/>
      <c r="K198" s="37"/>
      <c r="L198" s="37"/>
      <c r="M198" s="37"/>
      <c r="N198" s="37"/>
    </row>
    <row r="199" spans="2:18" ht="16.5" thickBot="1" x14ac:dyDescent="0.3">
      <c r="B199" s="497" t="s">
        <v>320</v>
      </c>
      <c r="C199" s="498"/>
      <c r="D199" s="490" t="s">
        <v>69</v>
      </c>
      <c r="E199" s="491"/>
      <c r="F199" s="492"/>
      <c r="G199" s="96"/>
      <c r="H199" s="490" t="s">
        <v>69</v>
      </c>
      <c r="I199" s="491"/>
      <c r="J199" s="492"/>
      <c r="K199" s="96"/>
      <c r="L199" s="490" t="s">
        <v>69</v>
      </c>
      <c r="M199" s="491"/>
      <c r="N199" s="492"/>
      <c r="O199" s="96"/>
      <c r="P199" s="490" t="s">
        <v>69</v>
      </c>
      <c r="Q199" s="491"/>
      <c r="R199" s="492"/>
    </row>
    <row r="200" spans="2:18" ht="16.5" thickBot="1" x14ac:dyDescent="0.3">
      <c r="B200" s="499"/>
      <c r="C200" s="500"/>
      <c r="D200" s="487" t="str">
        <f>D11</f>
        <v>Basic Period (Year 1)</v>
      </c>
      <c r="E200" s="488"/>
      <c r="F200" s="489"/>
      <c r="G200" s="97"/>
      <c r="H200" s="487" t="str">
        <f>H11</f>
        <v>Basic Period (Year 2)</v>
      </c>
      <c r="I200" s="488"/>
      <c r="J200" s="489"/>
      <c r="K200" s="97"/>
      <c r="L200" s="487" t="str">
        <f>L11</f>
        <v>Basic Period (Year 3)</v>
      </c>
      <c r="M200" s="488"/>
      <c r="N200" s="489"/>
      <c r="O200" s="97"/>
      <c r="P200" s="487" t="str">
        <f>P11</f>
        <v>Basic Period (Year 4)</v>
      </c>
      <c r="Q200" s="488"/>
      <c r="R200" s="489"/>
    </row>
    <row r="201" spans="2:18" ht="16.5" thickBot="1" x14ac:dyDescent="0.3">
      <c r="B201" s="98" t="s">
        <v>46</v>
      </c>
      <c r="C201" s="98" t="s">
        <v>183</v>
      </c>
      <c r="D201" s="98" t="s">
        <v>29</v>
      </c>
      <c r="E201" s="99" t="s">
        <v>68</v>
      </c>
      <c r="F201" s="100" t="s">
        <v>74</v>
      </c>
      <c r="G201" s="101"/>
      <c r="H201" s="98" t="s">
        <v>29</v>
      </c>
      <c r="I201" s="99" t="s">
        <v>68</v>
      </c>
      <c r="J201" s="100" t="s">
        <v>74</v>
      </c>
      <c r="K201" s="101"/>
      <c r="L201" s="98" t="s">
        <v>29</v>
      </c>
      <c r="M201" s="99" t="s">
        <v>68</v>
      </c>
      <c r="N201" s="100" t="s">
        <v>74</v>
      </c>
      <c r="O201" s="101"/>
      <c r="P201" s="98" t="s">
        <v>29</v>
      </c>
      <c r="Q201" s="99" t="s">
        <v>68</v>
      </c>
      <c r="R201" s="100" t="s">
        <v>74</v>
      </c>
    </row>
    <row r="202" spans="2:18" ht="128.25" x14ac:dyDescent="0.25">
      <c r="B202" s="370" t="s">
        <v>434</v>
      </c>
      <c r="C202" s="370" t="s">
        <v>435</v>
      </c>
      <c r="D202" s="370" t="s">
        <v>410</v>
      </c>
      <c r="E202" s="370" t="s">
        <v>436</v>
      </c>
      <c r="F202" s="371"/>
      <c r="G202" s="101"/>
      <c r="H202" s="370" t="s">
        <v>410</v>
      </c>
      <c r="I202" s="370" t="s">
        <v>436</v>
      </c>
      <c r="J202" s="371"/>
      <c r="K202" s="101"/>
      <c r="L202" s="372" t="s">
        <v>410</v>
      </c>
      <c r="M202" s="372" t="s">
        <v>436</v>
      </c>
      <c r="N202" s="373"/>
      <c r="O202" s="101"/>
      <c r="P202" s="372" t="s">
        <v>410</v>
      </c>
      <c r="Q202" s="372" t="s">
        <v>436</v>
      </c>
      <c r="R202" s="373"/>
    </row>
    <row r="203" spans="2:18" x14ac:dyDescent="0.25">
      <c r="B203" s="195" t="s">
        <v>108</v>
      </c>
      <c r="C203" s="225" t="s">
        <v>146</v>
      </c>
      <c r="D203" s="102">
        <v>0</v>
      </c>
      <c r="E203" s="347">
        <f>'SUB CPIF RATES (ALL)'!C27</f>
        <v>0</v>
      </c>
      <c r="F203" s="103">
        <f>ROUND(D203*E203,0)</f>
        <v>0</v>
      </c>
      <c r="G203" s="104"/>
      <c r="H203" s="102">
        <v>0</v>
      </c>
      <c r="I203" s="347">
        <f>'SUB CPIF RATES (ALL)'!D27</f>
        <v>0</v>
      </c>
      <c r="J203" s="103">
        <f>ROUND(H203*I203,0)</f>
        <v>0</v>
      </c>
      <c r="K203" s="104"/>
      <c r="L203" s="102">
        <v>0</v>
      </c>
      <c r="M203" s="347">
        <f>'SUB CPIF RATES (ALL)'!E27</f>
        <v>0</v>
      </c>
      <c r="N203" s="103">
        <f>ROUND(L203*M203,0)</f>
        <v>0</v>
      </c>
      <c r="O203" s="104"/>
      <c r="P203" s="102">
        <v>0</v>
      </c>
      <c r="Q203" s="347">
        <f>'SUB CPIF RATES (ALL)'!F27</f>
        <v>0</v>
      </c>
      <c r="R203" s="103">
        <f>ROUND(P203*Q203,0)</f>
        <v>0</v>
      </c>
    </row>
    <row r="204" spans="2:18" x14ac:dyDescent="0.25">
      <c r="B204" s="195" t="s">
        <v>108</v>
      </c>
      <c r="C204" s="216" t="s">
        <v>1</v>
      </c>
      <c r="D204" s="102">
        <v>0</v>
      </c>
      <c r="E204" s="347">
        <v>0</v>
      </c>
      <c r="F204" s="103">
        <f t="shared" ref="F204:F217" si="36">ROUND(D204*E204,0)</f>
        <v>0</v>
      </c>
      <c r="G204" s="104"/>
      <c r="H204" s="102">
        <v>0</v>
      </c>
      <c r="I204" s="347">
        <v>0</v>
      </c>
      <c r="J204" s="103">
        <f t="shared" ref="J204:J217" si="37">ROUND(H204*I204,0)</f>
        <v>0</v>
      </c>
      <c r="K204" s="104"/>
      <c r="L204" s="102">
        <v>0</v>
      </c>
      <c r="M204" s="347">
        <v>0</v>
      </c>
      <c r="N204" s="103">
        <f t="shared" ref="N204:N217" si="38">ROUND(L204*M204,0)</f>
        <v>0</v>
      </c>
      <c r="O204" s="104"/>
      <c r="P204" s="102">
        <v>0</v>
      </c>
      <c r="Q204" s="347">
        <v>0</v>
      </c>
      <c r="R204" s="103">
        <f t="shared" ref="R204:R217" si="39">ROUND(P204*Q204,0)</f>
        <v>0</v>
      </c>
    </row>
    <row r="205" spans="2:18" x14ac:dyDescent="0.25">
      <c r="B205" s="195" t="s">
        <v>108</v>
      </c>
      <c r="C205" s="216"/>
      <c r="D205" s="102">
        <v>0</v>
      </c>
      <c r="E205" s="347">
        <v>0</v>
      </c>
      <c r="F205" s="103">
        <f t="shared" si="36"/>
        <v>0</v>
      </c>
      <c r="G205" s="104"/>
      <c r="H205" s="102">
        <v>0</v>
      </c>
      <c r="I205" s="347">
        <v>0</v>
      </c>
      <c r="J205" s="103">
        <f t="shared" si="37"/>
        <v>0</v>
      </c>
      <c r="K205" s="104"/>
      <c r="L205" s="102">
        <v>0</v>
      </c>
      <c r="M205" s="347">
        <v>0</v>
      </c>
      <c r="N205" s="103">
        <f t="shared" si="38"/>
        <v>0</v>
      </c>
      <c r="O205" s="104"/>
      <c r="P205" s="102">
        <v>0</v>
      </c>
      <c r="Q205" s="347">
        <v>0</v>
      </c>
      <c r="R205" s="103">
        <f t="shared" si="39"/>
        <v>0</v>
      </c>
    </row>
    <row r="206" spans="2:18" x14ac:dyDescent="0.25">
      <c r="B206" s="195" t="s">
        <v>108</v>
      </c>
      <c r="C206" s="216"/>
      <c r="D206" s="102">
        <v>0</v>
      </c>
      <c r="E206" s="347">
        <v>0</v>
      </c>
      <c r="F206" s="103">
        <f t="shared" si="36"/>
        <v>0</v>
      </c>
      <c r="G206" s="104"/>
      <c r="H206" s="102">
        <v>0</v>
      </c>
      <c r="I206" s="347">
        <v>0</v>
      </c>
      <c r="J206" s="103">
        <f t="shared" si="37"/>
        <v>0</v>
      </c>
      <c r="K206" s="104"/>
      <c r="L206" s="102">
        <v>0</v>
      </c>
      <c r="M206" s="347">
        <v>0</v>
      </c>
      <c r="N206" s="103">
        <f t="shared" si="38"/>
        <v>0</v>
      </c>
      <c r="O206" s="104"/>
      <c r="P206" s="102">
        <v>0</v>
      </c>
      <c r="Q206" s="347">
        <v>0</v>
      </c>
      <c r="R206" s="103">
        <f t="shared" si="39"/>
        <v>0</v>
      </c>
    </row>
    <row r="207" spans="2:18" x14ac:dyDescent="0.25">
      <c r="B207" s="195" t="s">
        <v>108</v>
      </c>
      <c r="C207" s="216"/>
      <c r="D207" s="102">
        <v>0</v>
      </c>
      <c r="E207" s="347">
        <v>0</v>
      </c>
      <c r="F207" s="103">
        <f t="shared" si="36"/>
        <v>0</v>
      </c>
      <c r="G207" s="104"/>
      <c r="H207" s="102">
        <v>0</v>
      </c>
      <c r="I207" s="347">
        <v>0</v>
      </c>
      <c r="J207" s="103">
        <f t="shared" si="37"/>
        <v>0</v>
      </c>
      <c r="K207" s="104"/>
      <c r="L207" s="102">
        <v>0</v>
      </c>
      <c r="M207" s="347">
        <v>0</v>
      </c>
      <c r="N207" s="103">
        <f t="shared" si="38"/>
        <v>0</v>
      </c>
      <c r="O207" s="104"/>
      <c r="P207" s="102">
        <v>0</v>
      </c>
      <c r="Q207" s="347">
        <v>0</v>
      </c>
      <c r="R207" s="103">
        <f t="shared" si="39"/>
        <v>0</v>
      </c>
    </row>
    <row r="208" spans="2:18" x14ac:dyDescent="0.25">
      <c r="B208" s="195" t="s">
        <v>108</v>
      </c>
      <c r="C208" s="225" t="s">
        <v>147</v>
      </c>
      <c r="D208" s="102">
        <v>0</v>
      </c>
      <c r="E208" s="347">
        <v>0</v>
      </c>
      <c r="F208" s="103">
        <f t="shared" si="36"/>
        <v>0</v>
      </c>
      <c r="G208" s="104"/>
      <c r="H208" s="102">
        <v>0</v>
      </c>
      <c r="I208" s="347">
        <v>0</v>
      </c>
      <c r="J208" s="103">
        <f t="shared" si="37"/>
        <v>0</v>
      </c>
      <c r="K208" s="104"/>
      <c r="L208" s="102">
        <v>0</v>
      </c>
      <c r="M208" s="347">
        <v>0</v>
      </c>
      <c r="N208" s="103">
        <f t="shared" si="38"/>
        <v>0</v>
      </c>
      <c r="O208" s="104"/>
      <c r="P208" s="102">
        <v>0</v>
      </c>
      <c r="Q208" s="347">
        <v>0</v>
      </c>
      <c r="R208" s="103">
        <f t="shared" si="39"/>
        <v>0</v>
      </c>
    </row>
    <row r="209" spans="2:18" x14ac:dyDescent="0.25">
      <c r="B209" s="195" t="s">
        <v>108</v>
      </c>
      <c r="C209" s="216"/>
      <c r="D209" s="102">
        <v>0</v>
      </c>
      <c r="E209" s="347">
        <v>0</v>
      </c>
      <c r="F209" s="103">
        <f t="shared" si="36"/>
        <v>0</v>
      </c>
      <c r="G209" s="104"/>
      <c r="H209" s="102">
        <v>0</v>
      </c>
      <c r="I209" s="347">
        <v>0</v>
      </c>
      <c r="J209" s="103">
        <f t="shared" si="37"/>
        <v>0</v>
      </c>
      <c r="K209" s="104"/>
      <c r="L209" s="102">
        <v>0</v>
      </c>
      <c r="M209" s="347">
        <v>0</v>
      </c>
      <c r="N209" s="103">
        <f t="shared" si="38"/>
        <v>0</v>
      </c>
      <c r="O209" s="104"/>
      <c r="P209" s="102">
        <v>0</v>
      </c>
      <c r="Q209" s="347">
        <v>0</v>
      </c>
      <c r="R209" s="103">
        <f t="shared" si="39"/>
        <v>0</v>
      </c>
    </row>
    <row r="210" spans="2:18" x14ac:dyDescent="0.25">
      <c r="B210" s="195" t="s">
        <v>108</v>
      </c>
      <c r="C210" s="216"/>
      <c r="D210" s="102">
        <v>0</v>
      </c>
      <c r="E210" s="347">
        <v>0</v>
      </c>
      <c r="F210" s="103">
        <f t="shared" si="36"/>
        <v>0</v>
      </c>
      <c r="G210" s="104"/>
      <c r="H210" s="102">
        <v>0</v>
      </c>
      <c r="I210" s="347">
        <v>0</v>
      </c>
      <c r="J210" s="103">
        <f t="shared" si="37"/>
        <v>0</v>
      </c>
      <c r="K210" s="104"/>
      <c r="L210" s="102">
        <v>0</v>
      </c>
      <c r="M210" s="347">
        <v>0</v>
      </c>
      <c r="N210" s="103">
        <f t="shared" si="38"/>
        <v>0</v>
      </c>
      <c r="O210" s="104"/>
      <c r="P210" s="102">
        <v>0</v>
      </c>
      <c r="Q210" s="347">
        <v>0</v>
      </c>
      <c r="R210" s="103">
        <f t="shared" si="39"/>
        <v>0</v>
      </c>
    </row>
    <row r="211" spans="2:18" x14ac:dyDescent="0.25">
      <c r="B211" s="195" t="s">
        <v>108</v>
      </c>
      <c r="C211" s="216"/>
      <c r="D211" s="102">
        <v>0</v>
      </c>
      <c r="E211" s="347">
        <v>0</v>
      </c>
      <c r="F211" s="103">
        <f t="shared" si="36"/>
        <v>0</v>
      </c>
      <c r="G211" s="104"/>
      <c r="H211" s="102">
        <v>0</v>
      </c>
      <c r="I211" s="347">
        <v>0</v>
      </c>
      <c r="J211" s="103">
        <f t="shared" si="37"/>
        <v>0</v>
      </c>
      <c r="K211" s="104"/>
      <c r="L211" s="102">
        <v>0</v>
      </c>
      <c r="M211" s="347">
        <v>0</v>
      </c>
      <c r="N211" s="103">
        <f t="shared" si="38"/>
        <v>0</v>
      </c>
      <c r="O211" s="104"/>
      <c r="P211" s="102">
        <v>0</v>
      </c>
      <c r="Q211" s="347">
        <v>0</v>
      </c>
      <c r="R211" s="103">
        <f t="shared" si="39"/>
        <v>0</v>
      </c>
    </row>
    <row r="212" spans="2:18" x14ac:dyDescent="0.25">
      <c r="B212" s="195" t="s">
        <v>108</v>
      </c>
      <c r="C212" s="216"/>
      <c r="D212" s="102">
        <v>0</v>
      </c>
      <c r="E212" s="347">
        <v>0</v>
      </c>
      <c r="F212" s="103">
        <f t="shared" si="36"/>
        <v>0</v>
      </c>
      <c r="G212" s="104"/>
      <c r="H212" s="102">
        <v>0</v>
      </c>
      <c r="I212" s="347">
        <v>0</v>
      </c>
      <c r="J212" s="103">
        <f t="shared" si="37"/>
        <v>0</v>
      </c>
      <c r="K212" s="104"/>
      <c r="L212" s="102">
        <v>0</v>
      </c>
      <c r="M212" s="347">
        <v>0</v>
      </c>
      <c r="N212" s="103">
        <f t="shared" si="38"/>
        <v>0</v>
      </c>
      <c r="O212" s="104"/>
      <c r="P212" s="102">
        <v>0</v>
      </c>
      <c r="Q212" s="347">
        <v>0</v>
      </c>
      <c r="R212" s="103">
        <f t="shared" si="39"/>
        <v>0</v>
      </c>
    </row>
    <row r="213" spans="2:18" x14ac:dyDescent="0.25">
      <c r="B213" s="195" t="s">
        <v>108</v>
      </c>
      <c r="C213" s="225" t="s">
        <v>148</v>
      </c>
      <c r="D213" s="102">
        <v>0</v>
      </c>
      <c r="E213" s="347">
        <v>0</v>
      </c>
      <c r="F213" s="103">
        <f t="shared" si="36"/>
        <v>0</v>
      </c>
      <c r="G213" s="104"/>
      <c r="H213" s="102">
        <v>0</v>
      </c>
      <c r="I213" s="347">
        <v>0</v>
      </c>
      <c r="J213" s="103">
        <f t="shared" si="37"/>
        <v>0</v>
      </c>
      <c r="K213" s="104"/>
      <c r="L213" s="102">
        <v>0</v>
      </c>
      <c r="M213" s="347">
        <v>0</v>
      </c>
      <c r="N213" s="103">
        <f t="shared" si="38"/>
        <v>0</v>
      </c>
      <c r="O213" s="104"/>
      <c r="P213" s="102">
        <v>0</v>
      </c>
      <c r="Q213" s="347">
        <v>0</v>
      </c>
      <c r="R213" s="103">
        <f t="shared" si="39"/>
        <v>0</v>
      </c>
    </row>
    <row r="214" spans="2:18" x14ac:dyDescent="0.25">
      <c r="B214" s="195" t="s">
        <v>108</v>
      </c>
      <c r="C214" s="216"/>
      <c r="D214" s="102">
        <v>0</v>
      </c>
      <c r="E214" s="347">
        <v>0</v>
      </c>
      <c r="F214" s="103">
        <f t="shared" si="36"/>
        <v>0</v>
      </c>
      <c r="G214" s="104"/>
      <c r="H214" s="102">
        <v>0</v>
      </c>
      <c r="I214" s="347">
        <v>0</v>
      </c>
      <c r="J214" s="103">
        <f t="shared" si="37"/>
        <v>0</v>
      </c>
      <c r="K214" s="104"/>
      <c r="L214" s="102">
        <v>0</v>
      </c>
      <c r="M214" s="347">
        <v>0</v>
      </c>
      <c r="N214" s="103">
        <f t="shared" si="38"/>
        <v>0</v>
      </c>
      <c r="O214" s="104"/>
      <c r="P214" s="102">
        <v>0</v>
      </c>
      <c r="Q214" s="347">
        <v>0</v>
      </c>
      <c r="R214" s="103">
        <f t="shared" si="39"/>
        <v>0</v>
      </c>
    </row>
    <row r="215" spans="2:18" x14ac:dyDescent="0.25">
      <c r="B215" s="195" t="s">
        <v>108</v>
      </c>
      <c r="C215" s="216"/>
      <c r="D215" s="102">
        <v>0</v>
      </c>
      <c r="E215" s="347">
        <v>0</v>
      </c>
      <c r="F215" s="103">
        <f t="shared" si="36"/>
        <v>0</v>
      </c>
      <c r="G215" s="104"/>
      <c r="H215" s="102">
        <v>0</v>
      </c>
      <c r="I215" s="347">
        <v>0</v>
      </c>
      <c r="J215" s="103">
        <f t="shared" si="37"/>
        <v>0</v>
      </c>
      <c r="K215" s="104"/>
      <c r="L215" s="102">
        <v>0</v>
      </c>
      <c r="M215" s="347">
        <v>0</v>
      </c>
      <c r="N215" s="103">
        <f t="shared" si="38"/>
        <v>0</v>
      </c>
      <c r="O215" s="104"/>
      <c r="P215" s="102">
        <v>0</v>
      </c>
      <c r="Q215" s="347">
        <v>0</v>
      </c>
      <c r="R215" s="103">
        <f t="shared" si="39"/>
        <v>0</v>
      </c>
    </row>
    <row r="216" spans="2:18" x14ac:dyDescent="0.25">
      <c r="B216" s="195" t="s">
        <v>108</v>
      </c>
      <c r="C216" s="216"/>
      <c r="D216" s="102">
        <v>0</v>
      </c>
      <c r="E216" s="347">
        <v>0</v>
      </c>
      <c r="F216" s="103">
        <f t="shared" si="36"/>
        <v>0</v>
      </c>
      <c r="G216" s="104"/>
      <c r="H216" s="102">
        <v>0</v>
      </c>
      <c r="I216" s="347">
        <v>0</v>
      </c>
      <c r="J216" s="103">
        <f t="shared" si="37"/>
        <v>0</v>
      </c>
      <c r="K216" s="104"/>
      <c r="L216" s="102">
        <v>0</v>
      </c>
      <c r="M216" s="347">
        <v>0</v>
      </c>
      <c r="N216" s="103">
        <f t="shared" si="38"/>
        <v>0</v>
      </c>
      <c r="O216" s="104"/>
      <c r="P216" s="102">
        <v>0</v>
      </c>
      <c r="Q216" s="347">
        <v>0</v>
      </c>
      <c r="R216" s="103">
        <f t="shared" si="39"/>
        <v>0</v>
      </c>
    </row>
    <row r="217" spans="2:18" ht="15.75" thickBot="1" x14ac:dyDescent="0.3">
      <c r="B217" s="234" t="s">
        <v>108</v>
      </c>
      <c r="C217" s="235"/>
      <c r="D217" s="102">
        <v>0</v>
      </c>
      <c r="E217" s="347">
        <v>0</v>
      </c>
      <c r="F217" s="103">
        <f t="shared" si="36"/>
        <v>0</v>
      </c>
      <c r="G217" s="104"/>
      <c r="H217" s="102">
        <v>0</v>
      </c>
      <c r="I217" s="347">
        <v>0</v>
      </c>
      <c r="J217" s="103">
        <f t="shared" si="37"/>
        <v>0</v>
      </c>
      <c r="K217" s="104"/>
      <c r="L217" s="102">
        <v>0</v>
      </c>
      <c r="M217" s="347">
        <v>0</v>
      </c>
      <c r="N217" s="103">
        <f t="shared" si="38"/>
        <v>0</v>
      </c>
      <c r="O217" s="104"/>
      <c r="P217" s="102">
        <v>0</v>
      </c>
      <c r="Q217" s="347">
        <v>0</v>
      </c>
      <c r="R217" s="103">
        <f t="shared" si="39"/>
        <v>0</v>
      </c>
    </row>
    <row r="218" spans="2:18" ht="15.75" thickBot="1" x14ac:dyDescent="0.3">
      <c r="B218" s="238" t="s">
        <v>87</v>
      </c>
      <c r="C218" s="236"/>
      <c r="D218" s="200">
        <f>SUM(D203:D217)</f>
        <v>0</v>
      </c>
      <c r="E218" s="150"/>
      <c r="F218" s="109">
        <f>ROUND(SUM(F203:F217),0)</f>
        <v>0</v>
      </c>
      <c r="G218" s="110"/>
      <c r="H218" s="200">
        <f>SUM(H203:H217)</f>
        <v>0</v>
      </c>
      <c r="I218" s="150" t="s">
        <v>1</v>
      </c>
      <c r="J218" s="109">
        <f>ROUND(SUM(J203:J217),0)</f>
        <v>0</v>
      </c>
      <c r="K218" s="110"/>
      <c r="L218" s="200">
        <f>SUM(L203:L217)</f>
        <v>0</v>
      </c>
      <c r="M218" s="150"/>
      <c r="N218" s="109">
        <f>ROUND(SUM(N203:N217),0)</f>
        <v>0</v>
      </c>
      <c r="O218" s="110"/>
      <c r="P218" s="200">
        <f>SUM(P203:P217)</f>
        <v>0</v>
      </c>
      <c r="Q218" s="150"/>
      <c r="R218" s="109">
        <f>ROUND(SUM(R203:R217),0)</f>
        <v>0</v>
      </c>
    </row>
    <row r="219" spans="2:18" ht="15.75" thickBot="1" x14ac:dyDescent="0.3"/>
    <row r="220" spans="2:18" ht="16.5" thickBot="1" x14ac:dyDescent="0.3">
      <c r="B220" s="497" t="s">
        <v>321</v>
      </c>
      <c r="C220" s="498"/>
      <c r="D220" s="490" t="s">
        <v>69</v>
      </c>
      <c r="E220" s="491"/>
      <c r="F220" s="492"/>
      <c r="G220" s="96"/>
      <c r="H220" s="490" t="s">
        <v>69</v>
      </c>
      <c r="I220" s="491"/>
      <c r="J220" s="492"/>
      <c r="K220" s="96"/>
      <c r="L220" s="490" t="s">
        <v>69</v>
      </c>
      <c r="M220" s="491"/>
      <c r="N220" s="492"/>
      <c r="O220" s="96"/>
      <c r="P220" s="490" t="s">
        <v>69</v>
      </c>
      <c r="Q220" s="491"/>
      <c r="R220" s="492"/>
    </row>
    <row r="221" spans="2:18" ht="16.5" thickBot="1" x14ac:dyDescent="0.3">
      <c r="B221" s="499"/>
      <c r="C221" s="500"/>
      <c r="D221" s="487" t="str">
        <f>D11</f>
        <v>Basic Period (Year 1)</v>
      </c>
      <c r="E221" s="488"/>
      <c r="F221" s="489"/>
      <c r="G221" s="97"/>
      <c r="H221" s="487" t="str">
        <f>H11</f>
        <v>Basic Period (Year 2)</v>
      </c>
      <c r="I221" s="488"/>
      <c r="J221" s="489"/>
      <c r="K221" s="97"/>
      <c r="L221" s="487" t="str">
        <f>L11</f>
        <v>Basic Period (Year 3)</v>
      </c>
      <c r="M221" s="488"/>
      <c r="N221" s="489"/>
      <c r="O221" s="97"/>
      <c r="P221" s="487" t="str">
        <f>P11</f>
        <v>Basic Period (Year 4)</v>
      </c>
      <c r="Q221" s="488"/>
      <c r="R221" s="489"/>
    </row>
    <row r="222" spans="2:18" ht="16.5" thickBot="1" x14ac:dyDescent="0.3">
      <c r="B222" s="98" t="s">
        <v>46</v>
      </c>
      <c r="C222" s="98" t="s">
        <v>183</v>
      </c>
      <c r="D222" s="98" t="s">
        <v>29</v>
      </c>
      <c r="E222" s="99" t="s">
        <v>68</v>
      </c>
      <c r="F222" s="100" t="s">
        <v>74</v>
      </c>
      <c r="G222" s="101"/>
      <c r="H222" s="98" t="s">
        <v>29</v>
      </c>
      <c r="I222" s="99" t="s">
        <v>68</v>
      </c>
      <c r="J222" s="100" t="s">
        <v>74</v>
      </c>
      <c r="K222" s="101"/>
      <c r="L222" s="98" t="s">
        <v>29</v>
      </c>
      <c r="M222" s="99" t="s">
        <v>68</v>
      </c>
      <c r="N222" s="100" t="s">
        <v>74</v>
      </c>
      <c r="O222" s="101"/>
      <c r="P222" s="98" t="s">
        <v>29</v>
      </c>
      <c r="Q222" s="99" t="s">
        <v>68</v>
      </c>
      <c r="R222" s="100" t="s">
        <v>74</v>
      </c>
    </row>
    <row r="223" spans="2:18" ht="128.25" x14ac:dyDescent="0.25">
      <c r="B223" s="370" t="s">
        <v>434</v>
      </c>
      <c r="C223" s="370" t="s">
        <v>435</v>
      </c>
      <c r="D223" s="370" t="s">
        <v>410</v>
      </c>
      <c r="E223" s="370" t="s">
        <v>436</v>
      </c>
      <c r="F223" s="371"/>
      <c r="G223" s="101"/>
      <c r="H223" s="370" t="s">
        <v>410</v>
      </c>
      <c r="I223" s="370" t="s">
        <v>436</v>
      </c>
      <c r="J223" s="371"/>
      <c r="K223" s="101"/>
      <c r="L223" s="372" t="s">
        <v>410</v>
      </c>
      <c r="M223" s="372" t="s">
        <v>436</v>
      </c>
      <c r="N223" s="373"/>
      <c r="O223" s="101"/>
      <c r="P223" s="372" t="s">
        <v>410</v>
      </c>
      <c r="Q223" s="372" t="s">
        <v>436</v>
      </c>
      <c r="R223" s="373"/>
    </row>
    <row r="224" spans="2:18" x14ac:dyDescent="0.25">
      <c r="B224" s="195" t="s">
        <v>108</v>
      </c>
      <c r="C224" s="225" t="s">
        <v>149</v>
      </c>
      <c r="D224" s="102">
        <v>0</v>
      </c>
      <c r="E224" s="347">
        <v>0</v>
      </c>
      <c r="F224" s="103">
        <f>ROUND(D224*E224,0)</f>
        <v>0</v>
      </c>
      <c r="G224" s="104"/>
      <c r="H224" s="102">
        <v>0</v>
      </c>
      <c r="I224" s="347">
        <v>0</v>
      </c>
      <c r="J224" s="103">
        <f>ROUND(H224*I224,0)</f>
        <v>0</v>
      </c>
      <c r="K224" s="104"/>
      <c r="L224" s="102">
        <v>0</v>
      </c>
      <c r="M224" s="347">
        <v>0</v>
      </c>
      <c r="N224" s="103">
        <f>ROUND(L224*M224,0)</f>
        <v>0</v>
      </c>
      <c r="O224" s="104"/>
      <c r="P224" s="102">
        <v>0</v>
      </c>
      <c r="Q224" s="347">
        <v>0</v>
      </c>
      <c r="R224" s="103">
        <f>ROUND(P224*Q224,0)</f>
        <v>0</v>
      </c>
    </row>
    <row r="225" spans="2:18" x14ac:dyDescent="0.25">
      <c r="B225" s="195" t="s">
        <v>108</v>
      </c>
      <c r="C225" s="216" t="s">
        <v>1</v>
      </c>
      <c r="D225" s="102">
        <v>0</v>
      </c>
      <c r="E225" s="347">
        <v>0</v>
      </c>
      <c r="F225" s="103">
        <f t="shared" ref="F225:F238" si="40">ROUND(D225*E225,0)</f>
        <v>0</v>
      </c>
      <c r="G225" s="104"/>
      <c r="H225" s="102">
        <v>0</v>
      </c>
      <c r="I225" s="347">
        <v>0</v>
      </c>
      <c r="J225" s="103">
        <f t="shared" ref="J225:J238" si="41">ROUND(H225*I225,0)</f>
        <v>0</v>
      </c>
      <c r="K225" s="104"/>
      <c r="L225" s="102">
        <v>0</v>
      </c>
      <c r="M225" s="347">
        <v>0</v>
      </c>
      <c r="N225" s="103">
        <f t="shared" ref="N225:N238" si="42">ROUND(L225*M225,0)</f>
        <v>0</v>
      </c>
      <c r="O225" s="104"/>
      <c r="P225" s="102">
        <v>0</v>
      </c>
      <c r="Q225" s="347">
        <v>0</v>
      </c>
      <c r="R225" s="103">
        <f t="shared" ref="R225:R238" si="43">ROUND(P225*Q225,0)</f>
        <v>0</v>
      </c>
    </row>
    <row r="226" spans="2:18" x14ac:dyDescent="0.25">
      <c r="B226" s="195" t="s">
        <v>108</v>
      </c>
      <c r="C226" s="216"/>
      <c r="D226" s="102">
        <v>0</v>
      </c>
      <c r="E226" s="347">
        <v>0</v>
      </c>
      <c r="F226" s="103">
        <f t="shared" si="40"/>
        <v>0</v>
      </c>
      <c r="G226" s="104"/>
      <c r="H226" s="102">
        <v>0</v>
      </c>
      <c r="I226" s="347">
        <v>0</v>
      </c>
      <c r="J226" s="103">
        <f t="shared" si="41"/>
        <v>0</v>
      </c>
      <c r="K226" s="104"/>
      <c r="L226" s="102">
        <v>0</v>
      </c>
      <c r="M226" s="347">
        <v>0</v>
      </c>
      <c r="N226" s="103">
        <f t="shared" si="42"/>
        <v>0</v>
      </c>
      <c r="O226" s="104"/>
      <c r="P226" s="102">
        <v>0</v>
      </c>
      <c r="Q226" s="347">
        <v>0</v>
      </c>
      <c r="R226" s="103">
        <f t="shared" si="43"/>
        <v>0</v>
      </c>
    </row>
    <row r="227" spans="2:18" x14ac:dyDescent="0.25">
      <c r="B227" s="195" t="s">
        <v>108</v>
      </c>
      <c r="C227" s="216"/>
      <c r="D227" s="102">
        <v>0</v>
      </c>
      <c r="E227" s="347">
        <v>0</v>
      </c>
      <c r="F227" s="103">
        <f t="shared" si="40"/>
        <v>0</v>
      </c>
      <c r="G227" s="104"/>
      <c r="H227" s="102">
        <v>0</v>
      </c>
      <c r="I227" s="347">
        <v>0</v>
      </c>
      <c r="J227" s="103">
        <f t="shared" si="41"/>
        <v>0</v>
      </c>
      <c r="K227" s="104"/>
      <c r="L227" s="102">
        <v>0</v>
      </c>
      <c r="M227" s="347">
        <v>0</v>
      </c>
      <c r="N227" s="103">
        <f t="shared" si="42"/>
        <v>0</v>
      </c>
      <c r="O227" s="104"/>
      <c r="P227" s="102">
        <v>0</v>
      </c>
      <c r="Q227" s="347">
        <v>0</v>
      </c>
      <c r="R227" s="103">
        <f t="shared" si="43"/>
        <v>0</v>
      </c>
    </row>
    <row r="228" spans="2:18" x14ac:dyDescent="0.25">
      <c r="B228" s="195" t="s">
        <v>108</v>
      </c>
      <c r="C228" s="216"/>
      <c r="D228" s="102">
        <v>0</v>
      </c>
      <c r="E228" s="347">
        <v>0</v>
      </c>
      <c r="F228" s="103">
        <f t="shared" si="40"/>
        <v>0</v>
      </c>
      <c r="G228" s="104"/>
      <c r="H228" s="102">
        <v>0</v>
      </c>
      <c r="I228" s="347">
        <v>0</v>
      </c>
      <c r="J228" s="103">
        <f t="shared" si="41"/>
        <v>0</v>
      </c>
      <c r="K228" s="104"/>
      <c r="L228" s="102">
        <v>0</v>
      </c>
      <c r="M228" s="347">
        <v>0</v>
      </c>
      <c r="N228" s="103">
        <f t="shared" si="42"/>
        <v>0</v>
      </c>
      <c r="O228" s="104"/>
      <c r="P228" s="102">
        <v>0</v>
      </c>
      <c r="Q228" s="347">
        <v>0</v>
      </c>
      <c r="R228" s="103">
        <f t="shared" si="43"/>
        <v>0</v>
      </c>
    </row>
    <row r="229" spans="2:18" x14ac:dyDescent="0.25">
      <c r="B229" s="195" t="s">
        <v>108</v>
      </c>
      <c r="C229" s="225" t="s">
        <v>150</v>
      </c>
      <c r="D229" s="102">
        <v>0</v>
      </c>
      <c r="E229" s="347">
        <v>0</v>
      </c>
      <c r="F229" s="103">
        <f t="shared" si="40"/>
        <v>0</v>
      </c>
      <c r="G229" s="104"/>
      <c r="H229" s="102">
        <v>0</v>
      </c>
      <c r="I229" s="347">
        <v>0</v>
      </c>
      <c r="J229" s="103">
        <f t="shared" si="41"/>
        <v>0</v>
      </c>
      <c r="K229" s="104"/>
      <c r="L229" s="102">
        <v>0</v>
      </c>
      <c r="M229" s="347">
        <v>0</v>
      </c>
      <c r="N229" s="103">
        <f t="shared" si="42"/>
        <v>0</v>
      </c>
      <c r="O229" s="104"/>
      <c r="P229" s="102">
        <v>0</v>
      </c>
      <c r="Q229" s="347">
        <v>0</v>
      </c>
      <c r="R229" s="103">
        <f t="shared" si="43"/>
        <v>0</v>
      </c>
    </row>
    <row r="230" spans="2:18" x14ac:dyDescent="0.25">
      <c r="B230" s="195" t="s">
        <v>108</v>
      </c>
      <c r="C230" s="216"/>
      <c r="D230" s="102">
        <v>0</v>
      </c>
      <c r="E230" s="347">
        <v>0</v>
      </c>
      <c r="F230" s="103">
        <f t="shared" si="40"/>
        <v>0</v>
      </c>
      <c r="G230" s="104"/>
      <c r="H230" s="102">
        <v>0</v>
      </c>
      <c r="I230" s="347">
        <v>0</v>
      </c>
      <c r="J230" s="103">
        <f t="shared" si="41"/>
        <v>0</v>
      </c>
      <c r="K230" s="104"/>
      <c r="L230" s="102">
        <v>0</v>
      </c>
      <c r="M230" s="347">
        <v>0</v>
      </c>
      <c r="N230" s="103">
        <f t="shared" si="42"/>
        <v>0</v>
      </c>
      <c r="O230" s="104"/>
      <c r="P230" s="102">
        <v>0</v>
      </c>
      <c r="Q230" s="347">
        <v>0</v>
      </c>
      <c r="R230" s="103">
        <f t="shared" si="43"/>
        <v>0</v>
      </c>
    </row>
    <row r="231" spans="2:18" x14ac:dyDescent="0.25">
      <c r="B231" s="195" t="s">
        <v>108</v>
      </c>
      <c r="C231" s="216"/>
      <c r="D231" s="102">
        <v>0</v>
      </c>
      <c r="E231" s="347">
        <v>0</v>
      </c>
      <c r="F231" s="103">
        <f t="shared" si="40"/>
        <v>0</v>
      </c>
      <c r="G231" s="104"/>
      <c r="H231" s="102">
        <v>0</v>
      </c>
      <c r="I231" s="347">
        <v>0</v>
      </c>
      <c r="J231" s="103">
        <f t="shared" si="41"/>
        <v>0</v>
      </c>
      <c r="K231" s="104"/>
      <c r="L231" s="102">
        <v>0</v>
      </c>
      <c r="M231" s="347">
        <v>0</v>
      </c>
      <c r="N231" s="103">
        <f t="shared" si="42"/>
        <v>0</v>
      </c>
      <c r="O231" s="104"/>
      <c r="P231" s="102">
        <v>0</v>
      </c>
      <c r="Q231" s="347">
        <v>0</v>
      </c>
      <c r="R231" s="103">
        <f t="shared" si="43"/>
        <v>0</v>
      </c>
    </row>
    <row r="232" spans="2:18" x14ac:dyDescent="0.25">
      <c r="B232" s="195" t="s">
        <v>108</v>
      </c>
      <c r="C232" s="216"/>
      <c r="D232" s="102">
        <v>0</v>
      </c>
      <c r="E232" s="347">
        <v>0</v>
      </c>
      <c r="F232" s="103">
        <f t="shared" si="40"/>
        <v>0</v>
      </c>
      <c r="G232" s="104"/>
      <c r="H232" s="102">
        <v>0</v>
      </c>
      <c r="I232" s="347">
        <v>0</v>
      </c>
      <c r="J232" s="103">
        <f t="shared" si="41"/>
        <v>0</v>
      </c>
      <c r="K232" s="104"/>
      <c r="L232" s="102">
        <v>0</v>
      </c>
      <c r="M232" s="347">
        <v>0</v>
      </c>
      <c r="N232" s="103">
        <f t="shared" si="42"/>
        <v>0</v>
      </c>
      <c r="O232" s="104"/>
      <c r="P232" s="102">
        <v>0</v>
      </c>
      <c r="Q232" s="347">
        <v>0</v>
      </c>
      <c r="R232" s="103">
        <f t="shared" si="43"/>
        <v>0</v>
      </c>
    </row>
    <row r="233" spans="2:18" x14ac:dyDescent="0.25">
      <c r="B233" s="195" t="s">
        <v>108</v>
      </c>
      <c r="C233" s="216"/>
      <c r="D233" s="102">
        <v>0</v>
      </c>
      <c r="E233" s="347">
        <v>0</v>
      </c>
      <c r="F233" s="103">
        <f t="shared" si="40"/>
        <v>0</v>
      </c>
      <c r="G233" s="104"/>
      <c r="H233" s="102">
        <v>0</v>
      </c>
      <c r="I233" s="347">
        <v>0</v>
      </c>
      <c r="J233" s="103">
        <f t="shared" si="41"/>
        <v>0</v>
      </c>
      <c r="K233" s="104"/>
      <c r="L233" s="102">
        <v>0</v>
      </c>
      <c r="M233" s="347">
        <v>0</v>
      </c>
      <c r="N233" s="103">
        <f t="shared" si="42"/>
        <v>0</v>
      </c>
      <c r="O233" s="104"/>
      <c r="P233" s="102">
        <v>0</v>
      </c>
      <c r="Q233" s="347">
        <v>0</v>
      </c>
      <c r="R233" s="103">
        <f t="shared" si="43"/>
        <v>0</v>
      </c>
    </row>
    <row r="234" spans="2:18" x14ac:dyDescent="0.25">
      <c r="B234" s="195" t="s">
        <v>108</v>
      </c>
      <c r="C234" s="225" t="s">
        <v>151</v>
      </c>
      <c r="D234" s="102">
        <v>0</v>
      </c>
      <c r="E234" s="347">
        <v>0</v>
      </c>
      <c r="F234" s="103">
        <f t="shared" si="40"/>
        <v>0</v>
      </c>
      <c r="G234" s="104"/>
      <c r="H234" s="102">
        <v>0</v>
      </c>
      <c r="I234" s="347">
        <v>0</v>
      </c>
      <c r="J234" s="103">
        <f t="shared" si="41"/>
        <v>0</v>
      </c>
      <c r="K234" s="104"/>
      <c r="L234" s="102">
        <v>0</v>
      </c>
      <c r="M234" s="347">
        <v>0</v>
      </c>
      <c r="N234" s="103">
        <f t="shared" si="42"/>
        <v>0</v>
      </c>
      <c r="O234" s="104"/>
      <c r="P234" s="102">
        <v>0</v>
      </c>
      <c r="Q234" s="347">
        <v>0</v>
      </c>
      <c r="R234" s="103">
        <f t="shared" si="43"/>
        <v>0</v>
      </c>
    </row>
    <row r="235" spans="2:18" x14ac:dyDescent="0.25">
      <c r="B235" s="195" t="s">
        <v>108</v>
      </c>
      <c r="C235" s="216"/>
      <c r="D235" s="102">
        <v>0</v>
      </c>
      <c r="E235" s="347">
        <v>0</v>
      </c>
      <c r="F235" s="103">
        <f t="shared" si="40"/>
        <v>0</v>
      </c>
      <c r="G235" s="104"/>
      <c r="H235" s="102">
        <v>0</v>
      </c>
      <c r="I235" s="347">
        <v>0</v>
      </c>
      <c r="J235" s="103">
        <f t="shared" si="41"/>
        <v>0</v>
      </c>
      <c r="K235" s="104"/>
      <c r="L235" s="102">
        <v>0</v>
      </c>
      <c r="M235" s="347">
        <v>0</v>
      </c>
      <c r="N235" s="103">
        <f t="shared" si="42"/>
        <v>0</v>
      </c>
      <c r="O235" s="104"/>
      <c r="P235" s="102">
        <v>0</v>
      </c>
      <c r="Q235" s="347">
        <v>0</v>
      </c>
      <c r="R235" s="103">
        <f t="shared" si="43"/>
        <v>0</v>
      </c>
    </row>
    <row r="236" spans="2:18" x14ac:dyDescent="0.25">
      <c r="B236" s="195" t="s">
        <v>108</v>
      </c>
      <c r="C236" s="216"/>
      <c r="D236" s="102">
        <v>0</v>
      </c>
      <c r="E236" s="347">
        <v>0</v>
      </c>
      <c r="F236" s="103">
        <f t="shared" si="40"/>
        <v>0</v>
      </c>
      <c r="G236" s="104"/>
      <c r="H236" s="102">
        <v>0</v>
      </c>
      <c r="I236" s="347">
        <v>0</v>
      </c>
      <c r="J236" s="103">
        <f t="shared" si="41"/>
        <v>0</v>
      </c>
      <c r="K236" s="104"/>
      <c r="L236" s="102">
        <v>0</v>
      </c>
      <c r="M236" s="347">
        <v>0</v>
      </c>
      <c r="N236" s="103">
        <f t="shared" si="42"/>
        <v>0</v>
      </c>
      <c r="O236" s="104"/>
      <c r="P236" s="102">
        <v>0</v>
      </c>
      <c r="Q236" s="347">
        <v>0</v>
      </c>
      <c r="R236" s="103">
        <f t="shared" si="43"/>
        <v>0</v>
      </c>
    </row>
    <row r="237" spans="2:18" x14ac:dyDescent="0.25">
      <c r="B237" s="195" t="s">
        <v>108</v>
      </c>
      <c r="C237" s="216"/>
      <c r="D237" s="102">
        <v>0</v>
      </c>
      <c r="E237" s="347">
        <v>0</v>
      </c>
      <c r="F237" s="103">
        <f t="shared" si="40"/>
        <v>0</v>
      </c>
      <c r="G237" s="104"/>
      <c r="H237" s="102">
        <v>0</v>
      </c>
      <c r="I237" s="347">
        <v>0</v>
      </c>
      <c r="J237" s="103">
        <f t="shared" si="41"/>
        <v>0</v>
      </c>
      <c r="K237" s="104"/>
      <c r="L237" s="102">
        <v>0</v>
      </c>
      <c r="M237" s="347">
        <v>0</v>
      </c>
      <c r="N237" s="103">
        <f t="shared" si="42"/>
        <v>0</v>
      </c>
      <c r="O237" s="104"/>
      <c r="P237" s="102">
        <v>0</v>
      </c>
      <c r="Q237" s="347">
        <v>0</v>
      </c>
      <c r="R237" s="103">
        <f t="shared" si="43"/>
        <v>0</v>
      </c>
    </row>
    <row r="238" spans="2:18" ht="15.75" thickBot="1" x14ac:dyDescent="0.3">
      <c r="B238" s="234" t="s">
        <v>108</v>
      </c>
      <c r="C238" s="235"/>
      <c r="D238" s="102">
        <v>0</v>
      </c>
      <c r="E238" s="347">
        <v>0</v>
      </c>
      <c r="F238" s="103">
        <f t="shared" si="40"/>
        <v>0</v>
      </c>
      <c r="G238" s="104"/>
      <c r="H238" s="102">
        <v>0</v>
      </c>
      <c r="I238" s="347">
        <v>0</v>
      </c>
      <c r="J238" s="103">
        <f t="shared" si="41"/>
        <v>0</v>
      </c>
      <c r="K238" s="104"/>
      <c r="L238" s="102">
        <v>0</v>
      </c>
      <c r="M238" s="347">
        <v>0</v>
      </c>
      <c r="N238" s="103">
        <f t="shared" si="42"/>
        <v>0</v>
      </c>
      <c r="O238" s="104"/>
      <c r="P238" s="102">
        <v>0</v>
      </c>
      <c r="Q238" s="347">
        <v>0</v>
      </c>
      <c r="R238" s="103">
        <f t="shared" si="43"/>
        <v>0</v>
      </c>
    </row>
    <row r="239" spans="2:18" ht="15.75" thickBot="1" x14ac:dyDescent="0.3">
      <c r="B239" s="238" t="s">
        <v>87</v>
      </c>
      <c r="C239" s="236"/>
      <c r="D239" s="200">
        <f>SUM(D224:D238)</f>
        <v>0</v>
      </c>
      <c r="E239" s="150"/>
      <c r="F239" s="109">
        <f>ROUND(SUM(F224:F238),0)</f>
        <v>0</v>
      </c>
      <c r="G239" s="110"/>
      <c r="H239" s="200">
        <f>SUM(H224:H238)</f>
        <v>0</v>
      </c>
      <c r="I239" s="150" t="s">
        <v>1</v>
      </c>
      <c r="J239" s="109">
        <f>ROUND(SUM(J224:J238),0)</f>
        <v>0</v>
      </c>
      <c r="K239" s="110"/>
      <c r="L239" s="200">
        <f>SUM(L224:L238)</f>
        <v>0</v>
      </c>
      <c r="M239" s="150"/>
      <c r="N239" s="109">
        <f>ROUND(SUM(N224:N238),0)</f>
        <v>0</v>
      </c>
      <c r="O239" s="110"/>
      <c r="P239" s="200">
        <f>SUM(P224:P238)</f>
        <v>0</v>
      </c>
      <c r="Q239" s="150"/>
      <c r="R239" s="109">
        <f>ROUND(SUM(R224:R238),0)</f>
        <v>0</v>
      </c>
    </row>
    <row r="240" spans="2:18" ht="15.75" thickBot="1" x14ac:dyDescent="0.3"/>
    <row r="241" spans="2:18" ht="16.5" thickBot="1" x14ac:dyDescent="0.3">
      <c r="B241" s="501" t="s">
        <v>412</v>
      </c>
      <c r="C241" s="502"/>
      <c r="D241" s="490" t="s">
        <v>69</v>
      </c>
      <c r="E241" s="491"/>
      <c r="F241" s="492"/>
      <c r="G241" s="96"/>
      <c r="H241" s="490" t="s">
        <v>69</v>
      </c>
      <c r="I241" s="491"/>
      <c r="J241" s="492"/>
      <c r="K241" s="96"/>
      <c r="L241" s="490" t="s">
        <v>69</v>
      </c>
      <c r="M241" s="491"/>
      <c r="N241" s="492"/>
      <c r="O241" s="96"/>
      <c r="P241" s="490" t="s">
        <v>69</v>
      </c>
      <c r="Q241" s="491"/>
      <c r="R241" s="492"/>
    </row>
    <row r="242" spans="2:18" ht="16.5" thickBot="1" x14ac:dyDescent="0.3">
      <c r="B242" s="503"/>
      <c r="C242" s="504"/>
      <c r="D242" s="487" t="str">
        <f>D11</f>
        <v>Basic Period (Year 1)</v>
      </c>
      <c r="E242" s="488"/>
      <c r="F242" s="489"/>
      <c r="G242" s="97"/>
      <c r="H242" s="487" t="str">
        <f>H11</f>
        <v>Basic Period (Year 2)</v>
      </c>
      <c r="I242" s="488"/>
      <c r="J242" s="489"/>
      <c r="K242" s="97"/>
      <c r="L242" s="487" t="str">
        <f>L11</f>
        <v>Basic Period (Year 3)</v>
      </c>
      <c r="M242" s="488"/>
      <c r="N242" s="489"/>
      <c r="O242" s="97"/>
      <c r="P242" s="487" t="str">
        <f>P11</f>
        <v>Basic Period (Year 4)</v>
      </c>
      <c r="Q242" s="488"/>
      <c r="R242" s="489"/>
    </row>
    <row r="243" spans="2:18" ht="16.5" thickBot="1" x14ac:dyDescent="0.3">
      <c r="B243" s="98" t="s">
        <v>46</v>
      </c>
      <c r="C243" s="98" t="s">
        <v>183</v>
      </c>
      <c r="D243" s="98" t="s">
        <v>29</v>
      </c>
      <c r="E243" s="99" t="s">
        <v>68</v>
      </c>
      <c r="F243" s="100" t="s">
        <v>74</v>
      </c>
      <c r="G243" s="101"/>
      <c r="H243" s="98" t="s">
        <v>29</v>
      </c>
      <c r="I243" s="99" t="s">
        <v>68</v>
      </c>
      <c r="J243" s="100" t="s">
        <v>74</v>
      </c>
      <c r="K243" s="101"/>
      <c r="L243" s="98" t="s">
        <v>29</v>
      </c>
      <c r="M243" s="99" t="s">
        <v>68</v>
      </c>
      <c r="N243" s="100" t="s">
        <v>74</v>
      </c>
      <c r="O243" s="101"/>
      <c r="P243" s="98" t="s">
        <v>29</v>
      </c>
      <c r="Q243" s="99" t="s">
        <v>68</v>
      </c>
      <c r="R243" s="100" t="s">
        <v>74</v>
      </c>
    </row>
    <row r="244" spans="2:18" ht="128.25" x14ac:dyDescent="0.25">
      <c r="B244" s="370" t="s">
        <v>434</v>
      </c>
      <c r="C244" s="370" t="s">
        <v>435</v>
      </c>
      <c r="D244" s="370" t="s">
        <v>410</v>
      </c>
      <c r="E244" s="370" t="s">
        <v>436</v>
      </c>
      <c r="F244" s="371"/>
      <c r="G244" s="101"/>
      <c r="H244" s="370" t="s">
        <v>410</v>
      </c>
      <c r="I244" s="370" t="s">
        <v>436</v>
      </c>
      <c r="J244" s="371"/>
      <c r="K244" s="101"/>
      <c r="L244" s="372" t="s">
        <v>410</v>
      </c>
      <c r="M244" s="372" t="s">
        <v>436</v>
      </c>
      <c r="N244" s="373"/>
      <c r="O244" s="101"/>
      <c r="P244" s="372" t="s">
        <v>410</v>
      </c>
      <c r="Q244" s="372" t="s">
        <v>436</v>
      </c>
      <c r="R244" s="373"/>
    </row>
    <row r="245" spans="2:18" x14ac:dyDescent="0.25">
      <c r="B245" s="195" t="s">
        <v>108</v>
      </c>
      <c r="C245" s="225" t="s">
        <v>152</v>
      </c>
      <c r="D245" s="102">
        <v>0</v>
      </c>
      <c r="E245" s="347">
        <v>0</v>
      </c>
      <c r="F245" s="103">
        <f>ROUND(D245*E245,0)</f>
        <v>0</v>
      </c>
      <c r="G245" s="104"/>
      <c r="H245" s="102">
        <v>0</v>
      </c>
      <c r="I245" s="347">
        <v>0</v>
      </c>
      <c r="J245" s="103">
        <f>ROUND(H245*I245,0)</f>
        <v>0</v>
      </c>
      <c r="K245" s="104"/>
      <c r="L245" s="102">
        <v>0</v>
      </c>
      <c r="M245" s="347">
        <v>0</v>
      </c>
      <c r="N245" s="103">
        <f>ROUND(L245*M245,0)</f>
        <v>0</v>
      </c>
      <c r="O245" s="104"/>
      <c r="P245" s="102">
        <v>0</v>
      </c>
      <c r="Q245" s="347">
        <v>0</v>
      </c>
      <c r="R245" s="103">
        <f>ROUND(P245*Q245,0)</f>
        <v>0</v>
      </c>
    </row>
    <row r="246" spans="2:18" x14ac:dyDescent="0.25">
      <c r="B246" s="195" t="s">
        <v>108</v>
      </c>
      <c r="C246" s="216" t="s">
        <v>1</v>
      </c>
      <c r="D246" s="102">
        <v>0</v>
      </c>
      <c r="E246" s="347">
        <v>0</v>
      </c>
      <c r="F246" s="103">
        <f t="shared" ref="F246:F259" si="44">ROUND(D246*E246,0)</f>
        <v>0</v>
      </c>
      <c r="G246" s="104"/>
      <c r="H246" s="102">
        <v>0</v>
      </c>
      <c r="I246" s="347">
        <v>0</v>
      </c>
      <c r="J246" s="103">
        <f t="shared" ref="J246:J259" si="45">ROUND(H246*I246,0)</f>
        <v>0</v>
      </c>
      <c r="K246" s="104"/>
      <c r="L246" s="102">
        <v>0</v>
      </c>
      <c r="M246" s="347">
        <v>0</v>
      </c>
      <c r="N246" s="103">
        <f t="shared" ref="N246:N259" si="46">ROUND(L246*M246,0)</f>
        <v>0</v>
      </c>
      <c r="O246" s="104"/>
      <c r="P246" s="102">
        <v>0</v>
      </c>
      <c r="Q246" s="347">
        <v>0</v>
      </c>
      <c r="R246" s="103">
        <f t="shared" ref="R246:R259" si="47">ROUND(P246*Q246,0)</f>
        <v>0</v>
      </c>
    </row>
    <row r="247" spans="2:18" x14ac:dyDescent="0.25">
      <c r="B247" s="195" t="s">
        <v>108</v>
      </c>
      <c r="C247" s="216"/>
      <c r="D247" s="102">
        <v>0</v>
      </c>
      <c r="E247" s="347">
        <v>0</v>
      </c>
      <c r="F247" s="103">
        <f t="shared" si="44"/>
        <v>0</v>
      </c>
      <c r="G247" s="104"/>
      <c r="H247" s="102">
        <v>0</v>
      </c>
      <c r="I247" s="347">
        <v>0</v>
      </c>
      <c r="J247" s="103">
        <f t="shared" si="45"/>
        <v>0</v>
      </c>
      <c r="K247" s="104"/>
      <c r="L247" s="102">
        <v>0</v>
      </c>
      <c r="M247" s="347">
        <v>0</v>
      </c>
      <c r="N247" s="103">
        <f t="shared" si="46"/>
        <v>0</v>
      </c>
      <c r="O247" s="104"/>
      <c r="P247" s="102">
        <v>0</v>
      </c>
      <c r="Q247" s="347">
        <v>0</v>
      </c>
      <c r="R247" s="103">
        <f t="shared" si="47"/>
        <v>0</v>
      </c>
    </row>
    <row r="248" spans="2:18" x14ac:dyDescent="0.25">
      <c r="B248" s="195" t="s">
        <v>108</v>
      </c>
      <c r="C248" s="216"/>
      <c r="D248" s="102">
        <v>0</v>
      </c>
      <c r="E248" s="347">
        <v>0</v>
      </c>
      <c r="F248" s="103">
        <f t="shared" si="44"/>
        <v>0</v>
      </c>
      <c r="G248" s="104"/>
      <c r="H248" s="102">
        <v>0</v>
      </c>
      <c r="I248" s="347">
        <v>0</v>
      </c>
      <c r="J248" s="103">
        <f t="shared" si="45"/>
        <v>0</v>
      </c>
      <c r="K248" s="104"/>
      <c r="L248" s="102">
        <v>0</v>
      </c>
      <c r="M248" s="347">
        <v>0</v>
      </c>
      <c r="N248" s="103">
        <f t="shared" si="46"/>
        <v>0</v>
      </c>
      <c r="O248" s="104"/>
      <c r="P248" s="102">
        <v>0</v>
      </c>
      <c r="Q248" s="347">
        <v>0</v>
      </c>
      <c r="R248" s="103">
        <f t="shared" si="47"/>
        <v>0</v>
      </c>
    </row>
    <row r="249" spans="2:18" x14ac:dyDescent="0.25">
      <c r="B249" s="195" t="s">
        <v>108</v>
      </c>
      <c r="C249" s="216"/>
      <c r="D249" s="102">
        <v>0</v>
      </c>
      <c r="E249" s="347">
        <v>0</v>
      </c>
      <c r="F249" s="103">
        <f t="shared" si="44"/>
        <v>0</v>
      </c>
      <c r="G249" s="104"/>
      <c r="H249" s="102">
        <v>0</v>
      </c>
      <c r="I249" s="347">
        <v>0</v>
      </c>
      <c r="J249" s="103">
        <f t="shared" si="45"/>
        <v>0</v>
      </c>
      <c r="K249" s="104"/>
      <c r="L249" s="102">
        <v>0</v>
      </c>
      <c r="M249" s="347">
        <v>0</v>
      </c>
      <c r="N249" s="103">
        <f t="shared" si="46"/>
        <v>0</v>
      </c>
      <c r="O249" s="104"/>
      <c r="P249" s="102">
        <v>0</v>
      </c>
      <c r="Q249" s="347">
        <v>0</v>
      </c>
      <c r="R249" s="103">
        <f t="shared" si="47"/>
        <v>0</v>
      </c>
    </row>
    <row r="250" spans="2:18" x14ac:dyDescent="0.25">
      <c r="B250" s="195" t="s">
        <v>108</v>
      </c>
      <c r="C250" s="225" t="s">
        <v>153</v>
      </c>
      <c r="D250" s="102">
        <v>0</v>
      </c>
      <c r="E250" s="347">
        <v>0</v>
      </c>
      <c r="F250" s="103">
        <f t="shared" si="44"/>
        <v>0</v>
      </c>
      <c r="G250" s="104"/>
      <c r="H250" s="102">
        <v>0</v>
      </c>
      <c r="I250" s="347">
        <v>0</v>
      </c>
      <c r="J250" s="103">
        <f t="shared" si="45"/>
        <v>0</v>
      </c>
      <c r="K250" s="104"/>
      <c r="L250" s="102">
        <v>0</v>
      </c>
      <c r="M250" s="347">
        <v>0</v>
      </c>
      <c r="N250" s="103">
        <f t="shared" si="46"/>
        <v>0</v>
      </c>
      <c r="O250" s="104"/>
      <c r="P250" s="102">
        <v>0</v>
      </c>
      <c r="Q250" s="347">
        <v>0</v>
      </c>
      <c r="R250" s="103">
        <f t="shared" si="47"/>
        <v>0</v>
      </c>
    </row>
    <row r="251" spans="2:18" x14ac:dyDescent="0.25">
      <c r="B251" s="195" t="s">
        <v>108</v>
      </c>
      <c r="C251" s="216"/>
      <c r="D251" s="102">
        <v>0</v>
      </c>
      <c r="E251" s="347">
        <v>0</v>
      </c>
      <c r="F251" s="103">
        <f t="shared" si="44"/>
        <v>0</v>
      </c>
      <c r="G251" s="104"/>
      <c r="H251" s="102">
        <v>0</v>
      </c>
      <c r="I251" s="347">
        <v>0</v>
      </c>
      <c r="J251" s="103">
        <f t="shared" si="45"/>
        <v>0</v>
      </c>
      <c r="K251" s="104"/>
      <c r="L251" s="102">
        <v>0</v>
      </c>
      <c r="M251" s="347">
        <v>0</v>
      </c>
      <c r="N251" s="103">
        <f t="shared" si="46"/>
        <v>0</v>
      </c>
      <c r="O251" s="104"/>
      <c r="P251" s="102">
        <v>0</v>
      </c>
      <c r="Q251" s="347">
        <v>0</v>
      </c>
      <c r="R251" s="103">
        <f t="shared" si="47"/>
        <v>0</v>
      </c>
    </row>
    <row r="252" spans="2:18" x14ac:dyDescent="0.25">
      <c r="B252" s="195" t="s">
        <v>108</v>
      </c>
      <c r="C252" s="216"/>
      <c r="D252" s="102">
        <v>0</v>
      </c>
      <c r="E252" s="347">
        <v>0</v>
      </c>
      <c r="F252" s="103">
        <f t="shared" si="44"/>
        <v>0</v>
      </c>
      <c r="G252" s="104"/>
      <c r="H252" s="102">
        <v>0</v>
      </c>
      <c r="I252" s="347">
        <v>0</v>
      </c>
      <c r="J252" s="103">
        <f t="shared" si="45"/>
        <v>0</v>
      </c>
      <c r="K252" s="104"/>
      <c r="L252" s="102">
        <v>0</v>
      </c>
      <c r="M252" s="347">
        <v>0</v>
      </c>
      <c r="N252" s="103">
        <f t="shared" si="46"/>
        <v>0</v>
      </c>
      <c r="O252" s="104"/>
      <c r="P252" s="102">
        <v>0</v>
      </c>
      <c r="Q252" s="347">
        <v>0</v>
      </c>
      <c r="R252" s="103">
        <f t="shared" si="47"/>
        <v>0</v>
      </c>
    </row>
    <row r="253" spans="2:18" x14ac:dyDescent="0.25">
      <c r="B253" s="195" t="s">
        <v>108</v>
      </c>
      <c r="C253" s="216"/>
      <c r="D253" s="102">
        <v>0</v>
      </c>
      <c r="E253" s="347">
        <v>0</v>
      </c>
      <c r="F253" s="103">
        <f t="shared" si="44"/>
        <v>0</v>
      </c>
      <c r="G253" s="104"/>
      <c r="H253" s="102">
        <v>0</v>
      </c>
      <c r="I253" s="347">
        <v>0</v>
      </c>
      <c r="J253" s="103">
        <f t="shared" si="45"/>
        <v>0</v>
      </c>
      <c r="K253" s="104"/>
      <c r="L253" s="102">
        <v>0</v>
      </c>
      <c r="M253" s="347">
        <v>0</v>
      </c>
      <c r="N253" s="103">
        <f t="shared" si="46"/>
        <v>0</v>
      </c>
      <c r="O253" s="104"/>
      <c r="P253" s="102">
        <v>0</v>
      </c>
      <c r="Q253" s="347">
        <v>0</v>
      </c>
      <c r="R253" s="103">
        <f t="shared" si="47"/>
        <v>0</v>
      </c>
    </row>
    <row r="254" spans="2:18" x14ac:dyDescent="0.25">
      <c r="B254" s="195" t="s">
        <v>108</v>
      </c>
      <c r="C254" s="216"/>
      <c r="D254" s="102">
        <v>0</v>
      </c>
      <c r="E254" s="347">
        <v>0</v>
      </c>
      <c r="F254" s="103">
        <f t="shared" si="44"/>
        <v>0</v>
      </c>
      <c r="G254" s="104"/>
      <c r="H254" s="102">
        <v>0</v>
      </c>
      <c r="I254" s="347">
        <v>0</v>
      </c>
      <c r="J254" s="103">
        <f t="shared" si="45"/>
        <v>0</v>
      </c>
      <c r="K254" s="104"/>
      <c r="L254" s="102">
        <v>0</v>
      </c>
      <c r="M254" s="347">
        <v>0</v>
      </c>
      <c r="N254" s="103">
        <f t="shared" si="46"/>
        <v>0</v>
      </c>
      <c r="O254" s="104"/>
      <c r="P254" s="102">
        <v>0</v>
      </c>
      <c r="Q254" s="347">
        <v>0</v>
      </c>
      <c r="R254" s="103">
        <f t="shared" si="47"/>
        <v>0</v>
      </c>
    </row>
    <row r="255" spans="2:18" x14ac:dyDescent="0.25">
      <c r="B255" s="195" t="s">
        <v>108</v>
      </c>
      <c r="C255" s="225" t="s">
        <v>154</v>
      </c>
      <c r="D255" s="102">
        <v>0</v>
      </c>
      <c r="E255" s="347">
        <v>0</v>
      </c>
      <c r="F255" s="103">
        <f t="shared" si="44"/>
        <v>0</v>
      </c>
      <c r="G255" s="104"/>
      <c r="H255" s="102">
        <v>0</v>
      </c>
      <c r="I255" s="347">
        <v>0</v>
      </c>
      <c r="J255" s="103">
        <f t="shared" si="45"/>
        <v>0</v>
      </c>
      <c r="K255" s="104"/>
      <c r="L255" s="102">
        <v>0</v>
      </c>
      <c r="M255" s="347">
        <v>0</v>
      </c>
      <c r="N255" s="103">
        <f t="shared" si="46"/>
        <v>0</v>
      </c>
      <c r="O255" s="104"/>
      <c r="P255" s="102">
        <v>0</v>
      </c>
      <c r="Q255" s="347">
        <v>0</v>
      </c>
      <c r="R255" s="103">
        <f t="shared" si="47"/>
        <v>0</v>
      </c>
    </row>
    <row r="256" spans="2:18" x14ac:dyDescent="0.25">
      <c r="B256" s="195" t="s">
        <v>108</v>
      </c>
      <c r="C256" s="216"/>
      <c r="D256" s="102">
        <v>0</v>
      </c>
      <c r="E256" s="347">
        <v>0</v>
      </c>
      <c r="F256" s="103">
        <f t="shared" si="44"/>
        <v>0</v>
      </c>
      <c r="G256" s="104"/>
      <c r="H256" s="102">
        <v>0</v>
      </c>
      <c r="I256" s="347">
        <v>0</v>
      </c>
      <c r="J256" s="103">
        <f t="shared" si="45"/>
        <v>0</v>
      </c>
      <c r="K256" s="104"/>
      <c r="L256" s="102">
        <v>0</v>
      </c>
      <c r="M256" s="347">
        <v>0</v>
      </c>
      <c r="N256" s="103">
        <f t="shared" si="46"/>
        <v>0</v>
      </c>
      <c r="O256" s="104"/>
      <c r="P256" s="102">
        <v>0</v>
      </c>
      <c r="Q256" s="347">
        <v>0</v>
      </c>
      <c r="R256" s="103">
        <f t="shared" si="47"/>
        <v>0</v>
      </c>
    </row>
    <row r="257" spans="2:18" x14ac:dyDescent="0.25">
      <c r="B257" s="195" t="s">
        <v>108</v>
      </c>
      <c r="C257" s="216"/>
      <c r="D257" s="102">
        <v>0</v>
      </c>
      <c r="E257" s="347">
        <v>0</v>
      </c>
      <c r="F257" s="103">
        <f t="shared" si="44"/>
        <v>0</v>
      </c>
      <c r="G257" s="104"/>
      <c r="H257" s="102">
        <v>0</v>
      </c>
      <c r="I257" s="347">
        <v>0</v>
      </c>
      <c r="J257" s="103">
        <f t="shared" si="45"/>
        <v>0</v>
      </c>
      <c r="K257" s="104"/>
      <c r="L257" s="102">
        <v>0</v>
      </c>
      <c r="M257" s="347">
        <v>0</v>
      </c>
      <c r="N257" s="103">
        <f t="shared" si="46"/>
        <v>0</v>
      </c>
      <c r="O257" s="104"/>
      <c r="P257" s="102">
        <v>0</v>
      </c>
      <c r="Q257" s="347">
        <v>0</v>
      </c>
      <c r="R257" s="103">
        <f t="shared" si="47"/>
        <v>0</v>
      </c>
    </row>
    <row r="258" spans="2:18" x14ac:dyDescent="0.25">
      <c r="B258" s="195" t="s">
        <v>108</v>
      </c>
      <c r="C258" s="216"/>
      <c r="D258" s="102">
        <v>0</v>
      </c>
      <c r="E258" s="347">
        <v>0</v>
      </c>
      <c r="F258" s="103">
        <f t="shared" si="44"/>
        <v>0</v>
      </c>
      <c r="G258" s="104"/>
      <c r="H258" s="102">
        <v>0</v>
      </c>
      <c r="I258" s="347">
        <v>0</v>
      </c>
      <c r="J258" s="103">
        <f t="shared" si="45"/>
        <v>0</v>
      </c>
      <c r="K258" s="104"/>
      <c r="L258" s="102">
        <v>0</v>
      </c>
      <c r="M258" s="347">
        <v>0</v>
      </c>
      <c r="N258" s="103">
        <f t="shared" si="46"/>
        <v>0</v>
      </c>
      <c r="O258" s="104"/>
      <c r="P258" s="102">
        <v>0</v>
      </c>
      <c r="Q258" s="347">
        <v>0</v>
      </c>
      <c r="R258" s="103">
        <f t="shared" si="47"/>
        <v>0</v>
      </c>
    </row>
    <row r="259" spans="2:18" ht="15.75" thickBot="1" x14ac:dyDescent="0.3">
      <c r="B259" s="234" t="s">
        <v>108</v>
      </c>
      <c r="C259" s="235"/>
      <c r="D259" s="102">
        <v>0</v>
      </c>
      <c r="E259" s="347">
        <v>0</v>
      </c>
      <c r="F259" s="103">
        <f t="shared" si="44"/>
        <v>0</v>
      </c>
      <c r="G259" s="104"/>
      <c r="H259" s="102">
        <v>0</v>
      </c>
      <c r="I259" s="347">
        <v>0</v>
      </c>
      <c r="J259" s="103">
        <f t="shared" si="45"/>
        <v>0</v>
      </c>
      <c r="K259" s="104"/>
      <c r="L259" s="102">
        <v>0</v>
      </c>
      <c r="M259" s="347">
        <v>0</v>
      </c>
      <c r="N259" s="103">
        <f t="shared" si="46"/>
        <v>0</v>
      </c>
      <c r="O259" s="104"/>
      <c r="P259" s="102">
        <v>0</v>
      </c>
      <c r="Q259" s="347">
        <v>0</v>
      </c>
      <c r="R259" s="103">
        <f t="shared" si="47"/>
        <v>0</v>
      </c>
    </row>
    <row r="260" spans="2:18" ht="15.75" thickBot="1" x14ac:dyDescent="0.3">
      <c r="B260" s="238" t="s">
        <v>87</v>
      </c>
      <c r="C260" s="236"/>
      <c r="D260" s="200">
        <f>SUM(D245:D259)</f>
        <v>0</v>
      </c>
      <c r="E260" s="150"/>
      <c r="F260" s="109">
        <f>ROUND(SUM(F245:F259),0)</f>
        <v>0</v>
      </c>
      <c r="G260" s="110"/>
      <c r="H260" s="200">
        <f>SUM(H245:H259)</f>
        <v>0</v>
      </c>
      <c r="I260" s="150"/>
      <c r="J260" s="109">
        <f>ROUND(SUM(J245:J259),0)</f>
        <v>0</v>
      </c>
      <c r="K260" s="110"/>
      <c r="L260" s="200">
        <f>SUM(L245:L259)</f>
        <v>0</v>
      </c>
      <c r="M260" s="150"/>
      <c r="N260" s="109">
        <f>ROUND(SUM(N245:N259),0)</f>
        <v>0</v>
      </c>
      <c r="O260" s="110"/>
      <c r="P260" s="200">
        <f>SUM(P245:P259)</f>
        <v>0</v>
      </c>
      <c r="Q260" s="150"/>
      <c r="R260" s="109">
        <f>ROUND(SUM(R245:R259),0)</f>
        <v>0</v>
      </c>
    </row>
    <row r="261" spans="2:18" ht="15.75" thickBot="1" x14ac:dyDescent="0.3"/>
    <row r="262" spans="2:18" ht="16.5" thickBot="1" x14ac:dyDescent="0.3">
      <c r="B262" s="501" t="s">
        <v>413</v>
      </c>
      <c r="C262" s="502"/>
      <c r="D262" s="490" t="s">
        <v>69</v>
      </c>
      <c r="E262" s="491"/>
      <c r="F262" s="492"/>
      <c r="G262" s="96"/>
      <c r="H262" s="490" t="s">
        <v>69</v>
      </c>
      <c r="I262" s="491"/>
      <c r="J262" s="492"/>
      <c r="K262" s="96"/>
      <c r="L262" s="490" t="s">
        <v>69</v>
      </c>
      <c r="M262" s="491"/>
      <c r="N262" s="492"/>
      <c r="O262" s="96"/>
      <c r="P262" s="490" t="s">
        <v>69</v>
      </c>
      <c r="Q262" s="491"/>
      <c r="R262" s="492"/>
    </row>
    <row r="263" spans="2:18" ht="16.5" thickBot="1" x14ac:dyDescent="0.3">
      <c r="B263" s="503"/>
      <c r="C263" s="504"/>
      <c r="D263" s="487" t="str">
        <f>D11</f>
        <v>Basic Period (Year 1)</v>
      </c>
      <c r="E263" s="488"/>
      <c r="F263" s="489"/>
      <c r="G263" s="97"/>
      <c r="H263" s="487" t="str">
        <f>H11</f>
        <v>Basic Period (Year 2)</v>
      </c>
      <c r="I263" s="488"/>
      <c r="J263" s="489"/>
      <c r="K263" s="97"/>
      <c r="L263" s="487" t="str">
        <f>L11</f>
        <v>Basic Period (Year 3)</v>
      </c>
      <c r="M263" s="488"/>
      <c r="N263" s="489"/>
      <c r="O263" s="97"/>
      <c r="P263" s="487" t="str">
        <f>P11</f>
        <v>Basic Period (Year 4)</v>
      </c>
      <c r="Q263" s="488"/>
      <c r="R263" s="489"/>
    </row>
    <row r="264" spans="2:18" ht="16.5" thickBot="1" x14ac:dyDescent="0.3">
      <c r="B264" s="98" t="s">
        <v>46</v>
      </c>
      <c r="C264" s="98" t="s">
        <v>183</v>
      </c>
      <c r="D264" s="98" t="s">
        <v>29</v>
      </c>
      <c r="E264" s="99" t="s">
        <v>68</v>
      </c>
      <c r="F264" s="100" t="s">
        <v>74</v>
      </c>
      <c r="G264" s="101"/>
      <c r="H264" s="98" t="s">
        <v>29</v>
      </c>
      <c r="I264" s="99" t="s">
        <v>68</v>
      </c>
      <c r="J264" s="100" t="s">
        <v>74</v>
      </c>
      <c r="K264" s="101"/>
      <c r="L264" s="98" t="s">
        <v>29</v>
      </c>
      <c r="M264" s="99" t="s">
        <v>68</v>
      </c>
      <c r="N264" s="100" t="s">
        <v>74</v>
      </c>
      <c r="O264" s="101"/>
      <c r="P264" s="98" t="s">
        <v>29</v>
      </c>
      <c r="Q264" s="99" t="s">
        <v>68</v>
      </c>
      <c r="R264" s="100" t="s">
        <v>74</v>
      </c>
    </row>
    <row r="265" spans="2:18" ht="128.25" x14ac:dyDescent="0.25">
      <c r="B265" s="370" t="s">
        <v>434</v>
      </c>
      <c r="C265" s="370" t="s">
        <v>435</v>
      </c>
      <c r="D265" s="370" t="s">
        <v>410</v>
      </c>
      <c r="E265" s="370" t="s">
        <v>436</v>
      </c>
      <c r="F265" s="371"/>
      <c r="G265" s="101"/>
      <c r="H265" s="370" t="s">
        <v>410</v>
      </c>
      <c r="I265" s="370" t="s">
        <v>436</v>
      </c>
      <c r="J265" s="371"/>
      <c r="K265" s="101"/>
      <c r="L265" s="372" t="s">
        <v>410</v>
      </c>
      <c r="M265" s="372" t="s">
        <v>436</v>
      </c>
      <c r="N265" s="373"/>
      <c r="O265" s="101"/>
      <c r="P265" s="372" t="s">
        <v>410</v>
      </c>
      <c r="Q265" s="372" t="s">
        <v>436</v>
      </c>
      <c r="R265" s="373"/>
    </row>
    <row r="266" spans="2:18" x14ac:dyDescent="0.25">
      <c r="B266" s="195" t="s">
        <v>108</v>
      </c>
      <c r="C266" s="225" t="s">
        <v>155</v>
      </c>
      <c r="D266" s="102">
        <v>0</v>
      </c>
      <c r="E266" s="347">
        <v>0</v>
      </c>
      <c r="F266" s="103">
        <f>ROUND(D266*E266,0)</f>
        <v>0</v>
      </c>
      <c r="G266" s="104"/>
      <c r="H266" s="102">
        <v>0</v>
      </c>
      <c r="I266" s="347">
        <v>0</v>
      </c>
      <c r="J266" s="103">
        <f>ROUND(H266*I266,0)</f>
        <v>0</v>
      </c>
      <c r="K266" s="104"/>
      <c r="L266" s="102">
        <v>0</v>
      </c>
      <c r="M266" s="347">
        <v>0</v>
      </c>
      <c r="N266" s="103">
        <f>ROUND(L266*M266,0)</f>
        <v>0</v>
      </c>
      <c r="O266" s="104"/>
      <c r="P266" s="102">
        <v>0</v>
      </c>
      <c r="Q266" s="347">
        <v>0</v>
      </c>
      <c r="R266" s="103">
        <f>ROUND(P266*Q266,0)</f>
        <v>0</v>
      </c>
    </row>
    <row r="267" spans="2:18" x14ac:dyDescent="0.25">
      <c r="B267" s="195" t="s">
        <v>108</v>
      </c>
      <c r="C267" s="216" t="s">
        <v>1</v>
      </c>
      <c r="D267" s="102">
        <v>0</v>
      </c>
      <c r="E267" s="347">
        <v>0</v>
      </c>
      <c r="F267" s="103">
        <f t="shared" ref="F267:F280" si="48">ROUND(D267*E267,0)</f>
        <v>0</v>
      </c>
      <c r="G267" s="104"/>
      <c r="H267" s="102">
        <v>0</v>
      </c>
      <c r="I267" s="347">
        <v>0</v>
      </c>
      <c r="J267" s="103">
        <f t="shared" ref="J267:J280" si="49">ROUND(H267*I267,0)</f>
        <v>0</v>
      </c>
      <c r="K267" s="104"/>
      <c r="L267" s="102">
        <v>0</v>
      </c>
      <c r="M267" s="347">
        <v>0</v>
      </c>
      <c r="N267" s="103">
        <f t="shared" ref="N267:N280" si="50">ROUND(L267*M267,0)</f>
        <v>0</v>
      </c>
      <c r="O267" s="104"/>
      <c r="P267" s="102">
        <v>0</v>
      </c>
      <c r="Q267" s="347">
        <v>0</v>
      </c>
      <c r="R267" s="103">
        <f t="shared" ref="R267:R280" si="51">ROUND(P267*Q267,0)</f>
        <v>0</v>
      </c>
    </row>
    <row r="268" spans="2:18" x14ac:dyDescent="0.25">
      <c r="B268" s="195" t="s">
        <v>108</v>
      </c>
      <c r="C268" s="216"/>
      <c r="D268" s="102">
        <v>0</v>
      </c>
      <c r="E268" s="347">
        <v>0</v>
      </c>
      <c r="F268" s="103">
        <f t="shared" si="48"/>
        <v>0</v>
      </c>
      <c r="G268" s="104"/>
      <c r="H268" s="102">
        <v>0</v>
      </c>
      <c r="I268" s="347">
        <v>0</v>
      </c>
      <c r="J268" s="103">
        <f t="shared" si="49"/>
        <v>0</v>
      </c>
      <c r="K268" s="104"/>
      <c r="L268" s="102">
        <v>0</v>
      </c>
      <c r="M268" s="347">
        <v>0</v>
      </c>
      <c r="N268" s="103">
        <f t="shared" si="50"/>
        <v>0</v>
      </c>
      <c r="O268" s="104"/>
      <c r="P268" s="102">
        <v>0</v>
      </c>
      <c r="Q268" s="347">
        <v>0</v>
      </c>
      <c r="R268" s="103">
        <f t="shared" si="51"/>
        <v>0</v>
      </c>
    </row>
    <row r="269" spans="2:18" x14ac:dyDescent="0.25">
      <c r="B269" s="195" t="s">
        <v>108</v>
      </c>
      <c r="C269" s="216"/>
      <c r="D269" s="102">
        <v>0</v>
      </c>
      <c r="E269" s="347">
        <v>0</v>
      </c>
      <c r="F269" s="103">
        <f t="shared" si="48"/>
        <v>0</v>
      </c>
      <c r="G269" s="104"/>
      <c r="H269" s="102">
        <v>0</v>
      </c>
      <c r="I269" s="347">
        <v>0</v>
      </c>
      <c r="J269" s="103">
        <f t="shared" si="49"/>
        <v>0</v>
      </c>
      <c r="K269" s="104"/>
      <c r="L269" s="102">
        <v>0</v>
      </c>
      <c r="M269" s="347">
        <v>0</v>
      </c>
      <c r="N269" s="103">
        <f t="shared" si="50"/>
        <v>0</v>
      </c>
      <c r="O269" s="104"/>
      <c r="P269" s="102">
        <v>0</v>
      </c>
      <c r="Q269" s="347">
        <v>0</v>
      </c>
      <c r="R269" s="103">
        <f t="shared" si="51"/>
        <v>0</v>
      </c>
    </row>
    <row r="270" spans="2:18" x14ac:dyDescent="0.25">
      <c r="B270" s="195" t="s">
        <v>108</v>
      </c>
      <c r="C270" s="216"/>
      <c r="D270" s="102">
        <v>0</v>
      </c>
      <c r="E270" s="347">
        <v>0</v>
      </c>
      <c r="F270" s="103">
        <f t="shared" si="48"/>
        <v>0</v>
      </c>
      <c r="G270" s="104"/>
      <c r="H270" s="102">
        <v>0</v>
      </c>
      <c r="I270" s="347">
        <v>0</v>
      </c>
      <c r="J270" s="103">
        <f t="shared" si="49"/>
        <v>0</v>
      </c>
      <c r="K270" s="104"/>
      <c r="L270" s="102">
        <v>0</v>
      </c>
      <c r="M270" s="347">
        <v>0</v>
      </c>
      <c r="N270" s="103">
        <f t="shared" si="50"/>
        <v>0</v>
      </c>
      <c r="O270" s="104"/>
      <c r="P270" s="102">
        <v>0</v>
      </c>
      <c r="Q270" s="347">
        <v>0</v>
      </c>
      <c r="R270" s="103">
        <f t="shared" si="51"/>
        <v>0</v>
      </c>
    </row>
    <row r="271" spans="2:18" x14ac:dyDescent="0.25">
      <c r="B271" s="195" t="s">
        <v>108</v>
      </c>
      <c r="C271" s="225" t="s">
        <v>156</v>
      </c>
      <c r="D271" s="102">
        <v>0</v>
      </c>
      <c r="E271" s="347">
        <v>0</v>
      </c>
      <c r="F271" s="103">
        <f t="shared" si="48"/>
        <v>0</v>
      </c>
      <c r="G271" s="104"/>
      <c r="H271" s="102">
        <v>0</v>
      </c>
      <c r="I271" s="347">
        <v>0</v>
      </c>
      <c r="J271" s="103">
        <f t="shared" si="49"/>
        <v>0</v>
      </c>
      <c r="K271" s="104"/>
      <c r="L271" s="102">
        <v>0</v>
      </c>
      <c r="M271" s="347">
        <v>0</v>
      </c>
      <c r="N271" s="103">
        <f t="shared" si="50"/>
        <v>0</v>
      </c>
      <c r="O271" s="104"/>
      <c r="P271" s="102">
        <v>0</v>
      </c>
      <c r="Q271" s="347">
        <v>0</v>
      </c>
      <c r="R271" s="103">
        <f t="shared" si="51"/>
        <v>0</v>
      </c>
    </row>
    <row r="272" spans="2:18" x14ac:dyDescent="0.25">
      <c r="B272" s="195" t="s">
        <v>108</v>
      </c>
      <c r="C272" s="216"/>
      <c r="D272" s="102">
        <v>0</v>
      </c>
      <c r="E272" s="347">
        <v>0</v>
      </c>
      <c r="F272" s="103">
        <f t="shared" si="48"/>
        <v>0</v>
      </c>
      <c r="G272" s="104"/>
      <c r="H272" s="102">
        <v>0</v>
      </c>
      <c r="I272" s="347">
        <v>0</v>
      </c>
      <c r="J272" s="103">
        <f t="shared" si="49"/>
        <v>0</v>
      </c>
      <c r="K272" s="104"/>
      <c r="L272" s="102">
        <v>0</v>
      </c>
      <c r="M272" s="347">
        <v>0</v>
      </c>
      <c r="N272" s="103">
        <f t="shared" si="50"/>
        <v>0</v>
      </c>
      <c r="O272" s="104"/>
      <c r="P272" s="102">
        <v>0</v>
      </c>
      <c r="Q272" s="347">
        <v>0</v>
      </c>
      <c r="R272" s="103">
        <f t="shared" si="51"/>
        <v>0</v>
      </c>
    </row>
    <row r="273" spans="2:18" x14ac:dyDescent="0.25">
      <c r="B273" s="195" t="s">
        <v>108</v>
      </c>
      <c r="C273" s="216"/>
      <c r="D273" s="102">
        <v>0</v>
      </c>
      <c r="E273" s="347">
        <v>0</v>
      </c>
      <c r="F273" s="103">
        <f t="shared" si="48"/>
        <v>0</v>
      </c>
      <c r="G273" s="104"/>
      <c r="H273" s="102">
        <v>0</v>
      </c>
      <c r="I273" s="347">
        <v>0</v>
      </c>
      <c r="J273" s="103">
        <f t="shared" si="49"/>
        <v>0</v>
      </c>
      <c r="K273" s="104"/>
      <c r="L273" s="102">
        <v>0</v>
      </c>
      <c r="M273" s="347">
        <v>0</v>
      </c>
      <c r="N273" s="103">
        <f t="shared" si="50"/>
        <v>0</v>
      </c>
      <c r="O273" s="104"/>
      <c r="P273" s="102">
        <v>0</v>
      </c>
      <c r="Q273" s="347">
        <v>0</v>
      </c>
      <c r="R273" s="103">
        <f t="shared" si="51"/>
        <v>0</v>
      </c>
    </row>
    <row r="274" spans="2:18" x14ac:dyDescent="0.25">
      <c r="B274" s="195" t="s">
        <v>108</v>
      </c>
      <c r="C274" s="216"/>
      <c r="D274" s="102">
        <v>0</v>
      </c>
      <c r="E274" s="347">
        <v>0</v>
      </c>
      <c r="F274" s="103">
        <f t="shared" si="48"/>
        <v>0</v>
      </c>
      <c r="G274" s="104"/>
      <c r="H274" s="102">
        <v>0</v>
      </c>
      <c r="I274" s="347">
        <v>0</v>
      </c>
      <c r="J274" s="103">
        <f t="shared" si="49"/>
        <v>0</v>
      </c>
      <c r="K274" s="104"/>
      <c r="L274" s="102">
        <v>0</v>
      </c>
      <c r="M274" s="347">
        <v>0</v>
      </c>
      <c r="N274" s="103">
        <f t="shared" si="50"/>
        <v>0</v>
      </c>
      <c r="O274" s="104"/>
      <c r="P274" s="102">
        <v>0</v>
      </c>
      <c r="Q274" s="347">
        <v>0</v>
      </c>
      <c r="R274" s="103">
        <f t="shared" si="51"/>
        <v>0</v>
      </c>
    </row>
    <row r="275" spans="2:18" x14ac:dyDescent="0.25">
      <c r="B275" s="195" t="s">
        <v>108</v>
      </c>
      <c r="C275" s="216"/>
      <c r="D275" s="102">
        <v>0</v>
      </c>
      <c r="E275" s="347">
        <v>0</v>
      </c>
      <c r="F275" s="103">
        <f t="shared" si="48"/>
        <v>0</v>
      </c>
      <c r="G275" s="104"/>
      <c r="H275" s="102">
        <v>0</v>
      </c>
      <c r="I275" s="347">
        <v>0</v>
      </c>
      <c r="J275" s="103">
        <f t="shared" si="49"/>
        <v>0</v>
      </c>
      <c r="K275" s="104"/>
      <c r="L275" s="102">
        <v>0</v>
      </c>
      <c r="M275" s="347">
        <v>0</v>
      </c>
      <c r="N275" s="103">
        <f t="shared" si="50"/>
        <v>0</v>
      </c>
      <c r="O275" s="104"/>
      <c r="P275" s="102">
        <v>0</v>
      </c>
      <c r="Q275" s="347">
        <v>0</v>
      </c>
      <c r="R275" s="103">
        <f t="shared" si="51"/>
        <v>0</v>
      </c>
    </row>
    <row r="276" spans="2:18" x14ac:dyDescent="0.25">
      <c r="B276" s="195" t="s">
        <v>108</v>
      </c>
      <c r="C276" s="225" t="s">
        <v>157</v>
      </c>
      <c r="D276" s="102">
        <v>0</v>
      </c>
      <c r="E276" s="347">
        <v>0</v>
      </c>
      <c r="F276" s="103">
        <f t="shared" si="48"/>
        <v>0</v>
      </c>
      <c r="G276" s="104"/>
      <c r="H276" s="102">
        <v>0</v>
      </c>
      <c r="I276" s="347">
        <v>0</v>
      </c>
      <c r="J276" s="103">
        <f t="shared" si="49"/>
        <v>0</v>
      </c>
      <c r="K276" s="104"/>
      <c r="L276" s="102">
        <v>0</v>
      </c>
      <c r="M276" s="347">
        <v>0</v>
      </c>
      <c r="N276" s="103">
        <f t="shared" si="50"/>
        <v>0</v>
      </c>
      <c r="O276" s="104"/>
      <c r="P276" s="102">
        <v>0</v>
      </c>
      <c r="Q276" s="347">
        <v>0</v>
      </c>
      <c r="R276" s="103">
        <f t="shared" si="51"/>
        <v>0</v>
      </c>
    </row>
    <row r="277" spans="2:18" x14ac:dyDescent="0.25">
      <c r="B277" s="195" t="s">
        <v>108</v>
      </c>
      <c r="C277" s="216"/>
      <c r="D277" s="102">
        <v>0</v>
      </c>
      <c r="E277" s="347">
        <v>0</v>
      </c>
      <c r="F277" s="103">
        <f t="shared" si="48"/>
        <v>0</v>
      </c>
      <c r="G277" s="104"/>
      <c r="H277" s="102">
        <v>0</v>
      </c>
      <c r="I277" s="347">
        <v>0</v>
      </c>
      <c r="J277" s="103">
        <f t="shared" si="49"/>
        <v>0</v>
      </c>
      <c r="K277" s="104"/>
      <c r="L277" s="102">
        <v>0</v>
      </c>
      <c r="M277" s="347">
        <v>0</v>
      </c>
      <c r="N277" s="103">
        <f t="shared" si="50"/>
        <v>0</v>
      </c>
      <c r="O277" s="104"/>
      <c r="P277" s="102">
        <v>0</v>
      </c>
      <c r="Q277" s="347">
        <v>0</v>
      </c>
      <c r="R277" s="103">
        <f t="shared" si="51"/>
        <v>0</v>
      </c>
    </row>
    <row r="278" spans="2:18" x14ac:dyDescent="0.25">
      <c r="B278" s="195" t="s">
        <v>108</v>
      </c>
      <c r="C278" s="216"/>
      <c r="D278" s="102">
        <v>0</v>
      </c>
      <c r="E278" s="347">
        <v>0</v>
      </c>
      <c r="F278" s="103">
        <f t="shared" si="48"/>
        <v>0</v>
      </c>
      <c r="G278" s="104"/>
      <c r="H278" s="102">
        <v>0</v>
      </c>
      <c r="I278" s="347">
        <v>0</v>
      </c>
      <c r="J278" s="103">
        <f t="shared" si="49"/>
        <v>0</v>
      </c>
      <c r="K278" s="104"/>
      <c r="L278" s="102">
        <v>0</v>
      </c>
      <c r="M278" s="347">
        <v>0</v>
      </c>
      <c r="N278" s="103">
        <f t="shared" si="50"/>
        <v>0</v>
      </c>
      <c r="O278" s="104"/>
      <c r="P278" s="102">
        <v>0</v>
      </c>
      <c r="Q278" s="347">
        <v>0</v>
      </c>
      <c r="R278" s="103">
        <f t="shared" si="51"/>
        <v>0</v>
      </c>
    </row>
    <row r="279" spans="2:18" x14ac:dyDescent="0.25">
      <c r="B279" s="195" t="s">
        <v>108</v>
      </c>
      <c r="C279" s="216"/>
      <c r="D279" s="102">
        <v>0</v>
      </c>
      <c r="E279" s="347">
        <v>0</v>
      </c>
      <c r="F279" s="103">
        <f t="shared" si="48"/>
        <v>0</v>
      </c>
      <c r="G279" s="104"/>
      <c r="H279" s="102">
        <v>0</v>
      </c>
      <c r="I279" s="347">
        <v>0</v>
      </c>
      <c r="J279" s="103">
        <f t="shared" si="49"/>
        <v>0</v>
      </c>
      <c r="K279" s="104"/>
      <c r="L279" s="102">
        <v>0</v>
      </c>
      <c r="M279" s="347">
        <v>0</v>
      </c>
      <c r="N279" s="103">
        <f t="shared" si="50"/>
        <v>0</v>
      </c>
      <c r="O279" s="104"/>
      <c r="P279" s="102">
        <v>0</v>
      </c>
      <c r="Q279" s="347">
        <v>0</v>
      </c>
      <c r="R279" s="103">
        <f t="shared" si="51"/>
        <v>0</v>
      </c>
    </row>
    <row r="280" spans="2:18" ht="15.75" thickBot="1" x14ac:dyDescent="0.3">
      <c r="B280" s="234" t="s">
        <v>108</v>
      </c>
      <c r="C280" s="235"/>
      <c r="D280" s="102">
        <v>0</v>
      </c>
      <c r="E280" s="347">
        <v>0</v>
      </c>
      <c r="F280" s="103">
        <f t="shared" si="48"/>
        <v>0</v>
      </c>
      <c r="G280" s="104"/>
      <c r="H280" s="102">
        <v>0</v>
      </c>
      <c r="I280" s="347">
        <v>0</v>
      </c>
      <c r="J280" s="103">
        <f t="shared" si="49"/>
        <v>0</v>
      </c>
      <c r="K280" s="104"/>
      <c r="L280" s="102">
        <v>0</v>
      </c>
      <c r="M280" s="347">
        <v>0</v>
      </c>
      <c r="N280" s="103">
        <f t="shared" si="50"/>
        <v>0</v>
      </c>
      <c r="O280" s="104"/>
      <c r="P280" s="102">
        <v>0</v>
      </c>
      <c r="Q280" s="347">
        <v>0</v>
      </c>
      <c r="R280" s="103">
        <f t="shared" si="51"/>
        <v>0</v>
      </c>
    </row>
    <row r="281" spans="2:18" ht="15.75" thickBot="1" x14ac:dyDescent="0.3">
      <c r="B281" s="238" t="s">
        <v>87</v>
      </c>
      <c r="C281" s="236"/>
      <c r="D281" s="200">
        <f>SUM(D266:D280)</f>
        <v>0</v>
      </c>
      <c r="E281" s="150"/>
      <c r="F281" s="109">
        <f>ROUND(SUM(F266:F280),0)</f>
        <v>0</v>
      </c>
      <c r="G281" s="110"/>
      <c r="H281" s="200">
        <f>SUM(H266:H280)</f>
        <v>0</v>
      </c>
      <c r="I281" s="150" t="s">
        <v>1</v>
      </c>
      <c r="J281" s="109">
        <f>ROUND(SUM(J266:J280),0)</f>
        <v>0</v>
      </c>
      <c r="K281" s="110"/>
      <c r="L281" s="200">
        <f>SUM(L266:L280)</f>
        <v>0</v>
      </c>
      <c r="M281" s="150"/>
      <c r="N281" s="109">
        <f>ROUND(SUM(N266:N280),0)</f>
        <v>0</v>
      </c>
      <c r="O281" s="110"/>
      <c r="P281" s="200">
        <f>SUM(P266:P280)</f>
        <v>0</v>
      </c>
      <c r="Q281" s="150"/>
      <c r="R281" s="109">
        <f>ROUND(SUM(R266:R280),0)</f>
        <v>0</v>
      </c>
    </row>
    <row r="282" spans="2:18" ht="15.75" thickBot="1" x14ac:dyDescent="0.3"/>
    <row r="283" spans="2:18" ht="16.5" thickBot="1" x14ac:dyDescent="0.3">
      <c r="B283" s="501" t="s">
        <v>414</v>
      </c>
      <c r="C283" s="502"/>
      <c r="D283" s="490" t="s">
        <v>69</v>
      </c>
      <c r="E283" s="491"/>
      <c r="F283" s="492"/>
      <c r="G283" s="96"/>
      <c r="H283" s="490" t="s">
        <v>69</v>
      </c>
      <c r="I283" s="491"/>
      <c r="J283" s="492"/>
      <c r="K283" s="96"/>
      <c r="L283" s="490" t="s">
        <v>69</v>
      </c>
      <c r="M283" s="491"/>
      <c r="N283" s="492"/>
      <c r="O283" s="96"/>
      <c r="P283" s="490" t="s">
        <v>69</v>
      </c>
      <c r="Q283" s="491"/>
      <c r="R283" s="492"/>
    </row>
    <row r="284" spans="2:18" ht="16.5" thickBot="1" x14ac:dyDescent="0.3">
      <c r="B284" s="503"/>
      <c r="C284" s="504"/>
      <c r="D284" s="487" t="str">
        <f>D11</f>
        <v>Basic Period (Year 1)</v>
      </c>
      <c r="E284" s="488"/>
      <c r="F284" s="489"/>
      <c r="G284" s="97"/>
      <c r="H284" s="487" t="str">
        <f>H11</f>
        <v>Basic Period (Year 2)</v>
      </c>
      <c r="I284" s="488"/>
      <c r="J284" s="489"/>
      <c r="K284" s="97"/>
      <c r="L284" s="487" t="str">
        <f>L11</f>
        <v>Basic Period (Year 3)</v>
      </c>
      <c r="M284" s="488"/>
      <c r="N284" s="489"/>
      <c r="O284" s="97"/>
      <c r="P284" s="487" t="str">
        <f>P11</f>
        <v>Basic Period (Year 4)</v>
      </c>
      <c r="Q284" s="488"/>
      <c r="R284" s="489"/>
    </row>
    <row r="285" spans="2:18" ht="16.5" thickBot="1" x14ac:dyDescent="0.3">
      <c r="B285" s="98" t="s">
        <v>46</v>
      </c>
      <c r="C285" s="98" t="s">
        <v>183</v>
      </c>
      <c r="D285" s="98" t="s">
        <v>29</v>
      </c>
      <c r="E285" s="99" t="s">
        <v>68</v>
      </c>
      <c r="F285" s="100" t="s">
        <v>74</v>
      </c>
      <c r="G285" s="101"/>
      <c r="H285" s="98" t="s">
        <v>29</v>
      </c>
      <c r="I285" s="99" t="s">
        <v>68</v>
      </c>
      <c r="J285" s="100" t="s">
        <v>74</v>
      </c>
      <c r="K285" s="101"/>
      <c r="L285" s="98" t="s">
        <v>29</v>
      </c>
      <c r="M285" s="99" t="s">
        <v>68</v>
      </c>
      <c r="N285" s="100" t="s">
        <v>74</v>
      </c>
      <c r="O285" s="101"/>
      <c r="P285" s="98" t="s">
        <v>29</v>
      </c>
      <c r="Q285" s="99" t="s">
        <v>68</v>
      </c>
      <c r="R285" s="100" t="s">
        <v>74</v>
      </c>
    </row>
    <row r="286" spans="2:18" ht="128.25" x14ac:dyDescent="0.25">
      <c r="B286" s="370" t="s">
        <v>434</v>
      </c>
      <c r="C286" s="370" t="s">
        <v>435</v>
      </c>
      <c r="D286" s="370" t="s">
        <v>410</v>
      </c>
      <c r="E286" s="370" t="s">
        <v>436</v>
      </c>
      <c r="F286" s="371"/>
      <c r="G286" s="101"/>
      <c r="H286" s="370" t="s">
        <v>410</v>
      </c>
      <c r="I286" s="370" t="s">
        <v>436</v>
      </c>
      <c r="J286" s="371"/>
      <c r="K286" s="101"/>
      <c r="L286" s="372" t="s">
        <v>410</v>
      </c>
      <c r="M286" s="372" t="s">
        <v>436</v>
      </c>
      <c r="N286" s="373"/>
      <c r="O286" s="101"/>
      <c r="P286" s="372" t="s">
        <v>410</v>
      </c>
      <c r="Q286" s="372" t="s">
        <v>436</v>
      </c>
      <c r="R286" s="373"/>
    </row>
    <row r="287" spans="2:18" x14ac:dyDescent="0.25">
      <c r="B287" s="195" t="s">
        <v>108</v>
      </c>
      <c r="C287" s="225" t="s">
        <v>158</v>
      </c>
      <c r="D287" s="102">
        <v>0</v>
      </c>
      <c r="E287" s="347">
        <v>0</v>
      </c>
      <c r="F287" s="103">
        <f>ROUND(D287*E287,0)</f>
        <v>0</v>
      </c>
      <c r="G287" s="104"/>
      <c r="H287" s="102">
        <v>0</v>
      </c>
      <c r="I287" s="347">
        <v>0</v>
      </c>
      <c r="J287" s="103">
        <f>ROUND(H287*I287,0)</f>
        <v>0</v>
      </c>
      <c r="K287" s="104"/>
      <c r="L287" s="102">
        <v>0</v>
      </c>
      <c r="M287" s="347">
        <v>0</v>
      </c>
      <c r="N287" s="103">
        <f>ROUND(L287*M287,0)</f>
        <v>0</v>
      </c>
      <c r="O287" s="104"/>
      <c r="P287" s="102">
        <v>0</v>
      </c>
      <c r="Q287" s="347">
        <v>0</v>
      </c>
      <c r="R287" s="103">
        <f>ROUND(P287*Q287,0)</f>
        <v>0</v>
      </c>
    </row>
    <row r="288" spans="2:18" x14ac:dyDescent="0.25">
      <c r="B288" s="195" t="s">
        <v>108</v>
      </c>
      <c r="C288" s="216" t="s">
        <v>1</v>
      </c>
      <c r="D288" s="102">
        <v>0</v>
      </c>
      <c r="E288" s="347">
        <v>0</v>
      </c>
      <c r="F288" s="103">
        <f t="shared" ref="F288:F301" si="52">ROUND(D288*E288,0)</f>
        <v>0</v>
      </c>
      <c r="G288" s="104"/>
      <c r="H288" s="102">
        <v>0</v>
      </c>
      <c r="I288" s="347">
        <v>0</v>
      </c>
      <c r="J288" s="103">
        <f t="shared" ref="J288:J301" si="53">ROUND(H288*I288,0)</f>
        <v>0</v>
      </c>
      <c r="K288" s="104"/>
      <c r="L288" s="102">
        <v>0</v>
      </c>
      <c r="M288" s="347">
        <v>0</v>
      </c>
      <c r="N288" s="103">
        <f t="shared" ref="N288:N301" si="54">ROUND(L288*M288,0)</f>
        <v>0</v>
      </c>
      <c r="O288" s="104"/>
      <c r="P288" s="102">
        <v>0</v>
      </c>
      <c r="Q288" s="347">
        <v>0</v>
      </c>
      <c r="R288" s="103">
        <f t="shared" ref="R288:R301" si="55">ROUND(P288*Q288,0)</f>
        <v>0</v>
      </c>
    </row>
    <row r="289" spans="2:18" x14ac:dyDescent="0.25">
      <c r="B289" s="195" t="s">
        <v>108</v>
      </c>
      <c r="C289" s="216"/>
      <c r="D289" s="102">
        <v>0</v>
      </c>
      <c r="E289" s="347">
        <v>0</v>
      </c>
      <c r="F289" s="103">
        <f t="shared" si="52"/>
        <v>0</v>
      </c>
      <c r="G289" s="104"/>
      <c r="H289" s="102">
        <v>0</v>
      </c>
      <c r="I289" s="347">
        <v>0</v>
      </c>
      <c r="J289" s="103">
        <f t="shared" si="53"/>
        <v>0</v>
      </c>
      <c r="K289" s="104"/>
      <c r="L289" s="102">
        <v>0</v>
      </c>
      <c r="M289" s="347">
        <v>0</v>
      </c>
      <c r="N289" s="103">
        <f t="shared" si="54"/>
        <v>0</v>
      </c>
      <c r="O289" s="104"/>
      <c r="P289" s="102">
        <v>0</v>
      </c>
      <c r="Q289" s="347">
        <v>0</v>
      </c>
      <c r="R289" s="103">
        <f t="shared" si="55"/>
        <v>0</v>
      </c>
    </row>
    <row r="290" spans="2:18" x14ac:dyDescent="0.25">
      <c r="B290" s="195" t="s">
        <v>108</v>
      </c>
      <c r="C290" s="216"/>
      <c r="D290" s="102">
        <v>0</v>
      </c>
      <c r="E290" s="347">
        <v>0</v>
      </c>
      <c r="F290" s="103">
        <f t="shared" si="52"/>
        <v>0</v>
      </c>
      <c r="G290" s="104"/>
      <c r="H290" s="102">
        <v>0</v>
      </c>
      <c r="I290" s="347">
        <v>0</v>
      </c>
      <c r="J290" s="103">
        <f t="shared" si="53"/>
        <v>0</v>
      </c>
      <c r="K290" s="104"/>
      <c r="L290" s="102">
        <v>0</v>
      </c>
      <c r="M290" s="347">
        <v>0</v>
      </c>
      <c r="N290" s="103">
        <f t="shared" si="54"/>
        <v>0</v>
      </c>
      <c r="O290" s="104"/>
      <c r="P290" s="102">
        <v>0</v>
      </c>
      <c r="Q290" s="347">
        <v>0</v>
      </c>
      <c r="R290" s="103">
        <f t="shared" si="55"/>
        <v>0</v>
      </c>
    </row>
    <row r="291" spans="2:18" x14ac:dyDescent="0.25">
      <c r="B291" s="195" t="s">
        <v>108</v>
      </c>
      <c r="C291" s="216"/>
      <c r="D291" s="102">
        <v>0</v>
      </c>
      <c r="E291" s="347">
        <v>0</v>
      </c>
      <c r="F291" s="103">
        <f t="shared" si="52"/>
        <v>0</v>
      </c>
      <c r="G291" s="104"/>
      <c r="H291" s="102">
        <v>0</v>
      </c>
      <c r="I291" s="347">
        <v>0</v>
      </c>
      <c r="J291" s="103">
        <f t="shared" si="53"/>
        <v>0</v>
      </c>
      <c r="K291" s="104"/>
      <c r="L291" s="102">
        <v>0</v>
      </c>
      <c r="M291" s="347">
        <v>0</v>
      </c>
      <c r="N291" s="103">
        <f t="shared" si="54"/>
        <v>0</v>
      </c>
      <c r="O291" s="104"/>
      <c r="P291" s="102">
        <v>0</v>
      </c>
      <c r="Q291" s="347">
        <v>0</v>
      </c>
      <c r="R291" s="103">
        <f t="shared" si="55"/>
        <v>0</v>
      </c>
    </row>
    <row r="292" spans="2:18" x14ac:dyDescent="0.25">
      <c r="B292" s="195" t="s">
        <v>108</v>
      </c>
      <c r="C292" s="225" t="s">
        <v>159</v>
      </c>
      <c r="D292" s="102">
        <v>0</v>
      </c>
      <c r="E292" s="347">
        <v>0</v>
      </c>
      <c r="F292" s="103">
        <f t="shared" si="52"/>
        <v>0</v>
      </c>
      <c r="G292" s="104"/>
      <c r="H292" s="102">
        <v>0</v>
      </c>
      <c r="I292" s="347">
        <v>0</v>
      </c>
      <c r="J292" s="103">
        <f t="shared" si="53"/>
        <v>0</v>
      </c>
      <c r="K292" s="104"/>
      <c r="L292" s="102">
        <v>0</v>
      </c>
      <c r="M292" s="347">
        <v>0</v>
      </c>
      <c r="N292" s="103">
        <f t="shared" si="54"/>
        <v>0</v>
      </c>
      <c r="O292" s="104"/>
      <c r="P292" s="102">
        <v>0</v>
      </c>
      <c r="Q292" s="347">
        <v>0</v>
      </c>
      <c r="R292" s="103">
        <f t="shared" si="55"/>
        <v>0</v>
      </c>
    </row>
    <row r="293" spans="2:18" x14ac:dyDescent="0.25">
      <c r="B293" s="195" t="s">
        <v>108</v>
      </c>
      <c r="C293" s="216"/>
      <c r="D293" s="102">
        <v>0</v>
      </c>
      <c r="E293" s="347">
        <v>0</v>
      </c>
      <c r="F293" s="103">
        <f t="shared" si="52"/>
        <v>0</v>
      </c>
      <c r="G293" s="104"/>
      <c r="H293" s="102">
        <v>0</v>
      </c>
      <c r="I293" s="347">
        <v>0</v>
      </c>
      <c r="J293" s="103">
        <f t="shared" si="53"/>
        <v>0</v>
      </c>
      <c r="K293" s="104"/>
      <c r="L293" s="102">
        <v>0</v>
      </c>
      <c r="M293" s="347">
        <v>0</v>
      </c>
      <c r="N293" s="103">
        <f t="shared" si="54"/>
        <v>0</v>
      </c>
      <c r="O293" s="104"/>
      <c r="P293" s="102">
        <v>0</v>
      </c>
      <c r="Q293" s="347">
        <v>0</v>
      </c>
      <c r="R293" s="103">
        <f t="shared" si="55"/>
        <v>0</v>
      </c>
    </row>
    <row r="294" spans="2:18" x14ac:dyDescent="0.25">
      <c r="B294" s="195" t="s">
        <v>108</v>
      </c>
      <c r="C294" s="216"/>
      <c r="D294" s="102">
        <v>0</v>
      </c>
      <c r="E294" s="347">
        <v>0</v>
      </c>
      <c r="F294" s="103">
        <f t="shared" si="52"/>
        <v>0</v>
      </c>
      <c r="G294" s="104"/>
      <c r="H294" s="102">
        <v>0</v>
      </c>
      <c r="I294" s="347">
        <v>0</v>
      </c>
      <c r="J294" s="103">
        <f t="shared" si="53"/>
        <v>0</v>
      </c>
      <c r="K294" s="104"/>
      <c r="L294" s="102">
        <v>0</v>
      </c>
      <c r="M294" s="347">
        <v>0</v>
      </c>
      <c r="N294" s="103">
        <f t="shared" si="54"/>
        <v>0</v>
      </c>
      <c r="O294" s="104"/>
      <c r="P294" s="102">
        <v>0</v>
      </c>
      <c r="Q294" s="347">
        <v>0</v>
      </c>
      <c r="R294" s="103">
        <f t="shared" si="55"/>
        <v>0</v>
      </c>
    </row>
    <row r="295" spans="2:18" x14ac:dyDescent="0.25">
      <c r="B295" s="195" t="s">
        <v>108</v>
      </c>
      <c r="C295" s="216"/>
      <c r="D295" s="102">
        <v>0</v>
      </c>
      <c r="E295" s="347">
        <v>0</v>
      </c>
      <c r="F295" s="103">
        <f t="shared" si="52"/>
        <v>0</v>
      </c>
      <c r="G295" s="104"/>
      <c r="H295" s="102">
        <v>0</v>
      </c>
      <c r="I295" s="347">
        <v>0</v>
      </c>
      <c r="J295" s="103">
        <f t="shared" si="53"/>
        <v>0</v>
      </c>
      <c r="K295" s="104"/>
      <c r="L295" s="102">
        <v>0</v>
      </c>
      <c r="M295" s="347">
        <v>0</v>
      </c>
      <c r="N295" s="103">
        <f t="shared" si="54"/>
        <v>0</v>
      </c>
      <c r="O295" s="104"/>
      <c r="P295" s="102">
        <v>0</v>
      </c>
      <c r="Q295" s="347">
        <v>0</v>
      </c>
      <c r="R295" s="103">
        <f t="shared" si="55"/>
        <v>0</v>
      </c>
    </row>
    <row r="296" spans="2:18" x14ac:dyDescent="0.25">
      <c r="B296" s="195" t="s">
        <v>108</v>
      </c>
      <c r="C296" s="216"/>
      <c r="D296" s="102">
        <v>0</v>
      </c>
      <c r="E296" s="347">
        <v>0</v>
      </c>
      <c r="F296" s="103">
        <f t="shared" si="52"/>
        <v>0</v>
      </c>
      <c r="G296" s="104"/>
      <c r="H296" s="102">
        <v>0</v>
      </c>
      <c r="I296" s="347">
        <v>0</v>
      </c>
      <c r="J296" s="103">
        <f t="shared" si="53"/>
        <v>0</v>
      </c>
      <c r="K296" s="104"/>
      <c r="L296" s="102">
        <v>0</v>
      </c>
      <c r="M296" s="347">
        <v>0</v>
      </c>
      <c r="N296" s="103">
        <f t="shared" si="54"/>
        <v>0</v>
      </c>
      <c r="O296" s="104"/>
      <c r="P296" s="102">
        <v>0</v>
      </c>
      <c r="Q296" s="347">
        <v>0</v>
      </c>
      <c r="R296" s="103">
        <f t="shared" si="55"/>
        <v>0</v>
      </c>
    </row>
    <row r="297" spans="2:18" x14ac:dyDescent="0.25">
      <c r="B297" s="195" t="s">
        <v>108</v>
      </c>
      <c r="C297" s="225" t="s">
        <v>160</v>
      </c>
      <c r="D297" s="102">
        <v>0</v>
      </c>
      <c r="E297" s="347">
        <v>0</v>
      </c>
      <c r="F297" s="103">
        <f t="shared" si="52"/>
        <v>0</v>
      </c>
      <c r="G297" s="104"/>
      <c r="H297" s="102">
        <v>0</v>
      </c>
      <c r="I297" s="347">
        <v>0</v>
      </c>
      <c r="J297" s="103">
        <f t="shared" si="53"/>
        <v>0</v>
      </c>
      <c r="K297" s="104"/>
      <c r="L297" s="102">
        <v>0</v>
      </c>
      <c r="M297" s="347">
        <v>0</v>
      </c>
      <c r="N297" s="103">
        <f t="shared" si="54"/>
        <v>0</v>
      </c>
      <c r="O297" s="104"/>
      <c r="P297" s="102">
        <v>0</v>
      </c>
      <c r="Q297" s="347">
        <v>0</v>
      </c>
      <c r="R297" s="103">
        <f t="shared" si="55"/>
        <v>0</v>
      </c>
    </row>
    <row r="298" spans="2:18" x14ac:dyDescent="0.25">
      <c r="B298" s="195" t="s">
        <v>108</v>
      </c>
      <c r="C298" s="216"/>
      <c r="D298" s="102">
        <v>0</v>
      </c>
      <c r="E298" s="347">
        <v>0</v>
      </c>
      <c r="F298" s="103">
        <f t="shared" si="52"/>
        <v>0</v>
      </c>
      <c r="G298" s="104"/>
      <c r="H298" s="102">
        <v>0</v>
      </c>
      <c r="I298" s="347">
        <v>0</v>
      </c>
      <c r="J298" s="103">
        <f t="shared" si="53"/>
        <v>0</v>
      </c>
      <c r="K298" s="104"/>
      <c r="L298" s="102">
        <v>0</v>
      </c>
      <c r="M298" s="347">
        <v>0</v>
      </c>
      <c r="N298" s="103">
        <f t="shared" si="54"/>
        <v>0</v>
      </c>
      <c r="O298" s="104"/>
      <c r="P298" s="102">
        <v>0</v>
      </c>
      <c r="Q298" s="347">
        <v>0</v>
      </c>
      <c r="R298" s="103">
        <f t="shared" si="55"/>
        <v>0</v>
      </c>
    </row>
    <row r="299" spans="2:18" x14ac:dyDescent="0.25">
      <c r="B299" s="195" t="s">
        <v>108</v>
      </c>
      <c r="C299" s="216"/>
      <c r="D299" s="102">
        <v>0</v>
      </c>
      <c r="E299" s="347">
        <v>0</v>
      </c>
      <c r="F299" s="103">
        <f t="shared" si="52"/>
        <v>0</v>
      </c>
      <c r="G299" s="104"/>
      <c r="H299" s="102">
        <v>0</v>
      </c>
      <c r="I299" s="347">
        <v>0</v>
      </c>
      <c r="J299" s="103">
        <f t="shared" si="53"/>
        <v>0</v>
      </c>
      <c r="K299" s="104"/>
      <c r="L299" s="102">
        <v>0</v>
      </c>
      <c r="M299" s="347">
        <v>0</v>
      </c>
      <c r="N299" s="103">
        <f t="shared" si="54"/>
        <v>0</v>
      </c>
      <c r="O299" s="104"/>
      <c r="P299" s="102">
        <v>0</v>
      </c>
      <c r="Q299" s="347">
        <v>0</v>
      </c>
      <c r="R299" s="103">
        <f t="shared" si="55"/>
        <v>0</v>
      </c>
    </row>
    <row r="300" spans="2:18" x14ac:dyDescent="0.25">
      <c r="B300" s="195" t="s">
        <v>108</v>
      </c>
      <c r="C300" s="216"/>
      <c r="D300" s="102">
        <v>0</v>
      </c>
      <c r="E300" s="347">
        <v>0</v>
      </c>
      <c r="F300" s="103">
        <f t="shared" si="52"/>
        <v>0</v>
      </c>
      <c r="G300" s="104"/>
      <c r="H300" s="102">
        <v>0</v>
      </c>
      <c r="I300" s="347">
        <v>0</v>
      </c>
      <c r="J300" s="103">
        <f t="shared" si="53"/>
        <v>0</v>
      </c>
      <c r="K300" s="104"/>
      <c r="L300" s="102">
        <v>0</v>
      </c>
      <c r="M300" s="347">
        <v>0</v>
      </c>
      <c r="N300" s="103">
        <f t="shared" si="54"/>
        <v>0</v>
      </c>
      <c r="O300" s="104"/>
      <c r="P300" s="102">
        <v>0</v>
      </c>
      <c r="Q300" s="347">
        <v>0</v>
      </c>
      <c r="R300" s="103">
        <f t="shared" si="55"/>
        <v>0</v>
      </c>
    </row>
    <row r="301" spans="2:18" ht="15.75" thickBot="1" x14ac:dyDescent="0.3">
      <c r="B301" s="234" t="s">
        <v>108</v>
      </c>
      <c r="C301" s="235"/>
      <c r="D301" s="102">
        <v>0</v>
      </c>
      <c r="E301" s="347">
        <v>0</v>
      </c>
      <c r="F301" s="103">
        <f t="shared" si="52"/>
        <v>0</v>
      </c>
      <c r="G301" s="104"/>
      <c r="H301" s="102">
        <v>0</v>
      </c>
      <c r="I301" s="347">
        <v>0</v>
      </c>
      <c r="J301" s="103">
        <f t="shared" si="53"/>
        <v>0</v>
      </c>
      <c r="K301" s="104"/>
      <c r="L301" s="102">
        <v>0</v>
      </c>
      <c r="M301" s="347">
        <v>0</v>
      </c>
      <c r="N301" s="103">
        <f t="shared" si="54"/>
        <v>0</v>
      </c>
      <c r="O301" s="104"/>
      <c r="P301" s="102">
        <v>0</v>
      </c>
      <c r="Q301" s="347">
        <v>0</v>
      </c>
      <c r="R301" s="103">
        <f t="shared" si="55"/>
        <v>0</v>
      </c>
    </row>
    <row r="302" spans="2:18" ht="15.75" thickBot="1" x14ac:dyDescent="0.3">
      <c r="B302" s="238" t="s">
        <v>87</v>
      </c>
      <c r="C302" s="236"/>
      <c r="D302" s="200">
        <f>SUM(D287:D301)</f>
        <v>0</v>
      </c>
      <c r="E302" s="150"/>
      <c r="F302" s="109">
        <f>ROUND(SUM(F287:F301),0)</f>
        <v>0</v>
      </c>
      <c r="G302" s="110"/>
      <c r="H302" s="200">
        <f>SUM(H287:H301)</f>
        <v>0</v>
      </c>
      <c r="I302" s="150" t="s">
        <v>1</v>
      </c>
      <c r="J302" s="109">
        <f>ROUND(SUM(J287:J301),0)</f>
        <v>0</v>
      </c>
      <c r="K302" s="110"/>
      <c r="L302" s="200">
        <f>SUM(L287:L301)</f>
        <v>0</v>
      </c>
      <c r="M302" s="150"/>
      <c r="N302" s="109">
        <f>ROUND(SUM(N287:N301),0)</f>
        <v>0</v>
      </c>
      <c r="O302" s="110"/>
      <c r="P302" s="200">
        <f>SUM(P287:P301)</f>
        <v>0</v>
      </c>
      <c r="Q302" s="150"/>
      <c r="R302" s="109">
        <f>ROUND(SUM(R287:R301),0)</f>
        <v>0</v>
      </c>
    </row>
    <row r="303" spans="2:18" ht="15.75" thickBot="1" x14ac:dyDescent="0.3"/>
    <row r="304" spans="2:18" ht="16.5" thickBot="1" x14ac:dyDescent="0.3">
      <c r="B304" s="505" t="s">
        <v>415</v>
      </c>
      <c r="C304" s="506"/>
      <c r="D304" s="490" t="s">
        <v>69</v>
      </c>
      <c r="E304" s="491"/>
      <c r="F304" s="492"/>
      <c r="G304" s="96"/>
      <c r="H304" s="490" t="s">
        <v>69</v>
      </c>
      <c r="I304" s="491"/>
      <c r="J304" s="492"/>
      <c r="K304" s="96"/>
      <c r="L304" s="490" t="s">
        <v>69</v>
      </c>
      <c r="M304" s="491"/>
      <c r="N304" s="492"/>
      <c r="O304" s="96"/>
      <c r="P304" s="490" t="s">
        <v>69</v>
      </c>
      <c r="Q304" s="491"/>
      <c r="R304" s="492"/>
    </row>
    <row r="305" spans="2:18" ht="16.5" thickBot="1" x14ac:dyDescent="0.3">
      <c r="B305" s="507"/>
      <c r="C305" s="508"/>
      <c r="D305" s="487" t="str">
        <f>D11</f>
        <v>Basic Period (Year 1)</v>
      </c>
      <c r="E305" s="488"/>
      <c r="F305" s="489"/>
      <c r="G305" s="97"/>
      <c r="H305" s="487" t="str">
        <f>H11</f>
        <v>Basic Period (Year 2)</v>
      </c>
      <c r="I305" s="488"/>
      <c r="J305" s="489"/>
      <c r="K305" s="97"/>
      <c r="L305" s="487" t="str">
        <f>L11</f>
        <v>Basic Period (Year 3)</v>
      </c>
      <c r="M305" s="488"/>
      <c r="N305" s="489"/>
      <c r="O305" s="97"/>
      <c r="P305" s="487" t="str">
        <f>P11</f>
        <v>Basic Period (Year 4)</v>
      </c>
      <c r="Q305" s="488"/>
      <c r="R305" s="489"/>
    </row>
    <row r="306" spans="2:18" ht="16.5" thickBot="1" x14ac:dyDescent="0.3">
      <c r="B306" s="98" t="s">
        <v>46</v>
      </c>
      <c r="C306" s="98" t="s">
        <v>183</v>
      </c>
      <c r="D306" s="98" t="s">
        <v>29</v>
      </c>
      <c r="E306" s="99" t="s">
        <v>68</v>
      </c>
      <c r="F306" s="100" t="s">
        <v>74</v>
      </c>
      <c r="G306" s="101"/>
      <c r="H306" s="98" t="s">
        <v>29</v>
      </c>
      <c r="I306" s="99" t="s">
        <v>68</v>
      </c>
      <c r="J306" s="100" t="s">
        <v>74</v>
      </c>
      <c r="K306" s="101"/>
      <c r="L306" s="98" t="s">
        <v>29</v>
      </c>
      <c r="M306" s="99" t="s">
        <v>68</v>
      </c>
      <c r="N306" s="100" t="s">
        <v>74</v>
      </c>
      <c r="O306" s="101"/>
      <c r="P306" s="98" t="s">
        <v>29</v>
      </c>
      <c r="Q306" s="99" t="s">
        <v>68</v>
      </c>
      <c r="R306" s="100" t="s">
        <v>74</v>
      </c>
    </row>
    <row r="307" spans="2:18" ht="128.25" x14ac:dyDescent="0.25">
      <c r="B307" s="370" t="s">
        <v>434</v>
      </c>
      <c r="C307" s="370" t="s">
        <v>435</v>
      </c>
      <c r="D307" s="370" t="s">
        <v>410</v>
      </c>
      <c r="E307" s="370" t="s">
        <v>436</v>
      </c>
      <c r="F307" s="371"/>
      <c r="G307" s="101"/>
      <c r="H307" s="370" t="s">
        <v>410</v>
      </c>
      <c r="I307" s="370" t="s">
        <v>436</v>
      </c>
      <c r="J307" s="371"/>
      <c r="K307" s="101"/>
      <c r="L307" s="372" t="s">
        <v>410</v>
      </c>
      <c r="M307" s="372" t="s">
        <v>436</v>
      </c>
      <c r="N307" s="373"/>
      <c r="O307" s="101"/>
      <c r="P307" s="372" t="s">
        <v>410</v>
      </c>
      <c r="Q307" s="372" t="s">
        <v>436</v>
      </c>
      <c r="R307" s="373"/>
    </row>
    <row r="308" spans="2:18" x14ac:dyDescent="0.25">
      <c r="B308" s="195" t="s">
        <v>108</v>
      </c>
      <c r="C308" s="225" t="s">
        <v>161</v>
      </c>
      <c r="D308" s="102">
        <v>0</v>
      </c>
      <c r="E308" s="347">
        <v>0</v>
      </c>
      <c r="F308" s="103">
        <f>ROUND(D308*E308,0)</f>
        <v>0</v>
      </c>
      <c r="G308" s="104"/>
      <c r="H308" s="102">
        <v>0</v>
      </c>
      <c r="I308" s="347">
        <v>0</v>
      </c>
      <c r="J308" s="103">
        <f>ROUND(H308*I308,0)</f>
        <v>0</v>
      </c>
      <c r="K308" s="104"/>
      <c r="L308" s="102">
        <v>0</v>
      </c>
      <c r="M308" s="347">
        <v>0</v>
      </c>
      <c r="N308" s="103">
        <f>ROUND(L308*M308,0)</f>
        <v>0</v>
      </c>
      <c r="O308" s="104"/>
      <c r="P308" s="102">
        <v>0</v>
      </c>
      <c r="Q308" s="347">
        <v>0</v>
      </c>
      <c r="R308" s="103">
        <f>ROUND(P308*Q308,0)</f>
        <v>0</v>
      </c>
    </row>
    <row r="309" spans="2:18" x14ac:dyDescent="0.25">
      <c r="B309" s="195" t="s">
        <v>108</v>
      </c>
      <c r="C309" s="216" t="s">
        <v>1</v>
      </c>
      <c r="D309" s="102">
        <v>0</v>
      </c>
      <c r="E309" s="347">
        <v>0</v>
      </c>
      <c r="F309" s="103">
        <f t="shared" ref="F309:F322" si="56">ROUND(D309*E309,0)</f>
        <v>0</v>
      </c>
      <c r="G309" s="104"/>
      <c r="H309" s="102">
        <v>0</v>
      </c>
      <c r="I309" s="347">
        <v>0</v>
      </c>
      <c r="J309" s="103">
        <f t="shared" ref="J309:J322" si="57">ROUND(H309*I309,0)</f>
        <v>0</v>
      </c>
      <c r="K309" s="104"/>
      <c r="L309" s="102">
        <v>0</v>
      </c>
      <c r="M309" s="347">
        <v>0</v>
      </c>
      <c r="N309" s="103">
        <f t="shared" ref="N309:N322" si="58">ROUND(L309*M309,0)</f>
        <v>0</v>
      </c>
      <c r="O309" s="104"/>
      <c r="P309" s="102">
        <v>0</v>
      </c>
      <c r="Q309" s="347">
        <v>0</v>
      </c>
      <c r="R309" s="103">
        <f t="shared" ref="R309:R322" si="59">ROUND(P309*Q309,0)</f>
        <v>0</v>
      </c>
    </row>
    <row r="310" spans="2:18" x14ac:dyDescent="0.25">
      <c r="B310" s="195" t="s">
        <v>108</v>
      </c>
      <c r="C310" s="216"/>
      <c r="D310" s="102">
        <v>0</v>
      </c>
      <c r="E310" s="347">
        <v>0</v>
      </c>
      <c r="F310" s="103">
        <f t="shared" si="56"/>
        <v>0</v>
      </c>
      <c r="G310" s="104"/>
      <c r="H310" s="102">
        <v>0</v>
      </c>
      <c r="I310" s="347">
        <v>0</v>
      </c>
      <c r="J310" s="103">
        <f t="shared" si="57"/>
        <v>0</v>
      </c>
      <c r="K310" s="104"/>
      <c r="L310" s="102">
        <v>0</v>
      </c>
      <c r="M310" s="347">
        <v>0</v>
      </c>
      <c r="N310" s="103">
        <f t="shared" si="58"/>
        <v>0</v>
      </c>
      <c r="O310" s="104"/>
      <c r="P310" s="102">
        <v>0</v>
      </c>
      <c r="Q310" s="347">
        <v>0</v>
      </c>
      <c r="R310" s="103">
        <f t="shared" si="59"/>
        <v>0</v>
      </c>
    </row>
    <row r="311" spans="2:18" x14ac:dyDescent="0.25">
      <c r="B311" s="195" t="s">
        <v>108</v>
      </c>
      <c r="C311" s="216"/>
      <c r="D311" s="102">
        <v>0</v>
      </c>
      <c r="E311" s="347">
        <v>0</v>
      </c>
      <c r="F311" s="103">
        <f t="shared" si="56"/>
        <v>0</v>
      </c>
      <c r="G311" s="104"/>
      <c r="H311" s="102">
        <v>0</v>
      </c>
      <c r="I311" s="347">
        <v>0</v>
      </c>
      <c r="J311" s="103">
        <f t="shared" si="57"/>
        <v>0</v>
      </c>
      <c r="K311" s="104"/>
      <c r="L311" s="102">
        <v>0</v>
      </c>
      <c r="M311" s="347">
        <v>0</v>
      </c>
      <c r="N311" s="103">
        <f t="shared" si="58"/>
        <v>0</v>
      </c>
      <c r="O311" s="104"/>
      <c r="P311" s="102">
        <v>0</v>
      </c>
      <c r="Q311" s="347">
        <v>0</v>
      </c>
      <c r="R311" s="103">
        <f t="shared" si="59"/>
        <v>0</v>
      </c>
    </row>
    <row r="312" spans="2:18" x14ac:dyDescent="0.25">
      <c r="B312" s="195" t="s">
        <v>108</v>
      </c>
      <c r="C312" s="216"/>
      <c r="D312" s="102">
        <v>0</v>
      </c>
      <c r="E312" s="347">
        <v>0</v>
      </c>
      <c r="F312" s="103">
        <f t="shared" si="56"/>
        <v>0</v>
      </c>
      <c r="G312" s="104"/>
      <c r="H312" s="102">
        <v>0</v>
      </c>
      <c r="I312" s="347">
        <v>0</v>
      </c>
      <c r="J312" s="103">
        <f t="shared" si="57"/>
        <v>0</v>
      </c>
      <c r="K312" s="104"/>
      <c r="L312" s="102">
        <v>0</v>
      </c>
      <c r="M312" s="347">
        <v>0</v>
      </c>
      <c r="N312" s="103">
        <f t="shared" si="58"/>
        <v>0</v>
      </c>
      <c r="O312" s="104"/>
      <c r="P312" s="102">
        <v>0</v>
      </c>
      <c r="Q312" s="347">
        <v>0</v>
      </c>
      <c r="R312" s="103">
        <f t="shared" si="59"/>
        <v>0</v>
      </c>
    </row>
    <row r="313" spans="2:18" x14ac:dyDescent="0.25">
      <c r="B313" s="195" t="s">
        <v>108</v>
      </c>
      <c r="C313" s="225" t="s">
        <v>162</v>
      </c>
      <c r="D313" s="102">
        <v>0</v>
      </c>
      <c r="E313" s="347">
        <v>0</v>
      </c>
      <c r="F313" s="103">
        <f t="shared" si="56"/>
        <v>0</v>
      </c>
      <c r="G313" s="104"/>
      <c r="H313" s="102">
        <v>0</v>
      </c>
      <c r="I313" s="347">
        <v>0</v>
      </c>
      <c r="J313" s="103">
        <f t="shared" si="57"/>
        <v>0</v>
      </c>
      <c r="K313" s="104"/>
      <c r="L313" s="102">
        <v>0</v>
      </c>
      <c r="M313" s="347">
        <v>0</v>
      </c>
      <c r="N313" s="103">
        <f t="shared" si="58"/>
        <v>0</v>
      </c>
      <c r="O313" s="104"/>
      <c r="P313" s="102">
        <v>0</v>
      </c>
      <c r="Q313" s="347">
        <v>0</v>
      </c>
      <c r="R313" s="103">
        <f t="shared" si="59"/>
        <v>0</v>
      </c>
    </row>
    <row r="314" spans="2:18" x14ac:dyDescent="0.25">
      <c r="B314" s="195" t="s">
        <v>108</v>
      </c>
      <c r="C314" s="216"/>
      <c r="D314" s="102">
        <v>0</v>
      </c>
      <c r="E314" s="347">
        <v>0</v>
      </c>
      <c r="F314" s="103">
        <f t="shared" si="56"/>
        <v>0</v>
      </c>
      <c r="G314" s="104"/>
      <c r="H314" s="102">
        <v>0</v>
      </c>
      <c r="I314" s="347">
        <v>0</v>
      </c>
      <c r="J314" s="103">
        <f t="shared" si="57"/>
        <v>0</v>
      </c>
      <c r="K314" s="104"/>
      <c r="L314" s="102">
        <v>0</v>
      </c>
      <c r="M314" s="347">
        <v>0</v>
      </c>
      <c r="N314" s="103">
        <f t="shared" si="58"/>
        <v>0</v>
      </c>
      <c r="O314" s="104"/>
      <c r="P314" s="102">
        <v>0</v>
      </c>
      <c r="Q314" s="347">
        <v>0</v>
      </c>
      <c r="R314" s="103">
        <f t="shared" si="59"/>
        <v>0</v>
      </c>
    </row>
    <row r="315" spans="2:18" x14ac:dyDescent="0.25">
      <c r="B315" s="195" t="s">
        <v>108</v>
      </c>
      <c r="C315" s="216"/>
      <c r="D315" s="102">
        <v>0</v>
      </c>
      <c r="E315" s="347">
        <v>0</v>
      </c>
      <c r="F315" s="103">
        <f t="shared" si="56"/>
        <v>0</v>
      </c>
      <c r="G315" s="104"/>
      <c r="H315" s="102">
        <v>0</v>
      </c>
      <c r="I315" s="347">
        <v>0</v>
      </c>
      <c r="J315" s="103">
        <f t="shared" si="57"/>
        <v>0</v>
      </c>
      <c r="K315" s="104"/>
      <c r="L315" s="102">
        <v>0</v>
      </c>
      <c r="M315" s="347">
        <v>0</v>
      </c>
      <c r="N315" s="103">
        <f t="shared" si="58"/>
        <v>0</v>
      </c>
      <c r="O315" s="104"/>
      <c r="P315" s="102">
        <v>0</v>
      </c>
      <c r="Q315" s="347">
        <v>0</v>
      </c>
      <c r="R315" s="103">
        <f t="shared" si="59"/>
        <v>0</v>
      </c>
    </row>
    <row r="316" spans="2:18" x14ac:dyDescent="0.25">
      <c r="B316" s="195" t="s">
        <v>108</v>
      </c>
      <c r="C316" s="216"/>
      <c r="D316" s="102">
        <v>0</v>
      </c>
      <c r="E316" s="347">
        <v>0</v>
      </c>
      <c r="F316" s="103">
        <f t="shared" si="56"/>
        <v>0</v>
      </c>
      <c r="G316" s="104"/>
      <c r="H316" s="102">
        <v>0</v>
      </c>
      <c r="I316" s="347">
        <v>0</v>
      </c>
      <c r="J316" s="103">
        <f t="shared" si="57"/>
        <v>0</v>
      </c>
      <c r="K316" s="104"/>
      <c r="L316" s="102">
        <v>0</v>
      </c>
      <c r="M316" s="347">
        <v>0</v>
      </c>
      <c r="N316" s="103">
        <f t="shared" si="58"/>
        <v>0</v>
      </c>
      <c r="O316" s="104"/>
      <c r="P316" s="102">
        <v>0</v>
      </c>
      <c r="Q316" s="347">
        <v>0</v>
      </c>
      <c r="R316" s="103">
        <f t="shared" si="59"/>
        <v>0</v>
      </c>
    </row>
    <row r="317" spans="2:18" x14ac:dyDescent="0.25">
      <c r="B317" s="195" t="s">
        <v>108</v>
      </c>
      <c r="C317" s="216"/>
      <c r="D317" s="102">
        <v>0</v>
      </c>
      <c r="E317" s="347">
        <v>0</v>
      </c>
      <c r="F317" s="103">
        <f t="shared" si="56"/>
        <v>0</v>
      </c>
      <c r="G317" s="104"/>
      <c r="H317" s="102">
        <v>0</v>
      </c>
      <c r="I317" s="347">
        <v>0</v>
      </c>
      <c r="J317" s="103">
        <f t="shared" si="57"/>
        <v>0</v>
      </c>
      <c r="K317" s="104"/>
      <c r="L317" s="102">
        <v>0</v>
      </c>
      <c r="M317" s="347">
        <v>0</v>
      </c>
      <c r="N317" s="103">
        <f t="shared" si="58"/>
        <v>0</v>
      </c>
      <c r="O317" s="104"/>
      <c r="P317" s="102">
        <v>0</v>
      </c>
      <c r="Q317" s="347">
        <v>0</v>
      </c>
      <c r="R317" s="103">
        <f t="shared" si="59"/>
        <v>0</v>
      </c>
    </row>
    <row r="318" spans="2:18" x14ac:dyDescent="0.25">
      <c r="B318" s="195" t="s">
        <v>108</v>
      </c>
      <c r="C318" s="225" t="s">
        <v>163</v>
      </c>
      <c r="D318" s="102">
        <v>0</v>
      </c>
      <c r="E318" s="347">
        <v>0</v>
      </c>
      <c r="F318" s="103">
        <f t="shared" si="56"/>
        <v>0</v>
      </c>
      <c r="G318" s="104"/>
      <c r="H318" s="102">
        <v>0</v>
      </c>
      <c r="I318" s="347">
        <v>0</v>
      </c>
      <c r="J318" s="103">
        <f t="shared" si="57"/>
        <v>0</v>
      </c>
      <c r="K318" s="104"/>
      <c r="L318" s="102">
        <v>0</v>
      </c>
      <c r="M318" s="347">
        <v>0</v>
      </c>
      <c r="N318" s="103">
        <f t="shared" si="58"/>
        <v>0</v>
      </c>
      <c r="O318" s="104"/>
      <c r="P318" s="102">
        <v>0</v>
      </c>
      <c r="Q318" s="347">
        <v>0</v>
      </c>
      <c r="R318" s="103">
        <f t="shared" si="59"/>
        <v>0</v>
      </c>
    </row>
    <row r="319" spans="2:18" x14ac:dyDescent="0.25">
      <c r="B319" s="195" t="s">
        <v>108</v>
      </c>
      <c r="C319" s="216"/>
      <c r="D319" s="102">
        <v>0</v>
      </c>
      <c r="E319" s="347">
        <v>0</v>
      </c>
      <c r="F319" s="103">
        <f t="shared" si="56"/>
        <v>0</v>
      </c>
      <c r="G319" s="104"/>
      <c r="H319" s="102">
        <v>0</v>
      </c>
      <c r="I319" s="347">
        <v>0</v>
      </c>
      <c r="J319" s="103">
        <f t="shared" si="57"/>
        <v>0</v>
      </c>
      <c r="K319" s="104"/>
      <c r="L319" s="102">
        <v>0</v>
      </c>
      <c r="M319" s="347">
        <v>0</v>
      </c>
      <c r="N319" s="103">
        <f t="shared" si="58"/>
        <v>0</v>
      </c>
      <c r="O319" s="104"/>
      <c r="P319" s="102">
        <v>0</v>
      </c>
      <c r="Q319" s="347">
        <v>0</v>
      </c>
      <c r="R319" s="103">
        <f t="shared" si="59"/>
        <v>0</v>
      </c>
    </row>
    <row r="320" spans="2:18" x14ac:dyDescent="0.25">
      <c r="B320" s="195" t="s">
        <v>108</v>
      </c>
      <c r="C320" s="216"/>
      <c r="D320" s="102">
        <v>0</v>
      </c>
      <c r="E320" s="347">
        <v>0</v>
      </c>
      <c r="F320" s="103">
        <f t="shared" si="56"/>
        <v>0</v>
      </c>
      <c r="G320" s="104"/>
      <c r="H320" s="102">
        <v>0</v>
      </c>
      <c r="I320" s="347">
        <v>0</v>
      </c>
      <c r="J320" s="103">
        <f t="shared" si="57"/>
        <v>0</v>
      </c>
      <c r="K320" s="104"/>
      <c r="L320" s="102">
        <v>0</v>
      </c>
      <c r="M320" s="347">
        <v>0</v>
      </c>
      <c r="N320" s="103">
        <f t="shared" si="58"/>
        <v>0</v>
      </c>
      <c r="O320" s="104"/>
      <c r="P320" s="102">
        <v>0</v>
      </c>
      <c r="Q320" s="347">
        <v>0</v>
      </c>
      <c r="R320" s="103">
        <f t="shared" si="59"/>
        <v>0</v>
      </c>
    </row>
    <row r="321" spans="2:18" x14ac:dyDescent="0.25">
      <c r="B321" s="195" t="s">
        <v>108</v>
      </c>
      <c r="C321" s="216"/>
      <c r="D321" s="102">
        <v>0</v>
      </c>
      <c r="E321" s="347">
        <v>0</v>
      </c>
      <c r="F321" s="103">
        <f t="shared" si="56"/>
        <v>0</v>
      </c>
      <c r="G321" s="104"/>
      <c r="H321" s="102">
        <v>0</v>
      </c>
      <c r="I321" s="347">
        <v>0</v>
      </c>
      <c r="J321" s="103">
        <f t="shared" si="57"/>
        <v>0</v>
      </c>
      <c r="K321" s="104"/>
      <c r="L321" s="102">
        <v>0</v>
      </c>
      <c r="M321" s="347">
        <v>0</v>
      </c>
      <c r="N321" s="103">
        <f t="shared" si="58"/>
        <v>0</v>
      </c>
      <c r="O321" s="104"/>
      <c r="P321" s="102">
        <v>0</v>
      </c>
      <c r="Q321" s="347">
        <v>0</v>
      </c>
      <c r="R321" s="103">
        <f t="shared" si="59"/>
        <v>0</v>
      </c>
    </row>
    <row r="322" spans="2:18" ht="15.75" thickBot="1" x14ac:dyDescent="0.3">
      <c r="B322" s="234" t="s">
        <v>108</v>
      </c>
      <c r="C322" s="235"/>
      <c r="D322" s="102">
        <v>0</v>
      </c>
      <c r="E322" s="347">
        <v>0</v>
      </c>
      <c r="F322" s="103">
        <f t="shared" si="56"/>
        <v>0</v>
      </c>
      <c r="G322" s="104"/>
      <c r="H322" s="102">
        <v>0</v>
      </c>
      <c r="I322" s="347">
        <v>0</v>
      </c>
      <c r="J322" s="103">
        <f t="shared" si="57"/>
        <v>0</v>
      </c>
      <c r="K322" s="104"/>
      <c r="L322" s="102">
        <v>0</v>
      </c>
      <c r="M322" s="347">
        <v>0</v>
      </c>
      <c r="N322" s="103">
        <f t="shared" si="58"/>
        <v>0</v>
      </c>
      <c r="O322" s="104"/>
      <c r="P322" s="102">
        <v>0</v>
      </c>
      <c r="Q322" s="347">
        <v>0</v>
      </c>
      <c r="R322" s="103">
        <f t="shared" si="59"/>
        <v>0</v>
      </c>
    </row>
    <row r="323" spans="2:18" ht="15.75" thickBot="1" x14ac:dyDescent="0.3">
      <c r="B323" s="238" t="s">
        <v>87</v>
      </c>
      <c r="C323" s="236"/>
      <c r="D323" s="200">
        <f>SUM(D308:D322)</f>
        <v>0</v>
      </c>
      <c r="E323" s="150"/>
      <c r="F323" s="109">
        <f>ROUND(SUM(F308:F322),0)</f>
        <v>0</v>
      </c>
      <c r="G323" s="110"/>
      <c r="H323" s="200">
        <f>SUM(H308:H322)</f>
        <v>0</v>
      </c>
      <c r="I323" s="150" t="s">
        <v>1</v>
      </c>
      <c r="J323" s="109">
        <f>ROUND(SUM(J308:J322),0)</f>
        <v>0</v>
      </c>
      <c r="K323" s="110"/>
      <c r="L323" s="200">
        <f>SUM(L308:L322)</f>
        <v>0</v>
      </c>
      <c r="M323" s="150"/>
      <c r="N323" s="109">
        <f>ROUND(SUM(N308:N322),0)</f>
        <v>0</v>
      </c>
      <c r="O323" s="110"/>
      <c r="P323" s="200">
        <f>SUM(P308:P322)</f>
        <v>0</v>
      </c>
      <c r="Q323" s="150"/>
      <c r="R323" s="109">
        <f>ROUND(SUM(R308:R322),0)</f>
        <v>0</v>
      </c>
    </row>
    <row r="324" spans="2:18" ht="15.75" thickBot="1" x14ac:dyDescent="0.3">
      <c r="B324" s="37"/>
      <c r="C324" s="37"/>
      <c r="D324" s="37"/>
      <c r="E324" s="37"/>
      <c r="F324" s="37"/>
      <c r="G324" s="37"/>
      <c r="H324" s="37"/>
      <c r="I324" s="37"/>
      <c r="J324" s="37"/>
      <c r="K324" s="37"/>
      <c r="L324" s="37"/>
      <c r="M324" s="37"/>
      <c r="N324" s="37"/>
    </row>
    <row r="325" spans="2:18" ht="16.5" customHeight="1" thickBot="1" x14ac:dyDescent="0.3">
      <c r="B325" s="505" t="s">
        <v>416</v>
      </c>
      <c r="C325" s="506"/>
      <c r="D325" s="490" t="s">
        <v>69</v>
      </c>
      <c r="E325" s="491"/>
      <c r="F325" s="492"/>
      <c r="G325" s="96"/>
      <c r="H325" s="490" t="s">
        <v>69</v>
      </c>
      <c r="I325" s="491"/>
      <c r="J325" s="492"/>
      <c r="K325" s="96"/>
      <c r="L325" s="490" t="s">
        <v>69</v>
      </c>
      <c r="M325" s="491"/>
      <c r="N325" s="492"/>
      <c r="O325" s="96"/>
      <c r="P325" s="490" t="s">
        <v>69</v>
      </c>
      <c r="Q325" s="491"/>
      <c r="R325" s="492"/>
    </row>
    <row r="326" spans="2:18" ht="16.5" thickBot="1" x14ac:dyDescent="0.3">
      <c r="B326" s="507"/>
      <c r="C326" s="508"/>
      <c r="D326" s="487" t="str">
        <f>D11</f>
        <v>Basic Period (Year 1)</v>
      </c>
      <c r="E326" s="488"/>
      <c r="F326" s="489"/>
      <c r="G326" s="97"/>
      <c r="H326" s="487" t="str">
        <f>H11</f>
        <v>Basic Period (Year 2)</v>
      </c>
      <c r="I326" s="488"/>
      <c r="J326" s="489"/>
      <c r="K326" s="97"/>
      <c r="L326" s="487" t="str">
        <f>L11</f>
        <v>Basic Period (Year 3)</v>
      </c>
      <c r="M326" s="488"/>
      <c r="N326" s="489"/>
      <c r="O326" s="97"/>
      <c r="P326" s="487" t="str">
        <f>P11</f>
        <v>Basic Period (Year 4)</v>
      </c>
      <c r="Q326" s="488"/>
      <c r="R326" s="489"/>
    </row>
    <row r="327" spans="2:18" ht="16.5" thickBot="1" x14ac:dyDescent="0.3">
      <c r="B327" s="98" t="s">
        <v>46</v>
      </c>
      <c r="C327" s="98" t="s">
        <v>183</v>
      </c>
      <c r="D327" s="98" t="s">
        <v>29</v>
      </c>
      <c r="E327" s="99" t="s">
        <v>68</v>
      </c>
      <c r="F327" s="100" t="s">
        <v>74</v>
      </c>
      <c r="G327" s="101"/>
      <c r="H327" s="98" t="s">
        <v>29</v>
      </c>
      <c r="I327" s="99" t="s">
        <v>68</v>
      </c>
      <c r="J327" s="100" t="s">
        <v>74</v>
      </c>
      <c r="K327" s="101"/>
      <c r="L327" s="98" t="s">
        <v>29</v>
      </c>
      <c r="M327" s="99" t="s">
        <v>68</v>
      </c>
      <c r="N327" s="100" t="s">
        <v>74</v>
      </c>
      <c r="O327" s="101"/>
      <c r="P327" s="98" t="s">
        <v>29</v>
      </c>
      <c r="Q327" s="99" t="s">
        <v>68</v>
      </c>
      <c r="R327" s="100" t="s">
        <v>74</v>
      </c>
    </row>
    <row r="328" spans="2:18" ht="128.25" x14ac:dyDescent="0.25">
      <c r="B328" s="370" t="s">
        <v>434</v>
      </c>
      <c r="C328" s="370" t="s">
        <v>435</v>
      </c>
      <c r="D328" s="370" t="s">
        <v>410</v>
      </c>
      <c r="E328" s="370" t="s">
        <v>436</v>
      </c>
      <c r="F328" s="371"/>
      <c r="G328" s="101"/>
      <c r="H328" s="370" t="s">
        <v>410</v>
      </c>
      <c r="I328" s="370" t="s">
        <v>436</v>
      </c>
      <c r="J328" s="371"/>
      <c r="K328" s="101"/>
      <c r="L328" s="372" t="s">
        <v>410</v>
      </c>
      <c r="M328" s="372" t="s">
        <v>436</v>
      </c>
      <c r="N328" s="373"/>
      <c r="O328" s="101"/>
      <c r="P328" s="372" t="s">
        <v>410</v>
      </c>
      <c r="Q328" s="372" t="s">
        <v>436</v>
      </c>
      <c r="R328" s="373"/>
    </row>
    <row r="329" spans="2:18" x14ac:dyDescent="0.25">
      <c r="B329" s="195" t="s">
        <v>108</v>
      </c>
      <c r="C329" s="225" t="s">
        <v>164</v>
      </c>
      <c r="D329" s="102">
        <v>0</v>
      </c>
      <c r="E329" s="347">
        <v>0</v>
      </c>
      <c r="F329" s="103">
        <f>ROUND(D329*E329,0)</f>
        <v>0</v>
      </c>
      <c r="G329" s="104"/>
      <c r="H329" s="102">
        <v>0</v>
      </c>
      <c r="I329" s="347">
        <v>0</v>
      </c>
      <c r="J329" s="103">
        <f>ROUND(H329*I329,0)</f>
        <v>0</v>
      </c>
      <c r="K329" s="104"/>
      <c r="L329" s="102">
        <v>0</v>
      </c>
      <c r="M329" s="347">
        <v>0</v>
      </c>
      <c r="N329" s="103">
        <f>ROUND(L329*M329,0)</f>
        <v>0</v>
      </c>
      <c r="O329" s="104"/>
      <c r="P329" s="102">
        <v>0</v>
      </c>
      <c r="Q329" s="347">
        <v>0</v>
      </c>
      <c r="R329" s="103">
        <f>ROUND(P329*Q329,0)</f>
        <v>0</v>
      </c>
    </row>
    <row r="330" spans="2:18" x14ac:dyDescent="0.25">
      <c r="B330" s="195" t="s">
        <v>108</v>
      </c>
      <c r="C330" s="216" t="s">
        <v>1</v>
      </c>
      <c r="D330" s="102">
        <v>0</v>
      </c>
      <c r="E330" s="347">
        <v>0</v>
      </c>
      <c r="F330" s="103">
        <f t="shared" ref="F330:F343" si="60">ROUND(D330*E330,0)</f>
        <v>0</v>
      </c>
      <c r="G330" s="104"/>
      <c r="H330" s="102">
        <v>0</v>
      </c>
      <c r="I330" s="347">
        <v>0</v>
      </c>
      <c r="J330" s="103">
        <f t="shared" ref="J330:J343" si="61">ROUND(H330*I330,0)</f>
        <v>0</v>
      </c>
      <c r="K330" s="104"/>
      <c r="L330" s="102">
        <v>0</v>
      </c>
      <c r="M330" s="347">
        <v>0</v>
      </c>
      <c r="N330" s="103">
        <f t="shared" ref="N330:N343" si="62">ROUND(L330*M330,0)</f>
        <v>0</v>
      </c>
      <c r="O330" s="104"/>
      <c r="P330" s="102">
        <v>0</v>
      </c>
      <c r="Q330" s="347">
        <v>0</v>
      </c>
      <c r="R330" s="103">
        <f t="shared" ref="R330:R343" si="63">ROUND(P330*Q330,0)</f>
        <v>0</v>
      </c>
    </row>
    <row r="331" spans="2:18" x14ac:dyDescent="0.25">
      <c r="B331" s="195" t="s">
        <v>108</v>
      </c>
      <c r="C331" s="216"/>
      <c r="D331" s="102">
        <v>0</v>
      </c>
      <c r="E331" s="347">
        <v>0</v>
      </c>
      <c r="F331" s="103">
        <f t="shared" si="60"/>
        <v>0</v>
      </c>
      <c r="G331" s="104"/>
      <c r="H331" s="102">
        <v>0</v>
      </c>
      <c r="I331" s="347">
        <v>0</v>
      </c>
      <c r="J331" s="103">
        <f t="shared" si="61"/>
        <v>0</v>
      </c>
      <c r="K331" s="104"/>
      <c r="L331" s="102">
        <v>0</v>
      </c>
      <c r="M331" s="347">
        <v>0</v>
      </c>
      <c r="N331" s="103">
        <f t="shared" si="62"/>
        <v>0</v>
      </c>
      <c r="O331" s="104"/>
      <c r="P331" s="102">
        <v>0</v>
      </c>
      <c r="Q331" s="347">
        <v>0</v>
      </c>
      <c r="R331" s="103">
        <f t="shared" si="63"/>
        <v>0</v>
      </c>
    </row>
    <row r="332" spans="2:18" x14ac:dyDescent="0.25">
      <c r="B332" s="195" t="s">
        <v>108</v>
      </c>
      <c r="C332" s="216"/>
      <c r="D332" s="102">
        <v>0</v>
      </c>
      <c r="E332" s="347">
        <v>0</v>
      </c>
      <c r="F332" s="103">
        <f t="shared" si="60"/>
        <v>0</v>
      </c>
      <c r="G332" s="104"/>
      <c r="H332" s="102">
        <v>0</v>
      </c>
      <c r="I332" s="347">
        <v>0</v>
      </c>
      <c r="J332" s="103">
        <f t="shared" si="61"/>
        <v>0</v>
      </c>
      <c r="K332" s="104"/>
      <c r="L332" s="102">
        <v>0</v>
      </c>
      <c r="M332" s="347">
        <v>0</v>
      </c>
      <c r="N332" s="103">
        <f t="shared" si="62"/>
        <v>0</v>
      </c>
      <c r="O332" s="104"/>
      <c r="P332" s="102">
        <v>0</v>
      </c>
      <c r="Q332" s="347">
        <v>0</v>
      </c>
      <c r="R332" s="103">
        <f t="shared" si="63"/>
        <v>0</v>
      </c>
    </row>
    <row r="333" spans="2:18" x14ac:dyDescent="0.25">
      <c r="B333" s="195" t="s">
        <v>108</v>
      </c>
      <c r="C333" s="216"/>
      <c r="D333" s="102">
        <v>0</v>
      </c>
      <c r="E333" s="347">
        <v>0</v>
      </c>
      <c r="F333" s="103">
        <f t="shared" si="60"/>
        <v>0</v>
      </c>
      <c r="G333" s="104"/>
      <c r="H333" s="102">
        <v>0</v>
      </c>
      <c r="I333" s="347">
        <v>0</v>
      </c>
      <c r="J333" s="103">
        <f t="shared" si="61"/>
        <v>0</v>
      </c>
      <c r="K333" s="104"/>
      <c r="L333" s="102">
        <v>0</v>
      </c>
      <c r="M333" s="347">
        <v>0</v>
      </c>
      <c r="N333" s="103">
        <f t="shared" si="62"/>
        <v>0</v>
      </c>
      <c r="O333" s="104"/>
      <c r="P333" s="102">
        <v>0</v>
      </c>
      <c r="Q333" s="347">
        <v>0</v>
      </c>
      <c r="R333" s="103">
        <f t="shared" si="63"/>
        <v>0</v>
      </c>
    </row>
    <row r="334" spans="2:18" x14ac:dyDescent="0.25">
      <c r="B334" s="195" t="s">
        <v>108</v>
      </c>
      <c r="C334" s="225" t="s">
        <v>165</v>
      </c>
      <c r="D334" s="102">
        <v>0</v>
      </c>
      <c r="E334" s="347">
        <v>0</v>
      </c>
      <c r="F334" s="103">
        <f t="shared" si="60"/>
        <v>0</v>
      </c>
      <c r="G334" s="104"/>
      <c r="H334" s="102">
        <v>0</v>
      </c>
      <c r="I334" s="347">
        <v>0</v>
      </c>
      <c r="J334" s="103">
        <f t="shared" si="61"/>
        <v>0</v>
      </c>
      <c r="K334" s="104"/>
      <c r="L334" s="102">
        <v>0</v>
      </c>
      <c r="M334" s="347">
        <v>0</v>
      </c>
      <c r="N334" s="103">
        <f t="shared" si="62"/>
        <v>0</v>
      </c>
      <c r="O334" s="104"/>
      <c r="P334" s="102">
        <v>0</v>
      </c>
      <c r="Q334" s="347">
        <v>0</v>
      </c>
      <c r="R334" s="103">
        <f t="shared" si="63"/>
        <v>0</v>
      </c>
    </row>
    <row r="335" spans="2:18" x14ac:dyDescent="0.25">
      <c r="B335" s="195" t="s">
        <v>108</v>
      </c>
      <c r="C335" s="216"/>
      <c r="D335" s="102">
        <v>0</v>
      </c>
      <c r="E335" s="347">
        <v>0</v>
      </c>
      <c r="F335" s="103">
        <f t="shared" si="60"/>
        <v>0</v>
      </c>
      <c r="G335" s="104"/>
      <c r="H335" s="102">
        <v>0</v>
      </c>
      <c r="I335" s="347">
        <v>0</v>
      </c>
      <c r="J335" s="103">
        <f t="shared" si="61"/>
        <v>0</v>
      </c>
      <c r="K335" s="104"/>
      <c r="L335" s="102">
        <v>0</v>
      </c>
      <c r="M335" s="347">
        <v>0</v>
      </c>
      <c r="N335" s="103">
        <f t="shared" si="62"/>
        <v>0</v>
      </c>
      <c r="O335" s="104"/>
      <c r="P335" s="102">
        <v>0</v>
      </c>
      <c r="Q335" s="347">
        <v>0</v>
      </c>
      <c r="R335" s="103">
        <f t="shared" si="63"/>
        <v>0</v>
      </c>
    </row>
    <row r="336" spans="2:18" x14ac:dyDescent="0.25">
      <c r="B336" s="195" t="s">
        <v>108</v>
      </c>
      <c r="C336" s="216"/>
      <c r="D336" s="102">
        <v>0</v>
      </c>
      <c r="E336" s="347">
        <v>0</v>
      </c>
      <c r="F336" s="103">
        <f t="shared" si="60"/>
        <v>0</v>
      </c>
      <c r="G336" s="104"/>
      <c r="H336" s="102">
        <v>0</v>
      </c>
      <c r="I336" s="347">
        <v>0</v>
      </c>
      <c r="J336" s="103">
        <f t="shared" si="61"/>
        <v>0</v>
      </c>
      <c r="K336" s="104"/>
      <c r="L336" s="102">
        <v>0</v>
      </c>
      <c r="M336" s="347">
        <v>0</v>
      </c>
      <c r="N336" s="103">
        <f t="shared" si="62"/>
        <v>0</v>
      </c>
      <c r="O336" s="104"/>
      <c r="P336" s="102">
        <v>0</v>
      </c>
      <c r="Q336" s="347">
        <v>0</v>
      </c>
      <c r="R336" s="103">
        <f t="shared" si="63"/>
        <v>0</v>
      </c>
    </row>
    <row r="337" spans="2:18" x14ac:dyDescent="0.25">
      <c r="B337" s="195" t="s">
        <v>108</v>
      </c>
      <c r="C337" s="216"/>
      <c r="D337" s="102">
        <v>0</v>
      </c>
      <c r="E337" s="347">
        <v>0</v>
      </c>
      <c r="F337" s="103">
        <f t="shared" si="60"/>
        <v>0</v>
      </c>
      <c r="G337" s="104"/>
      <c r="H337" s="102">
        <v>0</v>
      </c>
      <c r="I337" s="347">
        <v>0</v>
      </c>
      <c r="J337" s="103">
        <f t="shared" si="61"/>
        <v>0</v>
      </c>
      <c r="K337" s="104"/>
      <c r="L337" s="102">
        <v>0</v>
      </c>
      <c r="M337" s="347">
        <v>0</v>
      </c>
      <c r="N337" s="103">
        <f t="shared" si="62"/>
        <v>0</v>
      </c>
      <c r="O337" s="104"/>
      <c r="P337" s="102">
        <v>0</v>
      </c>
      <c r="Q337" s="347">
        <v>0</v>
      </c>
      <c r="R337" s="103">
        <f t="shared" si="63"/>
        <v>0</v>
      </c>
    </row>
    <row r="338" spans="2:18" x14ac:dyDescent="0.25">
      <c r="B338" s="195" t="s">
        <v>108</v>
      </c>
      <c r="C338" s="216"/>
      <c r="D338" s="102">
        <v>0</v>
      </c>
      <c r="E338" s="347">
        <v>0</v>
      </c>
      <c r="F338" s="103">
        <f t="shared" si="60"/>
        <v>0</v>
      </c>
      <c r="G338" s="104"/>
      <c r="H338" s="102">
        <v>0</v>
      </c>
      <c r="I338" s="347">
        <v>0</v>
      </c>
      <c r="J338" s="103">
        <f t="shared" si="61"/>
        <v>0</v>
      </c>
      <c r="K338" s="104"/>
      <c r="L338" s="102">
        <v>0</v>
      </c>
      <c r="M338" s="347">
        <v>0</v>
      </c>
      <c r="N338" s="103">
        <f t="shared" si="62"/>
        <v>0</v>
      </c>
      <c r="O338" s="104"/>
      <c r="P338" s="102">
        <v>0</v>
      </c>
      <c r="Q338" s="347">
        <v>0</v>
      </c>
      <c r="R338" s="103">
        <f t="shared" si="63"/>
        <v>0</v>
      </c>
    </row>
    <row r="339" spans="2:18" x14ac:dyDescent="0.25">
      <c r="B339" s="195" t="s">
        <v>108</v>
      </c>
      <c r="C339" s="225" t="s">
        <v>166</v>
      </c>
      <c r="D339" s="102">
        <v>0</v>
      </c>
      <c r="E339" s="347">
        <v>0</v>
      </c>
      <c r="F339" s="103">
        <f t="shared" si="60"/>
        <v>0</v>
      </c>
      <c r="G339" s="104"/>
      <c r="H339" s="102">
        <v>0</v>
      </c>
      <c r="I339" s="347">
        <v>0</v>
      </c>
      <c r="J339" s="103">
        <f t="shared" si="61"/>
        <v>0</v>
      </c>
      <c r="K339" s="104"/>
      <c r="L339" s="102">
        <v>0</v>
      </c>
      <c r="M339" s="347">
        <v>0</v>
      </c>
      <c r="N339" s="103">
        <f t="shared" si="62"/>
        <v>0</v>
      </c>
      <c r="O339" s="104"/>
      <c r="P339" s="102">
        <v>0</v>
      </c>
      <c r="Q339" s="347">
        <v>0</v>
      </c>
      <c r="R339" s="103">
        <f t="shared" si="63"/>
        <v>0</v>
      </c>
    </row>
    <row r="340" spans="2:18" x14ac:dyDescent="0.25">
      <c r="B340" s="195" t="s">
        <v>108</v>
      </c>
      <c r="C340" s="216"/>
      <c r="D340" s="102">
        <v>0</v>
      </c>
      <c r="E340" s="347">
        <v>0</v>
      </c>
      <c r="F340" s="103">
        <f t="shared" si="60"/>
        <v>0</v>
      </c>
      <c r="G340" s="104"/>
      <c r="H340" s="102">
        <v>0</v>
      </c>
      <c r="I340" s="347">
        <v>0</v>
      </c>
      <c r="J340" s="103">
        <f t="shared" si="61"/>
        <v>0</v>
      </c>
      <c r="K340" s="104"/>
      <c r="L340" s="102">
        <v>0</v>
      </c>
      <c r="M340" s="347">
        <v>0</v>
      </c>
      <c r="N340" s="103">
        <f t="shared" si="62"/>
        <v>0</v>
      </c>
      <c r="O340" s="104"/>
      <c r="P340" s="102">
        <v>0</v>
      </c>
      <c r="Q340" s="347">
        <v>0</v>
      </c>
      <c r="R340" s="103">
        <f t="shared" si="63"/>
        <v>0</v>
      </c>
    </row>
    <row r="341" spans="2:18" x14ac:dyDescent="0.25">
      <c r="B341" s="195" t="s">
        <v>108</v>
      </c>
      <c r="C341" s="216"/>
      <c r="D341" s="102">
        <v>0</v>
      </c>
      <c r="E341" s="347">
        <v>0</v>
      </c>
      <c r="F341" s="103">
        <f t="shared" si="60"/>
        <v>0</v>
      </c>
      <c r="G341" s="104"/>
      <c r="H341" s="102">
        <v>0</v>
      </c>
      <c r="I341" s="347">
        <v>0</v>
      </c>
      <c r="J341" s="103">
        <f t="shared" si="61"/>
        <v>0</v>
      </c>
      <c r="K341" s="104"/>
      <c r="L341" s="102">
        <v>0</v>
      </c>
      <c r="M341" s="347">
        <v>0</v>
      </c>
      <c r="N341" s="103">
        <f t="shared" si="62"/>
        <v>0</v>
      </c>
      <c r="O341" s="104"/>
      <c r="P341" s="102">
        <v>0</v>
      </c>
      <c r="Q341" s="347">
        <v>0</v>
      </c>
      <c r="R341" s="103">
        <f t="shared" si="63"/>
        <v>0</v>
      </c>
    </row>
    <row r="342" spans="2:18" x14ac:dyDescent="0.25">
      <c r="B342" s="195" t="s">
        <v>108</v>
      </c>
      <c r="C342" s="216"/>
      <c r="D342" s="102">
        <v>0</v>
      </c>
      <c r="E342" s="347">
        <v>0</v>
      </c>
      <c r="F342" s="103">
        <f t="shared" si="60"/>
        <v>0</v>
      </c>
      <c r="G342" s="104"/>
      <c r="H342" s="102">
        <v>0</v>
      </c>
      <c r="I342" s="347">
        <v>0</v>
      </c>
      <c r="J342" s="103">
        <f t="shared" si="61"/>
        <v>0</v>
      </c>
      <c r="K342" s="104"/>
      <c r="L342" s="102">
        <v>0</v>
      </c>
      <c r="M342" s="347">
        <v>0</v>
      </c>
      <c r="N342" s="103">
        <f t="shared" si="62"/>
        <v>0</v>
      </c>
      <c r="O342" s="104"/>
      <c r="P342" s="102">
        <v>0</v>
      </c>
      <c r="Q342" s="347">
        <v>0</v>
      </c>
      <c r="R342" s="103">
        <f t="shared" si="63"/>
        <v>0</v>
      </c>
    </row>
    <row r="343" spans="2:18" ht="15.75" thickBot="1" x14ac:dyDescent="0.3">
      <c r="B343" s="234" t="s">
        <v>108</v>
      </c>
      <c r="C343" s="235"/>
      <c r="D343" s="102">
        <v>0</v>
      </c>
      <c r="E343" s="347">
        <v>0</v>
      </c>
      <c r="F343" s="103">
        <f t="shared" si="60"/>
        <v>0</v>
      </c>
      <c r="G343" s="104"/>
      <c r="H343" s="102">
        <v>0</v>
      </c>
      <c r="I343" s="347">
        <v>0</v>
      </c>
      <c r="J343" s="103">
        <f t="shared" si="61"/>
        <v>0</v>
      </c>
      <c r="K343" s="104"/>
      <c r="L343" s="102">
        <v>0</v>
      </c>
      <c r="M343" s="347">
        <v>0</v>
      </c>
      <c r="N343" s="103">
        <f t="shared" si="62"/>
        <v>0</v>
      </c>
      <c r="O343" s="104"/>
      <c r="P343" s="102">
        <v>0</v>
      </c>
      <c r="Q343" s="347">
        <v>0</v>
      </c>
      <c r="R343" s="103">
        <f t="shared" si="63"/>
        <v>0</v>
      </c>
    </row>
    <row r="344" spans="2:18" ht="15.75" thickBot="1" x14ac:dyDescent="0.3">
      <c r="B344" s="238" t="s">
        <v>87</v>
      </c>
      <c r="C344" s="236"/>
      <c r="D344" s="200">
        <f>SUM(D329:D343)</f>
        <v>0</v>
      </c>
      <c r="E344" s="150"/>
      <c r="F344" s="109">
        <f>ROUND(SUM(F329:F343),0)</f>
        <v>0</v>
      </c>
      <c r="G344" s="110"/>
      <c r="H344" s="200">
        <f>SUM(H329:H343)</f>
        <v>0</v>
      </c>
      <c r="I344" s="150" t="s">
        <v>1</v>
      </c>
      <c r="J344" s="109">
        <f>ROUND(SUM(J329:J343),0)</f>
        <v>0</v>
      </c>
      <c r="K344" s="110"/>
      <c r="L344" s="200">
        <f>SUM(L329:L343)</f>
        <v>0</v>
      </c>
      <c r="M344" s="150"/>
      <c r="N344" s="109">
        <f>ROUND(SUM(N329:N343),0)</f>
        <v>0</v>
      </c>
      <c r="O344" s="110"/>
      <c r="P344" s="200">
        <f>SUM(P329:P343)</f>
        <v>0</v>
      </c>
      <c r="Q344" s="150"/>
      <c r="R344" s="109">
        <f>ROUND(SUM(R329:R343),0)</f>
        <v>0</v>
      </c>
    </row>
    <row r="345" spans="2:18" ht="15.75" thickBot="1" x14ac:dyDescent="0.3">
      <c r="B345" s="37"/>
      <c r="C345" s="37"/>
      <c r="D345" s="37"/>
      <c r="E345" s="37"/>
      <c r="F345" s="37"/>
      <c r="G345" s="37"/>
      <c r="H345" s="37"/>
      <c r="I345" s="37"/>
      <c r="J345" s="37"/>
      <c r="K345" s="37"/>
      <c r="L345" s="37"/>
      <c r="M345" s="37"/>
      <c r="N345" s="37"/>
    </row>
    <row r="346" spans="2:18" ht="16.5" customHeight="1" thickBot="1" x14ac:dyDescent="0.3">
      <c r="B346" s="505" t="s">
        <v>417</v>
      </c>
      <c r="C346" s="506"/>
      <c r="D346" s="490" t="s">
        <v>69</v>
      </c>
      <c r="E346" s="491"/>
      <c r="F346" s="492"/>
      <c r="G346" s="96"/>
      <c r="H346" s="490" t="s">
        <v>69</v>
      </c>
      <c r="I346" s="491"/>
      <c r="J346" s="492"/>
      <c r="K346" s="96"/>
      <c r="L346" s="490" t="s">
        <v>69</v>
      </c>
      <c r="M346" s="491"/>
      <c r="N346" s="492"/>
      <c r="O346" s="96"/>
      <c r="P346" s="490" t="s">
        <v>69</v>
      </c>
      <c r="Q346" s="491"/>
      <c r="R346" s="492"/>
    </row>
    <row r="347" spans="2:18" ht="16.5" thickBot="1" x14ac:dyDescent="0.3">
      <c r="B347" s="507"/>
      <c r="C347" s="508"/>
      <c r="D347" s="487" t="str">
        <f>D11</f>
        <v>Basic Period (Year 1)</v>
      </c>
      <c r="E347" s="488"/>
      <c r="F347" s="489"/>
      <c r="G347" s="97"/>
      <c r="H347" s="487" t="str">
        <f>H11</f>
        <v>Basic Period (Year 2)</v>
      </c>
      <c r="I347" s="488"/>
      <c r="J347" s="489"/>
      <c r="K347" s="97"/>
      <c r="L347" s="487" t="str">
        <f>L11</f>
        <v>Basic Period (Year 3)</v>
      </c>
      <c r="M347" s="488"/>
      <c r="N347" s="489"/>
      <c r="O347" s="97"/>
      <c r="P347" s="487" t="str">
        <f>P11</f>
        <v>Basic Period (Year 4)</v>
      </c>
      <c r="Q347" s="488"/>
      <c r="R347" s="489"/>
    </row>
    <row r="348" spans="2:18" ht="16.5" thickBot="1" x14ac:dyDescent="0.3">
      <c r="B348" s="98" t="s">
        <v>46</v>
      </c>
      <c r="C348" s="98" t="s">
        <v>183</v>
      </c>
      <c r="D348" s="98" t="s">
        <v>29</v>
      </c>
      <c r="E348" s="99" t="s">
        <v>68</v>
      </c>
      <c r="F348" s="100" t="s">
        <v>74</v>
      </c>
      <c r="G348" s="101"/>
      <c r="H348" s="98" t="s">
        <v>29</v>
      </c>
      <c r="I348" s="99" t="s">
        <v>68</v>
      </c>
      <c r="J348" s="100" t="s">
        <v>74</v>
      </c>
      <c r="K348" s="101"/>
      <c r="L348" s="98" t="s">
        <v>29</v>
      </c>
      <c r="M348" s="99" t="s">
        <v>68</v>
      </c>
      <c r="N348" s="100" t="s">
        <v>74</v>
      </c>
      <c r="O348" s="101"/>
      <c r="P348" s="98" t="s">
        <v>29</v>
      </c>
      <c r="Q348" s="99" t="s">
        <v>68</v>
      </c>
      <c r="R348" s="100" t="s">
        <v>74</v>
      </c>
    </row>
    <row r="349" spans="2:18" ht="128.25" x14ac:dyDescent="0.25">
      <c r="B349" s="370" t="s">
        <v>434</v>
      </c>
      <c r="C349" s="370" t="s">
        <v>435</v>
      </c>
      <c r="D349" s="370" t="s">
        <v>410</v>
      </c>
      <c r="E349" s="370" t="s">
        <v>436</v>
      </c>
      <c r="F349" s="371"/>
      <c r="G349" s="101"/>
      <c r="H349" s="370" t="s">
        <v>410</v>
      </c>
      <c r="I349" s="370" t="s">
        <v>436</v>
      </c>
      <c r="J349" s="371"/>
      <c r="K349" s="101"/>
      <c r="L349" s="372" t="s">
        <v>410</v>
      </c>
      <c r="M349" s="372" t="s">
        <v>436</v>
      </c>
      <c r="N349" s="373"/>
      <c r="O349" s="101"/>
      <c r="P349" s="372" t="s">
        <v>410</v>
      </c>
      <c r="Q349" s="372" t="s">
        <v>436</v>
      </c>
      <c r="R349" s="373"/>
    </row>
    <row r="350" spans="2:18" x14ac:dyDescent="0.25">
      <c r="B350" s="195" t="s">
        <v>108</v>
      </c>
      <c r="C350" s="225" t="s">
        <v>167</v>
      </c>
      <c r="D350" s="102">
        <v>0</v>
      </c>
      <c r="E350" s="347">
        <v>0</v>
      </c>
      <c r="F350" s="103">
        <f>ROUND(D350*E350,0)</f>
        <v>0</v>
      </c>
      <c r="G350" s="104"/>
      <c r="H350" s="102">
        <v>0</v>
      </c>
      <c r="I350" s="347">
        <v>0</v>
      </c>
      <c r="J350" s="103">
        <f>ROUND(H350*I350,0)</f>
        <v>0</v>
      </c>
      <c r="K350" s="104"/>
      <c r="L350" s="102">
        <v>0</v>
      </c>
      <c r="M350" s="347">
        <v>0</v>
      </c>
      <c r="N350" s="103">
        <f>ROUND(L350*M350,0)</f>
        <v>0</v>
      </c>
      <c r="O350" s="104"/>
      <c r="P350" s="102">
        <v>0</v>
      </c>
      <c r="Q350" s="347">
        <v>0</v>
      </c>
      <c r="R350" s="103">
        <f>ROUND(P350*Q350,0)</f>
        <v>0</v>
      </c>
    </row>
    <row r="351" spans="2:18" x14ac:dyDescent="0.25">
      <c r="B351" s="195" t="s">
        <v>108</v>
      </c>
      <c r="C351" s="216" t="s">
        <v>1</v>
      </c>
      <c r="D351" s="102">
        <v>0</v>
      </c>
      <c r="E351" s="347">
        <v>0</v>
      </c>
      <c r="F351" s="103">
        <f t="shared" ref="F351:F364" si="64">ROUND(D351*E351,0)</f>
        <v>0</v>
      </c>
      <c r="G351" s="104"/>
      <c r="H351" s="102">
        <v>0</v>
      </c>
      <c r="I351" s="347">
        <v>0</v>
      </c>
      <c r="J351" s="103">
        <f t="shared" ref="J351:J364" si="65">ROUND(H351*I351,0)</f>
        <v>0</v>
      </c>
      <c r="K351" s="104"/>
      <c r="L351" s="102">
        <v>0</v>
      </c>
      <c r="M351" s="347">
        <v>0</v>
      </c>
      <c r="N351" s="103">
        <f t="shared" ref="N351:N364" si="66">ROUND(L351*M351,0)</f>
        <v>0</v>
      </c>
      <c r="O351" s="104"/>
      <c r="P351" s="102">
        <v>0</v>
      </c>
      <c r="Q351" s="347">
        <v>0</v>
      </c>
      <c r="R351" s="103">
        <f t="shared" ref="R351:R364" si="67">ROUND(P351*Q351,0)</f>
        <v>0</v>
      </c>
    </row>
    <row r="352" spans="2:18" x14ac:dyDescent="0.25">
      <c r="B352" s="195" t="s">
        <v>108</v>
      </c>
      <c r="C352" s="216"/>
      <c r="D352" s="102">
        <v>0</v>
      </c>
      <c r="E352" s="347">
        <v>0</v>
      </c>
      <c r="F352" s="103">
        <f t="shared" si="64"/>
        <v>0</v>
      </c>
      <c r="G352" s="104"/>
      <c r="H352" s="102">
        <v>0</v>
      </c>
      <c r="I352" s="347">
        <v>0</v>
      </c>
      <c r="J352" s="103">
        <f t="shared" si="65"/>
        <v>0</v>
      </c>
      <c r="K352" s="104"/>
      <c r="L352" s="102">
        <v>0</v>
      </c>
      <c r="M352" s="347">
        <v>0</v>
      </c>
      <c r="N352" s="103">
        <f t="shared" si="66"/>
        <v>0</v>
      </c>
      <c r="O352" s="104"/>
      <c r="P352" s="102">
        <v>0</v>
      </c>
      <c r="Q352" s="347">
        <v>0</v>
      </c>
      <c r="R352" s="103">
        <f t="shared" si="67"/>
        <v>0</v>
      </c>
    </row>
    <row r="353" spans="2:18" x14ac:dyDescent="0.25">
      <c r="B353" s="195" t="s">
        <v>108</v>
      </c>
      <c r="C353" s="216"/>
      <c r="D353" s="102">
        <v>0</v>
      </c>
      <c r="E353" s="347">
        <v>0</v>
      </c>
      <c r="F353" s="103">
        <f t="shared" si="64"/>
        <v>0</v>
      </c>
      <c r="G353" s="104"/>
      <c r="H353" s="102">
        <v>0</v>
      </c>
      <c r="I353" s="347">
        <v>0</v>
      </c>
      <c r="J353" s="103">
        <f t="shared" si="65"/>
        <v>0</v>
      </c>
      <c r="K353" s="104"/>
      <c r="L353" s="102">
        <v>0</v>
      </c>
      <c r="M353" s="347">
        <v>0</v>
      </c>
      <c r="N353" s="103">
        <f t="shared" si="66"/>
        <v>0</v>
      </c>
      <c r="O353" s="104"/>
      <c r="P353" s="102">
        <v>0</v>
      </c>
      <c r="Q353" s="347">
        <v>0</v>
      </c>
      <c r="R353" s="103">
        <f t="shared" si="67"/>
        <v>0</v>
      </c>
    </row>
    <row r="354" spans="2:18" x14ac:dyDescent="0.25">
      <c r="B354" s="195" t="s">
        <v>108</v>
      </c>
      <c r="C354" s="216"/>
      <c r="D354" s="102">
        <v>0</v>
      </c>
      <c r="E354" s="347">
        <v>0</v>
      </c>
      <c r="F354" s="103">
        <f t="shared" si="64"/>
        <v>0</v>
      </c>
      <c r="G354" s="104"/>
      <c r="H354" s="102">
        <v>0</v>
      </c>
      <c r="I354" s="347">
        <v>0</v>
      </c>
      <c r="J354" s="103">
        <f t="shared" si="65"/>
        <v>0</v>
      </c>
      <c r="K354" s="104"/>
      <c r="L354" s="102">
        <v>0</v>
      </c>
      <c r="M354" s="347">
        <v>0</v>
      </c>
      <c r="N354" s="103">
        <f t="shared" si="66"/>
        <v>0</v>
      </c>
      <c r="O354" s="104"/>
      <c r="P354" s="102">
        <v>0</v>
      </c>
      <c r="Q354" s="347">
        <v>0</v>
      </c>
      <c r="R354" s="103">
        <f t="shared" si="67"/>
        <v>0</v>
      </c>
    </row>
    <row r="355" spans="2:18" x14ac:dyDescent="0.25">
      <c r="B355" s="195" t="s">
        <v>108</v>
      </c>
      <c r="C355" s="225" t="s">
        <v>168</v>
      </c>
      <c r="D355" s="102">
        <v>0</v>
      </c>
      <c r="E355" s="347">
        <v>0</v>
      </c>
      <c r="F355" s="103">
        <f t="shared" si="64"/>
        <v>0</v>
      </c>
      <c r="G355" s="104"/>
      <c r="H355" s="102">
        <v>0</v>
      </c>
      <c r="I355" s="347">
        <v>0</v>
      </c>
      <c r="J355" s="103">
        <f t="shared" si="65"/>
        <v>0</v>
      </c>
      <c r="K355" s="104"/>
      <c r="L355" s="102">
        <v>0</v>
      </c>
      <c r="M355" s="347">
        <v>0</v>
      </c>
      <c r="N355" s="103">
        <f t="shared" si="66"/>
        <v>0</v>
      </c>
      <c r="O355" s="104"/>
      <c r="P355" s="102">
        <v>0</v>
      </c>
      <c r="Q355" s="347">
        <v>0</v>
      </c>
      <c r="R355" s="103">
        <f t="shared" si="67"/>
        <v>0</v>
      </c>
    </row>
    <row r="356" spans="2:18" x14ac:dyDescent="0.25">
      <c r="B356" s="195" t="s">
        <v>108</v>
      </c>
      <c r="C356" s="216"/>
      <c r="D356" s="102">
        <v>0</v>
      </c>
      <c r="E356" s="347">
        <v>0</v>
      </c>
      <c r="F356" s="103">
        <f t="shared" si="64"/>
        <v>0</v>
      </c>
      <c r="G356" s="104"/>
      <c r="H356" s="102">
        <v>0</v>
      </c>
      <c r="I356" s="347">
        <v>0</v>
      </c>
      <c r="J356" s="103">
        <f t="shared" si="65"/>
        <v>0</v>
      </c>
      <c r="K356" s="104"/>
      <c r="L356" s="102">
        <v>0</v>
      </c>
      <c r="M356" s="347">
        <v>0</v>
      </c>
      <c r="N356" s="103">
        <f t="shared" si="66"/>
        <v>0</v>
      </c>
      <c r="O356" s="104"/>
      <c r="P356" s="102">
        <v>0</v>
      </c>
      <c r="Q356" s="347">
        <v>0</v>
      </c>
      <c r="R356" s="103">
        <f t="shared" si="67"/>
        <v>0</v>
      </c>
    </row>
    <row r="357" spans="2:18" x14ac:dyDescent="0.25">
      <c r="B357" s="195" t="s">
        <v>108</v>
      </c>
      <c r="C357" s="216"/>
      <c r="D357" s="102">
        <v>0</v>
      </c>
      <c r="E357" s="347">
        <v>0</v>
      </c>
      <c r="F357" s="103">
        <f t="shared" si="64"/>
        <v>0</v>
      </c>
      <c r="G357" s="104"/>
      <c r="H357" s="102">
        <v>0</v>
      </c>
      <c r="I357" s="347">
        <v>0</v>
      </c>
      <c r="J357" s="103">
        <f t="shared" si="65"/>
        <v>0</v>
      </c>
      <c r="K357" s="104"/>
      <c r="L357" s="102">
        <v>0</v>
      </c>
      <c r="M357" s="347">
        <v>0</v>
      </c>
      <c r="N357" s="103">
        <f t="shared" si="66"/>
        <v>0</v>
      </c>
      <c r="O357" s="104"/>
      <c r="P357" s="102">
        <v>0</v>
      </c>
      <c r="Q357" s="347">
        <v>0</v>
      </c>
      <c r="R357" s="103">
        <f t="shared" si="67"/>
        <v>0</v>
      </c>
    </row>
    <row r="358" spans="2:18" x14ac:dyDescent="0.25">
      <c r="B358" s="195" t="s">
        <v>108</v>
      </c>
      <c r="C358" s="216"/>
      <c r="D358" s="102">
        <v>0</v>
      </c>
      <c r="E358" s="347">
        <v>0</v>
      </c>
      <c r="F358" s="103">
        <f t="shared" si="64"/>
        <v>0</v>
      </c>
      <c r="G358" s="104"/>
      <c r="H358" s="102">
        <v>0</v>
      </c>
      <c r="I358" s="347">
        <v>0</v>
      </c>
      <c r="J358" s="103">
        <f t="shared" si="65"/>
        <v>0</v>
      </c>
      <c r="K358" s="104"/>
      <c r="L358" s="102">
        <v>0</v>
      </c>
      <c r="M358" s="347">
        <v>0</v>
      </c>
      <c r="N358" s="103">
        <f t="shared" si="66"/>
        <v>0</v>
      </c>
      <c r="O358" s="104"/>
      <c r="P358" s="102">
        <v>0</v>
      </c>
      <c r="Q358" s="347">
        <v>0</v>
      </c>
      <c r="R358" s="103">
        <f t="shared" si="67"/>
        <v>0</v>
      </c>
    </row>
    <row r="359" spans="2:18" x14ac:dyDescent="0.25">
      <c r="B359" s="195" t="s">
        <v>108</v>
      </c>
      <c r="C359" s="216"/>
      <c r="D359" s="102">
        <v>0</v>
      </c>
      <c r="E359" s="347">
        <v>0</v>
      </c>
      <c r="F359" s="103">
        <f t="shared" si="64"/>
        <v>0</v>
      </c>
      <c r="G359" s="104"/>
      <c r="H359" s="102">
        <v>0</v>
      </c>
      <c r="I359" s="347">
        <v>0</v>
      </c>
      <c r="J359" s="103">
        <f t="shared" si="65"/>
        <v>0</v>
      </c>
      <c r="K359" s="104"/>
      <c r="L359" s="102">
        <v>0</v>
      </c>
      <c r="M359" s="347">
        <v>0</v>
      </c>
      <c r="N359" s="103">
        <f t="shared" si="66"/>
        <v>0</v>
      </c>
      <c r="O359" s="104"/>
      <c r="P359" s="102">
        <v>0</v>
      </c>
      <c r="Q359" s="347">
        <v>0</v>
      </c>
      <c r="R359" s="103">
        <f t="shared" si="67"/>
        <v>0</v>
      </c>
    </row>
    <row r="360" spans="2:18" x14ac:dyDescent="0.25">
      <c r="B360" s="195" t="s">
        <v>108</v>
      </c>
      <c r="C360" s="225" t="s">
        <v>169</v>
      </c>
      <c r="D360" s="102">
        <v>0</v>
      </c>
      <c r="E360" s="347">
        <v>0</v>
      </c>
      <c r="F360" s="103">
        <f t="shared" si="64"/>
        <v>0</v>
      </c>
      <c r="G360" s="104"/>
      <c r="H360" s="102">
        <v>0</v>
      </c>
      <c r="I360" s="347">
        <v>0</v>
      </c>
      <c r="J360" s="103">
        <f t="shared" si="65"/>
        <v>0</v>
      </c>
      <c r="K360" s="104"/>
      <c r="L360" s="102">
        <v>0</v>
      </c>
      <c r="M360" s="347">
        <v>0</v>
      </c>
      <c r="N360" s="103">
        <f t="shared" si="66"/>
        <v>0</v>
      </c>
      <c r="O360" s="104"/>
      <c r="P360" s="102">
        <v>0</v>
      </c>
      <c r="Q360" s="347">
        <v>0</v>
      </c>
      <c r="R360" s="103">
        <f t="shared" si="67"/>
        <v>0</v>
      </c>
    </row>
    <row r="361" spans="2:18" x14ac:dyDescent="0.25">
      <c r="B361" s="195" t="s">
        <v>108</v>
      </c>
      <c r="C361" s="216"/>
      <c r="D361" s="102">
        <v>0</v>
      </c>
      <c r="E361" s="347">
        <v>0</v>
      </c>
      <c r="F361" s="103">
        <f t="shared" si="64"/>
        <v>0</v>
      </c>
      <c r="G361" s="104"/>
      <c r="H361" s="102">
        <v>0</v>
      </c>
      <c r="I361" s="347">
        <v>0</v>
      </c>
      <c r="J361" s="103">
        <f t="shared" si="65"/>
        <v>0</v>
      </c>
      <c r="K361" s="104"/>
      <c r="L361" s="102">
        <v>0</v>
      </c>
      <c r="M361" s="347">
        <v>0</v>
      </c>
      <c r="N361" s="103">
        <f t="shared" si="66"/>
        <v>0</v>
      </c>
      <c r="O361" s="104"/>
      <c r="P361" s="102">
        <v>0</v>
      </c>
      <c r="Q361" s="347">
        <v>0</v>
      </c>
      <c r="R361" s="103">
        <f t="shared" si="67"/>
        <v>0</v>
      </c>
    </row>
    <row r="362" spans="2:18" x14ac:dyDescent="0.25">
      <c r="B362" s="195" t="s">
        <v>108</v>
      </c>
      <c r="C362" s="216"/>
      <c r="D362" s="102">
        <v>0</v>
      </c>
      <c r="E362" s="347">
        <v>0</v>
      </c>
      <c r="F362" s="103">
        <f t="shared" si="64"/>
        <v>0</v>
      </c>
      <c r="G362" s="104"/>
      <c r="H362" s="102">
        <v>0</v>
      </c>
      <c r="I362" s="347">
        <v>0</v>
      </c>
      <c r="J362" s="103">
        <f t="shared" si="65"/>
        <v>0</v>
      </c>
      <c r="K362" s="104"/>
      <c r="L362" s="102">
        <v>0</v>
      </c>
      <c r="M362" s="347">
        <v>0</v>
      </c>
      <c r="N362" s="103">
        <f t="shared" si="66"/>
        <v>0</v>
      </c>
      <c r="O362" s="104"/>
      <c r="P362" s="102">
        <v>0</v>
      </c>
      <c r="Q362" s="347">
        <v>0</v>
      </c>
      <c r="R362" s="103">
        <f t="shared" si="67"/>
        <v>0</v>
      </c>
    </row>
    <row r="363" spans="2:18" x14ac:dyDescent="0.25">
      <c r="B363" s="195" t="s">
        <v>108</v>
      </c>
      <c r="C363" s="216"/>
      <c r="D363" s="102">
        <v>0</v>
      </c>
      <c r="E363" s="347">
        <v>0</v>
      </c>
      <c r="F363" s="103">
        <f t="shared" si="64"/>
        <v>0</v>
      </c>
      <c r="G363" s="104"/>
      <c r="H363" s="102">
        <v>0</v>
      </c>
      <c r="I363" s="347">
        <v>0</v>
      </c>
      <c r="J363" s="103">
        <f t="shared" si="65"/>
        <v>0</v>
      </c>
      <c r="K363" s="104"/>
      <c r="L363" s="102">
        <v>0</v>
      </c>
      <c r="M363" s="347">
        <v>0</v>
      </c>
      <c r="N363" s="103">
        <f t="shared" si="66"/>
        <v>0</v>
      </c>
      <c r="O363" s="104"/>
      <c r="P363" s="102">
        <v>0</v>
      </c>
      <c r="Q363" s="347">
        <v>0</v>
      </c>
      <c r="R363" s="103">
        <f t="shared" si="67"/>
        <v>0</v>
      </c>
    </row>
    <row r="364" spans="2:18" ht="15.75" thickBot="1" x14ac:dyDescent="0.3">
      <c r="B364" s="234" t="s">
        <v>108</v>
      </c>
      <c r="C364" s="235"/>
      <c r="D364" s="102">
        <v>0</v>
      </c>
      <c r="E364" s="347">
        <v>0</v>
      </c>
      <c r="F364" s="103">
        <f t="shared" si="64"/>
        <v>0</v>
      </c>
      <c r="G364" s="104"/>
      <c r="H364" s="102">
        <v>0</v>
      </c>
      <c r="I364" s="347">
        <v>0</v>
      </c>
      <c r="J364" s="103">
        <f t="shared" si="65"/>
        <v>0</v>
      </c>
      <c r="K364" s="104"/>
      <c r="L364" s="102">
        <v>0</v>
      </c>
      <c r="M364" s="347">
        <v>0</v>
      </c>
      <c r="N364" s="103">
        <f t="shared" si="66"/>
        <v>0</v>
      </c>
      <c r="O364" s="104"/>
      <c r="P364" s="102">
        <v>0</v>
      </c>
      <c r="Q364" s="347">
        <v>0</v>
      </c>
      <c r="R364" s="103">
        <f t="shared" si="67"/>
        <v>0</v>
      </c>
    </row>
    <row r="365" spans="2:18" ht="15.75" thickBot="1" x14ac:dyDescent="0.3">
      <c r="B365" s="238" t="s">
        <v>87</v>
      </c>
      <c r="C365" s="236"/>
      <c r="D365" s="200">
        <f>SUM(D350:D364)</f>
        <v>0</v>
      </c>
      <c r="E365" s="150"/>
      <c r="F365" s="109">
        <f>ROUND(SUM(F350:F364),0)</f>
        <v>0</v>
      </c>
      <c r="G365" s="110"/>
      <c r="H365" s="200">
        <f>SUM(H350:H364)</f>
        <v>0</v>
      </c>
      <c r="I365" s="150" t="s">
        <v>1</v>
      </c>
      <c r="J365" s="109">
        <f>ROUND(SUM(J350:J364),0)</f>
        <v>0</v>
      </c>
      <c r="K365" s="110"/>
      <c r="L365" s="200">
        <f>SUM(L350:L364)</f>
        <v>0</v>
      </c>
      <c r="M365" s="150"/>
      <c r="N365" s="109">
        <f>ROUND(SUM(N350:N364),0)</f>
        <v>0</v>
      </c>
      <c r="O365" s="110"/>
      <c r="P365" s="200">
        <f>SUM(P350:P364)</f>
        <v>0</v>
      </c>
      <c r="Q365" s="150"/>
      <c r="R365" s="109">
        <f>ROUND(SUM(R350:R364),0)</f>
        <v>0</v>
      </c>
    </row>
    <row r="366" spans="2:18" ht="15.75" thickBot="1" x14ac:dyDescent="0.3"/>
    <row r="367" spans="2:18" ht="16.5" thickBot="1" x14ac:dyDescent="0.3">
      <c r="B367" s="505" t="s">
        <v>418</v>
      </c>
      <c r="C367" s="506"/>
      <c r="D367" s="490" t="s">
        <v>69</v>
      </c>
      <c r="E367" s="491"/>
      <c r="F367" s="492"/>
      <c r="G367" s="96"/>
      <c r="H367" s="490" t="s">
        <v>69</v>
      </c>
      <c r="I367" s="491"/>
      <c r="J367" s="492"/>
      <c r="K367" s="96"/>
      <c r="L367" s="490" t="s">
        <v>69</v>
      </c>
      <c r="M367" s="491"/>
      <c r="N367" s="492"/>
      <c r="O367" s="96"/>
      <c r="P367" s="490" t="s">
        <v>69</v>
      </c>
      <c r="Q367" s="491"/>
      <c r="R367" s="492"/>
    </row>
    <row r="368" spans="2:18" ht="16.5" thickBot="1" x14ac:dyDescent="0.3">
      <c r="B368" s="507"/>
      <c r="C368" s="508"/>
      <c r="D368" s="487" t="str">
        <f>D11</f>
        <v>Basic Period (Year 1)</v>
      </c>
      <c r="E368" s="488"/>
      <c r="F368" s="489"/>
      <c r="G368" s="97"/>
      <c r="H368" s="487" t="str">
        <f>H11</f>
        <v>Basic Period (Year 2)</v>
      </c>
      <c r="I368" s="488"/>
      <c r="J368" s="489"/>
      <c r="K368" s="97"/>
      <c r="L368" s="487" t="str">
        <f>L11</f>
        <v>Basic Period (Year 3)</v>
      </c>
      <c r="M368" s="488"/>
      <c r="N368" s="489"/>
      <c r="O368" s="97"/>
      <c r="P368" s="487" t="str">
        <f>P11</f>
        <v>Basic Period (Year 4)</v>
      </c>
      <c r="Q368" s="488"/>
      <c r="R368" s="489"/>
    </row>
    <row r="369" spans="2:18" ht="16.5" thickBot="1" x14ac:dyDescent="0.3">
      <c r="B369" s="98" t="s">
        <v>46</v>
      </c>
      <c r="C369" s="98" t="s">
        <v>183</v>
      </c>
      <c r="D369" s="98" t="s">
        <v>29</v>
      </c>
      <c r="E369" s="99" t="s">
        <v>68</v>
      </c>
      <c r="F369" s="100" t="s">
        <v>74</v>
      </c>
      <c r="G369" s="101"/>
      <c r="H369" s="98" t="s">
        <v>29</v>
      </c>
      <c r="I369" s="99" t="s">
        <v>68</v>
      </c>
      <c r="J369" s="100" t="s">
        <v>74</v>
      </c>
      <c r="K369" s="101"/>
      <c r="L369" s="98" t="s">
        <v>29</v>
      </c>
      <c r="M369" s="99" t="s">
        <v>68</v>
      </c>
      <c r="N369" s="100" t="s">
        <v>74</v>
      </c>
      <c r="O369" s="101"/>
      <c r="P369" s="98" t="s">
        <v>29</v>
      </c>
      <c r="Q369" s="99" t="s">
        <v>68</v>
      </c>
      <c r="R369" s="100" t="s">
        <v>74</v>
      </c>
    </row>
    <row r="370" spans="2:18" ht="128.25" x14ac:dyDescent="0.25">
      <c r="B370" s="370" t="s">
        <v>434</v>
      </c>
      <c r="C370" s="370" t="s">
        <v>435</v>
      </c>
      <c r="D370" s="370" t="s">
        <v>410</v>
      </c>
      <c r="E370" s="370" t="s">
        <v>436</v>
      </c>
      <c r="F370" s="371"/>
      <c r="G370" s="101"/>
      <c r="H370" s="370" t="s">
        <v>410</v>
      </c>
      <c r="I370" s="370" t="s">
        <v>436</v>
      </c>
      <c r="J370" s="371"/>
      <c r="K370" s="101"/>
      <c r="L370" s="372" t="s">
        <v>410</v>
      </c>
      <c r="M370" s="372" t="s">
        <v>436</v>
      </c>
      <c r="N370" s="373"/>
      <c r="O370" s="101"/>
      <c r="P370" s="372" t="s">
        <v>410</v>
      </c>
      <c r="Q370" s="372" t="s">
        <v>436</v>
      </c>
      <c r="R370" s="373"/>
    </row>
    <row r="371" spans="2:18" x14ac:dyDescent="0.25">
      <c r="B371" s="195" t="s">
        <v>108</v>
      </c>
      <c r="C371" s="225" t="s">
        <v>170</v>
      </c>
      <c r="D371" s="102">
        <v>0</v>
      </c>
      <c r="E371" s="347">
        <v>0</v>
      </c>
      <c r="F371" s="103">
        <f>ROUND(D371*E371,0)</f>
        <v>0</v>
      </c>
      <c r="G371" s="104"/>
      <c r="H371" s="102">
        <v>0</v>
      </c>
      <c r="I371" s="347">
        <v>0</v>
      </c>
      <c r="J371" s="103">
        <f>ROUND(H371*I371,0)</f>
        <v>0</v>
      </c>
      <c r="K371" s="104"/>
      <c r="L371" s="102">
        <v>0</v>
      </c>
      <c r="M371" s="347">
        <v>0</v>
      </c>
      <c r="N371" s="103">
        <f>ROUND(L371*M371,0)</f>
        <v>0</v>
      </c>
      <c r="O371" s="104"/>
      <c r="P371" s="102">
        <v>0</v>
      </c>
      <c r="Q371" s="347">
        <v>0</v>
      </c>
      <c r="R371" s="103">
        <f>ROUND(P371*Q371,0)</f>
        <v>0</v>
      </c>
    </row>
    <row r="372" spans="2:18" x14ac:dyDescent="0.25">
      <c r="B372" s="195" t="s">
        <v>108</v>
      </c>
      <c r="C372" s="216" t="s">
        <v>1</v>
      </c>
      <c r="D372" s="102">
        <v>0</v>
      </c>
      <c r="E372" s="347">
        <v>0</v>
      </c>
      <c r="F372" s="103">
        <f t="shared" ref="F372:F385" si="68">ROUND(D372*E372,0)</f>
        <v>0</v>
      </c>
      <c r="G372" s="104"/>
      <c r="H372" s="102">
        <v>0</v>
      </c>
      <c r="I372" s="347">
        <v>0</v>
      </c>
      <c r="J372" s="103">
        <f t="shared" ref="J372:J385" si="69">ROUND(H372*I372,0)</f>
        <v>0</v>
      </c>
      <c r="K372" s="104"/>
      <c r="L372" s="102">
        <v>0</v>
      </c>
      <c r="M372" s="347">
        <v>0</v>
      </c>
      <c r="N372" s="103">
        <f t="shared" ref="N372:N385" si="70">ROUND(L372*M372,0)</f>
        <v>0</v>
      </c>
      <c r="O372" s="104"/>
      <c r="P372" s="102">
        <v>0</v>
      </c>
      <c r="Q372" s="347">
        <v>0</v>
      </c>
      <c r="R372" s="103">
        <f t="shared" ref="R372:R385" si="71">ROUND(P372*Q372,0)</f>
        <v>0</v>
      </c>
    </row>
    <row r="373" spans="2:18" x14ac:dyDescent="0.25">
      <c r="B373" s="195" t="s">
        <v>108</v>
      </c>
      <c r="C373" s="216"/>
      <c r="D373" s="102">
        <v>0</v>
      </c>
      <c r="E373" s="347">
        <v>0</v>
      </c>
      <c r="F373" s="103">
        <f t="shared" si="68"/>
        <v>0</v>
      </c>
      <c r="G373" s="104"/>
      <c r="H373" s="102">
        <v>0</v>
      </c>
      <c r="I373" s="347">
        <v>0</v>
      </c>
      <c r="J373" s="103">
        <f t="shared" si="69"/>
        <v>0</v>
      </c>
      <c r="K373" s="104"/>
      <c r="L373" s="102">
        <v>0</v>
      </c>
      <c r="M373" s="347">
        <v>0</v>
      </c>
      <c r="N373" s="103">
        <f t="shared" si="70"/>
        <v>0</v>
      </c>
      <c r="O373" s="104"/>
      <c r="P373" s="102">
        <v>0</v>
      </c>
      <c r="Q373" s="347">
        <v>0</v>
      </c>
      <c r="R373" s="103">
        <f t="shared" si="71"/>
        <v>0</v>
      </c>
    </row>
    <row r="374" spans="2:18" x14ac:dyDescent="0.25">
      <c r="B374" s="195" t="s">
        <v>108</v>
      </c>
      <c r="C374" s="216"/>
      <c r="D374" s="102">
        <v>0</v>
      </c>
      <c r="E374" s="347">
        <v>0</v>
      </c>
      <c r="F374" s="103">
        <f t="shared" si="68"/>
        <v>0</v>
      </c>
      <c r="G374" s="104"/>
      <c r="H374" s="102">
        <v>0</v>
      </c>
      <c r="I374" s="347">
        <v>0</v>
      </c>
      <c r="J374" s="103">
        <f t="shared" si="69"/>
        <v>0</v>
      </c>
      <c r="K374" s="104"/>
      <c r="L374" s="102">
        <v>0</v>
      </c>
      <c r="M374" s="347">
        <v>0</v>
      </c>
      <c r="N374" s="103">
        <f t="shared" si="70"/>
        <v>0</v>
      </c>
      <c r="O374" s="104"/>
      <c r="P374" s="102">
        <v>0</v>
      </c>
      <c r="Q374" s="347">
        <v>0</v>
      </c>
      <c r="R374" s="103">
        <f t="shared" si="71"/>
        <v>0</v>
      </c>
    </row>
    <row r="375" spans="2:18" x14ac:dyDescent="0.25">
      <c r="B375" s="195" t="s">
        <v>108</v>
      </c>
      <c r="C375" s="216"/>
      <c r="D375" s="102">
        <v>0</v>
      </c>
      <c r="E375" s="347">
        <v>0</v>
      </c>
      <c r="F375" s="103">
        <f t="shared" si="68"/>
        <v>0</v>
      </c>
      <c r="G375" s="104"/>
      <c r="H375" s="102">
        <v>0</v>
      </c>
      <c r="I375" s="347">
        <v>0</v>
      </c>
      <c r="J375" s="103">
        <f t="shared" si="69"/>
        <v>0</v>
      </c>
      <c r="K375" s="104"/>
      <c r="L375" s="102">
        <v>0</v>
      </c>
      <c r="M375" s="347">
        <v>0</v>
      </c>
      <c r="N375" s="103">
        <f t="shared" si="70"/>
        <v>0</v>
      </c>
      <c r="O375" s="104"/>
      <c r="P375" s="102">
        <v>0</v>
      </c>
      <c r="Q375" s="347">
        <v>0</v>
      </c>
      <c r="R375" s="103">
        <f t="shared" si="71"/>
        <v>0</v>
      </c>
    </row>
    <row r="376" spans="2:18" x14ac:dyDescent="0.25">
      <c r="B376" s="195" t="s">
        <v>108</v>
      </c>
      <c r="C376" s="225" t="s">
        <v>171</v>
      </c>
      <c r="D376" s="102">
        <v>0</v>
      </c>
      <c r="E376" s="347">
        <v>0</v>
      </c>
      <c r="F376" s="103">
        <f t="shared" si="68"/>
        <v>0</v>
      </c>
      <c r="G376" s="104"/>
      <c r="H376" s="102">
        <v>0</v>
      </c>
      <c r="I376" s="347">
        <v>0</v>
      </c>
      <c r="J376" s="103">
        <f t="shared" si="69"/>
        <v>0</v>
      </c>
      <c r="K376" s="104"/>
      <c r="L376" s="102">
        <v>0</v>
      </c>
      <c r="M376" s="347">
        <v>0</v>
      </c>
      <c r="N376" s="103">
        <f t="shared" si="70"/>
        <v>0</v>
      </c>
      <c r="O376" s="104"/>
      <c r="P376" s="102">
        <v>0</v>
      </c>
      <c r="Q376" s="347">
        <v>0</v>
      </c>
      <c r="R376" s="103">
        <f t="shared" si="71"/>
        <v>0</v>
      </c>
    </row>
    <row r="377" spans="2:18" x14ac:dyDescent="0.25">
      <c r="B377" s="195" t="s">
        <v>108</v>
      </c>
      <c r="C377" s="216"/>
      <c r="D377" s="102">
        <v>0</v>
      </c>
      <c r="E377" s="347">
        <v>0</v>
      </c>
      <c r="F377" s="103">
        <f t="shared" si="68"/>
        <v>0</v>
      </c>
      <c r="G377" s="104"/>
      <c r="H377" s="102">
        <v>0</v>
      </c>
      <c r="I377" s="347">
        <v>0</v>
      </c>
      <c r="J377" s="103">
        <f t="shared" si="69"/>
        <v>0</v>
      </c>
      <c r="K377" s="104"/>
      <c r="L377" s="102">
        <v>0</v>
      </c>
      <c r="M377" s="347">
        <v>0</v>
      </c>
      <c r="N377" s="103">
        <f t="shared" si="70"/>
        <v>0</v>
      </c>
      <c r="O377" s="104"/>
      <c r="P377" s="102">
        <v>0</v>
      </c>
      <c r="Q377" s="347">
        <v>0</v>
      </c>
      <c r="R377" s="103">
        <f t="shared" si="71"/>
        <v>0</v>
      </c>
    </row>
    <row r="378" spans="2:18" x14ac:dyDescent="0.25">
      <c r="B378" s="195" t="s">
        <v>108</v>
      </c>
      <c r="C378" s="216"/>
      <c r="D378" s="102">
        <v>0</v>
      </c>
      <c r="E378" s="347">
        <v>0</v>
      </c>
      <c r="F378" s="103">
        <f t="shared" si="68"/>
        <v>0</v>
      </c>
      <c r="G378" s="104"/>
      <c r="H378" s="102">
        <v>0</v>
      </c>
      <c r="I378" s="347">
        <v>0</v>
      </c>
      <c r="J378" s="103">
        <f t="shared" si="69"/>
        <v>0</v>
      </c>
      <c r="K378" s="104"/>
      <c r="L378" s="102">
        <v>0</v>
      </c>
      <c r="M378" s="347">
        <v>0</v>
      </c>
      <c r="N378" s="103">
        <f t="shared" si="70"/>
        <v>0</v>
      </c>
      <c r="O378" s="104"/>
      <c r="P378" s="102">
        <v>0</v>
      </c>
      <c r="Q378" s="347">
        <v>0</v>
      </c>
      <c r="R378" s="103">
        <f t="shared" si="71"/>
        <v>0</v>
      </c>
    </row>
    <row r="379" spans="2:18" x14ac:dyDescent="0.25">
      <c r="B379" s="195" t="s">
        <v>108</v>
      </c>
      <c r="C379" s="216"/>
      <c r="D379" s="102">
        <v>0</v>
      </c>
      <c r="E379" s="347">
        <v>0</v>
      </c>
      <c r="F379" s="103">
        <f t="shared" si="68"/>
        <v>0</v>
      </c>
      <c r="G379" s="104"/>
      <c r="H379" s="102">
        <v>0</v>
      </c>
      <c r="I379" s="347">
        <v>0</v>
      </c>
      <c r="J379" s="103">
        <f t="shared" si="69"/>
        <v>0</v>
      </c>
      <c r="K379" s="104"/>
      <c r="L379" s="102">
        <v>0</v>
      </c>
      <c r="M379" s="347">
        <v>0</v>
      </c>
      <c r="N379" s="103">
        <f t="shared" si="70"/>
        <v>0</v>
      </c>
      <c r="O379" s="104"/>
      <c r="P379" s="102">
        <v>0</v>
      </c>
      <c r="Q379" s="347">
        <v>0</v>
      </c>
      <c r="R379" s="103">
        <f t="shared" si="71"/>
        <v>0</v>
      </c>
    </row>
    <row r="380" spans="2:18" x14ac:dyDescent="0.25">
      <c r="B380" s="195" t="s">
        <v>108</v>
      </c>
      <c r="C380" s="216"/>
      <c r="D380" s="102">
        <v>0</v>
      </c>
      <c r="E380" s="347">
        <v>0</v>
      </c>
      <c r="F380" s="103">
        <f t="shared" si="68"/>
        <v>0</v>
      </c>
      <c r="G380" s="104"/>
      <c r="H380" s="102">
        <v>0</v>
      </c>
      <c r="I380" s="347">
        <v>0</v>
      </c>
      <c r="J380" s="103">
        <f t="shared" si="69"/>
        <v>0</v>
      </c>
      <c r="K380" s="104"/>
      <c r="L380" s="102">
        <v>0</v>
      </c>
      <c r="M380" s="347">
        <v>0</v>
      </c>
      <c r="N380" s="103">
        <f t="shared" si="70"/>
        <v>0</v>
      </c>
      <c r="O380" s="104"/>
      <c r="P380" s="102">
        <v>0</v>
      </c>
      <c r="Q380" s="347">
        <v>0</v>
      </c>
      <c r="R380" s="103">
        <f t="shared" si="71"/>
        <v>0</v>
      </c>
    </row>
    <row r="381" spans="2:18" x14ac:dyDescent="0.25">
      <c r="B381" s="195" t="s">
        <v>108</v>
      </c>
      <c r="C381" s="225" t="s">
        <v>172</v>
      </c>
      <c r="D381" s="102">
        <v>0</v>
      </c>
      <c r="E381" s="347">
        <v>0</v>
      </c>
      <c r="F381" s="103">
        <f t="shared" si="68"/>
        <v>0</v>
      </c>
      <c r="G381" s="104"/>
      <c r="H381" s="102">
        <v>0</v>
      </c>
      <c r="I381" s="347">
        <v>0</v>
      </c>
      <c r="J381" s="103">
        <f t="shared" si="69"/>
        <v>0</v>
      </c>
      <c r="K381" s="104"/>
      <c r="L381" s="102">
        <v>0</v>
      </c>
      <c r="M381" s="347">
        <v>0</v>
      </c>
      <c r="N381" s="103">
        <f t="shared" si="70"/>
        <v>0</v>
      </c>
      <c r="O381" s="104"/>
      <c r="P381" s="102">
        <v>0</v>
      </c>
      <c r="Q381" s="347">
        <v>0</v>
      </c>
      <c r="R381" s="103">
        <f t="shared" si="71"/>
        <v>0</v>
      </c>
    </row>
    <row r="382" spans="2:18" x14ac:dyDescent="0.25">
      <c r="B382" s="195" t="s">
        <v>108</v>
      </c>
      <c r="C382" s="216"/>
      <c r="D382" s="102">
        <v>0</v>
      </c>
      <c r="E382" s="347">
        <v>0</v>
      </c>
      <c r="F382" s="103">
        <f t="shared" si="68"/>
        <v>0</v>
      </c>
      <c r="G382" s="104"/>
      <c r="H382" s="102">
        <v>0</v>
      </c>
      <c r="I382" s="347">
        <v>0</v>
      </c>
      <c r="J382" s="103">
        <f t="shared" si="69"/>
        <v>0</v>
      </c>
      <c r="K382" s="104"/>
      <c r="L382" s="102">
        <v>0</v>
      </c>
      <c r="M382" s="347">
        <v>0</v>
      </c>
      <c r="N382" s="103">
        <f t="shared" si="70"/>
        <v>0</v>
      </c>
      <c r="O382" s="104"/>
      <c r="P382" s="102">
        <v>0</v>
      </c>
      <c r="Q382" s="347">
        <v>0</v>
      </c>
      <c r="R382" s="103">
        <f t="shared" si="71"/>
        <v>0</v>
      </c>
    </row>
    <row r="383" spans="2:18" x14ac:dyDescent="0.25">
      <c r="B383" s="195" t="s">
        <v>108</v>
      </c>
      <c r="C383" s="216"/>
      <c r="D383" s="102">
        <v>0</v>
      </c>
      <c r="E383" s="347">
        <v>0</v>
      </c>
      <c r="F383" s="103">
        <f t="shared" si="68"/>
        <v>0</v>
      </c>
      <c r="G383" s="104"/>
      <c r="H383" s="102">
        <v>0</v>
      </c>
      <c r="I383" s="347">
        <v>0</v>
      </c>
      <c r="J383" s="103">
        <f t="shared" si="69"/>
        <v>0</v>
      </c>
      <c r="K383" s="104"/>
      <c r="L383" s="102">
        <v>0</v>
      </c>
      <c r="M383" s="347">
        <v>0</v>
      </c>
      <c r="N383" s="103">
        <f t="shared" si="70"/>
        <v>0</v>
      </c>
      <c r="O383" s="104"/>
      <c r="P383" s="102">
        <v>0</v>
      </c>
      <c r="Q383" s="347">
        <v>0</v>
      </c>
      <c r="R383" s="103">
        <f t="shared" si="71"/>
        <v>0</v>
      </c>
    </row>
    <row r="384" spans="2:18" x14ac:dyDescent="0.25">
      <c r="B384" s="195" t="s">
        <v>108</v>
      </c>
      <c r="C384" s="216"/>
      <c r="D384" s="102">
        <v>0</v>
      </c>
      <c r="E384" s="347">
        <v>0</v>
      </c>
      <c r="F384" s="103">
        <f t="shared" si="68"/>
        <v>0</v>
      </c>
      <c r="G384" s="104"/>
      <c r="H384" s="102">
        <v>0</v>
      </c>
      <c r="I384" s="347">
        <v>0</v>
      </c>
      <c r="J384" s="103">
        <f t="shared" si="69"/>
        <v>0</v>
      </c>
      <c r="K384" s="104"/>
      <c r="L384" s="102">
        <v>0</v>
      </c>
      <c r="M384" s="347">
        <v>0</v>
      </c>
      <c r="N384" s="103">
        <f t="shared" si="70"/>
        <v>0</v>
      </c>
      <c r="O384" s="104"/>
      <c r="P384" s="102">
        <v>0</v>
      </c>
      <c r="Q384" s="347">
        <v>0</v>
      </c>
      <c r="R384" s="103">
        <f t="shared" si="71"/>
        <v>0</v>
      </c>
    </row>
    <row r="385" spans="2:18" ht="15.75" thickBot="1" x14ac:dyDescent="0.3">
      <c r="B385" s="234" t="s">
        <v>108</v>
      </c>
      <c r="C385" s="235"/>
      <c r="D385" s="102">
        <v>0</v>
      </c>
      <c r="E385" s="347">
        <v>0</v>
      </c>
      <c r="F385" s="103">
        <f t="shared" si="68"/>
        <v>0</v>
      </c>
      <c r="G385" s="104"/>
      <c r="H385" s="102">
        <v>0</v>
      </c>
      <c r="I385" s="347">
        <v>0</v>
      </c>
      <c r="J385" s="103">
        <f t="shared" si="69"/>
        <v>0</v>
      </c>
      <c r="K385" s="104"/>
      <c r="L385" s="102">
        <v>0</v>
      </c>
      <c r="M385" s="347">
        <v>0</v>
      </c>
      <c r="N385" s="103">
        <f t="shared" si="70"/>
        <v>0</v>
      </c>
      <c r="O385" s="104"/>
      <c r="P385" s="102">
        <v>0</v>
      </c>
      <c r="Q385" s="347">
        <v>0</v>
      </c>
      <c r="R385" s="103">
        <f t="shared" si="71"/>
        <v>0</v>
      </c>
    </row>
    <row r="386" spans="2:18" ht="15.75" thickBot="1" x14ac:dyDescent="0.3">
      <c r="B386" s="238" t="s">
        <v>87</v>
      </c>
      <c r="C386" s="236"/>
      <c r="D386" s="200">
        <f>SUM(D371:D385)</f>
        <v>0</v>
      </c>
      <c r="E386" s="150"/>
      <c r="F386" s="109">
        <f>ROUND(SUM(F371:F385),0)</f>
        <v>0</v>
      </c>
      <c r="G386" s="110"/>
      <c r="H386" s="200">
        <f>SUM(H371:H385)</f>
        <v>0</v>
      </c>
      <c r="I386" s="150" t="s">
        <v>1</v>
      </c>
      <c r="J386" s="109">
        <f>ROUND(SUM(J371:J385),0)</f>
        <v>0</v>
      </c>
      <c r="K386" s="110"/>
      <c r="L386" s="200">
        <f>SUM(L371:L385)</f>
        <v>0</v>
      </c>
      <c r="M386" s="150"/>
      <c r="N386" s="109">
        <f>ROUND(SUM(N371:N385),0)</f>
        <v>0</v>
      </c>
      <c r="O386" s="110"/>
      <c r="P386" s="200">
        <f>SUM(P371:P385)</f>
        <v>0</v>
      </c>
      <c r="Q386" s="150"/>
      <c r="R386" s="109">
        <f>ROUND(SUM(R371:R385),0)</f>
        <v>0</v>
      </c>
    </row>
  </sheetData>
  <mergeCells count="162">
    <mergeCell ref="B367:C368"/>
    <mergeCell ref="D367:F367"/>
    <mergeCell ref="H367:J367"/>
    <mergeCell ref="L367:N367"/>
    <mergeCell ref="D368:F368"/>
    <mergeCell ref="H368:J368"/>
    <mergeCell ref="L368:N368"/>
    <mergeCell ref="B346:C347"/>
    <mergeCell ref="D346:F346"/>
    <mergeCell ref="H346:J346"/>
    <mergeCell ref="L346:N346"/>
    <mergeCell ref="D347:F347"/>
    <mergeCell ref="H347:J347"/>
    <mergeCell ref="L347:N347"/>
    <mergeCell ref="B325:C326"/>
    <mergeCell ref="D325:F325"/>
    <mergeCell ref="H325:J325"/>
    <mergeCell ref="L325:N325"/>
    <mergeCell ref="D326:F326"/>
    <mergeCell ref="H326:J326"/>
    <mergeCell ref="L326:N326"/>
    <mergeCell ref="B304:C305"/>
    <mergeCell ref="D304:F304"/>
    <mergeCell ref="H304:J304"/>
    <mergeCell ref="L304:N304"/>
    <mergeCell ref="D305:F305"/>
    <mergeCell ref="H305:J305"/>
    <mergeCell ref="L305:N305"/>
    <mergeCell ref="B283:C284"/>
    <mergeCell ref="D283:F283"/>
    <mergeCell ref="H283:J283"/>
    <mergeCell ref="L283:N283"/>
    <mergeCell ref="D284:F284"/>
    <mergeCell ref="H284:J284"/>
    <mergeCell ref="L284:N284"/>
    <mergeCell ref="B262:C263"/>
    <mergeCell ref="D262:F262"/>
    <mergeCell ref="H262:J262"/>
    <mergeCell ref="L262:N262"/>
    <mergeCell ref="D263:F263"/>
    <mergeCell ref="H263:J263"/>
    <mergeCell ref="L263:N263"/>
    <mergeCell ref="B241:C242"/>
    <mergeCell ref="D241:F241"/>
    <mergeCell ref="H241:J241"/>
    <mergeCell ref="L241:N241"/>
    <mergeCell ref="D242:F242"/>
    <mergeCell ref="H242:J242"/>
    <mergeCell ref="L242:N242"/>
    <mergeCell ref="B220:C221"/>
    <mergeCell ref="D220:F220"/>
    <mergeCell ref="H220:J220"/>
    <mergeCell ref="L220:N220"/>
    <mergeCell ref="D221:F221"/>
    <mergeCell ref="H221:J221"/>
    <mergeCell ref="L221:N221"/>
    <mergeCell ref="B199:C200"/>
    <mergeCell ref="D199:F199"/>
    <mergeCell ref="H199:J199"/>
    <mergeCell ref="L199:N199"/>
    <mergeCell ref="D200:F200"/>
    <mergeCell ref="H200:J200"/>
    <mergeCell ref="L200:N200"/>
    <mergeCell ref="B178:C179"/>
    <mergeCell ref="D178:F178"/>
    <mergeCell ref="H178:J178"/>
    <mergeCell ref="L178:N178"/>
    <mergeCell ref="D179:F179"/>
    <mergeCell ref="H179:J179"/>
    <mergeCell ref="L179:N179"/>
    <mergeCell ref="B157:C158"/>
    <mergeCell ref="D157:F157"/>
    <mergeCell ref="H157:J157"/>
    <mergeCell ref="L157:N157"/>
    <mergeCell ref="D158:F158"/>
    <mergeCell ref="H158:J158"/>
    <mergeCell ref="L158:N158"/>
    <mergeCell ref="B136:C137"/>
    <mergeCell ref="D136:F136"/>
    <mergeCell ref="H136:J136"/>
    <mergeCell ref="L136:N136"/>
    <mergeCell ref="D137:F137"/>
    <mergeCell ref="H137:J137"/>
    <mergeCell ref="L137:N137"/>
    <mergeCell ref="B115:C116"/>
    <mergeCell ref="D115:F115"/>
    <mergeCell ref="H115:J115"/>
    <mergeCell ref="L115:N115"/>
    <mergeCell ref="D116:F116"/>
    <mergeCell ref="H116:J116"/>
    <mergeCell ref="L116:N116"/>
    <mergeCell ref="B94:C95"/>
    <mergeCell ref="D94:F94"/>
    <mergeCell ref="H94:J94"/>
    <mergeCell ref="L94:N94"/>
    <mergeCell ref="D95:F95"/>
    <mergeCell ref="H95:J95"/>
    <mergeCell ref="L95:N95"/>
    <mergeCell ref="B73:C74"/>
    <mergeCell ref="D73:F73"/>
    <mergeCell ref="H73:J73"/>
    <mergeCell ref="L73:N73"/>
    <mergeCell ref="D74:F74"/>
    <mergeCell ref="H74:J74"/>
    <mergeCell ref="L74:N74"/>
    <mergeCell ref="B52:C53"/>
    <mergeCell ref="D52:F52"/>
    <mergeCell ref="H52:J52"/>
    <mergeCell ref="L52:N52"/>
    <mergeCell ref="D53:F53"/>
    <mergeCell ref="H53:J53"/>
    <mergeCell ref="L53:N53"/>
    <mergeCell ref="B10:C11"/>
    <mergeCell ref="B31:C32"/>
    <mergeCell ref="D31:F31"/>
    <mergeCell ref="H31:J31"/>
    <mergeCell ref="L31:N31"/>
    <mergeCell ref="D32:F32"/>
    <mergeCell ref="H32:J32"/>
    <mergeCell ref="L32:N32"/>
    <mergeCell ref="D10:F10"/>
    <mergeCell ref="H10:J10"/>
    <mergeCell ref="L10:N10"/>
    <mergeCell ref="D11:F11"/>
    <mergeCell ref="H11:J11"/>
    <mergeCell ref="L11:N11"/>
    <mergeCell ref="P10:R10"/>
    <mergeCell ref="P11:R11"/>
    <mergeCell ref="P31:R31"/>
    <mergeCell ref="P32:R32"/>
    <mergeCell ref="P52:R52"/>
    <mergeCell ref="P53:R53"/>
    <mergeCell ref="P73:R73"/>
    <mergeCell ref="P74:R74"/>
    <mergeCell ref="P94:R94"/>
    <mergeCell ref="P95:R95"/>
    <mergeCell ref="P115:R115"/>
    <mergeCell ref="P116:R116"/>
    <mergeCell ref="P136:R136"/>
    <mergeCell ref="P137:R137"/>
    <mergeCell ref="P157:R157"/>
    <mergeCell ref="P158:R158"/>
    <mergeCell ref="P178:R178"/>
    <mergeCell ref="P179:R179"/>
    <mergeCell ref="P199:R199"/>
    <mergeCell ref="P200:R200"/>
    <mergeCell ref="P220:R220"/>
    <mergeCell ref="P221:R221"/>
    <mergeCell ref="P241:R241"/>
    <mergeCell ref="P242:R242"/>
    <mergeCell ref="P262:R262"/>
    <mergeCell ref="P263:R263"/>
    <mergeCell ref="P283:R283"/>
    <mergeCell ref="P284:R284"/>
    <mergeCell ref="P304:R304"/>
    <mergeCell ref="P305:R305"/>
    <mergeCell ref="P325:R325"/>
    <mergeCell ref="P326:R326"/>
    <mergeCell ref="P346:R346"/>
    <mergeCell ref="P347:R347"/>
    <mergeCell ref="P367:R367"/>
    <mergeCell ref="P368:R368"/>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B7D0A5-5BF1-43AC-B7D0-1A980CFF537A}">
  <sheetPr>
    <tabColor rgb="FFFFFF00"/>
  </sheetPr>
  <dimension ref="A1:O777"/>
  <sheetViews>
    <sheetView zoomScale="90" zoomScaleNormal="90" workbookViewId="0">
      <pane xSplit="3" topLeftCell="D1" activePane="topRight" state="frozen"/>
      <selection pane="topRight" activeCell="O21" sqref="O21"/>
    </sheetView>
  </sheetViews>
  <sheetFormatPr defaultColWidth="9.140625" defaultRowHeight="15" x14ac:dyDescent="0.25"/>
  <cols>
    <col min="1" max="1" width="20.5703125" style="31" customWidth="1"/>
    <col min="2" max="2" width="29" style="32" customWidth="1"/>
    <col min="3" max="3" width="52.28515625" style="32" bestFit="1" customWidth="1"/>
    <col min="4" max="4" width="7.5703125" style="2" customWidth="1"/>
    <col min="5" max="5" width="19.140625" style="7" customWidth="1"/>
    <col min="6" max="6" width="1.5703125" style="2" customWidth="1"/>
    <col min="7" max="7" width="18.7109375" style="34" customWidth="1"/>
    <col min="8" max="8" width="1.42578125" style="2" customWidth="1"/>
    <col min="9" max="9" width="19.140625" style="34" customWidth="1"/>
    <col min="10" max="10" width="1.5703125" style="247" customWidth="1"/>
    <col min="11" max="11" width="19.5703125" style="247" customWidth="1"/>
    <col min="12" max="12" width="1.28515625" style="247" customWidth="1"/>
    <col min="13" max="13" width="22.7109375" style="7" customWidth="1"/>
    <col min="14" max="14" width="18.28515625" style="35" customWidth="1"/>
    <col min="15" max="15" width="15.7109375" style="7" customWidth="1"/>
    <col min="16" max="16384" width="9.140625" style="7"/>
  </cols>
  <sheetData>
    <row r="1" spans="1:14" ht="15.75" thickBot="1" x14ac:dyDescent="0.3">
      <c r="B1" s="321" t="s">
        <v>460</v>
      </c>
      <c r="C1" s="390" t="str">
        <f>'SUB CPIF RATES (ALL)'!C1</f>
        <v xml:space="preserve">NAME </v>
      </c>
      <c r="N1" s="20"/>
    </row>
    <row r="2" spans="1:14" ht="15.75" thickBot="1" x14ac:dyDescent="0.3">
      <c r="A2" s="71"/>
      <c r="B2" s="391" t="s">
        <v>459</v>
      </c>
      <c r="C2" s="390" t="str">
        <f>'SUB CPIF RATES (ALL)'!C2</f>
        <v xml:space="preserve">NAME </v>
      </c>
      <c r="N2" s="20"/>
    </row>
    <row r="3" spans="1:14" x14ac:dyDescent="0.25">
      <c r="A3" s="71"/>
      <c r="B3" s="211"/>
      <c r="C3" s="211"/>
      <c r="N3" s="20"/>
    </row>
    <row r="4" spans="1:14" x14ac:dyDescent="0.25">
      <c r="B4" s="324" t="s">
        <v>291</v>
      </c>
      <c r="C4" s="211"/>
      <c r="N4" s="20"/>
    </row>
    <row r="5" spans="1:14" x14ac:dyDescent="0.25">
      <c r="B5" s="44" t="s">
        <v>437</v>
      </c>
      <c r="C5" s="211"/>
      <c r="N5" s="20"/>
    </row>
    <row r="6" spans="1:14" x14ac:dyDescent="0.25">
      <c r="A6" s="71"/>
      <c r="B6" s="44" t="s">
        <v>322</v>
      </c>
      <c r="C6" s="211"/>
      <c r="N6" s="20"/>
    </row>
    <row r="7" spans="1:14" x14ac:dyDescent="0.25">
      <c r="B7" s="44" t="s">
        <v>408</v>
      </c>
      <c r="N7" s="20"/>
    </row>
    <row r="8" spans="1:14" ht="15.75" thickBot="1" x14ac:dyDescent="0.3">
      <c r="B8" s="44"/>
      <c r="N8" s="20"/>
    </row>
    <row r="9" spans="1:14" ht="48" customHeight="1" thickBot="1" x14ac:dyDescent="0.3">
      <c r="A9" s="466" t="s">
        <v>276</v>
      </c>
      <c r="B9" s="467"/>
      <c r="C9" s="468"/>
      <c r="D9" s="5"/>
      <c r="E9" s="270" t="s">
        <v>226</v>
      </c>
      <c r="F9" s="5"/>
      <c r="G9" s="270" t="s">
        <v>227</v>
      </c>
      <c r="H9" s="5"/>
      <c r="I9" s="270" t="s">
        <v>228</v>
      </c>
      <c r="J9" s="4"/>
      <c r="K9" s="270" t="s">
        <v>229</v>
      </c>
      <c r="L9" s="4"/>
      <c r="M9" s="5"/>
      <c r="N9" s="6"/>
    </row>
    <row r="10" spans="1:14" ht="45.75" thickBot="1" x14ac:dyDescent="0.3">
      <c r="A10" s="40" t="s">
        <v>183</v>
      </c>
      <c r="B10" s="40" t="s">
        <v>1</v>
      </c>
      <c r="C10" s="41"/>
      <c r="D10" s="51" t="s">
        <v>1</v>
      </c>
      <c r="E10" s="252" t="s">
        <v>277</v>
      </c>
      <c r="F10" s="258"/>
      <c r="G10" s="252" t="s">
        <v>277</v>
      </c>
      <c r="H10" s="258"/>
      <c r="I10" s="252" t="s">
        <v>277</v>
      </c>
      <c r="J10" s="4"/>
      <c r="K10" s="252" t="s">
        <v>277</v>
      </c>
      <c r="L10" s="4"/>
      <c r="M10" s="285" t="s">
        <v>278</v>
      </c>
      <c r="N10" s="7"/>
    </row>
    <row r="11" spans="1:14" ht="16.5" thickBot="1" x14ac:dyDescent="0.3">
      <c r="A11" s="65" t="s">
        <v>45</v>
      </c>
      <c r="B11" s="64" t="s">
        <v>15</v>
      </c>
      <c r="C11" s="64"/>
      <c r="D11" s="52"/>
      <c r="E11" s="252"/>
      <c r="F11" s="258"/>
      <c r="G11" s="252"/>
      <c r="H11" s="258"/>
      <c r="I11" s="57"/>
      <c r="J11" s="4"/>
      <c r="K11" s="57"/>
      <c r="L11" s="4"/>
      <c r="M11" s="281"/>
      <c r="N11" s="7"/>
    </row>
    <row r="12" spans="1:14" x14ac:dyDescent="0.25">
      <c r="A12" s="67">
        <v>1.01</v>
      </c>
      <c r="B12" s="11"/>
      <c r="C12" s="70" t="s">
        <v>30</v>
      </c>
      <c r="D12" s="250" t="s">
        <v>25</v>
      </c>
      <c r="E12" s="272"/>
      <c r="F12" s="259"/>
      <c r="G12" s="272"/>
      <c r="H12" s="259"/>
      <c r="I12" s="272"/>
      <c r="J12" s="4"/>
      <c r="K12" s="272"/>
      <c r="L12" s="4"/>
      <c r="M12" s="282">
        <f t="shared" ref="M12:M23" si="0">E12+G12+I12+K12</f>
        <v>0</v>
      </c>
      <c r="N12" s="7"/>
    </row>
    <row r="13" spans="1:14" x14ac:dyDescent="0.25">
      <c r="A13" s="66">
        <v>1.02</v>
      </c>
      <c r="B13" s="64"/>
      <c r="C13" s="70" t="s">
        <v>31</v>
      </c>
      <c r="D13" s="251" t="s">
        <v>25</v>
      </c>
      <c r="E13" s="272"/>
      <c r="F13" s="259"/>
      <c r="G13" s="272"/>
      <c r="H13" s="259"/>
      <c r="I13" s="272"/>
      <c r="J13" s="4"/>
      <c r="K13" s="272"/>
      <c r="L13" s="4"/>
      <c r="M13" s="283">
        <f t="shared" si="0"/>
        <v>0</v>
      </c>
      <c r="N13" s="7"/>
    </row>
    <row r="14" spans="1:14" x14ac:dyDescent="0.25">
      <c r="A14" s="68">
        <v>1.03</v>
      </c>
      <c r="B14" s="38"/>
      <c r="C14" s="70" t="s">
        <v>32</v>
      </c>
      <c r="D14" s="245" t="s">
        <v>25</v>
      </c>
      <c r="E14" s="272"/>
      <c r="F14" s="259"/>
      <c r="G14" s="272"/>
      <c r="H14" s="259"/>
      <c r="I14" s="272"/>
      <c r="J14" s="4"/>
      <c r="K14" s="272"/>
      <c r="L14" s="4"/>
      <c r="M14" s="283">
        <f t="shared" si="0"/>
        <v>0</v>
      </c>
      <c r="N14" s="7"/>
    </row>
    <row r="15" spans="1:14" x14ac:dyDescent="0.25">
      <c r="A15" s="67">
        <v>1.04</v>
      </c>
      <c r="B15" s="11"/>
      <c r="C15" s="70" t="s">
        <v>33</v>
      </c>
      <c r="D15" s="245" t="s">
        <v>25</v>
      </c>
      <c r="E15" s="272"/>
      <c r="F15" s="259"/>
      <c r="G15" s="272"/>
      <c r="H15" s="259"/>
      <c r="I15" s="272"/>
      <c r="J15" s="4"/>
      <c r="K15" s="272"/>
      <c r="L15" s="4"/>
      <c r="M15" s="283">
        <f t="shared" si="0"/>
        <v>0</v>
      </c>
      <c r="N15" s="7"/>
    </row>
    <row r="16" spans="1:14" x14ac:dyDescent="0.25">
      <c r="A16" s="67">
        <v>1.05</v>
      </c>
      <c r="B16" s="11"/>
      <c r="C16" s="70" t="s">
        <v>34</v>
      </c>
      <c r="D16" s="245" t="s">
        <v>25</v>
      </c>
      <c r="E16" s="272"/>
      <c r="F16" s="259"/>
      <c r="G16" s="272"/>
      <c r="H16" s="259"/>
      <c r="I16" s="272"/>
      <c r="J16" s="4"/>
      <c r="K16" s="272"/>
      <c r="L16" s="4"/>
      <c r="M16" s="283">
        <f t="shared" si="0"/>
        <v>0</v>
      </c>
      <c r="N16" s="7"/>
    </row>
    <row r="17" spans="1:14" x14ac:dyDescent="0.25">
      <c r="A17" s="67">
        <v>1.06</v>
      </c>
      <c r="B17" s="11"/>
      <c r="C17" s="70" t="s">
        <v>35</v>
      </c>
      <c r="D17" s="245" t="s">
        <v>25</v>
      </c>
      <c r="E17" s="272"/>
      <c r="F17" s="260"/>
      <c r="G17" s="272"/>
      <c r="H17" s="260"/>
      <c r="I17" s="272"/>
      <c r="J17" s="4"/>
      <c r="K17" s="272"/>
      <c r="L17" s="4"/>
      <c r="M17" s="283">
        <f t="shared" si="0"/>
        <v>0</v>
      </c>
      <c r="N17" s="7"/>
    </row>
    <row r="18" spans="1:14" x14ac:dyDescent="0.25">
      <c r="A18" s="67">
        <v>1.07</v>
      </c>
      <c r="B18" s="11"/>
      <c r="C18" s="70" t="s">
        <v>36</v>
      </c>
      <c r="D18" s="245" t="s">
        <v>25</v>
      </c>
      <c r="E18" s="272"/>
      <c r="F18" s="260"/>
      <c r="G18" s="272"/>
      <c r="H18" s="260"/>
      <c r="I18" s="272"/>
      <c r="J18" s="4"/>
      <c r="K18" s="272"/>
      <c r="L18" s="4"/>
      <c r="M18" s="283">
        <f t="shared" si="0"/>
        <v>0</v>
      </c>
      <c r="N18" s="7"/>
    </row>
    <row r="19" spans="1:14" x14ac:dyDescent="0.25">
      <c r="A19" s="67">
        <v>1.08</v>
      </c>
      <c r="B19" s="11"/>
      <c r="C19" s="70" t="s">
        <v>37</v>
      </c>
      <c r="D19" s="245" t="s">
        <v>25</v>
      </c>
      <c r="E19" s="272"/>
      <c r="F19" s="260"/>
      <c r="G19" s="272"/>
      <c r="H19" s="260"/>
      <c r="I19" s="272"/>
      <c r="J19" s="4"/>
      <c r="K19" s="272"/>
      <c r="L19" s="4"/>
      <c r="M19" s="283">
        <f t="shared" si="0"/>
        <v>0</v>
      </c>
      <c r="N19" s="7"/>
    </row>
    <row r="20" spans="1:14" x14ac:dyDescent="0.25">
      <c r="A20" s="67">
        <v>1.0900000000000001</v>
      </c>
      <c r="B20" s="11"/>
      <c r="C20" s="70" t="s">
        <v>38</v>
      </c>
      <c r="D20" s="245" t="s">
        <v>25</v>
      </c>
      <c r="E20" s="272"/>
      <c r="F20" s="260"/>
      <c r="G20" s="272"/>
      <c r="H20" s="260"/>
      <c r="I20" s="272"/>
      <c r="J20" s="4"/>
      <c r="K20" s="272"/>
      <c r="L20" s="4"/>
      <c r="M20" s="283">
        <f t="shared" si="0"/>
        <v>0</v>
      </c>
      <c r="N20" s="7"/>
    </row>
    <row r="21" spans="1:14" x14ac:dyDescent="0.25">
      <c r="A21" s="69">
        <v>1.1000000000000001</v>
      </c>
      <c r="B21" s="11"/>
      <c r="C21" s="70" t="s">
        <v>39</v>
      </c>
      <c r="D21" s="245" t="s">
        <v>25</v>
      </c>
      <c r="E21" s="272"/>
      <c r="F21" s="259"/>
      <c r="G21" s="272"/>
      <c r="H21" s="259"/>
      <c r="I21" s="272"/>
      <c r="J21" s="4"/>
      <c r="K21" s="272"/>
      <c r="L21" s="4"/>
      <c r="M21" s="283">
        <f t="shared" si="0"/>
        <v>0</v>
      </c>
      <c r="N21" s="7"/>
    </row>
    <row r="22" spans="1:14" ht="15.75" thickBot="1" x14ac:dyDescent="0.3">
      <c r="A22" s="69">
        <v>1.1100000000000001</v>
      </c>
      <c r="B22" s="11"/>
      <c r="C22" s="278" t="s">
        <v>10</v>
      </c>
      <c r="D22" s="245" t="s">
        <v>25</v>
      </c>
      <c r="E22" s="272"/>
      <c r="F22" s="259"/>
      <c r="G22" s="272"/>
      <c r="H22" s="259"/>
      <c r="I22" s="272"/>
      <c r="J22" s="4"/>
      <c r="K22" s="272"/>
      <c r="L22" s="4"/>
      <c r="M22" s="284">
        <f t="shared" si="0"/>
        <v>0</v>
      </c>
      <c r="N22" s="7"/>
    </row>
    <row r="23" spans="1:14" ht="15.75" thickBot="1" x14ac:dyDescent="0.3">
      <c r="A23" s="69"/>
      <c r="B23" s="11"/>
      <c r="C23" s="290" t="s">
        <v>237</v>
      </c>
      <c r="D23" s="274"/>
      <c r="E23" s="1">
        <f>SUM(E12:E22)</f>
        <v>0</v>
      </c>
      <c r="F23" s="260"/>
      <c r="G23" s="1">
        <f>SUM(G12:G22)</f>
        <v>0</v>
      </c>
      <c r="H23" s="260"/>
      <c r="I23" s="1">
        <f>SUM(I12:I22)</f>
        <v>0</v>
      </c>
      <c r="J23" s="4"/>
      <c r="K23" s="1">
        <f>SUM(K12:K22)</f>
        <v>0</v>
      </c>
      <c r="L23" s="4"/>
      <c r="M23" s="291">
        <f t="shared" si="0"/>
        <v>0</v>
      </c>
      <c r="N23" s="7"/>
    </row>
    <row r="24" spans="1:14" s="247" customFormat="1" ht="15.75" thickBot="1" x14ac:dyDescent="0.3">
      <c r="A24" s="286" t="s">
        <v>45</v>
      </c>
      <c r="B24" s="64" t="s">
        <v>16</v>
      </c>
      <c r="C24" s="64"/>
      <c r="D24" s="277"/>
      <c r="E24" s="279"/>
      <c r="F24" s="260"/>
      <c r="G24" s="279"/>
      <c r="H24" s="260"/>
      <c r="I24" s="279"/>
      <c r="J24" s="4"/>
      <c r="K24" s="279"/>
      <c r="L24" s="4"/>
      <c r="M24" s="280"/>
    </row>
    <row r="25" spans="1:14" s="247" customFormat="1" x14ac:dyDescent="0.25">
      <c r="A25" s="67">
        <v>1.01</v>
      </c>
      <c r="B25" s="11"/>
      <c r="C25" s="70" t="s">
        <v>40</v>
      </c>
      <c r="D25" s="245" t="s">
        <v>26</v>
      </c>
      <c r="E25" s="272"/>
      <c r="F25" s="260"/>
      <c r="G25" s="272"/>
      <c r="H25" s="260"/>
      <c r="I25" s="272"/>
      <c r="J25" s="4"/>
      <c r="K25" s="272"/>
      <c r="L25" s="4"/>
      <c r="M25" s="282">
        <f>E25+G25+I25+K25</f>
        <v>0</v>
      </c>
    </row>
    <row r="26" spans="1:14" s="247" customFormat="1" x14ac:dyDescent="0.25">
      <c r="A26" s="287">
        <v>1.02</v>
      </c>
      <c r="B26" s="64"/>
      <c r="C26" s="70" t="s">
        <v>41</v>
      </c>
      <c r="D26" s="251" t="s">
        <v>26</v>
      </c>
      <c r="E26" s="272"/>
      <c r="F26" s="259"/>
      <c r="G26" s="272"/>
      <c r="H26" s="259"/>
      <c r="I26" s="272"/>
      <c r="J26" s="4"/>
      <c r="K26" s="272"/>
      <c r="L26" s="4"/>
      <c r="M26" s="283">
        <f>E26+G26+I26+K26</f>
        <v>0</v>
      </c>
    </row>
    <row r="27" spans="1:14" s="247" customFormat="1" ht="15.75" thickBot="1" x14ac:dyDescent="0.3">
      <c r="A27" s="68">
        <v>1.03</v>
      </c>
      <c r="B27" s="38"/>
      <c r="C27" s="70" t="s">
        <v>42</v>
      </c>
      <c r="D27" s="245" t="s">
        <v>26</v>
      </c>
      <c r="E27" s="272"/>
      <c r="F27" s="259"/>
      <c r="G27" s="272"/>
      <c r="H27" s="259"/>
      <c r="I27" s="272"/>
      <c r="J27" s="4"/>
      <c r="K27" s="272"/>
      <c r="L27" s="4"/>
      <c r="M27" s="284">
        <f>E27+G27+I27+K27</f>
        <v>0</v>
      </c>
    </row>
    <row r="28" spans="1:14" s="247" customFormat="1" ht="15.75" thickBot="1" x14ac:dyDescent="0.3">
      <c r="A28" s="68"/>
      <c r="B28" s="38"/>
      <c r="C28" s="293" t="s">
        <v>243</v>
      </c>
      <c r="D28" s="274"/>
      <c r="E28" s="1">
        <f>E25+E26+E27</f>
        <v>0</v>
      </c>
      <c r="F28" s="260"/>
      <c r="G28" s="1">
        <f>G25+G26+G27</f>
        <v>0</v>
      </c>
      <c r="H28" s="260"/>
      <c r="I28" s="1">
        <f>I25+I26+I27</f>
        <v>0</v>
      </c>
      <c r="J28" s="4"/>
      <c r="K28" s="1">
        <f>K25+K26+K27</f>
        <v>0</v>
      </c>
      <c r="L28" s="4"/>
      <c r="M28" s="291">
        <f t="shared" ref="M28" si="1">E28+G28+I28+K28</f>
        <v>0</v>
      </c>
    </row>
    <row r="29" spans="1:14" s="247" customFormat="1" ht="15.75" thickBot="1" x14ac:dyDescent="0.3">
      <c r="A29" s="286" t="s">
        <v>45</v>
      </c>
      <c r="B29" s="64" t="s">
        <v>43</v>
      </c>
      <c r="C29" s="64"/>
      <c r="D29" s="277"/>
      <c r="E29" s="279"/>
      <c r="F29" s="260"/>
      <c r="G29" s="279"/>
      <c r="H29" s="260"/>
      <c r="I29" s="279"/>
      <c r="J29" s="4"/>
      <c r="K29" s="279"/>
      <c r="L29" s="4"/>
      <c r="M29" s="280"/>
    </row>
    <row r="30" spans="1:14" s="247" customFormat="1" x14ac:dyDescent="0.25">
      <c r="A30" s="67">
        <v>1.01</v>
      </c>
      <c r="B30" s="11"/>
      <c r="C30" s="288" t="s">
        <v>96</v>
      </c>
      <c r="D30" s="289" t="s">
        <v>27</v>
      </c>
      <c r="E30" s="272"/>
      <c r="F30" s="260"/>
      <c r="G30" s="272"/>
      <c r="H30" s="260"/>
      <c r="I30" s="272"/>
      <c r="J30" s="4"/>
      <c r="K30" s="272"/>
      <c r="L30" s="4"/>
      <c r="M30" s="282">
        <f>E30+G30+I30+K30</f>
        <v>0</v>
      </c>
    </row>
    <row r="31" spans="1:14" s="247" customFormat="1" x14ac:dyDescent="0.25">
      <c r="A31" s="66">
        <v>1.02</v>
      </c>
      <c r="B31" s="64"/>
      <c r="C31" s="288" t="s">
        <v>97</v>
      </c>
      <c r="D31" s="289" t="s">
        <v>27</v>
      </c>
      <c r="E31" s="272"/>
      <c r="F31" s="260"/>
      <c r="G31" s="272"/>
      <c r="H31" s="260"/>
      <c r="I31" s="272"/>
      <c r="J31" s="4"/>
      <c r="K31" s="272"/>
      <c r="L31" s="4"/>
      <c r="M31" s="283">
        <f>E31+G31+I31+K31</f>
        <v>0</v>
      </c>
    </row>
    <row r="32" spans="1:14" s="247" customFormat="1" x14ac:dyDescent="0.25">
      <c r="A32" s="68">
        <v>1.03</v>
      </c>
      <c r="B32" s="38"/>
      <c r="C32" s="288" t="s">
        <v>98</v>
      </c>
      <c r="D32" s="289" t="s">
        <v>27</v>
      </c>
      <c r="E32" s="272"/>
      <c r="F32" s="259"/>
      <c r="G32" s="272"/>
      <c r="H32" s="259"/>
      <c r="I32" s="272"/>
      <c r="J32" s="4"/>
      <c r="K32" s="272"/>
      <c r="L32" s="4"/>
      <c r="M32" s="283">
        <f>E32+G32+I32+K32</f>
        <v>0</v>
      </c>
    </row>
    <row r="33" spans="1:15" s="247" customFormat="1" ht="15.75" thickBot="1" x14ac:dyDescent="0.3">
      <c r="A33" s="68">
        <v>1.04</v>
      </c>
      <c r="B33" s="38"/>
      <c r="C33" s="288" t="s">
        <v>44</v>
      </c>
      <c r="D33" s="289" t="s">
        <v>27</v>
      </c>
      <c r="E33" s="272"/>
      <c r="F33" s="259"/>
      <c r="G33" s="272"/>
      <c r="H33" s="259"/>
      <c r="I33" s="272"/>
      <c r="J33" s="4"/>
      <c r="K33" s="272"/>
      <c r="L33" s="4"/>
      <c r="M33" s="284">
        <f>E33+G33+I33+K33</f>
        <v>0</v>
      </c>
    </row>
    <row r="34" spans="1:15" s="247" customFormat="1" ht="15.75" thickBot="1" x14ac:dyDescent="0.3">
      <c r="A34" s="294"/>
      <c r="B34" s="295"/>
      <c r="C34" s="293" t="s">
        <v>244</v>
      </c>
      <c r="D34" s="274"/>
      <c r="E34" s="1">
        <f>E30+E31+E32+E33</f>
        <v>0</v>
      </c>
      <c r="F34" s="260"/>
      <c r="G34" s="1">
        <f>G30+G31+G32+G33</f>
        <v>0</v>
      </c>
      <c r="H34" s="260"/>
      <c r="I34" s="1">
        <f>I30+I31+I32+I33</f>
        <v>0</v>
      </c>
      <c r="J34" s="4"/>
      <c r="K34" s="1">
        <f>K30+K31+K32+K33</f>
        <v>0</v>
      </c>
      <c r="L34" s="4"/>
      <c r="M34" s="291">
        <f t="shared" ref="M34" si="2">E34+G34+I34+K34</f>
        <v>0</v>
      </c>
    </row>
    <row r="35" spans="1:15" s="247" customFormat="1" ht="15.75" thickBot="1" x14ac:dyDescent="0.3">
      <c r="A35" s="275"/>
      <c r="B35" s="276"/>
      <c r="C35" s="273"/>
      <c r="D35" s="277"/>
      <c r="E35" s="279"/>
      <c r="F35" s="260"/>
      <c r="G35" s="279"/>
      <c r="H35" s="260"/>
      <c r="I35" s="279"/>
      <c r="J35" s="4"/>
      <c r="K35" s="279"/>
      <c r="L35" s="4"/>
      <c r="M35" s="280"/>
    </row>
    <row r="36" spans="1:15" ht="31.5" customHeight="1" thickBot="1" x14ac:dyDescent="0.3">
      <c r="A36" s="4"/>
      <c r="B36" s="14"/>
      <c r="C36" s="8"/>
      <c r="D36" s="15"/>
      <c r="E36" s="271">
        <f>E23+E28+E34</f>
        <v>0</v>
      </c>
      <c r="F36" s="15"/>
      <c r="G36" s="271">
        <f>G23+G28+G34</f>
        <v>0</v>
      </c>
      <c r="H36" s="15"/>
      <c r="I36" s="271">
        <f>I23+I28+I34</f>
        <v>0</v>
      </c>
      <c r="J36" s="84"/>
      <c r="K36" s="271">
        <f>K23+K28+K34</f>
        <v>0</v>
      </c>
      <c r="L36" s="84"/>
      <c r="M36" s="46">
        <f>M23+M28+M34</f>
        <v>0</v>
      </c>
      <c r="N36" s="47" t="s">
        <v>278</v>
      </c>
      <c r="O36" s="20"/>
    </row>
    <row r="37" spans="1:15" s="20" customFormat="1" ht="15.75" thickBot="1" x14ac:dyDescent="0.3">
      <c r="B37" s="142"/>
      <c r="C37" s="143"/>
      <c r="D37" s="22"/>
      <c r="F37" s="22"/>
      <c r="G37" s="24"/>
      <c r="H37" s="22"/>
      <c r="I37" s="24"/>
      <c r="J37" s="249"/>
      <c r="K37" s="249"/>
      <c r="L37" s="249"/>
      <c r="M37" s="25"/>
    </row>
    <row r="38" spans="1:15" s="20" customFormat="1" ht="30.75" customHeight="1" thickBot="1" x14ac:dyDescent="0.3">
      <c r="A38" s="509"/>
      <c r="B38" s="509"/>
      <c r="C38" s="509"/>
      <c r="D38" s="22"/>
      <c r="F38" s="22"/>
      <c r="G38" s="27"/>
      <c r="H38" s="22"/>
      <c r="I38" s="27"/>
      <c r="J38" s="247"/>
      <c r="K38" s="247"/>
      <c r="L38" s="247"/>
      <c r="M38" s="46">
        <f>E36+G36+I36+K36</f>
        <v>0</v>
      </c>
      <c r="N38" s="47" t="s">
        <v>13</v>
      </c>
    </row>
    <row r="39" spans="1:15" s="20" customFormat="1" ht="27.75" customHeight="1" x14ac:dyDescent="0.25">
      <c r="A39" s="312"/>
      <c r="B39" s="292"/>
      <c r="C39" s="292"/>
      <c r="D39" s="22"/>
      <c r="F39" s="22"/>
      <c r="G39" s="27"/>
      <c r="H39" s="22"/>
      <c r="I39" s="27"/>
      <c r="J39" s="247"/>
      <c r="K39" s="247"/>
      <c r="L39" s="247"/>
      <c r="M39" s="28">
        <f>M36-M38</f>
        <v>0</v>
      </c>
      <c r="N39" s="29" t="s">
        <v>14</v>
      </c>
    </row>
    <row r="40" spans="1:15" s="20" customFormat="1" x14ac:dyDescent="0.25">
      <c r="A40" s="26"/>
      <c r="B40" s="21"/>
      <c r="C40" s="21"/>
      <c r="D40" s="22"/>
      <c r="F40" s="22"/>
      <c r="G40" s="27"/>
      <c r="H40" s="22"/>
      <c r="I40" s="27"/>
      <c r="J40" s="247"/>
      <c r="K40" s="247"/>
      <c r="L40" s="247"/>
    </row>
    <row r="41" spans="1:15" s="20" customFormat="1" x14ac:dyDescent="0.25">
      <c r="A41" s="26"/>
      <c r="B41" s="21"/>
      <c r="C41" s="21"/>
      <c r="D41" s="22"/>
      <c r="F41" s="22"/>
      <c r="G41" s="27"/>
      <c r="H41" s="22"/>
      <c r="I41" s="27"/>
      <c r="J41" s="247"/>
      <c r="K41" s="247"/>
      <c r="L41" s="247"/>
    </row>
    <row r="42" spans="1:15" s="20" customFormat="1" x14ac:dyDescent="0.25">
      <c r="A42" s="26"/>
      <c r="B42" s="21"/>
      <c r="C42" s="21"/>
      <c r="D42" s="22"/>
      <c r="F42" s="22"/>
      <c r="G42" s="27"/>
      <c r="H42" s="22"/>
      <c r="I42" s="27"/>
      <c r="J42" s="247"/>
      <c r="K42" s="247"/>
      <c r="L42" s="247"/>
    </row>
    <row r="43" spans="1:15" s="20" customFormat="1" x14ac:dyDescent="0.25">
      <c r="A43" s="26"/>
      <c r="B43" s="21"/>
      <c r="C43" s="21"/>
      <c r="D43" s="22"/>
      <c r="F43" s="22"/>
      <c r="G43" s="27"/>
      <c r="H43" s="22"/>
      <c r="I43" s="27"/>
      <c r="J43" s="247"/>
      <c r="K43" s="247"/>
      <c r="L43" s="247"/>
    </row>
    <row r="44" spans="1:15" s="20" customFormat="1" x14ac:dyDescent="0.25">
      <c r="A44" s="26"/>
      <c r="B44" s="21"/>
      <c r="D44" s="22"/>
      <c r="F44" s="22"/>
      <c r="G44" s="27"/>
      <c r="H44" s="22"/>
      <c r="I44" s="27"/>
      <c r="J44" s="247"/>
      <c r="K44" s="247"/>
      <c r="L44" s="247"/>
    </row>
    <row r="45" spans="1:15" s="20" customFormat="1" x14ac:dyDescent="0.25">
      <c r="A45" s="26"/>
      <c r="B45" s="21"/>
      <c r="C45" s="21"/>
      <c r="D45" s="22"/>
      <c r="F45" s="22"/>
      <c r="G45" s="27"/>
      <c r="H45" s="22"/>
      <c r="I45" s="27"/>
      <c r="J45" s="247"/>
      <c r="K45" s="247"/>
      <c r="L45" s="247"/>
    </row>
    <row r="46" spans="1:15" s="20" customFormat="1" x14ac:dyDescent="0.25">
      <c r="A46" s="26"/>
      <c r="B46" s="21"/>
      <c r="C46" s="21"/>
      <c r="D46" s="22"/>
      <c r="F46" s="22"/>
      <c r="G46" s="27"/>
      <c r="H46" s="22"/>
      <c r="I46" s="27"/>
      <c r="J46" s="247"/>
      <c r="K46" s="247"/>
      <c r="L46" s="247"/>
    </row>
    <row r="47" spans="1:15" s="20" customFormat="1" x14ac:dyDescent="0.25">
      <c r="A47" s="26"/>
      <c r="B47" s="21"/>
      <c r="C47" s="21"/>
      <c r="D47" s="22"/>
      <c r="F47" s="22"/>
      <c r="G47" s="27"/>
      <c r="H47" s="22"/>
      <c r="I47" s="27"/>
      <c r="J47" s="247"/>
      <c r="K47" s="247"/>
      <c r="L47" s="247"/>
    </row>
    <row r="48" spans="1:15" s="20" customFormat="1" x14ac:dyDescent="0.25">
      <c r="A48" s="26"/>
      <c r="B48" s="21"/>
      <c r="C48" s="21"/>
      <c r="D48" s="22"/>
      <c r="F48" s="22"/>
      <c r="G48" s="27"/>
      <c r="H48" s="22"/>
      <c r="I48" s="27"/>
      <c r="J48" s="247"/>
      <c r="K48" s="247"/>
      <c r="L48" s="247"/>
    </row>
    <row r="49" spans="1:12" s="20" customFormat="1" x14ac:dyDescent="0.25">
      <c r="A49" s="26"/>
      <c r="B49" s="21"/>
      <c r="C49" s="21"/>
      <c r="D49" s="22"/>
      <c r="F49" s="22"/>
      <c r="G49" s="27"/>
      <c r="H49" s="22"/>
      <c r="I49" s="27"/>
      <c r="J49" s="247"/>
      <c r="K49" s="247"/>
      <c r="L49" s="247"/>
    </row>
    <row r="50" spans="1:12" s="20" customFormat="1" x14ac:dyDescent="0.25">
      <c r="A50" s="26"/>
      <c r="B50" s="21"/>
      <c r="C50" s="21"/>
      <c r="D50" s="22"/>
      <c r="F50" s="22"/>
      <c r="G50" s="27"/>
      <c r="H50" s="22"/>
      <c r="I50" s="27"/>
      <c r="J50" s="247"/>
      <c r="K50" s="247"/>
      <c r="L50" s="247"/>
    </row>
    <row r="51" spans="1:12" s="20" customFormat="1" x14ac:dyDescent="0.25">
      <c r="A51" s="26"/>
      <c r="B51" s="21"/>
      <c r="C51" s="21"/>
      <c r="D51" s="22"/>
      <c r="F51" s="22"/>
      <c r="G51" s="27"/>
      <c r="H51" s="22"/>
      <c r="I51" s="27"/>
      <c r="J51" s="247"/>
      <c r="K51" s="247"/>
      <c r="L51" s="247"/>
    </row>
    <row r="52" spans="1:12" s="20" customFormat="1" x14ac:dyDescent="0.25">
      <c r="A52" s="26"/>
      <c r="B52" s="21"/>
      <c r="C52" s="21"/>
      <c r="D52" s="22"/>
      <c r="F52" s="22"/>
      <c r="G52" s="27"/>
      <c r="H52" s="22"/>
      <c r="I52" s="27"/>
      <c r="J52" s="247"/>
      <c r="K52" s="247"/>
      <c r="L52" s="247"/>
    </row>
    <row r="53" spans="1:12" s="20" customFormat="1" x14ac:dyDescent="0.25">
      <c r="A53" s="26"/>
      <c r="B53" s="21"/>
      <c r="C53" s="21"/>
      <c r="D53" s="22"/>
      <c r="F53" s="22"/>
      <c r="G53" s="27"/>
      <c r="H53" s="22"/>
      <c r="I53" s="27"/>
      <c r="J53" s="247"/>
      <c r="K53" s="247"/>
      <c r="L53" s="247"/>
    </row>
    <row r="54" spans="1:12" s="20" customFormat="1" x14ac:dyDescent="0.25">
      <c r="A54" s="26"/>
      <c r="B54" s="21"/>
      <c r="C54" s="21"/>
      <c r="D54" s="22"/>
      <c r="F54" s="22"/>
      <c r="G54" s="27"/>
      <c r="H54" s="22"/>
      <c r="I54" s="27"/>
      <c r="J54" s="247"/>
      <c r="K54" s="247"/>
      <c r="L54" s="247"/>
    </row>
    <row r="55" spans="1:12" s="20" customFormat="1" x14ac:dyDescent="0.25">
      <c r="A55" s="26"/>
      <c r="B55" s="21"/>
      <c r="C55" s="21"/>
      <c r="D55" s="22"/>
      <c r="F55" s="22"/>
      <c r="G55" s="27"/>
      <c r="H55" s="22"/>
      <c r="I55" s="27"/>
      <c r="J55" s="247"/>
      <c r="K55" s="247"/>
      <c r="L55" s="247"/>
    </row>
    <row r="56" spans="1:12" s="20" customFormat="1" x14ac:dyDescent="0.25">
      <c r="A56" s="26"/>
      <c r="B56" s="21"/>
      <c r="C56" s="21"/>
      <c r="D56" s="22"/>
      <c r="F56" s="22"/>
      <c r="G56" s="27"/>
      <c r="H56" s="22"/>
      <c r="I56" s="27"/>
      <c r="J56" s="247"/>
      <c r="K56" s="247"/>
      <c r="L56" s="247"/>
    </row>
    <row r="57" spans="1:12" s="20" customFormat="1" x14ac:dyDescent="0.25">
      <c r="A57" s="26"/>
      <c r="B57" s="21"/>
      <c r="C57" s="21"/>
      <c r="D57" s="22"/>
      <c r="F57" s="22"/>
      <c r="G57" s="27"/>
      <c r="H57" s="22"/>
      <c r="I57" s="27"/>
      <c r="J57" s="247"/>
      <c r="K57" s="247"/>
      <c r="L57" s="247"/>
    </row>
    <row r="58" spans="1:12" s="20" customFormat="1" x14ac:dyDescent="0.25">
      <c r="A58" s="26"/>
      <c r="B58" s="21"/>
      <c r="C58" s="21"/>
      <c r="D58" s="22"/>
      <c r="F58" s="22"/>
      <c r="G58" s="27"/>
      <c r="H58" s="22"/>
      <c r="I58" s="27"/>
      <c r="J58" s="247"/>
      <c r="K58" s="247"/>
      <c r="L58" s="247"/>
    </row>
    <row r="59" spans="1:12" s="20" customFormat="1" x14ac:dyDescent="0.25">
      <c r="A59" s="26"/>
      <c r="B59" s="21"/>
      <c r="C59" s="21"/>
      <c r="D59" s="22"/>
      <c r="F59" s="22"/>
      <c r="G59" s="27"/>
      <c r="H59" s="22"/>
      <c r="I59" s="27"/>
      <c r="J59" s="247"/>
      <c r="K59" s="247"/>
      <c r="L59" s="247"/>
    </row>
    <row r="60" spans="1:12" s="20" customFormat="1" x14ac:dyDescent="0.25">
      <c r="A60" s="26"/>
      <c r="B60" s="21"/>
      <c r="C60" s="21"/>
      <c r="D60" s="22"/>
      <c r="F60" s="22"/>
      <c r="G60" s="27"/>
      <c r="H60" s="22"/>
      <c r="I60" s="27"/>
      <c r="J60" s="247"/>
      <c r="K60" s="247"/>
      <c r="L60" s="247"/>
    </row>
    <row r="61" spans="1:12" s="20" customFormat="1" x14ac:dyDescent="0.25">
      <c r="A61" s="26"/>
      <c r="B61" s="21"/>
      <c r="C61" s="21"/>
      <c r="D61" s="22"/>
      <c r="F61" s="22"/>
      <c r="G61" s="27"/>
      <c r="H61" s="22"/>
      <c r="I61" s="27"/>
      <c r="J61" s="247"/>
      <c r="K61" s="247"/>
      <c r="L61" s="247"/>
    </row>
    <row r="62" spans="1:12" s="20" customFormat="1" x14ac:dyDescent="0.25">
      <c r="A62" s="26"/>
      <c r="B62" s="21"/>
      <c r="C62" s="21"/>
      <c r="D62" s="22"/>
      <c r="F62" s="22"/>
      <c r="G62" s="27"/>
      <c r="H62" s="22"/>
      <c r="I62" s="27"/>
      <c r="J62" s="247"/>
      <c r="K62" s="247"/>
      <c r="L62" s="247"/>
    </row>
    <row r="63" spans="1:12" s="20" customFormat="1" x14ac:dyDescent="0.25">
      <c r="A63" s="26"/>
      <c r="B63" s="21"/>
      <c r="C63" s="21"/>
      <c r="D63" s="22"/>
      <c r="F63" s="22"/>
      <c r="G63" s="27"/>
      <c r="H63" s="22"/>
      <c r="I63" s="27"/>
      <c r="J63" s="247"/>
      <c r="K63" s="247"/>
      <c r="L63" s="247"/>
    </row>
    <row r="64" spans="1:12" s="20" customFormat="1" x14ac:dyDescent="0.25">
      <c r="A64" s="26"/>
      <c r="B64" s="21"/>
      <c r="C64" s="21"/>
      <c r="D64" s="22"/>
      <c r="F64" s="22"/>
      <c r="G64" s="27"/>
      <c r="H64" s="22"/>
      <c r="I64" s="27"/>
      <c r="J64" s="247"/>
      <c r="K64" s="247"/>
      <c r="L64" s="247"/>
    </row>
    <row r="65" spans="1:12" s="20" customFormat="1" x14ac:dyDescent="0.25">
      <c r="A65" s="26"/>
      <c r="B65" s="21"/>
      <c r="C65" s="21"/>
      <c r="D65" s="22"/>
      <c r="F65" s="22"/>
      <c r="G65" s="27"/>
      <c r="H65" s="22"/>
      <c r="I65" s="27"/>
      <c r="J65" s="247"/>
      <c r="K65" s="247"/>
      <c r="L65" s="247"/>
    </row>
    <row r="66" spans="1:12" s="20" customFormat="1" x14ac:dyDescent="0.25">
      <c r="A66" s="26"/>
      <c r="B66" s="21"/>
      <c r="C66" s="21"/>
      <c r="D66" s="22"/>
      <c r="F66" s="22"/>
      <c r="G66" s="27"/>
      <c r="H66" s="22"/>
      <c r="I66" s="27"/>
      <c r="J66" s="247"/>
      <c r="K66" s="247"/>
      <c r="L66" s="247"/>
    </row>
    <row r="67" spans="1:12" s="20" customFormat="1" x14ac:dyDescent="0.25">
      <c r="A67" s="26"/>
      <c r="B67" s="21"/>
      <c r="C67" s="21"/>
      <c r="D67" s="22"/>
      <c r="F67" s="22"/>
      <c r="G67" s="27"/>
      <c r="H67" s="22"/>
      <c r="I67" s="27"/>
      <c r="J67" s="247"/>
      <c r="K67" s="247"/>
      <c r="L67" s="247"/>
    </row>
    <row r="68" spans="1:12" s="20" customFormat="1" x14ac:dyDescent="0.25">
      <c r="A68" s="26"/>
      <c r="B68" s="21"/>
      <c r="C68" s="21"/>
      <c r="D68" s="22"/>
      <c r="F68" s="22"/>
      <c r="G68" s="27"/>
      <c r="H68" s="22"/>
      <c r="I68" s="27"/>
      <c r="J68" s="247"/>
      <c r="K68" s="247"/>
      <c r="L68" s="247"/>
    </row>
    <row r="69" spans="1:12" s="20" customFormat="1" x14ac:dyDescent="0.25">
      <c r="A69" s="26"/>
      <c r="B69" s="21"/>
      <c r="C69" s="21"/>
      <c r="D69" s="22"/>
      <c r="F69" s="22"/>
      <c r="G69" s="27"/>
      <c r="H69" s="22"/>
      <c r="I69" s="27"/>
      <c r="J69" s="247"/>
      <c r="K69" s="247"/>
      <c r="L69" s="247"/>
    </row>
    <row r="70" spans="1:12" s="20" customFormat="1" x14ac:dyDescent="0.25">
      <c r="A70" s="26"/>
      <c r="B70" s="21"/>
      <c r="C70" s="21"/>
      <c r="D70" s="22"/>
      <c r="F70" s="22"/>
      <c r="G70" s="27"/>
      <c r="H70" s="22"/>
      <c r="I70" s="27"/>
      <c r="J70" s="247"/>
      <c r="K70" s="247"/>
      <c r="L70" s="247"/>
    </row>
    <row r="71" spans="1:12" s="20" customFormat="1" x14ac:dyDescent="0.25">
      <c r="A71" s="26"/>
      <c r="B71" s="21"/>
      <c r="C71" s="21"/>
      <c r="D71" s="22"/>
      <c r="F71" s="22"/>
      <c r="G71" s="27"/>
      <c r="H71" s="22"/>
      <c r="I71" s="27"/>
      <c r="J71" s="247"/>
      <c r="K71" s="247"/>
      <c r="L71" s="247"/>
    </row>
    <row r="72" spans="1:12" s="20" customFormat="1" x14ac:dyDescent="0.25">
      <c r="A72" s="26"/>
      <c r="B72" s="21"/>
      <c r="C72" s="21"/>
      <c r="D72" s="22"/>
      <c r="F72" s="22"/>
      <c r="G72" s="27"/>
      <c r="H72" s="22"/>
      <c r="I72" s="27"/>
      <c r="J72" s="247"/>
      <c r="K72" s="247"/>
      <c r="L72" s="247"/>
    </row>
    <row r="73" spans="1:12" s="20" customFormat="1" x14ac:dyDescent="0.25">
      <c r="A73" s="26"/>
      <c r="B73" s="21"/>
      <c r="C73" s="21"/>
      <c r="D73" s="22"/>
      <c r="F73" s="22"/>
      <c r="G73" s="27"/>
      <c r="H73" s="22"/>
      <c r="I73" s="27"/>
      <c r="J73" s="247"/>
      <c r="K73" s="247"/>
      <c r="L73" s="247"/>
    </row>
    <row r="74" spans="1:12" s="20" customFormat="1" x14ac:dyDescent="0.25">
      <c r="A74" s="26"/>
      <c r="B74" s="21"/>
      <c r="C74" s="21"/>
      <c r="D74" s="22"/>
      <c r="F74" s="22"/>
      <c r="G74" s="27"/>
      <c r="H74" s="22"/>
      <c r="I74" s="27"/>
      <c r="J74" s="247"/>
      <c r="K74" s="247"/>
      <c r="L74" s="247"/>
    </row>
    <row r="75" spans="1:12" s="20" customFormat="1" x14ac:dyDescent="0.25">
      <c r="A75" s="26"/>
      <c r="B75" s="21"/>
      <c r="C75" s="21"/>
      <c r="D75" s="22"/>
      <c r="F75" s="22"/>
      <c r="G75" s="27"/>
      <c r="H75" s="22"/>
      <c r="I75" s="27"/>
      <c r="J75" s="247"/>
      <c r="K75" s="247"/>
      <c r="L75" s="247"/>
    </row>
    <row r="76" spans="1:12" s="20" customFormat="1" x14ac:dyDescent="0.25">
      <c r="A76" s="26"/>
      <c r="B76" s="21"/>
      <c r="C76" s="21"/>
      <c r="D76" s="22"/>
      <c r="F76" s="22"/>
      <c r="G76" s="27"/>
      <c r="H76" s="22"/>
      <c r="I76" s="27"/>
      <c r="J76" s="247"/>
      <c r="K76" s="247"/>
      <c r="L76" s="247"/>
    </row>
    <row r="77" spans="1:12" s="20" customFormat="1" x14ac:dyDescent="0.25">
      <c r="A77" s="26"/>
      <c r="B77" s="21"/>
      <c r="C77" s="21"/>
      <c r="D77" s="22"/>
      <c r="F77" s="22"/>
      <c r="G77" s="27"/>
      <c r="H77" s="22"/>
      <c r="I77" s="27"/>
      <c r="J77" s="247"/>
      <c r="K77" s="247"/>
      <c r="L77" s="247"/>
    </row>
    <row r="78" spans="1:12" s="20" customFormat="1" x14ac:dyDescent="0.25">
      <c r="A78" s="26"/>
      <c r="B78" s="21"/>
      <c r="C78" s="21"/>
      <c r="D78" s="22"/>
      <c r="F78" s="22"/>
      <c r="G78" s="27"/>
      <c r="H78" s="22"/>
      <c r="I78" s="27"/>
      <c r="J78" s="247"/>
      <c r="K78" s="247"/>
      <c r="L78" s="247"/>
    </row>
    <row r="79" spans="1:12" s="20" customFormat="1" x14ac:dyDescent="0.25">
      <c r="A79" s="26"/>
      <c r="B79" s="21"/>
      <c r="C79" s="21"/>
      <c r="D79" s="22"/>
      <c r="F79" s="22"/>
      <c r="G79" s="27"/>
      <c r="H79" s="22"/>
      <c r="I79" s="27"/>
      <c r="J79" s="247"/>
      <c r="K79" s="247"/>
      <c r="L79" s="247"/>
    </row>
    <row r="80" spans="1:12" s="20" customFormat="1" x14ac:dyDescent="0.25">
      <c r="A80" s="26"/>
      <c r="B80" s="21"/>
      <c r="C80" s="21"/>
      <c r="D80" s="22"/>
      <c r="F80" s="22"/>
      <c r="G80" s="27"/>
      <c r="H80" s="22"/>
      <c r="I80" s="27"/>
      <c r="J80" s="247"/>
      <c r="K80" s="247"/>
      <c r="L80" s="247"/>
    </row>
    <row r="81" spans="1:12" s="20" customFormat="1" x14ac:dyDescent="0.25">
      <c r="A81" s="26"/>
      <c r="B81" s="21"/>
      <c r="C81" s="21"/>
      <c r="D81" s="22"/>
      <c r="F81" s="22"/>
      <c r="G81" s="27"/>
      <c r="H81" s="22"/>
      <c r="I81" s="27"/>
      <c r="J81" s="247"/>
      <c r="K81" s="247"/>
      <c r="L81" s="247"/>
    </row>
    <row r="82" spans="1:12" s="20" customFormat="1" x14ac:dyDescent="0.25">
      <c r="A82" s="26"/>
      <c r="B82" s="21"/>
      <c r="C82" s="21"/>
      <c r="D82" s="22"/>
      <c r="F82" s="22"/>
      <c r="G82" s="27"/>
      <c r="H82" s="22"/>
      <c r="I82" s="27"/>
      <c r="J82" s="247"/>
      <c r="K82" s="247"/>
      <c r="L82" s="247"/>
    </row>
    <row r="83" spans="1:12" s="20" customFormat="1" x14ac:dyDescent="0.25">
      <c r="A83" s="26"/>
      <c r="B83" s="21"/>
      <c r="C83" s="21"/>
      <c r="D83" s="22"/>
      <c r="F83" s="22"/>
      <c r="G83" s="27"/>
      <c r="H83" s="22"/>
      <c r="I83" s="27"/>
      <c r="J83" s="247"/>
      <c r="K83" s="247"/>
      <c r="L83" s="247"/>
    </row>
    <row r="84" spans="1:12" s="20" customFormat="1" x14ac:dyDescent="0.25">
      <c r="A84" s="26"/>
      <c r="B84" s="21"/>
      <c r="C84" s="21"/>
      <c r="D84" s="22"/>
      <c r="F84" s="22"/>
      <c r="G84" s="27"/>
      <c r="H84" s="22"/>
      <c r="I84" s="27"/>
      <c r="J84" s="247"/>
      <c r="K84" s="247"/>
      <c r="L84" s="247"/>
    </row>
    <row r="85" spans="1:12" s="20" customFormat="1" x14ac:dyDescent="0.25">
      <c r="A85" s="26"/>
      <c r="B85" s="21"/>
      <c r="C85" s="21"/>
      <c r="D85" s="22"/>
      <c r="F85" s="22"/>
      <c r="G85" s="27"/>
      <c r="H85" s="22"/>
      <c r="I85" s="27"/>
      <c r="J85" s="247"/>
      <c r="K85" s="247"/>
      <c r="L85" s="247"/>
    </row>
    <row r="86" spans="1:12" s="20" customFormat="1" x14ac:dyDescent="0.25">
      <c r="A86" s="26"/>
      <c r="B86" s="21"/>
      <c r="C86" s="21"/>
      <c r="D86" s="22"/>
      <c r="F86" s="22"/>
      <c r="G86" s="27"/>
      <c r="H86" s="22"/>
      <c r="I86" s="27"/>
      <c r="J86" s="247"/>
      <c r="K86" s="247"/>
      <c r="L86" s="247"/>
    </row>
    <row r="87" spans="1:12" s="20" customFormat="1" x14ac:dyDescent="0.25">
      <c r="A87" s="26"/>
      <c r="B87" s="21"/>
      <c r="C87" s="21"/>
      <c r="D87" s="22"/>
      <c r="F87" s="22"/>
      <c r="G87" s="27"/>
      <c r="H87" s="22"/>
      <c r="I87" s="27"/>
      <c r="J87" s="247"/>
      <c r="K87" s="247"/>
      <c r="L87" s="247"/>
    </row>
    <row r="88" spans="1:12" s="20" customFormat="1" x14ac:dyDescent="0.25">
      <c r="A88" s="26"/>
      <c r="B88" s="21"/>
      <c r="C88" s="21"/>
      <c r="D88" s="22"/>
      <c r="F88" s="22"/>
      <c r="G88" s="27"/>
      <c r="H88" s="22"/>
      <c r="I88" s="27"/>
      <c r="J88" s="247"/>
      <c r="K88" s="247"/>
      <c r="L88" s="247"/>
    </row>
    <row r="89" spans="1:12" s="20" customFormat="1" x14ac:dyDescent="0.25">
      <c r="A89" s="26"/>
      <c r="B89" s="21"/>
      <c r="C89" s="21"/>
      <c r="D89" s="22"/>
      <c r="F89" s="22"/>
      <c r="G89" s="27"/>
      <c r="H89" s="22"/>
      <c r="I89" s="27"/>
      <c r="J89" s="247"/>
      <c r="K89" s="247"/>
      <c r="L89" s="247"/>
    </row>
    <row r="90" spans="1:12" s="20" customFormat="1" x14ac:dyDescent="0.25">
      <c r="A90" s="26"/>
      <c r="B90" s="21"/>
      <c r="C90" s="21"/>
      <c r="D90" s="22"/>
      <c r="F90" s="22"/>
      <c r="G90" s="27"/>
      <c r="H90" s="22"/>
      <c r="I90" s="27"/>
      <c r="J90" s="247"/>
      <c r="K90" s="247"/>
      <c r="L90" s="247"/>
    </row>
    <row r="91" spans="1:12" s="20" customFormat="1" x14ac:dyDescent="0.25">
      <c r="A91" s="26"/>
      <c r="B91" s="21"/>
      <c r="C91" s="21"/>
      <c r="D91" s="22"/>
      <c r="F91" s="22"/>
      <c r="G91" s="27"/>
      <c r="H91" s="22"/>
      <c r="I91" s="27"/>
      <c r="J91" s="247"/>
      <c r="K91" s="247"/>
      <c r="L91" s="247"/>
    </row>
    <row r="92" spans="1:12" s="20" customFormat="1" x14ac:dyDescent="0.25">
      <c r="A92" s="26"/>
      <c r="B92" s="21"/>
      <c r="C92" s="21"/>
      <c r="D92" s="22"/>
      <c r="F92" s="22"/>
      <c r="G92" s="27"/>
      <c r="H92" s="22"/>
      <c r="I92" s="27"/>
      <c r="J92" s="247"/>
      <c r="K92" s="247"/>
      <c r="L92" s="247"/>
    </row>
    <row r="93" spans="1:12" s="20" customFormat="1" x14ac:dyDescent="0.25">
      <c r="A93" s="26"/>
      <c r="B93" s="21"/>
      <c r="C93" s="21"/>
      <c r="D93" s="22"/>
      <c r="F93" s="22"/>
      <c r="G93" s="27"/>
      <c r="H93" s="22"/>
      <c r="I93" s="27"/>
      <c r="J93" s="247"/>
      <c r="K93" s="247"/>
      <c r="L93" s="247"/>
    </row>
    <row r="94" spans="1:12" s="20" customFormat="1" x14ac:dyDescent="0.25">
      <c r="A94" s="26"/>
      <c r="B94" s="21"/>
      <c r="C94" s="21"/>
      <c r="D94" s="22"/>
      <c r="F94" s="22"/>
      <c r="G94" s="27"/>
      <c r="H94" s="22"/>
      <c r="I94" s="27"/>
      <c r="J94" s="247"/>
      <c r="K94" s="247"/>
      <c r="L94" s="247"/>
    </row>
    <row r="95" spans="1:12" s="20" customFormat="1" x14ac:dyDescent="0.25">
      <c r="A95" s="26"/>
      <c r="B95" s="21"/>
      <c r="C95" s="21"/>
      <c r="D95" s="22"/>
      <c r="F95" s="22"/>
      <c r="G95" s="27"/>
      <c r="H95" s="22"/>
      <c r="I95" s="27"/>
      <c r="J95" s="247"/>
      <c r="K95" s="247"/>
      <c r="L95" s="247"/>
    </row>
    <row r="96" spans="1:12" s="20" customFormat="1" x14ac:dyDescent="0.25">
      <c r="A96" s="26"/>
      <c r="B96" s="21"/>
      <c r="C96" s="21"/>
      <c r="D96" s="22"/>
      <c r="F96" s="22"/>
      <c r="G96" s="27"/>
      <c r="H96" s="22"/>
      <c r="I96" s="27"/>
      <c r="J96" s="247"/>
      <c r="K96" s="247"/>
      <c r="L96" s="247"/>
    </row>
    <row r="97" spans="1:12" s="20" customFormat="1" x14ac:dyDescent="0.25">
      <c r="A97" s="26"/>
      <c r="B97" s="21"/>
      <c r="C97" s="21"/>
      <c r="D97" s="22"/>
      <c r="F97" s="22"/>
      <c r="G97" s="27"/>
      <c r="H97" s="22"/>
      <c r="I97" s="27"/>
      <c r="J97" s="247"/>
      <c r="K97" s="247"/>
      <c r="L97" s="247"/>
    </row>
    <row r="98" spans="1:12" s="20" customFormat="1" x14ac:dyDescent="0.25">
      <c r="A98" s="26"/>
      <c r="B98" s="21"/>
      <c r="C98" s="21"/>
      <c r="D98" s="22"/>
      <c r="F98" s="22"/>
      <c r="G98" s="27"/>
      <c r="H98" s="22"/>
      <c r="I98" s="27"/>
      <c r="J98" s="247"/>
      <c r="K98" s="247"/>
      <c r="L98" s="247"/>
    </row>
    <row r="99" spans="1:12" s="20" customFormat="1" x14ac:dyDescent="0.25">
      <c r="A99" s="26"/>
      <c r="B99" s="21"/>
      <c r="C99" s="21"/>
      <c r="D99" s="22"/>
      <c r="F99" s="22"/>
      <c r="G99" s="27"/>
      <c r="H99" s="22"/>
      <c r="I99" s="27"/>
      <c r="J99" s="247"/>
      <c r="K99" s="247"/>
      <c r="L99" s="247"/>
    </row>
    <row r="100" spans="1:12" s="20" customFormat="1" x14ac:dyDescent="0.25">
      <c r="A100" s="26"/>
      <c r="B100" s="21"/>
      <c r="C100" s="21"/>
      <c r="D100" s="22"/>
      <c r="F100" s="22"/>
      <c r="G100" s="27"/>
      <c r="H100" s="22"/>
      <c r="I100" s="27"/>
      <c r="J100" s="247"/>
      <c r="K100" s="247"/>
      <c r="L100" s="247"/>
    </row>
    <row r="101" spans="1:12" s="20" customFormat="1" x14ac:dyDescent="0.25">
      <c r="A101" s="26"/>
      <c r="B101" s="21"/>
      <c r="C101" s="21"/>
      <c r="D101" s="22"/>
      <c r="F101" s="22"/>
      <c r="G101" s="27"/>
      <c r="H101" s="22"/>
      <c r="I101" s="27"/>
      <c r="J101" s="247"/>
      <c r="K101" s="247"/>
      <c r="L101" s="247"/>
    </row>
    <row r="102" spans="1:12" s="20" customFormat="1" x14ac:dyDescent="0.25">
      <c r="A102" s="26"/>
      <c r="B102" s="21"/>
      <c r="C102" s="21"/>
      <c r="D102" s="22"/>
      <c r="F102" s="22"/>
      <c r="G102" s="27"/>
      <c r="H102" s="22"/>
      <c r="I102" s="27"/>
      <c r="J102" s="247"/>
      <c r="K102" s="247"/>
      <c r="L102" s="247"/>
    </row>
    <row r="103" spans="1:12" s="20" customFormat="1" x14ac:dyDescent="0.25">
      <c r="A103" s="26"/>
      <c r="B103" s="21"/>
      <c r="C103" s="21"/>
      <c r="D103" s="22"/>
      <c r="F103" s="22"/>
      <c r="G103" s="27"/>
      <c r="H103" s="22"/>
      <c r="I103" s="27"/>
      <c r="J103" s="247"/>
      <c r="K103" s="247"/>
      <c r="L103" s="247"/>
    </row>
    <row r="104" spans="1:12" s="20" customFormat="1" x14ac:dyDescent="0.25">
      <c r="A104" s="26"/>
      <c r="B104" s="21"/>
      <c r="C104" s="21"/>
      <c r="D104" s="22"/>
      <c r="F104" s="22"/>
      <c r="G104" s="27"/>
      <c r="H104" s="22"/>
      <c r="I104" s="27"/>
      <c r="J104" s="247"/>
      <c r="K104" s="247"/>
      <c r="L104" s="247"/>
    </row>
    <row r="105" spans="1:12" s="20" customFormat="1" x14ac:dyDescent="0.25">
      <c r="A105" s="26"/>
      <c r="B105" s="21"/>
      <c r="C105" s="21"/>
      <c r="D105" s="22"/>
      <c r="F105" s="22"/>
      <c r="G105" s="27"/>
      <c r="H105" s="22"/>
      <c r="I105" s="27"/>
      <c r="J105" s="247"/>
      <c r="K105" s="247"/>
      <c r="L105" s="247"/>
    </row>
    <row r="106" spans="1:12" s="20" customFormat="1" x14ac:dyDescent="0.25">
      <c r="A106" s="26"/>
      <c r="B106" s="21"/>
      <c r="C106" s="21"/>
      <c r="D106" s="22"/>
      <c r="F106" s="22"/>
      <c r="G106" s="27"/>
      <c r="H106" s="22"/>
      <c r="I106" s="27"/>
      <c r="J106" s="247"/>
      <c r="K106" s="247"/>
      <c r="L106" s="247"/>
    </row>
    <row r="107" spans="1:12" s="20" customFormat="1" x14ac:dyDescent="0.25">
      <c r="A107" s="26"/>
      <c r="B107" s="21"/>
      <c r="C107" s="21"/>
      <c r="D107" s="22"/>
      <c r="F107" s="22"/>
      <c r="G107" s="27"/>
      <c r="H107" s="22"/>
      <c r="I107" s="27"/>
      <c r="J107" s="247"/>
      <c r="K107" s="247"/>
      <c r="L107" s="247"/>
    </row>
    <row r="108" spans="1:12" s="20" customFormat="1" x14ac:dyDescent="0.25">
      <c r="A108" s="26"/>
      <c r="B108" s="21"/>
      <c r="C108" s="21"/>
      <c r="D108" s="22"/>
      <c r="F108" s="22"/>
      <c r="G108" s="27"/>
      <c r="H108" s="22"/>
      <c r="I108" s="27"/>
      <c r="J108" s="247"/>
      <c r="K108" s="247"/>
      <c r="L108" s="247"/>
    </row>
    <row r="109" spans="1:12" s="20" customFormat="1" x14ac:dyDescent="0.25">
      <c r="A109" s="26"/>
      <c r="B109" s="21"/>
      <c r="C109" s="21"/>
      <c r="D109" s="22"/>
      <c r="F109" s="22"/>
      <c r="G109" s="27"/>
      <c r="H109" s="22"/>
      <c r="I109" s="27"/>
      <c r="J109" s="247"/>
      <c r="K109" s="247"/>
      <c r="L109" s="247"/>
    </row>
    <row r="110" spans="1:12" s="20" customFormat="1" x14ac:dyDescent="0.25">
      <c r="A110" s="26"/>
      <c r="B110" s="21"/>
      <c r="C110" s="21"/>
      <c r="D110" s="22"/>
      <c r="F110" s="22"/>
      <c r="G110" s="27"/>
      <c r="H110" s="22"/>
      <c r="I110" s="27"/>
      <c r="J110" s="247"/>
      <c r="K110" s="247"/>
      <c r="L110" s="247"/>
    </row>
    <row r="111" spans="1:12" s="20" customFormat="1" x14ac:dyDescent="0.25">
      <c r="A111" s="26"/>
      <c r="B111" s="21"/>
      <c r="C111" s="21"/>
      <c r="D111" s="22"/>
      <c r="F111" s="22"/>
      <c r="G111" s="27"/>
      <c r="H111" s="22"/>
      <c r="I111" s="27"/>
      <c r="J111" s="247"/>
      <c r="K111" s="247"/>
      <c r="L111" s="247"/>
    </row>
    <row r="112" spans="1:12" s="20" customFormat="1" x14ac:dyDescent="0.25">
      <c r="A112" s="26"/>
      <c r="B112" s="21"/>
      <c r="C112" s="21"/>
      <c r="D112" s="22"/>
      <c r="F112" s="22"/>
      <c r="G112" s="27"/>
      <c r="H112" s="22"/>
      <c r="I112" s="27"/>
      <c r="J112" s="247"/>
      <c r="K112" s="247"/>
      <c r="L112" s="247"/>
    </row>
    <row r="113" spans="1:12" s="20" customFormat="1" x14ac:dyDescent="0.25">
      <c r="A113" s="26"/>
      <c r="B113" s="21"/>
      <c r="C113" s="21"/>
      <c r="D113" s="22"/>
      <c r="F113" s="22"/>
      <c r="G113" s="27"/>
      <c r="H113" s="22"/>
      <c r="I113" s="27"/>
      <c r="J113" s="247"/>
      <c r="K113" s="247"/>
      <c r="L113" s="247"/>
    </row>
    <row r="114" spans="1:12" s="20" customFormat="1" x14ac:dyDescent="0.25">
      <c r="A114" s="26"/>
      <c r="B114" s="21"/>
      <c r="C114" s="21"/>
      <c r="D114" s="22"/>
      <c r="F114" s="22"/>
      <c r="G114" s="27"/>
      <c r="H114" s="22"/>
      <c r="I114" s="27"/>
      <c r="J114" s="247"/>
      <c r="K114" s="247"/>
      <c r="L114" s="247"/>
    </row>
    <row r="115" spans="1:12" s="20" customFormat="1" x14ac:dyDescent="0.25">
      <c r="A115" s="26"/>
      <c r="B115" s="21"/>
      <c r="C115" s="21"/>
      <c r="D115" s="22"/>
      <c r="F115" s="22"/>
      <c r="G115" s="27"/>
      <c r="H115" s="22"/>
      <c r="I115" s="27"/>
      <c r="J115" s="247"/>
      <c r="K115" s="247"/>
      <c r="L115" s="247"/>
    </row>
    <row r="116" spans="1:12" s="20" customFormat="1" x14ac:dyDescent="0.25">
      <c r="A116" s="26"/>
      <c r="B116" s="21"/>
      <c r="C116" s="21"/>
      <c r="D116" s="22"/>
      <c r="F116" s="22"/>
      <c r="G116" s="27"/>
      <c r="H116" s="22"/>
      <c r="I116" s="27"/>
      <c r="J116" s="247"/>
      <c r="K116" s="247"/>
      <c r="L116" s="247"/>
    </row>
    <row r="117" spans="1:12" s="20" customFormat="1" x14ac:dyDescent="0.25">
      <c r="A117" s="26"/>
      <c r="B117" s="21"/>
      <c r="C117" s="21"/>
      <c r="D117" s="22"/>
      <c r="F117" s="22"/>
      <c r="G117" s="27"/>
      <c r="H117" s="22"/>
      <c r="I117" s="27"/>
      <c r="J117" s="247"/>
      <c r="K117" s="247"/>
      <c r="L117" s="247"/>
    </row>
    <row r="118" spans="1:12" s="20" customFormat="1" x14ac:dyDescent="0.25">
      <c r="A118" s="26"/>
      <c r="B118" s="21"/>
      <c r="C118" s="21"/>
      <c r="D118" s="22"/>
      <c r="F118" s="22"/>
      <c r="G118" s="27"/>
      <c r="H118" s="22"/>
      <c r="I118" s="27"/>
      <c r="J118" s="247"/>
      <c r="K118" s="247"/>
      <c r="L118" s="247"/>
    </row>
    <row r="119" spans="1:12" s="20" customFormat="1" x14ac:dyDescent="0.25">
      <c r="A119" s="26"/>
      <c r="B119" s="21"/>
      <c r="C119" s="21"/>
      <c r="D119" s="22"/>
      <c r="F119" s="22"/>
      <c r="G119" s="27"/>
      <c r="H119" s="22"/>
      <c r="I119" s="27"/>
      <c r="J119" s="247"/>
      <c r="K119" s="247"/>
      <c r="L119" s="247"/>
    </row>
    <row r="120" spans="1:12" s="20" customFormat="1" x14ac:dyDescent="0.25">
      <c r="A120" s="26"/>
      <c r="B120" s="21"/>
      <c r="C120" s="21"/>
      <c r="D120" s="22"/>
      <c r="F120" s="22"/>
      <c r="G120" s="27"/>
      <c r="H120" s="22"/>
      <c r="I120" s="27"/>
      <c r="J120" s="247"/>
      <c r="K120" s="247"/>
      <c r="L120" s="247"/>
    </row>
    <row r="121" spans="1:12" s="20" customFormat="1" x14ac:dyDescent="0.25">
      <c r="A121" s="26"/>
      <c r="B121" s="21"/>
      <c r="C121" s="21"/>
      <c r="D121" s="22"/>
      <c r="F121" s="22"/>
      <c r="G121" s="27"/>
      <c r="H121" s="22"/>
      <c r="I121" s="27"/>
      <c r="J121" s="247"/>
      <c r="K121" s="247"/>
      <c r="L121" s="247"/>
    </row>
    <row r="122" spans="1:12" s="20" customFormat="1" x14ac:dyDescent="0.25">
      <c r="A122" s="26"/>
      <c r="B122" s="21"/>
      <c r="C122" s="21"/>
      <c r="D122" s="22"/>
      <c r="F122" s="22"/>
      <c r="G122" s="27"/>
      <c r="H122" s="22"/>
      <c r="I122" s="27"/>
      <c r="J122" s="247"/>
      <c r="K122" s="247"/>
      <c r="L122" s="247"/>
    </row>
    <row r="123" spans="1:12" s="20" customFormat="1" x14ac:dyDescent="0.25">
      <c r="A123" s="26"/>
      <c r="B123" s="21"/>
      <c r="C123" s="21"/>
      <c r="D123" s="22"/>
      <c r="F123" s="22"/>
      <c r="G123" s="27"/>
      <c r="H123" s="22"/>
      <c r="I123" s="27"/>
      <c r="J123" s="247"/>
      <c r="K123" s="247"/>
      <c r="L123" s="247"/>
    </row>
    <row r="124" spans="1:12" s="20" customFormat="1" x14ac:dyDescent="0.25">
      <c r="A124" s="26"/>
      <c r="B124" s="21"/>
      <c r="C124" s="21"/>
      <c r="D124" s="22"/>
      <c r="F124" s="22"/>
      <c r="G124" s="27"/>
      <c r="H124" s="22"/>
      <c r="I124" s="27"/>
      <c r="J124" s="247"/>
      <c r="K124" s="247"/>
      <c r="L124" s="247"/>
    </row>
    <row r="125" spans="1:12" s="20" customFormat="1" x14ac:dyDescent="0.25">
      <c r="A125" s="26"/>
      <c r="B125" s="21"/>
      <c r="C125" s="21"/>
      <c r="D125" s="22"/>
      <c r="F125" s="22"/>
      <c r="G125" s="27"/>
      <c r="H125" s="22"/>
      <c r="I125" s="27"/>
      <c r="J125" s="247"/>
      <c r="K125" s="247"/>
      <c r="L125" s="247"/>
    </row>
    <row r="126" spans="1:12" s="20" customFormat="1" x14ac:dyDescent="0.25">
      <c r="A126" s="26"/>
      <c r="B126" s="21"/>
      <c r="C126" s="21"/>
      <c r="D126" s="22"/>
      <c r="F126" s="22"/>
      <c r="G126" s="27"/>
      <c r="H126" s="22"/>
      <c r="I126" s="27"/>
      <c r="J126" s="247"/>
      <c r="K126" s="247"/>
      <c r="L126" s="247"/>
    </row>
    <row r="127" spans="1:12" s="20" customFormat="1" x14ac:dyDescent="0.25">
      <c r="A127" s="26"/>
      <c r="B127" s="21"/>
      <c r="C127" s="21"/>
      <c r="D127" s="22"/>
      <c r="F127" s="22"/>
      <c r="G127" s="27"/>
      <c r="H127" s="22"/>
      <c r="I127" s="27"/>
      <c r="J127" s="247"/>
      <c r="K127" s="247"/>
      <c r="L127" s="247"/>
    </row>
    <row r="128" spans="1:12" s="20" customFormat="1" x14ac:dyDescent="0.25">
      <c r="A128" s="26"/>
      <c r="B128" s="21"/>
      <c r="C128" s="21"/>
      <c r="D128" s="22"/>
      <c r="F128" s="22"/>
      <c r="G128" s="27"/>
      <c r="H128" s="22"/>
      <c r="I128" s="27"/>
      <c r="J128" s="247"/>
      <c r="K128" s="247"/>
      <c r="L128" s="247"/>
    </row>
    <row r="129" spans="1:12" s="20" customFormat="1" x14ac:dyDescent="0.25">
      <c r="A129" s="26"/>
      <c r="B129" s="21"/>
      <c r="C129" s="21"/>
      <c r="D129" s="22"/>
      <c r="F129" s="22"/>
      <c r="G129" s="27"/>
      <c r="H129" s="22"/>
      <c r="I129" s="27"/>
      <c r="J129" s="247"/>
      <c r="K129" s="247"/>
      <c r="L129" s="247"/>
    </row>
    <row r="130" spans="1:12" s="20" customFormat="1" x14ac:dyDescent="0.25">
      <c r="A130" s="26"/>
      <c r="B130" s="21"/>
      <c r="C130" s="21"/>
      <c r="D130" s="22"/>
      <c r="F130" s="22"/>
      <c r="G130" s="27"/>
      <c r="H130" s="22"/>
      <c r="I130" s="27"/>
      <c r="J130" s="247"/>
      <c r="K130" s="247"/>
      <c r="L130" s="247"/>
    </row>
    <row r="131" spans="1:12" s="20" customFormat="1" x14ac:dyDescent="0.25">
      <c r="A131" s="26"/>
      <c r="B131" s="21"/>
      <c r="C131" s="21"/>
      <c r="D131" s="22"/>
      <c r="F131" s="22"/>
      <c r="G131" s="27"/>
      <c r="H131" s="22"/>
      <c r="I131" s="27"/>
      <c r="J131" s="247"/>
      <c r="K131" s="247"/>
      <c r="L131" s="247"/>
    </row>
    <row r="132" spans="1:12" s="20" customFormat="1" x14ac:dyDescent="0.25">
      <c r="A132" s="26"/>
      <c r="B132" s="21"/>
      <c r="C132" s="21"/>
      <c r="D132" s="22"/>
      <c r="F132" s="22"/>
      <c r="G132" s="27"/>
      <c r="H132" s="22"/>
      <c r="I132" s="27"/>
      <c r="J132" s="247"/>
      <c r="K132" s="247"/>
      <c r="L132" s="247"/>
    </row>
    <row r="133" spans="1:12" s="20" customFormat="1" x14ac:dyDescent="0.25">
      <c r="A133" s="26"/>
      <c r="B133" s="21"/>
      <c r="C133" s="21"/>
      <c r="D133" s="22"/>
      <c r="F133" s="22"/>
      <c r="G133" s="27"/>
      <c r="H133" s="22"/>
      <c r="I133" s="27"/>
      <c r="J133" s="247"/>
      <c r="K133" s="247"/>
      <c r="L133" s="247"/>
    </row>
    <row r="134" spans="1:12" s="20" customFormat="1" x14ac:dyDescent="0.25">
      <c r="A134" s="26"/>
      <c r="B134" s="21"/>
      <c r="C134" s="21"/>
      <c r="D134" s="22"/>
      <c r="F134" s="22"/>
      <c r="G134" s="27"/>
      <c r="H134" s="22"/>
      <c r="I134" s="27"/>
      <c r="J134" s="247"/>
      <c r="K134" s="247"/>
      <c r="L134" s="247"/>
    </row>
    <row r="135" spans="1:12" s="20" customFormat="1" x14ac:dyDescent="0.25">
      <c r="A135" s="26"/>
      <c r="B135" s="21"/>
      <c r="C135" s="21"/>
      <c r="D135" s="22"/>
      <c r="F135" s="22"/>
      <c r="G135" s="27"/>
      <c r="H135" s="22"/>
      <c r="I135" s="27"/>
      <c r="J135" s="247"/>
      <c r="K135" s="247"/>
      <c r="L135" s="247"/>
    </row>
    <row r="136" spans="1:12" s="20" customFormat="1" x14ac:dyDescent="0.25">
      <c r="A136" s="26"/>
      <c r="B136" s="21"/>
      <c r="C136" s="21"/>
      <c r="D136" s="22"/>
      <c r="F136" s="22"/>
      <c r="G136" s="27"/>
      <c r="H136" s="22"/>
      <c r="I136" s="27"/>
      <c r="J136" s="247"/>
      <c r="K136" s="247"/>
      <c r="L136" s="247"/>
    </row>
    <row r="137" spans="1:12" s="20" customFormat="1" x14ac:dyDescent="0.25">
      <c r="A137" s="26"/>
      <c r="B137" s="21"/>
      <c r="C137" s="21"/>
      <c r="D137" s="22"/>
      <c r="F137" s="22"/>
      <c r="G137" s="27"/>
      <c r="H137" s="22"/>
      <c r="I137" s="27"/>
      <c r="J137" s="247"/>
      <c r="K137" s="247"/>
      <c r="L137" s="247"/>
    </row>
    <row r="138" spans="1:12" s="20" customFormat="1" x14ac:dyDescent="0.25">
      <c r="A138" s="26"/>
      <c r="B138" s="21"/>
      <c r="C138" s="21"/>
      <c r="D138" s="22"/>
      <c r="F138" s="22"/>
      <c r="G138" s="27"/>
      <c r="H138" s="22"/>
      <c r="I138" s="27"/>
      <c r="J138" s="247"/>
      <c r="K138" s="247"/>
      <c r="L138" s="247"/>
    </row>
    <row r="139" spans="1:12" s="20" customFormat="1" x14ac:dyDescent="0.25">
      <c r="A139" s="26"/>
      <c r="B139" s="21"/>
      <c r="C139" s="21"/>
      <c r="D139" s="22"/>
      <c r="F139" s="22"/>
      <c r="G139" s="27"/>
      <c r="H139" s="22"/>
      <c r="I139" s="27"/>
      <c r="J139" s="247"/>
      <c r="K139" s="247"/>
      <c r="L139" s="247"/>
    </row>
    <row r="140" spans="1:12" s="20" customFormat="1" x14ac:dyDescent="0.25">
      <c r="A140" s="26"/>
      <c r="B140" s="21"/>
      <c r="C140" s="21"/>
      <c r="D140" s="22"/>
      <c r="F140" s="22"/>
      <c r="G140" s="27"/>
      <c r="H140" s="22"/>
      <c r="I140" s="27"/>
      <c r="J140" s="247"/>
      <c r="K140" s="247"/>
      <c r="L140" s="247"/>
    </row>
    <row r="141" spans="1:12" s="20" customFormat="1" x14ac:dyDescent="0.25">
      <c r="A141" s="26"/>
      <c r="B141" s="21"/>
      <c r="C141" s="21"/>
      <c r="D141" s="22"/>
      <c r="F141" s="22"/>
      <c r="G141" s="27"/>
      <c r="H141" s="22"/>
      <c r="I141" s="27"/>
      <c r="J141" s="247"/>
      <c r="K141" s="247"/>
      <c r="L141" s="247"/>
    </row>
    <row r="142" spans="1:12" s="20" customFormat="1" x14ac:dyDescent="0.25">
      <c r="A142" s="26"/>
      <c r="B142" s="21"/>
      <c r="C142" s="21"/>
      <c r="D142" s="22"/>
      <c r="F142" s="22"/>
      <c r="G142" s="27"/>
      <c r="H142" s="22"/>
      <c r="I142" s="27"/>
      <c r="J142" s="247"/>
      <c r="K142" s="247"/>
      <c r="L142" s="247"/>
    </row>
    <row r="143" spans="1:12" s="20" customFormat="1" x14ac:dyDescent="0.25">
      <c r="A143" s="26"/>
      <c r="B143" s="21"/>
      <c r="C143" s="21"/>
      <c r="D143" s="22"/>
      <c r="F143" s="22"/>
      <c r="G143" s="27"/>
      <c r="H143" s="22"/>
      <c r="I143" s="27"/>
      <c r="J143" s="247"/>
      <c r="K143" s="247"/>
      <c r="L143" s="247"/>
    </row>
    <row r="144" spans="1:12" s="20" customFormat="1" x14ac:dyDescent="0.25">
      <c r="A144" s="26"/>
      <c r="B144" s="21"/>
      <c r="C144" s="21"/>
      <c r="D144" s="22"/>
      <c r="F144" s="22"/>
      <c r="G144" s="27"/>
      <c r="H144" s="22"/>
      <c r="I144" s="27"/>
      <c r="J144" s="247"/>
      <c r="K144" s="247"/>
      <c r="L144" s="247"/>
    </row>
    <row r="145" spans="1:12" s="20" customFormat="1" x14ac:dyDescent="0.25">
      <c r="A145" s="26"/>
      <c r="B145" s="21"/>
      <c r="C145" s="21"/>
      <c r="D145" s="22"/>
      <c r="F145" s="22"/>
      <c r="G145" s="27"/>
      <c r="H145" s="22"/>
      <c r="I145" s="27"/>
      <c r="J145" s="247"/>
      <c r="K145" s="247"/>
      <c r="L145" s="247"/>
    </row>
    <row r="146" spans="1:12" s="20" customFormat="1" x14ac:dyDescent="0.25">
      <c r="A146" s="26"/>
      <c r="B146" s="21"/>
      <c r="C146" s="21"/>
      <c r="D146" s="22"/>
      <c r="F146" s="22"/>
      <c r="G146" s="27"/>
      <c r="H146" s="22"/>
      <c r="I146" s="27"/>
      <c r="J146" s="247"/>
      <c r="K146" s="247"/>
      <c r="L146" s="247"/>
    </row>
    <row r="147" spans="1:12" s="20" customFormat="1" x14ac:dyDescent="0.25">
      <c r="A147" s="26"/>
      <c r="B147" s="21"/>
      <c r="C147" s="21"/>
      <c r="D147" s="22"/>
      <c r="F147" s="22"/>
      <c r="G147" s="27"/>
      <c r="H147" s="22"/>
      <c r="I147" s="27"/>
      <c r="J147" s="247"/>
      <c r="K147" s="247"/>
      <c r="L147" s="247"/>
    </row>
    <row r="148" spans="1:12" s="20" customFormat="1" x14ac:dyDescent="0.25">
      <c r="A148" s="26"/>
      <c r="B148" s="21"/>
      <c r="C148" s="21"/>
      <c r="D148" s="22"/>
      <c r="F148" s="22"/>
      <c r="G148" s="27"/>
      <c r="H148" s="22"/>
      <c r="I148" s="27"/>
      <c r="J148" s="247"/>
      <c r="K148" s="247"/>
      <c r="L148" s="247"/>
    </row>
    <row r="149" spans="1:12" s="20" customFormat="1" x14ac:dyDescent="0.25">
      <c r="A149" s="26"/>
      <c r="B149" s="21"/>
      <c r="C149" s="21"/>
      <c r="D149" s="22"/>
      <c r="F149" s="22"/>
      <c r="G149" s="27"/>
      <c r="H149" s="22"/>
      <c r="I149" s="27"/>
      <c r="J149" s="247"/>
      <c r="K149" s="247"/>
      <c r="L149" s="247"/>
    </row>
    <row r="150" spans="1:12" s="20" customFormat="1" x14ac:dyDescent="0.25">
      <c r="A150" s="26"/>
      <c r="B150" s="21"/>
      <c r="C150" s="21"/>
      <c r="D150" s="22"/>
      <c r="F150" s="22"/>
      <c r="G150" s="27"/>
      <c r="H150" s="22"/>
      <c r="I150" s="27"/>
      <c r="J150" s="247"/>
      <c r="K150" s="247"/>
      <c r="L150" s="247"/>
    </row>
    <row r="151" spans="1:12" s="20" customFormat="1" x14ac:dyDescent="0.25">
      <c r="A151" s="26"/>
      <c r="B151" s="21"/>
      <c r="C151" s="21"/>
      <c r="D151" s="22"/>
      <c r="F151" s="22"/>
      <c r="G151" s="27"/>
      <c r="H151" s="22"/>
      <c r="I151" s="27"/>
      <c r="J151" s="247"/>
      <c r="K151" s="247"/>
      <c r="L151" s="247"/>
    </row>
    <row r="152" spans="1:12" s="20" customFormat="1" x14ac:dyDescent="0.25">
      <c r="A152" s="26"/>
      <c r="B152" s="21"/>
      <c r="C152" s="21"/>
      <c r="D152" s="22"/>
      <c r="F152" s="22"/>
      <c r="G152" s="27"/>
      <c r="H152" s="22"/>
      <c r="I152" s="27"/>
      <c r="J152" s="247"/>
      <c r="K152" s="247"/>
      <c r="L152" s="247"/>
    </row>
    <row r="153" spans="1:12" s="20" customFormat="1" x14ac:dyDescent="0.25">
      <c r="A153" s="26"/>
      <c r="B153" s="21"/>
      <c r="C153" s="21"/>
      <c r="D153" s="22"/>
      <c r="F153" s="22"/>
      <c r="G153" s="27"/>
      <c r="H153" s="22"/>
      <c r="I153" s="27"/>
      <c r="J153" s="247"/>
      <c r="K153" s="247"/>
      <c r="L153" s="247"/>
    </row>
    <row r="154" spans="1:12" s="20" customFormat="1" x14ac:dyDescent="0.25">
      <c r="A154" s="26"/>
      <c r="B154" s="21"/>
      <c r="C154" s="21"/>
      <c r="D154" s="22"/>
      <c r="F154" s="22"/>
      <c r="G154" s="27"/>
      <c r="H154" s="22"/>
      <c r="I154" s="27"/>
      <c r="J154" s="247"/>
      <c r="K154" s="247"/>
      <c r="L154" s="247"/>
    </row>
    <row r="155" spans="1:12" s="20" customFormat="1" x14ac:dyDescent="0.25">
      <c r="A155" s="26"/>
      <c r="B155" s="21"/>
      <c r="C155" s="21"/>
      <c r="D155" s="22"/>
      <c r="F155" s="22"/>
      <c r="G155" s="27"/>
      <c r="H155" s="22"/>
      <c r="I155" s="27"/>
      <c r="J155" s="247"/>
      <c r="K155" s="247"/>
      <c r="L155" s="247"/>
    </row>
    <row r="156" spans="1:12" s="20" customFormat="1" x14ac:dyDescent="0.25">
      <c r="A156" s="26"/>
      <c r="B156" s="21"/>
      <c r="C156" s="21"/>
      <c r="D156" s="22"/>
      <c r="F156" s="22"/>
      <c r="G156" s="27"/>
      <c r="H156" s="22"/>
      <c r="I156" s="27"/>
      <c r="J156" s="247"/>
      <c r="K156" s="247"/>
      <c r="L156" s="247"/>
    </row>
    <row r="157" spans="1:12" s="20" customFormat="1" x14ac:dyDescent="0.25">
      <c r="A157" s="26"/>
      <c r="B157" s="21"/>
      <c r="C157" s="21"/>
      <c r="D157" s="22"/>
      <c r="F157" s="22"/>
      <c r="G157" s="27"/>
      <c r="H157" s="22"/>
      <c r="I157" s="27"/>
      <c r="J157" s="247"/>
      <c r="K157" s="247"/>
      <c r="L157" s="247"/>
    </row>
    <row r="158" spans="1:12" s="20" customFormat="1" x14ac:dyDescent="0.25">
      <c r="A158" s="26"/>
      <c r="B158" s="21"/>
      <c r="C158" s="21"/>
      <c r="D158" s="22"/>
      <c r="F158" s="22"/>
      <c r="G158" s="27"/>
      <c r="H158" s="22"/>
      <c r="I158" s="27"/>
      <c r="J158" s="247"/>
      <c r="K158" s="247"/>
      <c r="L158" s="247"/>
    </row>
    <row r="159" spans="1:12" s="20" customFormat="1" x14ac:dyDescent="0.25">
      <c r="A159" s="26"/>
      <c r="B159" s="21"/>
      <c r="C159" s="21"/>
      <c r="D159" s="22"/>
      <c r="F159" s="22"/>
      <c r="G159" s="27"/>
      <c r="H159" s="22"/>
      <c r="I159" s="27"/>
      <c r="J159" s="247"/>
      <c r="K159" s="247"/>
      <c r="L159" s="247"/>
    </row>
    <row r="160" spans="1:12" s="20" customFormat="1" x14ac:dyDescent="0.25">
      <c r="A160" s="26"/>
      <c r="B160" s="21"/>
      <c r="C160" s="21"/>
      <c r="D160" s="22"/>
      <c r="F160" s="22"/>
      <c r="G160" s="27"/>
      <c r="H160" s="22"/>
      <c r="I160" s="27"/>
      <c r="J160" s="247"/>
      <c r="K160" s="247"/>
      <c r="L160" s="247"/>
    </row>
    <row r="161" spans="1:12" s="20" customFormat="1" x14ac:dyDescent="0.25">
      <c r="A161" s="26"/>
      <c r="B161" s="21"/>
      <c r="C161" s="21"/>
      <c r="D161" s="22"/>
      <c r="F161" s="22"/>
      <c r="G161" s="27"/>
      <c r="H161" s="22"/>
      <c r="I161" s="27"/>
      <c r="J161" s="247"/>
      <c r="K161" s="247"/>
      <c r="L161" s="247"/>
    </row>
    <row r="162" spans="1:12" s="20" customFormat="1" x14ac:dyDescent="0.25">
      <c r="A162" s="26"/>
      <c r="B162" s="21"/>
      <c r="C162" s="21"/>
      <c r="D162" s="22"/>
      <c r="F162" s="22"/>
      <c r="G162" s="27"/>
      <c r="H162" s="22"/>
      <c r="I162" s="27"/>
      <c r="J162" s="247"/>
      <c r="K162" s="247"/>
      <c r="L162" s="247"/>
    </row>
    <row r="163" spans="1:12" s="20" customFormat="1" x14ac:dyDescent="0.25">
      <c r="A163" s="26"/>
      <c r="B163" s="21"/>
      <c r="C163" s="21"/>
      <c r="D163" s="22"/>
      <c r="F163" s="22"/>
      <c r="G163" s="27"/>
      <c r="H163" s="22"/>
      <c r="I163" s="27"/>
      <c r="J163" s="247"/>
      <c r="K163" s="247"/>
      <c r="L163" s="247"/>
    </row>
    <row r="164" spans="1:12" s="20" customFormat="1" x14ac:dyDescent="0.25">
      <c r="A164" s="26"/>
      <c r="B164" s="21"/>
      <c r="C164" s="21"/>
      <c r="D164" s="22"/>
      <c r="F164" s="22"/>
      <c r="G164" s="27"/>
      <c r="H164" s="22"/>
      <c r="I164" s="27"/>
      <c r="J164" s="247"/>
      <c r="K164" s="247"/>
      <c r="L164" s="247"/>
    </row>
    <row r="165" spans="1:12" s="20" customFormat="1" x14ac:dyDescent="0.25">
      <c r="A165" s="26"/>
      <c r="B165" s="21"/>
      <c r="C165" s="21"/>
      <c r="D165" s="22"/>
      <c r="F165" s="22"/>
      <c r="G165" s="27"/>
      <c r="H165" s="22"/>
      <c r="I165" s="27"/>
      <c r="J165" s="247"/>
      <c r="K165" s="247"/>
      <c r="L165" s="247"/>
    </row>
    <row r="166" spans="1:12" s="20" customFormat="1" x14ac:dyDescent="0.25">
      <c r="A166" s="26"/>
      <c r="B166" s="21"/>
      <c r="C166" s="21"/>
      <c r="D166" s="22"/>
      <c r="F166" s="22"/>
      <c r="G166" s="27"/>
      <c r="H166" s="22"/>
      <c r="I166" s="27"/>
      <c r="J166" s="247"/>
      <c r="K166" s="247"/>
      <c r="L166" s="247"/>
    </row>
    <row r="167" spans="1:12" s="20" customFormat="1" x14ac:dyDescent="0.25">
      <c r="A167" s="26"/>
      <c r="B167" s="21"/>
      <c r="C167" s="21"/>
      <c r="D167" s="22"/>
      <c r="F167" s="22"/>
      <c r="G167" s="27"/>
      <c r="H167" s="22"/>
      <c r="I167" s="27"/>
      <c r="J167" s="247"/>
      <c r="K167" s="247"/>
      <c r="L167" s="247"/>
    </row>
    <row r="168" spans="1:12" s="20" customFormat="1" x14ac:dyDescent="0.25">
      <c r="A168" s="26"/>
      <c r="B168" s="21"/>
      <c r="C168" s="21"/>
      <c r="D168" s="22"/>
      <c r="F168" s="22"/>
      <c r="G168" s="27"/>
      <c r="H168" s="22"/>
      <c r="I168" s="27"/>
      <c r="J168" s="247"/>
      <c r="K168" s="247"/>
      <c r="L168" s="247"/>
    </row>
    <row r="169" spans="1:12" s="20" customFormat="1" x14ac:dyDescent="0.25">
      <c r="A169" s="26"/>
      <c r="B169" s="21"/>
      <c r="C169" s="21"/>
      <c r="D169" s="22"/>
      <c r="F169" s="22"/>
      <c r="G169" s="27"/>
      <c r="H169" s="22"/>
      <c r="I169" s="27"/>
      <c r="J169" s="247"/>
      <c r="K169" s="247"/>
      <c r="L169" s="247"/>
    </row>
    <row r="170" spans="1:12" s="20" customFormat="1" x14ac:dyDescent="0.25">
      <c r="A170" s="26"/>
      <c r="B170" s="21"/>
      <c r="C170" s="21"/>
      <c r="D170" s="22"/>
      <c r="F170" s="22"/>
      <c r="G170" s="27"/>
      <c r="H170" s="22"/>
      <c r="I170" s="27"/>
      <c r="J170" s="247"/>
      <c r="K170" s="247"/>
      <c r="L170" s="247"/>
    </row>
    <row r="171" spans="1:12" s="20" customFormat="1" x14ac:dyDescent="0.25">
      <c r="A171" s="26"/>
      <c r="B171" s="21"/>
      <c r="C171" s="21"/>
      <c r="D171" s="22"/>
      <c r="F171" s="22"/>
      <c r="G171" s="27"/>
      <c r="H171" s="22"/>
      <c r="I171" s="27"/>
      <c r="J171" s="247"/>
      <c r="K171" s="247"/>
      <c r="L171" s="247"/>
    </row>
    <row r="172" spans="1:12" s="20" customFormat="1" x14ac:dyDescent="0.25">
      <c r="A172" s="26"/>
      <c r="B172" s="21"/>
      <c r="C172" s="21"/>
      <c r="D172" s="22"/>
      <c r="F172" s="22"/>
      <c r="G172" s="27"/>
      <c r="H172" s="22"/>
      <c r="I172" s="27"/>
      <c r="J172" s="247"/>
      <c r="K172" s="247"/>
      <c r="L172" s="247"/>
    </row>
    <row r="173" spans="1:12" s="20" customFormat="1" x14ac:dyDescent="0.25">
      <c r="A173" s="26"/>
      <c r="B173" s="21"/>
      <c r="C173" s="21"/>
      <c r="D173" s="22"/>
      <c r="F173" s="22"/>
      <c r="G173" s="27"/>
      <c r="H173" s="22"/>
      <c r="I173" s="27"/>
      <c r="J173" s="247"/>
      <c r="K173" s="247"/>
      <c r="L173" s="247"/>
    </row>
    <row r="174" spans="1:12" s="20" customFormat="1" x14ac:dyDescent="0.25">
      <c r="A174" s="26"/>
      <c r="B174" s="21"/>
      <c r="C174" s="21"/>
      <c r="D174" s="22"/>
      <c r="F174" s="22"/>
      <c r="G174" s="27"/>
      <c r="H174" s="22"/>
      <c r="I174" s="27"/>
      <c r="J174" s="247"/>
      <c r="K174" s="247"/>
      <c r="L174" s="247"/>
    </row>
    <row r="175" spans="1:12" s="20" customFormat="1" x14ac:dyDescent="0.25">
      <c r="A175" s="26"/>
      <c r="B175" s="21"/>
      <c r="C175" s="21"/>
      <c r="D175" s="22"/>
      <c r="F175" s="22"/>
      <c r="G175" s="27"/>
      <c r="H175" s="22"/>
      <c r="I175" s="27"/>
      <c r="J175" s="247"/>
      <c r="K175" s="247"/>
      <c r="L175" s="247"/>
    </row>
    <row r="176" spans="1:12" s="20" customFormat="1" x14ac:dyDescent="0.25">
      <c r="A176" s="26"/>
      <c r="B176" s="21"/>
      <c r="C176" s="21"/>
      <c r="D176" s="22"/>
      <c r="F176" s="22"/>
      <c r="G176" s="27"/>
      <c r="H176" s="22"/>
      <c r="I176" s="27"/>
      <c r="J176" s="247"/>
      <c r="K176" s="247"/>
      <c r="L176" s="247"/>
    </row>
    <row r="177" spans="1:12" s="20" customFormat="1" x14ac:dyDescent="0.25">
      <c r="A177" s="26"/>
      <c r="B177" s="21"/>
      <c r="C177" s="21"/>
      <c r="D177" s="22"/>
      <c r="F177" s="22"/>
      <c r="G177" s="27"/>
      <c r="H177" s="22"/>
      <c r="I177" s="27"/>
      <c r="J177" s="247"/>
      <c r="K177" s="247"/>
      <c r="L177" s="247"/>
    </row>
    <row r="178" spans="1:12" s="20" customFormat="1" x14ac:dyDescent="0.25">
      <c r="A178" s="26"/>
      <c r="B178" s="21"/>
      <c r="C178" s="21"/>
      <c r="D178" s="22"/>
      <c r="F178" s="22"/>
      <c r="G178" s="27"/>
      <c r="H178" s="22"/>
      <c r="I178" s="27"/>
      <c r="J178" s="247"/>
      <c r="K178" s="247"/>
      <c r="L178" s="247"/>
    </row>
    <row r="179" spans="1:12" s="20" customFormat="1" x14ac:dyDescent="0.25">
      <c r="A179" s="26"/>
      <c r="B179" s="21"/>
      <c r="C179" s="21"/>
      <c r="D179" s="22"/>
      <c r="F179" s="22"/>
      <c r="G179" s="27"/>
      <c r="H179" s="22"/>
      <c r="I179" s="27"/>
      <c r="J179" s="247"/>
      <c r="K179" s="247"/>
      <c r="L179" s="247"/>
    </row>
    <row r="180" spans="1:12" s="20" customFormat="1" x14ac:dyDescent="0.25">
      <c r="A180" s="26"/>
      <c r="B180" s="21"/>
      <c r="C180" s="21"/>
      <c r="D180" s="22"/>
      <c r="F180" s="22"/>
      <c r="G180" s="27"/>
      <c r="H180" s="22"/>
      <c r="I180" s="27"/>
      <c r="J180" s="247"/>
      <c r="K180" s="247"/>
      <c r="L180" s="247"/>
    </row>
    <row r="181" spans="1:12" s="20" customFormat="1" x14ac:dyDescent="0.25">
      <c r="A181" s="26"/>
      <c r="B181" s="21"/>
      <c r="C181" s="21"/>
      <c r="D181" s="22"/>
      <c r="F181" s="22"/>
      <c r="G181" s="27"/>
      <c r="H181" s="22"/>
      <c r="I181" s="27"/>
      <c r="J181" s="247"/>
      <c r="K181" s="247"/>
      <c r="L181" s="247"/>
    </row>
    <row r="182" spans="1:12" s="20" customFormat="1" x14ac:dyDescent="0.25">
      <c r="A182" s="26"/>
      <c r="B182" s="21"/>
      <c r="C182" s="21"/>
      <c r="D182" s="22"/>
      <c r="F182" s="22"/>
      <c r="G182" s="27"/>
      <c r="H182" s="22"/>
      <c r="I182" s="27"/>
      <c r="J182" s="247"/>
      <c r="K182" s="247"/>
      <c r="L182" s="247"/>
    </row>
    <row r="183" spans="1:12" s="20" customFormat="1" x14ac:dyDescent="0.25">
      <c r="A183" s="26"/>
      <c r="B183" s="21"/>
      <c r="C183" s="21"/>
      <c r="D183" s="22"/>
      <c r="F183" s="22"/>
      <c r="G183" s="27"/>
      <c r="H183" s="22"/>
      <c r="I183" s="27"/>
      <c r="J183" s="247"/>
      <c r="K183" s="247"/>
      <c r="L183" s="247"/>
    </row>
    <row r="184" spans="1:12" s="20" customFormat="1" x14ac:dyDescent="0.25">
      <c r="A184" s="26"/>
      <c r="B184" s="21"/>
      <c r="C184" s="21"/>
      <c r="D184" s="22"/>
      <c r="F184" s="22"/>
      <c r="G184" s="27"/>
      <c r="H184" s="22"/>
      <c r="I184" s="27"/>
      <c r="J184" s="247"/>
      <c r="K184" s="247"/>
      <c r="L184" s="247"/>
    </row>
    <row r="185" spans="1:12" s="20" customFormat="1" x14ac:dyDescent="0.25">
      <c r="A185" s="26"/>
      <c r="B185" s="21"/>
      <c r="C185" s="21"/>
      <c r="D185" s="22"/>
      <c r="F185" s="22"/>
      <c r="G185" s="27"/>
      <c r="H185" s="22"/>
      <c r="I185" s="27"/>
      <c r="J185" s="247"/>
      <c r="K185" s="247"/>
      <c r="L185" s="247"/>
    </row>
    <row r="186" spans="1:12" s="20" customFormat="1" x14ac:dyDescent="0.25">
      <c r="A186" s="26"/>
      <c r="B186" s="21"/>
      <c r="C186" s="21"/>
      <c r="D186" s="22"/>
      <c r="F186" s="22"/>
      <c r="G186" s="27"/>
      <c r="H186" s="22"/>
      <c r="I186" s="27"/>
      <c r="J186" s="247"/>
      <c r="K186" s="247"/>
      <c r="L186" s="247"/>
    </row>
    <row r="187" spans="1:12" s="20" customFormat="1" x14ac:dyDescent="0.25">
      <c r="A187" s="26"/>
      <c r="B187" s="21"/>
      <c r="C187" s="21"/>
      <c r="D187" s="22"/>
      <c r="F187" s="22"/>
      <c r="G187" s="27"/>
      <c r="H187" s="22"/>
      <c r="I187" s="27"/>
      <c r="J187" s="247"/>
      <c r="K187" s="247"/>
      <c r="L187" s="247"/>
    </row>
    <row r="188" spans="1:12" s="20" customFormat="1" x14ac:dyDescent="0.25">
      <c r="A188" s="26"/>
      <c r="B188" s="21"/>
      <c r="C188" s="21"/>
      <c r="D188" s="22"/>
      <c r="F188" s="22"/>
      <c r="G188" s="27"/>
      <c r="H188" s="22"/>
      <c r="I188" s="27"/>
      <c r="J188" s="247"/>
      <c r="K188" s="247"/>
      <c r="L188" s="247"/>
    </row>
    <row r="189" spans="1:12" s="20" customFormat="1" x14ac:dyDescent="0.25">
      <c r="A189" s="26"/>
      <c r="B189" s="21"/>
      <c r="C189" s="21"/>
      <c r="D189" s="22"/>
      <c r="F189" s="22"/>
      <c r="G189" s="27"/>
      <c r="H189" s="22"/>
      <c r="I189" s="27"/>
      <c r="J189" s="247"/>
      <c r="K189" s="247"/>
      <c r="L189" s="247"/>
    </row>
    <row r="190" spans="1:12" s="20" customFormat="1" x14ac:dyDescent="0.25">
      <c r="A190" s="26"/>
      <c r="B190" s="21"/>
      <c r="C190" s="21"/>
      <c r="D190" s="22"/>
      <c r="F190" s="22"/>
      <c r="G190" s="27"/>
      <c r="H190" s="22"/>
      <c r="I190" s="27"/>
      <c r="J190" s="247"/>
      <c r="K190" s="247"/>
      <c r="L190" s="247"/>
    </row>
    <row r="191" spans="1:12" s="20" customFormat="1" x14ac:dyDescent="0.25">
      <c r="A191" s="26"/>
      <c r="B191" s="21"/>
      <c r="C191" s="21"/>
      <c r="D191" s="22"/>
      <c r="F191" s="22"/>
      <c r="G191" s="27"/>
      <c r="H191" s="22"/>
      <c r="I191" s="27"/>
      <c r="J191" s="247"/>
      <c r="K191" s="247"/>
      <c r="L191" s="247"/>
    </row>
    <row r="192" spans="1:12" s="20" customFormat="1" x14ac:dyDescent="0.25">
      <c r="A192" s="26"/>
      <c r="B192" s="21"/>
      <c r="C192" s="21"/>
      <c r="D192" s="22"/>
      <c r="F192" s="22"/>
      <c r="G192" s="27"/>
      <c r="H192" s="22"/>
      <c r="I192" s="27"/>
      <c r="J192" s="247"/>
      <c r="K192" s="247"/>
      <c r="L192" s="247"/>
    </row>
    <row r="193" spans="1:12" s="20" customFormat="1" x14ac:dyDescent="0.25">
      <c r="A193" s="26"/>
      <c r="B193" s="21"/>
      <c r="C193" s="21"/>
      <c r="D193" s="22"/>
      <c r="F193" s="22"/>
      <c r="G193" s="27"/>
      <c r="H193" s="22"/>
      <c r="I193" s="27"/>
      <c r="J193" s="247"/>
      <c r="K193" s="247"/>
      <c r="L193" s="247"/>
    </row>
    <row r="194" spans="1:12" s="20" customFormat="1" x14ac:dyDescent="0.25">
      <c r="A194" s="26"/>
      <c r="B194" s="21"/>
      <c r="C194" s="21"/>
      <c r="D194" s="22"/>
      <c r="F194" s="22"/>
      <c r="G194" s="27"/>
      <c r="H194" s="22"/>
      <c r="I194" s="27"/>
      <c r="J194" s="247"/>
      <c r="K194" s="247"/>
      <c r="L194" s="247"/>
    </row>
    <row r="195" spans="1:12" s="20" customFormat="1" x14ac:dyDescent="0.25">
      <c r="A195" s="26"/>
      <c r="B195" s="21"/>
      <c r="C195" s="21"/>
      <c r="D195" s="22"/>
      <c r="F195" s="22"/>
      <c r="G195" s="27"/>
      <c r="H195" s="22"/>
      <c r="I195" s="27"/>
      <c r="J195" s="247"/>
      <c r="K195" s="247"/>
      <c r="L195" s="247"/>
    </row>
    <row r="196" spans="1:12" s="20" customFormat="1" x14ac:dyDescent="0.25">
      <c r="A196" s="26"/>
      <c r="B196" s="21"/>
      <c r="C196" s="21"/>
      <c r="D196" s="22"/>
      <c r="F196" s="22"/>
      <c r="G196" s="27"/>
      <c r="H196" s="22"/>
      <c r="I196" s="27"/>
      <c r="J196" s="247"/>
      <c r="K196" s="247"/>
      <c r="L196" s="247"/>
    </row>
    <row r="197" spans="1:12" s="20" customFormat="1" x14ac:dyDescent="0.25">
      <c r="A197" s="26"/>
      <c r="B197" s="21"/>
      <c r="C197" s="21"/>
      <c r="D197" s="22"/>
      <c r="F197" s="22"/>
      <c r="G197" s="27"/>
      <c r="H197" s="22"/>
      <c r="I197" s="27"/>
      <c r="J197" s="247"/>
      <c r="K197" s="247"/>
      <c r="L197" s="247"/>
    </row>
    <row r="198" spans="1:12" s="20" customFormat="1" x14ac:dyDescent="0.25">
      <c r="A198" s="26"/>
      <c r="B198" s="21"/>
      <c r="C198" s="21"/>
      <c r="D198" s="22"/>
      <c r="F198" s="22"/>
      <c r="G198" s="27"/>
      <c r="H198" s="22"/>
      <c r="I198" s="27"/>
      <c r="J198" s="247"/>
      <c r="K198" s="247"/>
      <c r="L198" s="247"/>
    </row>
    <row r="199" spans="1:12" s="20" customFormat="1" x14ac:dyDescent="0.25">
      <c r="A199" s="26"/>
      <c r="B199" s="21"/>
      <c r="C199" s="21"/>
      <c r="D199" s="22"/>
      <c r="F199" s="22"/>
      <c r="G199" s="27"/>
      <c r="H199" s="22"/>
      <c r="I199" s="27"/>
      <c r="J199" s="247"/>
      <c r="K199" s="247"/>
      <c r="L199" s="247"/>
    </row>
    <row r="200" spans="1:12" s="20" customFormat="1" x14ac:dyDescent="0.25">
      <c r="A200" s="26"/>
      <c r="B200" s="21"/>
      <c r="C200" s="21"/>
      <c r="D200" s="22"/>
      <c r="F200" s="22"/>
      <c r="G200" s="27"/>
      <c r="H200" s="22"/>
      <c r="I200" s="27"/>
      <c r="J200" s="247"/>
      <c r="K200" s="247"/>
      <c r="L200" s="247"/>
    </row>
    <row r="201" spans="1:12" s="20" customFormat="1" x14ac:dyDescent="0.25">
      <c r="A201" s="26"/>
      <c r="B201" s="21"/>
      <c r="C201" s="21"/>
      <c r="D201" s="22"/>
      <c r="F201" s="22"/>
      <c r="G201" s="27"/>
      <c r="H201" s="22"/>
      <c r="I201" s="27"/>
      <c r="J201" s="247"/>
      <c r="K201" s="247"/>
      <c r="L201" s="247"/>
    </row>
    <row r="202" spans="1:12" s="20" customFormat="1" x14ac:dyDescent="0.25">
      <c r="A202" s="26"/>
      <c r="B202" s="21"/>
      <c r="C202" s="21"/>
      <c r="D202" s="22"/>
      <c r="F202" s="22"/>
      <c r="G202" s="27"/>
      <c r="H202" s="22"/>
      <c r="I202" s="27"/>
      <c r="J202" s="247"/>
      <c r="K202" s="247"/>
      <c r="L202" s="247"/>
    </row>
    <row r="203" spans="1:12" s="20" customFormat="1" x14ac:dyDescent="0.25">
      <c r="A203" s="26"/>
      <c r="B203" s="21"/>
      <c r="C203" s="21"/>
      <c r="D203" s="22"/>
      <c r="F203" s="22"/>
      <c r="G203" s="27"/>
      <c r="H203" s="22"/>
      <c r="I203" s="27"/>
      <c r="J203" s="247"/>
      <c r="K203" s="247"/>
      <c r="L203" s="247"/>
    </row>
    <row r="204" spans="1:12" s="20" customFormat="1" x14ac:dyDescent="0.25">
      <c r="A204" s="26"/>
      <c r="B204" s="21"/>
      <c r="C204" s="21"/>
      <c r="D204" s="22"/>
      <c r="F204" s="22"/>
      <c r="G204" s="27"/>
      <c r="H204" s="22"/>
      <c r="I204" s="27"/>
      <c r="J204" s="247"/>
      <c r="K204" s="247"/>
      <c r="L204" s="247"/>
    </row>
    <row r="205" spans="1:12" s="20" customFormat="1" x14ac:dyDescent="0.25">
      <c r="A205" s="26"/>
      <c r="B205" s="21"/>
      <c r="C205" s="21"/>
      <c r="D205" s="22"/>
      <c r="F205" s="22"/>
      <c r="G205" s="27"/>
      <c r="H205" s="22"/>
      <c r="I205" s="27"/>
      <c r="J205" s="247"/>
      <c r="K205" s="247"/>
      <c r="L205" s="247"/>
    </row>
    <row r="206" spans="1:12" s="20" customFormat="1" x14ac:dyDescent="0.25">
      <c r="A206" s="26"/>
      <c r="B206" s="21"/>
      <c r="C206" s="21"/>
      <c r="D206" s="22"/>
      <c r="F206" s="22"/>
      <c r="G206" s="27"/>
      <c r="H206" s="22"/>
      <c r="I206" s="27"/>
      <c r="J206" s="247"/>
      <c r="K206" s="247"/>
      <c r="L206" s="247"/>
    </row>
    <row r="207" spans="1:12" s="20" customFormat="1" x14ac:dyDescent="0.25">
      <c r="A207" s="26"/>
      <c r="B207" s="21"/>
      <c r="C207" s="21"/>
      <c r="D207" s="22"/>
      <c r="F207" s="22"/>
      <c r="G207" s="27"/>
      <c r="H207" s="22"/>
      <c r="I207" s="27"/>
      <c r="J207" s="247"/>
      <c r="K207" s="247"/>
      <c r="L207" s="247"/>
    </row>
    <row r="208" spans="1:12" s="20" customFormat="1" x14ac:dyDescent="0.25">
      <c r="A208" s="26"/>
      <c r="B208" s="21"/>
      <c r="C208" s="21"/>
      <c r="D208" s="22"/>
      <c r="F208" s="22"/>
      <c r="G208" s="27"/>
      <c r="H208" s="22"/>
      <c r="I208" s="27"/>
      <c r="J208" s="247"/>
      <c r="K208" s="247"/>
      <c r="L208" s="247"/>
    </row>
    <row r="209" spans="1:12" s="20" customFormat="1" x14ac:dyDescent="0.25">
      <c r="A209" s="26"/>
      <c r="B209" s="21"/>
      <c r="C209" s="21"/>
      <c r="D209" s="22"/>
      <c r="F209" s="22"/>
      <c r="G209" s="27"/>
      <c r="H209" s="22"/>
      <c r="I209" s="27"/>
      <c r="J209" s="247"/>
      <c r="K209" s="247"/>
      <c r="L209" s="247"/>
    </row>
    <row r="210" spans="1:12" s="20" customFormat="1" x14ac:dyDescent="0.25">
      <c r="A210" s="26"/>
      <c r="B210" s="21"/>
      <c r="C210" s="21"/>
      <c r="D210" s="22"/>
      <c r="F210" s="22"/>
      <c r="G210" s="27"/>
      <c r="H210" s="22"/>
      <c r="I210" s="27"/>
      <c r="J210" s="247"/>
      <c r="K210" s="247"/>
      <c r="L210" s="247"/>
    </row>
    <row r="211" spans="1:12" s="20" customFormat="1" x14ac:dyDescent="0.25">
      <c r="A211" s="26"/>
      <c r="B211" s="21"/>
      <c r="C211" s="21"/>
      <c r="D211" s="22"/>
      <c r="F211" s="22"/>
      <c r="G211" s="27"/>
      <c r="H211" s="22"/>
      <c r="I211" s="27"/>
      <c r="J211" s="247"/>
      <c r="K211" s="247"/>
      <c r="L211" s="247"/>
    </row>
    <row r="212" spans="1:12" s="20" customFormat="1" x14ac:dyDescent="0.25">
      <c r="A212" s="26"/>
      <c r="B212" s="21"/>
      <c r="C212" s="21"/>
      <c r="D212" s="22"/>
      <c r="F212" s="22"/>
      <c r="G212" s="27"/>
      <c r="H212" s="22"/>
      <c r="I212" s="27"/>
      <c r="J212" s="247"/>
      <c r="K212" s="247"/>
      <c r="L212" s="247"/>
    </row>
    <row r="213" spans="1:12" s="20" customFormat="1" x14ac:dyDescent="0.25">
      <c r="A213" s="26"/>
      <c r="B213" s="21"/>
      <c r="C213" s="21"/>
      <c r="D213" s="22"/>
      <c r="F213" s="22"/>
      <c r="G213" s="27"/>
      <c r="H213" s="22"/>
      <c r="I213" s="27"/>
      <c r="J213" s="247"/>
      <c r="K213" s="247"/>
      <c r="L213" s="247"/>
    </row>
    <row r="214" spans="1:12" s="20" customFormat="1" x14ac:dyDescent="0.25">
      <c r="A214" s="26"/>
      <c r="B214" s="21"/>
      <c r="C214" s="21"/>
      <c r="D214" s="22"/>
      <c r="F214" s="22"/>
      <c r="G214" s="27"/>
      <c r="H214" s="22"/>
      <c r="I214" s="27"/>
      <c r="J214" s="247"/>
      <c r="K214" s="247"/>
      <c r="L214" s="247"/>
    </row>
    <row r="215" spans="1:12" s="20" customFormat="1" x14ac:dyDescent="0.25">
      <c r="A215" s="26"/>
      <c r="B215" s="21"/>
      <c r="C215" s="21"/>
      <c r="D215" s="22"/>
      <c r="F215" s="22"/>
      <c r="G215" s="27"/>
      <c r="H215" s="22"/>
      <c r="I215" s="27"/>
      <c r="J215" s="247"/>
      <c r="K215" s="247"/>
      <c r="L215" s="247"/>
    </row>
    <row r="216" spans="1:12" s="20" customFormat="1" x14ac:dyDescent="0.25">
      <c r="A216" s="26"/>
      <c r="B216" s="21"/>
      <c r="C216" s="21"/>
      <c r="D216" s="22"/>
      <c r="F216" s="22"/>
      <c r="G216" s="27"/>
      <c r="H216" s="22"/>
      <c r="I216" s="27"/>
      <c r="J216" s="247"/>
      <c r="K216" s="247"/>
      <c r="L216" s="247"/>
    </row>
    <row r="217" spans="1:12" s="20" customFormat="1" x14ac:dyDescent="0.25">
      <c r="A217" s="26"/>
      <c r="B217" s="21"/>
      <c r="C217" s="21"/>
      <c r="D217" s="22"/>
      <c r="F217" s="22"/>
      <c r="G217" s="27"/>
      <c r="H217" s="22"/>
      <c r="I217" s="27"/>
      <c r="J217" s="247"/>
      <c r="K217" s="247"/>
      <c r="L217" s="247"/>
    </row>
    <row r="218" spans="1:12" s="20" customFormat="1" x14ac:dyDescent="0.25">
      <c r="A218" s="26"/>
      <c r="B218" s="21"/>
      <c r="C218" s="21"/>
      <c r="D218" s="22"/>
      <c r="F218" s="22"/>
      <c r="G218" s="27"/>
      <c r="H218" s="22"/>
      <c r="I218" s="27"/>
      <c r="J218" s="247"/>
      <c r="K218" s="247"/>
      <c r="L218" s="247"/>
    </row>
    <row r="219" spans="1:12" s="20" customFormat="1" x14ac:dyDescent="0.25">
      <c r="A219" s="26"/>
      <c r="B219" s="21"/>
      <c r="C219" s="21"/>
      <c r="D219" s="22"/>
      <c r="F219" s="22"/>
      <c r="G219" s="27"/>
      <c r="H219" s="22"/>
      <c r="I219" s="27"/>
      <c r="J219" s="247"/>
      <c r="K219" s="247"/>
      <c r="L219" s="247"/>
    </row>
    <row r="220" spans="1:12" s="20" customFormat="1" x14ac:dyDescent="0.25">
      <c r="A220" s="26"/>
      <c r="B220" s="21"/>
      <c r="C220" s="21"/>
      <c r="D220" s="22"/>
      <c r="F220" s="22"/>
      <c r="G220" s="27"/>
      <c r="H220" s="22"/>
      <c r="I220" s="27"/>
      <c r="J220" s="247"/>
      <c r="K220" s="247"/>
      <c r="L220" s="247"/>
    </row>
    <row r="221" spans="1:12" s="20" customFormat="1" x14ac:dyDescent="0.25">
      <c r="A221" s="26"/>
      <c r="B221" s="21"/>
      <c r="C221" s="21"/>
      <c r="D221" s="22"/>
      <c r="F221" s="22"/>
      <c r="G221" s="27"/>
      <c r="H221" s="22"/>
      <c r="I221" s="27"/>
      <c r="J221" s="247"/>
      <c r="K221" s="247"/>
      <c r="L221" s="247"/>
    </row>
    <row r="222" spans="1:12" s="20" customFormat="1" x14ac:dyDescent="0.25">
      <c r="A222" s="26"/>
      <c r="B222" s="21"/>
      <c r="C222" s="21"/>
      <c r="D222" s="22"/>
      <c r="F222" s="22"/>
      <c r="G222" s="27"/>
      <c r="H222" s="22"/>
      <c r="I222" s="27"/>
      <c r="J222" s="247"/>
      <c r="K222" s="247"/>
      <c r="L222" s="247"/>
    </row>
    <row r="223" spans="1:12" s="20" customFormat="1" x14ac:dyDescent="0.25">
      <c r="A223" s="26"/>
      <c r="B223" s="21"/>
      <c r="C223" s="21"/>
      <c r="D223" s="22"/>
      <c r="F223" s="22"/>
      <c r="G223" s="27"/>
      <c r="H223" s="22"/>
      <c r="I223" s="27"/>
      <c r="J223" s="247"/>
      <c r="K223" s="247"/>
      <c r="L223" s="247"/>
    </row>
    <row r="224" spans="1:12" s="20" customFormat="1" x14ac:dyDescent="0.25">
      <c r="A224" s="26"/>
      <c r="B224" s="21"/>
      <c r="C224" s="21"/>
      <c r="D224" s="22"/>
      <c r="F224" s="22"/>
      <c r="G224" s="27"/>
      <c r="H224" s="22"/>
      <c r="I224" s="27"/>
      <c r="J224" s="247"/>
      <c r="K224" s="247"/>
      <c r="L224" s="247"/>
    </row>
    <row r="225" spans="1:12" s="20" customFormat="1" x14ac:dyDescent="0.25">
      <c r="A225" s="26"/>
      <c r="B225" s="21"/>
      <c r="C225" s="21"/>
      <c r="D225" s="22"/>
      <c r="F225" s="22"/>
      <c r="G225" s="27"/>
      <c r="H225" s="22"/>
      <c r="I225" s="27"/>
      <c r="J225" s="247"/>
      <c r="K225" s="247"/>
      <c r="L225" s="247"/>
    </row>
    <row r="226" spans="1:12" s="20" customFormat="1" x14ac:dyDescent="0.25">
      <c r="A226" s="26"/>
      <c r="B226" s="21"/>
      <c r="C226" s="21"/>
      <c r="D226" s="22"/>
      <c r="F226" s="22"/>
      <c r="G226" s="27"/>
      <c r="H226" s="22"/>
      <c r="I226" s="27"/>
      <c r="J226" s="247"/>
      <c r="K226" s="247"/>
      <c r="L226" s="247"/>
    </row>
    <row r="227" spans="1:12" s="20" customFormat="1" x14ac:dyDescent="0.25">
      <c r="A227" s="26"/>
      <c r="B227" s="21"/>
      <c r="C227" s="21"/>
      <c r="D227" s="22"/>
      <c r="F227" s="22"/>
      <c r="G227" s="27"/>
      <c r="H227" s="22"/>
      <c r="I227" s="27"/>
      <c r="J227" s="247"/>
      <c r="K227" s="247"/>
      <c r="L227" s="247"/>
    </row>
    <row r="228" spans="1:12" s="20" customFormat="1" x14ac:dyDescent="0.25">
      <c r="A228" s="26"/>
      <c r="B228" s="21"/>
      <c r="C228" s="21"/>
      <c r="D228" s="22"/>
      <c r="F228" s="22"/>
      <c r="G228" s="27"/>
      <c r="H228" s="22"/>
      <c r="I228" s="27"/>
      <c r="J228" s="247"/>
      <c r="K228" s="247"/>
      <c r="L228" s="247"/>
    </row>
    <row r="229" spans="1:12" s="20" customFormat="1" x14ac:dyDescent="0.25">
      <c r="A229" s="26"/>
      <c r="B229" s="21"/>
      <c r="C229" s="21"/>
      <c r="D229" s="22"/>
      <c r="F229" s="22"/>
      <c r="G229" s="27"/>
      <c r="H229" s="22"/>
      <c r="I229" s="27"/>
      <c r="J229" s="247"/>
      <c r="K229" s="247"/>
      <c r="L229" s="247"/>
    </row>
    <row r="230" spans="1:12" s="20" customFormat="1" x14ac:dyDescent="0.25">
      <c r="A230" s="26"/>
      <c r="B230" s="21"/>
      <c r="C230" s="21"/>
      <c r="D230" s="22"/>
      <c r="F230" s="22"/>
      <c r="G230" s="27"/>
      <c r="H230" s="22"/>
      <c r="I230" s="27"/>
      <c r="J230" s="247"/>
      <c r="K230" s="247"/>
      <c r="L230" s="247"/>
    </row>
    <row r="231" spans="1:12" s="20" customFormat="1" x14ac:dyDescent="0.25">
      <c r="A231" s="26"/>
      <c r="B231" s="21"/>
      <c r="C231" s="21"/>
      <c r="D231" s="22"/>
      <c r="F231" s="22"/>
      <c r="G231" s="27"/>
      <c r="H231" s="22"/>
      <c r="I231" s="27"/>
      <c r="J231" s="247"/>
      <c r="K231" s="247"/>
      <c r="L231" s="247"/>
    </row>
    <row r="232" spans="1:12" s="20" customFormat="1" x14ac:dyDescent="0.25">
      <c r="A232" s="26"/>
      <c r="B232" s="21"/>
      <c r="C232" s="21"/>
      <c r="D232" s="22"/>
      <c r="F232" s="22"/>
      <c r="G232" s="27"/>
      <c r="H232" s="22"/>
      <c r="I232" s="27"/>
      <c r="J232" s="247"/>
      <c r="K232" s="247"/>
      <c r="L232" s="247"/>
    </row>
    <row r="233" spans="1:12" s="20" customFormat="1" x14ac:dyDescent="0.25">
      <c r="A233" s="26"/>
      <c r="B233" s="21"/>
      <c r="C233" s="21"/>
      <c r="D233" s="22"/>
      <c r="F233" s="22"/>
      <c r="G233" s="27"/>
      <c r="H233" s="22"/>
      <c r="I233" s="27"/>
      <c r="J233" s="247"/>
      <c r="K233" s="247"/>
      <c r="L233" s="247"/>
    </row>
    <row r="234" spans="1:12" s="20" customFormat="1" x14ac:dyDescent="0.25">
      <c r="A234" s="26"/>
      <c r="B234" s="21"/>
      <c r="C234" s="21"/>
      <c r="D234" s="22"/>
      <c r="F234" s="22"/>
      <c r="G234" s="27"/>
      <c r="H234" s="22"/>
      <c r="I234" s="27"/>
      <c r="J234" s="247"/>
      <c r="K234" s="247"/>
      <c r="L234" s="247"/>
    </row>
    <row r="235" spans="1:12" s="20" customFormat="1" x14ac:dyDescent="0.25">
      <c r="A235" s="26"/>
      <c r="B235" s="21"/>
      <c r="C235" s="21"/>
      <c r="D235" s="22"/>
      <c r="F235" s="22"/>
      <c r="G235" s="27"/>
      <c r="H235" s="22"/>
      <c r="I235" s="27"/>
      <c r="J235" s="247"/>
      <c r="K235" s="247"/>
      <c r="L235" s="247"/>
    </row>
    <row r="236" spans="1:12" s="20" customFormat="1" x14ac:dyDescent="0.25">
      <c r="A236" s="26"/>
      <c r="B236" s="21"/>
      <c r="C236" s="21"/>
      <c r="D236" s="22"/>
      <c r="F236" s="22"/>
      <c r="G236" s="27"/>
      <c r="H236" s="22"/>
      <c r="I236" s="27"/>
      <c r="J236" s="247"/>
      <c r="K236" s="247"/>
      <c r="L236" s="247"/>
    </row>
    <row r="237" spans="1:12" s="20" customFormat="1" x14ac:dyDescent="0.25">
      <c r="A237" s="26"/>
      <c r="B237" s="21"/>
      <c r="C237" s="21"/>
      <c r="D237" s="22"/>
      <c r="F237" s="22"/>
      <c r="G237" s="27"/>
      <c r="H237" s="22"/>
      <c r="I237" s="27"/>
      <c r="J237" s="247"/>
      <c r="K237" s="247"/>
      <c r="L237" s="247"/>
    </row>
    <row r="238" spans="1:12" s="20" customFormat="1" x14ac:dyDescent="0.25">
      <c r="A238" s="26"/>
      <c r="B238" s="21"/>
      <c r="C238" s="21"/>
      <c r="D238" s="22"/>
      <c r="F238" s="22"/>
      <c r="G238" s="27"/>
      <c r="H238" s="22"/>
      <c r="I238" s="27"/>
      <c r="J238" s="247"/>
      <c r="K238" s="247"/>
      <c r="L238" s="247"/>
    </row>
    <row r="239" spans="1:12" s="20" customFormat="1" x14ac:dyDescent="0.25">
      <c r="A239" s="26"/>
      <c r="B239" s="21"/>
      <c r="C239" s="21"/>
      <c r="D239" s="22"/>
      <c r="F239" s="22"/>
      <c r="G239" s="27"/>
      <c r="H239" s="22"/>
      <c r="I239" s="27"/>
      <c r="J239" s="247"/>
      <c r="K239" s="247"/>
      <c r="L239" s="247"/>
    </row>
    <row r="240" spans="1:12" s="20" customFormat="1" x14ac:dyDescent="0.25">
      <c r="A240" s="26"/>
      <c r="B240" s="21"/>
      <c r="C240" s="21"/>
      <c r="D240" s="22"/>
      <c r="F240" s="22"/>
      <c r="G240" s="27"/>
      <c r="H240" s="22"/>
      <c r="I240" s="27"/>
      <c r="J240" s="247"/>
      <c r="K240" s="247"/>
      <c r="L240" s="247"/>
    </row>
    <row r="241" spans="1:12" s="20" customFormat="1" x14ac:dyDescent="0.25">
      <c r="A241" s="26"/>
      <c r="B241" s="21"/>
      <c r="C241" s="21"/>
      <c r="D241" s="22"/>
      <c r="F241" s="22"/>
      <c r="G241" s="27"/>
      <c r="H241" s="22"/>
      <c r="I241" s="27"/>
      <c r="J241" s="247"/>
      <c r="K241" s="247"/>
      <c r="L241" s="247"/>
    </row>
    <row r="242" spans="1:12" s="20" customFormat="1" x14ac:dyDescent="0.25">
      <c r="A242" s="26"/>
      <c r="B242" s="21"/>
      <c r="C242" s="21"/>
      <c r="D242" s="22"/>
      <c r="F242" s="22"/>
      <c r="G242" s="27"/>
      <c r="H242" s="22"/>
      <c r="I242" s="27"/>
      <c r="J242" s="247"/>
      <c r="K242" s="247"/>
      <c r="L242" s="247"/>
    </row>
    <row r="243" spans="1:12" s="20" customFormat="1" x14ac:dyDescent="0.25">
      <c r="A243" s="26"/>
      <c r="B243" s="21"/>
      <c r="C243" s="21"/>
      <c r="D243" s="22"/>
      <c r="F243" s="22"/>
      <c r="G243" s="27"/>
      <c r="H243" s="22"/>
      <c r="I243" s="27"/>
      <c r="J243" s="247"/>
      <c r="K243" s="247"/>
      <c r="L243" s="247"/>
    </row>
    <row r="244" spans="1:12" s="20" customFormat="1" x14ac:dyDescent="0.25">
      <c r="A244" s="26"/>
      <c r="B244" s="21"/>
      <c r="C244" s="21"/>
      <c r="D244" s="22"/>
      <c r="F244" s="22"/>
      <c r="G244" s="27"/>
      <c r="H244" s="22"/>
      <c r="I244" s="27"/>
      <c r="J244" s="247"/>
      <c r="K244" s="247"/>
      <c r="L244" s="247"/>
    </row>
    <row r="245" spans="1:12" s="20" customFormat="1" x14ac:dyDescent="0.25">
      <c r="A245" s="26"/>
      <c r="B245" s="21"/>
      <c r="C245" s="21"/>
      <c r="D245" s="22"/>
      <c r="F245" s="22"/>
      <c r="G245" s="27"/>
      <c r="H245" s="22"/>
      <c r="I245" s="27"/>
      <c r="J245" s="247"/>
      <c r="K245" s="247"/>
      <c r="L245" s="247"/>
    </row>
    <row r="246" spans="1:12" s="20" customFormat="1" x14ac:dyDescent="0.25">
      <c r="A246" s="26"/>
      <c r="B246" s="21"/>
      <c r="C246" s="21"/>
      <c r="D246" s="22"/>
      <c r="F246" s="22"/>
      <c r="G246" s="27"/>
      <c r="H246" s="22"/>
      <c r="I246" s="27"/>
      <c r="J246" s="247"/>
      <c r="K246" s="247"/>
      <c r="L246" s="247"/>
    </row>
    <row r="247" spans="1:12" s="20" customFormat="1" x14ac:dyDescent="0.25">
      <c r="A247" s="26"/>
      <c r="B247" s="21"/>
      <c r="C247" s="21"/>
      <c r="D247" s="22"/>
      <c r="F247" s="22"/>
      <c r="G247" s="27"/>
      <c r="H247" s="22"/>
      <c r="I247" s="27"/>
      <c r="J247" s="247"/>
      <c r="K247" s="247"/>
      <c r="L247" s="247"/>
    </row>
    <row r="248" spans="1:12" s="20" customFormat="1" x14ac:dyDescent="0.25">
      <c r="A248" s="26"/>
      <c r="B248" s="21"/>
      <c r="C248" s="21"/>
      <c r="D248" s="22"/>
      <c r="F248" s="22"/>
      <c r="G248" s="27"/>
      <c r="H248" s="22"/>
      <c r="I248" s="27"/>
      <c r="J248" s="247"/>
      <c r="K248" s="247"/>
      <c r="L248" s="247"/>
    </row>
    <row r="249" spans="1:12" s="20" customFormat="1" x14ac:dyDescent="0.25">
      <c r="A249" s="26"/>
      <c r="B249" s="21"/>
      <c r="C249" s="21"/>
      <c r="D249" s="22"/>
      <c r="F249" s="22"/>
      <c r="G249" s="27"/>
      <c r="H249" s="22"/>
      <c r="I249" s="27"/>
      <c r="J249" s="247"/>
      <c r="K249" s="247"/>
      <c r="L249" s="247"/>
    </row>
    <row r="250" spans="1:12" s="20" customFormat="1" x14ac:dyDescent="0.25">
      <c r="A250" s="26"/>
      <c r="B250" s="21"/>
      <c r="C250" s="21"/>
      <c r="D250" s="22"/>
      <c r="F250" s="22"/>
      <c r="G250" s="27"/>
      <c r="H250" s="22"/>
      <c r="I250" s="27"/>
      <c r="J250" s="247"/>
      <c r="K250" s="247"/>
      <c r="L250" s="247"/>
    </row>
    <row r="251" spans="1:12" s="20" customFormat="1" x14ac:dyDescent="0.25">
      <c r="A251" s="26"/>
      <c r="B251" s="21"/>
      <c r="C251" s="21"/>
      <c r="D251" s="22"/>
      <c r="F251" s="22"/>
      <c r="G251" s="27"/>
      <c r="H251" s="22"/>
      <c r="I251" s="27"/>
      <c r="J251" s="247"/>
      <c r="K251" s="247"/>
      <c r="L251" s="247"/>
    </row>
    <row r="252" spans="1:12" s="20" customFormat="1" x14ac:dyDescent="0.25">
      <c r="A252" s="26"/>
      <c r="B252" s="21"/>
      <c r="C252" s="21"/>
      <c r="D252" s="22"/>
      <c r="F252" s="22"/>
      <c r="G252" s="27"/>
      <c r="H252" s="22"/>
      <c r="I252" s="27"/>
      <c r="J252" s="247"/>
      <c r="K252" s="247"/>
      <c r="L252" s="247"/>
    </row>
    <row r="253" spans="1:12" s="20" customFormat="1" x14ac:dyDescent="0.25">
      <c r="A253" s="26"/>
      <c r="B253" s="21"/>
      <c r="C253" s="21"/>
      <c r="D253" s="22"/>
      <c r="F253" s="22"/>
      <c r="G253" s="27"/>
      <c r="H253" s="22"/>
      <c r="I253" s="27"/>
      <c r="J253" s="247"/>
      <c r="K253" s="247"/>
      <c r="L253" s="247"/>
    </row>
    <row r="254" spans="1:12" s="20" customFormat="1" x14ac:dyDescent="0.25">
      <c r="A254" s="26"/>
      <c r="B254" s="21"/>
      <c r="C254" s="21"/>
      <c r="D254" s="22"/>
      <c r="F254" s="22"/>
      <c r="G254" s="27"/>
      <c r="H254" s="22"/>
      <c r="I254" s="27"/>
      <c r="J254" s="247"/>
      <c r="K254" s="247"/>
      <c r="L254" s="247"/>
    </row>
    <row r="255" spans="1:12" s="20" customFormat="1" x14ac:dyDescent="0.25">
      <c r="A255" s="26"/>
      <c r="B255" s="21"/>
      <c r="C255" s="21"/>
      <c r="D255" s="22"/>
      <c r="F255" s="22"/>
      <c r="G255" s="27"/>
      <c r="H255" s="22"/>
      <c r="I255" s="27"/>
      <c r="J255" s="247"/>
      <c r="K255" s="247"/>
      <c r="L255" s="247"/>
    </row>
    <row r="256" spans="1:12" s="20" customFormat="1" x14ac:dyDescent="0.25">
      <c r="A256" s="26"/>
      <c r="B256" s="21"/>
      <c r="C256" s="21"/>
      <c r="D256" s="22"/>
      <c r="F256" s="22"/>
      <c r="G256" s="27"/>
      <c r="H256" s="22"/>
      <c r="I256" s="27"/>
      <c r="J256" s="247"/>
      <c r="K256" s="247"/>
      <c r="L256" s="247"/>
    </row>
    <row r="257" spans="1:12" s="20" customFormat="1" x14ac:dyDescent="0.25">
      <c r="A257" s="26"/>
      <c r="B257" s="21"/>
      <c r="C257" s="21"/>
      <c r="D257" s="22"/>
      <c r="F257" s="22"/>
      <c r="G257" s="27"/>
      <c r="H257" s="22"/>
      <c r="I257" s="27"/>
      <c r="J257" s="247"/>
      <c r="K257" s="247"/>
      <c r="L257" s="247"/>
    </row>
    <row r="258" spans="1:12" s="20" customFormat="1" x14ac:dyDescent="0.25">
      <c r="A258" s="26"/>
      <c r="B258" s="21"/>
      <c r="C258" s="21"/>
      <c r="D258" s="22"/>
      <c r="F258" s="22"/>
      <c r="G258" s="27"/>
      <c r="H258" s="22"/>
      <c r="I258" s="27"/>
      <c r="J258" s="247"/>
      <c r="K258" s="247"/>
      <c r="L258" s="247"/>
    </row>
    <row r="259" spans="1:12" s="20" customFormat="1" x14ac:dyDescent="0.25">
      <c r="A259" s="26"/>
      <c r="B259" s="21"/>
      <c r="C259" s="21"/>
      <c r="D259" s="22"/>
      <c r="F259" s="22"/>
      <c r="G259" s="27"/>
      <c r="H259" s="22"/>
      <c r="I259" s="27"/>
      <c r="J259" s="247"/>
      <c r="K259" s="247"/>
      <c r="L259" s="247"/>
    </row>
    <row r="260" spans="1:12" s="20" customFormat="1" x14ac:dyDescent="0.25">
      <c r="A260" s="26"/>
      <c r="B260" s="21"/>
      <c r="C260" s="21"/>
      <c r="D260" s="22"/>
      <c r="F260" s="22"/>
      <c r="G260" s="27"/>
      <c r="H260" s="22"/>
      <c r="I260" s="27"/>
      <c r="J260" s="247"/>
      <c r="K260" s="247"/>
      <c r="L260" s="247"/>
    </row>
    <row r="261" spans="1:12" s="20" customFormat="1" x14ac:dyDescent="0.25">
      <c r="A261" s="26"/>
      <c r="B261" s="21"/>
      <c r="C261" s="21"/>
      <c r="D261" s="22"/>
      <c r="F261" s="22"/>
      <c r="G261" s="27"/>
      <c r="H261" s="22"/>
      <c r="I261" s="27"/>
      <c r="J261" s="247"/>
      <c r="K261" s="247"/>
      <c r="L261" s="247"/>
    </row>
    <row r="262" spans="1:12" s="20" customFormat="1" x14ac:dyDescent="0.25">
      <c r="A262" s="26"/>
      <c r="B262" s="21"/>
      <c r="C262" s="21"/>
      <c r="D262" s="22"/>
      <c r="F262" s="22"/>
      <c r="G262" s="27"/>
      <c r="H262" s="22"/>
      <c r="I262" s="27"/>
      <c r="J262" s="247"/>
      <c r="K262" s="247"/>
      <c r="L262" s="247"/>
    </row>
    <row r="263" spans="1:12" s="20" customFormat="1" x14ac:dyDescent="0.25">
      <c r="A263" s="26"/>
      <c r="B263" s="21"/>
      <c r="C263" s="21"/>
      <c r="D263" s="22"/>
      <c r="F263" s="22"/>
      <c r="G263" s="27"/>
      <c r="H263" s="22"/>
      <c r="I263" s="27"/>
      <c r="J263" s="247"/>
      <c r="K263" s="247"/>
      <c r="L263" s="247"/>
    </row>
    <row r="264" spans="1:12" s="20" customFormat="1" x14ac:dyDescent="0.25">
      <c r="A264" s="26"/>
      <c r="B264" s="21"/>
      <c r="C264" s="21"/>
      <c r="D264" s="22"/>
      <c r="F264" s="22"/>
      <c r="G264" s="27"/>
      <c r="H264" s="22"/>
      <c r="I264" s="27"/>
      <c r="J264" s="247"/>
      <c r="K264" s="247"/>
      <c r="L264" s="247"/>
    </row>
    <row r="265" spans="1:12" s="20" customFormat="1" x14ac:dyDescent="0.25">
      <c r="A265" s="26"/>
      <c r="B265" s="21"/>
      <c r="C265" s="21"/>
      <c r="D265" s="22"/>
      <c r="F265" s="22"/>
      <c r="G265" s="27"/>
      <c r="H265" s="22"/>
      <c r="I265" s="27"/>
      <c r="J265" s="247"/>
      <c r="K265" s="247"/>
      <c r="L265" s="247"/>
    </row>
    <row r="266" spans="1:12" s="20" customFormat="1" x14ac:dyDescent="0.25">
      <c r="A266" s="26"/>
      <c r="B266" s="21"/>
      <c r="C266" s="21"/>
      <c r="D266" s="22"/>
      <c r="F266" s="22"/>
      <c r="G266" s="27"/>
      <c r="H266" s="22"/>
      <c r="I266" s="27"/>
      <c r="J266" s="247"/>
      <c r="K266" s="247"/>
      <c r="L266" s="247"/>
    </row>
    <row r="267" spans="1:12" s="20" customFormat="1" x14ac:dyDescent="0.25">
      <c r="A267" s="26"/>
      <c r="B267" s="21"/>
      <c r="C267" s="21"/>
      <c r="D267" s="22"/>
      <c r="F267" s="22"/>
      <c r="G267" s="27"/>
      <c r="H267" s="22"/>
      <c r="I267" s="27"/>
      <c r="J267" s="247"/>
      <c r="K267" s="247"/>
      <c r="L267" s="247"/>
    </row>
    <row r="268" spans="1:12" s="20" customFormat="1" x14ac:dyDescent="0.25">
      <c r="A268" s="26"/>
      <c r="B268" s="21"/>
      <c r="C268" s="21"/>
      <c r="D268" s="22"/>
      <c r="F268" s="22"/>
      <c r="G268" s="27"/>
      <c r="H268" s="22"/>
      <c r="I268" s="27"/>
      <c r="J268" s="247"/>
      <c r="K268" s="247"/>
      <c r="L268" s="247"/>
    </row>
    <row r="269" spans="1:12" s="20" customFormat="1" x14ac:dyDescent="0.25">
      <c r="A269" s="26"/>
      <c r="B269" s="21"/>
      <c r="C269" s="21"/>
      <c r="D269" s="22"/>
      <c r="F269" s="22"/>
      <c r="G269" s="27"/>
      <c r="H269" s="22"/>
      <c r="I269" s="27"/>
      <c r="J269" s="247"/>
      <c r="K269" s="247"/>
      <c r="L269" s="247"/>
    </row>
    <row r="270" spans="1:12" s="20" customFormat="1" x14ac:dyDescent="0.25">
      <c r="A270" s="26"/>
      <c r="B270" s="21"/>
      <c r="C270" s="21"/>
      <c r="D270" s="22"/>
      <c r="F270" s="22"/>
      <c r="G270" s="27"/>
      <c r="H270" s="22"/>
      <c r="I270" s="27"/>
      <c r="J270" s="247"/>
      <c r="K270" s="247"/>
      <c r="L270" s="247"/>
    </row>
    <row r="271" spans="1:12" s="20" customFormat="1" x14ac:dyDescent="0.25">
      <c r="A271" s="26"/>
      <c r="B271" s="21"/>
      <c r="C271" s="21"/>
      <c r="D271" s="22"/>
      <c r="F271" s="22"/>
      <c r="G271" s="27"/>
      <c r="H271" s="22"/>
      <c r="I271" s="27"/>
      <c r="J271" s="247"/>
      <c r="K271" s="247"/>
      <c r="L271" s="247"/>
    </row>
    <row r="272" spans="1:12" s="20" customFormat="1" x14ac:dyDescent="0.25">
      <c r="A272" s="26"/>
      <c r="B272" s="21"/>
      <c r="C272" s="21"/>
      <c r="D272" s="22"/>
      <c r="F272" s="22"/>
      <c r="G272" s="27"/>
      <c r="H272" s="22"/>
      <c r="I272" s="27"/>
      <c r="J272" s="247"/>
      <c r="K272" s="247"/>
      <c r="L272" s="247"/>
    </row>
    <row r="273" spans="1:12" s="20" customFormat="1" x14ac:dyDescent="0.25">
      <c r="A273" s="26"/>
      <c r="B273" s="21"/>
      <c r="C273" s="21"/>
      <c r="D273" s="22"/>
      <c r="F273" s="22"/>
      <c r="G273" s="27"/>
      <c r="H273" s="22"/>
      <c r="I273" s="27"/>
      <c r="J273" s="247"/>
      <c r="K273" s="247"/>
      <c r="L273" s="247"/>
    </row>
    <row r="274" spans="1:12" s="20" customFormat="1" x14ac:dyDescent="0.25">
      <c r="A274" s="26"/>
      <c r="B274" s="21"/>
      <c r="C274" s="21"/>
      <c r="D274" s="22"/>
      <c r="F274" s="22"/>
      <c r="G274" s="27"/>
      <c r="H274" s="22"/>
      <c r="I274" s="27"/>
      <c r="J274" s="247"/>
      <c r="K274" s="247"/>
      <c r="L274" s="247"/>
    </row>
    <row r="275" spans="1:12" s="20" customFormat="1" x14ac:dyDescent="0.25">
      <c r="A275" s="26"/>
      <c r="B275" s="21"/>
      <c r="C275" s="21"/>
      <c r="D275" s="22"/>
      <c r="F275" s="22"/>
      <c r="G275" s="27"/>
      <c r="H275" s="22"/>
      <c r="I275" s="27"/>
      <c r="J275" s="247"/>
      <c r="K275" s="247"/>
      <c r="L275" s="247"/>
    </row>
    <row r="276" spans="1:12" s="20" customFormat="1" x14ac:dyDescent="0.25">
      <c r="A276" s="26"/>
      <c r="B276" s="21"/>
      <c r="C276" s="21"/>
      <c r="D276" s="22"/>
      <c r="F276" s="22"/>
      <c r="G276" s="27"/>
      <c r="H276" s="22"/>
      <c r="I276" s="27"/>
      <c r="J276" s="247"/>
      <c r="K276" s="247"/>
      <c r="L276" s="247"/>
    </row>
    <row r="277" spans="1:12" s="20" customFormat="1" x14ac:dyDescent="0.25">
      <c r="A277" s="26"/>
      <c r="B277" s="21"/>
      <c r="C277" s="21"/>
      <c r="D277" s="22"/>
      <c r="F277" s="22"/>
      <c r="G277" s="27"/>
      <c r="H277" s="22"/>
      <c r="I277" s="27"/>
      <c r="J277" s="247"/>
      <c r="K277" s="247"/>
      <c r="L277" s="247"/>
    </row>
    <row r="278" spans="1:12" s="20" customFormat="1" x14ac:dyDescent="0.25">
      <c r="A278" s="26"/>
      <c r="B278" s="21"/>
      <c r="C278" s="21"/>
      <c r="D278" s="22"/>
      <c r="F278" s="22"/>
      <c r="G278" s="27"/>
      <c r="H278" s="22"/>
      <c r="I278" s="27"/>
      <c r="J278" s="247"/>
      <c r="K278" s="247"/>
      <c r="L278" s="247"/>
    </row>
    <row r="279" spans="1:12" s="20" customFormat="1" x14ac:dyDescent="0.25">
      <c r="A279" s="26"/>
      <c r="B279" s="21"/>
      <c r="C279" s="21"/>
      <c r="D279" s="22"/>
      <c r="F279" s="22"/>
      <c r="G279" s="27"/>
      <c r="H279" s="22"/>
      <c r="I279" s="27"/>
      <c r="J279" s="247"/>
      <c r="K279" s="247"/>
      <c r="L279" s="247"/>
    </row>
    <row r="280" spans="1:12" s="20" customFormat="1" x14ac:dyDescent="0.25">
      <c r="A280" s="26"/>
      <c r="B280" s="21"/>
      <c r="C280" s="21"/>
      <c r="D280" s="22"/>
      <c r="F280" s="22"/>
      <c r="G280" s="27"/>
      <c r="H280" s="22"/>
      <c r="I280" s="27"/>
      <c r="J280" s="247"/>
      <c r="K280" s="247"/>
      <c r="L280" s="247"/>
    </row>
    <row r="281" spans="1:12" s="20" customFormat="1" x14ac:dyDescent="0.25">
      <c r="A281" s="26"/>
      <c r="B281" s="21"/>
      <c r="C281" s="21"/>
      <c r="D281" s="22"/>
      <c r="F281" s="22"/>
      <c r="G281" s="27"/>
      <c r="H281" s="22"/>
      <c r="I281" s="27"/>
      <c r="J281" s="247"/>
      <c r="K281" s="247"/>
      <c r="L281" s="247"/>
    </row>
    <row r="282" spans="1:12" s="20" customFormat="1" x14ac:dyDescent="0.25">
      <c r="A282" s="26"/>
      <c r="B282" s="21"/>
      <c r="C282" s="21"/>
      <c r="D282" s="22"/>
      <c r="F282" s="22"/>
      <c r="G282" s="27"/>
      <c r="H282" s="22"/>
      <c r="I282" s="27"/>
      <c r="J282" s="247"/>
      <c r="K282" s="247"/>
      <c r="L282" s="247"/>
    </row>
    <row r="283" spans="1:12" s="20" customFormat="1" x14ac:dyDescent="0.25">
      <c r="A283" s="26"/>
      <c r="B283" s="21"/>
      <c r="C283" s="21"/>
      <c r="D283" s="22"/>
      <c r="F283" s="22"/>
      <c r="G283" s="27"/>
      <c r="H283" s="22"/>
      <c r="I283" s="27"/>
      <c r="J283" s="247"/>
      <c r="K283" s="247"/>
      <c r="L283" s="247"/>
    </row>
    <row r="284" spans="1:12" s="20" customFormat="1" x14ac:dyDescent="0.25">
      <c r="A284" s="26"/>
      <c r="B284" s="21"/>
      <c r="C284" s="21"/>
      <c r="D284" s="22"/>
      <c r="F284" s="22"/>
      <c r="G284" s="27"/>
      <c r="H284" s="22"/>
      <c r="I284" s="27"/>
      <c r="J284" s="247"/>
      <c r="K284" s="247"/>
      <c r="L284" s="247"/>
    </row>
    <row r="285" spans="1:12" s="20" customFormat="1" x14ac:dyDescent="0.25">
      <c r="A285" s="26"/>
      <c r="B285" s="21"/>
      <c r="C285" s="21"/>
      <c r="D285" s="22"/>
      <c r="F285" s="22"/>
      <c r="G285" s="27"/>
      <c r="H285" s="22"/>
      <c r="I285" s="27"/>
      <c r="J285" s="247"/>
      <c r="K285" s="247"/>
      <c r="L285" s="247"/>
    </row>
    <row r="286" spans="1:12" s="20" customFormat="1" x14ac:dyDescent="0.25">
      <c r="A286" s="26"/>
      <c r="B286" s="21"/>
      <c r="C286" s="21"/>
      <c r="D286" s="22"/>
      <c r="F286" s="22"/>
      <c r="G286" s="27"/>
      <c r="H286" s="22"/>
      <c r="I286" s="27"/>
      <c r="J286" s="247"/>
      <c r="K286" s="247"/>
      <c r="L286" s="247"/>
    </row>
    <row r="287" spans="1:12" s="20" customFormat="1" x14ac:dyDescent="0.25">
      <c r="A287" s="26"/>
      <c r="B287" s="21"/>
      <c r="C287" s="21"/>
      <c r="D287" s="22"/>
      <c r="F287" s="22"/>
      <c r="G287" s="27"/>
      <c r="H287" s="22"/>
      <c r="I287" s="27"/>
      <c r="J287" s="247"/>
      <c r="K287" s="247"/>
      <c r="L287" s="247"/>
    </row>
    <row r="288" spans="1:12" s="20" customFormat="1" x14ac:dyDescent="0.25">
      <c r="A288" s="26"/>
      <c r="B288" s="21"/>
      <c r="C288" s="21"/>
      <c r="D288" s="22"/>
      <c r="F288" s="22"/>
      <c r="G288" s="27"/>
      <c r="H288" s="22"/>
      <c r="I288" s="27"/>
      <c r="J288" s="247"/>
      <c r="K288" s="247"/>
      <c r="L288" s="247"/>
    </row>
    <row r="289" spans="1:12" s="20" customFormat="1" x14ac:dyDescent="0.25">
      <c r="A289" s="26"/>
      <c r="B289" s="21"/>
      <c r="C289" s="21"/>
      <c r="D289" s="22"/>
      <c r="F289" s="22"/>
      <c r="G289" s="27"/>
      <c r="H289" s="22"/>
      <c r="I289" s="27"/>
      <c r="J289" s="247"/>
      <c r="K289" s="247"/>
      <c r="L289" s="247"/>
    </row>
    <row r="290" spans="1:12" s="20" customFormat="1" x14ac:dyDescent="0.25">
      <c r="A290" s="26"/>
      <c r="B290" s="21"/>
      <c r="C290" s="21"/>
      <c r="D290" s="22"/>
      <c r="F290" s="22"/>
      <c r="G290" s="27"/>
      <c r="H290" s="22"/>
      <c r="I290" s="27"/>
      <c r="J290" s="247"/>
      <c r="K290" s="247"/>
      <c r="L290" s="247"/>
    </row>
    <row r="291" spans="1:12" s="20" customFormat="1" x14ac:dyDescent="0.25">
      <c r="A291" s="26"/>
      <c r="B291" s="21"/>
      <c r="C291" s="21"/>
      <c r="D291" s="22"/>
      <c r="F291" s="22"/>
      <c r="G291" s="27"/>
      <c r="H291" s="22"/>
      <c r="I291" s="27"/>
      <c r="J291" s="247"/>
      <c r="K291" s="247"/>
      <c r="L291" s="247"/>
    </row>
    <row r="292" spans="1:12" s="20" customFormat="1" x14ac:dyDescent="0.25">
      <c r="A292" s="26"/>
      <c r="B292" s="21"/>
      <c r="C292" s="21"/>
      <c r="D292" s="22"/>
      <c r="F292" s="22"/>
      <c r="G292" s="27"/>
      <c r="H292" s="22"/>
      <c r="I292" s="27"/>
      <c r="J292" s="247"/>
      <c r="K292" s="247"/>
      <c r="L292" s="247"/>
    </row>
    <row r="293" spans="1:12" s="20" customFormat="1" x14ac:dyDescent="0.25">
      <c r="A293" s="26"/>
      <c r="B293" s="21"/>
      <c r="C293" s="21"/>
      <c r="D293" s="22"/>
      <c r="F293" s="22"/>
      <c r="G293" s="27"/>
      <c r="H293" s="22"/>
      <c r="I293" s="27"/>
      <c r="J293" s="247"/>
      <c r="K293" s="247"/>
      <c r="L293" s="247"/>
    </row>
    <row r="294" spans="1:12" s="20" customFormat="1" x14ac:dyDescent="0.25">
      <c r="A294" s="26"/>
      <c r="B294" s="21"/>
      <c r="C294" s="21"/>
      <c r="D294" s="22"/>
      <c r="F294" s="22"/>
      <c r="G294" s="27"/>
      <c r="H294" s="22"/>
      <c r="I294" s="27"/>
      <c r="J294" s="247"/>
      <c r="K294" s="247"/>
      <c r="L294" s="247"/>
    </row>
    <row r="295" spans="1:12" s="20" customFormat="1" x14ac:dyDescent="0.25">
      <c r="A295" s="26"/>
      <c r="B295" s="21"/>
      <c r="C295" s="21"/>
      <c r="D295" s="22"/>
      <c r="F295" s="22"/>
      <c r="G295" s="27"/>
      <c r="H295" s="22"/>
      <c r="I295" s="27"/>
      <c r="J295" s="247"/>
      <c r="K295" s="247"/>
      <c r="L295" s="247"/>
    </row>
    <row r="296" spans="1:12" s="20" customFormat="1" x14ac:dyDescent="0.25">
      <c r="A296" s="26"/>
      <c r="B296" s="21"/>
      <c r="C296" s="21"/>
      <c r="D296" s="22"/>
      <c r="F296" s="22"/>
      <c r="G296" s="27"/>
      <c r="H296" s="22"/>
      <c r="I296" s="27"/>
      <c r="J296" s="247"/>
      <c r="K296" s="247"/>
      <c r="L296" s="247"/>
    </row>
    <row r="297" spans="1:12" s="20" customFormat="1" x14ac:dyDescent="0.25">
      <c r="A297" s="26"/>
      <c r="B297" s="21"/>
      <c r="C297" s="21"/>
      <c r="D297" s="22"/>
      <c r="F297" s="22"/>
      <c r="G297" s="27"/>
      <c r="H297" s="22"/>
      <c r="I297" s="27"/>
      <c r="J297" s="247"/>
      <c r="K297" s="247"/>
      <c r="L297" s="247"/>
    </row>
    <row r="298" spans="1:12" s="20" customFormat="1" x14ac:dyDescent="0.25">
      <c r="A298" s="26"/>
      <c r="B298" s="21"/>
      <c r="C298" s="21"/>
      <c r="D298" s="22"/>
      <c r="F298" s="22"/>
      <c r="G298" s="27"/>
      <c r="H298" s="22"/>
      <c r="I298" s="27"/>
      <c r="J298" s="247"/>
      <c r="K298" s="247"/>
      <c r="L298" s="247"/>
    </row>
    <row r="299" spans="1:12" s="20" customFormat="1" x14ac:dyDescent="0.25">
      <c r="A299" s="26"/>
      <c r="B299" s="21"/>
      <c r="C299" s="21"/>
      <c r="D299" s="22"/>
      <c r="F299" s="22"/>
      <c r="G299" s="27"/>
      <c r="H299" s="22"/>
      <c r="I299" s="27"/>
      <c r="J299" s="247"/>
      <c r="K299" s="247"/>
      <c r="L299" s="247"/>
    </row>
    <row r="300" spans="1:12" s="20" customFormat="1" x14ac:dyDescent="0.25">
      <c r="A300" s="26"/>
      <c r="B300" s="21"/>
      <c r="C300" s="21"/>
      <c r="D300" s="22"/>
      <c r="F300" s="22"/>
      <c r="G300" s="27"/>
      <c r="H300" s="22"/>
      <c r="I300" s="27"/>
      <c r="J300" s="247"/>
      <c r="K300" s="247"/>
      <c r="L300" s="247"/>
    </row>
    <row r="301" spans="1:12" s="20" customFormat="1" x14ac:dyDescent="0.25">
      <c r="A301" s="26"/>
      <c r="B301" s="21"/>
      <c r="C301" s="21"/>
      <c r="D301" s="22"/>
      <c r="F301" s="22"/>
      <c r="G301" s="27"/>
      <c r="H301" s="22"/>
      <c r="I301" s="27"/>
      <c r="J301" s="247"/>
      <c r="K301" s="247"/>
      <c r="L301" s="247"/>
    </row>
    <row r="302" spans="1:12" s="20" customFormat="1" x14ac:dyDescent="0.25">
      <c r="A302" s="26"/>
      <c r="B302" s="21"/>
      <c r="C302" s="21"/>
      <c r="D302" s="22"/>
      <c r="F302" s="22"/>
      <c r="G302" s="27"/>
      <c r="H302" s="22"/>
      <c r="I302" s="27"/>
      <c r="J302" s="247"/>
      <c r="K302" s="247"/>
      <c r="L302" s="247"/>
    </row>
    <row r="303" spans="1:12" s="20" customFormat="1" x14ac:dyDescent="0.25">
      <c r="A303" s="26"/>
      <c r="B303" s="21"/>
      <c r="C303" s="21"/>
      <c r="D303" s="22"/>
      <c r="F303" s="22"/>
      <c r="G303" s="27"/>
      <c r="H303" s="22"/>
      <c r="I303" s="27"/>
      <c r="J303" s="247"/>
      <c r="K303" s="247"/>
      <c r="L303" s="247"/>
    </row>
    <row r="304" spans="1:12" s="20" customFormat="1" x14ac:dyDescent="0.25">
      <c r="A304" s="26"/>
      <c r="B304" s="21"/>
      <c r="C304" s="21"/>
      <c r="D304" s="22"/>
      <c r="F304" s="22"/>
      <c r="G304" s="27"/>
      <c r="H304" s="22"/>
      <c r="I304" s="27"/>
      <c r="J304" s="247"/>
      <c r="K304" s="247"/>
      <c r="L304" s="247"/>
    </row>
    <row r="305" spans="1:12" s="20" customFormat="1" x14ac:dyDescent="0.25">
      <c r="A305" s="26"/>
      <c r="B305" s="21"/>
      <c r="C305" s="21"/>
      <c r="D305" s="22"/>
      <c r="F305" s="22"/>
      <c r="G305" s="27"/>
      <c r="H305" s="22"/>
      <c r="I305" s="27"/>
      <c r="J305" s="247"/>
      <c r="K305" s="247"/>
      <c r="L305" s="247"/>
    </row>
    <row r="306" spans="1:12" s="20" customFormat="1" x14ac:dyDescent="0.25">
      <c r="A306" s="26"/>
      <c r="B306" s="21"/>
      <c r="C306" s="21"/>
      <c r="D306" s="22"/>
      <c r="F306" s="22"/>
      <c r="G306" s="27"/>
      <c r="H306" s="22"/>
      <c r="I306" s="27"/>
      <c r="J306" s="247"/>
      <c r="K306" s="247"/>
      <c r="L306" s="247"/>
    </row>
    <row r="307" spans="1:12" s="20" customFormat="1" x14ac:dyDescent="0.25">
      <c r="A307" s="26"/>
      <c r="B307" s="21"/>
      <c r="C307" s="21"/>
      <c r="D307" s="22"/>
      <c r="F307" s="22"/>
      <c r="G307" s="27"/>
      <c r="H307" s="22"/>
      <c r="I307" s="27"/>
      <c r="J307" s="247"/>
      <c r="K307" s="247"/>
      <c r="L307" s="247"/>
    </row>
    <row r="308" spans="1:12" s="20" customFormat="1" x14ac:dyDescent="0.25">
      <c r="A308" s="26"/>
      <c r="B308" s="21"/>
      <c r="C308" s="21"/>
      <c r="D308" s="22"/>
      <c r="F308" s="22"/>
      <c r="G308" s="27"/>
      <c r="H308" s="22"/>
      <c r="I308" s="27"/>
      <c r="J308" s="247"/>
      <c r="K308" s="247"/>
      <c r="L308" s="247"/>
    </row>
    <row r="309" spans="1:12" s="20" customFormat="1" x14ac:dyDescent="0.25">
      <c r="A309" s="26"/>
      <c r="B309" s="21"/>
      <c r="C309" s="21"/>
      <c r="D309" s="22"/>
      <c r="F309" s="22"/>
      <c r="G309" s="27"/>
      <c r="H309" s="22"/>
      <c r="I309" s="27"/>
      <c r="J309" s="247"/>
      <c r="K309" s="247"/>
      <c r="L309" s="247"/>
    </row>
    <row r="310" spans="1:12" s="20" customFormat="1" x14ac:dyDescent="0.25">
      <c r="A310" s="26"/>
      <c r="B310" s="21"/>
      <c r="C310" s="21"/>
      <c r="D310" s="22"/>
      <c r="F310" s="22"/>
      <c r="G310" s="27"/>
      <c r="H310" s="22"/>
      <c r="I310" s="27"/>
      <c r="J310" s="247"/>
      <c r="K310" s="247"/>
      <c r="L310" s="247"/>
    </row>
    <row r="311" spans="1:12" s="20" customFormat="1" x14ac:dyDescent="0.25">
      <c r="A311" s="26"/>
      <c r="B311" s="21"/>
      <c r="C311" s="21"/>
      <c r="D311" s="22"/>
      <c r="F311" s="22"/>
      <c r="G311" s="27"/>
      <c r="H311" s="22"/>
      <c r="I311" s="27"/>
      <c r="J311" s="247"/>
      <c r="K311" s="247"/>
      <c r="L311" s="247"/>
    </row>
    <row r="312" spans="1:12" s="20" customFormat="1" x14ac:dyDescent="0.25">
      <c r="A312" s="26"/>
      <c r="B312" s="21"/>
      <c r="C312" s="21"/>
      <c r="D312" s="22"/>
      <c r="F312" s="22"/>
      <c r="G312" s="27"/>
      <c r="H312" s="22"/>
      <c r="I312" s="27"/>
      <c r="J312" s="247"/>
      <c r="K312" s="247"/>
      <c r="L312" s="247"/>
    </row>
    <row r="313" spans="1:12" s="20" customFormat="1" x14ac:dyDescent="0.25">
      <c r="A313" s="26"/>
      <c r="B313" s="21"/>
      <c r="C313" s="21"/>
      <c r="D313" s="22"/>
      <c r="F313" s="22"/>
      <c r="G313" s="27"/>
      <c r="H313" s="22"/>
      <c r="I313" s="27"/>
      <c r="J313" s="247"/>
      <c r="K313" s="247"/>
      <c r="L313" s="247"/>
    </row>
    <row r="314" spans="1:12" s="20" customFormat="1" x14ac:dyDescent="0.25">
      <c r="A314" s="26"/>
      <c r="B314" s="21"/>
      <c r="C314" s="21"/>
      <c r="D314" s="22"/>
      <c r="F314" s="22"/>
      <c r="G314" s="27"/>
      <c r="H314" s="22"/>
      <c r="I314" s="27"/>
      <c r="J314" s="247"/>
      <c r="K314" s="247"/>
      <c r="L314" s="247"/>
    </row>
    <row r="315" spans="1:12" s="20" customFormat="1" x14ac:dyDescent="0.25">
      <c r="A315" s="26"/>
      <c r="B315" s="21"/>
      <c r="C315" s="21"/>
      <c r="D315" s="22"/>
      <c r="F315" s="22"/>
      <c r="G315" s="27"/>
      <c r="H315" s="22"/>
      <c r="I315" s="27"/>
      <c r="J315" s="247"/>
      <c r="K315" s="247"/>
      <c r="L315" s="247"/>
    </row>
    <row r="316" spans="1:12" s="20" customFormat="1" x14ac:dyDescent="0.25">
      <c r="A316" s="26"/>
      <c r="B316" s="21"/>
      <c r="C316" s="21"/>
      <c r="D316" s="22"/>
      <c r="F316" s="22"/>
      <c r="G316" s="27"/>
      <c r="H316" s="22"/>
      <c r="I316" s="27"/>
      <c r="J316" s="247"/>
      <c r="K316" s="247"/>
      <c r="L316" s="247"/>
    </row>
    <row r="317" spans="1:12" s="20" customFormat="1" x14ac:dyDescent="0.25">
      <c r="A317" s="26"/>
      <c r="B317" s="21"/>
      <c r="C317" s="21"/>
      <c r="D317" s="22"/>
      <c r="F317" s="22"/>
      <c r="G317" s="27"/>
      <c r="H317" s="22"/>
      <c r="I317" s="27"/>
      <c r="J317" s="247"/>
      <c r="K317" s="247"/>
      <c r="L317" s="247"/>
    </row>
    <row r="318" spans="1:12" s="20" customFormat="1" x14ac:dyDescent="0.25">
      <c r="A318" s="26"/>
      <c r="B318" s="21"/>
      <c r="C318" s="21"/>
      <c r="D318" s="22"/>
      <c r="F318" s="22"/>
      <c r="G318" s="27"/>
      <c r="H318" s="22"/>
      <c r="I318" s="27"/>
      <c r="J318" s="247"/>
      <c r="K318" s="247"/>
      <c r="L318" s="247"/>
    </row>
    <row r="319" spans="1:12" s="20" customFormat="1" x14ac:dyDescent="0.25">
      <c r="A319" s="26"/>
      <c r="B319" s="21"/>
      <c r="C319" s="21"/>
      <c r="D319" s="22"/>
      <c r="F319" s="22"/>
      <c r="G319" s="27"/>
      <c r="H319" s="22"/>
      <c r="I319" s="27"/>
      <c r="J319" s="247"/>
      <c r="K319" s="247"/>
      <c r="L319" s="247"/>
    </row>
    <row r="320" spans="1:12" s="20" customFormat="1" x14ac:dyDescent="0.25">
      <c r="A320" s="26"/>
      <c r="B320" s="21"/>
      <c r="C320" s="21"/>
      <c r="D320" s="22"/>
      <c r="F320" s="22"/>
      <c r="G320" s="27"/>
      <c r="H320" s="22"/>
      <c r="I320" s="27"/>
      <c r="J320" s="247"/>
      <c r="K320" s="247"/>
      <c r="L320" s="247"/>
    </row>
    <row r="321" spans="1:12" s="20" customFormat="1" x14ac:dyDescent="0.25">
      <c r="A321" s="26"/>
      <c r="B321" s="21"/>
      <c r="C321" s="21"/>
      <c r="D321" s="22"/>
      <c r="F321" s="22"/>
      <c r="G321" s="27"/>
      <c r="H321" s="22"/>
      <c r="I321" s="27"/>
      <c r="J321" s="247"/>
      <c r="K321" s="247"/>
      <c r="L321" s="247"/>
    </row>
    <row r="322" spans="1:12" s="20" customFormat="1" x14ac:dyDescent="0.25">
      <c r="A322" s="26"/>
      <c r="B322" s="21"/>
      <c r="C322" s="21"/>
      <c r="D322" s="22"/>
      <c r="F322" s="22"/>
      <c r="G322" s="27"/>
      <c r="H322" s="22"/>
      <c r="I322" s="27"/>
      <c r="J322" s="247"/>
      <c r="K322" s="247"/>
      <c r="L322" s="247"/>
    </row>
    <row r="323" spans="1:12" s="20" customFormat="1" x14ac:dyDescent="0.25">
      <c r="A323" s="26"/>
      <c r="B323" s="21"/>
      <c r="C323" s="21"/>
      <c r="D323" s="22"/>
      <c r="F323" s="22"/>
      <c r="G323" s="27"/>
      <c r="H323" s="22"/>
      <c r="I323" s="27"/>
      <c r="J323" s="247"/>
      <c r="K323" s="247"/>
      <c r="L323" s="247"/>
    </row>
    <row r="324" spans="1:12" s="20" customFormat="1" x14ac:dyDescent="0.25">
      <c r="A324" s="26"/>
      <c r="B324" s="21"/>
      <c r="C324" s="21"/>
      <c r="D324" s="22"/>
      <c r="F324" s="22"/>
      <c r="G324" s="27"/>
      <c r="H324" s="22"/>
      <c r="I324" s="27"/>
      <c r="J324" s="247"/>
      <c r="K324" s="247"/>
      <c r="L324" s="247"/>
    </row>
    <row r="325" spans="1:12" s="20" customFormat="1" x14ac:dyDescent="0.25">
      <c r="A325" s="26"/>
      <c r="B325" s="21"/>
      <c r="C325" s="21"/>
      <c r="D325" s="22"/>
      <c r="F325" s="22"/>
      <c r="G325" s="27"/>
      <c r="H325" s="22"/>
      <c r="I325" s="27"/>
      <c r="J325" s="247"/>
      <c r="K325" s="247"/>
      <c r="L325" s="247"/>
    </row>
    <row r="326" spans="1:12" s="20" customFormat="1" x14ac:dyDescent="0.25">
      <c r="A326" s="26"/>
      <c r="B326" s="21"/>
      <c r="C326" s="21"/>
      <c r="D326" s="22"/>
      <c r="F326" s="22"/>
      <c r="G326" s="27"/>
      <c r="H326" s="22"/>
      <c r="I326" s="27"/>
      <c r="J326" s="247"/>
      <c r="K326" s="247"/>
      <c r="L326" s="247"/>
    </row>
    <row r="327" spans="1:12" s="20" customFormat="1" x14ac:dyDescent="0.25">
      <c r="A327" s="26"/>
      <c r="B327" s="21"/>
      <c r="C327" s="21"/>
      <c r="D327" s="22"/>
      <c r="F327" s="22"/>
      <c r="G327" s="27"/>
      <c r="H327" s="22"/>
      <c r="I327" s="27"/>
      <c r="J327" s="247"/>
      <c r="K327" s="247"/>
      <c r="L327" s="247"/>
    </row>
    <row r="328" spans="1:12" s="20" customFormat="1" x14ac:dyDescent="0.25">
      <c r="A328" s="26"/>
      <c r="B328" s="21"/>
      <c r="C328" s="21"/>
      <c r="D328" s="22"/>
      <c r="F328" s="22"/>
      <c r="G328" s="27"/>
      <c r="H328" s="22"/>
      <c r="I328" s="27"/>
      <c r="J328" s="247"/>
      <c r="K328" s="247"/>
      <c r="L328" s="247"/>
    </row>
    <row r="329" spans="1:12" s="20" customFormat="1" x14ac:dyDescent="0.25">
      <c r="A329" s="26"/>
      <c r="B329" s="21"/>
      <c r="C329" s="21"/>
      <c r="D329" s="22"/>
      <c r="F329" s="22"/>
      <c r="G329" s="27"/>
      <c r="H329" s="22"/>
      <c r="I329" s="27"/>
      <c r="J329" s="247"/>
      <c r="K329" s="247"/>
      <c r="L329" s="247"/>
    </row>
    <row r="330" spans="1:12" s="20" customFormat="1" x14ac:dyDescent="0.25">
      <c r="A330" s="26"/>
      <c r="B330" s="21"/>
      <c r="C330" s="21"/>
      <c r="D330" s="22"/>
      <c r="F330" s="22"/>
      <c r="G330" s="27"/>
      <c r="H330" s="22"/>
      <c r="I330" s="27"/>
      <c r="J330" s="247"/>
      <c r="K330" s="247"/>
      <c r="L330" s="247"/>
    </row>
    <row r="331" spans="1:12" s="20" customFormat="1" x14ac:dyDescent="0.25">
      <c r="A331" s="26"/>
      <c r="B331" s="21"/>
      <c r="C331" s="21"/>
      <c r="D331" s="22"/>
      <c r="F331" s="22"/>
      <c r="G331" s="27"/>
      <c r="H331" s="22"/>
      <c r="I331" s="27"/>
      <c r="J331" s="247"/>
      <c r="K331" s="247"/>
      <c r="L331" s="247"/>
    </row>
    <row r="332" spans="1:12" s="20" customFormat="1" x14ac:dyDescent="0.25">
      <c r="A332" s="26"/>
      <c r="B332" s="21"/>
      <c r="C332" s="21"/>
      <c r="D332" s="22"/>
      <c r="F332" s="22"/>
      <c r="G332" s="27"/>
      <c r="H332" s="22"/>
      <c r="I332" s="27"/>
      <c r="J332" s="247"/>
      <c r="K332" s="247"/>
      <c r="L332" s="247"/>
    </row>
    <row r="333" spans="1:12" s="20" customFormat="1" x14ac:dyDescent="0.25">
      <c r="A333" s="26"/>
      <c r="B333" s="21"/>
      <c r="C333" s="21"/>
      <c r="D333" s="22"/>
      <c r="F333" s="22"/>
      <c r="G333" s="27"/>
      <c r="H333" s="22"/>
      <c r="I333" s="27"/>
      <c r="J333" s="247"/>
      <c r="K333" s="247"/>
      <c r="L333" s="247"/>
    </row>
    <row r="334" spans="1:12" s="20" customFormat="1" x14ac:dyDescent="0.25">
      <c r="A334" s="26"/>
      <c r="B334" s="21"/>
      <c r="C334" s="21"/>
      <c r="D334" s="22"/>
      <c r="F334" s="22"/>
      <c r="G334" s="27"/>
      <c r="H334" s="22"/>
      <c r="I334" s="27"/>
      <c r="J334" s="247"/>
      <c r="K334" s="247"/>
      <c r="L334" s="247"/>
    </row>
    <row r="335" spans="1:12" s="20" customFormat="1" x14ac:dyDescent="0.25">
      <c r="A335" s="26"/>
      <c r="B335" s="21"/>
      <c r="C335" s="21"/>
      <c r="D335" s="22"/>
      <c r="F335" s="22"/>
      <c r="G335" s="27"/>
      <c r="H335" s="22"/>
      <c r="I335" s="27"/>
      <c r="J335" s="247"/>
      <c r="K335" s="247"/>
      <c r="L335" s="247"/>
    </row>
    <row r="336" spans="1:12" s="20" customFormat="1" x14ac:dyDescent="0.25">
      <c r="A336" s="26"/>
      <c r="B336" s="21"/>
      <c r="C336" s="21"/>
      <c r="D336" s="22"/>
      <c r="F336" s="22"/>
      <c r="G336" s="27"/>
      <c r="H336" s="22"/>
      <c r="I336" s="27"/>
      <c r="J336" s="247"/>
      <c r="K336" s="247"/>
      <c r="L336" s="247"/>
    </row>
    <row r="337" spans="1:12" s="20" customFormat="1" x14ac:dyDescent="0.25">
      <c r="A337" s="26"/>
      <c r="B337" s="21"/>
      <c r="C337" s="21"/>
      <c r="D337" s="22"/>
      <c r="F337" s="22"/>
      <c r="G337" s="27"/>
      <c r="H337" s="22"/>
      <c r="I337" s="27"/>
      <c r="J337" s="247"/>
      <c r="K337" s="247"/>
      <c r="L337" s="247"/>
    </row>
    <row r="338" spans="1:12" s="20" customFormat="1" x14ac:dyDescent="0.25">
      <c r="A338" s="26"/>
      <c r="B338" s="21"/>
      <c r="C338" s="21"/>
      <c r="D338" s="22"/>
      <c r="F338" s="22"/>
      <c r="G338" s="27"/>
      <c r="H338" s="22"/>
      <c r="I338" s="27"/>
      <c r="J338" s="247"/>
      <c r="K338" s="247"/>
      <c r="L338" s="247"/>
    </row>
    <row r="339" spans="1:12" s="20" customFormat="1" x14ac:dyDescent="0.25">
      <c r="A339" s="26"/>
      <c r="B339" s="21"/>
      <c r="C339" s="21"/>
      <c r="D339" s="22"/>
      <c r="F339" s="22"/>
      <c r="G339" s="27"/>
      <c r="H339" s="22"/>
      <c r="I339" s="27"/>
      <c r="J339" s="247"/>
      <c r="K339" s="247"/>
      <c r="L339" s="247"/>
    </row>
    <row r="340" spans="1:12" s="20" customFormat="1" x14ac:dyDescent="0.25">
      <c r="A340" s="26"/>
      <c r="B340" s="21"/>
      <c r="C340" s="21"/>
      <c r="D340" s="22"/>
      <c r="F340" s="22"/>
      <c r="G340" s="27"/>
      <c r="H340" s="22"/>
      <c r="I340" s="27"/>
      <c r="J340" s="247"/>
      <c r="K340" s="247"/>
      <c r="L340" s="247"/>
    </row>
    <row r="341" spans="1:12" s="20" customFormat="1" x14ac:dyDescent="0.25">
      <c r="A341" s="26"/>
      <c r="B341" s="21"/>
      <c r="C341" s="21"/>
      <c r="D341" s="22"/>
      <c r="F341" s="22"/>
      <c r="G341" s="27"/>
      <c r="H341" s="22"/>
      <c r="I341" s="27"/>
      <c r="J341" s="247"/>
      <c r="K341" s="247"/>
      <c r="L341" s="247"/>
    </row>
    <row r="342" spans="1:12" s="20" customFormat="1" x14ac:dyDescent="0.25">
      <c r="A342" s="26"/>
      <c r="B342" s="21"/>
      <c r="C342" s="21"/>
      <c r="D342" s="22"/>
      <c r="F342" s="22"/>
      <c r="G342" s="27"/>
      <c r="H342" s="22"/>
      <c r="I342" s="27"/>
      <c r="J342" s="247"/>
      <c r="K342" s="247"/>
      <c r="L342" s="247"/>
    </row>
    <row r="343" spans="1:12" s="20" customFormat="1" x14ac:dyDescent="0.25">
      <c r="A343" s="26"/>
      <c r="B343" s="21"/>
      <c r="C343" s="21"/>
      <c r="D343" s="22"/>
      <c r="F343" s="22"/>
      <c r="G343" s="27"/>
      <c r="H343" s="22"/>
      <c r="I343" s="27"/>
      <c r="J343" s="247"/>
      <c r="K343" s="247"/>
      <c r="L343" s="247"/>
    </row>
    <row r="344" spans="1:12" s="20" customFormat="1" x14ac:dyDescent="0.25">
      <c r="A344" s="26"/>
      <c r="B344" s="21"/>
      <c r="C344" s="21"/>
      <c r="D344" s="22"/>
      <c r="F344" s="22"/>
      <c r="G344" s="27"/>
      <c r="H344" s="22"/>
      <c r="I344" s="27"/>
      <c r="J344" s="247"/>
      <c r="K344" s="247"/>
      <c r="L344" s="247"/>
    </row>
    <row r="345" spans="1:12" s="20" customFormat="1" x14ac:dyDescent="0.25">
      <c r="A345" s="26"/>
      <c r="B345" s="21"/>
      <c r="C345" s="21"/>
      <c r="D345" s="22"/>
      <c r="F345" s="22"/>
      <c r="G345" s="27"/>
      <c r="H345" s="22"/>
      <c r="I345" s="27"/>
      <c r="J345" s="247"/>
      <c r="K345" s="247"/>
      <c r="L345" s="247"/>
    </row>
    <row r="346" spans="1:12" s="20" customFormat="1" x14ac:dyDescent="0.25">
      <c r="A346" s="26"/>
      <c r="B346" s="21"/>
      <c r="C346" s="21"/>
      <c r="D346" s="22"/>
      <c r="F346" s="22"/>
      <c r="G346" s="27"/>
      <c r="H346" s="22"/>
      <c r="I346" s="27"/>
      <c r="J346" s="247"/>
      <c r="K346" s="247"/>
      <c r="L346" s="247"/>
    </row>
    <row r="347" spans="1:12" s="20" customFormat="1" x14ac:dyDescent="0.25">
      <c r="A347" s="26"/>
      <c r="B347" s="21"/>
      <c r="C347" s="21"/>
      <c r="D347" s="22"/>
      <c r="F347" s="22"/>
      <c r="G347" s="27"/>
      <c r="H347" s="22"/>
      <c r="I347" s="27"/>
      <c r="J347" s="247"/>
      <c r="K347" s="247"/>
      <c r="L347" s="247"/>
    </row>
    <row r="348" spans="1:12" s="20" customFormat="1" x14ac:dyDescent="0.25">
      <c r="A348" s="26"/>
      <c r="B348" s="21"/>
      <c r="C348" s="21"/>
      <c r="D348" s="22"/>
      <c r="F348" s="22"/>
      <c r="G348" s="27"/>
      <c r="H348" s="22"/>
      <c r="I348" s="27"/>
      <c r="J348" s="247"/>
      <c r="K348" s="247"/>
      <c r="L348" s="247"/>
    </row>
    <row r="349" spans="1:12" s="20" customFormat="1" x14ac:dyDescent="0.25">
      <c r="A349" s="26"/>
      <c r="B349" s="21"/>
      <c r="C349" s="21"/>
      <c r="D349" s="22"/>
      <c r="F349" s="22"/>
      <c r="G349" s="27"/>
      <c r="H349" s="22"/>
      <c r="I349" s="27"/>
      <c r="J349" s="247"/>
      <c r="K349" s="247"/>
      <c r="L349" s="247"/>
    </row>
    <row r="350" spans="1:12" s="20" customFormat="1" x14ac:dyDescent="0.25">
      <c r="A350" s="26"/>
      <c r="B350" s="21"/>
      <c r="C350" s="21"/>
      <c r="D350" s="22"/>
      <c r="F350" s="22"/>
      <c r="G350" s="27"/>
      <c r="H350" s="22"/>
      <c r="I350" s="27"/>
      <c r="J350" s="247"/>
      <c r="K350" s="247"/>
      <c r="L350" s="247"/>
    </row>
    <row r="351" spans="1:12" s="20" customFormat="1" x14ac:dyDescent="0.25">
      <c r="A351" s="26"/>
      <c r="B351" s="21"/>
      <c r="C351" s="21"/>
      <c r="D351" s="22"/>
      <c r="F351" s="22"/>
      <c r="G351" s="27"/>
      <c r="H351" s="22"/>
      <c r="I351" s="27"/>
      <c r="J351" s="247"/>
      <c r="K351" s="247"/>
      <c r="L351" s="247"/>
    </row>
    <row r="352" spans="1:12" s="20" customFormat="1" x14ac:dyDescent="0.25">
      <c r="A352" s="26"/>
      <c r="B352" s="21"/>
      <c r="C352" s="21"/>
      <c r="D352" s="22"/>
      <c r="F352" s="22"/>
      <c r="G352" s="27"/>
      <c r="H352" s="22"/>
      <c r="I352" s="27"/>
      <c r="J352" s="247"/>
      <c r="K352" s="247"/>
      <c r="L352" s="247"/>
    </row>
    <row r="353" spans="1:12" s="20" customFormat="1" x14ac:dyDescent="0.25">
      <c r="A353" s="26"/>
      <c r="B353" s="21"/>
      <c r="C353" s="21"/>
      <c r="D353" s="22"/>
      <c r="F353" s="22"/>
      <c r="G353" s="27"/>
      <c r="H353" s="22"/>
      <c r="I353" s="27"/>
      <c r="J353" s="247"/>
      <c r="K353" s="247"/>
      <c r="L353" s="247"/>
    </row>
    <row r="354" spans="1:12" s="20" customFormat="1" x14ac:dyDescent="0.25">
      <c r="A354" s="26"/>
      <c r="B354" s="21"/>
      <c r="C354" s="21"/>
      <c r="D354" s="22"/>
      <c r="F354" s="22"/>
      <c r="G354" s="27"/>
      <c r="H354" s="22"/>
      <c r="I354" s="27"/>
      <c r="J354" s="247"/>
      <c r="K354" s="247"/>
      <c r="L354" s="247"/>
    </row>
    <row r="355" spans="1:12" s="20" customFormat="1" x14ac:dyDescent="0.25">
      <c r="A355" s="26"/>
      <c r="B355" s="21"/>
      <c r="C355" s="21"/>
      <c r="D355" s="22"/>
      <c r="F355" s="22"/>
      <c r="G355" s="27"/>
      <c r="H355" s="22"/>
      <c r="I355" s="27"/>
      <c r="J355" s="247"/>
      <c r="K355" s="247"/>
      <c r="L355" s="247"/>
    </row>
    <row r="356" spans="1:12" s="20" customFormat="1" x14ac:dyDescent="0.25">
      <c r="A356" s="26"/>
      <c r="B356" s="21"/>
      <c r="C356" s="21"/>
      <c r="D356" s="22"/>
      <c r="F356" s="22"/>
      <c r="G356" s="27"/>
      <c r="H356" s="22"/>
      <c r="I356" s="27"/>
      <c r="J356" s="247"/>
      <c r="K356" s="247"/>
      <c r="L356" s="247"/>
    </row>
    <row r="357" spans="1:12" s="20" customFormat="1" x14ac:dyDescent="0.25">
      <c r="A357" s="26"/>
      <c r="B357" s="21"/>
      <c r="C357" s="21"/>
      <c r="D357" s="22"/>
      <c r="F357" s="22"/>
      <c r="G357" s="27"/>
      <c r="H357" s="22"/>
      <c r="I357" s="27"/>
      <c r="J357" s="247"/>
      <c r="K357" s="247"/>
      <c r="L357" s="247"/>
    </row>
    <row r="358" spans="1:12" s="20" customFormat="1" x14ac:dyDescent="0.25">
      <c r="A358" s="26"/>
      <c r="B358" s="21"/>
      <c r="C358" s="21"/>
      <c r="D358" s="22"/>
      <c r="F358" s="22"/>
      <c r="G358" s="27"/>
      <c r="H358" s="22"/>
      <c r="I358" s="27"/>
      <c r="J358" s="247"/>
      <c r="K358" s="247"/>
      <c r="L358" s="247"/>
    </row>
    <row r="359" spans="1:12" s="20" customFormat="1" x14ac:dyDescent="0.25">
      <c r="A359" s="26"/>
      <c r="B359" s="21"/>
      <c r="C359" s="21"/>
      <c r="D359" s="22"/>
      <c r="F359" s="22"/>
      <c r="G359" s="27"/>
      <c r="H359" s="22"/>
      <c r="I359" s="27"/>
      <c r="J359" s="247"/>
      <c r="K359" s="247"/>
      <c r="L359" s="247"/>
    </row>
    <row r="360" spans="1:12" s="20" customFormat="1" x14ac:dyDescent="0.25">
      <c r="A360" s="26"/>
      <c r="B360" s="21"/>
      <c r="C360" s="21"/>
      <c r="D360" s="22"/>
      <c r="F360" s="22"/>
      <c r="G360" s="27"/>
      <c r="H360" s="22"/>
      <c r="I360" s="27"/>
      <c r="J360" s="247"/>
      <c r="K360" s="247"/>
      <c r="L360" s="247"/>
    </row>
    <row r="361" spans="1:12" s="20" customFormat="1" x14ac:dyDescent="0.25">
      <c r="A361" s="26"/>
      <c r="B361" s="21"/>
      <c r="C361" s="21"/>
      <c r="D361" s="22"/>
      <c r="F361" s="22"/>
      <c r="G361" s="27"/>
      <c r="H361" s="22"/>
      <c r="I361" s="27"/>
      <c r="J361" s="247"/>
      <c r="K361" s="247"/>
      <c r="L361" s="247"/>
    </row>
    <row r="362" spans="1:12" s="20" customFormat="1" x14ac:dyDescent="0.25">
      <c r="A362" s="26"/>
      <c r="B362" s="21"/>
      <c r="C362" s="21"/>
      <c r="D362" s="22"/>
      <c r="F362" s="22"/>
      <c r="G362" s="27"/>
      <c r="H362" s="22"/>
      <c r="I362" s="27"/>
      <c r="J362" s="247"/>
      <c r="K362" s="247"/>
      <c r="L362" s="247"/>
    </row>
    <row r="363" spans="1:12" s="20" customFormat="1" x14ac:dyDescent="0.25">
      <c r="A363" s="26"/>
      <c r="B363" s="21"/>
      <c r="C363" s="21"/>
      <c r="D363" s="22"/>
      <c r="F363" s="22"/>
      <c r="G363" s="27"/>
      <c r="H363" s="22"/>
      <c r="I363" s="27"/>
      <c r="J363" s="247"/>
      <c r="K363" s="247"/>
      <c r="L363" s="247"/>
    </row>
    <row r="364" spans="1:12" s="20" customFormat="1" x14ac:dyDescent="0.25">
      <c r="A364" s="26"/>
      <c r="B364" s="21"/>
      <c r="C364" s="21"/>
      <c r="D364" s="22"/>
      <c r="F364" s="22"/>
      <c r="G364" s="27"/>
      <c r="H364" s="22"/>
      <c r="I364" s="27"/>
      <c r="J364" s="247"/>
      <c r="K364" s="247"/>
      <c r="L364" s="247"/>
    </row>
    <row r="365" spans="1:12" s="20" customFormat="1" x14ac:dyDescent="0.25">
      <c r="A365" s="26"/>
      <c r="B365" s="21"/>
      <c r="C365" s="21"/>
      <c r="D365" s="22"/>
      <c r="F365" s="22"/>
      <c r="G365" s="27"/>
      <c r="H365" s="22"/>
      <c r="I365" s="27"/>
      <c r="J365" s="247"/>
      <c r="K365" s="247"/>
      <c r="L365" s="247"/>
    </row>
    <row r="366" spans="1:12" s="20" customFormat="1" x14ac:dyDescent="0.25">
      <c r="A366" s="26"/>
      <c r="B366" s="21"/>
      <c r="C366" s="21"/>
      <c r="D366" s="22"/>
      <c r="F366" s="22"/>
      <c r="G366" s="27"/>
      <c r="H366" s="22"/>
      <c r="I366" s="27"/>
      <c r="J366" s="247"/>
      <c r="K366" s="247"/>
      <c r="L366" s="247"/>
    </row>
    <row r="367" spans="1:12" s="20" customFormat="1" x14ac:dyDescent="0.25">
      <c r="A367" s="26"/>
      <c r="B367" s="21"/>
      <c r="C367" s="21"/>
      <c r="D367" s="22"/>
      <c r="F367" s="22"/>
      <c r="G367" s="27"/>
      <c r="H367" s="22"/>
      <c r="I367" s="27"/>
      <c r="J367" s="247"/>
      <c r="K367" s="247"/>
      <c r="L367" s="247"/>
    </row>
    <row r="368" spans="1:12" s="20" customFormat="1" x14ac:dyDescent="0.25">
      <c r="A368" s="26"/>
      <c r="B368" s="21"/>
      <c r="C368" s="21"/>
      <c r="D368" s="22"/>
      <c r="F368" s="22"/>
      <c r="G368" s="27"/>
      <c r="H368" s="22"/>
      <c r="I368" s="27"/>
      <c r="J368" s="247"/>
      <c r="K368" s="247"/>
      <c r="L368" s="247"/>
    </row>
    <row r="369" spans="1:12" s="20" customFormat="1" x14ac:dyDescent="0.25">
      <c r="A369" s="26"/>
      <c r="B369" s="21"/>
      <c r="C369" s="21"/>
      <c r="D369" s="22"/>
      <c r="F369" s="22"/>
      <c r="G369" s="27"/>
      <c r="H369" s="22"/>
      <c r="I369" s="27"/>
      <c r="J369" s="247"/>
      <c r="K369" s="247"/>
      <c r="L369" s="247"/>
    </row>
    <row r="370" spans="1:12" s="20" customFormat="1" x14ac:dyDescent="0.25">
      <c r="A370" s="26"/>
      <c r="B370" s="21"/>
      <c r="C370" s="21"/>
      <c r="D370" s="22"/>
      <c r="F370" s="22"/>
      <c r="G370" s="27"/>
      <c r="H370" s="22"/>
      <c r="I370" s="27"/>
      <c r="J370" s="247"/>
      <c r="K370" s="247"/>
      <c r="L370" s="247"/>
    </row>
    <row r="371" spans="1:12" s="20" customFormat="1" x14ac:dyDescent="0.25">
      <c r="A371" s="26"/>
      <c r="B371" s="21"/>
      <c r="C371" s="21"/>
      <c r="D371" s="22"/>
      <c r="F371" s="22"/>
      <c r="G371" s="27"/>
      <c r="H371" s="22"/>
      <c r="I371" s="27"/>
      <c r="J371" s="247"/>
      <c r="K371" s="247"/>
      <c r="L371" s="247"/>
    </row>
    <row r="372" spans="1:12" s="20" customFormat="1" x14ac:dyDescent="0.25">
      <c r="A372" s="26"/>
      <c r="B372" s="21"/>
      <c r="C372" s="21"/>
      <c r="D372" s="22"/>
      <c r="F372" s="22"/>
      <c r="G372" s="27"/>
      <c r="H372" s="22"/>
      <c r="I372" s="27"/>
      <c r="J372" s="247"/>
      <c r="K372" s="247"/>
      <c r="L372" s="247"/>
    </row>
    <row r="373" spans="1:12" s="20" customFormat="1" x14ac:dyDescent="0.25">
      <c r="A373" s="26"/>
      <c r="B373" s="21"/>
      <c r="C373" s="21"/>
      <c r="D373" s="22"/>
      <c r="F373" s="22"/>
      <c r="G373" s="27"/>
      <c r="H373" s="22"/>
      <c r="I373" s="27"/>
      <c r="J373" s="247"/>
      <c r="K373" s="247"/>
      <c r="L373" s="247"/>
    </row>
    <row r="374" spans="1:12" s="20" customFormat="1" x14ac:dyDescent="0.25">
      <c r="A374" s="26"/>
      <c r="B374" s="21"/>
      <c r="C374" s="21"/>
      <c r="D374" s="22"/>
      <c r="F374" s="22"/>
      <c r="G374" s="27"/>
      <c r="H374" s="22"/>
      <c r="I374" s="27"/>
      <c r="J374" s="247"/>
      <c r="K374" s="247"/>
      <c r="L374" s="247"/>
    </row>
    <row r="375" spans="1:12" s="20" customFormat="1" x14ac:dyDescent="0.25">
      <c r="A375" s="26"/>
      <c r="B375" s="21"/>
      <c r="C375" s="21"/>
      <c r="D375" s="22"/>
      <c r="F375" s="22"/>
      <c r="G375" s="27"/>
      <c r="H375" s="22"/>
      <c r="I375" s="27"/>
      <c r="J375" s="247"/>
      <c r="K375" s="247"/>
      <c r="L375" s="247"/>
    </row>
    <row r="376" spans="1:12" s="20" customFormat="1" x14ac:dyDescent="0.25">
      <c r="A376" s="26"/>
      <c r="B376" s="21"/>
      <c r="C376" s="21"/>
      <c r="D376" s="22"/>
      <c r="F376" s="22"/>
      <c r="G376" s="27"/>
      <c r="H376" s="22"/>
      <c r="I376" s="27"/>
      <c r="J376" s="247"/>
      <c r="K376" s="247"/>
      <c r="L376" s="247"/>
    </row>
    <row r="377" spans="1:12" s="20" customFormat="1" x14ac:dyDescent="0.25">
      <c r="A377" s="26"/>
      <c r="B377" s="21"/>
      <c r="C377" s="21"/>
      <c r="D377" s="22"/>
      <c r="F377" s="22"/>
      <c r="G377" s="27"/>
      <c r="H377" s="22"/>
      <c r="I377" s="27"/>
      <c r="J377" s="247"/>
      <c r="K377" s="247"/>
      <c r="L377" s="247"/>
    </row>
    <row r="378" spans="1:12" s="20" customFormat="1" x14ac:dyDescent="0.25">
      <c r="A378" s="26"/>
      <c r="B378" s="21"/>
      <c r="C378" s="21"/>
      <c r="D378" s="22"/>
      <c r="F378" s="22"/>
      <c r="G378" s="27"/>
      <c r="H378" s="22"/>
      <c r="I378" s="27"/>
      <c r="J378" s="247"/>
      <c r="K378" s="247"/>
      <c r="L378" s="247"/>
    </row>
    <row r="379" spans="1:12" s="20" customFormat="1" x14ac:dyDescent="0.25">
      <c r="A379" s="26"/>
      <c r="B379" s="21"/>
      <c r="C379" s="21"/>
      <c r="D379" s="22"/>
      <c r="F379" s="22"/>
      <c r="G379" s="27"/>
      <c r="H379" s="22"/>
      <c r="I379" s="27"/>
      <c r="J379" s="247"/>
      <c r="K379" s="247"/>
      <c r="L379" s="247"/>
    </row>
    <row r="380" spans="1:12" s="20" customFormat="1" x14ac:dyDescent="0.25">
      <c r="A380" s="26"/>
      <c r="B380" s="21"/>
      <c r="C380" s="21"/>
      <c r="D380" s="22"/>
      <c r="F380" s="22"/>
      <c r="G380" s="27"/>
      <c r="H380" s="22"/>
      <c r="I380" s="27"/>
      <c r="J380" s="247"/>
      <c r="K380" s="247"/>
      <c r="L380" s="247"/>
    </row>
    <row r="381" spans="1:12" s="20" customFormat="1" x14ac:dyDescent="0.25">
      <c r="A381" s="26"/>
      <c r="B381" s="21"/>
      <c r="C381" s="21"/>
      <c r="D381" s="22"/>
      <c r="F381" s="22"/>
      <c r="G381" s="27"/>
      <c r="H381" s="22"/>
      <c r="I381" s="27"/>
      <c r="J381" s="247"/>
      <c r="K381" s="247"/>
      <c r="L381" s="247"/>
    </row>
    <row r="382" spans="1:12" s="20" customFormat="1" x14ac:dyDescent="0.25">
      <c r="A382" s="26"/>
      <c r="B382" s="21"/>
      <c r="C382" s="21"/>
      <c r="D382" s="22"/>
      <c r="F382" s="22"/>
      <c r="G382" s="27"/>
      <c r="H382" s="22"/>
      <c r="I382" s="27"/>
      <c r="J382" s="247"/>
      <c r="K382" s="247"/>
      <c r="L382" s="247"/>
    </row>
    <row r="383" spans="1:12" s="20" customFormat="1" x14ac:dyDescent="0.25">
      <c r="A383" s="26"/>
      <c r="B383" s="21"/>
      <c r="C383" s="21"/>
      <c r="D383" s="22"/>
      <c r="F383" s="22"/>
      <c r="G383" s="27"/>
      <c r="H383" s="22"/>
      <c r="I383" s="27"/>
      <c r="J383" s="247"/>
      <c r="K383" s="247"/>
      <c r="L383" s="247"/>
    </row>
    <row r="384" spans="1:12" s="20" customFormat="1" x14ac:dyDescent="0.25">
      <c r="A384" s="26"/>
      <c r="B384" s="21"/>
      <c r="C384" s="21"/>
      <c r="D384" s="22"/>
      <c r="F384" s="22"/>
      <c r="G384" s="27"/>
      <c r="H384" s="22"/>
      <c r="I384" s="27"/>
      <c r="J384" s="247"/>
      <c r="K384" s="247"/>
      <c r="L384" s="247"/>
    </row>
    <row r="385" spans="1:12" s="20" customFormat="1" x14ac:dyDescent="0.25">
      <c r="A385" s="26"/>
      <c r="B385" s="21"/>
      <c r="C385" s="21"/>
      <c r="D385" s="22"/>
      <c r="F385" s="22"/>
      <c r="G385" s="27"/>
      <c r="H385" s="22"/>
      <c r="I385" s="27"/>
      <c r="J385" s="247"/>
      <c r="K385" s="247"/>
      <c r="L385" s="247"/>
    </row>
    <row r="386" spans="1:12" s="20" customFormat="1" x14ac:dyDescent="0.25">
      <c r="A386" s="26"/>
      <c r="B386" s="21"/>
      <c r="C386" s="21"/>
      <c r="D386" s="22"/>
      <c r="F386" s="22"/>
      <c r="G386" s="27"/>
      <c r="H386" s="22"/>
      <c r="I386" s="27"/>
      <c r="J386" s="247"/>
      <c r="K386" s="247"/>
      <c r="L386" s="247"/>
    </row>
    <row r="387" spans="1:12" s="20" customFormat="1" x14ac:dyDescent="0.25">
      <c r="A387" s="26"/>
      <c r="B387" s="21"/>
      <c r="C387" s="21"/>
      <c r="D387" s="22"/>
      <c r="F387" s="22"/>
      <c r="G387" s="27"/>
      <c r="H387" s="22"/>
      <c r="I387" s="27"/>
      <c r="J387" s="247"/>
      <c r="K387" s="247"/>
      <c r="L387" s="247"/>
    </row>
    <row r="388" spans="1:12" s="20" customFormat="1" x14ac:dyDescent="0.25">
      <c r="A388" s="26"/>
      <c r="B388" s="21"/>
      <c r="C388" s="21"/>
      <c r="D388" s="22"/>
      <c r="F388" s="22"/>
      <c r="G388" s="27"/>
      <c r="H388" s="22"/>
      <c r="I388" s="27"/>
      <c r="J388" s="247"/>
      <c r="K388" s="247"/>
      <c r="L388" s="247"/>
    </row>
    <row r="389" spans="1:12" s="20" customFormat="1" x14ac:dyDescent="0.25">
      <c r="A389" s="26"/>
      <c r="B389" s="21"/>
      <c r="C389" s="21"/>
      <c r="D389" s="22"/>
      <c r="F389" s="22"/>
      <c r="G389" s="27"/>
      <c r="H389" s="22"/>
      <c r="I389" s="27"/>
      <c r="J389" s="247"/>
      <c r="K389" s="247"/>
      <c r="L389" s="247"/>
    </row>
    <row r="390" spans="1:12" s="20" customFormat="1" x14ac:dyDescent="0.25">
      <c r="A390" s="26"/>
      <c r="B390" s="21"/>
      <c r="C390" s="21"/>
      <c r="D390" s="22"/>
      <c r="F390" s="22"/>
      <c r="G390" s="27"/>
      <c r="H390" s="22"/>
      <c r="I390" s="27"/>
      <c r="J390" s="247"/>
      <c r="K390" s="247"/>
      <c r="L390" s="247"/>
    </row>
    <row r="391" spans="1:12" s="20" customFormat="1" x14ac:dyDescent="0.25">
      <c r="A391" s="26"/>
      <c r="B391" s="21"/>
      <c r="C391" s="21"/>
      <c r="D391" s="22"/>
      <c r="F391" s="22"/>
      <c r="G391" s="27"/>
      <c r="H391" s="22"/>
      <c r="I391" s="27"/>
      <c r="J391" s="247"/>
      <c r="K391" s="247"/>
      <c r="L391" s="247"/>
    </row>
    <row r="392" spans="1:12" s="20" customFormat="1" x14ac:dyDescent="0.25">
      <c r="A392" s="26"/>
      <c r="B392" s="21"/>
      <c r="C392" s="21"/>
      <c r="D392" s="22"/>
      <c r="F392" s="22"/>
      <c r="G392" s="27"/>
      <c r="H392" s="22"/>
      <c r="I392" s="27"/>
      <c r="J392" s="247"/>
      <c r="K392" s="247"/>
      <c r="L392" s="247"/>
    </row>
    <row r="393" spans="1:12" s="20" customFormat="1" x14ac:dyDescent="0.25">
      <c r="A393" s="26"/>
      <c r="B393" s="21"/>
      <c r="C393" s="21"/>
      <c r="D393" s="22"/>
      <c r="F393" s="22"/>
      <c r="G393" s="27"/>
      <c r="H393" s="22"/>
      <c r="I393" s="27"/>
      <c r="J393" s="247"/>
      <c r="K393" s="247"/>
      <c r="L393" s="247"/>
    </row>
    <row r="394" spans="1:12" s="20" customFormat="1" x14ac:dyDescent="0.25">
      <c r="A394" s="26"/>
      <c r="B394" s="21"/>
      <c r="C394" s="21"/>
      <c r="D394" s="22"/>
      <c r="F394" s="22"/>
      <c r="G394" s="27"/>
      <c r="H394" s="22"/>
      <c r="I394" s="27"/>
      <c r="J394" s="247"/>
      <c r="K394" s="247"/>
      <c r="L394" s="247"/>
    </row>
    <row r="395" spans="1:12" s="20" customFormat="1" x14ac:dyDescent="0.25">
      <c r="A395" s="26"/>
      <c r="B395" s="21"/>
      <c r="C395" s="21"/>
      <c r="D395" s="22"/>
      <c r="F395" s="22"/>
      <c r="G395" s="27"/>
      <c r="H395" s="22"/>
      <c r="I395" s="27"/>
      <c r="J395" s="247"/>
      <c r="K395" s="247"/>
      <c r="L395" s="247"/>
    </row>
    <row r="396" spans="1:12" s="20" customFormat="1" x14ac:dyDescent="0.25">
      <c r="A396" s="26"/>
      <c r="B396" s="21"/>
      <c r="C396" s="21"/>
      <c r="D396" s="22"/>
      <c r="F396" s="22"/>
      <c r="G396" s="27"/>
      <c r="H396" s="22"/>
      <c r="I396" s="27"/>
      <c r="J396" s="247"/>
      <c r="K396" s="247"/>
      <c r="L396" s="247"/>
    </row>
    <row r="397" spans="1:12" s="20" customFormat="1" x14ac:dyDescent="0.25">
      <c r="A397" s="26"/>
      <c r="B397" s="21"/>
      <c r="C397" s="21"/>
      <c r="D397" s="22"/>
      <c r="F397" s="22"/>
      <c r="G397" s="27"/>
      <c r="H397" s="22"/>
      <c r="I397" s="27"/>
      <c r="J397" s="247"/>
      <c r="K397" s="247"/>
      <c r="L397" s="247"/>
    </row>
    <row r="398" spans="1:12" s="20" customFormat="1" x14ac:dyDescent="0.25">
      <c r="A398" s="26"/>
      <c r="B398" s="21"/>
      <c r="C398" s="21"/>
      <c r="D398" s="22"/>
      <c r="F398" s="22"/>
      <c r="G398" s="27"/>
      <c r="H398" s="22"/>
      <c r="I398" s="27"/>
      <c r="J398" s="247"/>
      <c r="K398" s="247"/>
      <c r="L398" s="247"/>
    </row>
    <row r="399" spans="1:12" s="20" customFormat="1" x14ac:dyDescent="0.25">
      <c r="A399" s="26"/>
      <c r="B399" s="21"/>
      <c r="C399" s="21"/>
      <c r="D399" s="22"/>
      <c r="F399" s="22"/>
      <c r="G399" s="27"/>
      <c r="H399" s="22"/>
      <c r="I399" s="27"/>
      <c r="J399" s="247"/>
      <c r="K399" s="247"/>
      <c r="L399" s="247"/>
    </row>
    <row r="400" spans="1:12" s="20" customFormat="1" x14ac:dyDescent="0.25">
      <c r="A400" s="26"/>
      <c r="B400" s="21"/>
      <c r="C400" s="21"/>
      <c r="D400" s="22"/>
      <c r="F400" s="22"/>
      <c r="G400" s="27"/>
      <c r="H400" s="22"/>
      <c r="I400" s="27"/>
      <c r="J400" s="247"/>
      <c r="K400" s="247"/>
      <c r="L400" s="247"/>
    </row>
    <row r="401" spans="1:12" s="20" customFormat="1" x14ac:dyDescent="0.25">
      <c r="A401" s="26"/>
      <c r="B401" s="21"/>
      <c r="C401" s="21"/>
      <c r="D401" s="22"/>
      <c r="F401" s="22"/>
      <c r="G401" s="27"/>
      <c r="H401" s="22"/>
      <c r="I401" s="27"/>
      <c r="J401" s="247"/>
      <c r="K401" s="247"/>
      <c r="L401" s="247"/>
    </row>
    <row r="402" spans="1:12" s="20" customFormat="1" x14ac:dyDescent="0.25">
      <c r="A402" s="26"/>
      <c r="B402" s="21"/>
      <c r="C402" s="21"/>
      <c r="D402" s="22"/>
      <c r="F402" s="22"/>
      <c r="G402" s="27"/>
      <c r="H402" s="22"/>
      <c r="I402" s="27"/>
      <c r="J402" s="247"/>
      <c r="K402" s="247"/>
      <c r="L402" s="247"/>
    </row>
    <row r="403" spans="1:12" s="20" customFormat="1" x14ac:dyDescent="0.25">
      <c r="A403" s="26"/>
      <c r="B403" s="21"/>
      <c r="C403" s="21"/>
      <c r="D403" s="22"/>
      <c r="F403" s="22"/>
      <c r="G403" s="27"/>
      <c r="H403" s="22"/>
      <c r="I403" s="27"/>
      <c r="J403" s="247"/>
      <c r="K403" s="247"/>
      <c r="L403" s="247"/>
    </row>
    <row r="404" spans="1:12" s="20" customFormat="1" x14ac:dyDescent="0.25">
      <c r="A404" s="26"/>
      <c r="B404" s="21"/>
      <c r="C404" s="21"/>
      <c r="D404" s="22"/>
      <c r="F404" s="22"/>
      <c r="G404" s="27"/>
      <c r="H404" s="22"/>
      <c r="I404" s="27"/>
      <c r="J404" s="247"/>
      <c r="K404" s="247"/>
      <c r="L404" s="247"/>
    </row>
    <row r="405" spans="1:12" s="20" customFormat="1" x14ac:dyDescent="0.25">
      <c r="A405" s="26"/>
      <c r="B405" s="21"/>
      <c r="C405" s="21"/>
      <c r="D405" s="22"/>
      <c r="F405" s="22"/>
      <c r="G405" s="27"/>
      <c r="H405" s="22"/>
      <c r="I405" s="27"/>
      <c r="J405" s="247"/>
      <c r="K405" s="247"/>
      <c r="L405" s="247"/>
    </row>
    <row r="406" spans="1:12" s="20" customFormat="1" x14ac:dyDescent="0.25">
      <c r="A406" s="26"/>
      <c r="B406" s="21"/>
      <c r="C406" s="21"/>
      <c r="D406" s="22"/>
      <c r="F406" s="22"/>
      <c r="G406" s="27"/>
      <c r="H406" s="22"/>
      <c r="I406" s="27"/>
      <c r="J406" s="247"/>
      <c r="K406" s="247"/>
      <c r="L406" s="247"/>
    </row>
    <row r="407" spans="1:12" s="20" customFormat="1" x14ac:dyDescent="0.25">
      <c r="A407" s="26"/>
      <c r="B407" s="21"/>
      <c r="C407" s="21"/>
      <c r="D407" s="22"/>
      <c r="F407" s="22"/>
      <c r="G407" s="27"/>
      <c r="H407" s="22"/>
      <c r="I407" s="27"/>
      <c r="J407" s="247"/>
      <c r="K407" s="247"/>
      <c r="L407" s="247"/>
    </row>
    <row r="408" spans="1:12" s="20" customFormat="1" x14ac:dyDescent="0.25">
      <c r="A408" s="26"/>
      <c r="B408" s="21"/>
      <c r="C408" s="21"/>
      <c r="D408" s="22"/>
      <c r="F408" s="22"/>
      <c r="G408" s="27"/>
      <c r="H408" s="22"/>
      <c r="I408" s="27"/>
      <c r="J408" s="247"/>
      <c r="K408" s="247"/>
      <c r="L408" s="247"/>
    </row>
    <row r="409" spans="1:12" s="20" customFormat="1" x14ac:dyDescent="0.25">
      <c r="A409" s="26"/>
      <c r="B409" s="21"/>
      <c r="C409" s="21"/>
      <c r="D409" s="22"/>
      <c r="F409" s="22"/>
      <c r="G409" s="27"/>
      <c r="H409" s="22"/>
      <c r="I409" s="27"/>
      <c r="J409" s="247"/>
      <c r="K409" s="247"/>
      <c r="L409" s="247"/>
    </row>
    <row r="410" spans="1:12" s="20" customFormat="1" x14ac:dyDescent="0.25">
      <c r="A410" s="26"/>
      <c r="B410" s="21"/>
      <c r="C410" s="21"/>
      <c r="D410" s="22"/>
      <c r="F410" s="22"/>
      <c r="G410" s="27"/>
      <c r="H410" s="22"/>
      <c r="I410" s="27"/>
      <c r="J410" s="247"/>
      <c r="K410" s="247"/>
      <c r="L410" s="247"/>
    </row>
    <row r="411" spans="1:12" s="20" customFormat="1" x14ac:dyDescent="0.25">
      <c r="A411" s="26"/>
      <c r="B411" s="21"/>
      <c r="C411" s="21"/>
      <c r="D411" s="22"/>
      <c r="F411" s="22"/>
      <c r="G411" s="27"/>
      <c r="H411" s="22"/>
      <c r="I411" s="27"/>
      <c r="J411" s="247"/>
      <c r="K411" s="247"/>
      <c r="L411" s="247"/>
    </row>
    <row r="412" spans="1:12" s="20" customFormat="1" x14ac:dyDescent="0.25">
      <c r="A412" s="26"/>
      <c r="B412" s="21"/>
      <c r="C412" s="21"/>
      <c r="D412" s="22"/>
      <c r="F412" s="22"/>
      <c r="G412" s="27"/>
      <c r="H412" s="22"/>
      <c r="I412" s="27"/>
      <c r="J412" s="247"/>
      <c r="K412" s="247"/>
      <c r="L412" s="247"/>
    </row>
    <row r="413" spans="1:12" s="20" customFormat="1" x14ac:dyDescent="0.25">
      <c r="A413" s="26"/>
      <c r="B413" s="21"/>
      <c r="C413" s="21"/>
      <c r="D413" s="22"/>
      <c r="F413" s="22"/>
      <c r="G413" s="27"/>
      <c r="H413" s="22"/>
      <c r="I413" s="27"/>
      <c r="J413" s="247"/>
      <c r="K413" s="247"/>
      <c r="L413" s="247"/>
    </row>
    <row r="414" spans="1:12" s="20" customFormat="1" x14ac:dyDescent="0.25">
      <c r="A414" s="26"/>
      <c r="B414" s="21"/>
      <c r="C414" s="21"/>
      <c r="D414" s="22"/>
      <c r="F414" s="22"/>
      <c r="G414" s="27"/>
      <c r="H414" s="22"/>
      <c r="I414" s="27"/>
      <c r="J414" s="247"/>
      <c r="K414" s="247"/>
      <c r="L414" s="247"/>
    </row>
    <row r="415" spans="1:12" s="20" customFormat="1" x14ac:dyDescent="0.25">
      <c r="A415" s="26"/>
      <c r="B415" s="21"/>
      <c r="C415" s="21"/>
      <c r="D415" s="22"/>
      <c r="F415" s="22"/>
      <c r="G415" s="27"/>
      <c r="H415" s="22"/>
      <c r="I415" s="27"/>
      <c r="J415" s="247"/>
      <c r="K415" s="247"/>
      <c r="L415" s="247"/>
    </row>
    <row r="416" spans="1:12" s="20" customFormat="1" x14ac:dyDescent="0.25">
      <c r="A416" s="26"/>
      <c r="B416" s="21"/>
      <c r="C416" s="21"/>
      <c r="D416" s="22"/>
      <c r="F416" s="22"/>
      <c r="G416" s="27"/>
      <c r="H416" s="22"/>
      <c r="I416" s="27"/>
      <c r="J416" s="247"/>
      <c r="K416" s="247"/>
      <c r="L416" s="247"/>
    </row>
    <row r="417" spans="1:12" s="20" customFormat="1" x14ac:dyDescent="0.25">
      <c r="A417" s="26"/>
      <c r="B417" s="21"/>
      <c r="C417" s="21"/>
      <c r="D417" s="22"/>
      <c r="F417" s="22"/>
      <c r="G417" s="27"/>
      <c r="H417" s="22"/>
      <c r="I417" s="27"/>
      <c r="J417" s="247"/>
      <c r="K417" s="247"/>
      <c r="L417" s="247"/>
    </row>
    <row r="418" spans="1:12" s="20" customFormat="1" x14ac:dyDescent="0.25">
      <c r="A418" s="26"/>
      <c r="B418" s="21"/>
      <c r="C418" s="21"/>
      <c r="D418" s="22"/>
      <c r="F418" s="22"/>
      <c r="G418" s="27"/>
      <c r="H418" s="22"/>
      <c r="I418" s="27"/>
      <c r="J418" s="247"/>
      <c r="K418" s="247"/>
      <c r="L418" s="247"/>
    </row>
    <row r="419" spans="1:12" s="20" customFormat="1" x14ac:dyDescent="0.25">
      <c r="A419" s="26"/>
      <c r="B419" s="21"/>
      <c r="C419" s="21"/>
      <c r="D419" s="22"/>
      <c r="F419" s="22"/>
      <c r="G419" s="27"/>
      <c r="H419" s="22"/>
      <c r="I419" s="27"/>
      <c r="J419" s="247"/>
      <c r="K419" s="247"/>
      <c r="L419" s="247"/>
    </row>
    <row r="420" spans="1:12" s="20" customFormat="1" x14ac:dyDescent="0.25">
      <c r="A420" s="26"/>
      <c r="B420" s="21"/>
      <c r="C420" s="21"/>
      <c r="D420" s="22"/>
      <c r="F420" s="22"/>
      <c r="G420" s="27"/>
      <c r="H420" s="22"/>
      <c r="I420" s="27"/>
      <c r="J420" s="247"/>
      <c r="K420" s="247"/>
      <c r="L420" s="247"/>
    </row>
    <row r="421" spans="1:12" s="20" customFormat="1" x14ac:dyDescent="0.25">
      <c r="A421" s="26"/>
      <c r="B421" s="21"/>
      <c r="C421" s="21"/>
      <c r="D421" s="22"/>
      <c r="F421" s="22"/>
      <c r="G421" s="27"/>
      <c r="H421" s="22"/>
      <c r="I421" s="27"/>
      <c r="J421" s="247"/>
      <c r="K421" s="247"/>
      <c r="L421" s="247"/>
    </row>
    <row r="422" spans="1:12" s="20" customFormat="1" x14ac:dyDescent="0.25">
      <c r="A422" s="26"/>
      <c r="B422" s="21"/>
      <c r="C422" s="21"/>
      <c r="D422" s="22"/>
      <c r="F422" s="22"/>
      <c r="G422" s="27"/>
      <c r="H422" s="22"/>
      <c r="I422" s="27"/>
      <c r="J422" s="247"/>
      <c r="K422" s="247"/>
      <c r="L422" s="247"/>
    </row>
    <row r="423" spans="1:12" s="20" customFormat="1" x14ac:dyDescent="0.25">
      <c r="A423" s="26"/>
      <c r="B423" s="21"/>
      <c r="C423" s="21"/>
      <c r="D423" s="22"/>
      <c r="F423" s="22"/>
      <c r="G423" s="27"/>
      <c r="H423" s="22"/>
      <c r="I423" s="27"/>
      <c r="J423" s="247"/>
      <c r="K423" s="247"/>
      <c r="L423" s="247"/>
    </row>
    <row r="424" spans="1:12" s="20" customFormat="1" x14ac:dyDescent="0.25">
      <c r="A424" s="26"/>
      <c r="B424" s="21"/>
      <c r="C424" s="21"/>
      <c r="D424" s="22"/>
      <c r="F424" s="22"/>
      <c r="G424" s="27"/>
      <c r="H424" s="22"/>
      <c r="I424" s="27"/>
      <c r="J424" s="247"/>
      <c r="K424" s="247"/>
      <c r="L424" s="247"/>
    </row>
    <row r="425" spans="1:12" s="20" customFormat="1" x14ac:dyDescent="0.25">
      <c r="A425" s="26"/>
      <c r="B425" s="21"/>
      <c r="C425" s="21"/>
      <c r="D425" s="22"/>
      <c r="F425" s="22"/>
      <c r="G425" s="27"/>
      <c r="H425" s="22"/>
      <c r="I425" s="27"/>
      <c r="J425" s="247"/>
      <c r="K425" s="247"/>
      <c r="L425" s="247"/>
    </row>
    <row r="426" spans="1:12" s="20" customFormat="1" x14ac:dyDescent="0.25">
      <c r="A426" s="26"/>
      <c r="B426" s="21"/>
      <c r="C426" s="21"/>
      <c r="D426" s="22"/>
      <c r="F426" s="22"/>
      <c r="G426" s="27"/>
      <c r="H426" s="22"/>
      <c r="I426" s="27"/>
      <c r="J426" s="247"/>
      <c r="K426" s="247"/>
      <c r="L426" s="247"/>
    </row>
    <row r="427" spans="1:12" s="20" customFormat="1" x14ac:dyDescent="0.25">
      <c r="A427" s="26"/>
      <c r="B427" s="21"/>
      <c r="C427" s="21"/>
      <c r="D427" s="22"/>
      <c r="F427" s="22"/>
      <c r="G427" s="27"/>
      <c r="H427" s="22"/>
      <c r="I427" s="27"/>
      <c r="J427" s="247"/>
      <c r="K427" s="247"/>
      <c r="L427" s="247"/>
    </row>
    <row r="428" spans="1:12" s="20" customFormat="1" x14ac:dyDescent="0.25">
      <c r="A428" s="26"/>
      <c r="B428" s="21"/>
      <c r="C428" s="21"/>
      <c r="D428" s="22"/>
      <c r="F428" s="22"/>
      <c r="G428" s="27"/>
      <c r="H428" s="22"/>
      <c r="I428" s="27"/>
      <c r="J428" s="247"/>
      <c r="K428" s="247"/>
      <c r="L428" s="247"/>
    </row>
    <row r="429" spans="1:12" s="20" customFormat="1" x14ac:dyDescent="0.25">
      <c r="A429" s="26"/>
      <c r="B429" s="21"/>
      <c r="C429" s="21"/>
      <c r="D429" s="22"/>
      <c r="F429" s="22"/>
      <c r="G429" s="27"/>
      <c r="H429" s="22"/>
      <c r="I429" s="27"/>
      <c r="J429" s="247"/>
      <c r="K429" s="247"/>
      <c r="L429" s="247"/>
    </row>
    <row r="430" spans="1:12" s="20" customFormat="1" x14ac:dyDescent="0.25">
      <c r="A430" s="26"/>
      <c r="B430" s="21"/>
      <c r="C430" s="21"/>
      <c r="D430" s="22"/>
      <c r="F430" s="22"/>
      <c r="G430" s="27"/>
      <c r="H430" s="22"/>
      <c r="I430" s="27"/>
      <c r="J430" s="247"/>
      <c r="K430" s="247"/>
      <c r="L430" s="247"/>
    </row>
    <row r="431" spans="1:12" s="20" customFormat="1" x14ac:dyDescent="0.25">
      <c r="A431" s="26"/>
      <c r="B431" s="21"/>
      <c r="C431" s="21"/>
      <c r="D431" s="22"/>
      <c r="F431" s="22"/>
      <c r="G431" s="27"/>
      <c r="H431" s="22"/>
      <c r="I431" s="27"/>
      <c r="J431" s="247"/>
      <c r="K431" s="247"/>
      <c r="L431" s="247"/>
    </row>
    <row r="432" spans="1:12" s="20" customFormat="1" x14ac:dyDescent="0.25">
      <c r="A432" s="26"/>
      <c r="B432" s="21"/>
      <c r="C432" s="21"/>
      <c r="D432" s="22"/>
      <c r="F432" s="22"/>
      <c r="G432" s="27"/>
      <c r="H432" s="22"/>
      <c r="I432" s="27"/>
      <c r="J432" s="247"/>
      <c r="K432" s="247"/>
      <c r="L432" s="247"/>
    </row>
    <row r="433" spans="1:12" s="20" customFormat="1" x14ac:dyDescent="0.25">
      <c r="A433" s="26"/>
      <c r="B433" s="21"/>
      <c r="C433" s="21"/>
      <c r="D433" s="22"/>
      <c r="F433" s="22"/>
      <c r="G433" s="27"/>
      <c r="H433" s="22"/>
      <c r="I433" s="27"/>
      <c r="J433" s="247"/>
      <c r="K433" s="247"/>
      <c r="L433" s="247"/>
    </row>
    <row r="434" spans="1:12" s="20" customFormat="1" x14ac:dyDescent="0.25">
      <c r="A434" s="26"/>
      <c r="B434" s="21"/>
      <c r="C434" s="21"/>
      <c r="D434" s="22"/>
      <c r="F434" s="22"/>
      <c r="G434" s="27"/>
      <c r="H434" s="22"/>
      <c r="I434" s="27"/>
      <c r="J434" s="247"/>
      <c r="K434" s="247"/>
      <c r="L434" s="247"/>
    </row>
    <row r="435" spans="1:12" s="20" customFormat="1" x14ac:dyDescent="0.25">
      <c r="A435" s="26"/>
      <c r="B435" s="21"/>
      <c r="C435" s="21"/>
      <c r="D435" s="22"/>
      <c r="F435" s="22"/>
      <c r="G435" s="27"/>
      <c r="H435" s="22"/>
      <c r="I435" s="27"/>
      <c r="J435" s="247"/>
      <c r="K435" s="247"/>
      <c r="L435" s="247"/>
    </row>
    <row r="436" spans="1:12" s="20" customFormat="1" x14ac:dyDescent="0.25">
      <c r="A436" s="26"/>
      <c r="B436" s="21"/>
      <c r="C436" s="21"/>
      <c r="D436" s="22"/>
      <c r="F436" s="22"/>
      <c r="G436" s="27"/>
      <c r="H436" s="22"/>
      <c r="I436" s="27"/>
      <c r="J436" s="247"/>
      <c r="K436" s="247"/>
      <c r="L436" s="247"/>
    </row>
    <row r="437" spans="1:12" s="20" customFormat="1" x14ac:dyDescent="0.25">
      <c r="A437" s="26"/>
      <c r="B437" s="21"/>
      <c r="C437" s="21"/>
      <c r="D437" s="22"/>
      <c r="F437" s="22"/>
      <c r="G437" s="27"/>
      <c r="H437" s="22"/>
      <c r="I437" s="27"/>
      <c r="J437" s="247"/>
      <c r="K437" s="247"/>
      <c r="L437" s="247"/>
    </row>
    <row r="438" spans="1:12" s="20" customFormat="1" x14ac:dyDescent="0.25">
      <c r="A438" s="26"/>
      <c r="B438" s="21"/>
      <c r="C438" s="21"/>
      <c r="D438" s="22"/>
      <c r="F438" s="22"/>
      <c r="G438" s="27"/>
      <c r="H438" s="22"/>
      <c r="I438" s="27"/>
      <c r="J438" s="247"/>
      <c r="K438" s="247"/>
      <c r="L438" s="247"/>
    </row>
    <row r="439" spans="1:12" s="20" customFormat="1" x14ac:dyDescent="0.25">
      <c r="A439" s="26"/>
      <c r="B439" s="21"/>
      <c r="C439" s="21"/>
      <c r="D439" s="22"/>
      <c r="F439" s="22"/>
      <c r="G439" s="27"/>
      <c r="H439" s="22"/>
      <c r="I439" s="27"/>
      <c r="J439" s="247"/>
      <c r="K439" s="247"/>
      <c r="L439" s="247"/>
    </row>
    <row r="440" spans="1:12" s="20" customFormat="1" x14ac:dyDescent="0.25">
      <c r="A440" s="26"/>
      <c r="B440" s="21"/>
      <c r="C440" s="21"/>
      <c r="D440" s="22"/>
      <c r="F440" s="22"/>
      <c r="G440" s="27"/>
      <c r="H440" s="22"/>
      <c r="I440" s="27"/>
      <c r="J440" s="247"/>
      <c r="K440" s="247"/>
      <c r="L440" s="247"/>
    </row>
    <row r="441" spans="1:12" s="20" customFormat="1" x14ac:dyDescent="0.25">
      <c r="A441" s="26"/>
      <c r="B441" s="21"/>
      <c r="C441" s="21"/>
      <c r="D441" s="22"/>
      <c r="F441" s="22"/>
      <c r="G441" s="27"/>
      <c r="H441" s="22"/>
      <c r="I441" s="27"/>
      <c r="J441" s="247"/>
      <c r="K441" s="247"/>
      <c r="L441" s="247"/>
    </row>
    <row r="442" spans="1:12" s="20" customFormat="1" x14ac:dyDescent="0.25">
      <c r="A442" s="26"/>
      <c r="B442" s="21"/>
      <c r="C442" s="21"/>
      <c r="D442" s="22"/>
      <c r="F442" s="22"/>
      <c r="G442" s="27"/>
      <c r="H442" s="22"/>
      <c r="I442" s="27"/>
      <c r="J442" s="247"/>
      <c r="K442" s="247"/>
      <c r="L442" s="247"/>
    </row>
    <row r="443" spans="1:12" s="20" customFormat="1" x14ac:dyDescent="0.25">
      <c r="A443" s="26"/>
      <c r="B443" s="21"/>
      <c r="C443" s="21"/>
      <c r="D443" s="22"/>
      <c r="F443" s="22"/>
      <c r="G443" s="27"/>
      <c r="H443" s="22"/>
      <c r="I443" s="27"/>
      <c r="J443" s="247"/>
      <c r="K443" s="247"/>
      <c r="L443" s="247"/>
    </row>
    <row r="444" spans="1:12" s="20" customFormat="1" x14ac:dyDescent="0.25">
      <c r="A444" s="26"/>
      <c r="B444" s="21"/>
      <c r="C444" s="21"/>
      <c r="D444" s="22"/>
      <c r="F444" s="22"/>
      <c r="G444" s="27"/>
      <c r="H444" s="22"/>
      <c r="I444" s="27"/>
      <c r="J444" s="247"/>
      <c r="K444" s="247"/>
      <c r="L444" s="247"/>
    </row>
    <row r="445" spans="1:12" s="20" customFormat="1" x14ac:dyDescent="0.25">
      <c r="A445" s="26"/>
      <c r="B445" s="21"/>
      <c r="C445" s="21"/>
      <c r="D445" s="22"/>
      <c r="F445" s="22"/>
      <c r="G445" s="27"/>
      <c r="H445" s="22"/>
      <c r="I445" s="27"/>
      <c r="J445" s="247"/>
      <c r="K445" s="247"/>
      <c r="L445" s="247"/>
    </row>
    <row r="446" spans="1:12" s="20" customFormat="1" x14ac:dyDescent="0.25">
      <c r="A446" s="26"/>
      <c r="B446" s="21"/>
      <c r="C446" s="21"/>
      <c r="D446" s="22"/>
      <c r="F446" s="22"/>
      <c r="G446" s="27"/>
      <c r="H446" s="22"/>
      <c r="I446" s="27"/>
      <c r="J446" s="247"/>
      <c r="K446" s="247"/>
      <c r="L446" s="247"/>
    </row>
    <row r="447" spans="1:12" s="20" customFormat="1" x14ac:dyDescent="0.25">
      <c r="A447" s="26"/>
      <c r="B447" s="21"/>
      <c r="C447" s="21"/>
      <c r="D447" s="22"/>
      <c r="F447" s="22"/>
      <c r="G447" s="27"/>
      <c r="H447" s="22"/>
      <c r="I447" s="27"/>
      <c r="J447" s="247"/>
      <c r="K447" s="247"/>
      <c r="L447" s="247"/>
    </row>
    <row r="448" spans="1:12" s="20" customFormat="1" x14ac:dyDescent="0.25">
      <c r="A448" s="26"/>
      <c r="B448" s="21"/>
      <c r="C448" s="21"/>
      <c r="D448" s="22"/>
      <c r="F448" s="22"/>
      <c r="G448" s="27"/>
      <c r="H448" s="22"/>
      <c r="I448" s="27"/>
      <c r="J448" s="247"/>
      <c r="K448" s="247"/>
      <c r="L448" s="247"/>
    </row>
    <row r="449" spans="1:12" s="20" customFormat="1" x14ac:dyDescent="0.25">
      <c r="A449" s="26"/>
      <c r="B449" s="21"/>
      <c r="C449" s="21"/>
      <c r="D449" s="22"/>
      <c r="F449" s="22"/>
      <c r="G449" s="27"/>
      <c r="H449" s="22"/>
      <c r="I449" s="27"/>
      <c r="J449" s="247"/>
      <c r="K449" s="247"/>
      <c r="L449" s="247"/>
    </row>
    <row r="450" spans="1:12" s="20" customFormat="1" x14ac:dyDescent="0.25">
      <c r="A450" s="26"/>
      <c r="B450" s="21"/>
      <c r="C450" s="21"/>
      <c r="D450" s="22"/>
      <c r="F450" s="22"/>
      <c r="G450" s="27"/>
      <c r="H450" s="22"/>
      <c r="I450" s="27"/>
      <c r="J450" s="247"/>
      <c r="K450" s="247"/>
      <c r="L450" s="247"/>
    </row>
    <row r="451" spans="1:12" s="20" customFormat="1" x14ac:dyDescent="0.25">
      <c r="A451" s="26"/>
      <c r="B451" s="21"/>
      <c r="C451" s="21"/>
      <c r="D451" s="22"/>
      <c r="F451" s="22"/>
      <c r="G451" s="27"/>
      <c r="H451" s="22"/>
      <c r="I451" s="27"/>
      <c r="J451" s="247"/>
      <c r="K451" s="247"/>
      <c r="L451" s="247"/>
    </row>
    <row r="452" spans="1:12" s="20" customFormat="1" x14ac:dyDescent="0.25">
      <c r="A452" s="26"/>
      <c r="B452" s="21"/>
      <c r="C452" s="21"/>
      <c r="D452" s="22"/>
      <c r="F452" s="22"/>
      <c r="G452" s="27"/>
      <c r="H452" s="22"/>
      <c r="I452" s="27"/>
      <c r="J452" s="247"/>
      <c r="K452" s="247"/>
      <c r="L452" s="247"/>
    </row>
    <row r="453" spans="1:12" s="20" customFormat="1" x14ac:dyDescent="0.25">
      <c r="A453" s="26"/>
      <c r="B453" s="21"/>
      <c r="C453" s="21"/>
      <c r="D453" s="22"/>
      <c r="F453" s="22"/>
      <c r="G453" s="27"/>
      <c r="H453" s="22"/>
      <c r="I453" s="27"/>
      <c r="J453" s="247"/>
      <c r="K453" s="247"/>
      <c r="L453" s="247"/>
    </row>
    <row r="454" spans="1:12" s="20" customFormat="1" x14ac:dyDescent="0.25">
      <c r="A454" s="26"/>
      <c r="B454" s="21"/>
      <c r="C454" s="21"/>
      <c r="D454" s="22"/>
      <c r="F454" s="22"/>
      <c r="G454" s="27"/>
      <c r="H454" s="22"/>
      <c r="I454" s="27"/>
      <c r="J454" s="247"/>
      <c r="K454" s="247"/>
      <c r="L454" s="247"/>
    </row>
    <row r="455" spans="1:12" s="20" customFormat="1" x14ac:dyDescent="0.25">
      <c r="A455" s="26"/>
      <c r="B455" s="21"/>
      <c r="C455" s="21"/>
      <c r="D455" s="22"/>
      <c r="F455" s="22"/>
      <c r="G455" s="27"/>
      <c r="H455" s="22"/>
      <c r="I455" s="27"/>
      <c r="J455" s="247"/>
      <c r="K455" s="247"/>
      <c r="L455" s="247"/>
    </row>
    <row r="456" spans="1:12" s="20" customFormat="1" x14ac:dyDescent="0.25">
      <c r="A456" s="26"/>
      <c r="B456" s="21"/>
      <c r="C456" s="21"/>
      <c r="D456" s="22"/>
      <c r="F456" s="22"/>
      <c r="G456" s="27"/>
      <c r="H456" s="22"/>
      <c r="I456" s="27"/>
      <c r="J456" s="247"/>
      <c r="K456" s="247"/>
      <c r="L456" s="247"/>
    </row>
    <row r="457" spans="1:12" s="20" customFormat="1" x14ac:dyDescent="0.25">
      <c r="A457" s="26"/>
      <c r="B457" s="21"/>
      <c r="C457" s="21"/>
      <c r="D457" s="22"/>
      <c r="F457" s="22"/>
      <c r="G457" s="27"/>
      <c r="H457" s="22"/>
      <c r="I457" s="27"/>
      <c r="J457" s="247"/>
      <c r="K457" s="247"/>
      <c r="L457" s="247"/>
    </row>
    <row r="458" spans="1:12" s="20" customFormat="1" x14ac:dyDescent="0.25">
      <c r="A458" s="26"/>
      <c r="B458" s="21"/>
      <c r="C458" s="21"/>
      <c r="D458" s="22"/>
      <c r="F458" s="22"/>
      <c r="G458" s="27"/>
      <c r="H458" s="22"/>
      <c r="I458" s="27"/>
      <c r="J458" s="247"/>
      <c r="K458" s="247"/>
      <c r="L458" s="247"/>
    </row>
    <row r="459" spans="1:12" s="20" customFormat="1" x14ac:dyDescent="0.25">
      <c r="A459" s="26"/>
      <c r="B459" s="21"/>
      <c r="C459" s="21"/>
      <c r="D459" s="22"/>
      <c r="F459" s="22"/>
      <c r="G459" s="27"/>
      <c r="H459" s="22"/>
      <c r="I459" s="27"/>
      <c r="J459" s="247"/>
      <c r="K459" s="247"/>
      <c r="L459" s="247"/>
    </row>
    <row r="460" spans="1:12" s="20" customFormat="1" x14ac:dyDescent="0.25">
      <c r="A460" s="26"/>
      <c r="B460" s="21"/>
      <c r="C460" s="21"/>
      <c r="D460" s="22"/>
      <c r="F460" s="22"/>
      <c r="G460" s="27"/>
      <c r="H460" s="22"/>
      <c r="I460" s="27"/>
      <c r="J460" s="247"/>
      <c r="K460" s="247"/>
      <c r="L460" s="247"/>
    </row>
    <row r="461" spans="1:12" s="20" customFormat="1" x14ac:dyDescent="0.25">
      <c r="A461" s="26"/>
      <c r="B461" s="21"/>
      <c r="C461" s="21"/>
      <c r="D461" s="22"/>
      <c r="F461" s="22"/>
      <c r="G461" s="27"/>
      <c r="H461" s="22"/>
      <c r="I461" s="27"/>
      <c r="J461" s="247"/>
      <c r="K461" s="247"/>
      <c r="L461" s="247"/>
    </row>
    <row r="462" spans="1:12" s="20" customFormat="1" x14ac:dyDescent="0.25">
      <c r="A462" s="26"/>
      <c r="B462" s="21"/>
      <c r="C462" s="21"/>
      <c r="D462" s="22"/>
      <c r="F462" s="22"/>
      <c r="G462" s="27"/>
      <c r="H462" s="22"/>
      <c r="I462" s="27"/>
      <c r="J462" s="247"/>
      <c r="K462" s="247"/>
      <c r="L462" s="247"/>
    </row>
    <row r="463" spans="1:12" s="20" customFormat="1" x14ac:dyDescent="0.25">
      <c r="A463" s="26"/>
      <c r="B463" s="21"/>
      <c r="C463" s="21"/>
      <c r="D463" s="22"/>
      <c r="F463" s="22"/>
      <c r="G463" s="27"/>
      <c r="H463" s="22"/>
      <c r="I463" s="27"/>
      <c r="J463" s="247"/>
      <c r="K463" s="247"/>
      <c r="L463" s="247"/>
    </row>
    <row r="464" spans="1:12" s="20" customFormat="1" x14ac:dyDescent="0.25">
      <c r="A464" s="26"/>
      <c r="B464" s="21"/>
      <c r="C464" s="21"/>
      <c r="D464" s="22"/>
      <c r="F464" s="22"/>
      <c r="G464" s="27"/>
      <c r="H464" s="22"/>
      <c r="I464" s="27"/>
      <c r="J464" s="247"/>
      <c r="K464" s="247"/>
      <c r="L464" s="247"/>
    </row>
    <row r="465" spans="1:12" s="20" customFormat="1" x14ac:dyDescent="0.25">
      <c r="A465" s="26"/>
      <c r="B465" s="21"/>
      <c r="C465" s="21"/>
      <c r="D465" s="22"/>
      <c r="F465" s="22"/>
      <c r="G465" s="27"/>
      <c r="H465" s="22"/>
      <c r="I465" s="27"/>
      <c r="J465" s="247"/>
      <c r="K465" s="247"/>
      <c r="L465" s="247"/>
    </row>
    <row r="466" spans="1:12" s="20" customFormat="1" x14ac:dyDescent="0.25">
      <c r="A466" s="26"/>
      <c r="B466" s="21"/>
      <c r="C466" s="21"/>
      <c r="D466" s="22"/>
      <c r="F466" s="22"/>
      <c r="G466" s="27"/>
      <c r="H466" s="22"/>
      <c r="I466" s="27"/>
      <c r="J466" s="247"/>
      <c r="K466" s="247"/>
      <c r="L466" s="247"/>
    </row>
    <row r="467" spans="1:12" s="20" customFormat="1" x14ac:dyDescent="0.25">
      <c r="A467" s="26"/>
      <c r="B467" s="21"/>
      <c r="C467" s="21"/>
      <c r="D467" s="22"/>
      <c r="F467" s="22"/>
      <c r="G467" s="27"/>
      <c r="H467" s="22"/>
      <c r="I467" s="27"/>
      <c r="J467" s="247"/>
      <c r="K467" s="247"/>
      <c r="L467" s="247"/>
    </row>
    <row r="468" spans="1:12" s="20" customFormat="1" x14ac:dyDescent="0.25">
      <c r="A468" s="26"/>
      <c r="B468" s="21"/>
      <c r="C468" s="21"/>
      <c r="D468" s="22"/>
      <c r="F468" s="22"/>
      <c r="G468" s="27"/>
      <c r="H468" s="22"/>
      <c r="I468" s="27"/>
      <c r="J468" s="247"/>
      <c r="K468" s="247"/>
      <c r="L468" s="247"/>
    </row>
    <row r="469" spans="1:12" s="20" customFormat="1" x14ac:dyDescent="0.25">
      <c r="A469" s="26"/>
      <c r="B469" s="21"/>
      <c r="C469" s="21"/>
      <c r="D469" s="22"/>
      <c r="F469" s="22"/>
      <c r="G469" s="27"/>
      <c r="H469" s="22"/>
      <c r="I469" s="27"/>
      <c r="J469" s="247"/>
      <c r="K469" s="247"/>
      <c r="L469" s="247"/>
    </row>
    <row r="470" spans="1:12" s="20" customFormat="1" x14ac:dyDescent="0.25">
      <c r="A470" s="26"/>
      <c r="B470" s="21"/>
      <c r="C470" s="21"/>
      <c r="D470" s="22"/>
      <c r="F470" s="22"/>
      <c r="G470" s="27"/>
      <c r="H470" s="22"/>
      <c r="I470" s="27"/>
      <c r="J470" s="247"/>
      <c r="K470" s="247"/>
      <c r="L470" s="247"/>
    </row>
    <row r="471" spans="1:12" s="20" customFormat="1" x14ac:dyDescent="0.25">
      <c r="A471" s="26"/>
      <c r="B471" s="21"/>
      <c r="C471" s="21"/>
      <c r="D471" s="22"/>
      <c r="F471" s="22"/>
      <c r="G471" s="27"/>
      <c r="H471" s="22"/>
      <c r="I471" s="27"/>
      <c r="J471" s="247"/>
      <c r="K471" s="247"/>
      <c r="L471" s="247"/>
    </row>
    <row r="472" spans="1:12" s="20" customFormat="1" x14ac:dyDescent="0.25">
      <c r="A472" s="26"/>
      <c r="B472" s="21"/>
      <c r="C472" s="21"/>
      <c r="D472" s="22"/>
      <c r="F472" s="22"/>
      <c r="G472" s="27"/>
      <c r="H472" s="22"/>
      <c r="I472" s="27"/>
      <c r="J472" s="247"/>
      <c r="K472" s="247"/>
      <c r="L472" s="247"/>
    </row>
    <row r="473" spans="1:12" s="20" customFormat="1" x14ac:dyDescent="0.25">
      <c r="A473" s="26"/>
      <c r="B473" s="21"/>
      <c r="C473" s="21"/>
      <c r="D473" s="22"/>
      <c r="F473" s="22"/>
      <c r="G473" s="27"/>
      <c r="H473" s="22"/>
      <c r="I473" s="27"/>
      <c r="J473" s="247"/>
      <c r="K473" s="247"/>
      <c r="L473" s="247"/>
    </row>
    <row r="474" spans="1:12" s="20" customFormat="1" x14ac:dyDescent="0.25">
      <c r="A474" s="26"/>
      <c r="B474" s="21"/>
      <c r="C474" s="21"/>
      <c r="D474" s="22"/>
      <c r="F474" s="22"/>
      <c r="G474" s="27"/>
      <c r="H474" s="22"/>
      <c r="I474" s="27"/>
      <c r="J474" s="247"/>
      <c r="K474" s="247"/>
      <c r="L474" s="247"/>
    </row>
    <row r="475" spans="1:12" s="20" customFormat="1" x14ac:dyDescent="0.25">
      <c r="A475" s="26"/>
      <c r="B475" s="21"/>
      <c r="C475" s="21"/>
      <c r="D475" s="22"/>
      <c r="F475" s="22"/>
      <c r="G475" s="27"/>
      <c r="H475" s="22"/>
      <c r="I475" s="27"/>
      <c r="J475" s="247"/>
      <c r="K475" s="247"/>
      <c r="L475" s="247"/>
    </row>
    <row r="476" spans="1:12" s="20" customFormat="1" x14ac:dyDescent="0.25">
      <c r="A476" s="26"/>
      <c r="B476" s="21"/>
      <c r="C476" s="21"/>
      <c r="D476" s="22"/>
      <c r="F476" s="22"/>
      <c r="G476" s="27"/>
      <c r="H476" s="22"/>
      <c r="I476" s="27"/>
      <c r="J476" s="247"/>
      <c r="K476" s="247"/>
      <c r="L476" s="247"/>
    </row>
    <row r="477" spans="1:12" s="20" customFormat="1" x14ac:dyDescent="0.25">
      <c r="A477" s="26"/>
      <c r="B477" s="21"/>
      <c r="C477" s="21"/>
      <c r="D477" s="22"/>
      <c r="F477" s="22"/>
      <c r="G477" s="27"/>
      <c r="H477" s="22"/>
      <c r="I477" s="27"/>
      <c r="J477" s="247"/>
      <c r="K477" s="247"/>
      <c r="L477" s="247"/>
    </row>
    <row r="478" spans="1:12" s="20" customFormat="1" x14ac:dyDescent="0.25">
      <c r="A478" s="26"/>
      <c r="B478" s="21"/>
      <c r="C478" s="21"/>
      <c r="D478" s="22"/>
      <c r="F478" s="22"/>
      <c r="G478" s="27"/>
      <c r="H478" s="22"/>
      <c r="I478" s="27"/>
      <c r="J478" s="247"/>
      <c r="K478" s="247"/>
      <c r="L478" s="247"/>
    </row>
    <row r="479" spans="1:12" s="20" customFormat="1" x14ac:dyDescent="0.25">
      <c r="A479" s="26"/>
      <c r="B479" s="21"/>
      <c r="C479" s="21"/>
      <c r="D479" s="22"/>
      <c r="F479" s="22"/>
      <c r="G479" s="27"/>
      <c r="H479" s="22"/>
      <c r="I479" s="27"/>
      <c r="J479" s="247"/>
      <c r="K479" s="247"/>
      <c r="L479" s="247"/>
    </row>
    <row r="480" spans="1:12" s="20" customFormat="1" x14ac:dyDescent="0.25">
      <c r="A480" s="26"/>
      <c r="B480" s="21"/>
      <c r="C480" s="21"/>
      <c r="D480" s="22"/>
      <c r="F480" s="22"/>
      <c r="G480" s="27"/>
      <c r="H480" s="22"/>
      <c r="I480" s="27"/>
      <c r="J480" s="247"/>
      <c r="K480" s="247"/>
      <c r="L480" s="247"/>
    </row>
    <row r="481" spans="1:12" s="20" customFormat="1" x14ac:dyDescent="0.25">
      <c r="A481" s="26"/>
      <c r="B481" s="21"/>
      <c r="C481" s="21"/>
      <c r="D481" s="22"/>
      <c r="F481" s="22"/>
      <c r="G481" s="27"/>
      <c r="H481" s="22"/>
      <c r="I481" s="27"/>
      <c r="J481" s="247"/>
      <c r="K481" s="247"/>
      <c r="L481" s="247"/>
    </row>
    <row r="482" spans="1:12" s="20" customFormat="1" x14ac:dyDescent="0.25">
      <c r="A482" s="26"/>
      <c r="B482" s="21"/>
      <c r="C482" s="21"/>
      <c r="D482" s="22"/>
      <c r="F482" s="22"/>
      <c r="G482" s="27"/>
      <c r="H482" s="22"/>
      <c r="I482" s="27"/>
      <c r="J482" s="247"/>
      <c r="K482" s="247"/>
      <c r="L482" s="247"/>
    </row>
    <row r="483" spans="1:12" s="20" customFormat="1" x14ac:dyDescent="0.25">
      <c r="A483" s="26"/>
      <c r="B483" s="21"/>
      <c r="C483" s="21"/>
      <c r="D483" s="22"/>
      <c r="F483" s="22"/>
      <c r="G483" s="27"/>
      <c r="H483" s="22"/>
      <c r="I483" s="27"/>
      <c r="J483" s="247"/>
      <c r="K483" s="247"/>
      <c r="L483" s="247"/>
    </row>
    <row r="484" spans="1:12" s="20" customFormat="1" x14ac:dyDescent="0.25">
      <c r="A484" s="26"/>
      <c r="B484" s="21"/>
      <c r="C484" s="21"/>
      <c r="D484" s="22"/>
      <c r="F484" s="22"/>
      <c r="G484" s="27"/>
      <c r="H484" s="22"/>
      <c r="I484" s="27"/>
      <c r="J484" s="247"/>
      <c r="K484" s="247"/>
      <c r="L484" s="247"/>
    </row>
    <row r="485" spans="1:12" s="20" customFormat="1" x14ac:dyDescent="0.25">
      <c r="A485" s="26"/>
      <c r="B485" s="21"/>
      <c r="C485" s="21"/>
      <c r="D485" s="22"/>
      <c r="F485" s="22"/>
      <c r="G485" s="27"/>
      <c r="H485" s="22"/>
      <c r="I485" s="27"/>
      <c r="J485" s="247"/>
      <c r="K485" s="247"/>
      <c r="L485" s="247"/>
    </row>
    <row r="486" spans="1:12" s="20" customFormat="1" x14ac:dyDescent="0.25">
      <c r="A486" s="26"/>
      <c r="B486" s="21"/>
      <c r="C486" s="21"/>
      <c r="D486" s="22"/>
      <c r="F486" s="22"/>
      <c r="G486" s="27"/>
      <c r="H486" s="22"/>
      <c r="I486" s="27"/>
      <c r="J486" s="247"/>
      <c r="K486" s="247"/>
      <c r="L486" s="247"/>
    </row>
    <row r="487" spans="1:12" s="20" customFormat="1" x14ac:dyDescent="0.25">
      <c r="A487" s="26"/>
      <c r="B487" s="21"/>
      <c r="C487" s="21"/>
      <c r="D487" s="22"/>
      <c r="F487" s="22"/>
      <c r="G487" s="27"/>
      <c r="H487" s="22"/>
      <c r="I487" s="27"/>
      <c r="J487" s="247"/>
      <c r="K487" s="247"/>
      <c r="L487" s="247"/>
    </row>
    <row r="488" spans="1:12" s="20" customFormat="1" x14ac:dyDescent="0.25">
      <c r="A488" s="26"/>
      <c r="B488" s="21"/>
      <c r="C488" s="21"/>
      <c r="D488" s="22"/>
      <c r="F488" s="22"/>
      <c r="G488" s="27"/>
      <c r="H488" s="22"/>
      <c r="I488" s="27"/>
      <c r="J488" s="247"/>
      <c r="K488" s="247"/>
      <c r="L488" s="247"/>
    </row>
    <row r="489" spans="1:12" s="20" customFormat="1" x14ac:dyDescent="0.25">
      <c r="A489" s="26"/>
      <c r="B489" s="21"/>
      <c r="C489" s="21"/>
      <c r="D489" s="22"/>
      <c r="F489" s="22"/>
      <c r="G489" s="27"/>
      <c r="H489" s="22"/>
      <c r="I489" s="27"/>
      <c r="J489" s="247"/>
      <c r="K489" s="247"/>
      <c r="L489" s="247"/>
    </row>
    <row r="490" spans="1:12" s="20" customFormat="1" x14ac:dyDescent="0.25">
      <c r="A490" s="26"/>
      <c r="B490" s="21"/>
      <c r="C490" s="21"/>
      <c r="D490" s="22"/>
      <c r="F490" s="22"/>
      <c r="G490" s="27"/>
      <c r="H490" s="22"/>
      <c r="I490" s="27"/>
      <c r="J490" s="247"/>
      <c r="K490" s="247"/>
      <c r="L490" s="247"/>
    </row>
    <row r="491" spans="1:12" s="20" customFormat="1" x14ac:dyDescent="0.25">
      <c r="A491" s="26"/>
      <c r="B491" s="21"/>
      <c r="C491" s="21"/>
      <c r="D491" s="22"/>
      <c r="F491" s="22"/>
      <c r="G491" s="27"/>
      <c r="H491" s="22"/>
      <c r="I491" s="27"/>
      <c r="J491" s="247"/>
      <c r="K491" s="247"/>
      <c r="L491" s="247"/>
    </row>
    <row r="492" spans="1:12" s="20" customFormat="1" x14ac:dyDescent="0.25">
      <c r="A492" s="26"/>
      <c r="B492" s="21"/>
      <c r="C492" s="21"/>
      <c r="D492" s="22"/>
      <c r="F492" s="22"/>
      <c r="G492" s="27"/>
      <c r="H492" s="22"/>
      <c r="I492" s="27"/>
      <c r="J492" s="247"/>
      <c r="K492" s="247"/>
      <c r="L492" s="247"/>
    </row>
    <row r="493" spans="1:12" s="20" customFormat="1" x14ac:dyDescent="0.25">
      <c r="A493" s="26"/>
      <c r="B493" s="21"/>
      <c r="C493" s="21"/>
      <c r="D493" s="22"/>
      <c r="F493" s="22"/>
      <c r="G493" s="27"/>
      <c r="H493" s="22"/>
      <c r="I493" s="27"/>
      <c r="J493" s="247"/>
      <c r="K493" s="247"/>
      <c r="L493" s="247"/>
    </row>
    <row r="494" spans="1:12" s="20" customFormat="1" x14ac:dyDescent="0.25">
      <c r="A494" s="26"/>
      <c r="B494" s="21"/>
      <c r="C494" s="21"/>
      <c r="D494" s="22"/>
      <c r="F494" s="22"/>
      <c r="G494" s="27"/>
      <c r="H494" s="22"/>
      <c r="I494" s="27"/>
      <c r="J494" s="247"/>
      <c r="K494" s="247"/>
      <c r="L494" s="247"/>
    </row>
    <row r="495" spans="1:12" s="20" customFormat="1" x14ac:dyDescent="0.25">
      <c r="A495" s="26"/>
      <c r="B495" s="21"/>
      <c r="C495" s="21"/>
      <c r="D495" s="22"/>
      <c r="F495" s="22"/>
      <c r="G495" s="27"/>
      <c r="H495" s="22"/>
      <c r="I495" s="27"/>
      <c r="J495" s="247"/>
      <c r="K495" s="247"/>
      <c r="L495" s="247"/>
    </row>
    <row r="496" spans="1:12" s="20" customFormat="1" x14ac:dyDescent="0.25">
      <c r="A496" s="26"/>
      <c r="B496" s="21"/>
      <c r="C496" s="21"/>
      <c r="D496" s="22"/>
      <c r="F496" s="22"/>
      <c r="G496" s="27"/>
      <c r="H496" s="22"/>
      <c r="I496" s="27"/>
      <c r="J496" s="247"/>
      <c r="K496" s="247"/>
      <c r="L496" s="247"/>
    </row>
    <row r="497" spans="1:12" s="20" customFormat="1" x14ac:dyDescent="0.25">
      <c r="A497" s="26"/>
      <c r="B497" s="21"/>
      <c r="C497" s="21"/>
      <c r="D497" s="22"/>
      <c r="F497" s="22"/>
      <c r="G497" s="27"/>
      <c r="H497" s="22"/>
      <c r="I497" s="27"/>
      <c r="J497" s="247"/>
      <c r="K497" s="247"/>
      <c r="L497" s="247"/>
    </row>
    <row r="498" spans="1:12" s="20" customFormat="1" x14ac:dyDescent="0.25">
      <c r="A498" s="26"/>
      <c r="B498" s="21"/>
      <c r="C498" s="21"/>
      <c r="D498" s="22"/>
      <c r="F498" s="22"/>
      <c r="G498" s="27"/>
      <c r="H498" s="22"/>
      <c r="I498" s="27"/>
      <c r="J498" s="247"/>
      <c r="K498" s="247"/>
      <c r="L498" s="247"/>
    </row>
    <row r="499" spans="1:12" s="20" customFormat="1" x14ac:dyDescent="0.25">
      <c r="A499" s="26"/>
      <c r="B499" s="21"/>
      <c r="C499" s="21"/>
      <c r="D499" s="22"/>
      <c r="F499" s="22"/>
      <c r="G499" s="27"/>
      <c r="H499" s="22"/>
      <c r="I499" s="27"/>
      <c r="J499" s="247"/>
      <c r="K499" s="247"/>
      <c r="L499" s="247"/>
    </row>
    <row r="500" spans="1:12" s="20" customFormat="1" x14ac:dyDescent="0.25">
      <c r="A500" s="26"/>
      <c r="B500" s="21"/>
      <c r="C500" s="21"/>
      <c r="D500" s="22"/>
      <c r="F500" s="22"/>
      <c r="G500" s="27"/>
      <c r="H500" s="22"/>
      <c r="I500" s="27"/>
      <c r="J500" s="247"/>
      <c r="K500" s="247"/>
      <c r="L500" s="247"/>
    </row>
    <row r="501" spans="1:12" s="20" customFormat="1" x14ac:dyDescent="0.25">
      <c r="A501" s="26"/>
      <c r="B501" s="21"/>
      <c r="C501" s="21"/>
      <c r="D501" s="22"/>
      <c r="F501" s="22"/>
      <c r="G501" s="27"/>
      <c r="H501" s="22"/>
      <c r="I501" s="27"/>
      <c r="J501" s="247"/>
      <c r="K501" s="247"/>
      <c r="L501" s="247"/>
    </row>
    <row r="502" spans="1:12" s="20" customFormat="1" x14ac:dyDescent="0.25">
      <c r="A502" s="26"/>
      <c r="B502" s="21"/>
      <c r="C502" s="21"/>
      <c r="D502" s="22"/>
      <c r="F502" s="22"/>
      <c r="G502" s="27"/>
      <c r="H502" s="22"/>
      <c r="I502" s="27"/>
      <c r="J502" s="247"/>
      <c r="K502" s="247"/>
      <c r="L502" s="247"/>
    </row>
    <row r="503" spans="1:12" s="20" customFormat="1" x14ac:dyDescent="0.25">
      <c r="A503" s="26"/>
      <c r="B503" s="21"/>
      <c r="C503" s="21"/>
      <c r="D503" s="22"/>
      <c r="F503" s="22"/>
      <c r="G503" s="27"/>
      <c r="H503" s="22"/>
      <c r="I503" s="27"/>
      <c r="J503" s="247"/>
      <c r="K503" s="247"/>
      <c r="L503" s="247"/>
    </row>
    <row r="504" spans="1:12" s="20" customFormat="1" x14ac:dyDescent="0.25">
      <c r="A504" s="26"/>
      <c r="B504" s="21"/>
      <c r="C504" s="21"/>
      <c r="D504" s="22"/>
      <c r="F504" s="22"/>
      <c r="G504" s="27"/>
      <c r="H504" s="22"/>
      <c r="I504" s="27"/>
      <c r="J504" s="247"/>
      <c r="K504" s="247"/>
      <c r="L504" s="247"/>
    </row>
    <row r="505" spans="1:12" s="20" customFormat="1" x14ac:dyDescent="0.25">
      <c r="A505" s="26"/>
      <c r="B505" s="21"/>
      <c r="C505" s="21"/>
      <c r="D505" s="22"/>
      <c r="F505" s="22"/>
      <c r="G505" s="27"/>
      <c r="H505" s="22"/>
      <c r="I505" s="27"/>
      <c r="J505" s="247"/>
      <c r="K505" s="247"/>
      <c r="L505" s="247"/>
    </row>
    <row r="506" spans="1:12" s="20" customFormat="1" x14ac:dyDescent="0.25">
      <c r="A506" s="26"/>
      <c r="B506" s="21"/>
      <c r="C506" s="21"/>
      <c r="D506" s="22"/>
      <c r="F506" s="22"/>
      <c r="G506" s="27"/>
      <c r="H506" s="22"/>
      <c r="I506" s="27"/>
      <c r="J506" s="247"/>
      <c r="K506" s="247"/>
      <c r="L506" s="247"/>
    </row>
    <row r="507" spans="1:12" s="20" customFormat="1" x14ac:dyDescent="0.25">
      <c r="A507" s="26"/>
      <c r="B507" s="21"/>
      <c r="C507" s="21"/>
      <c r="D507" s="22"/>
      <c r="F507" s="22"/>
      <c r="G507" s="27"/>
      <c r="H507" s="22"/>
      <c r="I507" s="27"/>
      <c r="J507" s="247"/>
      <c r="K507" s="247"/>
      <c r="L507" s="247"/>
    </row>
    <row r="508" spans="1:12" s="20" customFormat="1" x14ac:dyDescent="0.25">
      <c r="A508" s="26"/>
      <c r="B508" s="21"/>
      <c r="C508" s="21"/>
      <c r="D508" s="22"/>
      <c r="F508" s="22"/>
      <c r="G508" s="27"/>
      <c r="H508" s="22"/>
      <c r="I508" s="27"/>
      <c r="J508" s="247"/>
      <c r="K508" s="247"/>
      <c r="L508" s="247"/>
    </row>
    <row r="509" spans="1:12" s="20" customFormat="1" x14ac:dyDescent="0.25">
      <c r="A509" s="26"/>
      <c r="B509" s="21"/>
      <c r="C509" s="21"/>
      <c r="D509" s="22"/>
      <c r="F509" s="22"/>
      <c r="G509" s="27"/>
      <c r="H509" s="22"/>
      <c r="I509" s="27"/>
      <c r="J509" s="247"/>
      <c r="K509" s="247"/>
      <c r="L509" s="247"/>
    </row>
    <row r="510" spans="1:12" s="20" customFormat="1" x14ac:dyDescent="0.25">
      <c r="A510" s="26"/>
      <c r="B510" s="21"/>
      <c r="C510" s="21"/>
      <c r="D510" s="22"/>
      <c r="F510" s="22"/>
      <c r="G510" s="27"/>
      <c r="H510" s="22"/>
      <c r="I510" s="27"/>
      <c r="J510" s="247"/>
      <c r="K510" s="247"/>
      <c r="L510" s="247"/>
    </row>
    <row r="511" spans="1:12" s="20" customFormat="1" x14ac:dyDescent="0.25">
      <c r="A511" s="26"/>
      <c r="B511" s="21"/>
      <c r="C511" s="21"/>
      <c r="D511" s="22"/>
      <c r="F511" s="22"/>
      <c r="G511" s="27"/>
      <c r="H511" s="22"/>
      <c r="I511" s="27"/>
      <c r="J511" s="247"/>
      <c r="K511" s="247"/>
      <c r="L511" s="247"/>
    </row>
    <row r="512" spans="1:12" s="20" customFormat="1" x14ac:dyDescent="0.25">
      <c r="A512" s="26"/>
      <c r="B512" s="21"/>
      <c r="C512" s="21"/>
      <c r="D512" s="22"/>
      <c r="F512" s="22"/>
      <c r="G512" s="27"/>
      <c r="H512" s="22"/>
      <c r="I512" s="27"/>
      <c r="J512" s="247"/>
      <c r="K512" s="247"/>
      <c r="L512" s="247"/>
    </row>
    <row r="513" spans="1:12" s="20" customFormat="1" x14ac:dyDescent="0.25">
      <c r="A513" s="26"/>
      <c r="B513" s="21"/>
      <c r="C513" s="21"/>
      <c r="D513" s="22"/>
      <c r="F513" s="22"/>
      <c r="G513" s="27"/>
      <c r="H513" s="22"/>
      <c r="I513" s="27"/>
      <c r="J513" s="247"/>
      <c r="K513" s="247"/>
      <c r="L513" s="247"/>
    </row>
    <row r="514" spans="1:12" s="20" customFormat="1" x14ac:dyDescent="0.25">
      <c r="A514" s="26"/>
      <c r="B514" s="21"/>
      <c r="C514" s="21"/>
      <c r="D514" s="22"/>
      <c r="F514" s="22"/>
      <c r="G514" s="27"/>
      <c r="H514" s="22"/>
      <c r="I514" s="27"/>
      <c r="J514" s="247"/>
      <c r="K514" s="247"/>
      <c r="L514" s="247"/>
    </row>
    <row r="515" spans="1:12" s="20" customFormat="1" x14ac:dyDescent="0.25">
      <c r="A515" s="26"/>
      <c r="B515" s="21"/>
      <c r="C515" s="21"/>
      <c r="D515" s="22"/>
      <c r="F515" s="22"/>
      <c r="G515" s="27"/>
      <c r="H515" s="22"/>
      <c r="I515" s="27"/>
      <c r="J515" s="247"/>
      <c r="K515" s="247"/>
      <c r="L515" s="247"/>
    </row>
    <row r="516" spans="1:12" s="20" customFormat="1" x14ac:dyDescent="0.25">
      <c r="A516" s="26"/>
      <c r="B516" s="21"/>
      <c r="C516" s="21"/>
      <c r="D516" s="22"/>
      <c r="F516" s="22"/>
      <c r="G516" s="27"/>
      <c r="H516" s="22"/>
      <c r="I516" s="27"/>
      <c r="J516" s="247"/>
      <c r="K516" s="247"/>
      <c r="L516" s="247"/>
    </row>
    <row r="517" spans="1:12" s="20" customFormat="1" x14ac:dyDescent="0.25">
      <c r="A517" s="26"/>
      <c r="B517" s="21"/>
      <c r="C517" s="21"/>
      <c r="D517" s="22"/>
      <c r="F517" s="22"/>
      <c r="G517" s="27"/>
      <c r="H517" s="22"/>
      <c r="I517" s="27"/>
      <c r="J517" s="247"/>
      <c r="K517" s="247"/>
      <c r="L517" s="247"/>
    </row>
    <row r="518" spans="1:12" s="20" customFormat="1" x14ac:dyDescent="0.25">
      <c r="A518" s="26"/>
      <c r="B518" s="21"/>
      <c r="C518" s="21"/>
      <c r="D518" s="22"/>
      <c r="F518" s="22"/>
      <c r="G518" s="27"/>
      <c r="H518" s="22"/>
      <c r="I518" s="27"/>
      <c r="J518" s="247"/>
      <c r="K518" s="247"/>
      <c r="L518" s="247"/>
    </row>
    <row r="519" spans="1:12" s="20" customFormat="1" x14ac:dyDescent="0.25">
      <c r="A519" s="26"/>
      <c r="B519" s="21"/>
      <c r="C519" s="21"/>
      <c r="D519" s="22"/>
      <c r="F519" s="22"/>
      <c r="G519" s="27"/>
      <c r="H519" s="22"/>
      <c r="I519" s="27"/>
      <c r="J519" s="247"/>
      <c r="K519" s="247"/>
      <c r="L519" s="247"/>
    </row>
    <row r="520" spans="1:12" s="20" customFormat="1" x14ac:dyDescent="0.25">
      <c r="A520" s="26"/>
      <c r="B520" s="21"/>
      <c r="C520" s="21"/>
      <c r="D520" s="22"/>
      <c r="F520" s="22"/>
      <c r="G520" s="27"/>
      <c r="H520" s="22"/>
      <c r="I520" s="27"/>
      <c r="J520" s="247"/>
      <c r="K520" s="247"/>
      <c r="L520" s="247"/>
    </row>
    <row r="521" spans="1:12" s="20" customFormat="1" x14ac:dyDescent="0.25">
      <c r="A521" s="26"/>
      <c r="B521" s="21"/>
      <c r="C521" s="21"/>
      <c r="D521" s="22"/>
      <c r="F521" s="22"/>
      <c r="G521" s="27"/>
      <c r="H521" s="22"/>
      <c r="I521" s="27"/>
      <c r="J521" s="247"/>
      <c r="K521" s="247"/>
      <c r="L521" s="247"/>
    </row>
    <row r="522" spans="1:12" s="20" customFormat="1" x14ac:dyDescent="0.25">
      <c r="A522" s="26"/>
      <c r="B522" s="21"/>
      <c r="C522" s="21"/>
      <c r="D522" s="22"/>
      <c r="F522" s="22"/>
      <c r="G522" s="27"/>
      <c r="H522" s="22"/>
      <c r="I522" s="27"/>
      <c r="J522" s="247"/>
      <c r="K522" s="247"/>
      <c r="L522" s="247"/>
    </row>
    <row r="523" spans="1:12" s="20" customFormat="1" x14ac:dyDescent="0.25">
      <c r="A523" s="26"/>
      <c r="B523" s="21"/>
      <c r="C523" s="21"/>
      <c r="D523" s="22"/>
      <c r="F523" s="22"/>
      <c r="G523" s="27"/>
      <c r="H523" s="22"/>
      <c r="I523" s="27"/>
      <c r="J523" s="247"/>
      <c r="K523" s="247"/>
      <c r="L523" s="247"/>
    </row>
    <row r="524" spans="1:12" s="20" customFormat="1" x14ac:dyDescent="0.25">
      <c r="A524" s="26"/>
      <c r="B524" s="21"/>
      <c r="C524" s="21"/>
      <c r="D524" s="22"/>
      <c r="F524" s="22"/>
      <c r="G524" s="27"/>
      <c r="H524" s="22"/>
      <c r="I524" s="27"/>
      <c r="J524" s="247"/>
      <c r="K524" s="247"/>
      <c r="L524" s="247"/>
    </row>
    <row r="525" spans="1:12" s="20" customFormat="1" x14ac:dyDescent="0.25">
      <c r="A525" s="26"/>
      <c r="B525" s="21"/>
      <c r="C525" s="21"/>
      <c r="D525" s="22"/>
      <c r="F525" s="22"/>
      <c r="G525" s="27"/>
      <c r="H525" s="22"/>
      <c r="I525" s="27"/>
      <c r="J525" s="247"/>
      <c r="K525" s="247"/>
      <c r="L525" s="247"/>
    </row>
    <row r="526" spans="1:12" s="20" customFormat="1" x14ac:dyDescent="0.25">
      <c r="A526" s="26"/>
      <c r="B526" s="21"/>
      <c r="C526" s="21"/>
      <c r="D526" s="22"/>
      <c r="F526" s="22"/>
      <c r="G526" s="27"/>
      <c r="H526" s="22"/>
      <c r="I526" s="27"/>
      <c r="J526" s="247"/>
      <c r="K526" s="247"/>
      <c r="L526" s="247"/>
    </row>
    <row r="527" spans="1:12" s="20" customFormat="1" x14ac:dyDescent="0.25">
      <c r="A527" s="26"/>
      <c r="B527" s="21"/>
      <c r="C527" s="21"/>
      <c r="D527" s="22"/>
      <c r="F527" s="22"/>
      <c r="G527" s="27"/>
      <c r="H527" s="22"/>
      <c r="I527" s="27"/>
      <c r="J527" s="247"/>
      <c r="K527" s="247"/>
      <c r="L527" s="247"/>
    </row>
    <row r="528" spans="1:12" s="20" customFormat="1" x14ac:dyDescent="0.25">
      <c r="A528" s="26"/>
      <c r="B528" s="21"/>
      <c r="C528" s="21"/>
      <c r="D528" s="22"/>
      <c r="F528" s="22"/>
      <c r="G528" s="27"/>
      <c r="H528" s="22"/>
      <c r="I528" s="27"/>
      <c r="J528" s="247"/>
      <c r="K528" s="247"/>
      <c r="L528" s="247"/>
    </row>
    <row r="529" spans="1:12" s="20" customFormat="1" x14ac:dyDescent="0.25">
      <c r="A529" s="26"/>
      <c r="B529" s="21"/>
      <c r="C529" s="21"/>
      <c r="D529" s="22"/>
      <c r="F529" s="22"/>
      <c r="G529" s="27"/>
      <c r="H529" s="22"/>
      <c r="I529" s="27"/>
      <c r="J529" s="247"/>
      <c r="K529" s="247"/>
      <c r="L529" s="247"/>
    </row>
    <row r="530" spans="1:12" s="20" customFormat="1" x14ac:dyDescent="0.25">
      <c r="A530" s="26"/>
      <c r="B530" s="21"/>
      <c r="C530" s="21"/>
      <c r="D530" s="22"/>
      <c r="F530" s="22"/>
      <c r="G530" s="27"/>
      <c r="H530" s="22"/>
      <c r="I530" s="27"/>
      <c r="J530" s="247"/>
      <c r="K530" s="247"/>
      <c r="L530" s="247"/>
    </row>
    <row r="531" spans="1:12" s="20" customFormat="1" x14ac:dyDescent="0.25">
      <c r="A531" s="26"/>
      <c r="B531" s="21"/>
      <c r="C531" s="21"/>
      <c r="D531" s="22"/>
      <c r="F531" s="22"/>
      <c r="G531" s="27"/>
      <c r="H531" s="22"/>
      <c r="I531" s="27"/>
      <c r="J531" s="247"/>
      <c r="K531" s="247"/>
      <c r="L531" s="247"/>
    </row>
    <row r="532" spans="1:12" s="20" customFormat="1" x14ac:dyDescent="0.25">
      <c r="A532" s="26"/>
      <c r="B532" s="21"/>
      <c r="C532" s="21"/>
      <c r="D532" s="22"/>
      <c r="F532" s="22"/>
      <c r="G532" s="27"/>
      <c r="H532" s="22"/>
      <c r="I532" s="27"/>
      <c r="J532" s="247"/>
      <c r="K532" s="247"/>
      <c r="L532" s="247"/>
    </row>
    <row r="533" spans="1:12" s="20" customFormat="1" x14ac:dyDescent="0.25">
      <c r="A533" s="26"/>
      <c r="B533" s="21"/>
      <c r="C533" s="21"/>
      <c r="D533" s="22"/>
      <c r="F533" s="22"/>
      <c r="G533" s="27"/>
      <c r="H533" s="22"/>
      <c r="I533" s="27"/>
      <c r="J533" s="247"/>
      <c r="K533" s="247"/>
      <c r="L533" s="247"/>
    </row>
    <row r="534" spans="1:12" s="20" customFormat="1" x14ac:dyDescent="0.25">
      <c r="A534" s="26"/>
      <c r="B534" s="21"/>
      <c r="C534" s="21"/>
      <c r="D534" s="22"/>
      <c r="F534" s="22"/>
      <c r="G534" s="27"/>
      <c r="H534" s="22"/>
      <c r="I534" s="27"/>
      <c r="J534" s="247"/>
      <c r="K534" s="247"/>
      <c r="L534" s="247"/>
    </row>
    <row r="535" spans="1:12" s="20" customFormat="1" x14ac:dyDescent="0.25">
      <c r="A535" s="26"/>
      <c r="B535" s="21"/>
      <c r="C535" s="21"/>
      <c r="D535" s="22"/>
      <c r="F535" s="22"/>
      <c r="G535" s="27"/>
      <c r="H535" s="22"/>
      <c r="I535" s="27"/>
      <c r="J535" s="247"/>
      <c r="K535" s="247"/>
      <c r="L535" s="247"/>
    </row>
    <row r="536" spans="1:12" s="20" customFormat="1" x14ac:dyDescent="0.25">
      <c r="A536" s="26"/>
      <c r="B536" s="21"/>
      <c r="C536" s="21"/>
      <c r="D536" s="22"/>
      <c r="F536" s="22"/>
      <c r="G536" s="27"/>
      <c r="H536" s="22"/>
      <c r="I536" s="27"/>
      <c r="J536" s="247"/>
      <c r="K536" s="247"/>
      <c r="L536" s="247"/>
    </row>
    <row r="537" spans="1:12" s="20" customFormat="1" x14ac:dyDescent="0.25">
      <c r="A537" s="26"/>
      <c r="B537" s="21"/>
      <c r="C537" s="21"/>
      <c r="D537" s="22"/>
      <c r="F537" s="22"/>
      <c r="G537" s="27"/>
      <c r="H537" s="22"/>
      <c r="I537" s="27"/>
      <c r="J537" s="247"/>
      <c r="K537" s="247"/>
      <c r="L537" s="247"/>
    </row>
    <row r="538" spans="1:12" s="20" customFormat="1" x14ac:dyDescent="0.25">
      <c r="A538" s="26"/>
      <c r="B538" s="21"/>
      <c r="C538" s="21"/>
      <c r="D538" s="22"/>
      <c r="F538" s="22"/>
      <c r="G538" s="27"/>
      <c r="H538" s="22"/>
      <c r="I538" s="27"/>
      <c r="J538" s="247"/>
      <c r="K538" s="247"/>
      <c r="L538" s="247"/>
    </row>
    <row r="539" spans="1:12" s="20" customFormat="1" x14ac:dyDescent="0.25">
      <c r="A539" s="26"/>
      <c r="B539" s="21"/>
      <c r="C539" s="21"/>
      <c r="D539" s="22"/>
      <c r="F539" s="22"/>
      <c r="G539" s="27"/>
      <c r="H539" s="22"/>
      <c r="I539" s="27"/>
      <c r="J539" s="247"/>
      <c r="K539" s="247"/>
      <c r="L539" s="247"/>
    </row>
    <row r="540" spans="1:12" s="20" customFormat="1" x14ac:dyDescent="0.25">
      <c r="A540" s="26"/>
      <c r="B540" s="21"/>
      <c r="C540" s="21"/>
      <c r="D540" s="22"/>
      <c r="F540" s="22"/>
      <c r="G540" s="27"/>
      <c r="H540" s="22"/>
      <c r="I540" s="27"/>
      <c r="J540" s="247"/>
      <c r="K540" s="247"/>
      <c r="L540" s="247"/>
    </row>
    <row r="541" spans="1:12" s="20" customFormat="1" x14ac:dyDescent="0.25">
      <c r="A541" s="26"/>
      <c r="B541" s="21"/>
      <c r="C541" s="21"/>
      <c r="D541" s="22"/>
      <c r="F541" s="22"/>
      <c r="G541" s="27"/>
      <c r="H541" s="22"/>
      <c r="I541" s="27"/>
      <c r="J541" s="247"/>
      <c r="K541" s="247"/>
      <c r="L541" s="247"/>
    </row>
    <row r="542" spans="1:12" s="20" customFormat="1" x14ac:dyDescent="0.25">
      <c r="A542" s="26"/>
      <c r="B542" s="21"/>
      <c r="C542" s="21"/>
      <c r="D542" s="22"/>
      <c r="F542" s="22"/>
      <c r="G542" s="27"/>
      <c r="H542" s="22"/>
      <c r="I542" s="27"/>
      <c r="J542" s="247"/>
      <c r="K542" s="247"/>
      <c r="L542" s="247"/>
    </row>
    <row r="543" spans="1:12" s="20" customFormat="1" x14ac:dyDescent="0.25">
      <c r="A543" s="26"/>
      <c r="B543" s="21"/>
      <c r="C543" s="21"/>
      <c r="D543" s="22"/>
      <c r="F543" s="22"/>
      <c r="G543" s="27"/>
      <c r="H543" s="22"/>
      <c r="I543" s="27"/>
      <c r="J543" s="247"/>
      <c r="K543" s="247"/>
      <c r="L543" s="247"/>
    </row>
    <row r="544" spans="1:12" s="20" customFormat="1" x14ac:dyDescent="0.25">
      <c r="A544" s="26"/>
      <c r="B544" s="21"/>
      <c r="C544" s="21"/>
      <c r="D544" s="22"/>
      <c r="F544" s="22"/>
      <c r="G544" s="27"/>
      <c r="H544" s="22"/>
      <c r="I544" s="27"/>
      <c r="J544" s="247"/>
      <c r="K544" s="247"/>
      <c r="L544" s="247"/>
    </row>
    <row r="545" spans="1:12" s="20" customFormat="1" x14ac:dyDescent="0.25">
      <c r="A545" s="26"/>
      <c r="B545" s="21"/>
      <c r="C545" s="21"/>
      <c r="D545" s="22"/>
      <c r="F545" s="22"/>
      <c r="G545" s="27"/>
      <c r="H545" s="22"/>
      <c r="I545" s="27"/>
      <c r="J545" s="247"/>
      <c r="K545" s="247"/>
      <c r="L545" s="247"/>
    </row>
    <row r="546" spans="1:12" s="20" customFormat="1" x14ac:dyDescent="0.25">
      <c r="A546" s="26"/>
      <c r="B546" s="21"/>
      <c r="C546" s="21"/>
      <c r="D546" s="22"/>
      <c r="F546" s="22"/>
      <c r="G546" s="27"/>
      <c r="H546" s="22"/>
      <c r="I546" s="27"/>
      <c r="J546" s="247"/>
      <c r="K546" s="247"/>
      <c r="L546" s="247"/>
    </row>
    <row r="547" spans="1:12" s="20" customFormat="1" x14ac:dyDescent="0.25">
      <c r="A547" s="26"/>
      <c r="B547" s="21"/>
      <c r="C547" s="21"/>
      <c r="D547" s="22"/>
      <c r="F547" s="22"/>
      <c r="G547" s="27"/>
      <c r="H547" s="22"/>
      <c r="I547" s="27"/>
      <c r="J547" s="247"/>
      <c r="K547" s="247"/>
      <c r="L547" s="247"/>
    </row>
    <row r="548" spans="1:12" s="20" customFormat="1" x14ac:dyDescent="0.25">
      <c r="A548" s="26"/>
      <c r="B548" s="21"/>
      <c r="C548" s="21"/>
      <c r="D548" s="22"/>
      <c r="F548" s="22"/>
      <c r="G548" s="27"/>
      <c r="H548" s="22"/>
      <c r="I548" s="27"/>
      <c r="J548" s="247"/>
      <c r="K548" s="247"/>
      <c r="L548" s="247"/>
    </row>
    <row r="549" spans="1:12" s="20" customFormat="1" x14ac:dyDescent="0.25">
      <c r="A549" s="26"/>
      <c r="B549" s="21"/>
      <c r="C549" s="21"/>
      <c r="D549" s="22"/>
      <c r="F549" s="22"/>
      <c r="G549" s="27"/>
      <c r="H549" s="22"/>
      <c r="I549" s="27"/>
      <c r="J549" s="247"/>
      <c r="K549" s="247"/>
      <c r="L549" s="247"/>
    </row>
    <row r="550" spans="1:12" s="20" customFormat="1" x14ac:dyDescent="0.25">
      <c r="A550" s="26"/>
      <c r="B550" s="21"/>
      <c r="C550" s="21"/>
      <c r="D550" s="22"/>
      <c r="F550" s="22"/>
      <c r="G550" s="27"/>
      <c r="H550" s="22"/>
      <c r="I550" s="27"/>
      <c r="J550" s="247"/>
      <c r="K550" s="247"/>
      <c r="L550" s="247"/>
    </row>
    <row r="551" spans="1:12" s="20" customFormat="1" x14ac:dyDescent="0.25">
      <c r="A551" s="26"/>
      <c r="B551" s="21"/>
      <c r="C551" s="21"/>
      <c r="D551" s="22"/>
      <c r="F551" s="22"/>
      <c r="G551" s="27"/>
      <c r="H551" s="22"/>
      <c r="I551" s="27"/>
      <c r="J551" s="247"/>
      <c r="K551" s="247"/>
      <c r="L551" s="247"/>
    </row>
    <row r="552" spans="1:12" s="20" customFormat="1" x14ac:dyDescent="0.25">
      <c r="A552" s="26"/>
      <c r="B552" s="21"/>
      <c r="C552" s="21"/>
      <c r="D552" s="22"/>
      <c r="F552" s="22"/>
      <c r="G552" s="27"/>
      <c r="H552" s="22"/>
      <c r="I552" s="27"/>
      <c r="J552" s="247"/>
      <c r="K552" s="247"/>
      <c r="L552" s="247"/>
    </row>
    <row r="553" spans="1:12" s="20" customFormat="1" x14ac:dyDescent="0.25">
      <c r="A553" s="26"/>
      <c r="B553" s="21"/>
      <c r="C553" s="21"/>
      <c r="D553" s="22"/>
      <c r="F553" s="22"/>
      <c r="G553" s="27"/>
      <c r="H553" s="22"/>
      <c r="I553" s="27"/>
      <c r="J553" s="247"/>
      <c r="K553" s="247"/>
      <c r="L553" s="247"/>
    </row>
    <row r="554" spans="1:12" s="20" customFormat="1" x14ac:dyDescent="0.25">
      <c r="A554" s="26"/>
      <c r="B554" s="21"/>
      <c r="C554" s="21"/>
      <c r="D554" s="22"/>
      <c r="F554" s="22"/>
      <c r="G554" s="27"/>
      <c r="H554" s="22"/>
      <c r="I554" s="27"/>
      <c r="J554" s="247"/>
      <c r="K554" s="247"/>
      <c r="L554" s="247"/>
    </row>
    <row r="555" spans="1:12" s="20" customFormat="1" x14ac:dyDescent="0.25">
      <c r="A555" s="26"/>
      <c r="B555" s="21"/>
      <c r="C555" s="21"/>
      <c r="D555" s="22"/>
      <c r="F555" s="22"/>
      <c r="G555" s="27"/>
      <c r="H555" s="22"/>
      <c r="I555" s="27"/>
      <c r="J555" s="247"/>
      <c r="K555" s="247"/>
      <c r="L555" s="247"/>
    </row>
    <row r="556" spans="1:12" s="20" customFormat="1" x14ac:dyDescent="0.25">
      <c r="A556" s="26"/>
      <c r="B556" s="21"/>
      <c r="C556" s="21"/>
      <c r="D556" s="22"/>
      <c r="F556" s="22"/>
      <c r="G556" s="27"/>
      <c r="H556" s="22"/>
      <c r="I556" s="27"/>
      <c r="J556" s="247"/>
      <c r="K556" s="247"/>
      <c r="L556" s="247"/>
    </row>
    <row r="557" spans="1:12" s="20" customFormat="1" x14ac:dyDescent="0.25">
      <c r="A557" s="26"/>
      <c r="B557" s="21"/>
      <c r="C557" s="21"/>
      <c r="D557" s="22"/>
      <c r="F557" s="22"/>
      <c r="G557" s="27"/>
      <c r="H557" s="22"/>
      <c r="I557" s="27"/>
      <c r="J557" s="247"/>
      <c r="K557" s="247"/>
      <c r="L557" s="247"/>
    </row>
    <row r="558" spans="1:12" s="20" customFormat="1" x14ac:dyDescent="0.25">
      <c r="A558" s="26"/>
      <c r="B558" s="21"/>
      <c r="C558" s="21"/>
      <c r="D558" s="22"/>
      <c r="F558" s="22"/>
      <c r="G558" s="27"/>
      <c r="H558" s="22"/>
      <c r="I558" s="27"/>
      <c r="J558" s="247"/>
      <c r="K558" s="247"/>
      <c r="L558" s="247"/>
    </row>
    <row r="559" spans="1:12" s="20" customFormat="1" x14ac:dyDescent="0.25">
      <c r="A559" s="26"/>
      <c r="B559" s="21"/>
      <c r="C559" s="21"/>
      <c r="D559" s="22"/>
      <c r="F559" s="22"/>
      <c r="G559" s="27"/>
      <c r="H559" s="22"/>
      <c r="I559" s="27"/>
      <c r="J559" s="247"/>
      <c r="K559" s="247"/>
      <c r="L559" s="247"/>
    </row>
    <row r="560" spans="1:12" s="20" customFormat="1" x14ac:dyDescent="0.25">
      <c r="A560" s="26"/>
      <c r="B560" s="21"/>
      <c r="C560" s="21"/>
      <c r="D560" s="22"/>
      <c r="F560" s="22"/>
      <c r="G560" s="27"/>
      <c r="H560" s="22"/>
      <c r="I560" s="27"/>
      <c r="J560" s="247"/>
      <c r="K560" s="247"/>
      <c r="L560" s="247"/>
    </row>
    <row r="561" spans="1:12" s="20" customFormat="1" x14ac:dyDescent="0.25">
      <c r="A561" s="26"/>
      <c r="B561" s="21"/>
      <c r="C561" s="21"/>
      <c r="D561" s="22"/>
      <c r="F561" s="22"/>
      <c r="G561" s="27"/>
      <c r="H561" s="22"/>
      <c r="I561" s="27"/>
      <c r="J561" s="247"/>
      <c r="K561" s="247"/>
      <c r="L561" s="247"/>
    </row>
    <row r="562" spans="1:12" s="20" customFormat="1" x14ac:dyDescent="0.25">
      <c r="A562" s="26"/>
      <c r="B562" s="21"/>
      <c r="C562" s="21"/>
      <c r="D562" s="22"/>
      <c r="F562" s="22"/>
      <c r="G562" s="27"/>
      <c r="H562" s="22"/>
      <c r="I562" s="27"/>
      <c r="J562" s="247"/>
      <c r="K562" s="247"/>
      <c r="L562" s="247"/>
    </row>
    <row r="563" spans="1:12" s="20" customFormat="1" x14ac:dyDescent="0.25">
      <c r="A563" s="26"/>
      <c r="B563" s="21"/>
      <c r="C563" s="21"/>
      <c r="D563" s="22"/>
      <c r="F563" s="22"/>
      <c r="G563" s="27"/>
      <c r="H563" s="22"/>
      <c r="I563" s="27"/>
      <c r="J563" s="247"/>
      <c r="K563" s="247"/>
      <c r="L563" s="247"/>
    </row>
    <row r="564" spans="1:12" s="20" customFormat="1" x14ac:dyDescent="0.25">
      <c r="A564" s="26"/>
      <c r="B564" s="21"/>
      <c r="C564" s="21"/>
      <c r="D564" s="22"/>
      <c r="F564" s="22"/>
      <c r="G564" s="27"/>
      <c r="H564" s="22"/>
      <c r="I564" s="27"/>
      <c r="J564" s="247"/>
      <c r="K564" s="247"/>
      <c r="L564" s="247"/>
    </row>
    <row r="565" spans="1:12" s="20" customFormat="1" x14ac:dyDescent="0.25">
      <c r="A565" s="26"/>
      <c r="B565" s="21"/>
      <c r="C565" s="21"/>
      <c r="D565" s="22"/>
      <c r="F565" s="22"/>
      <c r="G565" s="27"/>
      <c r="H565" s="22"/>
      <c r="I565" s="27"/>
      <c r="J565" s="247"/>
      <c r="K565" s="247"/>
      <c r="L565" s="247"/>
    </row>
    <row r="566" spans="1:12" s="20" customFormat="1" x14ac:dyDescent="0.25">
      <c r="A566" s="26"/>
      <c r="B566" s="21"/>
      <c r="C566" s="21"/>
      <c r="D566" s="22"/>
      <c r="F566" s="22"/>
      <c r="G566" s="27"/>
      <c r="H566" s="22"/>
      <c r="I566" s="27"/>
      <c r="J566" s="247"/>
      <c r="K566" s="247"/>
      <c r="L566" s="247"/>
    </row>
    <row r="567" spans="1:12" s="20" customFormat="1" x14ac:dyDescent="0.25">
      <c r="A567" s="26"/>
      <c r="B567" s="21"/>
      <c r="C567" s="21"/>
      <c r="D567" s="22"/>
      <c r="F567" s="22"/>
      <c r="G567" s="27"/>
      <c r="H567" s="22"/>
      <c r="I567" s="27"/>
      <c r="J567" s="247"/>
      <c r="K567" s="247"/>
      <c r="L567" s="247"/>
    </row>
    <row r="568" spans="1:12" s="20" customFormat="1" x14ac:dyDescent="0.25">
      <c r="A568" s="26"/>
      <c r="B568" s="21"/>
      <c r="C568" s="21"/>
      <c r="D568" s="22"/>
      <c r="F568" s="22"/>
      <c r="G568" s="27"/>
      <c r="H568" s="22"/>
      <c r="I568" s="27"/>
      <c r="J568" s="247"/>
      <c r="K568" s="247"/>
      <c r="L568" s="247"/>
    </row>
    <row r="569" spans="1:12" s="20" customFormat="1" x14ac:dyDescent="0.25">
      <c r="A569" s="26"/>
      <c r="B569" s="21"/>
      <c r="C569" s="21"/>
      <c r="D569" s="22"/>
      <c r="F569" s="22"/>
      <c r="G569" s="27"/>
      <c r="H569" s="22"/>
      <c r="I569" s="27"/>
      <c r="J569" s="247"/>
      <c r="K569" s="247"/>
      <c r="L569" s="247"/>
    </row>
    <row r="570" spans="1:12" s="20" customFormat="1" x14ac:dyDescent="0.25">
      <c r="A570" s="26"/>
      <c r="B570" s="21"/>
      <c r="C570" s="21"/>
      <c r="D570" s="22"/>
      <c r="F570" s="22"/>
      <c r="G570" s="27"/>
      <c r="H570" s="22"/>
      <c r="I570" s="27"/>
      <c r="J570" s="247"/>
      <c r="K570" s="247"/>
      <c r="L570" s="247"/>
    </row>
    <row r="571" spans="1:12" s="20" customFormat="1" x14ac:dyDescent="0.25">
      <c r="A571" s="26"/>
      <c r="B571" s="21"/>
      <c r="C571" s="21"/>
      <c r="D571" s="22"/>
      <c r="F571" s="22"/>
      <c r="G571" s="27"/>
      <c r="H571" s="22"/>
      <c r="I571" s="27"/>
      <c r="J571" s="247"/>
      <c r="K571" s="247"/>
      <c r="L571" s="247"/>
    </row>
    <row r="572" spans="1:12" s="20" customFormat="1" x14ac:dyDescent="0.25">
      <c r="A572" s="26"/>
      <c r="B572" s="21"/>
      <c r="C572" s="21"/>
      <c r="D572" s="22"/>
      <c r="F572" s="22"/>
      <c r="G572" s="27"/>
      <c r="H572" s="22"/>
      <c r="I572" s="27"/>
      <c r="J572" s="247"/>
      <c r="K572" s="247"/>
      <c r="L572" s="247"/>
    </row>
    <row r="573" spans="1:12" s="20" customFormat="1" x14ac:dyDescent="0.25">
      <c r="A573" s="26"/>
      <c r="B573" s="21"/>
      <c r="C573" s="21"/>
      <c r="D573" s="22"/>
      <c r="F573" s="22"/>
      <c r="G573" s="27"/>
      <c r="H573" s="22"/>
      <c r="I573" s="27"/>
      <c r="J573" s="247"/>
      <c r="K573" s="247"/>
      <c r="L573" s="247"/>
    </row>
    <row r="574" spans="1:12" s="20" customFormat="1" x14ac:dyDescent="0.25">
      <c r="A574" s="26"/>
      <c r="B574" s="21"/>
      <c r="C574" s="21"/>
      <c r="D574" s="22"/>
      <c r="F574" s="22"/>
      <c r="G574" s="27"/>
      <c r="H574" s="22"/>
      <c r="I574" s="27"/>
      <c r="J574" s="247"/>
      <c r="K574" s="247"/>
      <c r="L574" s="247"/>
    </row>
    <row r="575" spans="1:12" s="20" customFormat="1" x14ac:dyDescent="0.25">
      <c r="A575" s="26"/>
      <c r="B575" s="21"/>
      <c r="C575" s="21"/>
      <c r="D575" s="22"/>
      <c r="F575" s="22"/>
      <c r="G575" s="27"/>
      <c r="H575" s="22"/>
      <c r="I575" s="27"/>
      <c r="J575" s="247"/>
      <c r="K575" s="247"/>
      <c r="L575" s="247"/>
    </row>
    <row r="576" spans="1:12" s="20" customFormat="1" x14ac:dyDescent="0.25">
      <c r="A576" s="26"/>
      <c r="B576" s="21"/>
      <c r="C576" s="21"/>
      <c r="D576" s="22"/>
      <c r="F576" s="22"/>
      <c r="G576" s="27"/>
      <c r="H576" s="22"/>
      <c r="I576" s="27"/>
      <c r="J576" s="247"/>
      <c r="K576" s="247"/>
      <c r="L576" s="247"/>
    </row>
    <row r="577" spans="1:12" s="20" customFormat="1" x14ac:dyDescent="0.25">
      <c r="A577" s="26"/>
      <c r="B577" s="21"/>
      <c r="C577" s="21"/>
      <c r="D577" s="22"/>
      <c r="F577" s="22"/>
      <c r="G577" s="27"/>
      <c r="H577" s="22"/>
      <c r="I577" s="27"/>
      <c r="J577" s="247"/>
      <c r="K577" s="247"/>
      <c r="L577" s="247"/>
    </row>
    <row r="578" spans="1:12" s="20" customFormat="1" x14ac:dyDescent="0.25">
      <c r="A578" s="26"/>
      <c r="B578" s="21"/>
      <c r="C578" s="21"/>
      <c r="D578" s="22"/>
      <c r="F578" s="22"/>
      <c r="G578" s="27"/>
      <c r="H578" s="22"/>
      <c r="I578" s="27"/>
      <c r="J578" s="247"/>
      <c r="K578" s="247"/>
      <c r="L578" s="247"/>
    </row>
    <row r="579" spans="1:12" s="20" customFormat="1" x14ac:dyDescent="0.25">
      <c r="A579" s="26"/>
      <c r="B579" s="21"/>
      <c r="C579" s="21"/>
      <c r="D579" s="22"/>
      <c r="F579" s="22"/>
      <c r="G579" s="27"/>
      <c r="H579" s="22"/>
      <c r="I579" s="27"/>
      <c r="J579" s="247"/>
      <c r="K579" s="247"/>
      <c r="L579" s="247"/>
    </row>
    <row r="580" spans="1:12" s="20" customFormat="1" x14ac:dyDescent="0.25">
      <c r="A580" s="26"/>
      <c r="B580" s="21"/>
      <c r="C580" s="21"/>
      <c r="D580" s="22"/>
      <c r="F580" s="22"/>
      <c r="G580" s="27"/>
      <c r="H580" s="22"/>
      <c r="I580" s="27"/>
      <c r="J580" s="247"/>
      <c r="K580" s="247"/>
      <c r="L580" s="247"/>
    </row>
    <row r="581" spans="1:12" s="20" customFormat="1" x14ac:dyDescent="0.25">
      <c r="A581" s="26"/>
      <c r="B581" s="21"/>
      <c r="C581" s="21"/>
      <c r="D581" s="22"/>
      <c r="F581" s="22"/>
      <c r="G581" s="27"/>
      <c r="H581" s="22"/>
      <c r="I581" s="27"/>
      <c r="J581" s="247"/>
      <c r="K581" s="247"/>
      <c r="L581" s="247"/>
    </row>
    <row r="582" spans="1:12" s="20" customFormat="1" x14ac:dyDescent="0.25">
      <c r="A582" s="26"/>
      <c r="B582" s="21"/>
      <c r="C582" s="21"/>
      <c r="D582" s="22"/>
      <c r="F582" s="22"/>
      <c r="G582" s="27"/>
      <c r="H582" s="22"/>
      <c r="I582" s="27"/>
      <c r="J582" s="247"/>
      <c r="K582" s="247"/>
      <c r="L582" s="247"/>
    </row>
    <row r="583" spans="1:12" s="20" customFormat="1" x14ac:dyDescent="0.25">
      <c r="A583" s="26"/>
      <c r="B583" s="21"/>
      <c r="C583" s="21"/>
      <c r="D583" s="22"/>
      <c r="F583" s="22"/>
      <c r="G583" s="27"/>
      <c r="H583" s="22"/>
      <c r="I583" s="27"/>
      <c r="J583" s="247"/>
      <c r="K583" s="247"/>
      <c r="L583" s="247"/>
    </row>
    <row r="584" spans="1:12" s="20" customFormat="1" x14ac:dyDescent="0.25">
      <c r="A584" s="26"/>
      <c r="B584" s="21"/>
      <c r="C584" s="21"/>
      <c r="D584" s="22"/>
      <c r="F584" s="22"/>
      <c r="G584" s="27"/>
      <c r="H584" s="22"/>
      <c r="I584" s="27"/>
      <c r="J584" s="247"/>
      <c r="K584" s="247"/>
      <c r="L584" s="247"/>
    </row>
    <row r="585" spans="1:12" s="20" customFormat="1" x14ac:dyDescent="0.25">
      <c r="A585" s="26"/>
      <c r="B585" s="21"/>
      <c r="C585" s="21"/>
      <c r="D585" s="22"/>
      <c r="F585" s="22"/>
      <c r="G585" s="27"/>
      <c r="H585" s="22"/>
      <c r="I585" s="27"/>
      <c r="J585" s="247"/>
      <c r="K585" s="247"/>
      <c r="L585" s="247"/>
    </row>
    <row r="586" spans="1:12" s="20" customFormat="1" x14ac:dyDescent="0.25">
      <c r="A586" s="26"/>
      <c r="B586" s="21"/>
      <c r="C586" s="21"/>
      <c r="D586" s="22"/>
      <c r="F586" s="22"/>
      <c r="G586" s="27"/>
      <c r="H586" s="22"/>
      <c r="I586" s="27"/>
      <c r="J586" s="247"/>
      <c r="K586" s="247"/>
      <c r="L586" s="247"/>
    </row>
    <row r="587" spans="1:12" s="20" customFormat="1" x14ac:dyDescent="0.25">
      <c r="A587" s="26"/>
      <c r="B587" s="21"/>
      <c r="C587" s="21"/>
      <c r="D587" s="22"/>
      <c r="F587" s="22"/>
      <c r="G587" s="27"/>
      <c r="H587" s="22"/>
      <c r="I587" s="27"/>
      <c r="J587" s="247"/>
      <c r="K587" s="247"/>
      <c r="L587" s="247"/>
    </row>
    <row r="588" spans="1:12" s="20" customFormat="1" x14ac:dyDescent="0.25">
      <c r="A588" s="26"/>
      <c r="B588" s="21"/>
      <c r="C588" s="21"/>
      <c r="D588" s="22"/>
      <c r="F588" s="22"/>
      <c r="G588" s="27"/>
      <c r="H588" s="22"/>
      <c r="I588" s="27"/>
      <c r="J588" s="247"/>
      <c r="K588" s="247"/>
      <c r="L588" s="247"/>
    </row>
    <row r="589" spans="1:12" s="20" customFormat="1" x14ac:dyDescent="0.25">
      <c r="A589" s="26"/>
      <c r="B589" s="21"/>
      <c r="C589" s="21"/>
      <c r="D589" s="22"/>
      <c r="F589" s="22"/>
      <c r="G589" s="27"/>
      <c r="H589" s="22"/>
      <c r="I589" s="27"/>
      <c r="J589" s="247"/>
      <c r="K589" s="247"/>
      <c r="L589" s="247"/>
    </row>
    <row r="590" spans="1:12" s="20" customFormat="1" x14ac:dyDescent="0.25">
      <c r="A590" s="26"/>
      <c r="B590" s="21"/>
      <c r="C590" s="21"/>
      <c r="D590" s="22"/>
      <c r="F590" s="22"/>
      <c r="G590" s="27"/>
      <c r="H590" s="22"/>
      <c r="I590" s="27"/>
      <c r="J590" s="247"/>
      <c r="K590" s="247"/>
      <c r="L590" s="247"/>
    </row>
    <row r="591" spans="1:12" s="20" customFormat="1" x14ac:dyDescent="0.25">
      <c r="A591" s="26"/>
      <c r="B591" s="21"/>
      <c r="C591" s="21"/>
      <c r="D591" s="22"/>
      <c r="F591" s="22"/>
      <c r="G591" s="27"/>
      <c r="H591" s="22"/>
      <c r="I591" s="27"/>
      <c r="J591" s="247"/>
      <c r="K591" s="247"/>
      <c r="L591" s="247"/>
    </row>
    <row r="592" spans="1:12" s="20" customFormat="1" x14ac:dyDescent="0.25">
      <c r="A592" s="26"/>
      <c r="B592" s="21"/>
      <c r="C592" s="21"/>
      <c r="D592" s="22"/>
      <c r="F592" s="22"/>
      <c r="G592" s="27"/>
      <c r="H592" s="22"/>
      <c r="I592" s="27"/>
      <c r="J592" s="247"/>
      <c r="K592" s="247"/>
      <c r="L592" s="247"/>
    </row>
    <row r="593" spans="1:12" s="20" customFormat="1" x14ac:dyDescent="0.25">
      <c r="A593" s="26"/>
      <c r="B593" s="21"/>
      <c r="C593" s="21"/>
      <c r="D593" s="22"/>
      <c r="F593" s="22"/>
      <c r="G593" s="27"/>
      <c r="H593" s="22"/>
      <c r="I593" s="27"/>
      <c r="J593" s="247"/>
      <c r="K593" s="247"/>
      <c r="L593" s="247"/>
    </row>
    <row r="594" spans="1:12" s="20" customFormat="1" x14ac:dyDescent="0.25">
      <c r="A594" s="26"/>
      <c r="B594" s="21"/>
      <c r="C594" s="21"/>
      <c r="D594" s="22"/>
      <c r="F594" s="22"/>
      <c r="G594" s="27"/>
      <c r="H594" s="22"/>
      <c r="I594" s="27"/>
      <c r="J594" s="247"/>
      <c r="K594" s="247"/>
      <c r="L594" s="247"/>
    </row>
    <row r="595" spans="1:12" s="20" customFormat="1" x14ac:dyDescent="0.25">
      <c r="A595" s="26"/>
      <c r="B595" s="21"/>
      <c r="C595" s="21"/>
      <c r="D595" s="22"/>
      <c r="F595" s="22"/>
      <c r="G595" s="27"/>
      <c r="H595" s="22"/>
      <c r="I595" s="27"/>
      <c r="J595" s="247"/>
      <c r="K595" s="247"/>
      <c r="L595" s="247"/>
    </row>
    <row r="596" spans="1:12" s="20" customFormat="1" x14ac:dyDescent="0.25">
      <c r="A596" s="26"/>
      <c r="B596" s="21"/>
      <c r="C596" s="21"/>
      <c r="D596" s="22"/>
      <c r="F596" s="22"/>
      <c r="G596" s="27"/>
      <c r="H596" s="22"/>
      <c r="I596" s="27"/>
      <c r="J596" s="247"/>
      <c r="K596" s="247"/>
      <c r="L596" s="247"/>
    </row>
    <row r="597" spans="1:12" s="20" customFormat="1" x14ac:dyDescent="0.25">
      <c r="A597" s="26"/>
      <c r="B597" s="21"/>
      <c r="C597" s="21"/>
      <c r="D597" s="22"/>
      <c r="F597" s="22"/>
      <c r="G597" s="27"/>
      <c r="H597" s="22"/>
      <c r="I597" s="27"/>
      <c r="J597" s="247"/>
      <c r="K597" s="247"/>
      <c r="L597" s="247"/>
    </row>
    <row r="598" spans="1:12" s="20" customFormat="1" x14ac:dyDescent="0.25">
      <c r="A598" s="26"/>
      <c r="B598" s="21"/>
      <c r="C598" s="21"/>
      <c r="D598" s="22"/>
      <c r="F598" s="22"/>
      <c r="G598" s="27"/>
      <c r="H598" s="22"/>
      <c r="I598" s="27"/>
      <c r="J598" s="247"/>
      <c r="K598" s="247"/>
      <c r="L598" s="247"/>
    </row>
    <row r="599" spans="1:12" s="20" customFormat="1" x14ac:dyDescent="0.25">
      <c r="A599" s="26"/>
      <c r="B599" s="21"/>
      <c r="C599" s="21"/>
      <c r="D599" s="22"/>
      <c r="F599" s="22"/>
      <c r="G599" s="27"/>
      <c r="H599" s="22"/>
      <c r="I599" s="27"/>
      <c r="J599" s="247"/>
      <c r="K599" s="247"/>
      <c r="L599" s="247"/>
    </row>
    <row r="600" spans="1:12" s="20" customFormat="1" x14ac:dyDescent="0.25">
      <c r="A600" s="26"/>
      <c r="B600" s="21"/>
      <c r="C600" s="21"/>
      <c r="D600" s="22"/>
      <c r="F600" s="22"/>
      <c r="G600" s="27"/>
      <c r="H600" s="22"/>
      <c r="I600" s="27"/>
      <c r="J600" s="247"/>
      <c r="K600" s="247"/>
      <c r="L600" s="247"/>
    </row>
    <row r="601" spans="1:12" s="20" customFormat="1" x14ac:dyDescent="0.25">
      <c r="A601" s="26"/>
      <c r="B601" s="21"/>
      <c r="C601" s="21"/>
      <c r="D601" s="22"/>
      <c r="F601" s="22"/>
      <c r="G601" s="27"/>
      <c r="H601" s="22"/>
      <c r="I601" s="27"/>
      <c r="J601" s="247"/>
      <c r="K601" s="247"/>
      <c r="L601" s="247"/>
    </row>
    <row r="602" spans="1:12" s="20" customFormat="1" x14ac:dyDescent="0.25">
      <c r="A602" s="26"/>
      <c r="B602" s="21"/>
      <c r="C602" s="21"/>
      <c r="D602" s="22"/>
      <c r="F602" s="22"/>
      <c r="G602" s="27"/>
      <c r="H602" s="22"/>
      <c r="I602" s="27"/>
      <c r="J602" s="247"/>
      <c r="K602" s="247"/>
      <c r="L602" s="247"/>
    </row>
    <row r="603" spans="1:12" s="20" customFormat="1" x14ac:dyDescent="0.25">
      <c r="A603" s="26"/>
      <c r="B603" s="21"/>
      <c r="C603" s="21"/>
      <c r="D603" s="22"/>
      <c r="F603" s="22"/>
      <c r="G603" s="27"/>
      <c r="H603" s="22"/>
      <c r="I603" s="27"/>
      <c r="J603" s="247"/>
      <c r="K603" s="247"/>
      <c r="L603" s="247"/>
    </row>
    <row r="604" spans="1:12" s="20" customFormat="1" x14ac:dyDescent="0.25">
      <c r="A604" s="26"/>
      <c r="B604" s="21"/>
      <c r="C604" s="21"/>
      <c r="D604" s="22"/>
      <c r="F604" s="22"/>
      <c r="G604" s="27"/>
      <c r="H604" s="22"/>
      <c r="I604" s="27"/>
      <c r="J604" s="247"/>
      <c r="K604" s="247"/>
      <c r="L604" s="247"/>
    </row>
    <row r="605" spans="1:12" s="20" customFormat="1" x14ac:dyDescent="0.25">
      <c r="A605" s="26"/>
      <c r="B605" s="21"/>
      <c r="C605" s="21"/>
      <c r="D605" s="22"/>
      <c r="F605" s="22"/>
      <c r="G605" s="27"/>
      <c r="H605" s="22"/>
      <c r="I605" s="27"/>
      <c r="J605" s="247"/>
      <c r="K605" s="247"/>
      <c r="L605" s="247"/>
    </row>
    <row r="606" spans="1:12" s="20" customFormat="1" x14ac:dyDescent="0.25">
      <c r="A606" s="26"/>
      <c r="B606" s="21"/>
      <c r="C606" s="21"/>
      <c r="D606" s="22"/>
      <c r="F606" s="22"/>
      <c r="G606" s="27"/>
      <c r="H606" s="22"/>
      <c r="I606" s="27"/>
      <c r="J606" s="247"/>
      <c r="K606" s="247"/>
      <c r="L606" s="247"/>
    </row>
    <row r="607" spans="1:12" s="20" customFormat="1" x14ac:dyDescent="0.25">
      <c r="A607" s="26"/>
      <c r="B607" s="21"/>
      <c r="C607" s="21"/>
      <c r="D607" s="22"/>
      <c r="F607" s="22"/>
      <c r="G607" s="27"/>
      <c r="H607" s="22"/>
      <c r="I607" s="27"/>
      <c r="J607" s="247"/>
      <c r="K607" s="247"/>
      <c r="L607" s="247"/>
    </row>
    <row r="608" spans="1:12" s="20" customFormat="1" x14ac:dyDescent="0.25">
      <c r="A608" s="26"/>
      <c r="B608" s="21"/>
      <c r="C608" s="21"/>
      <c r="D608" s="22"/>
      <c r="F608" s="22"/>
      <c r="G608" s="27"/>
      <c r="H608" s="22"/>
      <c r="I608" s="27"/>
      <c r="J608" s="247"/>
      <c r="K608" s="247"/>
      <c r="L608" s="247"/>
    </row>
    <row r="609" spans="1:12" s="20" customFormat="1" x14ac:dyDescent="0.25">
      <c r="A609" s="26"/>
      <c r="B609" s="21"/>
      <c r="C609" s="21"/>
      <c r="D609" s="22"/>
      <c r="F609" s="22"/>
      <c r="G609" s="27"/>
      <c r="H609" s="22"/>
      <c r="I609" s="27"/>
      <c r="J609" s="247"/>
      <c r="K609" s="247"/>
      <c r="L609" s="247"/>
    </row>
    <row r="610" spans="1:12" s="20" customFormat="1" x14ac:dyDescent="0.25">
      <c r="A610" s="26"/>
      <c r="B610" s="21"/>
      <c r="C610" s="21"/>
      <c r="D610" s="22"/>
      <c r="F610" s="22"/>
      <c r="G610" s="27"/>
      <c r="H610" s="22"/>
      <c r="I610" s="27"/>
      <c r="J610" s="247"/>
      <c r="K610" s="247"/>
      <c r="L610" s="247"/>
    </row>
    <row r="611" spans="1:12" s="20" customFormat="1" x14ac:dyDescent="0.25">
      <c r="A611" s="26"/>
      <c r="B611" s="21"/>
      <c r="C611" s="21"/>
      <c r="D611" s="22"/>
      <c r="F611" s="22"/>
      <c r="G611" s="27"/>
      <c r="H611" s="22"/>
      <c r="I611" s="27"/>
      <c r="J611" s="247"/>
      <c r="K611" s="247"/>
      <c r="L611" s="247"/>
    </row>
    <row r="612" spans="1:12" s="20" customFormat="1" x14ac:dyDescent="0.25">
      <c r="A612" s="26"/>
      <c r="B612" s="21"/>
      <c r="C612" s="21"/>
      <c r="D612" s="22"/>
      <c r="F612" s="22"/>
      <c r="G612" s="27"/>
      <c r="H612" s="22"/>
      <c r="I612" s="27"/>
      <c r="J612" s="247"/>
      <c r="K612" s="247"/>
      <c r="L612" s="247"/>
    </row>
    <row r="613" spans="1:12" s="20" customFormat="1" x14ac:dyDescent="0.25">
      <c r="A613" s="26"/>
      <c r="B613" s="21"/>
      <c r="C613" s="21"/>
      <c r="D613" s="22"/>
      <c r="F613" s="22"/>
      <c r="G613" s="27"/>
      <c r="H613" s="22"/>
      <c r="I613" s="27"/>
      <c r="J613" s="247"/>
      <c r="K613" s="247"/>
      <c r="L613" s="247"/>
    </row>
    <row r="614" spans="1:12" s="20" customFormat="1" x14ac:dyDescent="0.25">
      <c r="A614" s="26"/>
      <c r="B614" s="21"/>
      <c r="C614" s="21"/>
      <c r="D614" s="22"/>
      <c r="F614" s="22"/>
      <c r="G614" s="27"/>
      <c r="H614" s="22"/>
      <c r="I614" s="27"/>
      <c r="J614" s="247"/>
      <c r="K614" s="247"/>
      <c r="L614" s="247"/>
    </row>
    <row r="615" spans="1:12" s="20" customFormat="1" x14ac:dyDescent="0.25">
      <c r="A615" s="26"/>
      <c r="B615" s="21"/>
      <c r="C615" s="21"/>
      <c r="D615" s="22"/>
      <c r="F615" s="22"/>
      <c r="G615" s="27"/>
      <c r="H615" s="22"/>
      <c r="I615" s="27"/>
      <c r="J615" s="247"/>
      <c r="K615" s="247"/>
      <c r="L615" s="247"/>
    </row>
    <row r="616" spans="1:12" s="20" customFormat="1" x14ac:dyDescent="0.25">
      <c r="A616" s="26"/>
      <c r="B616" s="21"/>
      <c r="C616" s="21"/>
      <c r="D616" s="22"/>
      <c r="F616" s="22"/>
      <c r="G616" s="27"/>
      <c r="H616" s="22"/>
      <c r="I616" s="27"/>
      <c r="J616" s="247"/>
      <c r="K616" s="247"/>
      <c r="L616" s="247"/>
    </row>
    <row r="617" spans="1:12" s="20" customFormat="1" x14ac:dyDescent="0.25">
      <c r="A617" s="26"/>
      <c r="B617" s="21"/>
      <c r="C617" s="21"/>
      <c r="D617" s="22"/>
      <c r="F617" s="22"/>
      <c r="G617" s="27"/>
      <c r="H617" s="22"/>
      <c r="I617" s="27"/>
      <c r="J617" s="247"/>
      <c r="K617" s="247"/>
      <c r="L617" s="247"/>
    </row>
    <row r="618" spans="1:12" s="20" customFormat="1" x14ac:dyDescent="0.25">
      <c r="A618" s="26"/>
      <c r="B618" s="21"/>
      <c r="C618" s="21"/>
      <c r="D618" s="22"/>
      <c r="F618" s="22"/>
      <c r="G618" s="27"/>
      <c r="H618" s="22"/>
      <c r="I618" s="27"/>
      <c r="J618" s="247"/>
      <c r="K618" s="247"/>
      <c r="L618" s="247"/>
    </row>
    <row r="619" spans="1:12" s="20" customFormat="1" x14ac:dyDescent="0.25">
      <c r="A619" s="26"/>
      <c r="B619" s="21"/>
      <c r="C619" s="21"/>
      <c r="D619" s="22"/>
      <c r="F619" s="22"/>
      <c r="G619" s="27"/>
      <c r="H619" s="22"/>
      <c r="I619" s="27"/>
      <c r="J619" s="247"/>
      <c r="K619" s="247"/>
      <c r="L619" s="247"/>
    </row>
    <row r="620" spans="1:12" s="20" customFormat="1" x14ac:dyDescent="0.25">
      <c r="A620" s="26"/>
      <c r="B620" s="21"/>
      <c r="C620" s="21"/>
      <c r="D620" s="22"/>
      <c r="F620" s="22"/>
      <c r="G620" s="27"/>
      <c r="H620" s="22"/>
      <c r="I620" s="27"/>
      <c r="J620" s="247"/>
      <c r="K620" s="247"/>
      <c r="L620" s="247"/>
    </row>
    <row r="621" spans="1:12" s="20" customFormat="1" x14ac:dyDescent="0.25">
      <c r="A621" s="26"/>
      <c r="B621" s="21"/>
      <c r="C621" s="21"/>
      <c r="D621" s="22"/>
      <c r="F621" s="22"/>
      <c r="G621" s="27"/>
      <c r="H621" s="22"/>
      <c r="I621" s="27"/>
      <c r="J621" s="247"/>
      <c r="K621" s="247"/>
      <c r="L621" s="247"/>
    </row>
    <row r="622" spans="1:12" s="20" customFormat="1" x14ac:dyDescent="0.25">
      <c r="A622" s="26"/>
      <c r="B622" s="21"/>
      <c r="C622" s="21"/>
      <c r="D622" s="22"/>
      <c r="F622" s="22"/>
      <c r="G622" s="27"/>
      <c r="H622" s="22"/>
      <c r="I622" s="27"/>
      <c r="J622" s="247"/>
      <c r="K622" s="247"/>
      <c r="L622" s="247"/>
    </row>
    <row r="623" spans="1:12" s="20" customFormat="1" x14ac:dyDescent="0.25">
      <c r="A623" s="26"/>
      <c r="B623" s="21"/>
      <c r="C623" s="21"/>
      <c r="D623" s="22"/>
      <c r="F623" s="22"/>
      <c r="G623" s="27"/>
      <c r="H623" s="22"/>
      <c r="I623" s="27"/>
      <c r="J623" s="247"/>
      <c r="K623" s="247"/>
      <c r="L623" s="247"/>
    </row>
    <row r="624" spans="1:12" s="20" customFormat="1" x14ac:dyDescent="0.25">
      <c r="A624" s="26"/>
      <c r="B624" s="21"/>
      <c r="C624" s="21"/>
      <c r="D624" s="22"/>
      <c r="F624" s="22"/>
      <c r="G624" s="27"/>
      <c r="H624" s="22"/>
      <c r="I624" s="27"/>
      <c r="J624" s="247"/>
      <c r="K624" s="247"/>
      <c r="L624" s="247"/>
    </row>
    <row r="625" spans="1:12" s="20" customFormat="1" x14ac:dyDescent="0.25">
      <c r="A625" s="26"/>
      <c r="B625" s="21"/>
      <c r="C625" s="21"/>
      <c r="D625" s="22"/>
      <c r="F625" s="22"/>
      <c r="G625" s="27"/>
      <c r="H625" s="22"/>
      <c r="I625" s="27"/>
      <c r="J625" s="247"/>
      <c r="K625" s="247"/>
      <c r="L625" s="247"/>
    </row>
    <row r="626" spans="1:12" s="20" customFormat="1" x14ac:dyDescent="0.25">
      <c r="A626" s="26"/>
      <c r="B626" s="21"/>
      <c r="C626" s="21"/>
      <c r="D626" s="22"/>
      <c r="F626" s="22"/>
      <c r="G626" s="27"/>
      <c r="H626" s="22"/>
      <c r="I626" s="27"/>
      <c r="J626" s="247"/>
      <c r="K626" s="247"/>
      <c r="L626" s="247"/>
    </row>
    <row r="627" spans="1:12" s="20" customFormat="1" x14ac:dyDescent="0.25">
      <c r="A627" s="26"/>
      <c r="B627" s="21"/>
      <c r="C627" s="21"/>
      <c r="D627" s="22"/>
      <c r="F627" s="22"/>
      <c r="G627" s="27"/>
      <c r="H627" s="22"/>
      <c r="I627" s="27"/>
      <c r="J627" s="247"/>
      <c r="K627" s="247"/>
      <c r="L627" s="247"/>
    </row>
    <row r="628" spans="1:12" s="20" customFormat="1" x14ac:dyDescent="0.25">
      <c r="A628" s="26"/>
      <c r="B628" s="21"/>
      <c r="C628" s="21"/>
      <c r="D628" s="22"/>
      <c r="F628" s="22"/>
      <c r="G628" s="27"/>
      <c r="H628" s="22"/>
      <c r="I628" s="27"/>
      <c r="J628" s="247"/>
      <c r="K628" s="247"/>
      <c r="L628" s="247"/>
    </row>
    <row r="629" spans="1:12" s="20" customFormat="1" x14ac:dyDescent="0.25">
      <c r="A629" s="26"/>
      <c r="B629" s="21"/>
      <c r="C629" s="21"/>
      <c r="D629" s="22"/>
      <c r="F629" s="22"/>
      <c r="G629" s="27"/>
      <c r="H629" s="22"/>
      <c r="I629" s="27"/>
      <c r="J629" s="247"/>
      <c r="K629" s="247"/>
      <c r="L629" s="247"/>
    </row>
    <row r="630" spans="1:12" s="20" customFormat="1" x14ac:dyDescent="0.25">
      <c r="A630" s="26"/>
      <c r="B630" s="21"/>
      <c r="C630" s="21"/>
      <c r="D630" s="22"/>
      <c r="F630" s="22"/>
      <c r="G630" s="27"/>
      <c r="H630" s="22"/>
      <c r="I630" s="27"/>
      <c r="J630" s="247"/>
      <c r="K630" s="247"/>
      <c r="L630" s="247"/>
    </row>
    <row r="631" spans="1:12" s="20" customFormat="1" x14ac:dyDescent="0.25">
      <c r="A631" s="26"/>
      <c r="B631" s="21"/>
      <c r="C631" s="21"/>
      <c r="D631" s="22"/>
      <c r="F631" s="22"/>
      <c r="G631" s="27"/>
      <c r="H631" s="22"/>
      <c r="I631" s="27"/>
      <c r="J631" s="247"/>
      <c r="K631" s="247"/>
      <c r="L631" s="247"/>
    </row>
    <row r="632" spans="1:12" s="20" customFormat="1" x14ac:dyDescent="0.25">
      <c r="A632" s="26"/>
      <c r="B632" s="21"/>
      <c r="C632" s="21"/>
      <c r="D632" s="22"/>
      <c r="F632" s="22"/>
      <c r="G632" s="27"/>
      <c r="H632" s="22"/>
      <c r="I632" s="27"/>
      <c r="J632" s="247"/>
      <c r="K632" s="247"/>
      <c r="L632" s="247"/>
    </row>
    <row r="633" spans="1:12" s="20" customFormat="1" x14ac:dyDescent="0.25">
      <c r="A633" s="26"/>
      <c r="B633" s="21"/>
      <c r="C633" s="21"/>
      <c r="D633" s="22"/>
      <c r="F633" s="22"/>
      <c r="G633" s="27"/>
      <c r="H633" s="22"/>
      <c r="I633" s="27"/>
      <c r="J633" s="247"/>
      <c r="K633" s="247"/>
      <c r="L633" s="247"/>
    </row>
    <row r="634" spans="1:12" s="20" customFormat="1" x14ac:dyDescent="0.25">
      <c r="A634" s="26"/>
      <c r="B634" s="21"/>
      <c r="C634" s="21"/>
      <c r="D634" s="22"/>
      <c r="F634" s="22"/>
      <c r="G634" s="27"/>
      <c r="H634" s="22"/>
      <c r="I634" s="27"/>
      <c r="J634" s="247"/>
      <c r="K634" s="247"/>
      <c r="L634" s="247"/>
    </row>
    <row r="635" spans="1:12" s="20" customFormat="1" x14ac:dyDescent="0.25">
      <c r="A635" s="26"/>
      <c r="B635" s="21"/>
      <c r="C635" s="21"/>
      <c r="D635" s="22"/>
      <c r="F635" s="22"/>
      <c r="G635" s="27"/>
      <c r="H635" s="22"/>
      <c r="I635" s="27"/>
      <c r="J635" s="247"/>
      <c r="K635" s="247"/>
      <c r="L635" s="247"/>
    </row>
    <row r="636" spans="1:12" s="20" customFormat="1" x14ac:dyDescent="0.25">
      <c r="A636" s="26"/>
      <c r="B636" s="21"/>
      <c r="C636" s="21"/>
      <c r="D636" s="22"/>
      <c r="F636" s="22"/>
      <c r="G636" s="27"/>
      <c r="H636" s="22"/>
      <c r="I636" s="27"/>
      <c r="J636" s="247"/>
      <c r="K636" s="247"/>
      <c r="L636" s="247"/>
    </row>
    <row r="637" spans="1:12" s="20" customFormat="1" x14ac:dyDescent="0.25">
      <c r="A637" s="26"/>
      <c r="B637" s="21"/>
      <c r="C637" s="21"/>
      <c r="D637" s="22"/>
      <c r="F637" s="22"/>
      <c r="G637" s="27"/>
      <c r="H637" s="22"/>
      <c r="I637" s="27"/>
      <c r="J637" s="247"/>
      <c r="K637" s="247"/>
      <c r="L637" s="247"/>
    </row>
    <row r="638" spans="1:12" s="20" customFormat="1" x14ac:dyDescent="0.25">
      <c r="A638" s="26"/>
      <c r="B638" s="21"/>
      <c r="C638" s="21"/>
      <c r="D638" s="22"/>
      <c r="F638" s="22"/>
      <c r="G638" s="27"/>
      <c r="H638" s="22"/>
      <c r="I638" s="27"/>
      <c r="J638" s="247"/>
      <c r="K638" s="247"/>
      <c r="L638" s="247"/>
    </row>
    <row r="639" spans="1:12" s="20" customFormat="1" x14ac:dyDescent="0.25">
      <c r="A639" s="26"/>
      <c r="B639" s="21"/>
      <c r="C639" s="21"/>
      <c r="D639" s="22"/>
      <c r="F639" s="22"/>
      <c r="G639" s="27"/>
      <c r="H639" s="22"/>
      <c r="I639" s="27"/>
      <c r="J639" s="247"/>
      <c r="K639" s="247"/>
      <c r="L639" s="247"/>
    </row>
    <row r="640" spans="1:12" s="20" customFormat="1" x14ac:dyDescent="0.25">
      <c r="A640" s="26"/>
      <c r="B640" s="21"/>
      <c r="C640" s="21"/>
      <c r="D640" s="22"/>
      <c r="F640" s="22"/>
      <c r="G640" s="27"/>
      <c r="H640" s="22"/>
      <c r="I640" s="27"/>
      <c r="J640" s="247"/>
      <c r="K640" s="247"/>
      <c r="L640" s="247"/>
    </row>
    <row r="641" spans="1:12" s="20" customFormat="1" x14ac:dyDescent="0.25">
      <c r="A641" s="26"/>
      <c r="B641" s="21"/>
      <c r="C641" s="21"/>
      <c r="D641" s="22"/>
      <c r="F641" s="22"/>
      <c r="G641" s="27"/>
      <c r="H641" s="22"/>
      <c r="I641" s="27"/>
      <c r="J641" s="247"/>
      <c r="K641" s="247"/>
      <c r="L641" s="247"/>
    </row>
    <row r="642" spans="1:12" s="20" customFormat="1" x14ac:dyDescent="0.25">
      <c r="A642" s="26"/>
      <c r="B642" s="21"/>
      <c r="C642" s="21"/>
      <c r="D642" s="22"/>
      <c r="F642" s="22"/>
      <c r="G642" s="27"/>
      <c r="H642" s="22"/>
      <c r="I642" s="27"/>
      <c r="J642" s="247"/>
      <c r="K642" s="247"/>
      <c r="L642" s="247"/>
    </row>
    <row r="643" spans="1:12" s="20" customFormat="1" x14ac:dyDescent="0.25">
      <c r="A643" s="26"/>
      <c r="B643" s="21"/>
      <c r="C643" s="21"/>
      <c r="D643" s="22"/>
      <c r="F643" s="22"/>
      <c r="G643" s="27"/>
      <c r="H643" s="22"/>
      <c r="I643" s="27"/>
      <c r="J643" s="247"/>
      <c r="K643" s="247"/>
      <c r="L643" s="247"/>
    </row>
    <row r="644" spans="1:12" s="20" customFormat="1" x14ac:dyDescent="0.25">
      <c r="A644" s="26"/>
      <c r="B644" s="21"/>
      <c r="C644" s="21"/>
      <c r="D644" s="22"/>
      <c r="F644" s="22"/>
      <c r="G644" s="27"/>
      <c r="H644" s="22"/>
      <c r="I644" s="27"/>
      <c r="J644" s="247"/>
      <c r="K644" s="247"/>
      <c r="L644" s="247"/>
    </row>
    <row r="645" spans="1:12" s="20" customFormat="1" x14ac:dyDescent="0.25">
      <c r="A645" s="26"/>
      <c r="B645" s="21"/>
      <c r="C645" s="21"/>
      <c r="D645" s="22"/>
      <c r="F645" s="22"/>
      <c r="G645" s="27"/>
      <c r="H645" s="22"/>
      <c r="I645" s="27"/>
      <c r="J645" s="247"/>
      <c r="K645" s="247"/>
      <c r="L645" s="247"/>
    </row>
    <row r="646" spans="1:12" s="20" customFormat="1" x14ac:dyDescent="0.25">
      <c r="A646" s="26"/>
      <c r="B646" s="21"/>
      <c r="C646" s="21"/>
      <c r="D646" s="22"/>
      <c r="F646" s="22"/>
      <c r="G646" s="27"/>
      <c r="H646" s="22"/>
      <c r="I646" s="27"/>
      <c r="J646" s="247"/>
      <c r="K646" s="247"/>
      <c r="L646" s="247"/>
    </row>
    <row r="647" spans="1:12" s="20" customFormat="1" x14ac:dyDescent="0.25">
      <c r="A647" s="26"/>
      <c r="B647" s="21"/>
      <c r="C647" s="21"/>
      <c r="D647" s="22"/>
      <c r="F647" s="22"/>
      <c r="G647" s="27"/>
      <c r="H647" s="22"/>
      <c r="I647" s="27"/>
      <c r="J647" s="247"/>
      <c r="K647" s="247"/>
      <c r="L647" s="247"/>
    </row>
    <row r="648" spans="1:12" s="20" customFormat="1" x14ac:dyDescent="0.25">
      <c r="A648" s="26"/>
      <c r="B648" s="21"/>
      <c r="C648" s="21"/>
      <c r="D648" s="22"/>
      <c r="F648" s="22"/>
      <c r="G648" s="27"/>
      <c r="H648" s="22"/>
      <c r="I648" s="27"/>
      <c r="J648" s="247"/>
      <c r="K648" s="247"/>
      <c r="L648" s="247"/>
    </row>
    <row r="649" spans="1:12" s="20" customFormat="1" x14ac:dyDescent="0.25">
      <c r="A649" s="26"/>
      <c r="B649" s="21"/>
      <c r="C649" s="21"/>
      <c r="D649" s="22"/>
      <c r="F649" s="22"/>
      <c r="G649" s="27"/>
      <c r="H649" s="22"/>
      <c r="I649" s="27"/>
      <c r="J649" s="247"/>
      <c r="K649" s="247"/>
      <c r="L649" s="247"/>
    </row>
    <row r="650" spans="1:12" s="20" customFormat="1" x14ac:dyDescent="0.25">
      <c r="A650" s="26"/>
      <c r="B650" s="21"/>
      <c r="C650" s="21"/>
      <c r="D650" s="22"/>
      <c r="F650" s="22"/>
      <c r="G650" s="27"/>
      <c r="H650" s="22"/>
      <c r="I650" s="27"/>
      <c r="J650" s="247"/>
      <c r="K650" s="247"/>
      <c r="L650" s="247"/>
    </row>
    <row r="651" spans="1:12" s="20" customFormat="1" x14ac:dyDescent="0.25">
      <c r="A651" s="26"/>
      <c r="B651" s="21"/>
      <c r="C651" s="21"/>
      <c r="D651" s="22"/>
      <c r="F651" s="22"/>
      <c r="G651" s="27"/>
      <c r="H651" s="22"/>
      <c r="I651" s="27"/>
      <c r="J651" s="247"/>
      <c r="K651" s="247"/>
      <c r="L651" s="247"/>
    </row>
    <row r="652" spans="1:12" s="20" customFormat="1" x14ac:dyDescent="0.25">
      <c r="A652" s="26"/>
      <c r="B652" s="21"/>
      <c r="C652" s="21"/>
      <c r="D652" s="22"/>
      <c r="F652" s="22"/>
      <c r="G652" s="27"/>
      <c r="H652" s="22"/>
      <c r="I652" s="27"/>
      <c r="J652" s="247"/>
      <c r="K652" s="247"/>
      <c r="L652" s="247"/>
    </row>
    <row r="653" spans="1:12" s="20" customFormat="1" x14ac:dyDescent="0.25">
      <c r="A653" s="26"/>
      <c r="B653" s="21"/>
      <c r="C653" s="21"/>
      <c r="D653" s="22"/>
      <c r="F653" s="22"/>
      <c r="G653" s="27"/>
      <c r="H653" s="22"/>
      <c r="I653" s="27"/>
      <c r="J653" s="247"/>
      <c r="K653" s="247"/>
      <c r="L653" s="247"/>
    </row>
    <row r="654" spans="1:12" s="20" customFormat="1" x14ac:dyDescent="0.25">
      <c r="A654" s="26"/>
      <c r="B654" s="21"/>
      <c r="C654" s="21"/>
      <c r="D654" s="22"/>
      <c r="F654" s="22"/>
      <c r="G654" s="27"/>
      <c r="H654" s="22"/>
      <c r="I654" s="27"/>
      <c r="J654" s="247"/>
      <c r="K654" s="247"/>
      <c r="L654" s="247"/>
    </row>
    <row r="655" spans="1:12" s="20" customFormat="1" x14ac:dyDescent="0.25">
      <c r="A655" s="26"/>
      <c r="B655" s="21"/>
      <c r="C655" s="21"/>
      <c r="D655" s="22"/>
      <c r="F655" s="22"/>
      <c r="G655" s="27"/>
      <c r="H655" s="22"/>
      <c r="I655" s="27"/>
      <c r="J655" s="247"/>
      <c r="K655" s="247"/>
      <c r="L655" s="247"/>
    </row>
    <row r="656" spans="1:12" s="20" customFormat="1" x14ac:dyDescent="0.25">
      <c r="A656" s="26"/>
      <c r="B656" s="21"/>
      <c r="C656" s="21"/>
      <c r="D656" s="22"/>
      <c r="F656" s="22"/>
      <c r="G656" s="27"/>
      <c r="H656" s="22"/>
      <c r="I656" s="27"/>
      <c r="J656" s="247"/>
      <c r="K656" s="247"/>
      <c r="L656" s="247"/>
    </row>
    <row r="657" spans="1:12" s="20" customFormat="1" x14ac:dyDescent="0.25">
      <c r="A657" s="26"/>
      <c r="B657" s="21"/>
      <c r="C657" s="21"/>
      <c r="D657" s="22"/>
      <c r="F657" s="22"/>
      <c r="G657" s="27"/>
      <c r="H657" s="22"/>
      <c r="I657" s="27"/>
      <c r="J657" s="247"/>
      <c r="K657" s="247"/>
      <c r="L657" s="247"/>
    </row>
    <row r="658" spans="1:12" s="20" customFormat="1" x14ac:dyDescent="0.25">
      <c r="A658" s="26"/>
      <c r="B658" s="21"/>
      <c r="C658" s="21"/>
      <c r="D658" s="22"/>
      <c r="F658" s="22"/>
      <c r="G658" s="27"/>
      <c r="H658" s="22"/>
      <c r="I658" s="27"/>
      <c r="J658" s="247"/>
      <c r="K658" s="247"/>
      <c r="L658" s="247"/>
    </row>
    <row r="659" spans="1:12" s="20" customFormat="1" x14ac:dyDescent="0.25">
      <c r="A659" s="26"/>
      <c r="B659" s="21"/>
      <c r="C659" s="21"/>
      <c r="D659" s="22"/>
      <c r="F659" s="22"/>
      <c r="G659" s="27"/>
      <c r="H659" s="22"/>
      <c r="I659" s="27"/>
      <c r="J659" s="247"/>
      <c r="K659" s="247"/>
      <c r="L659" s="247"/>
    </row>
    <row r="660" spans="1:12" s="20" customFormat="1" x14ac:dyDescent="0.25">
      <c r="A660" s="26"/>
      <c r="B660" s="21"/>
      <c r="C660" s="21"/>
      <c r="D660" s="22"/>
      <c r="F660" s="22"/>
      <c r="G660" s="27"/>
      <c r="H660" s="22"/>
      <c r="I660" s="27"/>
      <c r="J660" s="247"/>
      <c r="K660" s="247"/>
      <c r="L660" s="247"/>
    </row>
    <row r="661" spans="1:12" s="20" customFormat="1" x14ac:dyDescent="0.25">
      <c r="A661" s="26"/>
      <c r="B661" s="21"/>
      <c r="C661" s="21"/>
      <c r="D661" s="22"/>
      <c r="F661" s="22"/>
      <c r="G661" s="27"/>
      <c r="H661" s="22"/>
      <c r="I661" s="27"/>
      <c r="J661" s="247"/>
      <c r="K661" s="247"/>
      <c r="L661" s="247"/>
    </row>
    <row r="662" spans="1:12" s="20" customFormat="1" x14ac:dyDescent="0.25">
      <c r="A662" s="26"/>
      <c r="B662" s="21"/>
      <c r="C662" s="21"/>
      <c r="D662" s="22"/>
      <c r="F662" s="22"/>
      <c r="G662" s="27"/>
      <c r="H662" s="22"/>
      <c r="I662" s="27"/>
      <c r="J662" s="247"/>
      <c r="K662" s="247"/>
      <c r="L662" s="247"/>
    </row>
    <row r="663" spans="1:12" s="20" customFormat="1" x14ac:dyDescent="0.25">
      <c r="A663" s="26"/>
      <c r="B663" s="21"/>
      <c r="C663" s="21"/>
      <c r="D663" s="22"/>
      <c r="F663" s="22"/>
      <c r="G663" s="27"/>
      <c r="H663" s="22"/>
      <c r="I663" s="27"/>
      <c r="J663" s="247"/>
      <c r="K663" s="247"/>
      <c r="L663" s="247"/>
    </row>
    <row r="664" spans="1:12" s="20" customFormat="1" x14ac:dyDescent="0.25">
      <c r="A664" s="26"/>
      <c r="B664" s="21"/>
      <c r="C664" s="21"/>
      <c r="D664" s="22"/>
      <c r="F664" s="22"/>
      <c r="G664" s="27"/>
      <c r="H664" s="22"/>
      <c r="I664" s="27"/>
      <c r="J664" s="247"/>
      <c r="K664" s="247"/>
      <c r="L664" s="247"/>
    </row>
    <row r="665" spans="1:12" s="20" customFormat="1" x14ac:dyDescent="0.25">
      <c r="A665" s="26"/>
      <c r="B665" s="21"/>
      <c r="C665" s="21"/>
      <c r="D665" s="22"/>
      <c r="F665" s="22"/>
      <c r="G665" s="27"/>
      <c r="H665" s="22"/>
      <c r="I665" s="27"/>
      <c r="J665" s="247"/>
      <c r="K665" s="247"/>
      <c r="L665" s="247"/>
    </row>
    <row r="666" spans="1:12" s="20" customFormat="1" x14ac:dyDescent="0.25">
      <c r="A666" s="26"/>
      <c r="B666" s="21"/>
      <c r="C666" s="21"/>
      <c r="D666" s="22"/>
      <c r="F666" s="22"/>
      <c r="G666" s="27"/>
      <c r="H666" s="22"/>
      <c r="I666" s="27"/>
      <c r="J666" s="247"/>
      <c r="K666" s="247"/>
      <c r="L666" s="247"/>
    </row>
    <row r="667" spans="1:12" s="20" customFormat="1" x14ac:dyDescent="0.25">
      <c r="A667" s="26"/>
      <c r="B667" s="21"/>
      <c r="C667" s="21"/>
      <c r="D667" s="22"/>
      <c r="F667" s="22"/>
      <c r="G667" s="27"/>
      <c r="H667" s="22"/>
      <c r="I667" s="27"/>
      <c r="J667" s="247"/>
      <c r="K667" s="247"/>
      <c r="L667" s="247"/>
    </row>
    <row r="668" spans="1:12" s="20" customFormat="1" x14ac:dyDescent="0.25">
      <c r="A668" s="26"/>
      <c r="B668" s="21"/>
      <c r="C668" s="21"/>
      <c r="D668" s="22"/>
      <c r="F668" s="22"/>
      <c r="G668" s="27"/>
      <c r="H668" s="22"/>
      <c r="I668" s="27"/>
      <c r="J668" s="247"/>
      <c r="K668" s="247"/>
      <c r="L668" s="247"/>
    </row>
    <row r="669" spans="1:12" s="20" customFormat="1" x14ac:dyDescent="0.25">
      <c r="A669" s="26"/>
      <c r="B669" s="21"/>
      <c r="C669" s="21"/>
      <c r="D669" s="22"/>
      <c r="F669" s="22"/>
      <c r="G669" s="27"/>
      <c r="H669" s="22"/>
      <c r="I669" s="27"/>
      <c r="J669" s="247"/>
      <c r="K669" s="247"/>
      <c r="L669" s="247"/>
    </row>
    <row r="670" spans="1:12" s="20" customFormat="1" x14ac:dyDescent="0.25">
      <c r="A670" s="26"/>
      <c r="B670" s="21"/>
      <c r="C670" s="21"/>
      <c r="D670" s="22"/>
      <c r="F670" s="22"/>
      <c r="G670" s="27"/>
      <c r="H670" s="22"/>
      <c r="I670" s="27"/>
      <c r="J670" s="247"/>
      <c r="K670" s="247"/>
      <c r="L670" s="247"/>
    </row>
    <row r="671" spans="1:12" s="20" customFormat="1" x14ac:dyDescent="0.25">
      <c r="A671" s="26"/>
      <c r="B671" s="21"/>
      <c r="C671" s="21"/>
      <c r="D671" s="22"/>
      <c r="F671" s="22"/>
      <c r="G671" s="27"/>
      <c r="H671" s="22"/>
      <c r="I671" s="27"/>
      <c r="J671" s="247"/>
      <c r="K671" s="247"/>
      <c r="L671" s="247"/>
    </row>
    <row r="672" spans="1:12" s="20" customFormat="1" x14ac:dyDescent="0.25">
      <c r="A672" s="26"/>
      <c r="B672" s="21"/>
      <c r="C672" s="21"/>
      <c r="D672" s="22"/>
      <c r="F672" s="22"/>
      <c r="G672" s="27"/>
      <c r="H672" s="22"/>
      <c r="I672" s="27"/>
      <c r="J672" s="247"/>
      <c r="K672" s="247"/>
      <c r="L672" s="247"/>
    </row>
    <row r="673" spans="1:12" s="20" customFormat="1" x14ac:dyDescent="0.25">
      <c r="A673" s="26"/>
      <c r="B673" s="21"/>
      <c r="C673" s="21"/>
      <c r="D673" s="22"/>
      <c r="F673" s="22"/>
      <c r="G673" s="27"/>
      <c r="H673" s="22"/>
      <c r="I673" s="27"/>
      <c r="J673" s="247"/>
      <c r="K673" s="247"/>
      <c r="L673" s="247"/>
    </row>
    <row r="674" spans="1:12" s="20" customFormat="1" x14ac:dyDescent="0.25">
      <c r="A674" s="26"/>
      <c r="B674" s="21"/>
      <c r="C674" s="21"/>
      <c r="D674" s="22"/>
      <c r="F674" s="22"/>
      <c r="G674" s="27"/>
      <c r="H674" s="22"/>
      <c r="I674" s="27"/>
      <c r="J674" s="247"/>
      <c r="K674" s="247"/>
      <c r="L674" s="247"/>
    </row>
    <row r="675" spans="1:12" s="20" customFormat="1" x14ac:dyDescent="0.25">
      <c r="A675" s="26"/>
      <c r="B675" s="21"/>
      <c r="C675" s="21"/>
      <c r="D675" s="22"/>
      <c r="F675" s="22"/>
      <c r="G675" s="27"/>
      <c r="H675" s="22"/>
      <c r="I675" s="27"/>
      <c r="J675" s="247"/>
      <c r="K675" s="247"/>
      <c r="L675" s="247"/>
    </row>
    <row r="676" spans="1:12" s="20" customFormat="1" x14ac:dyDescent="0.25">
      <c r="A676" s="26"/>
      <c r="B676" s="21"/>
      <c r="C676" s="21"/>
      <c r="D676" s="22"/>
      <c r="F676" s="22"/>
      <c r="G676" s="27"/>
      <c r="H676" s="22"/>
      <c r="I676" s="27"/>
      <c r="J676" s="247"/>
      <c r="K676" s="247"/>
      <c r="L676" s="247"/>
    </row>
    <row r="677" spans="1:12" s="20" customFormat="1" x14ac:dyDescent="0.25">
      <c r="A677" s="26"/>
      <c r="B677" s="21"/>
      <c r="C677" s="21"/>
      <c r="D677" s="22"/>
      <c r="F677" s="22"/>
      <c r="G677" s="27"/>
      <c r="H677" s="22"/>
      <c r="I677" s="27"/>
      <c r="J677" s="247"/>
      <c r="K677" s="247"/>
      <c r="L677" s="247"/>
    </row>
    <row r="678" spans="1:12" s="20" customFormat="1" x14ac:dyDescent="0.25">
      <c r="A678" s="26"/>
      <c r="B678" s="21"/>
      <c r="C678" s="21"/>
      <c r="D678" s="22"/>
      <c r="F678" s="22"/>
      <c r="G678" s="27"/>
      <c r="H678" s="22"/>
      <c r="I678" s="27"/>
      <c r="J678" s="247"/>
      <c r="K678" s="247"/>
      <c r="L678" s="247"/>
    </row>
    <row r="679" spans="1:12" s="20" customFormat="1" x14ac:dyDescent="0.25">
      <c r="A679" s="26"/>
      <c r="B679" s="21"/>
      <c r="C679" s="21"/>
      <c r="D679" s="22"/>
      <c r="F679" s="22"/>
      <c r="G679" s="27"/>
      <c r="H679" s="22"/>
      <c r="I679" s="27"/>
      <c r="J679" s="247"/>
      <c r="K679" s="247"/>
      <c r="L679" s="247"/>
    </row>
    <row r="680" spans="1:12" s="20" customFormat="1" x14ac:dyDescent="0.25">
      <c r="A680" s="26"/>
      <c r="B680" s="21"/>
      <c r="C680" s="21"/>
      <c r="D680" s="22"/>
      <c r="F680" s="22"/>
      <c r="G680" s="27"/>
      <c r="H680" s="22"/>
      <c r="I680" s="27"/>
      <c r="J680" s="247"/>
      <c r="K680" s="247"/>
      <c r="L680" s="247"/>
    </row>
    <row r="681" spans="1:12" s="20" customFormat="1" x14ac:dyDescent="0.25">
      <c r="A681" s="26"/>
      <c r="B681" s="21"/>
      <c r="C681" s="21"/>
      <c r="D681" s="22"/>
      <c r="F681" s="22"/>
      <c r="G681" s="27"/>
      <c r="H681" s="22"/>
      <c r="I681" s="27"/>
      <c r="J681" s="247"/>
      <c r="K681" s="247"/>
      <c r="L681" s="247"/>
    </row>
    <row r="682" spans="1:12" s="20" customFormat="1" x14ac:dyDescent="0.25">
      <c r="A682" s="26"/>
      <c r="B682" s="21"/>
      <c r="C682" s="21"/>
      <c r="D682" s="22"/>
      <c r="F682" s="22"/>
      <c r="G682" s="27"/>
      <c r="H682" s="22"/>
      <c r="I682" s="27"/>
      <c r="J682" s="247"/>
      <c r="K682" s="247"/>
      <c r="L682" s="247"/>
    </row>
    <row r="683" spans="1:12" s="20" customFormat="1" x14ac:dyDescent="0.25">
      <c r="A683" s="26"/>
      <c r="B683" s="21"/>
      <c r="C683" s="21"/>
      <c r="D683" s="22"/>
      <c r="F683" s="22"/>
      <c r="G683" s="27"/>
      <c r="H683" s="22"/>
      <c r="I683" s="27"/>
      <c r="J683" s="247"/>
      <c r="K683" s="247"/>
      <c r="L683" s="247"/>
    </row>
    <row r="684" spans="1:12" s="20" customFormat="1" x14ac:dyDescent="0.25">
      <c r="A684" s="26"/>
      <c r="B684" s="21"/>
      <c r="C684" s="21"/>
      <c r="D684" s="22"/>
      <c r="F684" s="22"/>
      <c r="G684" s="27"/>
      <c r="H684" s="22"/>
      <c r="I684" s="27"/>
      <c r="J684" s="247"/>
      <c r="K684" s="247"/>
      <c r="L684" s="247"/>
    </row>
    <row r="685" spans="1:12" s="20" customFormat="1" x14ac:dyDescent="0.25">
      <c r="A685" s="26"/>
      <c r="B685" s="21"/>
      <c r="C685" s="21"/>
      <c r="D685" s="22"/>
      <c r="F685" s="22"/>
      <c r="G685" s="27"/>
      <c r="H685" s="22"/>
      <c r="I685" s="27"/>
      <c r="J685" s="247"/>
      <c r="K685" s="247"/>
      <c r="L685" s="247"/>
    </row>
    <row r="686" spans="1:12" s="20" customFormat="1" x14ac:dyDescent="0.25">
      <c r="A686" s="26"/>
      <c r="B686" s="21"/>
      <c r="C686" s="21"/>
      <c r="D686" s="22"/>
      <c r="F686" s="22"/>
      <c r="G686" s="27"/>
      <c r="H686" s="22"/>
      <c r="I686" s="27"/>
      <c r="J686" s="247"/>
      <c r="K686" s="247"/>
      <c r="L686" s="247"/>
    </row>
    <row r="687" spans="1:12" s="20" customFormat="1" x14ac:dyDescent="0.25">
      <c r="A687" s="26"/>
      <c r="B687" s="21"/>
      <c r="C687" s="21"/>
      <c r="D687" s="22"/>
      <c r="F687" s="22"/>
      <c r="G687" s="27"/>
      <c r="H687" s="22"/>
      <c r="I687" s="27"/>
      <c r="J687" s="247"/>
      <c r="K687" s="247"/>
      <c r="L687" s="247"/>
    </row>
    <row r="688" spans="1:12" s="20" customFormat="1" x14ac:dyDescent="0.25">
      <c r="A688" s="26"/>
      <c r="B688" s="21"/>
      <c r="C688" s="21"/>
      <c r="D688" s="22"/>
      <c r="F688" s="22"/>
      <c r="G688" s="27"/>
      <c r="H688" s="22"/>
      <c r="I688" s="27"/>
      <c r="J688" s="247"/>
      <c r="K688" s="247"/>
      <c r="L688" s="247"/>
    </row>
    <row r="689" spans="1:12" s="20" customFormat="1" x14ac:dyDescent="0.25">
      <c r="A689" s="26"/>
      <c r="B689" s="21"/>
      <c r="C689" s="21"/>
      <c r="D689" s="22"/>
      <c r="F689" s="22"/>
      <c r="G689" s="27"/>
      <c r="H689" s="22"/>
      <c r="I689" s="27"/>
      <c r="J689" s="247"/>
      <c r="K689" s="247"/>
      <c r="L689" s="247"/>
    </row>
    <row r="690" spans="1:12" s="20" customFormat="1" x14ac:dyDescent="0.25">
      <c r="A690" s="26"/>
      <c r="B690" s="21"/>
      <c r="C690" s="21"/>
      <c r="D690" s="22"/>
      <c r="F690" s="22"/>
      <c r="G690" s="27"/>
      <c r="H690" s="22"/>
      <c r="I690" s="27"/>
      <c r="J690" s="247"/>
      <c r="K690" s="247"/>
      <c r="L690" s="247"/>
    </row>
    <row r="691" spans="1:12" s="20" customFormat="1" x14ac:dyDescent="0.25">
      <c r="A691" s="26"/>
      <c r="B691" s="21"/>
      <c r="C691" s="21"/>
      <c r="D691" s="22"/>
      <c r="F691" s="22"/>
      <c r="G691" s="27"/>
      <c r="H691" s="22"/>
      <c r="I691" s="27"/>
      <c r="J691" s="247"/>
      <c r="K691" s="247"/>
      <c r="L691" s="247"/>
    </row>
    <row r="692" spans="1:12" s="20" customFormat="1" x14ac:dyDescent="0.25">
      <c r="A692" s="26"/>
      <c r="B692" s="21"/>
      <c r="C692" s="21"/>
      <c r="D692" s="22"/>
      <c r="F692" s="22"/>
      <c r="G692" s="27"/>
      <c r="H692" s="22"/>
      <c r="I692" s="27"/>
      <c r="J692" s="247"/>
      <c r="K692" s="247"/>
      <c r="L692" s="247"/>
    </row>
    <row r="693" spans="1:12" s="20" customFormat="1" x14ac:dyDescent="0.25">
      <c r="A693" s="26"/>
      <c r="B693" s="21"/>
      <c r="C693" s="21"/>
      <c r="D693" s="22"/>
      <c r="F693" s="22"/>
      <c r="G693" s="27"/>
      <c r="H693" s="22"/>
      <c r="I693" s="27"/>
      <c r="J693" s="247"/>
      <c r="K693" s="247"/>
      <c r="L693" s="247"/>
    </row>
    <row r="694" spans="1:12" s="20" customFormat="1" x14ac:dyDescent="0.25">
      <c r="A694" s="26"/>
      <c r="B694" s="21"/>
      <c r="C694" s="21"/>
      <c r="D694" s="22"/>
      <c r="F694" s="22"/>
      <c r="G694" s="27"/>
      <c r="H694" s="22"/>
      <c r="I694" s="27"/>
      <c r="J694" s="247"/>
      <c r="K694" s="247"/>
      <c r="L694" s="247"/>
    </row>
    <row r="695" spans="1:12" s="20" customFormat="1" x14ac:dyDescent="0.25">
      <c r="A695" s="26"/>
      <c r="B695" s="21"/>
      <c r="C695" s="21"/>
      <c r="D695" s="22"/>
      <c r="F695" s="22"/>
      <c r="G695" s="27"/>
      <c r="H695" s="22"/>
      <c r="I695" s="27"/>
      <c r="J695" s="247"/>
      <c r="K695" s="247"/>
      <c r="L695" s="247"/>
    </row>
    <row r="696" spans="1:12" s="20" customFormat="1" x14ac:dyDescent="0.25">
      <c r="A696" s="26"/>
      <c r="B696" s="21"/>
      <c r="C696" s="21"/>
      <c r="D696" s="22"/>
      <c r="F696" s="22"/>
      <c r="G696" s="27"/>
      <c r="H696" s="22"/>
      <c r="I696" s="27"/>
      <c r="J696" s="247"/>
      <c r="K696" s="247"/>
      <c r="L696" s="247"/>
    </row>
    <row r="697" spans="1:12" s="20" customFormat="1" x14ac:dyDescent="0.25">
      <c r="A697" s="26"/>
      <c r="B697" s="21"/>
      <c r="C697" s="21"/>
      <c r="D697" s="22"/>
      <c r="F697" s="22"/>
      <c r="G697" s="27"/>
      <c r="H697" s="22"/>
      <c r="I697" s="27"/>
      <c r="J697" s="247"/>
      <c r="K697" s="247"/>
      <c r="L697" s="247"/>
    </row>
    <row r="698" spans="1:12" s="20" customFormat="1" x14ac:dyDescent="0.25">
      <c r="A698" s="26"/>
      <c r="B698" s="21"/>
      <c r="C698" s="21"/>
      <c r="D698" s="22"/>
      <c r="F698" s="22"/>
      <c r="G698" s="27"/>
      <c r="H698" s="22"/>
      <c r="I698" s="27"/>
      <c r="J698" s="247"/>
      <c r="K698" s="247"/>
      <c r="L698" s="247"/>
    </row>
    <row r="699" spans="1:12" s="20" customFormat="1" x14ac:dyDescent="0.25">
      <c r="A699" s="26"/>
      <c r="B699" s="21"/>
      <c r="C699" s="21"/>
      <c r="D699" s="22"/>
      <c r="F699" s="22"/>
      <c r="G699" s="27"/>
      <c r="H699" s="22"/>
      <c r="I699" s="27"/>
      <c r="J699" s="247"/>
      <c r="K699" s="247"/>
      <c r="L699" s="247"/>
    </row>
    <row r="700" spans="1:12" s="20" customFormat="1" x14ac:dyDescent="0.25">
      <c r="A700" s="26"/>
      <c r="B700" s="21"/>
      <c r="C700" s="21"/>
      <c r="D700" s="22"/>
      <c r="F700" s="22"/>
      <c r="G700" s="27"/>
      <c r="H700" s="22"/>
      <c r="I700" s="27"/>
      <c r="J700" s="247"/>
      <c r="K700" s="247"/>
      <c r="L700" s="247"/>
    </row>
    <row r="701" spans="1:12" s="20" customFormat="1" x14ac:dyDescent="0.25">
      <c r="A701" s="26"/>
      <c r="B701" s="21"/>
      <c r="C701" s="21"/>
      <c r="D701" s="22"/>
      <c r="F701" s="22"/>
      <c r="G701" s="27"/>
      <c r="H701" s="22"/>
      <c r="I701" s="27"/>
      <c r="J701" s="247"/>
      <c r="K701" s="247"/>
      <c r="L701" s="247"/>
    </row>
    <row r="702" spans="1:12" s="20" customFormat="1" x14ac:dyDescent="0.25">
      <c r="A702" s="26"/>
      <c r="B702" s="21"/>
      <c r="C702" s="21"/>
      <c r="D702" s="22"/>
      <c r="F702" s="22"/>
      <c r="G702" s="27"/>
      <c r="H702" s="22"/>
      <c r="I702" s="27"/>
      <c r="J702" s="247"/>
      <c r="K702" s="247"/>
      <c r="L702" s="247"/>
    </row>
    <row r="703" spans="1:12" s="20" customFormat="1" x14ac:dyDescent="0.25">
      <c r="A703" s="26"/>
      <c r="B703" s="21"/>
      <c r="C703" s="21"/>
      <c r="D703" s="22"/>
      <c r="F703" s="22"/>
      <c r="G703" s="27"/>
      <c r="H703" s="22"/>
      <c r="I703" s="27"/>
      <c r="J703" s="247"/>
      <c r="K703" s="247"/>
      <c r="L703" s="247"/>
    </row>
    <row r="704" spans="1:12" s="20" customFormat="1" x14ac:dyDescent="0.25">
      <c r="A704" s="26"/>
      <c r="B704" s="21"/>
      <c r="C704" s="21"/>
      <c r="D704" s="22"/>
      <c r="F704" s="22"/>
      <c r="G704" s="27"/>
      <c r="H704" s="22"/>
      <c r="I704" s="27"/>
      <c r="J704" s="247"/>
      <c r="K704" s="247"/>
      <c r="L704" s="247"/>
    </row>
    <row r="705" spans="1:12" s="20" customFormat="1" x14ac:dyDescent="0.25">
      <c r="A705" s="26"/>
      <c r="B705" s="21"/>
      <c r="C705" s="21"/>
      <c r="D705" s="22"/>
      <c r="F705" s="22"/>
      <c r="G705" s="27"/>
      <c r="H705" s="22"/>
      <c r="I705" s="27"/>
      <c r="J705" s="247"/>
      <c r="K705" s="247"/>
      <c r="L705" s="247"/>
    </row>
    <row r="706" spans="1:12" s="20" customFormat="1" x14ac:dyDescent="0.25">
      <c r="A706" s="26"/>
      <c r="B706" s="21"/>
      <c r="C706" s="21"/>
      <c r="D706" s="22"/>
      <c r="F706" s="22"/>
      <c r="G706" s="27"/>
      <c r="H706" s="22"/>
      <c r="I706" s="27"/>
      <c r="J706" s="247"/>
      <c r="K706" s="247"/>
      <c r="L706" s="247"/>
    </row>
    <row r="707" spans="1:12" s="20" customFormat="1" x14ac:dyDescent="0.25">
      <c r="A707" s="26"/>
      <c r="B707" s="21"/>
      <c r="C707" s="21"/>
      <c r="D707" s="22"/>
      <c r="F707" s="22"/>
      <c r="G707" s="27"/>
      <c r="H707" s="22"/>
      <c r="I707" s="27"/>
      <c r="J707" s="247"/>
      <c r="K707" s="247"/>
      <c r="L707" s="247"/>
    </row>
    <row r="708" spans="1:12" s="20" customFormat="1" x14ac:dyDescent="0.25">
      <c r="A708" s="26"/>
      <c r="B708" s="21"/>
      <c r="C708" s="21"/>
      <c r="D708" s="22"/>
      <c r="F708" s="22"/>
      <c r="G708" s="27"/>
      <c r="H708" s="22"/>
      <c r="I708" s="27"/>
      <c r="J708" s="247"/>
      <c r="K708" s="247"/>
      <c r="L708" s="247"/>
    </row>
    <row r="709" spans="1:12" s="20" customFormat="1" x14ac:dyDescent="0.25">
      <c r="A709" s="26"/>
      <c r="B709" s="21"/>
      <c r="C709" s="21"/>
      <c r="D709" s="22"/>
      <c r="F709" s="22"/>
      <c r="G709" s="27"/>
      <c r="H709" s="22"/>
      <c r="I709" s="27"/>
      <c r="J709" s="247"/>
      <c r="K709" s="247"/>
      <c r="L709" s="247"/>
    </row>
    <row r="710" spans="1:12" s="20" customFormat="1" x14ac:dyDescent="0.25">
      <c r="A710" s="26"/>
      <c r="B710" s="21"/>
      <c r="C710" s="21"/>
      <c r="D710" s="22"/>
      <c r="F710" s="22"/>
      <c r="G710" s="27"/>
      <c r="H710" s="22"/>
      <c r="I710" s="27"/>
      <c r="J710" s="247"/>
      <c r="K710" s="247"/>
      <c r="L710" s="247"/>
    </row>
    <row r="711" spans="1:12" s="20" customFormat="1" x14ac:dyDescent="0.25">
      <c r="A711" s="26"/>
      <c r="B711" s="21"/>
      <c r="C711" s="21"/>
      <c r="D711" s="22"/>
      <c r="F711" s="22"/>
      <c r="G711" s="27"/>
      <c r="H711" s="22"/>
      <c r="I711" s="27"/>
      <c r="J711" s="247"/>
      <c r="K711" s="247"/>
      <c r="L711" s="247"/>
    </row>
    <row r="712" spans="1:12" s="20" customFormat="1" x14ac:dyDescent="0.25">
      <c r="A712" s="26"/>
      <c r="B712" s="21"/>
      <c r="C712" s="21"/>
      <c r="D712" s="22"/>
      <c r="F712" s="22"/>
      <c r="G712" s="27"/>
      <c r="H712" s="22"/>
      <c r="I712" s="27"/>
      <c r="J712" s="247"/>
      <c r="K712" s="247"/>
      <c r="L712" s="247"/>
    </row>
    <row r="713" spans="1:12" s="20" customFormat="1" x14ac:dyDescent="0.25">
      <c r="A713" s="26"/>
      <c r="B713" s="21"/>
      <c r="C713" s="21"/>
      <c r="D713" s="22"/>
      <c r="F713" s="22"/>
      <c r="G713" s="27"/>
      <c r="H713" s="22"/>
      <c r="I713" s="27"/>
      <c r="J713" s="247"/>
      <c r="K713" s="247"/>
      <c r="L713" s="247"/>
    </row>
    <row r="714" spans="1:12" s="20" customFormat="1" x14ac:dyDescent="0.25">
      <c r="A714" s="26"/>
      <c r="B714" s="21"/>
      <c r="C714" s="21"/>
      <c r="D714" s="22"/>
      <c r="F714" s="22"/>
      <c r="G714" s="27"/>
      <c r="H714" s="22"/>
      <c r="I714" s="27"/>
      <c r="J714" s="247"/>
      <c r="K714" s="247"/>
      <c r="L714" s="247"/>
    </row>
    <row r="715" spans="1:12" s="20" customFormat="1" x14ac:dyDescent="0.25">
      <c r="A715" s="26"/>
      <c r="B715" s="21"/>
      <c r="C715" s="21"/>
      <c r="D715" s="22"/>
      <c r="F715" s="22"/>
      <c r="G715" s="27"/>
      <c r="H715" s="22"/>
      <c r="I715" s="27"/>
      <c r="J715" s="247"/>
      <c r="K715" s="247"/>
      <c r="L715" s="247"/>
    </row>
    <row r="716" spans="1:12" s="20" customFormat="1" x14ac:dyDescent="0.25">
      <c r="A716" s="26"/>
      <c r="B716" s="21"/>
      <c r="C716" s="21"/>
      <c r="D716" s="22"/>
      <c r="F716" s="22"/>
      <c r="G716" s="27"/>
      <c r="H716" s="22"/>
      <c r="I716" s="27"/>
      <c r="J716" s="247"/>
      <c r="K716" s="247"/>
      <c r="L716" s="247"/>
    </row>
    <row r="717" spans="1:12" s="20" customFormat="1" x14ac:dyDescent="0.25">
      <c r="A717" s="26"/>
      <c r="B717" s="21"/>
      <c r="C717" s="21"/>
      <c r="D717" s="22"/>
      <c r="F717" s="22"/>
      <c r="G717" s="27"/>
      <c r="H717" s="22"/>
      <c r="I717" s="27"/>
      <c r="J717" s="247"/>
      <c r="K717" s="247"/>
      <c r="L717" s="247"/>
    </row>
    <row r="718" spans="1:12" s="20" customFormat="1" x14ac:dyDescent="0.25">
      <c r="A718" s="26"/>
      <c r="B718" s="21"/>
      <c r="C718" s="21"/>
      <c r="D718" s="22"/>
      <c r="F718" s="22"/>
      <c r="G718" s="27"/>
      <c r="H718" s="22"/>
      <c r="I718" s="27"/>
      <c r="J718" s="247"/>
      <c r="K718" s="247"/>
      <c r="L718" s="247"/>
    </row>
    <row r="719" spans="1:12" s="20" customFormat="1" x14ac:dyDescent="0.25">
      <c r="A719" s="26"/>
      <c r="B719" s="21"/>
      <c r="C719" s="21"/>
      <c r="D719" s="22"/>
      <c r="F719" s="22"/>
      <c r="G719" s="27"/>
      <c r="H719" s="22"/>
      <c r="I719" s="27"/>
      <c r="J719" s="247"/>
      <c r="K719" s="247"/>
      <c r="L719" s="247"/>
    </row>
    <row r="720" spans="1:12" s="20" customFormat="1" x14ac:dyDescent="0.25">
      <c r="A720" s="26"/>
      <c r="B720" s="21"/>
      <c r="C720" s="21"/>
      <c r="D720" s="22"/>
      <c r="F720" s="22"/>
      <c r="G720" s="27"/>
      <c r="H720" s="22"/>
      <c r="I720" s="27"/>
      <c r="J720" s="247"/>
      <c r="K720" s="247"/>
      <c r="L720" s="247"/>
    </row>
    <row r="721" spans="1:12" s="20" customFormat="1" x14ac:dyDescent="0.25">
      <c r="A721" s="26"/>
      <c r="B721" s="21"/>
      <c r="C721" s="21"/>
      <c r="D721" s="22"/>
      <c r="F721" s="22"/>
      <c r="G721" s="27"/>
      <c r="H721" s="22"/>
      <c r="I721" s="27"/>
      <c r="J721" s="247"/>
      <c r="K721" s="247"/>
      <c r="L721" s="247"/>
    </row>
    <row r="722" spans="1:12" s="20" customFormat="1" x14ac:dyDescent="0.25">
      <c r="A722" s="26"/>
      <c r="B722" s="21"/>
      <c r="C722" s="21"/>
      <c r="D722" s="22"/>
      <c r="F722" s="22"/>
      <c r="G722" s="27"/>
      <c r="H722" s="22"/>
      <c r="I722" s="27"/>
      <c r="J722" s="247"/>
      <c r="K722" s="247"/>
      <c r="L722" s="247"/>
    </row>
    <row r="723" spans="1:12" s="20" customFormat="1" x14ac:dyDescent="0.25">
      <c r="A723" s="26"/>
      <c r="B723" s="21"/>
      <c r="C723" s="21"/>
      <c r="D723" s="22"/>
      <c r="F723" s="22"/>
      <c r="G723" s="27"/>
      <c r="H723" s="22"/>
      <c r="I723" s="27"/>
      <c r="J723" s="247"/>
      <c r="K723" s="247"/>
      <c r="L723" s="247"/>
    </row>
    <row r="724" spans="1:12" s="20" customFormat="1" x14ac:dyDescent="0.25">
      <c r="A724" s="26"/>
      <c r="B724" s="21"/>
      <c r="C724" s="21"/>
      <c r="D724" s="22"/>
      <c r="F724" s="22"/>
      <c r="G724" s="27"/>
      <c r="H724" s="22"/>
      <c r="I724" s="27"/>
      <c r="J724" s="247"/>
      <c r="K724" s="247"/>
      <c r="L724" s="247"/>
    </row>
    <row r="725" spans="1:12" s="20" customFormat="1" x14ac:dyDescent="0.25">
      <c r="A725" s="26"/>
      <c r="B725" s="21"/>
      <c r="C725" s="21"/>
      <c r="D725" s="22"/>
      <c r="F725" s="22"/>
      <c r="G725" s="27"/>
      <c r="H725" s="22"/>
      <c r="I725" s="27"/>
      <c r="J725" s="247"/>
      <c r="K725" s="247"/>
      <c r="L725" s="247"/>
    </row>
    <row r="726" spans="1:12" s="20" customFormat="1" x14ac:dyDescent="0.25">
      <c r="A726" s="26"/>
      <c r="B726" s="21"/>
      <c r="C726" s="21"/>
      <c r="D726" s="22"/>
      <c r="F726" s="22"/>
      <c r="G726" s="27"/>
      <c r="H726" s="22"/>
      <c r="I726" s="27"/>
      <c r="J726" s="247"/>
      <c r="K726" s="247"/>
      <c r="L726" s="247"/>
    </row>
    <row r="727" spans="1:12" s="20" customFormat="1" x14ac:dyDescent="0.25">
      <c r="A727" s="26"/>
      <c r="B727" s="21"/>
      <c r="C727" s="21"/>
      <c r="D727" s="22"/>
      <c r="F727" s="22"/>
      <c r="G727" s="27"/>
      <c r="H727" s="22"/>
      <c r="I727" s="27"/>
      <c r="J727" s="247"/>
      <c r="K727" s="247"/>
      <c r="L727" s="247"/>
    </row>
    <row r="728" spans="1:12" s="20" customFormat="1" x14ac:dyDescent="0.25">
      <c r="A728" s="26"/>
      <c r="B728" s="21"/>
      <c r="C728" s="21"/>
      <c r="D728" s="22"/>
      <c r="F728" s="22"/>
      <c r="G728" s="27"/>
      <c r="H728" s="22"/>
      <c r="I728" s="27"/>
      <c r="J728" s="247"/>
      <c r="K728" s="247"/>
      <c r="L728" s="247"/>
    </row>
    <row r="729" spans="1:12" s="20" customFormat="1" x14ac:dyDescent="0.25">
      <c r="A729" s="26"/>
      <c r="B729" s="21"/>
      <c r="C729" s="21"/>
      <c r="D729" s="22"/>
      <c r="F729" s="22"/>
      <c r="G729" s="27"/>
      <c r="H729" s="22"/>
      <c r="I729" s="27"/>
      <c r="J729" s="247"/>
      <c r="K729" s="247"/>
      <c r="L729" s="247"/>
    </row>
    <row r="730" spans="1:12" s="20" customFormat="1" x14ac:dyDescent="0.25">
      <c r="A730" s="26"/>
      <c r="B730" s="21"/>
      <c r="C730" s="21"/>
      <c r="D730" s="22"/>
      <c r="F730" s="22"/>
      <c r="G730" s="27"/>
      <c r="H730" s="22"/>
      <c r="I730" s="27"/>
      <c r="J730" s="247"/>
      <c r="K730" s="247"/>
      <c r="L730" s="247"/>
    </row>
    <row r="731" spans="1:12" s="20" customFormat="1" x14ac:dyDescent="0.25">
      <c r="A731" s="26"/>
      <c r="B731" s="21"/>
      <c r="C731" s="21"/>
      <c r="D731" s="22"/>
      <c r="F731" s="22"/>
      <c r="G731" s="27"/>
      <c r="H731" s="22"/>
      <c r="I731" s="27"/>
      <c r="J731" s="247"/>
      <c r="K731" s="247"/>
      <c r="L731" s="247"/>
    </row>
    <row r="732" spans="1:12" s="20" customFormat="1" x14ac:dyDescent="0.25">
      <c r="A732" s="26"/>
      <c r="B732" s="21"/>
      <c r="C732" s="21"/>
      <c r="D732" s="22"/>
      <c r="F732" s="22"/>
      <c r="G732" s="27"/>
      <c r="H732" s="22"/>
      <c r="I732" s="27"/>
      <c r="J732" s="247"/>
      <c r="K732" s="247"/>
      <c r="L732" s="247"/>
    </row>
    <row r="733" spans="1:12" s="20" customFormat="1" x14ac:dyDescent="0.25">
      <c r="A733" s="26"/>
      <c r="B733" s="21"/>
      <c r="C733" s="21"/>
      <c r="D733" s="22"/>
      <c r="F733" s="22"/>
      <c r="G733" s="27"/>
      <c r="H733" s="22"/>
      <c r="I733" s="27"/>
      <c r="J733" s="247"/>
      <c r="K733" s="247"/>
      <c r="L733" s="247"/>
    </row>
    <row r="734" spans="1:12" s="20" customFormat="1" x14ac:dyDescent="0.25">
      <c r="A734" s="26"/>
      <c r="B734" s="21"/>
      <c r="C734" s="21"/>
      <c r="D734" s="22"/>
      <c r="F734" s="22"/>
      <c r="G734" s="27"/>
      <c r="H734" s="22"/>
      <c r="I734" s="27"/>
      <c r="J734" s="247"/>
      <c r="K734" s="247"/>
      <c r="L734" s="247"/>
    </row>
    <row r="735" spans="1:12" s="20" customFormat="1" x14ac:dyDescent="0.25">
      <c r="A735" s="26"/>
      <c r="B735" s="21"/>
      <c r="C735" s="21"/>
      <c r="D735" s="22"/>
      <c r="F735" s="22"/>
      <c r="G735" s="27"/>
      <c r="H735" s="22"/>
      <c r="I735" s="27"/>
      <c r="J735" s="247"/>
      <c r="K735" s="247"/>
      <c r="L735" s="247"/>
    </row>
    <row r="736" spans="1:12" s="20" customFormat="1" x14ac:dyDescent="0.25">
      <c r="A736" s="26"/>
      <c r="B736" s="21"/>
      <c r="C736" s="21"/>
      <c r="D736" s="22"/>
      <c r="F736" s="22"/>
      <c r="G736" s="27"/>
      <c r="H736" s="22"/>
      <c r="I736" s="27"/>
      <c r="J736" s="247"/>
      <c r="K736" s="247"/>
      <c r="L736" s="247"/>
    </row>
    <row r="737" spans="1:12" s="20" customFormat="1" x14ac:dyDescent="0.25">
      <c r="A737" s="26"/>
      <c r="B737" s="21"/>
      <c r="C737" s="21"/>
      <c r="D737" s="22"/>
      <c r="F737" s="22"/>
      <c r="G737" s="27"/>
      <c r="H737" s="22"/>
      <c r="I737" s="27"/>
      <c r="J737" s="247"/>
      <c r="K737" s="247"/>
      <c r="L737" s="247"/>
    </row>
    <row r="738" spans="1:12" s="20" customFormat="1" x14ac:dyDescent="0.25">
      <c r="A738" s="26"/>
      <c r="B738" s="21"/>
      <c r="C738" s="21"/>
      <c r="D738" s="22"/>
      <c r="F738" s="22"/>
      <c r="G738" s="27"/>
      <c r="H738" s="22"/>
      <c r="I738" s="27"/>
      <c r="J738" s="247"/>
      <c r="K738" s="247"/>
      <c r="L738" s="247"/>
    </row>
    <row r="739" spans="1:12" s="20" customFormat="1" x14ac:dyDescent="0.25">
      <c r="A739" s="26"/>
      <c r="B739" s="21"/>
      <c r="C739" s="21"/>
      <c r="D739" s="22"/>
      <c r="F739" s="22"/>
      <c r="G739" s="27"/>
      <c r="H739" s="22"/>
      <c r="I739" s="27"/>
      <c r="J739" s="247"/>
      <c r="K739" s="247"/>
      <c r="L739" s="247"/>
    </row>
    <row r="740" spans="1:12" s="20" customFormat="1" x14ac:dyDescent="0.25">
      <c r="A740" s="26"/>
      <c r="B740" s="21"/>
      <c r="C740" s="21"/>
      <c r="D740" s="22"/>
      <c r="F740" s="22"/>
      <c r="G740" s="27"/>
      <c r="H740" s="22"/>
      <c r="I740" s="27"/>
      <c r="J740" s="247"/>
      <c r="K740" s="247"/>
      <c r="L740" s="247"/>
    </row>
    <row r="741" spans="1:12" s="20" customFormat="1" x14ac:dyDescent="0.25">
      <c r="A741" s="26"/>
      <c r="B741" s="21"/>
      <c r="C741" s="21"/>
      <c r="D741" s="22"/>
      <c r="F741" s="22"/>
      <c r="G741" s="27"/>
      <c r="H741" s="22"/>
      <c r="I741" s="27"/>
      <c r="J741" s="247"/>
      <c r="K741" s="247"/>
      <c r="L741" s="247"/>
    </row>
    <row r="742" spans="1:12" s="20" customFormat="1" x14ac:dyDescent="0.25">
      <c r="A742" s="26"/>
      <c r="B742" s="21"/>
      <c r="C742" s="21"/>
      <c r="D742" s="22"/>
      <c r="F742" s="22"/>
      <c r="G742" s="27"/>
      <c r="H742" s="22"/>
      <c r="I742" s="27"/>
      <c r="J742" s="247"/>
      <c r="K742" s="247"/>
      <c r="L742" s="247"/>
    </row>
    <row r="743" spans="1:12" s="20" customFormat="1" x14ac:dyDescent="0.25">
      <c r="A743" s="26"/>
      <c r="B743" s="21"/>
      <c r="C743" s="21"/>
      <c r="D743" s="22"/>
      <c r="F743" s="22"/>
      <c r="G743" s="27"/>
      <c r="H743" s="22"/>
      <c r="I743" s="27"/>
      <c r="J743" s="247"/>
      <c r="K743" s="247"/>
      <c r="L743" s="247"/>
    </row>
    <row r="744" spans="1:12" s="20" customFormat="1" x14ac:dyDescent="0.25">
      <c r="A744" s="26"/>
      <c r="B744" s="21"/>
      <c r="C744" s="21"/>
      <c r="D744" s="22"/>
      <c r="F744" s="22"/>
      <c r="G744" s="27"/>
      <c r="H744" s="22"/>
      <c r="I744" s="27"/>
      <c r="J744" s="247"/>
      <c r="K744" s="247"/>
      <c r="L744" s="247"/>
    </row>
    <row r="745" spans="1:12" s="20" customFormat="1" x14ac:dyDescent="0.25">
      <c r="A745" s="26"/>
      <c r="B745" s="21"/>
      <c r="C745" s="21"/>
      <c r="D745" s="22"/>
      <c r="F745" s="22"/>
      <c r="G745" s="27"/>
      <c r="H745" s="22"/>
      <c r="I745" s="27"/>
      <c r="J745" s="247"/>
      <c r="K745" s="247"/>
      <c r="L745" s="247"/>
    </row>
    <row r="746" spans="1:12" s="20" customFormat="1" x14ac:dyDescent="0.25">
      <c r="A746" s="26"/>
      <c r="B746" s="21"/>
      <c r="C746" s="21"/>
      <c r="D746" s="22"/>
      <c r="F746" s="22"/>
      <c r="G746" s="27"/>
      <c r="H746" s="22"/>
      <c r="I746" s="27"/>
      <c r="J746" s="247"/>
      <c r="K746" s="247"/>
      <c r="L746" s="247"/>
    </row>
    <row r="747" spans="1:12" s="20" customFormat="1" x14ac:dyDescent="0.25">
      <c r="A747" s="26"/>
      <c r="B747" s="21"/>
      <c r="C747" s="21"/>
      <c r="D747" s="22"/>
      <c r="F747" s="22"/>
      <c r="G747" s="27"/>
      <c r="H747" s="22"/>
      <c r="I747" s="27"/>
      <c r="J747" s="247"/>
      <c r="K747" s="247"/>
      <c r="L747" s="247"/>
    </row>
    <row r="748" spans="1:12" s="20" customFormat="1" x14ac:dyDescent="0.25">
      <c r="A748" s="26"/>
      <c r="B748" s="21"/>
      <c r="C748" s="21"/>
      <c r="D748" s="22"/>
      <c r="F748" s="22"/>
      <c r="G748" s="27"/>
      <c r="H748" s="22"/>
      <c r="I748" s="27"/>
      <c r="J748" s="247"/>
      <c r="K748" s="247"/>
      <c r="L748" s="247"/>
    </row>
    <row r="749" spans="1:12" s="20" customFormat="1" x14ac:dyDescent="0.25">
      <c r="A749" s="26"/>
      <c r="B749" s="21"/>
      <c r="C749" s="21"/>
      <c r="D749" s="22"/>
      <c r="F749" s="22"/>
      <c r="G749" s="27"/>
      <c r="H749" s="22"/>
      <c r="I749" s="27"/>
      <c r="J749" s="247"/>
      <c r="K749" s="247"/>
      <c r="L749" s="247"/>
    </row>
    <row r="750" spans="1:12" s="20" customFormat="1" x14ac:dyDescent="0.25">
      <c r="A750" s="26"/>
      <c r="B750" s="21"/>
      <c r="C750" s="21"/>
      <c r="D750" s="22"/>
      <c r="F750" s="22"/>
      <c r="G750" s="27"/>
      <c r="H750" s="22"/>
      <c r="I750" s="27"/>
      <c r="J750" s="247"/>
      <c r="K750" s="247"/>
      <c r="L750" s="247"/>
    </row>
    <row r="751" spans="1:12" s="20" customFormat="1" x14ac:dyDescent="0.25">
      <c r="A751" s="26"/>
      <c r="B751" s="21"/>
      <c r="C751" s="21"/>
      <c r="D751" s="22"/>
      <c r="F751" s="22"/>
      <c r="G751" s="27"/>
      <c r="H751" s="22"/>
      <c r="I751" s="27"/>
      <c r="J751" s="247"/>
      <c r="K751" s="247"/>
      <c r="L751" s="247"/>
    </row>
    <row r="752" spans="1:12" s="20" customFormat="1" x14ac:dyDescent="0.25">
      <c r="A752" s="26"/>
      <c r="B752" s="21"/>
      <c r="C752" s="21"/>
      <c r="D752" s="22"/>
      <c r="F752" s="22"/>
      <c r="G752" s="27"/>
      <c r="H752" s="22"/>
      <c r="I752" s="27"/>
      <c r="J752" s="247"/>
      <c r="K752" s="247"/>
      <c r="L752" s="247"/>
    </row>
    <row r="753" spans="1:12" s="20" customFormat="1" x14ac:dyDescent="0.25">
      <c r="A753" s="26"/>
      <c r="B753" s="21"/>
      <c r="C753" s="21"/>
      <c r="D753" s="22"/>
      <c r="F753" s="22"/>
      <c r="G753" s="27"/>
      <c r="H753" s="22"/>
      <c r="I753" s="27"/>
      <c r="J753" s="247"/>
      <c r="K753" s="247"/>
      <c r="L753" s="247"/>
    </row>
    <row r="754" spans="1:12" s="20" customFormat="1" x14ac:dyDescent="0.25">
      <c r="A754" s="26"/>
      <c r="B754" s="21"/>
      <c r="C754" s="21"/>
      <c r="D754" s="22"/>
      <c r="F754" s="22"/>
      <c r="G754" s="27"/>
      <c r="H754" s="22"/>
      <c r="I754" s="27"/>
      <c r="J754" s="247"/>
      <c r="K754" s="247"/>
      <c r="L754" s="247"/>
    </row>
    <row r="755" spans="1:12" s="20" customFormat="1" x14ac:dyDescent="0.25">
      <c r="A755" s="26"/>
      <c r="B755" s="21"/>
      <c r="C755" s="21"/>
      <c r="D755" s="22"/>
      <c r="F755" s="22"/>
      <c r="G755" s="27"/>
      <c r="H755" s="22"/>
      <c r="I755" s="27"/>
      <c r="J755" s="247"/>
      <c r="K755" s="247"/>
      <c r="L755" s="247"/>
    </row>
    <row r="756" spans="1:12" s="20" customFormat="1" x14ac:dyDescent="0.25">
      <c r="A756" s="26"/>
      <c r="B756" s="21"/>
      <c r="C756" s="21"/>
      <c r="D756" s="22"/>
      <c r="F756" s="22"/>
      <c r="G756" s="27"/>
      <c r="H756" s="22"/>
      <c r="I756" s="27"/>
      <c r="J756" s="247"/>
      <c r="K756" s="247"/>
      <c r="L756" s="247"/>
    </row>
    <row r="757" spans="1:12" s="20" customFormat="1" x14ac:dyDescent="0.25">
      <c r="A757" s="26"/>
      <c r="B757" s="21"/>
      <c r="C757" s="21"/>
      <c r="D757" s="22"/>
      <c r="F757" s="22"/>
      <c r="G757" s="27"/>
      <c r="H757" s="22"/>
      <c r="I757" s="27"/>
      <c r="J757" s="247"/>
      <c r="K757" s="247"/>
      <c r="L757" s="247"/>
    </row>
    <row r="758" spans="1:12" s="20" customFormat="1" x14ac:dyDescent="0.25">
      <c r="A758" s="26"/>
      <c r="B758" s="21"/>
      <c r="C758" s="21"/>
      <c r="D758" s="22"/>
      <c r="F758" s="22"/>
      <c r="G758" s="27"/>
      <c r="H758" s="22"/>
      <c r="I758" s="27"/>
      <c r="J758" s="247"/>
      <c r="K758" s="247"/>
      <c r="L758" s="247"/>
    </row>
    <row r="759" spans="1:12" s="20" customFormat="1" x14ac:dyDescent="0.25">
      <c r="A759" s="26"/>
      <c r="B759" s="21"/>
      <c r="C759" s="21"/>
      <c r="D759" s="22"/>
      <c r="F759" s="22"/>
      <c r="G759" s="27"/>
      <c r="H759" s="22"/>
      <c r="I759" s="27"/>
      <c r="J759" s="247"/>
      <c r="K759" s="247"/>
      <c r="L759" s="247"/>
    </row>
    <row r="760" spans="1:12" s="20" customFormat="1" x14ac:dyDescent="0.25">
      <c r="A760" s="26"/>
      <c r="B760" s="21"/>
      <c r="C760" s="21"/>
      <c r="D760" s="22"/>
      <c r="F760" s="22"/>
      <c r="G760" s="27"/>
      <c r="H760" s="22"/>
      <c r="I760" s="27"/>
      <c r="J760" s="247"/>
      <c r="K760" s="247"/>
      <c r="L760" s="247"/>
    </row>
    <row r="761" spans="1:12" s="20" customFormat="1" x14ac:dyDescent="0.25">
      <c r="A761" s="26"/>
      <c r="B761" s="21"/>
      <c r="C761" s="21"/>
      <c r="D761" s="22"/>
      <c r="F761" s="22"/>
      <c r="G761" s="27"/>
      <c r="H761" s="22"/>
      <c r="I761" s="27"/>
      <c r="J761" s="247"/>
      <c r="K761" s="247"/>
      <c r="L761" s="247"/>
    </row>
    <row r="762" spans="1:12" s="20" customFormat="1" x14ac:dyDescent="0.25">
      <c r="A762" s="26"/>
      <c r="B762" s="21"/>
      <c r="C762" s="21"/>
      <c r="D762" s="22"/>
      <c r="F762" s="22"/>
      <c r="G762" s="27"/>
      <c r="H762" s="22"/>
      <c r="I762" s="27"/>
      <c r="J762" s="247"/>
      <c r="K762" s="247"/>
      <c r="L762" s="247"/>
    </row>
    <row r="763" spans="1:12" s="20" customFormat="1" x14ac:dyDescent="0.25">
      <c r="A763" s="26"/>
      <c r="B763" s="21"/>
      <c r="C763" s="21"/>
      <c r="D763" s="22"/>
      <c r="F763" s="22"/>
      <c r="G763" s="27"/>
      <c r="H763" s="22"/>
      <c r="I763" s="27"/>
      <c r="J763" s="247"/>
      <c r="K763" s="247"/>
      <c r="L763" s="247"/>
    </row>
    <row r="764" spans="1:12" s="20" customFormat="1" x14ac:dyDescent="0.25">
      <c r="A764" s="26"/>
      <c r="B764" s="21"/>
      <c r="C764" s="21"/>
      <c r="D764" s="22"/>
      <c r="F764" s="22"/>
      <c r="G764" s="27"/>
      <c r="H764" s="22"/>
      <c r="I764" s="27"/>
      <c r="J764" s="247"/>
      <c r="K764" s="247"/>
      <c r="L764" s="247"/>
    </row>
    <row r="765" spans="1:12" s="20" customFormat="1" x14ac:dyDescent="0.25">
      <c r="A765" s="26"/>
      <c r="B765" s="21"/>
      <c r="C765" s="21"/>
      <c r="D765" s="22"/>
      <c r="F765" s="22"/>
      <c r="G765" s="27"/>
      <c r="H765" s="22"/>
      <c r="I765" s="27"/>
      <c r="J765" s="247"/>
      <c r="K765" s="247"/>
      <c r="L765" s="247"/>
    </row>
    <row r="766" spans="1:12" s="20" customFormat="1" x14ac:dyDescent="0.25">
      <c r="A766" s="26"/>
      <c r="B766" s="21"/>
      <c r="C766" s="21"/>
      <c r="D766" s="22"/>
      <c r="F766" s="22"/>
      <c r="G766" s="27"/>
      <c r="H766" s="22"/>
      <c r="I766" s="27"/>
      <c r="J766" s="247"/>
      <c r="K766" s="247"/>
      <c r="L766" s="247"/>
    </row>
    <row r="767" spans="1:12" s="20" customFormat="1" x14ac:dyDescent="0.25">
      <c r="A767" s="26"/>
      <c r="B767" s="21"/>
      <c r="C767" s="21"/>
      <c r="D767" s="22"/>
      <c r="F767" s="22"/>
      <c r="G767" s="27"/>
      <c r="H767" s="22"/>
      <c r="I767" s="27"/>
      <c r="J767" s="247"/>
      <c r="K767" s="247"/>
      <c r="L767" s="247"/>
    </row>
    <row r="768" spans="1:12" s="20" customFormat="1" x14ac:dyDescent="0.25">
      <c r="A768" s="26"/>
      <c r="B768" s="21"/>
      <c r="C768" s="21"/>
      <c r="D768" s="22"/>
      <c r="F768" s="22"/>
      <c r="G768" s="27"/>
      <c r="H768" s="22"/>
      <c r="I768" s="27"/>
      <c r="J768" s="247"/>
      <c r="K768" s="247"/>
      <c r="L768" s="247"/>
    </row>
    <row r="769" spans="1:12" s="20" customFormat="1" x14ac:dyDescent="0.25">
      <c r="A769" s="26"/>
      <c r="B769" s="21"/>
      <c r="C769" s="21"/>
      <c r="D769" s="22"/>
      <c r="F769" s="22"/>
      <c r="G769" s="27"/>
      <c r="H769" s="22"/>
      <c r="I769" s="27"/>
      <c r="J769" s="247"/>
      <c r="K769" s="247"/>
      <c r="L769" s="247"/>
    </row>
    <row r="770" spans="1:12" s="20" customFormat="1" x14ac:dyDescent="0.25">
      <c r="A770" s="26"/>
      <c r="B770" s="21"/>
      <c r="C770" s="21"/>
      <c r="D770" s="22"/>
      <c r="F770" s="22"/>
      <c r="G770" s="27"/>
      <c r="H770" s="22"/>
      <c r="I770" s="27"/>
      <c r="J770" s="247"/>
      <c r="K770" s="247"/>
      <c r="L770" s="247"/>
    </row>
    <row r="771" spans="1:12" s="20" customFormat="1" x14ac:dyDescent="0.25">
      <c r="A771" s="26"/>
      <c r="B771" s="21"/>
      <c r="C771" s="21"/>
      <c r="D771" s="22"/>
      <c r="F771" s="22"/>
      <c r="G771" s="27"/>
      <c r="H771" s="22"/>
      <c r="I771" s="27"/>
      <c r="J771" s="247"/>
      <c r="K771" s="247"/>
      <c r="L771" s="247"/>
    </row>
    <row r="772" spans="1:12" s="20" customFormat="1" x14ac:dyDescent="0.25">
      <c r="A772" s="26"/>
      <c r="B772" s="21"/>
      <c r="C772" s="21"/>
      <c r="D772" s="22"/>
      <c r="F772" s="22"/>
      <c r="G772" s="27"/>
      <c r="H772" s="22"/>
      <c r="I772" s="27"/>
      <c r="J772" s="247"/>
      <c r="K772" s="247"/>
      <c r="L772" s="247"/>
    </row>
    <row r="773" spans="1:12" s="20" customFormat="1" x14ac:dyDescent="0.25">
      <c r="A773" s="26"/>
      <c r="B773" s="21"/>
      <c r="C773" s="21"/>
      <c r="D773" s="22"/>
      <c r="F773" s="22"/>
      <c r="G773" s="27"/>
      <c r="H773" s="22"/>
      <c r="I773" s="27"/>
      <c r="J773" s="247"/>
      <c r="K773" s="247"/>
      <c r="L773" s="247"/>
    </row>
    <row r="774" spans="1:12" s="20" customFormat="1" x14ac:dyDescent="0.25">
      <c r="A774" s="26"/>
      <c r="B774" s="21"/>
      <c r="C774" s="21"/>
      <c r="D774" s="22"/>
      <c r="F774" s="22"/>
      <c r="G774" s="27"/>
      <c r="H774" s="22"/>
      <c r="I774" s="27"/>
      <c r="J774" s="247"/>
      <c r="K774" s="247"/>
      <c r="L774" s="247"/>
    </row>
    <row r="775" spans="1:12" s="20" customFormat="1" x14ac:dyDescent="0.25">
      <c r="A775" s="26"/>
      <c r="B775" s="21"/>
      <c r="C775" s="21"/>
      <c r="D775" s="22"/>
      <c r="F775" s="22"/>
      <c r="G775" s="27"/>
      <c r="H775" s="22"/>
      <c r="I775" s="27"/>
      <c r="J775" s="247"/>
      <c r="K775" s="247"/>
      <c r="L775" s="247"/>
    </row>
    <row r="776" spans="1:12" s="20" customFormat="1" x14ac:dyDescent="0.25">
      <c r="A776" s="26"/>
      <c r="B776" s="21"/>
      <c r="C776" s="21"/>
      <c r="D776" s="22"/>
      <c r="F776" s="22"/>
      <c r="G776" s="27"/>
      <c r="H776" s="22"/>
      <c r="I776" s="27"/>
      <c r="J776" s="247"/>
      <c r="K776" s="247"/>
      <c r="L776" s="247"/>
    </row>
    <row r="777" spans="1:12" s="20" customFormat="1" x14ac:dyDescent="0.25">
      <c r="A777" s="26"/>
      <c r="B777" s="21"/>
      <c r="C777" s="21"/>
      <c r="D777" s="22"/>
      <c r="F777" s="22"/>
      <c r="G777" s="27"/>
      <c r="H777" s="22"/>
      <c r="I777" s="27"/>
      <c r="J777" s="247"/>
      <c r="K777" s="247"/>
      <c r="L777" s="247"/>
    </row>
  </sheetData>
  <mergeCells count="2">
    <mergeCell ref="A9:C9"/>
    <mergeCell ref="A38:C38"/>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578DB9-65A5-4687-9F3E-F63F9621548C}">
  <sheetPr>
    <tabColor rgb="FFFFFF00"/>
  </sheetPr>
  <dimension ref="A1:O777"/>
  <sheetViews>
    <sheetView zoomScale="90" zoomScaleNormal="90" workbookViewId="0">
      <pane xSplit="3" topLeftCell="D1" activePane="topRight" state="frozen"/>
      <selection pane="topRight" activeCell="C3" sqref="C3"/>
    </sheetView>
  </sheetViews>
  <sheetFormatPr defaultColWidth="9.140625" defaultRowHeight="15" x14ac:dyDescent="0.25"/>
  <cols>
    <col min="1" max="1" width="20.5703125" style="31" customWidth="1"/>
    <col min="2" max="2" width="29" style="32" customWidth="1"/>
    <col min="3" max="3" width="52.28515625" style="32" bestFit="1" customWidth="1"/>
    <col min="4" max="4" width="7.5703125" style="2" customWidth="1"/>
    <col min="5" max="5" width="19.140625" style="7" customWidth="1"/>
    <col min="6" max="6" width="1.5703125" style="2" customWidth="1"/>
    <col min="7" max="7" width="18.7109375" style="34" customWidth="1"/>
    <col min="8" max="8" width="1.42578125" style="2" customWidth="1"/>
    <col min="9" max="9" width="19.140625" style="34" customWidth="1"/>
    <col min="10" max="10" width="1.5703125" style="247" customWidth="1"/>
    <col min="11" max="11" width="19.5703125" style="247" customWidth="1"/>
    <col min="12" max="12" width="1.28515625" style="247" customWidth="1"/>
    <col min="13" max="13" width="22.7109375" style="7" customWidth="1"/>
    <col min="14" max="14" width="18.28515625" style="35" customWidth="1"/>
    <col min="15" max="15" width="15.7109375" style="7" customWidth="1"/>
    <col min="16" max="16384" width="9.140625" style="7"/>
  </cols>
  <sheetData>
    <row r="1" spans="1:14" ht="15.75" thickBot="1" x14ac:dyDescent="0.3">
      <c r="B1" s="71" t="s">
        <v>460</v>
      </c>
      <c r="C1" s="390" t="str">
        <f>'SUB CPIF RATES (ALL)'!C1</f>
        <v xml:space="preserve">NAME </v>
      </c>
      <c r="N1" s="20"/>
    </row>
    <row r="2" spans="1:14" ht="15.75" thickBot="1" x14ac:dyDescent="0.3">
      <c r="B2" s="71" t="s">
        <v>459</v>
      </c>
      <c r="C2" s="390" t="str">
        <f>'SUB CPIF RATES (ALL)'!C2</f>
        <v xml:space="preserve">NAME </v>
      </c>
      <c r="N2" s="20"/>
    </row>
    <row r="3" spans="1:14" x14ac:dyDescent="0.25">
      <c r="A3" s="71"/>
      <c r="B3" s="211"/>
      <c r="C3" s="211"/>
      <c r="N3" s="20"/>
    </row>
    <row r="4" spans="1:14" x14ac:dyDescent="0.25">
      <c r="A4" s="71"/>
      <c r="B4" s="44" t="s">
        <v>291</v>
      </c>
      <c r="C4" s="211"/>
      <c r="N4" s="20"/>
    </row>
    <row r="5" spans="1:14" s="334" customFormat="1" x14ac:dyDescent="0.25">
      <c r="A5" s="330"/>
      <c r="B5" s="308" t="s">
        <v>438</v>
      </c>
      <c r="C5" s="332"/>
      <c r="D5" s="333"/>
      <c r="F5" s="333"/>
      <c r="G5" s="335"/>
      <c r="H5" s="333"/>
      <c r="I5" s="335"/>
      <c r="J5" s="249"/>
      <c r="K5" s="249"/>
      <c r="L5" s="249"/>
      <c r="N5" s="25"/>
    </row>
    <row r="6" spans="1:14" s="334" customFormat="1" x14ac:dyDescent="0.25">
      <c r="A6" s="330"/>
      <c r="B6" s="308" t="s">
        <v>324</v>
      </c>
      <c r="C6" s="332"/>
      <c r="D6" s="333"/>
      <c r="F6" s="333"/>
      <c r="G6" s="335"/>
      <c r="H6" s="333"/>
      <c r="I6" s="335"/>
      <c r="J6" s="249"/>
      <c r="K6" s="249"/>
      <c r="L6" s="249"/>
      <c r="N6" s="25"/>
    </row>
    <row r="7" spans="1:14" s="334" customFormat="1" x14ac:dyDescent="0.25">
      <c r="A7" s="336"/>
      <c r="B7" s="308" t="s">
        <v>439</v>
      </c>
      <c r="C7" s="337"/>
      <c r="D7" s="333"/>
      <c r="F7" s="333"/>
      <c r="G7" s="335"/>
      <c r="H7" s="333"/>
      <c r="I7" s="335"/>
      <c r="J7" s="249"/>
      <c r="K7" s="249"/>
      <c r="L7" s="249"/>
      <c r="N7" s="25"/>
    </row>
    <row r="8" spans="1:14" ht="15.75" thickBot="1" x14ac:dyDescent="0.3">
      <c r="B8" s="44"/>
      <c r="N8" s="20"/>
    </row>
    <row r="9" spans="1:14" ht="48" customHeight="1" thickBot="1" x14ac:dyDescent="0.3">
      <c r="A9" s="466" t="s">
        <v>225</v>
      </c>
      <c r="B9" s="467"/>
      <c r="C9" s="468"/>
      <c r="D9" s="5"/>
      <c r="E9" s="270" t="s">
        <v>226</v>
      </c>
      <c r="F9" s="5"/>
      <c r="G9" s="270" t="s">
        <v>227</v>
      </c>
      <c r="H9" s="5"/>
      <c r="I9" s="270" t="s">
        <v>228</v>
      </c>
      <c r="J9" s="4"/>
      <c r="K9" s="270" t="s">
        <v>229</v>
      </c>
      <c r="L9" s="4"/>
      <c r="M9" s="5"/>
      <c r="N9" s="6"/>
    </row>
    <row r="10" spans="1:14" ht="45.75" thickBot="1" x14ac:dyDescent="0.3">
      <c r="A10" s="40" t="s">
        <v>307</v>
      </c>
      <c r="B10" s="40" t="s">
        <v>1</v>
      </c>
      <c r="C10" s="41"/>
      <c r="D10" s="51" t="s">
        <v>1</v>
      </c>
      <c r="E10" s="252" t="s">
        <v>236</v>
      </c>
      <c r="F10" s="258"/>
      <c r="G10" s="252" t="s">
        <v>236</v>
      </c>
      <c r="H10" s="258"/>
      <c r="I10" s="252" t="s">
        <v>236</v>
      </c>
      <c r="J10" s="4"/>
      <c r="K10" s="252" t="s">
        <v>236</v>
      </c>
      <c r="L10" s="4"/>
      <c r="M10" s="285" t="s">
        <v>235</v>
      </c>
      <c r="N10" s="7"/>
    </row>
    <row r="11" spans="1:14" ht="16.5" thickBot="1" x14ac:dyDescent="0.3">
      <c r="A11" s="65" t="s">
        <v>45</v>
      </c>
      <c r="B11" s="64" t="s">
        <v>15</v>
      </c>
      <c r="C11" s="64"/>
      <c r="D11" s="52"/>
      <c r="E11" s="252"/>
      <c r="F11" s="258"/>
      <c r="G11" s="252"/>
      <c r="H11" s="258"/>
      <c r="I11" s="57"/>
      <c r="J11" s="4"/>
      <c r="K11" s="57"/>
      <c r="L11" s="4"/>
      <c r="M11" s="281"/>
      <c r="N11" s="7"/>
    </row>
    <row r="12" spans="1:14" x14ac:dyDescent="0.25">
      <c r="A12" s="67">
        <v>1.01</v>
      </c>
      <c r="B12" s="11"/>
      <c r="C12" s="70" t="s">
        <v>30</v>
      </c>
      <c r="D12" s="250" t="s">
        <v>25</v>
      </c>
      <c r="E12" s="272"/>
      <c r="F12" s="259"/>
      <c r="G12" s="272"/>
      <c r="H12" s="259"/>
      <c r="I12" s="272"/>
      <c r="J12" s="4"/>
      <c r="K12" s="272"/>
      <c r="L12" s="4"/>
      <c r="M12" s="282">
        <f t="shared" ref="M12:M23" si="0">E12+G12+I12+K12</f>
        <v>0</v>
      </c>
      <c r="N12" s="7"/>
    </row>
    <row r="13" spans="1:14" x14ac:dyDescent="0.25">
      <c r="A13" s="66">
        <v>1.02</v>
      </c>
      <c r="B13" s="64"/>
      <c r="C13" s="70" t="s">
        <v>31</v>
      </c>
      <c r="D13" s="251" t="s">
        <v>25</v>
      </c>
      <c r="E13" s="272"/>
      <c r="F13" s="259"/>
      <c r="G13" s="272"/>
      <c r="H13" s="259"/>
      <c r="I13" s="272"/>
      <c r="J13" s="4"/>
      <c r="K13" s="272"/>
      <c r="L13" s="4"/>
      <c r="M13" s="283">
        <f t="shared" si="0"/>
        <v>0</v>
      </c>
      <c r="N13" s="7"/>
    </row>
    <row r="14" spans="1:14" x14ac:dyDescent="0.25">
      <c r="A14" s="68">
        <v>1.03</v>
      </c>
      <c r="B14" s="38"/>
      <c r="C14" s="70" t="s">
        <v>32</v>
      </c>
      <c r="D14" s="245" t="s">
        <v>25</v>
      </c>
      <c r="E14" s="272"/>
      <c r="F14" s="259"/>
      <c r="G14" s="272"/>
      <c r="H14" s="259"/>
      <c r="I14" s="272"/>
      <c r="J14" s="4"/>
      <c r="K14" s="272"/>
      <c r="L14" s="4"/>
      <c r="M14" s="283">
        <f t="shared" si="0"/>
        <v>0</v>
      </c>
      <c r="N14" s="7"/>
    </row>
    <row r="15" spans="1:14" x14ac:dyDescent="0.25">
      <c r="A15" s="67">
        <v>1.04</v>
      </c>
      <c r="B15" s="11"/>
      <c r="C15" s="70" t="s">
        <v>33</v>
      </c>
      <c r="D15" s="245" t="s">
        <v>25</v>
      </c>
      <c r="E15" s="272"/>
      <c r="F15" s="259"/>
      <c r="G15" s="272"/>
      <c r="H15" s="259"/>
      <c r="I15" s="272"/>
      <c r="J15" s="4"/>
      <c r="K15" s="272"/>
      <c r="L15" s="4"/>
      <c r="M15" s="283">
        <f t="shared" si="0"/>
        <v>0</v>
      </c>
      <c r="N15" s="7"/>
    </row>
    <row r="16" spans="1:14" x14ac:dyDescent="0.25">
      <c r="A16" s="67">
        <v>1.05</v>
      </c>
      <c r="B16" s="11"/>
      <c r="C16" s="70" t="s">
        <v>34</v>
      </c>
      <c r="D16" s="245" t="s">
        <v>25</v>
      </c>
      <c r="E16" s="272"/>
      <c r="F16" s="259"/>
      <c r="G16" s="272"/>
      <c r="H16" s="259"/>
      <c r="I16" s="272"/>
      <c r="J16" s="4"/>
      <c r="K16" s="272"/>
      <c r="L16" s="4"/>
      <c r="M16" s="283">
        <f t="shared" si="0"/>
        <v>0</v>
      </c>
      <c r="N16" s="7"/>
    </row>
    <row r="17" spans="1:14" x14ac:dyDescent="0.25">
      <c r="A17" s="67">
        <v>1.06</v>
      </c>
      <c r="B17" s="11"/>
      <c r="C17" s="70" t="s">
        <v>35</v>
      </c>
      <c r="D17" s="245" t="s">
        <v>25</v>
      </c>
      <c r="E17" s="272"/>
      <c r="F17" s="260"/>
      <c r="G17" s="272"/>
      <c r="H17" s="260"/>
      <c r="I17" s="272"/>
      <c r="J17" s="4"/>
      <c r="K17" s="272"/>
      <c r="L17" s="4"/>
      <c r="M17" s="283">
        <f t="shared" si="0"/>
        <v>0</v>
      </c>
      <c r="N17" s="7"/>
    </row>
    <row r="18" spans="1:14" x14ac:dyDescent="0.25">
      <c r="A18" s="67">
        <v>1.07</v>
      </c>
      <c r="B18" s="11"/>
      <c r="C18" s="70" t="s">
        <v>36</v>
      </c>
      <c r="D18" s="245" t="s">
        <v>25</v>
      </c>
      <c r="E18" s="272"/>
      <c r="F18" s="260"/>
      <c r="G18" s="272"/>
      <c r="H18" s="260"/>
      <c r="I18" s="272"/>
      <c r="J18" s="4"/>
      <c r="K18" s="272"/>
      <c r="L18" s="4"/>
      <c r="M18" s="283">
        <f t="shared" si="0"/>
        <v>0</v>
      </c>
      <c r="N18" s="7"/>
    </row>
    <row r="19" spans="1:14" x14ac:dyDescent="0.25">
      <c r="A19" s="67">
        <v>1.08</v>
      </c>
      <c r="B19" s="11"/>
      <c r="C19" s="70" t="s">
        <v>37</v>
      </c>
      <c r="D19" s="245" t="s">
        <v>25</v>
      </c>
      <c r="E19" s="272"/>
      <c r="F19" s="260"/>
      <c r="G19" s="272"/>
      <c r="H19" s="260"/>
      <c r="I19" s="272"/>
      <c r="J19" s="4"/>
      <c r="K19" s="272"/>
      <c r="L19" s="4"/>
      <c r="M19" s="283">
        <f t="shared" si="0"/>
        <v>0</v>
      </c>
      <c r="N19" s="7"/>
    </row>
    <row r="20" spans="1:14" x14ac:dyDescent="0.25">
      <c r="A20" s="67">
        <v>1.0900000000000001</v>
      </c>
      <c r="B20" s="11"/>
      <c r="C20" s="70" t="s">
        <v>38</v>
      </c>
      <c r="D20" s="245" t="s">
        <v>25</v>
      </c>
      <c r="E20" s="272"/>
      <c r="F20" s="260"/>
      <c r="G20" s="272"/>
      <c r="H20" s="260"/>
      <c r="I20" s="272"/>
      <c r="J20" s="4"/>
      <c r="K20" s="272"/>
      <c r="L20" s="4"/>
      <c r="M20" s="283">
        <f t="shared" si="0"/>
        <v>0</v>
      </c>
      <c r="N20" s="7"/>
    </row>
    <row r="21" spans="1:14" x14ac:dyDescent="0.25">
      <c r="A21" s="69">
        <v>1.1000000000000001</v>
      </c>
      <c r="B21" s="11"/>
      <c r="C21" s="70" t="s">
        <v>39</v>
      </c>
      <c r="D21" s="245" t="s">
        <v>25</v>
      </c>
      <c r="E21" s="272"/>
      <c r="F21" s="259"/>
      <c r="G21" s="272"/>
      <c r="H21" s="259"/>
      <c r="I21" s="272"/>
      <c r="J21" s="4"/>
      <c r="K21" s="272"/>
      <c r="L21" s="4"/>
      <c r="M21" s="283">
        <f t="shared" si="0"/>
        <v>0</v>
      </c>
      <c r="N21" s="7"/>
    </row>
    <row r="22" spans="1:14" ht="15.75" thickBot="1" x14ac:dyDescent="0.3">
      <c r="A22" s="69">
        <v>1.1100000000000001</v>
      </c>
      <c r="B22" s="11"/>
      <c r="C22" s="278" t="s">
        <v>10</v>
      </c>
      <c r="D22" s="245" t="s">
        <v>25</v>
      </c>
      <c r="E22" s="272"/>
      <c r="F22" s="259"/>
      <c r="G22" s="272"/>
      <c r="H22" s="259"/>
      <c r="I22" s="272"/>
      <c r="J22" s="4"/>
      <c r="K22" s="272"/>
      <c r="L22" s="4"/>
      <c r="M22" s="284">
        <f t="shared" si="0"/>
        <v>0</v>
      </c>
      <c r="N22" s="7"/>
    </row>
    <row r="23" spans="1:14" ht="15.75" thickBot="1" x14ac:dyDescent="0.3">
      <c r="A23" s="69"/>
      <c r="B23" s="11"/>
      <c r="C23" s="290" t="s">
        <v>237</v>
      </c>
      <c r="D23" s="274"/>
      <c r="E23" s="1">
        <f>SUM(E12:E22)</f>
        <v>0</v>
      </c>
      <c r="F23" s="260"/>
      <c r="G23" s="1">
        <f>SUM(G12:G22)</f>
        <v>0</v>
      </c>
      <c r="H23" s="260"/>
      <c r="I23" s="1">
        <f>SUM(I12:I22)</f>
        <v>0</v>
      </c>
      <c r="J23" s="4"/>
      <c r="K23" s="1">
        <f>SUM(K12:K22)</f>
        <v>0</v>
      </c>
      <c r="L23" s="4"/>
      <c r="M23" s="291">
        <f t="shared" si="0"/>
        <v>0</v>
      </c>
      <c r="N23" s="7"/>
    </row>
    <row r="24" spans="1:14" s="247" customFormat="1" ht="15.75" thickBot="1" x14ac:dyDescent="0.3">
      <c r="A24" s="286" t="s">
        <v>45</v>
      </c>
      <c r="B24" s="64" t="s">
        <v>16</v>
      </c>
      <c r="C24" s="64"/>
      <c r="D24" s="277"/>
      <c r="E24" s="279"/>
      <c r="F24" s="260"/>
      <c r="G24" s="279"/>
      <c r="H24" s="260"/>
      <c r="I24" s="279"/>
      <c r="J24" s="4"/>
      <c r="K24" s="279"/>
      <c r="L24" s="4"/>
      <c r="M24" s="280"/>
    </row>
    <row r="25" spans="1:14" s="247" customFormat="1" x14ac:dyDescent="0.25">
      <c r="A25" s="67">
        <v>1.01</v>
      </c>
      <c r="B25" s="11"/>
      <c r="C25" s="70" t="s">
        <v>40</v>
      </c>
      <c r="D25" s="245" t="s">
        <v>26</v>
      </c>
      <c r="E25" s="272"/>
      <c r="F25" s="260"/>
      <c r="G25" s="272"/>
      <c r="H25" s="260"/>
      <c r="I25" s="272"/>
      <c r="J25" s="4"/>
      <c r="K25" s="272"/>
      <c r="L25" s="4"/>
      <c r="M25" s="282">
        <f>E25+G25+I25+K25</f>
        <v>0</v>
      </c>
    </row>
    <row r="26" spans="1:14" s="247" customFormat="1" x14ac:dyDescent="0.25">
      <c r="A26" s="287">
        <v>1.02</v>
      </c>
      <c r="B26" s="64"/>
      <c r="C26" s="70" t="s">
        <v>41</v>
      </c>
      <c r="D26" s="251" t="s">
        <v>26</v>
      </c>
      <c r="E26" s="272"/>
      <c r="F26" s="259"/>
      <c r="G26" s="272"/>
      <c r="H26" s="259"/>
      <c r="I26" s="272"/>
      <c r="J26" s="4"/>
      <c r="K26" s="272"/>
      <c r="L26" s="4"/>
      <c r="M26" s="283">
        <f>E26+G26+I26+K26</f>
        <v>0</v>
      </c>
    </row>
    <row r="27" spans="1:14" s="247" customFormat="1" ht="15.75" thickBot="1" x14ac:dyDescent="0.3">
      <c r="A27" s="68">
        <v>1.03</v>
      </c>
      <c r="B27" s="38"/>
      <c r="C27" s="70" t="s">
        <v>42</v>
      </c>
      <c r="D27" s="245" t="s">
        <v>26</v>
      </c>
      <c r="E27" s="272"/>
      <c r="F27" s="259"/>
      <c r="G27" s="272"/>
      <c r="H27" s="259"/>
      <c r="I27" s="272"/>
      <c r="J27" s="4"/>
      <c r="K27" s="272"/>
      <c r="L27" s="4"/>
      <c r="M27" s="284">
        <f>E27+G27+I27+K27</f>
        <v>0</v>
      </c>
    </row>
    <row r="28" spans="1:14" s="247" customFormat="1" ht="15.75" thickBot="1" x14ac:dyDescent="0.3">
      <c r="A28" s="68"/>
      <c r="B28" s="38"/>
      <c r="C28" s="293" t="s">
        <v>243</v>
      </c>
      <c r="D28" s="274"/>
      <c r="E28" s="1">
        <f>E25+E26+E27</f>
        <v>0</v>
      </c>
      <c r="F28" s="260"/>
      <c r="G28" s="1">
        <f>G25+G26+G27</f>
        <v>0</v>
      </c>
      <c r="H28" s="260"/>
      <c r="I28" s="1">
        <f>I25+I26+I27</f>
        <v>0</v>
      </c>
      <c r="J28" s="4"/>
      <c r="K28" s="1">
        <f>K25+K26+K27</f>
        <v>0</v>
      </c>
      <c r="L28" s="4"/>
      <c r="M28" s="291">
        <f t="shared" ref="M28" si="1">E28+G28+I28+K28</f>
        <v>0</v>
      </c>
    </row>
    <row r="29" spans="1:14" s="247" customFormat="1" ht="15.75" thickBot="1" x14ac:dyDescent="0.3">
      <c r="A29" s="286" t="s">
        <v>45</v>
      </c>
      <c r="B29" s="64" t="s">
        <v>43</v>
      </c>
      <c r="C29" s="64"/>
      <c r="D29" s="277"/>
      <c r="E29" s="279"/>
      <c r="F29" s="260"/>
      <c r="G29" s="279"/>
      <c r="H29" s="260"/>
      <c r="I29" s="279"/>
      <c r="J29" s="4"/>
      <c r="K29" s="279"/>
      <c r="L29" s="4"/>
      <c r="M29" s="280"/>
    </row>
    <row r="30" spans="1:14" s="247" customFormat="1" x14ac:dyDescent="0.25">
      <c r="A30" s="67">
        <v>1.01</v>
      </c>
      <c r="B30" s="11"/>
      <c r="C30" s="288" t="s">
        <v>96</v>
      </c>
      <c r="D30" s="289" t="s">
        <v>27</v>
      </c>
      <c r="E30" s="272"/>
      <c r="F30" s="260"/>
      <c r="G30" s="272"/>
      <c r="H30" s="260"/>
      <c r="I30" s="272"/>
      <c r="J30" s="4"/>
      <c r="K30" s="272"/>
      <c r="L30" s="4"/>
      <c r="M30" s="282">
        <f>E30+G30+I30+K30</f>
        <v>0</v>
      </c>
    </row>
    <row r="31" spans="1:14" s="247" customFormat="1" x14ac:dyDescent="0.25">
      <c r="A31" s="66">
        <v>1.02</v>
      </c>
      <c r="B31" s="64"/>
      <c r="C31" s="288" t="s">
        <v>97</v>
      </c>
      <c r="D31" s="289" t="s">
        <v>27</v>
      </c>
      <c r="E31" s="272"/>
      <c r="F31" s="260"/>
      <c r="G31" s="272"/>
      <c r="H31" s="260"/>
      <c r="I31" s="272"/>
      <c r="J31" s="4"/>
      <c r="K31" s="272"/>
      <c r="L31" s="4"/>
      <c r="M31" s="283">
        <f>E31+G31+I31+K31</f>
        <v>0</v>
      </c>
    </row>
    <row r="32" spans="1:14" s="247" customFormat="1" x14ac:dyDescent="0.25">
      <c r="A32" s="68">
        <v>1.03</v>
      </c>
      <c r="B32" s="38"/>
      <c r="C32" s="288" t="s">
        <v>98</v>
      </c>
      <c r="D32" s="289" t="s">
        <v>27</v>
      </c>
      <c r="E32" s="272"/>
      <c r="F32" s="259"/>
      <c r="G32" s="272"/>
      <c r="H32" s="259"/>
      <c r="I32" s="272"/>
      <c r="J32" s="4"/>
      <c r="K32" s="272"/>
      <c r="L32" s="4"/>
      <c r="M32" s="283">
        <f>E32+G32+I32+K32</f>
        <v>0</v>
      </c>
    </row>
    <row r="33" spans="1:15" s="247" customFormat="1" ht="15.75" thickBot="1" x14ac:dyDescent="0.3">
      <c r="A33" s="68">
        <v>1.04</v>
      </c>
      <c r="B33" s="38"/>
      <c r="C33" s="288" t="s">
        <v>44</v>
      </c>
      <c r="D33" s="289" t="s">
        <v>27</v>
      </c>
      <c r="E33" s="272"/>
      <c r="F33" s="259"/>
      <c r="G33" s="272"/>
      <c r="H33" s="259"/>
      <c r="I33" s="272"/>
      <c r="J33" s="4"/>
      <c r="K33" s="272"/>
      <c r="L33" s="4"/>
      <c r="M33" s="284">
        <f>E33+G33+I33+K33</f>
        <v>0</v>
      </c>
    </row>
    <row r="34" spans="1:15" s="247" customFormat="1" ht="15.75" thickBot="1" x14ac:dyDescent="0.3">
      <c r="A34" s="294"/>
      <c r="B34" s="295"/>
      <c r="C34" s="293" t="s">
        <v>244</v>
      </c>
      <c r="D34" s="274"/>
      <c r="E34" s="1">
        <f>E30+E31+E32+E33</f>
        <v>0</v>
      </c>
      <c r="F34" s="260"/>
      <c r="G34" s="1">
        <f>G30+G31+G32+G33</f>
        <v>0</v>
      </c>
      <c r="H34" s="260"/>
      <c r="I34" s="1">
        <f>I30+I31+I32+I33</f>
        <v>0</v>
      </c>
      <c r="J34" s="4"/>
      <c r="K34" s="1">
        <f>K30+K31+K32+K33</f>
        <v>0</v>
      </c>
      <c r="L34" s="4"/>
      <c r="M34" s="291">
        <f t="shared" ref="M34" si="2">E34+G34+I34+K34</f>
        <v>0</v>
      </c>
    </row>
    <row r="35" spans="1:15" s="247" customFormat="1" ht="15.75" thickBot="1" x14ac:dyDescent="0.3">
      <c r="A35" s="275"/>
      <c r="B35" s="276"/>
      <c r="C35" s="273"/>
      <c r="D35" s="277"/>
      <c r="E35" s="279"/>
      <c r="F35" s="260"/>
      <c r="G35" s="279"/>
      <c r="H35" s="260"/>
      <c r="I35" s="279"/>
      <c r="J35" s="4"/>
      <c r="K35" s="279"/>
      <c r="L35" s="4"/>
      <c r="M35" s="280"/>
    </row>
    <row r="36" spans="1:15" ht="31.5" customHeight="1" thickBot="1" x14ac:dyDescent="0.3">
      <c r="A36" s="4"/>
      <c r="B36" s="14"/>
      <c r="C36" s="8"/>
      <c r="D36" s="15"/>
      <c r="E36" s="271">
        <f>E23+E28+E34</f>
        <v>0</v>
      </c>
      <c r="F36" s="15"/>
      <c r="G36" s="271">
        <f>G23+G28+G34</f>
        <v>0</v>
      </c>
      <c r="H36" s="15"/>
      <c r="I36" s="271">
        <f>I23+I28+I34</f>
        <v>0</v>
      </c>
      <c r="J36" s="84"/>
      <c r="K36" s="271">
        <f>K23+K28+K34</f>
        <v>0</v>
      </c>
      <c r="L36" s="84"/>
      <c r="M36" s="46">
        <f>M23+M28+M34</f>
        <v>0</v>
      </c>
      <c r="N36" s="47" t="s">
        <v>235</v>
      </c>
      <c r="O36" s="20"/>
    </row>
    <row r="37" spans="1:15" s="20" customFormat="1" ht="15.75" thickBot="1" x14ac:dyDescent="0.3">
      <c r="A37" s="141"/>
      <c r="B37" s="142"/>
      <c r="C37" s="143"/>
      <c r="D37" s="22"/>
      <c r="F37" s="22"/>
      <c r="G37" s="24"/>
      <c r="H37" s="22"/>
      <c r="I37" s="24"/>
      <c r="J37" s="249"/>
      <c r="K37" s="249"/>
      <c r="L37" s="249"/>
      <c r="M37" s="25"/>
    </row>
    <row r="38" spans="1:15" s="20" customFormat="1" ht="39.75" customHeight="1" thickBot="1" x14ac:dyDescent="0.3">
      <c r="A38" s="510"/>
      <c r="B38" s="510"/>
      <c r="C38" s="510"/>
      <c r="D38" s="22"/>
      <c r="F38" s="22"/>
      <c r="G38" s="27"/>
      <c r="H38" s="22"/>
      <c r="I38" s="27"/>
      <c r="J38" s="247"/>
      <c r="K38" s="247"/>
      <c r="L38" s="247"/>
      <c r="M38" s="46">
        <f>E36+G36+I36+K36</f>
        <v>0</v>
      </c>
      <c r="N38" s="47" t="s">
        <v>13</v>
      </c>
    </row>
    <row r="39" spans="1:15" s="20" customFormat="1" ht="27.75" customHeight="1" x14ac:dyDescent="0.25">
      <c r="A39" s="510"/>
      <c r="B39" s="510"/>
      <c r="C39" s="510"/>
      <c r="D39" s="22"/>
      <c r="F39" s="22"/>
      <c r="G39" s="27"/>
      <c r="H39" s="22"/>
      <c r="I39" s="27"/>
      <c r="J39" s="247"/>
      <c r="K39" s="247"/>
      <c r="L39" s="247"/>
      <c r="M39" s="28">
        <f>M36-M38</f>
        <v>0</v>
      </c>
      <c r="N39" s="29" t="s">
        <v>14</v>
      </c>
    </row>
    <row r="40" spans="1:15" s="20" customFormat="1" x14ac:dyDescent="0.25">
      <c r="A40" s="26"/>
      <c r="B40" s="21"/>
      <c r="C40" s="21"/>
      <c r="D40" s="22"/>
      <c r="F40" s="22"/>
      <c r="G40" s="27"/>
      <c r="H40" s="22"/>
      <c r="I40" s="27"/>
      <c r="J40" s="247"/>
      <c r="K40" s="247"/>
      <c r="L40" s="247"/>
    </row>
    <row r="41" spans="1:15" s="20" customFormat="1" x14ac:dyDescent="0.25">
      <c r="A41" s="26"/>
      <c r="B41" s="21"/>
      <c r="C41" s="21"/>
      <c r="D41" s="22"/>
      <c r="F41" s="22"/>
      <c r="G41" s="27"/>
      <c r="H41" s="22"/>
      <c r="I41" s="27"/>
      <c r="J41" s="247"/>
      <c r="K41" s="247"/>
      <c r="L41" s="247"/>
    </row>
    <row r="42" spans="1:15" s="20" customFormat="1" x14ac:dyDescent="0.25">
      <c r="A42" s="26"/>
      <c r="B42" s="21"/>
      <c r="C42" s="21"/>
      <c r="D42" s="22"/>
      <c r="F42" s="22"/>
      <c r="G42" s="27"/>
      <c r="H42" s="22"/>
      <c r="I42" s="27"/>
      <c r="J42" s="247"/>
      <c r="K42" s="247"/>
      <c r="L42" s="247"/>
    </row>
    <row r="43" spans="1:15" s="20" customFormat="1" x14ac:dyDescent="0.25">
      <c r="A43" s="26"/>
      <c r="B43" s="21"/>
      <c r="C43" s="21"/>
      <c r="D43" s="22"/>
      <c r="F43" s="22"/>
      <c r="G43" s="27"/>
      <c r="H43" s="22"/>
      <c r="I43" s="27"/>
      <c r="J43" s="247"/>
      <c r="K43" s="247"/>
      <c r="L43" s="247"/>
    </row>
    <row r="44" spans="1:15" s="20" customFormat="1" x14ac:dyDescent="0.25">
      <c r="A44" s="26"/>
      <c r="B44" s="21"/>
      <c r="C44" s="21"/>
      <c r="D44" s="22"/>
      <c r="F44" s="22"/>
      <c r="G44" s="27"/>
      <c r="H44" s="22"/>
      <c r="I44" s="27"/>
      <c r="J44" s="247"/>
      <c r="K44" s="247"/>
      <c r="L44" s="247"/>
    </row>
    <row r="45" spans="1:15" s="20" customFormat="1" x14ac:dyDescent="0.25">
      <c r="A45" s="26"/>
      <c r="B45" s="21"/>
      <c r="C45" s="21"/>
      <c r="D45" s="22"/>
      <c r="F45" s="22"/>
      <c r="G45" s="27"/>
      <c r="H45" s="22"/>
      <c r="I45" s="27"/>
      <c r="J45" s="247"/>
      <c r="K45" s="247"/>
      <c r="L45" s="247"/>
    </row>
    <row r="46" spans="1:15" s="20" customFormat="1" x14ac:dyDescent="0.25">
      <c r="A46" s="26"/>
      <c r="B46" s="21"/>
      <c r="C46" s="21"/>
      <c r="D46" s="22"/>
      <c r="F46" s="22"/>
      <c r="G46" s="27"/>
      <c r="H46" s="22"/>
      <c r="I46" s="27"/>
      <c r="J46" s="247"/>
      <c r="K46" s="247"/>
      <c r="L46" s="247"/>
    </row>
    <row r="47" spans="1:15" s="20" customFormat="1" x14ac:dyDescent="0.25">
      <c r="A47" s="26"/>
      <c r="B47" s="21"/>
      <c r="C47" s="21"/>
      <c r="D47" s="22"/>
      <c r="F47" s="22"/>
      <c r="G47" s="27"/>
      <c r="H47" s="22"/>
      <c r="I47" s="27"/>
      <c r="J47" s="247"/>
      <c r="K47" s="247"/>
      <c r="L47" s="247"/>
    </row>
    <row r="48" spans="1:15" s="20" customFormat="1" x14ac:dyDescent="0.25">
      <c r="A48" s="26"/>
      <c r="B48" s="21"/>
      <c r="C48" s="21"/>
      <c r="D48" s="22"/>
      <c r="F48" s="22"/>
      <c r="G48" s="27"/>
      <c r="H48" s="22"/>
      <c r="I48" s="27"/>
      <c r="J48" s="247"/>
      <c r="K48" s="247"/>
      <c r="L48" s="247"/>
    </row>
    <row r="49" spans="1:12" s="20" customFormat="1" x14ac:dyDescent="0.25">
      <c r="A49" s="26"/>
      <c r="B49" s="21"/>
      <c r="C49" s="21"/>
      <c r="D49" s="22"/>
      <c r="F49" s="22"/>
      <c r="G49" s="27"/>
      <c r="H49" s="22"/>
      <c r="I49" s="27"/>
      <c r="J49" s="247"/>
      <c r="K49" s="247"/>
      <c r="L49" s="247"/>
    </row>
    <row r="50" spans="1:12" s="20" customFormat="1" x14ac:dyDescent="0.25">
      <c r="A50" s="26"/>
      <c r="B50" s="21"/>
      <c r="C50" s="21"/>
      <c r="D50" s="22"/>
      <c r="F50" s="22"/>
      <c r="G50" s="27"/>
      <c r="H50" s="22"/>
      <c r="I50" s="27"/>
      <c r="J50" s="247"/>
      <c r="K50" s="247"/>
      <c r="L50" s="247"/>
    </row>
    <row r="51" spans="1:12" s="20" customFormat="1" x14ac:dyDescent="0.25">
      <c r="A51" s="26"/>
      <c r="B51" s="21"/>
      <c r="C51" s="21"/>
      <c r="D51" s="22"/>
      <c r="F51" s="22"/>
      <c r="G51" s="27"/>
      <c r="H51" s="22"/>
      <c r="I51" s="27"/>
      <c r="J51" s="247"/>
      <c r="K51" s="247"/>
      <c r="L51" s="247"/>
    </row>
    <row r="52" spans="1:12" s="20" customFormat="1" x14ac:dyDescent="0.25">
      <c r="A52" s="26"/>
      <c r="B52" s="21"/>
      <c r="C52" s="21"/>
      <c r="D52" s="22"/>
      <c r="F52" s="22"/>
      <c r="G52" s="27"/>
      <c r="H52" s="22"/>
      <c r="I52" s="27"/>
      <c r="J52" s="247"/>
      <c r="K52" s="247"/>
      <c r="L52" s="247"/>
    </row>
    <row r="53" spans="1:12" s="20" customFormat="1" x14ac:dyDescent="0.25">
      <c r="A53" s="26"/>
      <c r="B53" s="21"/>
      <c r="C53" s="21"/>
      <c r="D53" s="22"/>
      <c r="F53" s="22"/>
      <c r="G53" s="27"/>
      <c r="H53" s="22"/>
      <c r="I53" s="27"/>
      <c r="J53" s="247"/>
      <c r="K53" s="247"/>
      <c r="L53" s="247"/>
    </row>
    <row r="54" spans="1:12" s="20" customFormat="1" x14ac:dyDescent="0.25">
      <c r="A54" s="26"/>
      <c r="B54" s="21"/>
      <c r="C54" s="21"/>
      <c r="D54" s="22"/>
      <c r="F54" s="22"/>
      <c r="G54" s="27"/>
      <c r="H54" s="22"/>
      <c r="I54" s="27"/>
      <c r="J54" s="247"/>
      <c r="K54" s="247"/>
      <c r="L54" s="247"/>
    </row>
    <row r="55" spans="1:12" s="20" customFormat="1" x14ac:dyDescent="0.25">
      <c r="A55" s="26"/>
      <c r="B55" s="21"/>
      <c r="C55" s="21"/>
      <c r="D55" s="22"/>
      <c r="F55" s="22"/>
      <c r="G55" s="27"/>
      <c r="H55" s="22"/>
      <c r="I55" s="27"/>
      <c r="J55" s="247"/>
      <c r="K55" s="247"/>
      <c r="L55" s="247"/>
    </row>
    <row r="56" spans="1:12" s="20" customFormat="1" x14ac:dyDescent="0.25">
      <c r="A56" s="26"/>
      <c r="B56" s="21"/>
      <c r="C56" s="21"/>
      <c r="D56" s="22"/>
      <c r="F56" s="22"/>
      <c r="G56" s="27"/>
      <c r="H56" s="22"/>
      <c r="I56" s="27"/>
      <c r="J56" s="247"/>
      <c r="K56" s="247"/>
      <c r="L56" s="247"/>
    </row>
    <row r="57" spans="1:12" s="20" customFormat="1" x14ac:dyDescent="0.25">
      <c r="A57" s="26"/>
      <c r="B57" s="21"/>
      <c r="C57" s="21"/>
      <c r="D57" s="22"/>
      <c r="F57" s="22"/>
      <c r="G57" s="27"/>
      <c r="H57" s="22"/>
      <c r="I57" s="27"/>
      <c r="J57" s="247"/>
      <c r="K57" s="247"/>
      <c r="L57" s="247"/>
    </row>
    <row r="58" spans="1:12" s="20" customFormat="1" x14ac:dyDescent="0.25">
      <c r="A58" s="26"/>
      <c r="B58" s="21"/>
      <c r="C58" s="21"/>
      <c r="D58" s="22"/>
      <c r="F58" s="22"/>
      <c r="G58" s="27"/>
      <c r="H58" s="22"/>
      <c r="I58" s="27"/>
      <c r="J58" s="247"/>
      <c r="K58" s="247"/>
      <c r="L58" s="247"/>
    </row>
    <row r="59" spans="1:12" s="20" customFormat="1" x14ac:dyDescent="0.25">
      <c r="A59" s="26"/>
      <c r="B59" s="21"/>
      <c r="C59" s="21"/>
      <c r="D59" s="22"/>
      <c r="F59" s="22"/>
      <c r="G59" s="27"/>
      <c r="H59" s="22"/>
      <c r="I59" s="27"/>
      <c r="J59" s="247"/>
      <c r="K59" s="247"/>
      <c r="L59" s="247"/>
    </row>
    <row r="60" spans="1:12" s="20" customFormat="1" x14ac:dyDescent="0.25">
      <c r="A60" s="26"/>
      <c r="B60" s="21"/>
      <c r="C60" s="21"/>
      <c r="D60" s="22"/>
      <c r="F60" s="22"/>
      <c r="G60" s="27"/>
      <c r="H60" s="22"/>
      <c r="I60" s="27"/>
      <c r="J60" s="247"/>
      <c r="K60" s="247"/>
      <c r="L60" s="247"/>
    </row>
    <row r="61" spans="1:12" s="20" customFormat="1" x14ac:dyDescent="0.25">
      <c r="A61" s="26"/>
      <c r="B61" s="21"/>
      <c r="C61" s="21"/>
      <c r="D61" s="22"/>
      <c r="F61" s="22"/>
      <c r="G61" s="27"/>
      <c r="H61" s="22"/>
      <c r="I61" s="27"/>
      <c r="J61" s="247"/>
      <c r="K61" s="247"/>
      <c r="L61" s="247"/>
    </row>
    <row r="62" spans="1:12" s="20" customFormat="1" x14ac:dyDescent="0.25">
      <c r="A62" s="26"/>
      <c r="B62" s="21"/>
      <c r="C62" s="21"/>
      <c r="D62" s="22"/>
      <c r="F62" s="22"/>
      <c r="G62" s="27"/>
      <c r="H62" s="22"/>
      <c r="I62" s="27"/>
      <c r="J62" s="247"/>
      <c r="K62" s="247"/>
      <c r="L62" s="247"/>
    </row>
    <row r="63" spans="1:12" s="20" customFormat="1" x14ac:dyDescent="0.25">
      <c r="A63" s="26"/>
      <c r="B63" s="21"/>
      <c r="C63" s="21"/>
      <c r="D63" s="22"/>
      <c r="F63" s="22"/>
      <c r="G63" s="27"/>
      <c r="H63" s="22"/>
      <c r="I63" s="27"/>
      <c r="J63" s="247"/>
      <c r="K63" s="247"/>
      <c r="L63" s="247"/>
    </row>
    <row r="64" spans="1:12" s="20" customFormat="1" x14ac:dyDescent="0.25">
      <c r="A64" s="26"/>
      <c r="B64" s="21"/>
      <c r="C64" s="21"/>
      <c r="D64" s="22"/>
      <c r="F64" s="22"/>
      <c r="G64" s="27"/>
      <c r="H64" s="22"/>
      <c r="I64" s="27"/>
      <c r="J64" s="247"/>
      <c r="K64" s="247"/>
      <c r="L64" s="247"/>
    </row>
    <row r="65" spans="1:12" s="20" customFormat="1" x14ac:dyDescent="0.25">
      <c r="A65" s="26"/>
      <c r="B65" s="21"/>
      <c r="C65" s="21"/>
      <c r="D65" s="22"/>
      <c r="F65" s="22"/>
      <c r="G65" s="27"/>
      <c r="H65" s="22"/>
      <c r="I65" s="27"/>
      <c r="J65" s="247"/>
      <c r="K65" s="247"/>
      <c r="L65" s="247"/>
    </row>
    <row r="66" spans="1:12" s="20" customFormat="1" x14ac:dyDescent="0.25">
      <c r="A66" s="26"/>
      <c r="B66" s="21"/>
      <c r="C66" s="21"/>
      <c r="D66" s="22"/>
      <c r="F66" s="22"/>
      <c r="G66" s="27"/>
      <c r="H66" s="22"/>
      <c r="I66" s="27"/>
      <c r="J66" s="247"/>
      <c r="K66" s="247"/>
      <c r="L66" s="247"/>
    </row>
    <row r="67" spans="1:12" s="20" customFormat="1" x14ac:dyDescent="0.25">
      <c r="A67" s="26"/>
      <c r="B67" s="21"/>
      <c r="C67" s="21"/>
      <c r="D67" s="22"/>
      <c r="F67" s="22"/>
      <c r="G67" s="27"/>
      <c r="H67" s="22"/>
      <c r="I67" s="27"/>
      <c r="J67" s="247"/>
      <c r="K67" s="247"/>
      <c r="L67" s="247"/>
    </row>
    <row r="68" spans="1:12" s="20" customFormat="1" x14ac:dyDescent="0.25">
      <c r="A68" s="26"/>
      <c r="B68" s="21"/>
      <c r="C68" s="21"/>
      <c r="D68" s="22"/>
      <c r="F68" s="22"/>
      <c r="G68" s="27"/>
      <c r="H68" s="22"/>
      <c r="I68" s="27"/>
      <c r="J68" s="247"/>
      <c r="K68" s="247"/>
      <c r="L68" s="247"/>
    </row>
    <row r="69" spans="1:12" s="20" customFormat="1" x14ac:dyDescent="0.25">
      <c r="A69" s="26"/>
      <c r="B69" s="21"/>
      <c r="C69" s="21"/>
      <c r="D69" s="22"/>
      <c r="F69" s="22"/>
      <c r="G69" s="27"/>
      <c r="H69" s="22"/>
      <c r="I69" s="27"/>
      <c r="J69" s="247"/>
      <c r="K69" s="247"/>
      <c r="L69" s="247"/>
    </row>
    <row r="70" spans="1:12" s="20" customFormat="1" x14ac:dyDescent="0.25">
      <c r="A70" s="26"/>
      <c r="B70" s="21"/>
      <c r="C70" s="21"/>
      <c r="D70" s="22"/>
      <c r="F70" s="22"/>
      <c r="G70" s="27"/>
      <c r="H70" s="22"/>
      <c r="I70" s="27"/>
      <c r="J70" s="247"/>
      <c r="K70" s="247"/>
      <c r="L70" s="247"/>
    </row>
    <row r="71" spans="1:12" s="20" customFormat="1" x14ac:dyDescent="0.25">
      <c r="A71" s="26"/>
      <c r="B71" s="21"/>
      <c r="C71" s="21"/>
      <c r="D71" s="22"/>
      <c r="F71" s="22"/>
      <c r="G71" s="27"/>
      <c r="H71" s="22"/>
      <c r="I71" s="27"/>
      <c r="J71" s="247"/>
      <c r="K71" s="247"/>
      <c r="L71" s="247"/>
    </row>
    <row r="72" spans="1:12" s="20" customFormat="1" x14ac:dyDescent="0.25">
      <c r="A72" s="26"/>
      <c r="B72" s="21"/>
      <c r="C72" s="21"/>
      <c r="D72" s="22"/>
      <c r="F72" s="22"/>
      <c r="G72" s="27"/>
      <c r="H72" s="22"/>
      <c r="I72" s="27"/>
      <c r="J72" s="247"/>
      <c r="K72" s="247"/>
      <c r="L72" s="247"/>
    </row>
    <row r="73" spans="1:12" s="20" customFormat="1" x14ac:dyDescent="0.25">
      <c r="A73" s="26"/>
      <c r="B73" s="21"/>
      <c r="C73" s="21"/>
      <c r="D73" s="22"/>
      <c r="F73" s="22"/>
      <c r="G73" s="27"/>
      <c r="H73" s="22"/>
      <c r="I73" s="27"/>
      <c r="J73" s="247"/>
      <c r="K73" s="247"/>
      <c r="L73" s="247"/>
    </row>
    <row r="74" spans="1:12" s="20" customFormat="1" x14ac:dyDescent="0.25">
      <c r="A74" s="26"/>
      <c r="B74" s="21"/>
      <c r="C74" s="21"/>
      <c r="D74" s="22"/>
      <c r="F74" s="22"/>
      <c r="G74" s="27"/>
      <c r="H74" s="22"/>
      <c r="I74" s="27"/>
      <c r="J74" s="247"/>
      <c r="K74" s="247"/>
      <c r="L74" s="247"/>
    </row>
    <row r="75" spans="1:12" s="20" customFormat="1" x14ac:dyDescent="0.25">
      <c r="A75" s="26"/>
      <c r="B75" s="21"/>
      <c r="C75" s="21"/>
      <c r="D75" s="22"/>
      <c r="F75" s="22"/>
      <c r="G75" s="27"/>
      <c r="H75" s="22"/>
      <c r="I75" s="27"/>
      <c r="J75" s="247"/>
      <c r="K75" s="247"/>
      <c r="L75" s="247"/>
    </row>
    <row r="76" spans="1:12" s="20" customFormat="1" x14ac:dyDescent="0.25">
      <c r="A76" s="26"/>
      <c r="B76" s="21"/>
      <c r="C76" s="21"/>
      <c r="D76" s="22"/>
      <c r="F76" s="22"/>
      <c r="G76" s="27"/>
      <c r="H76" s="22"/>
      <c r="I76" s="27"/>
      <c r="J76" s="247"/>
      <c r="K76" s="247"/>
      <c r="L76" s="247"/>
    </row>
    <row r="77" spans="1:12" s="20" customFormat="1" x14ac:dyDescent="0.25">
      <c r="A77" s="26"/>
      <c r="B77" s="21"/>
      <c r="C77" s="21"/>
      <c r="D77" s="22"/>
      <c r="F77" s="22"/>
      <c r="G77" s="27"/>
      <c r="H77" s="22"/>
      <c r="I77" s="27"/>
      <c r="J77" s="247"/>
      <c r="K77" s="247"/>
      <c r="L77" s="247"/>
    </row>
    <row r="78" spans="1:12" s="20" customFormat="1" x14ac:dyDescent="0.25">
      <c r="A78" s="26"/>
      <c r="B78" s="21"/>
      <c r="C78" s="21"/>
      <c r="D78" s="22"/>
      <c r="F78" s="22"/>
      <c r="G78" s="27"/>
      <c r="H78" s="22"/>
      <c r="I78" s="27"/>
      <c r="J78" s="247"/>
      <c r="K78" s="247"/>
      <c r="L78" s="247"/>
    </row>
    <row r="79" spans="1:12" s="20" customFormat="1" x14ac:dyDescent="0.25">
      <c r="A79" s="26"/>
      <c r="B79" s="21"/>
      <c r="C79" s="21"/>
      <c r="D79" s="22"/>
      <c r="F79" s="22"/>
      <c r="G79" s="27"/>
      <c r="H79" s="22"/>
      <c r="I79" s="27"/>
      <c r="J79" s="247"/>
      <c r="K79" s="247"/>
      <c r="L79" s="247"/>
    </row>
    <row r="80" spans="1:12" s="20" customFormat="1" x14ac:dyDescent="0.25">
      <c r="A80" s="26"/>
      <c r="B80" s="21"/>
      <c r="C80" s="21"/>
      <c r="D80" s="22"/>
      <c r="F80" s="22"/>
      <c r="G80" s="27"/>
      <c r="H80" s="22"/>
      <c r="I80" s="27"/>
      <c r="J80" s="247"/>
      <c r="K80" s="247"/>
      <c r="L80" s="247"/>
    </row>
    <row r="81" spans="1:12" s="20" customFormat="1" x14ac:dyDescent="0.25">
      <c r="A81" s="26"/>
      <c r="B81" s="21"/>
      <c r="C81" s="21"/>
      <c r="D81" s="22"/>
      <c r="F81" s="22"/>
      <c r="G81" s="27"/>
      <c r="H81" s="22"/>
      <c r="I81" s="27"/>
      <c r="J81" s="247"/>
      <c r="K81" s="247"/>
      <c r="L81" s="247"/>
    </row>
    <row r="82" spans="1:12" s="20" customFormat="1" x14ac:dyDescent="0.25">
      <c r="A82" s="26"/>
      <c r="B82" s="21"/>
      <c r="C82" s="21"/>
      <c r="D82" s="22"/>
      <c r="F82" s="22"/>
      <c r="G82" s="27"/>
      <c r="H82" s="22"/>
      <c r="I82" s="27"/>
      <c r="J82" s="247"/>
      <c r="K82" s="247"/>
      <c r="L82" s="247"/>
    </row>
    <row r="83" spans="1:12" s="20" customFormat="1" x14ac:dyDescent="0.25">
      <c r="A83" s="26"/>
      <c r="B83" s="21"/>
      <c r="C83" s="21"/>
      <c r="D83" s="22"/>
      <c r="F83" s="22"/>
      <c r="G83" s="27"/>
      <c r="H83" s="22"/>
      <c r="I83" s="27"/>
      <c r="J83" s="247"/>
      <c r="K83" s="247"/>
      <c r="L83" s="247"/>
    </row>
    <row r="84" spans="1:12" s="20" customFormat="1" x14ac:dyDescent="0.25">
      <c r="A84" s="26"/>
      <c r="B84" s="21"/>
      <c r="C84" s="21"/>
      <c r="D84" s="22"/>
      <c r="F84" s="22"/>
      <c r="G84" s="27"/>
      <c r="H84" s="22"/>
      <c r="I84" s="27"/>
      <c r="J84" s="247"/>
      <c r="K84" s="247"/>
      <c r="L84" s="247"/>
    </row>
    <row r="85" spans="1:12" s="20" customFormat="1" x14ac:dyDescent="0.25">
      <c r="A85" s="26"/>
      <c r="B85" s="21"/>
      <c r="C85" s="21"/>
      <c r="D85" s="22"/>
      <c r="F85" s="22"/>
      <c r="G85" s="27"/>
      <c r="H85" s="22"/>
      <c r="I85" s="27"/>
      <c r="J85" s="247"/>
      <c r="K85" s="247"/>
      <c r="L85" s="247"/>
    </row>
    <row r="86" spans="1:12" s="20" customFormat="1" x14ac:dyDescent="0.25">
      <c r="A86" s="26"/>
      <c r="B86" s="21"/>
      <c r="C86" s="21"/>
      <c r="D86" s="22"/>
      <c r="F86" s="22"/>
      <c r="G86" s="27"/>
      <c r="H86" s="22"/>
      <c r="I86" s="27"/>
      <c r="J86" s="247"/>
      <c r="K86" s="247"/>
      <c r="L86" s="247"/>
    </row>
    <row r="87" spans="1:12" s="20" customFormat="1" x14ac:dyDescent="0.25">
      <c r="A87" s="26"/>
      <c r="B87" s="21"/>
      <c r="C87" s="21"/>
      <c r="D87" s="22"/>
      <c r="F87" s="22"/>
      <c r="G87" s="27"/>
      <c r="H87" s="22"/>
      <c r="I87" s="27"/>
      <c r="J87" s="247"/>
      <c r="K87" s="247"/>
      <c r="L87" s="247"/>
    </row>
    <row r="88" spans="1:12" s="20" customFormat="1" x14ac:dyDescent="0.25">
      <c r="A88" s="26"/>
      <c r="B88" s="21"/>
      <c r="C88" s="21"/>
      <c r="D88" s="22"/>
      <c r="F88" s="22"/>
      <c r="G88" s="27"/>
      <c r="H88" s="22"/>
      <c r="I88" s="27"/>
      <c r="J88" s="247"/>
      <c r="K88" s="247"/>
      <c r="L88" s="247"/>
    </row>
    <row r="89" spans="1:12" s="20" customFormat="1" x14ac:dyDescent="0.25">
      <c r="A89" s="26"/>
      <c r="B89" s="21"/>
      <c r="C89" s="21"/>
      <c r="D89" s="22"/>
      <c r="F89" s="22"/>
      <c r="G89" s="27"/>
      <c r="H89" s="22"/>
      <c r="I89" s="27"/>
      <c r="J89" s="247"/>
      <c r="K89" s="247"/>
      <c r="L89" s="247"/>
    </row>
    <row r="90" spans="1:12" s="20" customFormat="1" x14ac:dyDescent="0.25">
      <c r="A90" s="26"/>
      <c r="B90" s="21"/>
      <c r="C90" s="21"/>
      <c r="D90" s="22"/>
      <c r="F90" s="22"/>
      <c r="G90" s="27"/>
      <c r="H90" s="22"/>
      <c r="I90" s="27"/>
      <c r="J90" s="247"/>
      <c r="K90" s="247"/>
      <c r="L90" s="247"/>
    </row>
    <row r="91" spans="1:12" s="20" customFormat="1" x14ac:dyDescent="0.25">
      <c r="A91" s="26"/>
      <c r="B91" s="21"/>
      <c r="C91" s="21"/>
      <c r="D91" s="22"/>
      <c r="F91" s="22"/>
      <c r="G91" s="27"/>
      <c r="H91" s="22"/>
      <c r="I91" s="27"/>
      <c r="J91" s="247"/>
      <c r="K91" s="247"/>
      <c r="L91" s="247"/>
    </row>
    <row r="92" spans="1:12" s="20" customFormat="1" x14ac:dyDescent="0.25">
      <c r="A92" s="26"/>
      <c r="B92" s="21"/>
      <c r="C92" s="21"/>
      <c r="D92" s="22"/>
      <c r="F92" s="22"/>
      <c r="G92" s="27"/>
      <c r="H92" s="22"/>
      <c r="I92" s="27"/>
      <c r="J92" s="247"/>
      <c r="K92" s="247"/>
      <c r="L92" s="247"/>
    </row>
    <row r="93" spans="1:12" s="20" customFormat="1" x14ac:dyDescent="0.25">
      <c r="A93" s="26"/>
      <c r="B93" s="21"/>
      <c r="C93" s="21"/>
      <c r="D93" s="22"/>
      <c r="F93" s="22"/>
      <c r="G93" s="27"/>
      <c r="H93" s="22"/>
      <c r="I93" s="27"/>
      <c r="J93" s="247"/>
      <c r="K93" s="247"/>
      <c r="L93" s="247"/>
    </row>
    <row r="94" spans="1:12" s="20" customFormat="1" x14ac:dyDescent="0.25">
      <c r="A94" s="26"/>
      <c r="B94" s="21"/>
      <c r="C94" s="21"/>
      <c r="D94" s="22"/>
      <c r="F94" s="22"/>
      <c r="G94" s="27"/>
      <c r="H94" s="22"/>
      <c r="I94" s="27"/>
      <c r="J94" s="247"/>
      <c r="K94" s="247"/>
      <c r="L94" s="247"/>
    </row>
    <row r="95" spans="1:12" s="20" customFormat="1" x14ac:dyDescent="0.25">
      <c r="A95" s="26"/>
      <c r="B95" s="21"/>
      <c r="C95" s="21"/>
      <c r="D95" s="22"/>
      <c r="F95" s="22"/>
      <c r="G95" s="27"/>
      <c r="H95" s="22"/>
      <c r="I95" s="27"/>
      <c r="J95" s="247"/>
      <c r="K95" s="247"/>
      <c r="L95" s="247"/>
    </row>
    <row r="96" spans="1:12" s="20" customFormat="1" x14ac:dyDescent="0.25">
      <c r="A96" s="26"/>
      <c r="B96" s="21"/>
      <c r="C96" s="21"/>
      <c r="D96" s="22"/>
      <c r="F96" s="22"/>
      <c r="G96" s="27"/>
      <c r="H96" s="22"/>
      <c r="I96" s="27"/>
      <c r="J96" s="247"/>
      <c r="K96" s="247"/>
      <c r="L96" s="247"/>
    </row>
    <row r="97" spans="1:12" s="20" customFormat="1" x14ac:dyDescent="0.25">
      <c r="A97" s="26"/>
      <c r="B97" s="21"/>
      <c r="C97" s="21"/>
      <c r="D97" s="22"/>
      <c r="F97" s="22"/>
      <c r="G97" s="27"/>
      <c r="H97" s="22"/>
      <c r="I97" s="27"/>
      <c r="J97" s="247"/>
      <c r="K97" s="247"/>
      <c r="L97" s="247"/>
    </row>
    <row r="98" spans="1:12" s="20" customFormat="1" x14ac:dyDescent="0.25">
      <c r="A98" s="26"/>
      <c r="B98" s="21"/>
      <c r="C98" s="21"/>
      <c r="D98" s="22"/>
      <c r="F98" s="22"/>
      <c r="G98" s="27"/>
      <c r="H98" s="22"/>
      <c r="I98" s="27"/>
      <c r="J98" s="247"/>
      <c r="K98" s="247"/>
      <c r="L98" s="247"/>
    </row>
    <row r="99" spans="1:12" s="20" customFormat="1" x14ac:dyDescent="0.25">
      <c r="A99" s="26"/>
      <c r="B99" s="21"/>
      <c r="C99" s="21"/>
      <c r="D99" s="22"/>
      <c r="F99" s="22"/>
      <c r="G99" s="27"/>
      <c r="H99" s="22"/>
      <c r="I99" s="27"/>
      <c r="J99" s="247"/>
      <c r="K99" s="247"/>
      <c r="L99" s="247"/>
    </row>
    <row r="100" spans="1:12" s="20" customFormat="1" x14ac:dyDescent="0.25">
      <c r="A100" s="26"/>
      <c r="B100" s="21"/>
      <c r="C100" s="21"/>
      <c r="D100" s="22"/>
      <c r="F100" s="22"/>
      <c r="G100" s="27"/>
      <c r="H100" s="22"/>
      <c r="I100" s="27"/>
      <c r="J100" s="247"/>
      <c r="K100" s="247"/>
      <c r="L100" s="247"/>
    </row>
    <row r="101" spans="1:12" s="20" customFormat="1" x14ac:dyDescent="0.25">
      <c r="A101" s="26"/>
      <c r="B101" s="21"/>
      <c r="C101" s="21"/>
      <c r="D101" s="22"/>
      <c r="F101" s="22"/>
      <c r="G101" s="27"/>
      <c r="H101" s="22"/>
      <c r="I101" s="27"/>
      <c r="J101" s="247"/>
      <c r="K101" s="247"/>
      <c r="L101" s="247"/>
    </row>
    <row r="102" spans="1:12" s="20" customFormat="1" x14ac:dyDescent="0.25">
      <c r="A102" s="26"/>
      <c r="B102" s="21"/>
      <c r="C102" s="21"/>
      <c r="D102" s="22"/>
      <c r="F102" s="22"/>
      <c r="G102" s="27"/>
      <c r="H102" s="22"/>
      <c r="I102" s="27"/>
      <c r="J102" s="247"/>
      <c r="K102" s="247"/>
      <c r="L102" s="247"/>
    </row>
    <row r="103" spans="1:12" s="20" customFormat="1" x14ac:dyDescent="0.25">
      <c r="A103" s="26"/>
      <c r="B103" s="21"/>
      <c r="C103" s="21"/>
      <c r="D103" s="22"/>
      <c r="F103" s="22"/>
      <c r="G103" s="27"/>
      <c r="H103" s="22"/>
      <c r="I103" s="27"/>
      <c r="J103" s="247"/>
      <c r="K103" s="247"/>
      <c r="L103" s="247"/>
    </row>
    <row r="104" spans="1:12" s="20" customFormat="1" x14ac:dyDescent="0.25">
      <c r="A104" s="26"/>
      <c r="B104" s="21"/>
      <c r="C104" s="21"/>
      <c r="D104" s="22"/>
      <c r="F104" s="22"/>
      <c r="G104" s="27"/>
      <c r="H104" s="22"/>
      <c r="I104" s="27"/>
      <c r="J104" s="247"/>
      <c r="K104" s="247"/>
      <c r="L104" s="247"/>
    </row>
    <row r="105" spans="1:12" s="20" customFormat="1" x14ac:dyDescent="0.25">
      <c r="A105" s="26"/>
      <c r="B105" s="21"/>
      <c r="C105" s="21"/>
      <c r="D105" s="22"/>
      <c r="F105" s="22"/>
      <c r="G105" s="27"/>
      <c r="H105" s="22"/>
      <c r="I105" s="27"/>
      <c r="J105" s="247"/>
      <c r="K105" s="247"/>
      <c r="L105" s="247"/>
    </row>
    <row r="106" spans="1:12" s="20" customFormat="1" x14ac:dyDescent="0.25">
      <c r="A106" s="26"/>
      <c r="B106" s="21"/>
      <c r="C106" s="21"/>
      <c r="D106" s="22"/>
      <c r="F106" s="22"/>
      <c r="G106" s="27"/>
      <c r="H106" s="22"/>
      <c r="I106" s="27"/>
      <c r="J106" s="247"/>
      <c r="K106" s="247"/>
      <c r="L106" s="247"/>
    </row>
    <row r="107" spans="1:12" s="20" customFormat="1" x14ac:dyDescent="0.25">
      <c r="A107" s="26"/>
      <c r="B107" s="21"/>
      <c r="C107" s="21"/>
      <c r="D107" s="22"/>
      <c r="F107" s="22"/>
      <c r="G107" s="27"/>
      <c r="H107" s="22"/>
      <c r="I107" s="27"/>
      <c r="J107" s="247"/>
      <c r="K107" s="247"/>
      <c r="L107" s="247"/>
    </row>
    <row r="108" spans="1:12" s="20" customFormat="1" x14ac:dyDescent="0.25">
      <c r="A108" s="26"/>
      <c r="B108" s="21"/>
      <c r="C108" s="21"/>
      <c r="D108" s="22"/>
      <c r="F108" s="22"/>
      <c r="G108" s="27"/>
      <c r="H108" s="22"/>
      <c r="I108" s="27"/>
      <c r="J108" s="247"/>
      <c r="K108" s="247"/>
      <c r="L108" s="247"/>
    </row>
    <row r="109" spans="1:12" s="20" customFormat="1" x14ac:dyDescent="0.25">
      <c r="A109" s="26"/>
      <c r="B109" s="21"/>
      <c r="C109" s="21"/>
      <c r="D109" s="22"/>
      <c r="F109" s="22"/>
      <c r="G109" s="27"/>
      <c r="H109" s="22"/>
      <c r="I109" s="27"/>
      <c r="J109" s="247"/>
      <c r="K109" s="247"/>
      <c r="L109" s="247"/>
    </row>
    <row r="110" spans="1:12" s="20" customFormat="1" x14ac:dyDescent="0.25">
      <c r="A110" s="26"/>
      <c r="B110" s="21"/>
      <c r="C110" s="21"/>
      <c r="D110" s="22"/>
      <c r="F110" s="22"/>
      <c r="G110" s="27"/>
      <c r="H110" s="22"/>
      <c r="I110" s="27"/>
      <c r="J110" s="247"/>
      <c r="K110" s="247"/>
      <c r="L110" s="247"/>
    </row>
    <row r="111" spans="1:12" s="20" customFormat="1" x14ac:dyDescent="0.25">
      <c r="A111" s="26"/>
      <c r="B111" s="21"/>
      <c r="C111" s="21"/>
      <c r="D111" s="22"/>
      <c r="F111" s="22"/>
      <c r="G111" s="27"/>
      <c r="H111" s="22"/>
      <c r="I111" s="27"/>
      <c r="J111" s="247"/>
      <c r="K111" s="247"/>
      <c r="L111" s="247"/>
    </row>
    <row r="112" spans="1:12" s="20" customFormat="1" x14ac:dyDescent="0.25">
      <c r="A112" s="26"/>
      <c r="B112" s="21"/>
      <c r="C112" s="21"/>
      <c r="D112" s="22"/>
      <c r="F112" s="22"/>
      <c r="G112" s="27"/>
      <c r="H112" s="22"/>
      <c r="I112" s="27"/>
      <c r="J112" s="247"/>
      <c r="K112" s="247"/>
      <c r="L112" s="247"/>
    </row>
    <row r="113" spans="1:12" s="20" customFormat="1" x14ac:dyDescent="0.25">
      <c r="A113" s="26"/>
      <c r="B113" s="21"/>
      <c r="C113" s="21"/>
      <c r="D113" s="22"/>
      <c r="F113" s="22"/>
      <c r="G113" s="27"/>
      <c r="H113" s="22"/>
      <c r="I113" s="27"/>
      <c r="J113" s="247"/>
      <c r="K113" s="247"/>
      <c r="L113" s="247"/>
    </row>
    <row r="114" spans="1:12" s="20" customFormat="1" x14ac:dyDescent="0.25">
      <c r="A114" s="26"/>
      <c r="B114" s="21"/>
      <c r="C114" s="21"/>
      <c r="D114" s="22"/>
      <c r="F114" s="22"/>
      <c r="G114" s="27"/>
      <c r="H114" s="22"/>
      <c r="I114" s="27"/>
      <c r="J114" s="247"/>
      <c r="K114" s="247"/>
      <c r="L114" s="247"/>
    </row>
    <row r="115" spans="1:12" s="20" customFormat="1" x14ac:dyDescent="0.25">
      <c r="A115" s="26"/>
      <c r="B115" s="21"/>
      <c r="C115" s="21"/>
      <c r="D115" s="22"/>
      <c r="F115" s="22"/>
      <c r="G115" s="27"/>
      <c r="H115" s="22"/>
      <c r="I115" s="27"/>
      <c r="J115" s="247"/>
      <c r="K115" s="247"/>
      <c r="L115" s="247"/>
    </row>
    <row r="116" spans="1:12" s="20" customFormat="1" x14ac:dyDescent="0.25">
      <c r="A116" s="26"/>
      <c r="B116" s="21"/>
      <c r="C116" s="21"/>
      <c r="D116" s="22"/>
      <c r="F116" s="22"/>
      <c r="G116" s="27"/>
      <c r="H116" s="22"/>
      <c r="I116" s="27"/>
      <c r="J116" s="247"/>
      <c r="K116" s="247"/>
      <c r="L116" s="247"/>
    </row>
    <row r="117" spans="1:12" s="20" customFormat="1" x14ac:dyDescent="0.25">
      <c r="A117" s="26"/>
      <c r="B117" s="21"/>
      <c r="C117" s="21"/>
      <c r="D117" s="22"/>
      <c r="F117" s="22"/>
      <c r="G117" s="27"/>
      <c r="H117" s="22"/>
      <c r="I117" s="27"/>
      <c r="J117" s="247"/>
      <c r="K117" s="247"/>
      <c r="L117" s="247"/>
    </row>
    <row r="118" spans="1:12" s="20" customFormat="1" x14ac:dyDescent="0.25">
      <c r="A118" s="26"/>
      <c r="B118" s="21"/>
      <c r="C118" s="21"/>
      <c r="D118" s="22"/>
      <c r="F118" s="22"/>
      <c r="G118" s="27"/>
      <c r="H118" s="22"/>
      <c r="I118" s="27"/>
      <c r="J118" s="247"/>
      <c r="K118" s="247"/>
      <c r="L118" s="247"/>
    </row>
    <row r="119" spans="1:12" s="20" customFormat="1" x14ac:dyDescent="0.25">
      <c r="A119" s="26"/>
      <c r="B119" s="21"/>
      <c r="C119" s="21"/>
      <c r="D119" s="22"/>
      <c r="F119" s="22"/>
      <c r="G119" s="27"/>
      <c r="H119" s="22"/>
      <c r="I119" s="27"/>
      <c r="J119" s="247"/>
      <c r="K119" s="247"/>
      <c r="L119" s="247"/>
    </row>
    <row r="120" spans="1:12" s="20" customFormat="1" x14ac:dyDescent="0.25">
      <c r="A120" s="26"/>
      <c r="B120" s="21"/>
      <c r="C120" s="21"/>
      <c r="D120" s="22"/>
      <c r="F120" s="22"/>
      <c r="G120" s="27"/>
      <c r="H120" s="22"/>
      <c r="I120" s="27"/>
      <c r="J120" s="247"/>
      <c r="K120" s="247"/>
      <c r="L120" s="247"/>
    </row>
    <row r="121" spans="1:12" s="20" customFormat="1" x14ac:dyDescent="0.25">
      <c r="A121" s="26"/>
      <c r="B121" s="21"/>
      <c r="C121" s="21"/>
      <c r="D121" s="22"/>
      <c r="F121" s="22"/>
      <c r="G121" s="27"/>
      <c r="H121" s="22"/>
      <c r="I121" s="27"/>
      <c r="J121" s="247"/>
      <c r="K121" s="247"/>
      <c r="L121" s="247"/>
    </row>
    <row r="122" spans="1:12" s="20" customFormat="1" x14ac:dyDescent="0.25">
      <c r="A122" s="26"/>
      <c r="B122" s="21"/>
      <c r="C122" s="21"/>
      <c r="D122" s="22"/>
      <c r="F122" s="22"/>
      <c r="G122" s="27"/>
      <c r="H122" s="22"/>
      <c r="I122" s="27"/>
      <c r="J122" s="247"/>
      <c r="K122" s="247"/>
      <c r="L122" s="247"/>
    </row>
    <row r="123" spans="1:12" s="20" customFormat="1" x14ac:dyDescent="0.25">
      <c r="A123" s="26"/>
      <c r="B123" s="21"/>
      <c r="C123" s="21"/>
      <c r="D123" s="22"/>
      <c r="F123" s="22"/>
      <c r="G123" s="27"/>
      <c r="H123" s="22"/>
      <c r="I123" s="27"/>
      <c r="J123" s="247"/>
      <c r="K123" s="247"/>
      <c r="L123" s="247"/>
    </row>
    <row r="124" spans="1:12" s="20" customFormat="1" x14ac:dyDescent="0.25">
      <c r="A124" s="26"/>
      <c r="B124" s="21"/>
      <c r="C124" s="21"/>
      <c r="D124" s="22"/>
      <c r="F124" s="22"/>
      <c r="G124" s="27"/>
      <c r="H124" s="22"/>
      <c r="I124" s="27"/>
      <c r="J124" s="247"/>
      <c r="K124" s="247"/>
      <c r="L124" s="247"/>
    </row>
    <row r="125" spans="1:12" s="20" customFormat="1" x14ac:dyDescent="0.25">
      <c r="A125" s="26"/>
      <c r="B125" s="21"/>
      <c r="C125" s="21"/>
      <c r="D125" s="22"/>
      <c r="F125" s="22"/>
      <c r="G125" s="27"/>
      <c r="H125" s="22"/>
      <c r="I125" s="27"/>
      <c r="J125" s="247"/>
      <c r="K125" s="247"/>
      <c r="L125" s="247"/>
    </row>
    <row r="126" spans="1:12" s="20" customFormat="1" x14ac:dyDescent="0.25">
      <c r="A126" s="26"/>
      <c r="B126" s="21"/>
      <c r="C126" s="21"/>
      <c r="D126" s="22"/>
      <c r="F126" s="22"/>
      <c r="G126" s="27"/>
      <c r="H126" s="22"/>
      <c r="I126" s="27"/>
      <c r="J126" s="247"/>
      <c r="K126" s="247"/>
      <c r="L126" s="247"/>
    </row>
    <row r="127" spans="1:12" s="20" customFormat="1" x14ac:dyDescent="0.25">
      <c r="A127" s="26"/>
      <c r="B127" s="21"/>
      <c r="C127" s="21"/>
      <c r="D127" s="22"/>
      <c r="F127" s="22"/>
      <c r="G127" s="27"/>
      <c r="H127" s="22"/>
      <c r="I127" s="27"/>
      <c r="J127" s="247"/>
      <c r="K127" s="247"/>
      <c r="L127" s="247"/>
    </row>
    <row r="128" spans="1:12" s="20" customFormat="1" x14ac:dyDescent="0.25">
      <c r="A128" s="26"/>
      <c r="B128" s="21"/>
      <c r="C128" s="21"/>
      <c r="D128" s="22"/>
      <c r="F128" s="22"/>
      <c r="G128" s="27"/>
      <c r="H128" s="22"/>
      <c r="I128" s="27"/>
      <c r="J128" s="247"/>
      <c r="K128" s="247"/>
      <c r="L128" s="247"/>
    </row>
    <row r="129" spans="1:12" s="20" customFormat="1" x14ac:dyDescent="0.25">
      <c r="A129" s="26"/>
      <c r="B129" s="21"/>
      <c r="C129" s="21"/>
      <c r="D129" s="22"/>
      <c r="F129" s="22"/>
      <c r="G129" s="27"/>
      <c r="H129" s="22"/>
      <c r="I129" s="27"/>
      <c r="J129" s="247"/>
      <c r="K129" s="247"/>
      <c r="L129" s="247"/>
    </row>
    <row r="130" spans="1:12" s="20" customFormat="1" x14ac:dyDescent="0.25">
      <c r="A130" s="26"/>
      <c r="B130" s="21"/>
      <c r="C130" s="21"/>
      <c r="D130" s="22"/>
      <c r="F130" s="22"/>
      <c r="G130" s="27"/>
      <c r="H130" s="22"/>
      <c r="I130" s="27"/>
      <c r="J130" s="247"/>
      <c r="K130" s="247"/>
      <c r="L130" s="247"/>
    </row>
    <row r="131" spans="1:12" s="20" customFormat="1" x14ac:dyDescent="0.25">
      <c r="A131" s="26"/>
      <c r="B131" s="21"/>
      <c r="C131" s="21"/>
      <c r="D131" s="22"/>
      <c r="F131" s="22"/>
      <c r="G131" s="27"/>
      <c r="H131" s="22"/>
      <c r="I131" s="27"/>
      <c r="J131" s="247"/>
      <c r="K131" s="247"/>
      <c r="L131" s="247"/>
    </row>
    <row r="132" spans="1:12" s="20" customFormat="1" x14ac:dyDescent="0.25">
      <c r="A132" s="26"/>
      <c r="B132" s="21"/>
      <c r="C132" s="21"/>
      <c r="D132" s="22"/>
      <c r="F132" s="22"/>
      <c r="G132" s="27"/>
      <c r="H132" s="22"/>
      <c r="I132" s="27"/>
      <c r="J132" s="247"/>
      <c r="K132" s="247"/>
      <c r="L132" s="247"/>
    </row>
    <row r="133" spans="1:12" s="20" customFormat="1" x14ac:dyDescent="0.25">
      <c r="A133" s="26"/>
      <c r="B133" s="21"/>
      <c r="C133" s="21"/>
      <c r="D133" s="22"/>
      <c r="F133" s="22"/>
      <c r="G133" s="27"/>
      <c r="H133" s="22"/>
      <c r="I133" s="27"/>
      <c r="J133" s="247"/>
      <c r="K133" s="247"/>
      <c r="L133" s="247"/>
    </row>
    <row r="134" spans="1:12" s="20" customFormat="1" x14ac:dyDescent="0.25">
      <c r="A134" s="26"/>
      <c r="B134" s="21"/>
      <c r="C134" s="21"/>
      <c r="D134" s="22"/>
      <c r="F134" s="22"/>
      <c r="G134" s="27"/>
      <c r="H134" s="22"/>
      <c r="I134" s="27"/>
      <c r="J134" s="247"/>
      <c r="K134" s="247"/>
      <c r="L134" s="247"/>
    </row>
    <row r="135" spans="1:12" s="20" customFormat="1" x14ac:dyDescent="0.25">
      <c r="A135" s="26"/>
      <c r="B135" s="21"/>
      <c r="C135" s="21"/>
      <c r="D135" s="22"/>
      <c r="F135" s="22"/>
      <c r="G135" s="27"/>
      <c r="H135" s="22"/>
      <c r="I135" s="27"/>
      <c r="J135" s="247"/>
      <c r="K135" s="247"/>
      <c r="L135" s="247"/>
    </row>
    <row r="136" spans="1:12" s="20" customFormat="1" x14ac:dyDescent="0.25">
      <c r="A136" s="26"/>
      <c r="B136" s="21"/>
      <c r="C136" s="21"/>
      <c r="D136" s="22"/>
      <c r="F136" s="22"/>
      <c r="G136" s="27"/>
      <c r="H136" s="22"/>
      <c r="I136" s="27"/>
      <c r="J136" s="247"/>
      <c r="K136" s="247"/>
      <c r="L136" s="247"/>
    </row>
    <row r="137" spans="1:12" s="20" customFormat="1" x14ac:dyDescent="0.25">
      <c r="A137" s="26"/>
      <c r="B137" s="21"/>
      <c r="C137" s="21"/>
      <c r="D137" s="22"/>
      <c r="F137" s="22"/>
      <c r="G137" s="27"/>
      <c r="H137" s="22"/>
      <c r="I137" s="27"/>
      <c r="J137" s="247"/>
      <c r="K137" s="247"/>
      <c r="L137" s="247"/>
    </row>
    <row r="138" spans="1:12" s="20" customFormat="1" x14ac:dyDescent="0.25">
      <c r="A138" s="26"/>
      <c r="B138" s="21"/>
      <c r="C138" s="21"/>
      <c r="D138" s="22"/>
      <c r="F138" s="22"/>
      <c r="G138" s="27"/>
      <c r="H138" s="22"/>
      <c r="I138" s="27"/>
      <c r="J138" s="247"/>
      <c r="K138" s="247"/>
      <c r="L138" s="247"/>
    </row>
    <row r="139" spans="1:12" s="20" customFormat="1" x14ac:dyDescent="0.25">
      <c r="A139" s="26"/>
      <c r="B139" s="21"/>
      <c r="C139" s="21"/>
      <c r="D139" s="22"/>
      <c r="F139" s="22"/>
      <c r="G139" s="27"/>
      <c r="H139" s="22"/>
      <c r="I139" s="27"/>
      <c r="J139" s="247"/>
      <c r="K139" s="247"/>
      <c r="L139" s="247"/>
    </row>
    <row r="140" spans="1:12" s="20" customFormat="1" x14ac:dyDescent="0.25">
      <c r="A140" s="26"/>
      <c r="B140" s="21"/>
      <c r="C140" s="21"/>
      <c r="D140" s="22"/>
      <c r="F140" s="22"/>
      <c r="G140" s="27"/>
      <c r="H140" s="22"/>
      <c r="I140" s="27"/>
      <c r="J140" s="247"/>
      <c r="K140" s="247"/>
      <c r="L140" s="247"/>
    </row>
    <row r="141" spans="1:12" s="20" customFormat="1" x14ac:dyDescent="0.25">
      <c r="A141" s="26"/>
      <c r="B141" s="21"/>
      <c r="C141" s="21"/>
      <c r="D141" s="22"/>
      <c r="F141" s="22"/>
      <c r="G141" s="27"/>
      <c r="H141" s="22"/>
      <c r="I141" s="27"/>
      <c r="J141" s="247"/>
      <c r="K141" s="247"/>
      <c r="L141" s="247"/>
    </row>
    <row r="142" spans="1:12" s="20" customFormat="1" x14ac:dyDescent="0.25">
      <c r="A142" s="26"/>
      <c r="B142" s="21"/>
      <c r="C142" s="21"/>
      <c r="D142" s="22"/>
      <c r="F142" s="22"/>
      <c r="G142" s="27"/>
      <c r="H142" s="22"/>
      <c r="I142" s="27"/>
      <c r="J142" s="247"/>
      <c r="K142" s="247"/>
      <c r="L142" s="247"/>
    </row>
    <row r="143" spans="1:12" s="20" customFormat="1" x14ac:dyDescent="0.25">
      <c r="A143" s="26"/>
      <c r="B143" s="21"/>
      <c r="C143" s="21"/>
      <c r="D143" s="22"/>
      <c r="F143" s="22"/>
      <c r="G143" s="27"/>
      <c r="H143" s="22"/>
      <c r="I143" s="27"/>
      <c r="J143" s="247"/>
      <c r="K143" s="247"/>
      <c r="L143" s="247"/>
    </row>
    <row r="144" spans="1:12" s="20" customFormat="1" x14ac:dyDescent="0.25">
      <c r="A144" s="26"/>
      <c r="B144" s="21"/>
      <c r="C144" s="21"/>
      <c r="D144" s="22"/>
      <c r="F144" s="22"/>
      <c r="G144" s="27"/>
      <c r="H144" s="22"/>
      <c r="I144" s="27"/>
      <c r="J144" s="247"/>
      <c r="K144" s="247"/>
      <c r="L144" s="247"/>
    </row>
    <row r="145" spans="1:12" s="20" customFormat="1" x14ac:dyDescent="0.25">
      <c r="A145" s="26"/>
      <c r="B145" s="21"/>
      <c r="C145" s="21"/>
      <c r="D145" s="22"/>
      <c r="F145" s="22"/>
      <c r="G145" s="27"/>
      <c r="H145" s="22"/>
      <c r="I145" s="27"/>
      <c r="J145" s="247"/>
      <c r="K145" s="247"/>
      <c r="L145" s="247"/>
    </row>
    <row r="146" spans="1:12" s="20" customFormat="1" x14ac:dyDescent="0.25">
      <c r="A146" s="26"/>
      <c r="B146" s="21"/>
      <c r="C146" s="21"/>
      <c r="D146" s="22"/>
      <c r="F146" s="22"/>
      <c r="G146" s="27"/>
      <c r="H146" s="22"/>
      <c r="I146" s="27"/>
      <c r="J146" s="247"/>
      <c r="K146" s="247"/>
      <c r="L146" s="247"/>
    </row>
    <row r="147" spans="1:12" s="20" customFormat="1" x14ac:dyDescent="0.25">
      <c r="A147" s="26"/>
      <c r="B147" s="21"/>
      <c r="C147" s="21"/>
      <c r="D147" s="22"/>
      <c r="F147" s="22"/>
      <c r="G147" s="27"/>
      <c r="H147" s="22"/>
      <c r="I147" s="27"/>
      <c r="J147" s="247"/>
      <c r="K147" s="247"/>
      <c r="L147" s="247"/>
    </row>
    <row r="148" spans="1:12" s="20" customFormat="1" x14ac:dyDescent="0.25">
      <c r="A148" s="26"/>
      <c r="B148" s="21"/>
      <c r="C148" s="21"/>
      <c r="D148" s="22"/>
      <c r="F148" s="22"/>
      <c r="G148" s="27"/>
      <c r="H148" s="22"/>
      <c r="I148" s="27"/>
      <c r="J148" s="247"/>
      <c r="K148" s="247"/>
      <c r="L148" s="247"/>
    </row>
    <row r="149" spans="1:12" s="20" customFormat="1" x14ac:dyDescent="0.25">
      <c r="A149" s="26"/>
      <c r="B149" s="21"/>
      <c r="C149" s="21"/>
      <c r="D149" s="22"/>
      <c r="F149" s="22"/>
      <c r="G149" s="27"/>
      <c r="H149" s="22"/>
      <c r="I149" s="27"/>
      <c r="J149" s="247"/>
      <c r="K149" s="247"/>
      <c r="L149" s="247"/>
    </row>
    <row r="150" spans="1:12" s="20" customFormat="1" x14ac:dyDescent="0.25">
      <c r="A150" s="26"/>
      <c r="B150" s="21"/>
      <c r="C150" s="21"/>
      <c r="D150" s="22"/>
      <c r="F150" s="22"/>
      <c r="G150" s="27"/>
      <c r="H150" s="22"/>
      <c r="I150" s="27"/>
      <c r="J150" s="247"/>
      <c r="K150" s="247"/>
      <c r="L150" s="247"/>
    </row>
    <row r="151" spans="1:12" s="20" customFormat="1" x14ac:dyDescent="0.25">
      <c r="A151" s="26"/>
      <c r="B151" s="21"/>
      <c r="C151" s="21"/>
      <c r="D151" s="22"/>
      <c r="F151" s="22"/>
      <c r="G151" s="27"/>
      <c r="H151" s="22"/>
      <c r="I151" s="27"/>
      <c r="J151" s="247"/>
      <c r="K151" s="247"/>
      <c r="L151" s="247"/>
    </row>
    <row r="152" spans="1:12" s="20" customFormat="1" x14ac:dyDescent="0.25">
      <c r="A152" s="26"/>
      <c r="B152" s="21"/>
      <c r="C152" s="21"/>
      <c r="D152" s="22"/>
      <c r="F152" s="22"/>
      <c r="G152" s="27"/>
      <c r="H152" s="22"/>
      <c r="I152" s="27"/>
      <c r="J152" s="247"/>
      <c r="K152" s="247"/>
      <c r="L152" s="247"/>
    </row>
    <row r="153" spans="1:12" s="20" customFormat="1" x14ac:dyDescent="0.25">
      <c r="A153" s="26"/>
      <c r="B153" s="21"/>
      <c r="C153" s="21"/>
      <c r="D153" s="22"/>
      <c r="F153" s="22"/>
      <c r="G153" s="27"/>
      <c r="H153" s="22"/>
      <c r="I153" s="27"/>
      <c r="J153" s="247"/>
      <c r="K153" s="247"/>
      <c r="L153" s="247"/>
    </row>
    <row r="154" spans="1:12" s="20" customFormat="1" x14ac:dyDescent="0.25">
      <c r="A154" s="26"/>
      <c r="B154" s="21"/>
      <c r="C154" s="21"/>
      <c r="D154" s="22"/>
      <c r="F154" s="22"/>
      <c r="G154" s="27"/>
      <c r="H154" s="22"/>
      <c r="I154" s="27"/>
      <c r="J154" s="247"/>
      <c r="K154" s="247"/>
      <c r="L154" s="247"/>
    </row>
    <row r="155" spans="1:12" s="20" customFormat="1" x14ac:dyDescent="0.25">
      <c r="A155" s="26"/>
      <c r="B155" s="21"/>
      <c r="C155" s="21"/>
      <c r="D155" s="22"/>
      <c r="F155" s="22"/>
      <c r="G155" s="27"/>
      <c r="H155" s="22"/>
      <c r="I155" s="27"/>
      <c r="J155" s="247"/>
      <c r="K155" s="247"/>
      <c r="L155" s="247"/>
    </row>
    <row r="156" spans="1:12" s="20" customFormat="1" x14ac:dyDescent="0.25">
      <c r="A156" s="26"/>
      <c r="B156" s="21"/>
      <c r="C156" s="21"/>
      <c r="D156" s="22"/>
      <c r="F156" s="22"/>
      <c r="G156" s="27"/>
      <c r="H156" s="22"/>
      <c r="I156" s="27"/>
      <c r="J156" s="247"/>
      <c r="K156" s="247"/>
      <c r="L156" s="247"/>
    </row>
    <row r="157" spans="1:12" s="20" customFormat="1" x14ac:dyDescent="0.25">
      <c r="A157" s="26"/>
      <c r="B157" s="21"/>
      <c r="C157" s="21"/>
      <c r="D157" s="22"/>
      <c r="F157" s="22"/>
      <c r="G157" s="27"/>
      <c r="H157" s="22"/>
      <c r="I157" s="27"/>
      <c r="J157" s="247"/>
      <c r="K157" s="247"/>
      <c r="L157" s="247"/>
    </row>
    <row r="158" spans="1:12" s="20" customFormat="1" x14ac:dyDescent="0.25">
      <c r="A158" s="26"/>
      <c r="B158" s="21"/>
      <c r="C158" s="21"/>
      <c r="D158" s="22"/>
      <c r="F158" s="22"/>
      <c r="G158" s="27"/>
      <c r="H158" s="22"/>
      <c r="I158" s="27"/>
      <c r="J158" s="247"/>
      <c r="K158" s="247"/>
      <c r="L158" s="247"/>
    </row>
    <row r="159" spans="1:12" s="20" customFormat="1" x14ac:dyDescent="0.25">
      <c r="A159" s="26"/>
      <c r="B159" s="21"/>
      <c r="C159" s="21"/>
      <c r="D159" s="22"/>
      <c r="F159" s="22"/>
      <c r="G159" s="27"/>
      <c r="H159" s="22"/>
      <c r="I159" s="27"/>
      <c r="J159" s="247"/>
      <c r="K159" s="247"/>
      <c r="L159" s="247"/>
    </row>
    <row r="160" spans="1:12" s="20" customFormat="1" x14ac:dyDescent="0.25">
      <c r="A160" s="26"/>
      <c r="B160" s="21"/>
      <c r="C160" s="21"/>
      <c r="D160" s="22"/>
      <c r="F160" s="22"/>
      <c r="G160" s="27"/>
      <c r="H160" s="22"/>
      <c r="I160" s="27"/>
      <c r="J160" s="247"/>
      <c r="K160" s="247"/>
      <c r="L160" s="247"/>
    </row>
    <row r="161" spans="1:12" s="20" customFormat="1" x14ac:dyDescent="0.25">
      <c r="A161" s="26"/>
      <c r="B161" s="21"/>
      <c r="C161" s="21"/>
      <c r="D161" s="22"/>
      <c r="F161" s="22"/>
      <c r="G161" s="27"/>
      <c r="H161" s="22"/>
      <c r="I161" s="27"/>
      <c r="J161" s="247"/>
      <c r="K161" s="247"/>
      <c r="L161" s="247"/>
    </row>
    <row r="162" spans="1:12" s="20" customFormat="1" x14ac:dyDescent="0.25">
      <c r="A162" s="26"/>
      <c r="B162" s="21"/>
      <c r="C162" s="21"/>
      <c r="D162" s="22"/>
      <c r="F162" s="22"/>
      <c r="G162" s="27"/>
      <c r="H162" s="22"/>
      <c r="I162" s="27"/>
      <c r="J162" s="247"/>
      <c r="K162" s="247"/>
      <c r="L162" s="247"/>
    </row>
    <row r="163" spans="1:12" s="20" customFormat="1" x14ac:dyDescent="0.25">
      <c r="A163" s="26"/>
      <c r="B163" s="21"/>
      <c r="C163" s="21"/>
      <c r="D163" s="22"/>
      <c r="F163" s="22"/>
      <c r="G163" s="27"/>
      <c r="H163" s="22"/>
      <c r="I163" s="27"/>
      <c r="J163" s="247"/>
      <c r="K163" s="247"/>
      <c r="L163" s="247"/>
    </row>
    <row r="164" spans="1:12" s="20" customFormat="1" x14ac:dyDescent="0.25">
      <c r="A164" s="26"/>
      <c r="B164" s="21"/>
      <c r="C164" s="21"/>
      <c r="D164" s="22"/>
      <c r="F164" s="22"/>
      <c r="G164" s="27"/>
      <c r="H164" s="22"/>
      <c r="I164" s="27"/>
      <c r="J164" s="247"/>
      <c r="K164" s="247"/>
      <c r="L164" s="247"/>
    </row>
    <row r="165" spans="1:12" s="20" customFormat="1" x14ac:dyDescent="0.25">
      <c r="A165" s="26"/>
      <c r="B165" s="21"/>
      <c r="C165" s="21"/>
      <c r="D165" s="22"/>
      <c r="F165" s="22"/>
      <c r="G165" s="27"/>
      <c r="H165" s="22"/>
      <c r="I165" s="27"/>
      <c r="J165" s="247"/>
      <c r="K165" s="247"/>
      <c r="L165" s="247"/>
    </row>
    <row r="166" spans="1:12" s="20" customFormat="1" x14ac:dyDescent="0.25">
      <c r="A166" s="26"/>
      <c r="B166" s="21"/>
      <c r="C166" s="21"/>
      <c r="D166" s="22"/>
      <c r="F166" s="22"/>
      <c r="G166" s="27"/>
      <c r="H166" s="22"/>
      <c r="I166" s="27"/>
      <c r="J166" s="247"/>
      <c r="K166" s="247"/>
      <c r="L166" s="247"/>
    </row>
    <row r="167" spans="1:12" s="20" customFormat="1" x14ac:dyDescent="0.25">
      <c r="A167" s="26"/>
      <c r="B167" s="21"/>
      <c r="C167" s="21"/>
      <c r="D167" s="22"/>
      <c r="F167" s="22"/>
      <c r="G167" s="27"/>
      <c r="H167" s="22"/>
      <c r="I167" s="27"/>
      <c r="J167" s="247"/>
      <c r="K167" s="247"/>
      <c r="L167" s="247"/>
    </row>
    <row r="168" spans="1:12" s="20" customFormat="1" x14ac:dyDescent="0.25">
      <c r="A168" s="26"/>
      <c r="B168" s="21"/>
      <c r="C168" s="21"/>
      <c r="D168" s="22"/>
      <c r="F168" s="22"/>
      <c r="G168" s="27"/>
      <c r="H168" s="22"/>
      <c r="I168" s="27"/>
      <c r="J168" s="247"/>
      <c r="K168" s="247"/>
      <c r="L168" s="247"/>
    </row>
    <row r="169" spans="1:12" s="20" customFormat="1" x14ac:dyDescent="0.25">
      <c r="A169" s="26"/>
      <c r="B169" s="21"/>
      <c r="C169" s="21"/>
      <c r="D169" s="22"/>
      <c r="F169" s="22"/>
      <c r="G169" s="27"/>
      <c r="H169" s="22"/>
      <c r="I169" s="27"/>
      <c r="J169" s="247"/>
      <c r="K169" s="247"/>
      <c r="L169" s="247"/>
    </row>
    <row r="170" spans="1:12" s="20" customFormat="1" x14ac:dyDescent="0.25">
      <c r="A170" s="26"/>
      <c r="B170" s="21"/>
      <c r="C170" s="21"/>
      <c r="D170" s="22"/>
      <c r="F170" s="22"/>
      <c r="G170" s="27"/>
      <c r="H170" s="22"/>
      <c r="I170" s="27"/>
      <c r="J170" s="247"/>
      <c r="K170" s="247"/>
      <c r="L170" s="247"/>
    </row>
    <row r="171" spans="1:12" s="20" customFormat="1" x14ac:dyDescent="0.25">
      <c r="A171" s="26"/>
      <c r="B171" s="21"/>
      <c r="C171" s="21"/>
      <c r="D171" s="22"/>
      <c r="F171" s="22"/>
      <c r="G171" s="27"/>
      <c r="H171" s="22"/>
      <c r="I171" s="27"/>
      <c r="J171" s="247"/>
      <c r="K171" s="247"/>
      <c r="L171" s="247"/>
    </row>
    <row r="172" spans="1:12" s="20" customFormat="1" x14ac:dyDescent="0.25">
      <c r="A172" s="26"/>
      <c r="B172" s="21"/>
      <c r="C172" s="21"/>
      <c r="D172" s="22"/>
      <c r="F172" s="22"/>
      <c r="G172" s="27"/>
      <c r="H172" s="22"/>
      <c r="I172" s="27"/>
      <c r="J172" s="247"/>
      <c r="K172" s="247"/>
      <c r="L172" s="247"/>
    </row>
    <row r="173" spans="1:12" s="20" customFormat="1" x14ac:dyDescent="0.25">
      <c r="A173" s="26"/>
      <c r="B173" s="21"/>
      <c r="C173" s="21"/>
      <c r="D173" s="22"/>
      <c r="F173" s="22"/>
      <c r="G173" s="27"/>
      <c r="H173" s="22"/>
      <c r="I173" s="27"/>
      <c r="J173" s="247"/>
      <c r="K173" s="247"/>
      <c r="L173" s="247"/>
    </row>
    <row r="174" spans="1:12" s="20" customFormat="1" x14ac:dyDescent="0.25">
      <c r="A174" s="26"/>
      <c r="B174" s="21"/>
      <c r="C174" s="21"/>
      <c r="D174" s="22"/>
      <c r="F174" s="22"/>
      <c r="G174" s="27"/>
      <c r="H174" s="22"/>
      <c r="I174" s="27"/>
      <c r="J174" s="247"/>
      <c r="K174" s="247"/>
      <c r="L174" s="247"/>
    </row>
    <row r="175" spans="1:12" s="20" customFormat="1" x14ac:dyDescent="0.25">
      <c r="A175" s="26"/>
      <c r="B175" s="21"/>
      <c r="C175" s="21"/>
      <c r="D175" s="22"/>
      <c r="F175" s="22"/>
      <c r="G175" s="27"/>
      <c r="H175" s="22"/>
      <c r="I175" s="27"/>
      <c r="J175" s="247"/>
      <c r="K175" s="247"/>
      <c r="L175" s="247"/>
    </row>
    <row r="176" spans="1:12" s="20" customFormat="1" x14ac:dyDescent="0.25">
      <c r="A176" s="26"/>
      <c r="B176" s="21"/>
      <c r="C176" s="21"/>
      <c r="D176" s="22"/>
      <c r="F176" s="22"/>
      <c r="G176" s="27"/>
      <c r="H176" s="22"/>
      <c r="I176" s="27"/>
      <c r="J176" s="247"/>
      <c r="K176" s="247"/>
      <c r="L176" s="247"/>
    </row>
    <row r="177" spans="1:12" s="20" customFormat="1" x14ac:dyDescent="0.25">
      <c r="A177" s="26"/>
      <c r="B177" s="21"/>
      <c r="C177" s="21"/>
      <c r="D177" s="22"/>
      <c r="F177" s="22"/>
      <c r="G177" s="27"/>
      <c r="H177" s="22"/>
      <c r="I177" s="27"/>
      <c r="J177" s="247"/>
      <c r="K177" s="247"/>
      <c r="L177" s="247"/>
    </row>
    <row r="178" spans="1:12" s="20" customFormat="1" x14ac:dyDescent="0.25">
      <c r="A178" s="26"/>
      <c r="B178" s="21"/>
      <c r="C178" s="21"/>
      <c r="D178" s="22"/>
      <c r="F178" s="22"/>
      <c r="G178" s="27"/>
      <c r="H178" s="22"/>
      <c r="I178" s="27"/>
      <c r="J178" s="247"/>
      <c r="K178" s="247"/>
      <c r="L178" s="247"/>
    </row>
    <row r="179" spans="1:12" s="20" customFormat="1" x14ac:dyDescent="0.25">
      <c r="A179" s="26"/>
      <c r="B179" s="21"/>
      <c r="C179" s="21"/>
      <c r="D179" s="22"/>
      <c r="F179" s="22"/>
      <c r="G179" s="27"/>
      <c r="H179" s="22"/>
      <c r="I179" s="27"/>
      <c r="J179" s="247"/>
      <c r="K179" s="247"/>
      <c r="L179" s="247"/>
    </row>
    <row r="180" spans="1:12" s="20" customFormat="1" x14ac:dyDescent="0.25">
      <c r="A180" s="26"/>
      <c r="B180" s="21"/>
      <c r="C180" s="21"/>
      <c r="D180" s="22"/>
      <c r="F180" s="22"/>
      <c r="G180" s="27"/>
      <c r="H180" s="22"/>
      <c r="I180" s="27"/>
      <c r="J180" s="247"/>
      <c r="K180" s="247"/>
      <c r="L180" s="247"/>
    </row>
    <row r="181" spans="1:12" s="20" customFormat="1" x14ac:dyDescent="0.25">
      <c r="A181" s="26"/>
      <c r="B181" s="21"/>
      <c r="C181" s="21"/>
      <c r="D181" s="22"/>
      <c r="F181" s="22"/>
      <c r="G181" s="27"/>
      <c r="H181" s="22"/>
      <c r="I181" s="27"/>
      <c r="J181" s="247"/>
      <c r="K181" s="247"/>
      <c r="L181" s="247"/>
    </row>
    <row r="182" spans="1:12" s="20" customFormat="1" x14ac:dyDescent="0.25">
      <c r="A182" s="26"/>
      <c r="B182" s="21"/>
      <c r="C182" s="21"/>
      <c r="D182" s="22"/>
      <c r="F182" s="22"/>
      <c r="G182" s="27"/>
      <c r="H182" s="22"/>
      <c r="I182" s="27"/>
      <c r="J182" s="247"/>
      <c r="K182" s="247"/>
      <c r="L182" s="247"/>
    </row>
    <row r="183" spans="1:12" s="20" customFormat="1" x14ac:dyDescent="0.25">
      <c r="A183" s="26"/>
      <c r="B183" s="21"/>
      <c r="C183" s="21"/>
      <c r="D183" s="22"/>
      <c r="F183" s="22"/>
      <c r="G183" s="27"/>
      <c r="H183" s="22"/>
      <c r="I183" s="27"/>
      <c r="J183" s="247"/>
      <c r="K183" s="247"/>
      <c r="L183" s="247"/>
    </row>
    <row r="184" spans="1:12" s="20" customFormat="1" x14ac:dyDescent="0.25">
      <c r="A184" s="26"/>
      <c r="B184" s="21"/>
      <c r="C184" s="21"/>
      <c r="D184" s="22"/>
      <c r="F184" s="22"/>
      <c r="G184" s="27"/>
      <c r="H184" s="22"/>
      <c r="I184" s="27"/>
      <c r="J184" s="247"/>
      <c r="K184" s="247"/>
      <c r="L184" s="247"/>
    </row>
    <row r="185" spans="1:12" s="20" customFormat="1" x14ac:dyDescent="0.25">
      <c r="A185" s="26"/>
      <c r="B185" s="21"/>
      <c r="C185" s="21"/>
      <c r="D185" s="22"/>
      <c r="F185" s="22"/>
      <c r="G185" s="27"/>
      <c r="H185" s="22"/>
      <c r="I185" s="27"/>
      <c r="J185" s="247"/>
      <c r="K185" s="247"/>
      <c r="L185" s="247"/>
    </row>
    <row r="186" spans="1:12" s="20" customFormat="1" x14ac:dyDescent="0.25">
      <c r="A186" s="26"/>
      <c r="B186" s="21"/>
      <c r="C186" s="21"/>
      <c r="D186" s="22"/>
      <c r="F186" s="22"/>
      <c r="G186" s="27"/>
      <c r="H186" s="22"/>
      <c r="I186" s="27"/>
      <c r="J186" s="247"/>
      <c r="K186" s="247"/>
      <c r="L186" s="247"/>
    </row>
    <row r="187" spans="1:12" s="20" customFormat="1" x14ac:dyDescent="0.25">
      <c r="A187" s="26"/>
      <c r="B187" s="21"/>
      <c r="C187" s="21"/>
      <c r="D187" s="22"/>
      <c r="F187" s="22"/>
      <c r="G187" s="27"/>
      <c r="H187" s="22"/>
      <c r="I187" s="27"/>
      <c r="J187" s="247"/>
      <c r="K187" s="247"/>
      <c r="L187" s="247"/>
    </row>
    <row r="188" spans="1:12" s="20" customFormat="1" x14ac:dyDescent="0.25">
      <c r="A188" s="26"/>
      <c r="B188" s="21"/>
      <c r="C188" s="21"/>
      <c r="D188" s="22"/>
      <c r="F188" s="22"/>
      <c r="G188" s="27"/>
      <c r="H188" s="22"/>
      <c r="I188" s="27"/>
      <c r="J188" s="247"/>
      <c r="K188" s="247"/>
      <c r="L188" s="247"/>
    </row>
    <row r="189" spans="1:12" s="20" customFormat="1" x14ac:dyDescent="0.25">
      <c r="A189" s="26"/>
      <c r="B189" s="21"/>
      <c r="C189" s="21"/>
      <c r="D189" s="22"/>
      <c r="F189" s="22"/>
      <c r="G189" s="27"/>
      <c r="H189" s="22"/>
      <c r="I189" s="27"/>
      <c r="J189" s="247"/>
      <c r="K189" s="247"/>
      <c r="L189" s="247"/>
    </row>
    <row r="190" spans="1:12" s="20" customFormat="1" x14ac:dyDescent="0.25">
      <c r="A190" s="26"/>
      <c r="B190" s="21"/>
      <c r="C190" s="21"/>
      <c r="D190" s="22"/>
      <c r="F190" s="22"/>
      <c r="G190" s="27"/>
      <c r="H190" s="22"/>
      <c r="I190" s="27"/>
      <c r="J190" s="247"/>
      <c r="K190" s="247"/>
      <c r="L190" s="247"/>
    </row>
    <row r="191" spans="1:12" s="20" customFormat="1" x14ac:dyDescent="0.25">
      <c r="A191" s="26"/>
      <c r="B191" s="21"/>
      <c r="C191" s="21"/>
      <c r="D191" s="22"/>
      <c r="F191" s="22"/>
      <c r="G191" s="27"/>
      <c r="H191" s="22"/>
      <c r="I191" s="27"/>
      <c r="J191" s="247"/>
      <c r="K191" s="247"/>
      <c r="L191" s="247"/>
    </row>
    <row r="192" spans="1:12" s="20" customFormat="1" x14ac:dyDescent="0.25">
      <c r="A192" s="26"/>
      <c r="B192" s="21"/>
      <c r="C192" s="21"/>
      <c r="D192" s="22"/>
      <c r="F192" s="22"/>
      <c r="G192" s="27"/>
      <c r="H192" s="22"/>
      <c r="I192" s="27"/>
      <c r="J192" s="247"/>
      <c r="K192" s="247"/>
      <c r="L192" s="247"/>
    </row>
    <row r="193" spans="1:12" s="20" customFormat="1" x14ac:dyDescent="0.25">
      <c r="A193" s="26"/>
      <c r="B193" s="21"/>
      <c r="C193" s="21"/>
      <c r="D193" s="22"/>
      <c r="F193" s="22"/>
      <c r="G193" s="27"/>
      <c r="H193" s="22"/>
      <c r="I193" s="27"/>
      <c r="J193" s="247"/>
      <c r="K193" s="247"/>
      <c r="L193" s="247"/>
    </row>
    <row r="194" spans="1:12" s="20" customFormat="1" x14ac:dyDescent="0.25">
      <c r="A194" s="26"/>
      <c r="B194" s="21"/>
      <c r="C194" s="21"/>
      <c r="D194" s="22"/>
      <c r="F194" s="22"/>
      <c r="G194" s="27"/>
      <c r="H194" s="22"/>
      <c r="I194" s="27"/>
      <c r="J194" s="247"/>
      <c r="K194" s="247"/>
      <c r="L194" s="247"/>
    </row>
    <row r="195" spans="1:12" s="20" customFormat="1" x14ac:dyDescent="0.25">
      <c r="A195" s="26"/>
      <c r="B195" s="21"/>
      <c r="C195" s="21"/>
      <c r="D195" s="22"/>
      <c r="F195" s="22"/>
      <c r="G195" s="27"/>
      <c r="H195" s="22"/>
      <c r="I195" s="27"/>
      <c r="J195" s="247"/>
      <c r="K195" s="247"/>
      <c r="L195" s="247"/>
    </row>
    <row r="196" spans="1:12" s="20" customFormat="1" x14ac:dyDescent="0.25">
      <c r="A196" s="26"/>
      <c r="B196" s="21"/>
      <c r="C196" s="21"/>
      <c r="D196" s="22"/>
      <c r="F196" s="22"/>
      <c r="G196" s="27"/>
      <c r="H196" s="22"/>
      <c r="I196" s="27"/>
      <c r="J196" s="247"/>
      <c r="K196" s="247"/>
      <c r="L196" s="247"/>
    </row>
    <row r="197" spans="1:12" s="20" customFormat="1" x14ac:dyDescent="0.25">
      <c r="A197" s="26"/>
      <c r="B197" s="21"/>
      <c r="C197" s="21"/>
      <c r="D197" s="22"/>
      <c r="F197" s="22"/>
      <c r="G197" s="27"/>
      <c r="H197" s="22"/>
      <c r="I197" s="27"/>
      <c r="J197" s="247"/>
      <c r="K197" s="247"/>
      <c r="L197" s="247"/>
    </row>
    <row r="198" spans="1:12" s="20" customFormat="1" x14ac:dyDescent="0.25">
      <c r="A198" s="26"/>
      <c r="B198" s="21"/>
      <c r="C198" s="21"/>
      <c r="D198" s="22"/>
      <c r="F198" s="22"/>
      <c r="G198" s="27"/>
      <c r="H198" s="22"/>
      <c r="I198" s="27"/>
      <c r="J198" s="247"/>
      <c r="K198" s="247"/>
      <c r="L198" s="247"/>
    </row>
    <row r="199" spans="1:12" s="20" customFormat="1" x14ac:dyDescent="0.25">
      <c r="A199" s="26"/>
      <c r="B199" s="21"/>
      <c r="C199" s="21"/>
      <c r="D199" s="22"/>
      <c r="F199" s="22"/>
      <c r="G199" s="27"/>
      <c r="H199" s="22"/>
      <c r="I199" s="27"/>
      <c r="J199" s="247"/>
      <c r="K199" s="247"/>
      <c r="L199" s="247"/>
    </row>
    <row r="200" spans="1:12" s="20" customFormat="1" x14ac:dyDescent="0.25">
      <c r="A200" s="26"/>
      <c r="B200" s="21"/>
      <c r="C200" s="21"/>
      <c r="D200" s="22"/>
      <c r="F200" s="22"/>
      <c r="G200" s="27"/>
      <c r="H200" s="22"/>
      <c r="I200" s="27"/>
      <c r="J200" s="247"/>
      <c r="K200" s="247"/>
      <c r="L200" s="247"/>
    </row>
    <row r="201" spans="1:12" s="20" customFormat="1" x14ac:dyDescent="0.25">
      <c r="A201" s="26"/>
      <c r="B201" s="21"/>
      <c r="C201" s="21"/>
      <c r="D201" s="22"/>
      <c r="F201" s="22"/>
      <c r="G201" s="27"/>
      <c r="H201" s="22"/>
      <c r="I201" s="27"/>
      <c r="J201" s="247"/>
      <c r="K201" s="247"/>
      <c r="L201" s="247"/>
    </row>
    <row r="202" spans="1:12" s="20" customFormat="1" x14ac:dyDescent="0.25">
      <c r="A202" s="26"/>
      <c r="B202" s="21"/>
      <c r="C202" s="21"/>
      <c r="D202" s="22"/>
      <c r="F202" s="22"/>
      <c r="G202" s="27"/>
      <c r="H202" s="22"/>
      <c r="I202" s="27"/>
      <c r="J202" s="247"/>
      <c r="K202" s="247"/>
      <c r="L202" s="247"/>
    </row>
    <row r="203" spans="1:12" s="20" customFormat="1" x14ac:dyDescent="0.25">
      <c r="A203" s="26"/>
      <c r="B203" s="21"/>
      <c r="C203" s="21"/>
      <c r="D203" s="22"/>
      <c r="F203" s="22"/>
      <c r="G203" s="27"/>
      <c r="H203" s="22"/>
      <c r="I203" s="27"/>
      <c r="J203" s="247"/>
      <c r="K203" s="247"/>
      <c r="L203" s="247"/>
    </row>
    <row r="204" spans="1:12" s="20" customFormat="1" x14ac:dyDescent="0.25">
      <c r="A204" s="26"/>
      <c r="B204" s="21"/>
      <c r="C204" s="21"/>
      <c r="D204" s="22"/>
      <c r="F204" s="22"/>
      <c r="G204" s="27"/>
      <c r="H204" s="22"/>
      <c r="I204" s="27"/>
      <c r="J204" s="247"/>
      <c r="K204" s="247"/>
      <c r="L204" s="247"/>
    </row>
    <row r="205" spans="1:12" s="20" customFormat="1" x14ac:dyDescent="0.25">
      <c r="A205" s="26"/>
      <c r="B205" s="21"/>
      <c r="C205" s="21"/>
      <c r="D205" s="22"/>
      <c r="F205" s="22"/>
      <c r="G205" s="27"/>
      <c r="H205" s="22"/>
      <c r="I205" s="27"/>
      <c r="J205" s="247"/>
      <c r="K205" s="247"/>
      <c r="L205" s="247"/>
    </row>
    <row r="206" spans="1:12" s="20" customFormat="1" x14ac:dyDescent="0.25">
      <c r="A206" s="26"/>
      <c r="B206" s="21"/>
      <c r="C206" s="21"/>
      <c r="D206" s="22"/>
      <c r="F206" s="22"/>
      <c r="G206" s="27"/>
      <c r="H206" s="22"/>
      <c r="I206" s="27"/>
      <c r="J206" s="247"/>
      <c r="K206" s="247"/>
      <c r="L206" s="247"/>
    </row>
    <row r="207" spans="1:12" s="20" customFormat="1" x14ac:dyDescent="0.25">
      <c r="A207" s="26"/>
      <c r="B207" s="21"/>
      <c r="C207" s="21"/>
      <c r="D207" s="22"/>
      <c r="F207" s="22"/>
      <c r="G207" s="27"/>
      <c r="H207" s="22"/>
      <c r="I207" s="27"/>
      <c r="J207" s="247"/>
      <c r="K207" s="247"/>
      <c r="L207" s="247"/>
    </row>
    <row r="208" spans="1:12" s="20" customFormat="1" x14ac:dyDescent="0.25">
      <c r="A208" s="26"/>
      <c r="B208" s="21"/>
      <c r="C208" s="21"/>
      <c r="D208" s="22"/>
      <c r="F208" s="22"/>
      <c r="G208" s="27"/>
      <c r="H208" s="22"/>
      <c r="I208" s="27"/>
      <c r="J208" s="247"/>
      <c r="K208" s="247"/>
      <c r="L208" s="247"/>
    </row>
    <row r="209" spans="1:12" s="20" customFormat="1" x14ac:dyDescent="0.25">
      <c r="A209" s="26"/>
      <c r="B209" s="21"/>
      <c r="C209" s="21"/>
      <c r="D209" s="22"/>
      <c r="F209" s="22"/>
      <c r="G209" s="27"/>
      <c r="H209" s="22"/>
      <c r="I209" s="27"/>
      <c r="J209" s="247"/>
      <c r="K209" s="247"/>
      <c r="L209" s="247"/>
    </row>
    <row r="210" spans="1:12" s="20" customFormat="1" x14ac:dyDescent="0.25">
      <c r="A210" s="26"/>
      <c r="B210" s="21"/>
      <c r="C210" s="21"/>
      <c r="D210" s="22"/>
      <c r="F210" s="22"/>
      <c r="G210" s="27"/>
      <c r="H210" s="22"/>
      <c r="I210" s="27"/>
      <c r="J210" s="247"/>
      <c r="K210" s="247"/>
      <c r="L210" s="247"/>
    </row>
    <row r="211" spans="1:12" s="20" customFormat="1" x14ac:dyDescent="0.25">
      <c r="A211" s="26"/>
      <c r="B211" s="21"/>
      <c r="C211" s="21"/>
      <c r="D211" s="22"/>
      <c r="F211" s="22"/>
      <c r="G211" s="27"/>
      <c r="H211" s="22"/>
      <c r="I211" s="27"/>
      <c r="J211" s="247"/>
      <c r="K211" s="247"/>
      <c r="L211" s="247"/>
    </row>
    <row r="212" spans="1:12" s="20" customFormat="1" x14ac:dyDescent="0.25">
      <c r="A212" s="26"/>
      <c r="B212" s="21"/>
      <c r="C212" s="21"/>
      <c r="D212" s="22"/>
      <c r="F212" s="22"/>
      <c r="G212" s="27"/>
      <c r="H212" s="22"/>
      <c r="I212" s="27"/>
      <c r="J212" s="247"/>
      <c r="K212" s="247"/>
      <c r="L212" s="247"/>
    </row>
    <row r="213" spans="1:12" s="20" customFormat="1" x14ac:dyDescent="0.25">
      <c r="A213" s="26"/>
      <c r="B213" s="21"/>
      <c r="C213" s="21"/>
      <c r="D213" s="22"/>
      <c r="F213" s="22"/>
      <c r="G213" s="27"/>
      <c r="H213" s="22"/>
      <c r="I213" s="27"/>
      <c r="J213" s="247"/>
      <c r="K213" s="247"/>
      <c r="L213" s="247"/>
    </row>
    <row r="214" spans="1:12" s="20" customFormat="1" x14ac:dyDescent="0.25">
      <c r="A214" s="26"/>
      <c r="B214" s="21"/>
      <c r="C214" s="21"/>
      <c r="D214" s="22"/>
      <c r="F214" s="22"/>
      <c r="G214" s="27"/>
      <c r="H214" s="22"/>
      <c r="I214" s="27"/>
      <c r="J214" s="247"/>
      <c r="K214" s="247"/>
      <c r="L214" s="247"/>
    </row>
    <row r="215" spans="1:12" s="20" customFormat="1" x14ac:dyDescent="0.25">
      <c r="A215" s="26"/>
      <c r="B215" s="21"/>
      <c r="C215" s="21"/>
      <c r="D215" s="22"/>
      <c r="F215" s="22"/>
      <c r="G215" s="27"/>
      <c r="H215" s="22"/>
      <c r="I215" s="27"/>
      <c r="J215" s="247"/>
      <c r="K215" s="247"/>
      <c r="L215" s="247"/>
    </row>
    <row r="216" spans="1:12" s="20" customFormat="1" x14ac:dyDescent="0.25">
      <c r="A216" s="26"/>
      <c r="B216" s="21"/>
      <c r="C216" s="21"/>
      <c r="D216" s="22"/>
      <c r="F216" s="22"/>
      <c r="G216" s="27"/>
      <c r="H216" s="22"/>
      <c r="I216" s="27"/>
      <c r="J216" s="247"/>
      <c r="K216" s="247"/>
      <c r="L216" s="247"/>
    </row>
    <row r="217" spans="1:12" s="20" customFormat="1" x14ac:dyDescent="0.25">
      <c r="A217" s="26"/>
      <c r="B217" s="21"/>
      <c r="C217" s="21"/>
      <c r="D217" s="22"/>
      <c r="F217" s="22"/>
      <c r="G217" s="27"/>
      <c r="H217" s="22"/>
      <c r="I217" s="27"/>
      <c r="J217" s="247"/>
      <c r="K217" s="247"/>
      <c r="L217" s="247"/>
    </row>
    <row r="218" spans="1:12" s="20" customFormat="1" x14ac:dyDescent="0.25">
      <c r="A218" s="26"/>
      <c r="B218" s="21"/>
      <c r="C218" s="21"/>
      <c r="D218" s="22"/>
      <c r="F218" s="22"/>
      <c r="G218" s="27"/>
      <c r="H218" s="22"/>
      <c r="I218" s="27"/>
      <c r="J218" s="247"/>
      <c r="K218" s="247"/>
      <c r="L218" s="247"/>
    </row>
    <row r="219" spans="1:12" s="20" customFormat="1" x14ac:dyDescent="0.25">
      <c r="A219" s="26"/>
      <c r="B219" s="21"/>
      <c r="C219" s="21"/>
      <c r="D219" s="22"/>
      <c r="F219" s="22"/>
      <c r="G219" s="27"/>
      <c r="H219" s="22"/>
      <c r="I219" s="27"/>
      <c r="J219" s="247"/>
      <c r="K219" s="247"/>
      <c r="L219" s="247"/>
    </row>
    <row r="220" spans="1:12" s="20" customFormat="1" x14ac:dyDescent="0.25">
      <c r="A220" s="26"/>
      <c r="B220" s="21"/>
      <c r="C220" s="21"/>
      <c r="D220" s="22"/>
      <c r="F220" s="22"/>
      <c r="G220" s="27"/>
      <c r="H220" s="22"/>
      <c r="I220" s="27"/>
      <c r="J220" s="247"/>
      <c r="K220" s="247"/>
      <c r="L220" s="247"/>
    </row>
    <row r="221" spans="1:12" s="20" customFormat="1" x14ac:dyDescent="0.25">
      <c r="A221" s="26"/>
      <c r="B221" s="21"/>
      <c r="C221" s="21"/>
      <c r="D221" s="22"/>
      <c r="F221" s="22"/>
      <c r="G221" s="27"/>
      <c r="H221" s="22"/>
      <c r="I221" s="27"/>
      <c r="J221" s="247"/>
      <c r="K221" s="247"/>
      <c r="L221" s="247"/>
    </row>
    <row r="222" spans="1:12" s="20" customFormat="1" x14ac:dyDescent="0.25">
      <c r="A222" s="26"/>
      <c r="B222" s="21"/>
      <c r="C222" s="21"/>
      <c r="D222" s="22"/>
      <c r="F222" s="22"/>
      <c r="G222" s="27"/>
      <c r="H222" s="22"/>
      <c r="I222" s="27"/>
      <c r="J222" s="247"/>
      <c r="K222" s="247"/>
      <c r="L222" s="247"/>
    </row>
    <row r="223" spans="1:12" s="20" customFormat="1" x14ac:dyDescent="0.25">
      <c r="A223" s="26"/>
      <c r="B223" s="21"/>
      <c r="C223" s="21"/>
      <c r="D223" s="22"/>
      <c r="F223" s="22"/>
      <c r="G223" s="27"/>
      <c r="H223" s="22"/>
      <c r="I223" s="27"/>
      <c r="J223" s="247"/>
      <c r="K223" s="247"/>
      <c r="L223" s="247"/>
    </row>
    <row r="224" spans="1:12" s="20" customFormat="1" x14ac:dyDescent="0.25">
      <c r="A224" s="26"/>
      <c r="B224" s="21"/>
      <c r="C224" s="21"/>
      <c r="D224" s="22"/>
      <c r="F224" s="22"/>
      <c r="G224" s="27"/>
      <c r="H224" s="22"/>
      <c r="I224" s="27"/>
      <c r="J224" s="247"/>
      <c r="K224" s="247"/>
      <c r="L224" s="247"/>
    </row>
    <row r="225" spans="1:12" s="20" customFormat="1" x14ac:dyDescent="0.25">
      <c r="A225" s="26"/>
      <c r="B225" s="21"/>
      <c r="C225" s="21"/>
      <c r="D225" s="22"/>
      <c r="F225" s="22"/>
      <c r="G225" s="27"/>
      <c r="H225" s="22"/>
      <c r="I225" s="27"/>
      <c r="J225" s="247"/>
      <c r="K225" s="247"/>
      <c r="L225" s="247"/>
    </row>
    <row r="226" spans="1:12" s="20" customFormat="1" x14ac:dyDescent="0.25">
      <c r="A226" s="26"/>
      <c r="B226" s="21"/>
      <c r="C226" s="21"/>
      <c r="D226" s="22"/>
      <c r="F226" s="22"/>
      <c r="G226" s="27"/>
      <c r="H226" s="22"/>
      <c r="I226" s="27"/>
      <c r="J226" s="247"/>
      <c r="K226" s="247"/>
      <c r="L226" s="247"/>
    </row>
    <row r="227" spans="1:12" s="20" customFormat="1" x14ac:dyDescent="0.25">
      <c r="A227" s="26"/>
      <c r="B227" s="21"/>
      <c r="C227" s="21"/>
      <c r="D227" s="22"/>
      <c r="F227" s="22"/>
      <c r="G227" s="27"/>
      <c r="H227" s="22"/>
      <c r="I227" s="27"/>
      <c r="J227" s="247"/>
      <c r="K227" s="247"/>
      <c r="L227" s="247"/>
    </row>
    <row r="228" spans="1:12" s="20" customFormat="1" x14ac:dyDescent="0.25">
      <c r="A228" s="26"/>
      <c r="B228" s="21"/>
      <c r="C228" s="21"/>
      <c r="D228" s="22"/>
      <c r="F228" s="22"/>
      <c r="G228" s="27"/>
      <c r="H228" s="22"/>
      <c r="I228" s="27"/>
      <c r="J228" s="247"/>
      <c r="K228" s="247"/>
      <c r="L228" s="247"/>
    </row>
    <row r="229" spans="1:12" s="20" customFormat="1" x14ac:dyDescent="0.25">
      <c r="A229" s="26"/>
      <c r="B229" s="21"/>
      <c r="C229" s="21"/>
      <c r="D229" s="22"/>
      <c r="F229" s="22"/>
      <c r="G229" s="27"/>
      <c r="H229" s="22"/>
      <c r="I229" s="27"/>
      <c r="J229" s="247"/>
      <c r="K229" s="247"/>
      <c r="L229" s="247"/>
    </row>
    <row r="230" spans="1:12" s="20" customFormat="1" x14ac:dyDescent="0.25">
      <c r="A230" s="26"/>
      <c r="B230" s="21"/>
      <c r="C230" s="21"/>
      <c r="D230" s="22"/>
      <c r="F230" s="22"/>
      <c r="G230" s="27"/>
      <c r="H230" s="22"/>
      <c r="I230" s="27"/>
      <c r="J230" s="247"/>
      <c r="K230" s="247"/>
      <c r="L230" s="247"/>
    </row>
    <row r="231" spans="1:12" s="20" customFormat="1" x14ac:dyDescent="0.25">
      <c r="A231" s="26"/>
      <c r="B231" s="21"/>
      <c r="C231" s="21"/>
      <c r="D231" s="22"/>
      <c r="F231" s="22"/>
      <c r="G231" s="27"/>
      <c r="H231" s="22"/>
      <c r="I231" s="27"/>
      <c r="J231" s="247"/>
      <c r="K231" s="247"/>
      <c r="L231" s="247"/>
    </row>
    <row r="232" spans="1:12" s="20" customFormat="1" x14ac:dyDescent="0.25">
      <c r="A232" s="26"/>
      <c r="B232" s="21"/>
      <c r="C232" s="21"/>
      <c r="D232" s="22"/>
      <c r="F232" s="22"/>
      <c r="G232" s="27"/>
      <c r="H232" s="22"/>
      <c r="I232" s="27"/>
      <c r="J232" s="247"/>
      <c r="K232" s="247"/>
      <c r="L232" s="247"/>
    </row>
    <row r="233" spans="1:12" s="20" customFormat="1" x14ac:dyDescent="0.25">
      <c r="A233" s="26"/>
      <c r="B233" s="21"/>
      <c r="C233" s="21"/>
      <c r="D233" s="22"/>
      <c r="F233" s="22"/>
      <c r="G233" s="27"/>
      <c r="H233" s="22"/>
      <c r="I233" s="27"/>
      <c r="J233" s="247"/>
      <c r="K233" s="247"/>
      <c r="L233" s="247"/>
    </row>
    <row r="234" spans="1:12" s="20" customFormat="1" x14ac:dyDescent="0.25">
      <c r="A234" s="26"/>
      <c r="B234" s="21"/>
      <c r="C234" s="21"/>
      <c r="D234" s="22"/>
      <c r="F234" s="22"/>
      <c r="G234" s="27"/>
      <c r="H234" s="22"/>
      <c r="I234" s="27"/>
      <c r="J234" s="247"/>
      <c r="K234" s="247"/>
      <c r="L234" s="247"/>
    </row>
    <row r="235" spans="1:12" s="20" customFormat="1" x14ac:dyDescent="0.25">
      <c r="A235" s="26"/>
      <c r="B235" s="21"/>
      <c r="C235" s="21"/>
      <c r="D235" s="22"/>
      <c r="F235" s="22"/>
      <c r="G235" s="27"/>
      <c r="H235" s="22"/>
      <c r="I235" s="27"/>
      <c r="J235" s="247"/>
      <c r="K235" s="247"/>
      <c r="L235" s="247"/>
    </row>
    <row r="236" spans="1:12" s="20" customFormat="1" x14ac:dyDescent="0.25">
      <c r="A236" s="26"/>
      <c r="B236" s="21"/>
      <c r="C236" s="21"/>
      <c r="D236" s="22"/>
      <c r="F236" s="22"/>
      <c r="G236" s="27"/>
      <c r="H236" s="22"/>
      <c r="I236" s="27"/>
      <c r="J236" s="247"/>
      <c r="K236" s="247"/>
      <c r="L236" s="247"/>
    </row>
    <row r="237" spans="1:12" s="20" customFormat="1" x14ac:dyDescent="0.25">
      <c r="A237" s="26"/>
      <c r="B237" s="21"/>
      <c r="C237" s="21"/>
      <c r="D237" s="22"/>
      <c r="F237" s="22"/>
      <c r="G237" s="27"/>
      <c r="H237" s="22"/>
      <c r="I237" s="27"/>
      <c r="J237" s="247"/>
      <c r="K237" s="247"/>
      <c r="L237" s="247"/>
    </row>
    <row r="238" spans="1:12" s="20" customFormat="1" x14ac:dyDescent="0.25">
      <c r="A238" s="26"/>
      <c r="B238" s="21"/>
      <c r="C238" s="21"/>
      <c r="D238" s="22"/>
      <c r="F238" s="22"/>
      <c r="G238" s="27"/>
      <c r="H238" s="22"/>
      <c r="I238" s="27"/>
      <c r="J238" s="247"/>
      <c r="K238" s="247"/>
      <c r="L238" s="247"/>
    </row>
    <row r="239" spans="1:12" s="20" customFormat="1" x14ac:dyDescent="0.25">
      <c r="A239" s="26"/>
      <c r="B239" s="21"/>
      <c r="C239" s="21"/>
      <c r="D239" s="22"/>
      <c r="F239" s="22"/>
      <c r="G239" s="27"/>
      <c r="H239" s="22"/>
      <c r="I239" s="27"/>
      <c r="J239" s="247"/>
      <c r="K239" s="247"/>
      <c r="L239" s="247"/>
    </row>
    <row r="240" spans="1:12" s="20" customFormat="1" x14ac:dyDescent="0.25">
      <c r="A240" s="26"/>
      <c r="B240" s="21"/>
      <c r="C240" s="21"/>
      <c r="D240" s="22"/>
      <c r="F240" s="22"/>
      <c r="G240" s="27"/>
      <c r="H240" s="22"/>
      <c r="I240" s="27"/>
      <c r="J240" s="247"/>
      <c r="K240" s="247"/>
      <c r="L240" s="247"/>
    </row>
    <row r="241" spans="1:12" s="20" customFormat="1" x14ac:dyDescent="0.25">
      <c r="A241" s="26"/>
      <c r="B241" s="21"/>
      <c r="C241" s="21"/>
      <c r="D241" s="22"/>
      <c r="F241" s="22"/>
      <c r="G241" s="27"/>
      <c r="H241" s="22"/>
      <c r="I241" s="27"/>
      <c r="J241" s="247"/>
      <c r="K241" s="247"/>
      <c r="L241" s="247"/>
    </row>
    <row r="242" spans="1:12" s="20" customFormat="1" x14ac:dyDescent="0.25">
      <c r="A242" s="26"/>
      <c r="B242" s="21"/>
      <c r="C242" s="21"/>
      <c r="D242" s="22"/>
      <c r="F242" s="22"/>
      <c r="G242" s="27"/>
      <c r="H242" s="22"/>
      <c r="I242" s="27"/>
      <c r="J242" s="247"/>
      <c r="K242" s="247"/>
      <c r="L242" s="247"/>
    </row>
    <row r="243" spans="1:12" s="20" customFormat="1" x14ac:dyDescent="0.25">
      <c r="A243" s="26"/>
      <c r="B243" s="21"/>
      <c r="C243" s="21"/>
      <c r="D243" s="22"/>
      <c r="F243" s="22"/>
      <c r="G243" s="27"/>
      <c r="H243" s="22"/>
      <c r="I243" s="27"/>
      <c r="J243" s="247"/>
      <c r="K243" s="247"/>
      <c r="L243" s="247"/>
    </row>
    <row r="244" spans="1:12" s="20" customFormat="1" x14ac:dyDescent="0.25">
      <c r="A244" s="26"/>
      <c r="B244" s="21"/>
      <c r="C244" s="21"/>
      <c r="D244" s="22"/>
      <c r="F244" s="22"/>
      <c r="G244" s="27"/>
      <c r="H244" s="22"/>
      <c r="I244" s="27"/>
      <c r="J244" s="247"/>
      <c r="K244" s="247"/>
      <c r="L244" s="247"/>
    </row>
    <row r="245" spans="1:12" s="20" customFormat="1" x14ac:dyDescent="0.25">
      <c r="A245" s="26"/>
      <c r="B245" s="21"/>
      <c r="C245" s="21"/>
      <c r="D245" s="22"/>
      <c r="F245" s="22"/>
      <c r="G245" s="27"/>
      <c r="H245" s="22"/>
      <c r="I245" s="27"/>
      <c r="J245" s="247"/>
      <c r="K245" s="247"/>
      <c r="L245" s="247"/>
    </row>
    <row r="246" spans="1:12" s="20" customFormat="1" x14ac:dyDescent="0.25">
      <c r="A246" s="26"/>
      <c r="B246" s="21"/>
      <c r="C246" s="21"/>
      <c r="D246" s="22"/>
      <c r="F246" s="22"/>
      <c r="G246" s="27"/>
      <c r="H246" s="22"/>
      <c r="I246" s="27"/>
      <c r="J246" s="247"/>
      <c r="K246" s="247"/>
      <c r="L246" s="247"/>
    </row>
    <row r="247" spans="1:12" s="20" customFormat="1" x14ac:dyDescent="0.25">
      <c r="A247" s="26"/>
      <c r="B247" s="21"/>
      <c r="C247" s="21"/>
      <c r="D247" s="22"/>
      <c r="F247" s="22"/>
      <c r="G247" s="27"/>
      <c r="H247" s="22"/>
      <c r="I247" s="27"/>
      <c r="J247" s="247"/>
      <c r="K247" s="247"/>
      <c r="L247" s="247"/>
    </row>
    <row r="248" spans="1:12" s="20" customFormat="1" x14ac:dyDescent="0.25">
      <c r="A248" s="26"/>
      <c r="B248" s="21"/>
      <c r="C248" s="21"/>
      <c r="D248" s="22"/>
      <c r="F248" s="22"/>
      <c r="G248" s="27"/>
      <c r="H248" s="22"/>
      <c r="I248" s="27"/>
      <c r="J248" s="247"/>
      <c r="K248" s="247"/>
      <c r="L248" s="247"/>
    </row>
    <row r="249" spans="1:12" s="20" customFormat="1" x14ac:dyDescent="0.25">
      <c r="A249" s="26"/>
      <c r="B249" s="21"/>
      <c r="C249" s="21"/>
      <c r="D249" s="22"/>
      <c r="F249" s="22"/>
      <c r="G249" s="27"/>
      <c r="H249" s="22"/>
      <c r="I249" s="27"/>
      <c r="J249" s="247"/>
      <c r="K249" s="247"/>
      <c r="L249" s="247"/>
    </row>
    <row r="250" spans="1:12" s="20" customFormat="1" x14ac:dyDescent="0.25">
      <c r="A250" s="26"/>
      <c r="B250" s="21"/>
      <c r="C250" s="21"/>
      <c r="D250" s="22"/>
      <c r="F250" s="22"/>
      <c r="G250" s="27"/>
      <c r="H250" s="22"/>
      <c r="I250" s="27"/>
      <c r="J250" s="247"/>
      <c r="K250" s="247"/>
      <c r="L250" s="247"/>
    </row>
    <row r="251" spans="1:12" s="20" customFormat="1" x14ac:dyDescent="0.25">
      <c r="A251" s="26"/>
      <c r="B251" s="21"/>
      <c r="C251" s="21"/>
      <c r="D251" s="22"/>
      <c r="F251" s="22"/>
      <c r="G251" s="27"/>
      <c r="H251" s="22"/>
      <c r="I251" s="27"/>
      <c r="J251" s="247"/>
      <c r="K251" s="247"/>
      <c r="L251" s="247"/>
    </row>
    <row r="252" spans="1:12" s="20" customFormat="1" x14ac:dyDescent="0.25">
      <c r="A252" s="26"/>
      <c r="B252" s="21"/>
      <c r="C252" s="21"/>
      <c r="D252" s="22"/>
      <c r="F252" s="22"/>
      <c r="G252" s="27"/>
      <c r="H252" s="22"/>
      <c r="I252" s="27"/>
      <c r="J252" s="247"/>
      <c r="K252" s="247"/>
      <c r="L252" s="247"/>
    </row>
    <row r="253" spans="1:12" s="20" customFormat="1" x14ac:dyDescent="0.25">
      <c r="A253" s="26"/>
      <c r="B253" s="21"/>
      <c r="C253" s="21"/>
      <c r="D253" s="22"/>
      <c r="F253" s="22"/>
      <c r="G253" s="27"/>
      <c r="H253" s="22"/>
      <c r="I253" s="27"/>
      <c r="J253" s="247"/>
      <c r="K253" s="247"/>
      <c r="L253" s="247"/>
    </row>
    <row r="254" spans="1:12" s="20" customFormat="1" x14ac:dyDescent="0.25">
      <c r="A254" s="26"/>
      <c r="B254" s="21"/>
      <c r="C254" s="21"/>
      <c r="D254" s="22"/>
      <c r="F254" s="22"/>
      <c r="G254" s="27"/>
      <c r="H254" s="22"/>
      <c r="I254" s="27"/>
      <c r="J254" s="247"/>
      <c r="K254" s="247"/>
      <c r="L254" s="247"/>
    </row>
    <row r="255" spans="1:12" s="20" customFormat="1" x14ac:dyDescent="0.25">
      <c r="A255" s="26"/>
      <c r="B255" s="21"/>
      <c r="C255" s="21"/>
      <c r="D255" s="22"/>
      <c r="F255" s="22"/>
      <c r="G255" s="27"/>
      <c r="H255" s="22"/>
      <c r="I255" s="27"/>
      <c r="J255" s="247"/>
      <c r="K255" s="247"/>
      <c r="L255" s="247"/>
    </row>
    <row r="256" spans="1:12" s="20" customFormat="1" x14ac:dyDescent="0.25">
      <c r="A256" s="26"/>
      <c r="B256" s="21"/>
      <c r="C256" s="21"/>
      <c r="D256" s="22"/>
      <c r="F256" s="22"/>
      <c r="G256" s="27"/>
      <c r="H256" s="22"/>
      <c r="I256" s="27"/>
      <c r="J256" s="247"/>
      <c r="K256" s="247"/>
      <c r="L256" s="247"/>
    </row>
    <row r="257" spans="1:12" s="20" customFormat="1" x14ac:dyDescent="0.25">
      <c r="A257" s="26"/>
      <c r="B257" s="21"/>
      <c r="C257" s="21"/>
      <c r="D257" s="22"/>
      <c r="F257" s="22"/>
      <c r="G257" s="27"/>
      <c r="H257" s="22"/>
      <c r="I257" s="27"/>
      <c r="J257" s="247"/>
      <c r="K257" s="247"/>
      <c r="L257" s="247"/>
    </row>
    <row r="258" spans="1:12" s="20" customFormat="1" x14ac:dyDescent="0.25">
      <c r="A258" s="26"/>
      <c r="B258" s="21"/>
      <c r="C258" s="21"/>
      <c r="D258" s="22"/>
      <c r="F258" s="22"/>
      <c r="G258" s="27"/>
      <c r="H258" s="22"/>
      <c r="I258" s="27"/>
      <c r="J258" s="247"/>
      <c r="K258" s="247"/>
      <c r="L258" s="247"/>
    </row>
    <row r="259" spans="1:12" s="20" customFormat="1" x14ac:dyDescent="0.25">
      <c r="A259" s="26"/>
      <c r="B259" s="21"/>
      <c r="C259" s="21"/>
      <c r="D259" s="22"/>
      <c r="F259" s="22"/>
      <c r="G259" s="27"/>
      <c r="H259" s="22"/>
      <c r="I259" s="27"/>
      <c r="J259" s="247"/>
      <c r="K259" s="247"/>
      <c r="L259" s="247"/>
    </row>
    <row r="260" spans="1:12" s="20" customFormat="1" x14ac:dyDescent="0.25">
      <c r="A260" s="26"/>
      <c r="B260" s="21"/>
      <c r="C260" s="21"/>
      <c r="D260" s="22"/>
      <c r="F260" s="22"/>
      <c r="G260" s="27"/>
      <c r="H260" s="22"/>
      <c r="I260" s="27"/>
      <c r="J260" s="247"/>
      <c r="K260" s="247"/>
      <c r="L260" s="247"/>
    </row>
    <row r="261" spans="1:12" s="20" customFormat="1" x14ac:dyDescent="0.25">
      <c r="A261" s="26"/>
      <c r="B261" s="21"/>
      <c r="C261" s="21"/>
      <c r="D261" s="22"/>
      <c r="F261" s="22"/>
      <c r="G261" s="27"/>
      <c r="H261" s="22"/>
      <c r="I261" s="27"/>
      <c r="J261" s="247"/>
      <c r="K261" s="247"/>
      <c r="L261" s="247"/>
    </row>
    <row r="262" spans="1:12" s="20" customFormat="1" x14ac:dyDescent="0.25">
      <c r="A262" s="26"/>
      <c r="B262" s="21"/>
      <c r="C262" s="21"/>
      <c r="D262" s="22"/>
      <c r="F262" s="22"/>
      <c r="G262" s="27"/>
      <c r="H262" s="22"/>
      <c r="I262" s="27"/>
      <c r="J262" s="247"/>
      <c r="K262" s="247"/>
      <c r="L262" s="247"/>
    </row>
    <row r="263" spans="1:12" s="20" customFormat="1" x14ac:dyDescent="0.25">
      <c r="A263" s="26"/>
      <c r="B263" s="21"/>
      <c r="C263" s="21"/>
      <c r="D263" s="22"/>
      <c r="F263" s="22"/>
      <c r="G263" s="27"/>
      <c r="H263" s="22"/>
      <c r="I263" s="27"/>
      <c r="J263" s="247"/>
      <c r="K263" s="247"/>
      <c r="L263" s="247"/>
    </row>
    <row r="264" spans="1:12" s="20" customFormat="1" x14ac:dyDescent="0.25">
      <c r="A264" s="26"/>
      <c r="B264" s="21"/>
      <c r="C264" s="21"/>
      <c r="D264" s="22"/>
      <c r="F264" s="22"/>
      <c r="G264" s="27"/>
      <c r="H264" s="22"/>
      <c r="I264" s="27"/>
      <c r="J264" s="247"/>
      <c r="K264" s="247"/>
      <c r="L264" s="247"/>
    </row>
    <row r="265" spans="1:12" s="20" customFormat="1" x14ac:dyDescent="0.25">
      <c r="A265" s="26"/>
      <c r="B265" s="21"/>
      <c r="C265" s="21"/>
      <c r="D265" s="22"/>
      <c r="F265" s="22"/>
      <c r="G265" s="27"/>
      <c r="H265" s="22"/>
      <c r="I265" s="27"/>
      <c r="J265" s="247"/>
      <c r="K265" s="247"/>
      <c r="L265" s="247"/>
    </row>
    <row r="266" spans="1:12" s="20" customFormat="1" x14ac:dyDescent="0.25">
      <c r="A266" s="26"/>
      <c r="B266" s="21"/>
      <c r="C266" s="21"/>
      <c r="D266" s="22"/>
      <c r="F266" s="22"/>
      <c r="G266" s="27"/>
      <c r="H266" s="22"/>
      <c r="I266" s="27"/>
      <c r="J266" s="247"/>
      <c r="K266" s="247"/>
      <c r="L266" s="247"/>
    </row>
    <row r="267" spans="1:12" s="20" customFormat="1" x14ac:dyDescent="0.25">
      <c r="A267" s="26"/>
      <c r="B267" s="21"/>
      <c r="C267" s="21"/>
      <c r="D267" s="22"/>
      <c r="F267" s="22"/>
      <c r="G267" s="27"/>
      <c r="H267" s="22"/>
      <c r="I267" s="27"/>
      <c r="J267" s="247"/>
      <c r="K267" s="247"/>
      <c r="L267" s="247"/>
    </row>
    <row r="268" spans="1:12" s="20" customFormat="1" x14ac:dyDescent="0.25">
      <c r="A268" s="26"/>
      <c r="B268" s="21"/>
      <c r="C268" s="21"/>
      <c r="D268" s="22"/>
      <c r="F268" s="22"/>
      <c r="G268" s="27"/>
      <c r="H268" s="22"/>
      <c r="I268" s="27"/>
      <c r="J268" s="247"/>
      <c r="K268" s="247"/>
      <c r="L268" s="247"/>
    </row>
    <row r="269" spans="1:12" s="20" customFormat="1" x14ac:dyDescent="0.25">
      <c r="A269" s="26"/>
      <c r="B269" s="21"/>
      <c r="C269" s="21"/>
      <c r="D269" s="22"/>
      <c r="F269" s="22"/>
      <c r="G269" s="27"/>
      <c r="H269" s="22"/>
      <c r="I269" s="27"/>
      <c r="J269" s="247"/>
      <c r="K269" s="247"/>
      <c r="L269" s="247"/>
    </row>
    <row r="270" spans="1:12" s="20" customFormat="1" x14ac:dyDescent="0.25">
      <c r="A270" s="26"/>
      <c r="B270" s="21"/>
      <c r="C270" s="21"/>
      <c r="D270" s="22"/>
      <c r="F270" s="22"/>
      <c r="G270" s="27"/>
      <c r="H270" s="22"/>
      <c r="I270" s="27"/>
      <c r="J270" s="247"/>
      <c r="K270" s="247"/>
      <c r="L270" s="247"/>
    </row>
    <row r="271" spans="1:12" s="20" customFormat="1" x14ac:dyDescent="0.25">
      <c r="A271" s="26"/>
      <c r="B271" s="21"/>
      <c r="C271" s="21"/>
      <c r="D271" s="22"/>
      <c r="F271" s="22"/>
      <c r="G271" s="27"/>
      <c r="H271" s="22"/>
      <c r="I271" s="27"/>
      <c r="J271" s="247"/>
      <c r="K271" s="247"/>
      <c r="L271" s="247"/>
    </row>
    <row r="272" spans="1:12" s="20" customFormat="1" x14ac:dyDescent="0.25">
      <c r="A272" s="26"/>
      <c r="B272" s="21"/>
      <c r="C272" s="21"/>
      <c r="D272" s="22"/>
      <c r="F272" s="22"/>
      <c r="G272" s="27"/>
      <c r="H272" s="22"/>
      <c r="I272" s="27"/>
      <c r="J272" s="247"/>
      <c r="K272" s="247"/>
      <c r="L272" s="247"/>
    </row>
    <row r="273" spans="1:12" s="20" customFormat="1" x14ac:dyDescent="0.25">
      <c r="A273" s="26"/>
      <c r="B273" s="21"/>
      <c r="C273" s="21"/>
      <c r="D273" s="22"/>
      <c r="F273" s="22"/>
      <c r="G273" s="27"/>
      <c r="H273" s="22"/>
      <c r="I273" s="27"/>
      <c r="J273" s="247"/>
      <c r="K273" s="247"/>
      <c r="L273" s="247"/>
    </row>
    <row r="274" spans="1:12" s="20" customFormat="1" x14ac:dyDescent="0.25">
      <c r="A274" s="26"/>
      <c r="B274" s="21"/>
      <c r="C274" s="21"/>
      <c r="D274" s="22"/>
      <c r="F274" s="22"/>
      <c r="G274" s="27"/>
      <c r="H274" s="22"/>
      <c r="I274" s="27"/>
      <c r="J274" s="247"/>
      <c r="K274" s="247"/>
      <c r="L274" s="247"/>
    </row>
    <row r="275" spans="1:12" s="20" customFormat="1" x14ac:dyDescent="0.25">
      <c r="A275" s="26"/>
      <c r="B275" s="21"/>
      <c r="C275" s="21"/>
      <c r="D275" s="22"/>
      <c r="F275" s="22"/>
      <c r="G275" s="27"/>
      <c r="H275" s="22"/>
      <c r="I275" s="27"/>
      <c r="J275" s="247"/>
      <c r="K275" s="247"/>
      <c r="L275" s="247"/>
    </row>
    <row r="276" spans="1:12" s="20" customFormat="1" x14ac:dyDescent="0.25">
      <c r="A276" s="26"/>
      <c r="B276" s="21"/>
      <c r="C276" s="21"/>
      <c r="D276" s="22"/>
      <c r="F276" s="22"/>
      <c r="G276" s="27"/>
      <c r="H276" s="22"/>
      <c r="I276" s="27"/>
      <c r="J276" s="247"/>
      <c r="K276" s="247"/>
      <c r="L276" s="247"/>
    </row>
    <row r="277" spans="1:12" s="20" customFormat="1" x14ac:dyDescent="0.25">
      <c r="A277" s="26"/>
      <c r="B277" s="21"/>
      <c r="C277" s="21"/>
      <c r="D277" s="22"/>
      <c r="F277" s="22"/>
      <c r="G277" s="27"/>
      <c r="H277" s="22"/>
      <c r="I277" s="27"/>
      <c r="J277" s="247"/>
      <c r="K277" s="247"/>
      <c r="L277" s="247"/>
    </row>
    <row r="278" spans="1:12" s="20" customFormat="1" x14ac:dyDescent="0.25">
      <c r="A278" s="26"/>
      <c r="B278" s="21"/>
      <c r="C278" s="21"/>
      <c r="D278" s="22"/>
      <c r="F278" s="22"/>
      <c r="G278" s="27"/>
      <c r="H278" s="22"/>
      <c r="I278" s="27"/>
      <c r="J278" s="247"/>
      <c r="K278" s="247"/>
      <c r="L278" s="247"/>
    </row>
    <row r="279" spans="1:12" s="20" customFormat="1" x14ac:dyDescent="0.25">
      <c r="A279" s="26"/>
      <c r="B279" s="21"/>
      <c r="C279" s="21"/>
      <c r="D279" s="22"/>
      <c r="F279" s="22"/>
      <c r="G279" s="27"/>
      <c r="H279" s="22"/>
      <c r="I279" s="27"/>
      <c r="J279" s="247"/>
      <c r="K279" s="247"/>
      <c r="L279" s="247"/>
    </row>
    <row r="280" spans="1:12" s="20" customFormat="1" x14ac:dyDescent="0.25">
      <c r="A280" s="26"/>
      <c r="B280" s="21"/>
      <c r="C280" s="21"/>
      <c r="D280" s="22"/>
      <c r="F280" s="22"/>
      <c r="G280" s="27"/>
      <c r="H280" s="22"/>
      <c r="I280" s="27"/>
      <c r="J280" s="247"/>
      <c r="K280" s="247"/>
      <c r="L280" s="247"/>
    </row>
    <row r="281" spans="1:12" s="20" customFormat="1" x14ac:dyDescent="0.25">
      <c r="A281" s="26"/>
      <c r="B281" s="21"/>
      <c r="C281" s="21"/>
      <c r="D281" s="22"/>
      <c r="F281" s="22"/>
      <c r="G281" s="27"/>
      <c r="H281" s="22"/>
      <c r="I281" s="27"/>
      <c r="J281" s="247"/>
      <c r="K281" s="247"/>
      <c r="L281" s="247"/>
    </row>
    <row r="282" spans="1:12" s="20" customFormat="1" x14ac:dyDescent="0.25">
      <c r="A282" s="26"/>
      <c r="B282" s="21"/>
      <c r="C282" s="21"/>
      <c r="D282" s="22"/>
      <c r="F282" s="22"/>
      <c r="G282" s="27"/>
      <c r="H282" s="22"/>
      <c r="I282" s="27"/>
      <c r="J282" s="247"/>
      <c r="K282" s="247"/>
      <c r="L282" s="247"/>
    </row>
    <row r="283" spans="1:12" s="20" customFormat="1" x14ac:dyDescent="0.25">
      <c r="A283" s="26"/>
      <c r="B283" s="21"/>
      <c r="C283" s="21"/>
      <c r="D283" s="22"/>
      <c r="F283" s="22"/>
      <c r="G283" s="27"/>
      <c r="H283" s="22"/>
      <c r="I283" s="27"/>
      <c r="J283" s="247"/>
      <c r="K283" s="247"/>
      <c r="L283" s="247"/>
    </row>
    <row r="284" spans="1:12" s="20" customFormat="1" x14ac:dyDescent="0.25">
      <c r="A284" s="26"/>
      <c r="B284" s="21"/>
      <c r="C284" s="21"/>
      <c r="D284" s="22"/>
      <c r="F284" s="22"/>
      <c r="G284" s="27"/>
      <c r="H284" s="22"/>
      <c r="I284" s="27"/>
      <c r="J284" s="247"/>
      <c r="K284" s="247"/>
      <c r="L284" s="247"/>
    </row>
    <row r="285" spans="1:12" s="20" customFormat="1" x14ac:dyDescent="0.25">
      <c r="A285" s="26"/>
      <c r="B285" s="21"/>
      <c r="C285" s="21"/>
      <c r="D285" s="22"/>
      <c r="F285" s="22"/>
      <c r="G285" s="27"/>
      <c r="H285" s="22"/>
      <c r="I285" s="27"/>
      <c r="J285" s="247"/>
      <c r="K285" s="247"/>
      <c r="L285" s="247"/>
    </row>
    <row r="286" spans="1:12" s="20" customFormat="1" x14ac:dyDescent="0.25">
      <c r="A286" s="26"/>
      <c r="B286" s="21"/>
      <c r="C286" s="21"/>
      <c r="D286" s="22"/>
      <c r="F286" s="22"/>
      <c r="G286" s="27"/>
      <c r="H286" s="22"/>
      <c r="I286" s="27"/>
      <c r="J286" s="247"/>
      <c r="K286" s="247"/>
      <c r="L286" s="247"/>
    </row>
    <row r="287" spans="1:12" s="20" customFormat="1" x14ac:dyDescent="0.25">
      <c r="A287" s="26"/>
      <c r="B287" s="21"/>
      <c r="C287" s="21"/>
      <c r="D287" s="22"/>
      <c r="F287" s="22"/>
      <c r="G287" s="27"/>
      <c r="H287" s="22"/>
      <c r="I287" s="27"/>
      <c r="J287" s="247"/>
      <c r="K287" s="247"/>
      <c r="L287" s="247"/>
    </row>
    <row r="288" spans="1:12" s="20" customFormat="1" x14ac:dyDescent="0.25">
      <c r="A288" s="26"/>
      <c r="B288" s="21"/>
      <c r="C288" s="21"/>
      <c r="D288" s="22"/>
      <c r="F288" s="22"/>
      <c r="G288" s="27"/>
      <c r="H288" s="22"/>
      <c r="I288" s="27"/>
      <c r="J288" s="247"/>
      <c r="K288" s="247"/>
      <c r="L288" s="247"/>
    </row>
    <row r="289" spans="1:12" s="20" customFormat="1" x14ac:dyDescent="0.25">
      <c r="A289" s="26"/>
      <c r="B289" s="21"/>
      <c r="C289" s="21"/>
      <c r="D289" s="22"/>
      <c r="F289" s="22"/>
      <c r="G289" s="27"/>
      <c r="H289" s="22"/>
      <c r="I289" s="27"/>
      <c r="J289" s="247"/>
      <c r="K289" s="247"/>
      <c r="L289" s="247"/>
    </row>
    <row r="290" spans="1:12" s="20" customFormat="1" x14ac:dyDescent="0.25">
      <c r="A290" s="26"/>
      <c r="B290" s="21"/>
      <c r="C290" s="21"/>
      <c r="D290" s="22"/>
      <c r="F290" s="22"/>
      <c r="G290" s="27"/>
      <c r="H290" s="22"/>
      <c r="I290" s="27"/>
      <c r="J290" s="247"/>
      <c r="K290" s="247"/>
      <c r="L290" s="247"/>
    </row>
    <row r="291" spans="1:12" s="20" customFormat="1" x14ac:dyDescent="0.25">
      <c r="A291" s="26"/>
      <c r="B291" s="21"/>
      <c r="C291" s="21"/>
      <c r="D291" s="22"/>
      <c r="F291" s="22"/>
      <c r="G291" s="27"/>
      <c r="H291" s="22"/>
      <c r="I291" s="27"/>
      <c r="J291" s="247"/>
      <c r="K291" s="247"/>
      <c r="L291" s="247"/>
    </row>
    <row r="292" spans="1:12" s="20" customFormat="1" x14ac:dyDescent="0.25">
      <c r="A292" s="26"/>
      <c r="B292" s="21"/>
      <c r="C292" s="21"/>
      <c r="D292" s="22"/>
      <c r="F292" s="22"/>
      <c r="G292" s="27"/>
      <c r="H292" s="22"/>
      <c r="I292" s="27"/>
      <c r="J292" s="247"/>
      <c r="K292" s="247"/>
      <c r="L292" s="247"/>
    </row>
    <row r="293" spans="1:12" s="20" customFormat="1" x14ac:dyDescent="0.25">
      <c r="A293" s="26"/>
      <c r="B293" s="21"/>
      <c r="C293" s="21"/>
      <c r="D293" s="22"/>
      <c r="F293" s="22"/>
      <c r="G293" s="27"/>
      <c r="H293" s="22"/>
      <c r="I293" s="27"/>
      <c r="J293" s="247"/>
      <c r="K293" s="247"/>
      <c r="L293" s="247"/>
    </row>
    <row r="294" spans="1:12" s="20" customFormat="1" x14ac:dyDescent="0.25">
      <c r="A294" s="26"/>
      <c r="B294" s="21"/>
      <c r="C294" s="21"/>
      <c r="D294" s="22"/>
      <c r="F294" s="22"/>
      <c r="G294" s="27"/>
      <c r="H294" s="22"/>
      <c r="I294" s="27"/>
      <c r="J294" s="247"/>
      <c r="K294" s="247"/>
      <c r="L294" s="247"/>
    </row>
    <row r="295" spans="1:12" s="20" customFormat="1" x14ac:dyDescent="0.25">
      <c r="A295" s="26"/>
      <c r="B295" s="21"/>
      <c r="C295" s="21"/>
      <c r="D295" s="22"/>
      <c r="F295" s="22"/>
      <c r="G295" s="27"/>
      <c r="H295" s="22"/>
      <c r="I295" s="27"/>
      <c r="J295" s="247"/>
      <c r="K295" s="247"/>
      <c r="L295" s="247"/>
    </row>
    <row r="296" spans="1:12" s="20" customFormat="1" x14ac:dyDescent="0.25">
      <c r="A296" s="26"/>
      <c r="B296" s="21"/>
      <c r="C296" s="21"/>
      <c r="D296" s="22"/>
      <c r="F296" s="22"/>
      <c r="G296" s="27"/>
      <c r="H296" s="22"/>
      <c r="I296" s="27"/>
      <c r="J296" s="247"/>
      <c r="K296" s="247"/>
      <c r="L296" s="247"/>
    </row>
    <row r="297" spans="1:12" s="20" customFormat="1" x14ac:dyDescent="0.25">
      <c r="A297" s="26"/>
      <c r="B297" s="21"/>
      <c r="C297" s="21"/>
      <c r="D297" s="22"/>
      <c r="F297" s="22"/>
      <c r="G297" s="27"/>
      <c r="H297" s="22"/>
      <c r="I297" s="27"/>
      <c r="J297" s="247"/>
      <c r="K297" s="247"/>
      <c r="L297" s="247"/>
    </row>
    <row r="298" spans="1:12" s="20" customFormat="1" x14ac:dyDescent="0.25">
      <c r="A298" s="26"/>
      <c r="B298" s="21"/>
      <c r="C298" s="21"/>
      <c r="D298" s="22"/>
      <c r="F298" s="22"/>
      <c r="G298" s="27"/>
      <c r="H298" s="22"/>
      <c r="I298" s="27"/>
      <c r="J298" s="247"/>
      <c r="K298" s="247"/>
      <c r="L298" s="247"/>
    </row>
    <row r="299" spans="1:12" s="20" customFormat="1" x14ac:dyDescent="0.25">
      <c r="A299" s="26"/>
      <c r="B299" s="21"/>
      <c r="C299" s="21"/>
      <c r="D299" s="22"/>
      <c r="F299" s="22"/>
      <c r="G299" s="27"/>
      <c r="H299" s="22"/>
      <c r="I299" s="27"/>
      <c r="J299" s="247"/>
      <c r="K299" s="247"/>
      <c r="L299" s="247"/>
    </row>
    <row r="300" spans="1:12" s="20" customFormat="1" x14ac:dyDescent="0.25">
      <c r="A300" s="26"/>
      <c r="B300" s="21"/>
      <c r="C300" s="21"/>
      <c r="D300" s="22"/>
      <c r="F300" s="22"/>
      <c r="G300" s="27"/>
      <c r="H300" s="22"/>
      <c r="I300" s="27"/>
      <c r="J300" s="247"/>
      <c r="K300" s="247"/>
      <c r="L300" s="247"/>
    </row>
    <row r="301" spans="1:12" s="20" customFormat="1" x14ac:dyDescent="0.25">
      <c r="A301" s="26"/>
      <c r="B301" s="21"/>
      <c r="C301" s="21"/>
      <c r="D301" s="22"/>
      <c r="F301" s="22"/>
      <c r="G301" s="27"/>
      <c r="H301" s="22"/>
      <c r="I301" s="27"/>
      <c r="J301" s="247"/>
      <c r="K301" s="247"/>
      <c r="L301" s="247"/>
    </row>
    <row r="302" spans="1:12" s="20" customFormat="1" x14ac:dyDescent="0.25">
      <c r="A302" s="26"/>
      <c r="B302" s="21"/>
      <c r="C302" s="21"/>
      <c r="D302" s="22"/>
      <c r="F302" s="22"/>
      <c r="G302" s="27"/>
      <c r="H302" s="22"/>
      <c r="I302" s="27"/>
      <c r="J302" s="247"/>
      <c r="K302" s="247"/>
      <c r="L302" s="247"/>
    </row>
    <row r="303" spans="1:12" s="20" customFormat="1" x14ac:dyDescent="0.25">
      <c r="A303" s="26"/>
      <c r="B303" s="21"/>
      <c r="C303" s="21"/>
      <c r="D303" s="22"/>
      <c r="F303" s="22"/>
      <c r="G303" s="27"/>
      <c r="H303" s="22"/>
      <c r="I303" s="27"/>
      <c r="J303" s="247"/>
      <c r="K303" s="247"/>
      <c r="L303" s="247"/>
    </row>
    <row r="304" spans="1:12" s="20" customFormat="1" x14ac:dyDescent="0.25">
      <c r="A304" s="26"/>
      <c r="B304" s="21"/>
      <c r="C304" s="21"/>
      <c r="D304" s="22"/>
      <c r="F304" s="22"/>
      <c r="G304" s="27"/>
      <c r="H304" s="22"/>
      <c r="I304" s="27"/>
      <c r="J304" s="247"/>
      <c r="K304" s="247"/>
      <c r="L304" s="247"/>
    </row>
    <row r="305" spans="1:12" s="20" customFormat="1" x14ac:dyDescent="0.25">
      <c r="A305" s="26"/>
      <c r="B305" s="21"/>
      <c r="C305" s="21"/>
      <c r="D305" s="22"/>
      <c r="F305" s="22"/>
      <c r="G305" s="27"/>
      <c r="H305" s="22"/>
      <c r="I305" s="27"/>
      <c r="J305" s="247"/>
      <c r="K305" s="247"/>
      <c r="L305" s="247"/>
    </row>
    <row r="306" spans="1:12" s="20" customFormat="1" x14ac:dyDescent="0.25">
      <c r="A306" s="26"/>
      <c r="B306" s="21"/>
      <c r="C306" s="21"/>
      <c r="D306" s="22"/>
      <c r="F306" s="22"/>
      <c r="G306" s="27"/>
      <c r="H306" s="22"/>
      <c r="I306" s="27"/>
      <c r="J306" s="247"/>
      <c r="K306" s="247"/>
      <c r="L306" s="247"/>
    </row>
    <row r="307" spans="1:12" s="20" customFormat="1" x14ac:dyDescent="0.25">
      <c r="A307" s="26"/>
      <c r="B307" s="21"/>
      <c r="C307" s="21"/>
      <c r="D307" s="22"/>
      <c r="F307" s="22"/>
      <c r="G307" s="27"/>
      <c r="H307" s="22"/>
      <c r="I307" s="27"/>
      <c r="J307" s="247"/>
      <c r="K307" s="247"/>
      <c r="L307" s="247"/>
    </row>
    <row r="308" spans="1:12" s="20" customFormat="1" x14ac:dyDescent="0.25">
      <c r="A308" s="26"/>
      <c r="B308" s="21"/>
      <c r="C308" s="21"/>
      <c r="D308" s="22"/>
      <c r="F308" s="22"/>
      <c r="G308" s="27"/>
      <c r="H308" s="22"/>
      <c r="I308" s="27"/>
      <c r="J308" s="247"/>
      <c r="K308" s="247"/>
      <c r="L308" s="247"/>
    </row>
    <row r="309" spans="1:12" s="20" customFormat="1" x14ac:dyDescent="0.25">
      <c r="A309" s="26"/>
      <c r="B309" s="21"/>
      <c r="C309" s="21"/>
      <c r="D309" s="22"/>
      <c r="F309" s="22"/>
      <c r="G309" s="27"/>
      <c r="H309" s="22"/>
      <c r="I309" s="27"/>
      <c r="J309" s="247"/>
      <c r="K309" s="247"/>
      <c r="L309" s="247"/>
    </row>
    <row r="310" spans="1:12" s="20" customFormat="1" x14ac:dyDescent="0.25">
      <c r="A310" s="26"/>
      <c r="B310" s="21"/>
      <c r="C310" s="21"/>
      <c r="D310" s="22"/>
      <c r="F310" s="22"/>
      <c r="G310" s="27"/>
      <c r="H310" s="22"/>
      <c r="I310" s="27"/>
      <c r="J310" s="247"/>
      <c r="K310" s="247"/>
      <c r="L310" s="247"/>
    </row>
    <row r="311" spans="1:12" s="20" customFormat="1" x14ac:dyDescent="0.25">
      <c r="A311" s="26"/>
      <c r="B311" s="21"/>
      <c r="C311" s="21"/>
      <c r="D311" s="22"/>
      <c r="F311" s="22"/>
      <c r="G311" s="27"/>
      <c r="H311" s="22"/>
      <c r="I311" s="27"/>
      <c r="J311" s="247"/>
      <c r="K311" s="247"/>
      <c r="L311" s="247"/>
    </row>
    <row r="312" spans="1:12" s="20" customFormat="1" x14ac:dyDescent="0.25">
      <c r="A312" s="26"/>
      <c r="B312" s="21"/>
      <c r="C312" s="21"/>
      <c r="D312" s="22"/>
      <c r="F312" s="22"/>
      <c r="G312" s="27"/>
      <c r="H312" s="22"/>
      <c r="I312" s="27"/>
      <c r="J312" s="247"/>
      <c r="K312" s="247"/>
      <c r="L312" s="247"/>
    </row>
    <row r="313" spans="1:12" s="20" customFormat="1" x14ac:dyDescent="0.25">
      <c r="A313" s="26"/>
      <c r="B313" s="21"/>
      <c r="C313" s="21"/>
      <c r="D313" s="22"/>
      <c r="F313" s="22"/>
      <c r="G313" s="27"/>
      <c r="H313" s="22"/>
      <c r="I313" s="27"/>
      <c r="J313" s="247"/>
      <c r="K313" s="247"/>
      <c r="L313" s="247"/>
    </row>
    <row r="314" spans="1:12" s="20" customFormat="1" x14ac:dyDescent="0.25">
      <c r="A314" s="26"/>
      <c r="B314" s="21"/>
      <c r="C314" s="21"/>
      <c r="D314" s="22"/>
      <c r="F314" s="22"/>
      <c r="G314" s="27"/>
      <c r="H314" s="22"/>
      <c r="I314" s="27"/>
      <c r="J314" s="247"/>
      <c r="K314" s="247"/>
      <c r="L314" s="247"/>
    </row>
    <row r="315" spans="1:12" s="20" customFormat="1" x14ac:dyDescent="0.25">
      <c r="A315" s="26"/>
      <c r="B315" s="21"/>
      <c r="C315" s="21"/>
      <c r="D315" s="22"/>
      <c r="F315" s="22"/>
      <c r="G315" s="27"/>
      <c r="H315" s="22"/>
      <c r="I315" s="27"/>
      <c r="J315" s="247"/>
      <c r="K315" s="247"/>
      <c r="L315" s="247"/>
    </row>
    <row r="316" spans="1:12" s="20" customFormat="1" x14ac:dyDescent="0.25">
      <c r="A316" s="26"/>
      <c r="B316" s="21"/>
      <c r="C316" s="21"/>
      <c r="D316" s="22"/>
      <c r="F316" s="22"/>
      <c r="G316" s="27"/>
      <c r="H316" s="22"/>
      <c r="I316" s="27"/>
      <c r="J316" s="247"/>
      <c r="K316" s="247"/>
      <c r="L316" s="247"/>
    </row>
    <row r="317" spans="1:12" s="20" customFormat="1" x14ac:dyDescent="0.25">
      <c r="A317" s="26"/>
      <c r="B317" s="21"/>
      <c r="C317" s="21"/>
      <c r="D317" s="22"/>
      <c r="F317" s="22"/>
      <c r="G317" s="27"/>
      <c r="H317" s="22"/>
      <c r="I317" s="27"/>
      <c r="J317" s="247"/>
      <c r="K317" s="247"/>
      <c r="L317" s="247"/>
    </row>
    <row r="318" spans="1:12" s="20" customFormat="1" x14ac:dyDescent="0.25">
      <c r="A318" s="26"/>
      <c r="B318" s="21"/>
      <c r="C318" s="21"/>
      <c r="D318" s="22"/>
      <c r="F318" s="22"/>
      <c r="G318" s="27"/>
      <c r="H318" s="22"/>
      <c r="I318" s="27"/>
      <c r="J318" s="247"/>
      <c r="K318" s="247"/>
      <c r="L318" s="247"/>
    </row>
    <row r="319" spans="1:12" s="20" customFormat="1" x14ac:dyDescent="0.25">
      <c r="A319" s="26"/>
      <c r="B319" s="21"/>
      <c r="C319" s="21"/>
      <c r="D319" s="22"/>
      <c r="F319" s="22"/>
      <c r="G319" s="27"/>
      <c r="H319" s="22"/>
      <c r="I319" s="27"/>
      <c r="J319" s="247"/>
      <c r="K319" s="247"/>
      <c r="L319" s="247"/>
    </row>
    <row r="320" spans="1:12" s="20" customFormat="1" x14ac:dyDescent="0.25">
      <c r="A320" s="26"/>
      <c r="B320" s="21"/>
      <c r="C320" s="21"/>
      <c r="D320" s="22"/>
      <c r="F320" s="22"/>
      <c r="G320" s="27"/>
      <c r="H320" s="22"/>
      <c r="I320" s="27"/>
      <c r="J320" s="247"/>
      <c r="K320" s="247"/>
      <c r="L320" s="247"/>
    </row>
    <row r="321" spans="1:12" s="20" customFormat="1" x14ac:dyDescent="0.25">
      <c r="A321" s="26"/>
      <c r="B321" s="21"/>
      <c r="C321" s="21"/>
      <c r="D321" s="22"/>
      <c r="F321" s="22"/>
      <c r="G321" s="27"/>
      <c r="H321" s="22"/>
      <c r="I321" s="27"/>
      <c r="J321" s="247"/>
      <c r="K321" s="247"/>
      <c r="L321" s="247"/>
    </row>
    <row r="322" spans="1:12" s="20" customFormat="1" x14ac:dyDescent="0.25">
      <c r="A322" s="26"/>
      <c r="B322" s="21"/>
      <c r="C322" s="21"/>
      <c r="D322" s="22"/>
      <c r="F322" s="22"/>
      <c r="G322" s="27"/>
      <c r="H322" s="22"/>
      <c r="I322" s="27"/>
      <c r="J322" s="247"/>
      <c r="K322" s="247"/>
      <c r="L322" s="247"/>
    </row>
    <row r="323" spans="1:12" s="20" customFormat="1" x14ac:dyDescent="0.25">
      <c r="A323" s="26"/>
      <c r="B323" s="21"/>
      <c r="C323" s="21"/>
      <c r="D323" s="22"/>
      <c r="F323" s="22"/>
      <c r="G323" s="27"/>
      <c r="H323" s="22"/>
      <c r="I323" s="27"/>
      <c r="J323" s="247"/>
      <c r="K323" s="247"/>
      <c r="L323" s="247"/>
    </row>
    <row r="324" spans="1:12" s="20" customFormat="1" x14ac:dyDescent="0.25">
      <c r="A324" s="26"/>
      <c r="B324" s="21"/>
      <c r="C324" s="21"/>
      <c r="D324" s="22"/>
      <c r="F324" s="22"/>
      <c r="G324" s="27"/>
      <c r="H324" s="22"/>
      <c r="I324" s="27"/>
      <c r="J324" s="247"/>
      <c r="K324" s="247"/>
      <c r="L324" s="247"/>
    </row>
    <row r="325" spans="1:12" s="20" customFormat="1" x14ac:dyDescent="0.25">
      <c r="A325" s="26"/>
      <c r="B325" s="21"/>
      <c r="C325" s="21"/>
      <c r="D325" s="22"/>
      <c r="F325" s="22"/>
      <c r="G325" s="27"/>
      <c r="H325" s="22"/>
      <c r="I325" s="27"/>
      <c r="J325" s="247"/>
      <c r="K325" s="247"/>
      <c r="L325" s="247"/>
    </row>
    <row r="326" spans="1:12" s="20" customFormat="1" x14ac:dyDescent="0.25">
      <c r="A326" s="26"/>
      <c r="B326" s="21"/>
      <c r="C326" s="21"/>
      <c r="D326" s="22"/>
      <c r="F326" s="22"/>
      <c r="G326" s="27"/>
      <c r="H326" s="22"/>
      <c r="I326" s="27"/>
      <c r="J326" s="247"/>
      <c r="K326" s="247"/>
      <c r="L326" s="247"/>
    </row>
    <row r="327" spans="1:12" s="20" customFormat="1" x14ac:dyDescent="0.25">
      <c r="A327" s="26"/>
      <c r="B327" s="21"/>
      <c r="C327" s="21"/>
      <c r="D327" s="22"/>
      <c r="F327" s="22"/>
      <c r="G327" s="27"/>
      <c r="H327" s="22"/>
      <c r="I327" s="27"/>
      <c r="J327" s="247"/>
      <c r="K327" s="247"/>
      <c r="L327" s="247"/>
    </row>
    <row r="328" spans="1:12" s="20" customFormat="1" x14ac:dyDescent="0.25">
      <c r="A328" s="26"/>
      <c r="B328" s="21"/>
      <c r="C328" s="21"/>
      <c r="D328" s="22"/>
      <c r="F328" s="22"/>
      <c r="G328" s="27"/>
      <c r="H328" s="22"/>
      <c r="I328" s="27"/>
      <c r="J328" s="247"/>
      <c r="K328" s="247"/>
      <c r="L328" s="247"/>
    </row>
    <row r="329" spans="1:12" s="20" customFormat="1" x14ac:dyDescent="0.25">
      <c r="A329" s="26"/>
      <c r="B329" s="21"/>
      <c r="C329" s="21"/>
      <c r="D329" s="22"/>
      <c r="F329" s="22"/>
      <c r="G329" s="27"/>
      <c r="H329" s="22"/>
      <c r="I329" s="27"/>
      <c r="J329" s="247"/>
      <c r="K329" s="247"/>
      <c r="L329" s="247"/>
    </row>
    <row r="330" spans="1:12" s="20" customFormat="1" x14ac:dyDescent="0.25">
      <c r="A330" s="26"/>
      <c r="B330" s="21"/>
      <c r="C330" s="21"/>
      <c r="D330" s="22"/>
      <c r="F330" s="22"/>
      <c r="G330" s="27"/>
      <c r="H330" s="22"/>
      <c r="I330" s="27"/>
      <c r="J330" s="247"/>
      <c r="K330" s="247"/>
      <c r="L330" s="247"/>
    </row>
    <row r="331" spans="1:12" s="20" customFormat="1" x14ac:dyDescent="0.25">
      <c r="A331" s="26"/>
      <c r="B331" s="21"/>
      <c r="C331" s="21"/>
      <c r="D331" s="22"/>
      <c r="F331" s="22"/>
      <c r="G331" s="27"/>
      <c r="H331" s="22"/>
      <c r="I331" s="27"/>
      <c r="J331" s="247"/>
      <c r="K331" s="247"/>
      <c r="L331" s="247"/>
    </row>
    <row r="332" spans="1:12" s="20" customFormat="1" x14ac:dyDescent="0.25">
      <c r="A332" s="26"/>
      <c r="B332" s="21"/>
      <c r="C332" s="21"/>
      <c r="D332" s="22"/>
      <c r="F332" s="22"/>
      <c r="G332" s="27"/>
      <c r="H332" s="22"/>
      <c r="I332" s="27"/>
      <c r="J332" s="247"/>
      <c r="K332" s="247"/>
      <c r="L332" s="247"/>
    </row>
    <row r="333" spans="1:12" s="20" customFormat="1" x14ac:dyDescent="0.25">
      <c r="A333" s="26"/>
      <c r="B333" s="21"/>
      <c r="C333" s="21"/>
      <c r="D333" s="22"/>
      <c r="F333" s="22"/>
      <c r="G333" s="27"/>
      <c r="H333" s="22"/>
      <c r="I333" s="27"/>
      <c r="J333" s="247"/>
      <c r="K333" s="247"/>
      <c r="L333" s="247"/>
    </row>
    <row r="334" spans="1:12" s="20" customFormat="1" x14ac:dyDescent="0.25">
      <c r="A334" s="26"/>
      <c r="B334" s="21"/>
      <c r="C334" s="21"/>
      <c r="D334" s="22"/>
      <c r="F334" s="22"/>
      <c r="G334" s="27"/>
      <c r="H334" s="22"/>
      <c r="I334" s="27"/>
      <c r="J334" s="247"/>
      <c r="K334" s="247"/>
      <c r="L334" s="247"/>
    </row>
    <row r="335" spans="1:12" s="20" customFormat="1" x14ac:dyDescent="0.25">
      <c r="A335" s="26"/>
      <c r="B335" s="21"/>
      <c r="C335" s="21"/>
      <c r="D335" s="22"/>
      <c r="F335" s="22"/>
      <c r="G335" s="27"/>
      <c r="H335" s="22"/>
      <c r="I335" s="27"/>
      <c r="J335" s="247"/>
      <c r="K335" s="247"/>
      <c r="L335" s="247"/>
    </row>
    <row r="336" spans="1:12" s="20" customFormat="1" x14ac:dyDescent="0.25">
      <c r="A336" s="26"/>
      <c r="B336" s="21"/>
      <c r="C336" s="21"/>
      <c r="D336" s="22"/>
      <c r="F336" s="22"/>
      <c r="G336" s="27"/>
      <c r="H336" s="22"/>
      <c r="I336" s="27"/>
      <c r="J336" s="247"/>
      <c r="K336" s="247"/>
      <c r="L336" s="247"/>
    </row>
    <row r="337" spans="1:12" s="20" customFormat="1" x14ac:dyDescent="0.25">
      <c r="A337" s="26"/>
      <c r="B337" s="21"/>
      <c r="C337" s="21"/>
      <c r="D337" s="22"/>
      <c r="F337" s="22"/>
      <c r="G337" s="27"/>
      <c r="H337" s="22"/>
      <c r="I337" s="27"/>
      <c r="J337" s="247"/>
      <c r="K337" s="247"/>
      <c r="L337" s="247"/>
    </row>
    <row r="338" spans="1:12" s="20" customFormat="1" x14ac:dyDescent="0.25">
      <c r="A338" s="26"/>
      <c r="B338" s="21"/>
      <c r="C338" s="21"/>
      <c r="D338" s="22"/>
      <c r="F338" s="22"/>
      <c r="G338" s="27"/>
      <c r="H338" s="22"/>
      <c r="I338" s="27"/>
      <c r="J338" s="247"/>
      <c r="K338" s="247"/>
      <c r="L338" s="247"/>
    </row>
    <row r="339" spans="1:12" s="20" customFormat="1" x14ac:dyDescent="0.25">
      <c r="A339" s="26"/>
      <c r="B339" s="21"/>
      <c r="C339" s="21"/>
      <c r="D339" s="22"/>
      <c r="F339" s="22"/>
      <c r="G339" s="27"/>
      <c r="H339" s="22"/>
      <c r="I339" s="27"/>
      <c r="J339" s="247"/>
      <c r="K339" s="247"/>
      <c r="L339" s="247"/>
    </row>
    <row r="340" spans="1:12" s="20" customFormat="1" x14ac:dyDescent="0.25">
      <c r="A340" s="26"/>
      <c r="B340" s="21"/>
      <c r="C340" s="21"/>
      <c r="D340" s="22"/>
      <c r="F340" s="22"/>
      <c r="G340" s="27"/>
      <c r="H340" s="22"/>
      <c r="I340" s="27"/>
      <c r="J340" s="247"/>
      <c r="K340" s="247"/>
      <c r="L340" s="247"/>
    </row>
    <row r="341" spans="1:12" s="20" customFormat="1" x14ac:dyDescent="0.25">
      <c r="A341" s="26"/>
      <c r="B341" s="21"/>
      <c r="C341" s="21"/>
      <c r="D341" s="22"/>
      <c r="F341" s="22"/>
      <c r="G341" s="27"/>
      <c r="H341" s="22"/>
      <c r="I341" s="27"/>
      <c r="J341" s="247"/>
      <c r="K341" s="247"/>
      <c r="L341" s="247"/>
    </row>
    <row r="342" spans="1:12" s="20" customFormat="1" x14ac:dyDescent="0.25">
      <c r="A342" s="26"/>
      <c r="B342" s="21"/>
      <c r="C342" s="21"/>
      <c r="D342" s="22"/>
      <c r="F342" s="22"/>
      <c r="G342" s="27"/>
      <c r="H342" s="22"/>
      <c r="I342" s="27"/>
      <c r="J342" s="247"/>
      <c r="K342" s="247"/>
      <c r="L342" s="247"/>
    </row>
    <row r="343" spans="1:12" s="20" customFormat="1" x14ac:dyDescent="0.25">
      <c r="A343" s="26"/>
      <c r="B343" s="21"/>
      <c r="C343" s="21"/>
      <c r="D343" s="22"/>
      <c r="F343" s="22"/>
      <c r="G343" s="27"/>
      <c r="H343" s="22"/>
      <c r="I343" s="27"/>
      <c r="J343" s="247"/>
      <c r="K343" s="247"/>
      <c r="L343" s="247"/>
    </row>
    <row r="344" spans="1:12" s="20" customFormat="1" x14ac:dyDescent="0.25">
      <c r="A344" s="26"/>
      <c r="B344" s="21"/>
      <c r="C344" s="21"/>
      <c r="D344" s="22"/>
      <c r="F344" s="22"/>
      <c r="G344" s="27"/>
      <c r="H344" s="22"/>
      <c r="I344" s="27"/>
      <c r="J344" s="247"/>
      <c r="K344" s="247"/>
      <c r="L344" s="247"/>
    </row>
    <row r="345" spans="1:12" s="20" customFormat="1" x14ac:dyDescent="0.25">
      <c r="A345" s="26"/>
      <c r="B345" s="21"/>
      <c r="C345" s="21"/>
      <c r="D345" s="22"/>
      <c r="F345" s="22"/>
      <c r="G345" s="27"/>
      <c r="H345" s="22"/>
      <c r="I345" s="27"/>
      <c r="J345" s="247"/>
      <c r="K345" s="247"/>
      <c r="L345" s="247"/>
    </row>
    <row r="346" spans="1:12" s="20" customFormat="1" x14ac:dyDescent="0.25">
      <c r="A346" s="26"/>
      <c r="B346" s="21"/>
      <c r="C346" s="21"/>
      <c r="D346" s="22"/>
      <c r="F346" s="22"/>
      <c r="G346" s="27"/>
      <c r="H346" s="22"/>
      <c r="I346" s="27"/>
      <c r="J346" s="247"/>
      <c r="K346" s="247"/>
      <c r="L346" s="247"/>
    </row>
    <row r="347" spans="1:12" s="20" customFormat="1" x14ac:dyDescent="0.25">
      <c r="A347" s="26"/>
      <c r="B347" s="21"/>
      <c r="C347" s="21"/>
      <c r="D347" s="22"/>
      <c r="F347" s="22"/>
      <c r="G347" s="27"/>
      <c r="H347" s="22"/>
      <c r="I347" s="27"/>
      <c r="J347" s="247"/>
      <c r="K347" s="247"/>
      <c r="L347" s="247"/>
    </row>
    <row r="348" spans="1:12" s="20" customFormat="1" x14ac:dyDescent="0.25">
      <c r="A348" s="26"/>
      <c r="B348" s="21"/>
      <c r="C348" s="21"/>
      <c r="D348" s="22"/>
      <c r="F348" s="22"/>
      <c r="G348" s="27"/>
      <c r="H348" s="22"/>
      <c r="I348" s="27"/>
      <c r="J348" s="247"/>
      <c r="K348" s="247"/>
      <c r="L348" s="247"/>
    </row>
    <row r="349" spans="1:12" s="20" customFormat="1" x14ac:dyDescent="0.25">
      <c r="A349" s="26"/>
      <c r="B349" s="21"/>
      <c r="C349" s="21"/>
      <c r="D349" s="22"/>
      <c r="F349" s="22"/>
      <c r="G349" s="27"/>
      <c r="H349" s="22"/>
      <c r="I349" s="27"/>
      <c r="J349" s="247"/>
      <c r="K349" s="247"/>
      <c r="L349" s="247"/>
    </row>
    <row r="350" spans="1:12" s="20" customFormat="1" x14ac:dyDescent="0.25">
      <c r="A350" s="26"/>
      <c r="B350" s="21"/>
      <c r="C350" s="21"/>
      <c r="D350" s="22"/>
      <c r="F350" s="22"/>
      <c r="G350" s="27"/>
      <c r="H350" s="22"/>
      <c r="I350" s="27"/>
      <c r="J350" s="247"/>
      <c r="K350" s="247"/>
      <c r="L350" s="247"/>
    </row>
    <row r="351" spans="1:12" s="20" customFormat="1" x14ac:dyDescent="0.25">
      <c r="A351" s="26"/>
      <c r="B351" s="21"/>
      <c r="C351" s="21"/>
      <c r="D351" s="22"/>
      <c r="F351" s="22"/>
      <c r="G351" s="27"/>
      <c r="H351" s="22"/>
      <c r="I351" s="27"/>
      <c r="J351" s="247"/>
      <c r="K351" s="247"/>
      <c r="L351" s="247"/>
    </row>
    <row r="352" spans="1:12" s="20" customFormat="1" x14ac:dyDescent="0.25">
      <c r="A352" s="26"/>
      <c r="B352" s="21"/>
      <c r="C352" s="21"/>
      <c r="D352" s="22"/>
      <c r="F352" s="22"/>
      <c r="G352" s="27"/>
      <c r="H352" s="22"/>
      <c r="I352" s="27"/>
      <c r="J352" s="247"/>
      <c r="K352" s="247"/>
      <c r="L352" s="247"/>
    </row>
    <row r="353" spans="1:12" s="20" customFormat="1" x14ac:dyDescent="0.25">
      <c r="A353" s="26"/>
      <c r="B353" s="21"/>
      <c r="C353" s="21"/>
      <c r="D353" s="22"/>
      <c r="F353" s="22"/>
      <c r="G353" s="27"/>
      <c r="H353" s="22"/>
      <c r="I353" s="27"/>
      <c r="J353" s="247"/>
      <c r="K353" s="247"/>
      <c r="L353" s="247"/>
    </row>
    <row r="354" spans="1:12" s="20" customFormat="1" x14ac:dyDescent="0.25">
      <c r="A354" s="26"/>
      <c r="B354" s="21"/>
      <c r="C354" s="21"/>
      <c r="D354" s="22"/>
      <c r="F354" s="22"/>
      <c r="G354" s="27"/>
      <c r="H354" s="22"/>
      <c r="I354" s="27"/>
      <c r="J354" s="247"/>
      <c r="K354" s="247"/>
      <c r="L354" s="247"/>
    </row>
    <row r="355" spans="1:12" s="20" customFormat="1" x14ac:dyDescent="0.25">
      <c r="A355" s="26"/>
      <c r="B355" s="21"/>
      <c r="C355" s="21"/>
      <c r="D355" s="22"/>
      <c r="F355" s="22"/>
      <c r="G355" s="27"/>
      <c r="H355" s="22"/>
      <c r="I355" s="27"/>
      <c r="J355" s="247"/>
      <c r="K355" s="247"/>
      <c r="L355" s="247"/>
    </row>
    <row r="356" spans="1:12" s="20" customFormat="1" x14ac:dyDescent="0.25">
      <c r="A356" s="26"/>
      <c r="B356" s="21"/>
      <c r="C356" s="21"/>
      <c r="D356" s="22"/>
      <c r="F356" s="22"/>
      <c r="G356" s="27"/>
      <c r="H356" s="22"/>
      <c r="I356" s="27"/>
      <c r="J356" s="247"/>
      <c r="K356" s="247"/>
      <c r="L356" s="247"/>
    </row>
    <row r="357" spans="1:12" s="20" customFormat="1" x14ac:dyDescent="0.25">
      <c r="A357" s="26"/>
      <c r="B357" s="21"/>
      <c r="C357" s="21"/>
      <c r="D357" s="22"/>
      <c r="F357" s="22"/>
      <c r="G357" s="27"/>
      <c r="H357" s="22"/>
      <c r="I357" s="27"/>
      <c r="J357" s="247"/>
      <c r="K357" s="247"/>
      <c r="L357" s="247"/>
    </row>
    <row r="358" spans="1:12" s="20" customFormat="1" x14ac:dyDescent="0.25">
      <c r="A358" s="26"/>
      <c r="B358" s="21"/>
      <c r="C358" s="21"/>
      <c r="D358" s="22"/>
      <c r="F358" s="22"/>
      <c r="G358" s="27"/>
      <c r="H358" s="22"/>
      <c r="I358" s="27"/>
      <c r="J358" s="247"/>
      <c r="K358" s="247"/>
      <c r="L358" s="247"/>
    </row>
    <row r="359" spans="1:12" s="20" customFormat="1" x14ac:dyDescent="0.25">
      <c r="A359" s="26"/>
      <c r="B359" s="21"/>
      <c r="C359" s="21"/>
      <c r="D359" s="22"/>
      <c r="F359" s="22"/>
      <c r="G359" s="27"/>
      <c r="H359" s="22"/>
      <c r="I359" s="27"/>
      <c r="J359" s="247"/>
      <c r="K359" s="247"/>
      <c r="L359" s="247"/>
    </row>
    <row r="360" spans="1:12" s="20" customFormat="1" x14ac:dyDescent="0.25">
      <c r="A360" s="26"/>
      <c r="B360" s="21"/>
      <c r="C360" s="21"/>
      <c r="D360" s="22"/>
      <c r="F360" s="22"/>
      <c r="G360" s="27"/>
      <c r="H360" s="22"/>
      <c r="I360" s="27"/>
      <c r="J360" s="247"/>
      <c r="K360" s="247"/>
      <c r="L360" s="247"/>
    </row>
    <row r="361" spans="1:12" s="20" customFormat="1" x14ac:dyDescent="0.25">
      <c r="A361" s="26"/>
      <c r="B361" s="21"/>
      <c r="C361" s="21"/>
      <c r="D361" s="22"/>
      <c r="F361" s="22"/>
      <c r="G361" s="27"/>
      <c r="H361" s="22"/>
      <c r="I361" s="27"/>
      <c r="J361" s="247"/>
      <c r="K361" s="247"/>
      <c r="L361" s="247"/>
    </row>
    <row r="362" spans="1:12" s="20" customFormat="1" x14ac:dyDescent="0.25">
      <c r="A362" s="26"/>
      <c r="B362" s="21"/>
      <c r="C362" s="21"/>
      <c r="D362" s="22"/>
      <c r="F362" s="22"/>
      <c r="G362" s="27"/>
      <c r="H362" s="22"/>
      <c r="I362" s="27"/>
      <c r="J362" s="247"/>
      <c r="K362" s="247"/>
      <c r="L362" s="247"/>
    </row>
    <row r="363" spans="1:12" s="20" customFormat="1" x14ac:dyDescent="0.25">
      <c r="A363" s="26"/>
      <c r="B363" s="21"/>
      <c r="C363" s="21"/>
      <c r="D363" s="22"/>
      <c r="F363" s="22"/>
      <c r="G363" s="27"/>
      <c r="H363" s="22"/>
      <c r="I363" s="27"/>
      <c r="J363" s="247"/>
      <c r="K363" s="247"/>
      <c r="L363" s="247"/>
    </row>
    <row r="364" spans="1:12" s="20" customFormat="1" x14ac:dyDescent="0.25">
      <c r="A364" s="26"/>
      <c r="B364" s="21"/>
      <c r="C364" s="21"/>
      <c r="D364" s="22"/>
      <c r="F364" s="22"/>
      <c r="G364" s="27"/>
      <c r="H364" s="22"/>
      <c r="I364" s="27"/>
      <c r="J364" s="247"/>
      <c r="K364" s="247"/>
      <c r="L364" s="247"/>
    </row>
    <row r="365" spans="1:12" s="20" customFormat="1" x14ac:dyDescent="0.25">
      <c r="A365" s="26"/>
      <c r="B365" s="21"/>
      <c r="C365" s="21"/>
      <c r="D365" s="22"/>
      <c r="F365" s="22"/>
      <c r="G365" s="27"/>
      <c r="H365" s="22"/>
      <c r="I365" s="27"/>
      <c r="J365" s="247"/>
      <c r="K365" s="247"/>
      <c r="L365" s="247"/>
    </row>
    <row r="366" spans="1:12" s="20" customFormat="1" x14ac:dyDescent="0.25">
      <c r="A366" s="26"/>
      <c r="B366" s="21"/>
      <c r="C366" s="21"/>
      <c r="D366" s="22"/>
      <c r="F366" s="22"/>
      <c r="G366" s="27"/>
      <c r="H366" s="22"/>
      <c r="I366" s="27"/>
      <c r="J366" s="247"/>
      <c r="K366" s="247"/>
      <c r="L366" s="247"/>
    </row>
    <row r="367" spans="1:12" s="20" customFormat="1" x14ac:dyDescent="0.25">
      <c r="A367" s="26"/>
      <c r="B367" s="21"/>
      <c r="C367" s="21"/>
      <c r="D367" s="22"/>
      <c r="F367" s="22"/>
      <c r="G367" s="27"/>
      <c r="H367" s="22"/>
      <c r="I367" s="27"/>
      <c r="J367" s="247"/>
      <c r="K367" s="247"/>
      <c r="L367" s="247"/>
    </row>
    <row r="368" spans="1:12" s="20" customFormat="1" x14ac:dyDescent="0.25">
      <c r="A368" s="26"/>
      <c r="B368" s="21"/>
      <c r="C368" s="21"/>
      <c r="D368" s="22"/>
      <c r="F368" s="22"/>
      <c r="G368" s="27"/>
      <c r="H368" s="22"/>
      <c r="I368" s="27"/>
      <c r="J368" s="247"/>
      <c r="K368" s="247"/>
      <c r="L368" s="247"/>
    </row>
    <row r="369" spans="1:12" s="20" customFormat="1" x14ac:dyDescent="0.25">
      <c r="A369" s="26"/>
      <c r="B369" s="21"/>
      <c r="C369" s="21"/>
      <c r="D369" s="22"/>
      <c r="F369" s="22"/>
      <c r="G369" s="27"/>
      <c r="H369" s="22"/>
      <c r="I369" s="27"/>
      <c r="J369" s="247"/>
      <c r="K369" s="247"/>
      <c r="L369" s="247"/>
    </row>
    <row r="370" spans="1:12" s="20" customFormat="1" x14ac:dyDescent="0.25">
      <c r="A370" s="26"/>
      <c r="B370" s="21"/>
      <c r="C370" s="21"/>
      <c r="D370" s="22"/>
      <c r="F370" s="22"/>
      <c r="G370" s="27"/>
      <c r="H370" s="22"/>
      <c r="I370" s="27"/>
      <c r="J370" s="247"/>
      <c r="K370" s="247"/>
      <c r="L370" s="247"/>
    </row>
    <row r="371" spans="1:12" s="20" customFormat="1" x14ac:dyDescent="0.25">
      <c r="A371" s="26"/>
      <c r="B371" s="21"/>
      <c r="C371" s="21"/>
      <c r="D371" s="22"/>
      <c r="F371" s="22"/>
      <c r="G371" s="27"/>
      <c r="H371" s="22"/>
      <c r="I371" s="27"/>
      <c r="J371" s="247"/>
      <c r="K371" s="247"/>
      <c r="L371" s="247"/>
    </row>
    <row r="372" spans="1:12" s="20" customFormat="1" x14ac:dyDescent="0.25">
      <c r="A372" s="26"/>
      <c r="B372" s="21"/>
      <c r="C372" s="21"/>
      <c r="D372" s="22"/>
      <c r="F372" s="22"/>
      <c r="G372" s="27"/>
      <c r="H372" s="22"/>
      <c r="I372" s="27"/>
      <c r="J372" s="247"/>
      <c r="K372" s="247"/>
      <c r="L372" s="247"/>
    </row>
    <row r="373" spans="1:12" s="20" customFormat="1" x14ac:dyDescent="0.25">
      <c r="A373" s="26"/>
      <c r="B373" s="21"/>
      <c r="C373" s="21"/>
      <c r="D373" s="22"/>
      <c r="F373" s="22"/>
      <c r="G373" s="27"/>
      <c r="H373" s="22"/>
      <c r="I373" s="27"/>
      <c r="J373" s="247"/>
      <c r="K373" s="247"/>
      <c r="L373" s="247"/>
    </row>
    <row r="374" spans="1:12" s="20" customFormat="1" x14ac:dyDescent="0.25">
      <c r="A374" s="26"/>
      <c r="B374" s="21"/>
      <c r="C374" s="21"/>
      <c r="D374" s="22"/>
      <c r="F374" s="22"/>
      <c r="G374" s="27"/>
      <c r="H374" s="22"/>
      <c r="I374" s="27"/>
      <c r="J374" s="247"/>
      <c r="K374" s="247"/>
      <c r="L374" s="247"/>
    </row>
    <row r="375" spans="1:12" s="20" customFormat="1" x14ac:dyDescent="0.25">
      <c r="A375" s="26"/>
      <c r="B375" s="21"/>
      <c r="C375" s="21"/>
      <c r="D375" s="22"/>
      <c r="F375" s="22"/>
      <c r="G375" s="27"/>
      <c r="H375" s="22"/>
      <c r="I375" s="27"/>
      <c r="J375" s="247"/>
      <c r="K375" s="247"/>
      <c r="L375" s="247"/>
    </row>
    <row r="376" spans="1:12" s="20" customFormat="1" x14ac:dyDescent="0.25">
      <c r="A376" s="26"/>
      <c r="B376" s="21"/>
      <c r="C376" s="21"/>
      <c r="D376" s="22"/>
      <c r="F376" s="22"/>
      <c r="G376" s="27"/>
      <c r="H376" s="22"/>
      <c r="I376" s="27"/>
      <c r="J376" s="247"/>
      <c r="K376" s="247"/>
      <c r="L376" s="247"/>
    </row>
    <row r="377" spans="1:12" s="20" customFormat="1" x14ac:dyDescent="0.25">
      <c r="A377" s="26"/>
      <c r="B377" s="21"/>
      <c r="C377" s="21"/>
      <c r="D377" s="22"/>
      <c r="F377" s="22"/>
      <c r="G377" s="27"/>
      <c r="H377" s="22"/>
      <c r="I377" s="27"/>
      <c r="J377" s="247"/>
      <c r="K377" s="247"/>
      <c r="L377" s="247"/>
    </row>
    <row r="378" spans="1:12" s="20" customFormat="1" x14ac:dyDescent="0.25">
      <c r="A378" s="26"/>
      <c r="B378" s="21"/>
      <c r="C378" s="21"/>
      <c r="D378" s="22"/>
      <c r="F378" s="22"/>
      <c r="G378" s="27"/>
      <c r="H378" s="22"/>
      <c r="I378" s="27"/>
      <c r="J378" s="247"/>
      <c r="K378" s="247"/>
      <c r="L378" s="247"/>
    </row>
    <row r="379" spans="1:12" s="20" customFormat="1" x14ac:dyDescent="0.25">
      <c r="A379" s="26"/>
      <c r="B379" s="21"/>
      <c r="C379" s="21"/>
      <c r="D379" s="22"/>
      <c r="F379" s="22"/>
      <c r="G379" s="27"/>
      <c r="H379" s="22"/>
      <c r="I379" s="27"/>
      <c r="J379" s="247"/>
      <c r="K379" s="247"/>
      <c r="L379" s="247"/>
    </row>
    <row r="380" spans="1:12" s="20" customFormat="1" x14ac:dyDescent="0.25">
      <c r="A380" s="26"/>
      <c r="B380" s="21"/>
      <c r="C380" s="21"/>
      <c r="D380" s="22"/>
      <c r="F380" s="22"/>
      <c r="G380" s="27"/>
      <c r="H380" s="22"/>
      <c r="I380" s="27"/>
      <c r="J380" s="247"/>
      <c r="K380" s="247"/>
      <c r="L380" s="247"/>
    </row>
    <row r="381" spans="1:12" s="20" customFormat="1" x14ac:dyDescent="0.25">
      <c r="A381" s="26"/>
      <c r="B381" s="21"/>
      <c r="C381" s="21"/>
      <c r="D381" s="22"/>
      <c r="F381" s="22"/>
      <c r="G381" s="27"/>
      <c r="H381" s="22"/>
      <c r="I381" s="27"/>
      <c r="J381" s="247"/>
      <c r="K381" s="247"/>
      <c r="L381" s="247"/>
    </row>
    <row r="382" spans="1:12" s="20" customFormat="1" x14ac:dyDescent="0.25">
      <c r="A382" s="26"/>
      <c r="B382" s="21"/>
      <c r="C382" s="21"/>
      <c r="D382" s="22"/>
      <c r="F382" s="22"/>
      <c r="G382" s="27"/>
      <c r="H382" s="22"/>
      <c r="I382" s="27"/>
      <c r="J382" s="247"/>
      <c r="K382" s="247"/>
      <c r="L382" s="247"/>
    </row>
    <row r="383" spans="1:12" s="20" customFormat="1" x14ac:dyDescent="0.25">
      <c r="A383" s="26"/>
      <c r="B383" s="21"/>
      <c r="C383" s="21"/>
      <c r="D383" s="22"/>
      <c r="F383" s="22"/>
      <c r="G383" s="27"/>
      <c r="H383" s="22"/>
      <c r="I383" s="27"/>
      <c r="J383" s="247"/>
      <c r="K383" s="247"/>
      <c r="L383" s="247"/>
    </row>
    <row r="384" spans="1:12" s="20" customFormat="1" x14ac:dyDescent="0.25">
      <c r="A384" s="26"/>
      <c r="B384" s="21"/>
      <c r="C384" s="21"/>
      <c r="D384" s="22"/>
      <c r="F384" s="22"/>
      <c r="G384" s="27"/>
      <c r="H384" s="22"/>
      <c r="I384" s="27"/>
      <c r="J384" s="247"/>
      <c r="K384" s="247"/>
      <c r="L384" s="247"/>
    </row>
    <row r="385" spans="1:12" s="20" customFormat="1" x14ac:dyDescent="0.25">
      <c r="A385" s="26"/>
      <c r="B385" s="21"/>
      <c r="C385" s="21"/>
      <c r="D385" s="22"/>
      <c r="F385" s="22"/>
      <c r="G385" s="27"/>
      <c r="H385" s="22"/>
      <c r="I385" s="27"/>
      <c r="J385" s="247"/>
      <c r="K385" s="247"/>
      <c r="L385" s="247"/>
    </row>
    <row r="386" spans="1:12" s="20" customFormat="1" x14ac:dyDescent="0.25">
      <c r="A386" s="26"/>
      <c r="B386" s="21"/>
      <c r="C386" s="21"/>
      <c r="D386" s="22"/>
      <c r="F386" s="22"/>
      <c r="G386" s="27"/>
      <c r="H386" s="22"/>
      <c r="I386" s="27"/>
      <c r="J386" s="247"/>
      <c r="K386" s="247"/>
      <c r="L386" s="247"/>
    </row>
    <row r="387" spans="1:12" s="20" customFormat="1" x14ac:dyDescent="0.25">
      <c r="A387" s="26"/>
      <c r="B387" s="21"/>
      <c r="C387" s="21"/>
      <c r="D387" s="22"/>
      <c r="F387" s="22"/>
      <c r="G387" s="27"/>
      <c r="H387" s="22"/>
      <c r="I387" s="27"/>
      <c r="J387" s="247"/>
      <c r="K387" s="247"/>
      <c r="L387" s="247"/>
    </row>
    <row r="388" spans="1:12" s="20" customFormat="1" x14ac:dyDescent="0.25">
      <c r="A388" s="26"/>
      <c r="B388" s="21"/>
      <c r="C388" s="21"/>
      <c r="D388" s="22"/>
      <c r="F388" s="22"/>
      <c r="G388" s="27"/>
      <c r="H388" s="22"/>
      <c r="I388" s="27"/>
      <c r="J388" s="247"/>
      <c r="K388" s="247"/>
      <c r="L388" s="247"/>
    </row>
    <row r="389" spans="1:12" s="20" customFormat="1" x14ac:dyDescent="0.25">
      <c r="A389" s="26"/>
      <c r="B389" s="21"/>
      <c r="C389" s="21"/>
      <c r="D389" s="22"/>
      <c r="F389" s="22"/>
      <c r="G389" s="27"/>
      <c r="H389" s="22"/>
      <c r="I389" s="27"/>
      <c r="J389" s="247"/>
      <c r="K389" s="247"/>
      <c r="L389" s="247"/>
    </row>
    <row r="390" spans="1:12" s="20" customFormat="1" x14ac:dyDescent="0.25">
      <c r="A390" s="26"/>
      <c r="B390" s="21"/>
      <c r="C390" s="21"/>
      <c r="D390" s="22"/>
      <c r="F390" s="22"/>
      <c r="G390" s="27"/>
      <c r="H390" s="22"/>
      <c r="I390" s="27"/>
      <c r="J390" s="247"/>
      <c r="K390" s="247"/>
      <c r="L390" s="247"/>
    </row>
    <row r="391" spans="1:12" s="20" customFormat="1" x14ac:dyDescent="0.25">
      <c r="A391" s="26"/>
      <c r="B391" s="21"/>
      <c r="C391" s="21"/>
      <c r="D391" s="22"/>
      <c r="F391" s="22"/>
      <c r="G391" s="27"/>
      <c r="H391" s="22"/>
      <c r="I391" s="27"/>
      <c r="J391" s="247"/>
      <c r="K391" s="247"/>
      <c r="L391" s="247"/>
    </row>
    <row r="392" spans="1:12" s="20" customFormat="1" x14ac:dyDescent="0.25">
      <c r="A392" s="26"/>
      <c r="B392" s="21"/>
      <c r="C392" s="21"/>
      <c r="D392" s="22"/>
      <c r="F392" s="22"/>
      <c r="G392" s="27"/>
      <c r="H392" s="22"/>
      <c r="I392" s="27"/>
      <c r="J392" s="247"/>
      <c r="K392" s="247"/>
      <c r="L392" s="247"/>
    </row>
    <row r="393" spans="1:12" s="20" customFormat="1" x14ac:dyDescent="0.25">
      <c r="A393" s="26"/>
      <c r="B393" s="21"/>
      <c r="C393" s="21"/>
      <c r="D393" s="22"/>
      <c r="F393" s="22"/>
      <c r="G393" s="27"/>
      <c r="H393" s="22"/>
      <c r="I393" s="27"/>
      <c r="J393" s="247"/>
      <c r="K393" s="247"/>
      <c r="L393" s="247"/>
    </row>
    <row r="394" spans="1:12" s="20" customFormat="1" x14ac:dyDescent="0.25">
      <c r="A394" s="26"/>
      <c r="B394" s="21"/>
      <c r="C394" s="21"/>
      <c r="D394" s="22"/>
      <c r="F394" s="22"/>
      <c r="G394" s="27"/>
      <c r="H394" s="22"/>
      <c r="I394" s="27"/>
      <c r="J394" s="247"/>
      <c r="K394" s="247"/>
      <c r="L394" s="247"/>
    </row>
    <row r="395" spans="1:12" s="20" customFormat="1" x14ac:dyDescent="0.25">
      <c r="A395" s="26"/>
      <c r="B395" s="21"/>
      <c r="C395" s="21"/>
      <c r="D395" s="22"/>
      <c r="F395" s="22"/>
      <c r="G395" s="27"/>
      <c r="H395" s="22"/>
      <c r="I395" s="27"/>
      <c r="J395" s="247"/>
      <c r="K395" s="247"/>
      <c r="L395" s="247"/>
    </row>
    <row r="396" spans="1:12" s="20" customFormat="1" x14ac:dyDescent="0.25">
      <c r="A396" s="26"/>
      <c r="B396" s="21"/>
      <c r="C396" s="21"/>
      <c r="D396" s="22"/>
      <c r="F396" s="22"/>
      <c r="G396" s="27"/>
      <c r="H396" s="22"/>
      <c r="I396" s="27"/>
      <c r="J396" s="247"/>
      <c r="K396" s="247"/>
      <c r="L396" s="247"/>
    </row>
    <row r="397" spans="1:12" s="20" customFormat="1" x14ac:dyDescent="0.25">
      <c r="A397" s="26"/>
      <c r="B397" s="21"/>
      <c r="C397" s="21"/>
      <c r="D397" s="22"/>
      <c r="F397" s="22"/>
      <c r="G397" s="27"/>
      <c r="H397" s="22"/>
      <c r="I397" s="27"/>
      <c r="J397" s="247"/>
      <c r="K397" s="247"/>
      <c r="L397" s="247"/>
    </row>
    <row r="398" spans="1:12" s="20" customFormat="1" x14ac:dyDescent="0.25">
      <c r="A398" s="26"/>
      <c r="B398" s="21"/>
      <c r="C398" s="21"/>
      <c r="D398" s="22"/>
      <c r="F398" s="22"/>
      <c r="G398" s="27"/>
      <c r="H398" s="22"/>
      <c r="I398" s="27"/>
      <c r="J398" s="247"/>
      <c r="K398" s="247"/>
      <c r="L398" s="247"/>
    </row>
    <row r="399" spans="1:12" s="20" customFormat="1" x14ac:dyDescent="0.25">
      <c r="A399" s="26"/>
      <c r="B399" s="21"/>
      <c r="C399" s="21"/>
      <c r="D399" s="22"/>
      <c r="F399" s="22"/>
      <c r="G399" s="27"/>
      <c r="H399" s="22"/>
      <c r="I399" s="27"/>
      <c r="J399" s="247"/>
      <c r="K399" s="247"/>
      <c r="L399" s="247"/>
    </row>
    <row r="400" spans="1:12" s="20" customFormat="1" x14ac:dyDescent="0.25">
      <c r="A400" s="26"/>
      <c r="B400" s="21"/>
      <c r="C400" s="21"/>
      <c r="D400" s="22"/>
      <c r="F400" s="22"/>
      <c r="G400" s="27"/>
      <c r="H400" s="22"/>
      <c r="I400" s="27"/>
      <c r="J400" s="247"/>
      <c r="K400" s="247"/>
      <c r="L400" s="247"/>
    </row>
    <row r="401" spans="1:12" s="20" customFormat="1" x14ac:dyDescent="0.25">
      <c r="A401" s="26"/>
      <c r="B401" s="21"/>
      <c r="C401" s="21"/>
      <c r="D401" s="22"/>
      <c r="F401" s="22"/>
      <c r="G401" s="27"/>
      <c r="H401" s="22"/>
      <c r="I401" s="27"/>
      <c r="J401" s="247"/>
      <c r="K401" s="247"/>
      <c r="L401" s="247"/>
    </row>
    <row r="402" spans="1:12" s="20" customFormat="1" x14ac:dyDescent="0.25">
      <c r="A402" s="26"/>
      <c r="B402" s="21"/>
      <c r="C402" s="21"/>
      <c r="D402" s="22"/>
      <c r="F402" s="22"/>
      <c r="G402" s="27"/>
      <c r="H402" s="22"/>
      <c r="I402" s="27"/>
      <c r="J402" s="247"/>
      <c r="K402" s="247"/>
      <c r="L402" s="247"/>
    </row>
    <row r="403" spans="1:12" s="20" customFormat="1" x14ac:dyDescent="0.25">
      <c r="A403" s="26"/>
      <c r="B403" s="21"/>
      <c r="C403" s="21"/>
      <c r="D403" s="22"/>
      <c r="F403" s="22"/>
      <c r="G403" s="27"/>
      <c r="H403" s="22"/>
      <c r="I403" s="27"/>
      <c r="J403" s="247"/>
      <c r="K403" s="247"/>
      <c r="L403" s="247"/>
    </row>
    <row r="404" spans="1:12" s="20" customFormat="1" x14ac:dyDescent="0.25">
      <c r="A404" s="26"/>
      <c r="B404" s="21"/>
      <c r="C404" s="21"/>
      <c r="D404" s="22"/>
      <c r="F404" s="22"/>
      <c r="G404" s="27"/>
      <c r="H404" s="22"/>
      <c r="I404" s="27"/>
      <c r="J404" s="247"/>
      <c r="K404" s="247"/>
      <c r="L404" s="247"/>
    </row>
    <row r="405" spans="1:12" s="20" customFormat="1" x14ac:dyDescent="0.25">
      <c r="A405" s="26"/>
      <c r="B405" s="21"/>
      <c r="C405" s="21"/>
      <c r="D405" s="22"/>
      <c r="F405" s="22"/>
      <c r="G405" s="27"/>
      <c r="H405" s="22"/>
      <c r="I405" s="27"/>
      <c r="J405" s="247"/>
      <c r="K405" s="247"/>
      <c r="L405" s="247"/>
    </row>
    <row r="406" spans="1:12" s="20" customFormat="1" x14ac:dyDescent="0.25">
      <c r="A406" s="26"/>
      <c r="B406" s="21"/>
      <c r="C406" s="21"/>
      <c r="D406" s="22"/>
      <c r="F406" s="22"/>
      <c r="G406" s="27"/>
      <c r="H406" s="22"/>
      <c r="I406" s="27"/>
      <c r="J406" s="247"/>
      <c r="K406" s="247"/>
      <c r="L406" s="247"/>
    </row>
    <row r="407" spans="1:12" s="20" customFormat="1" x14ac:dyDescent="0.25">
      <c r="A407" s="26"/>
      <c r="B407" s="21"/>
      <c r="C407" s="21"/>
      <c r="D407" s="22"/>
      <c r="F407" s="22"/>
      <c r="G407" s="27"/>
      <c r="H407" s="22"/>
      <c r="I407" s="27"/>
      <c r="J407" s="247"/>
      <c r="K407" s="247"/>
      <c r="L407" s="247"/>
    </row>
    <row r="408" spans="1:12" s="20" customFormat="1" x14ac:dyDescent="0.25">
      <c r="A408" s="26"/>
      <c r="B408" s="21"/>
      <c r="C408" s="21"/>
      <c r="D408" s="22"/>
      <c r="F408" s="22"/>
      <c r="G408" s="27"/>
      <c r="H408" s="22"/>
      <c r="I408" s="27"/>
      <c r="J408" s="247"/>
      <c r="K408" s="247"/>
      <c r="L408" s="247"/>
    </row>
    <row r="409" spans="1:12" s="20" customFormat="1" x14ac:dyDescent="0.25">
      <c r="A409" s="26"/>
      <c r="B409" s="21"/>
      <c r="C409" s="21"/>
      <c r="D409" s="22"/>
      <c r="F409" s="22"/>
      <c r="G409" s="27"/>
      <c r="H409" s="22"/>
      <c r="I409" s="27"/>
      <c r="J409" s="247"/>
      <c r="K409" s="247"/>
      <c r="L409" s="247"/>
    </row>
    <row r="410" spans="1:12" s="20" customFormat="1" x14ac:dyDescent="0.25">
      <c r="A410" s="26"/>
      <c r="B410" s="21"/>
      <c r="C410" s="21"/>
      <c r="D410" s="22"/>
      <c r="F410" s="22"/>
      <c r="G410" s="27"/>
      <c r="H410" s="22"/>
      <c r="I410" s="27"/>
      <c r="J410" s="247"/>
      <c r="K410" s="247"/>
      <c r="L410" s="247"/>
    </row>
    <row r="411" spans="1:12" s="20" customFormat="1" x14ac:dyDescent="0.25">
      <c r="A411" s="26"/>
      <c r="B411" s="21"/>
      <c r="C411" s="21"/>
      <c r="D411" s="22"/>
      <c r="F411" s="22"/>
      <c r="G411" s="27"/>
      <c r="H411" s="22"/>
      <c r="I411" s="27"/>
      <c r="J411" s="247"/>
      <c r="K411" s="247"/>
      <c r="L411" s="247"/>
    </row>
    <row r="412" spans="1:12" s="20" customFormat="1" x14ac:dyDescent="0.25">
      <c r="A412" s="26"/>
      <c r="B412" s="21"/>
      <c r="C412" s="21"/>
      <c r="D412" s="22"/>
      <c r="F412" s="22"/>
      <c r="G412" s="27"/>
      <c r="H412" s="22"/>
      <c r="I412" s="27"/>
      <c r="J412" s="247"/>
      <c r="K412" s="247"/>
      <c r="L412" s="247"/>
    </row>
    <row r="413" spans="1:12" s="20" customFormat="1" x14ac:dyDescent="0.25">
      <c r="A413" s="26"/>
      <c r="B413" s="21"/>
      <c r="C413" s="21"/>
      <c r="D413" s="22"/>
      <c r="F413" s="22"/>
      <c r="G413" s="27"/>
      <c r="H413" s="22"/>
      <c r="I413" s="27"/>
      <c r="J413" s="247"/>
      <c r="K413" s="247"/>
      <c r="L413" s="247"/>
    </row>
    <row r="414" spans="1:12" s="20" customFormat="1" x14ac:dyDescent="0.25">
      <c r="A414" s="26"/>
      <c r="B414" s="21"/>
      <c r="C414" s="21"/>
      <c r="D414" s="22"/>
      <c r="F414" s="22"/>
      <c r="G414" s="27"/>
      <c r="H414" s="22"/>
      <c r="I414" s="27"/>
      <c r="J414" s="247"/>
      <c r="K414" s="247"/>
      <c r="L414" s="247"/>
    </row>
    <row r="415" spans="1:12" s="20" customFormat="1" x14ac:dyDescent="0.25">
      <c r="A415" s="26"/>
      <c r="B415" s="21"/>
      <c r="C415" s="21"/>
      <c r="D415" s="22"/>
      <c r="F415" s="22"/>
      <c r="G415" s="27"/>
      <c r="H415" s="22"/>
      <c r="I415" s="27"/>
      <c r="J415" s="247"/>
      <c r="K415" s="247"/>
      <c r="L415" s="247"/>
    </row>
    <row r="416" spans="1:12" s="20" customFormat="1" x14ac:dyDescent="0.25">
      <c r="A416" s="26"/>
      <c r="B416" s="21"/>
      <c r="C416" s="21"/>
      <c r="D416" s="22"/>
      <c r="F416" s="22"/>
      <c r="G416" s="27"/>
      <c r="H416" s="22"/>
      <c r="I416" s="27"/>
      <c r="J416" s="247"/>
      <c r="K416" s="247"/>
      <c r="L416" s="247"/>
    </row>
    <row r="417" spans="1:12" s="20" customFormat="1" x14ac:dyDescent="0.25">
      <c r="A417" s="26"/>
      <c r="B417" s="21"/>
      <c r="C417" s="21"/>
      <c r="D417" s="22"/>
      <c r="F417" s="22"/>
      <c r="G417" s="27"/>
      <c r="H417" s="22"/>
      <c r="I417" s="27"/>
      <c r="J417" s="247"/>
      <c r="K417" s="247"/>
      <c r="L417" s="247"/>
    </row>
    <row r="418" spans="1:12" s="20" customFormat="1" x14ac:dyDescent="0.25">
      <c r="A418" s="26"/>
      <c r="B418" s="21"/>
      <c r="C418" s="21"/>
      <c r="D418" s="22"/>
      <c r="F418" s="22"/>
      <c r="G418" s="27"/>
      <c r="H418" s="22"/>
      <c r="I418" s="27"/>
      <c r="J418" s="247"/>
      <c r="K418" s="247"/>
      <c r="L418" s="247"/>
    </row>
    <row r="419" spans="1:12" s="20" customFormat="1" x14ac:dyDescent="0.25">
      <c r="A419" s="26"/>
      <c r="B419" s="21"/>
      <c r="C419" s="21"/>
      <c r="D419" s="22"/>
      <c r="F419" s="22"/>
      <c r="G419" s="27"/>
      <c r="H419" s="22"/>
      <c r="I419" s="27"/>
      <c r="J419" s="247"/>
      <c r="K419" s="247"/>
      <c r="L419" s="247"/>
    </row>
    <row r="420" spans="1:12" s="20" customFormat="1" x14ac:dyDescent="0.25">
      <c r="A420" s="26"/>
      <c r="B420" s="21"/>
      <c r="C420" s="21"/>
      <c r="D420" s="22"/>
      <c r="F420" s="22"/>
      <c r="G420" s="27"/>
      <c r="H420" s="22"/>
      <c r="I420" s="27"/>
      <c r="J420" s="247"/>
      <c r="K420" s="247"/>
      <c r="L420" s="247"/>
    </row>
    <row r="421" spans="1:12" s="20" customFormat="1" x14ac:dyDescent="0.25">
      <c r="A421" s="26"/>
      <c r="B421" s="21"/>
      <c r="C421" s="21"/>
      <c r="D421" s="22"/>
      <c r="F421" s="22"/>
      <c r="G421" s="27"/>
      <c r="H421" s="22"/>
      <c r="I421" s="27"/>
      <c r="J421" s="247"/>
      <c r="K421" s="247"/>
      <c r="L421" s="247"/>
    </row>
    <row r="422" spans="1:12" s="20" customFormat="1" x14ac:dyDescent="0.25">
      <c r="A422" s="26"/>
      <c r="B422" s="21"/>
      <c r="C422" s="21"/>
      <c r="D422" s="22"/>
      <c r="F422" s="22"/>
      <c r="G422" s="27"/>
      <c r="H422" s="22"/>
      <c r="I422" s="27"/>
      <c r="J422" s="247"/>
      <c r="K422" s="247"/>
      <c r="L422" s="247"/>
    </row>
    <row r="423" spans="1:12" s="20" customFormat="1" x14ac:dyDescent="0.25">
      <c r="A423" s="26"/>
      <c r="B423" s="21"/>
      <c r="C423" s="21"/>
      <c r="D423" s="22"/>
      <c r="F423" s="22"/>
      <c r="G423" s="27"/>
      <c r="H423" s="22"/>
      <c r="I423" s="27"/>
      <c r="J423" s="247"/>
      <c r="K423" s="247"/>
      <c r="L423" s="247"/>
    </row>
    <row r="424" spans="1:12" s="20" customFormat="1" x14ac:dyDescent="0.25">
      <c r="A424" s="26"/>
      <c r="B424" s="21"/>
      <c r="C424" s="21"/>
      <c r="D424" s="22"/>
      <c r="F424" s="22"/>
      <c r="G424" s="27"/>
      <c r="H424" s="22"/>
      <c r="I424" s="27"/>
      <c r="J424" s="247"/>
      <c r="K424" s="247"/>
      <c r="L424" s="247"/>
    </row>
    <row r="425" spans="1:12" s="20" customFormat="1" x14ac:dyDescent="0.25">
      <c r="A425" s="26"/>
      <c r="B425" s="21"/>
      <c r="C425" s="21"/>
      <c r="D425" s="22"/>
      <c r="F425" s="22"/>
      <c r="G425" s="27"/>
      <c r="H425" s="22"/>
      <c r="I425" s="27"/>
      <c r="J425" s="247"/>
      <c r="K425" s="247"/>
      <c r="L425" s="247"/>
    </row>
    <row r="426" spans="1:12" s="20" customFormat="1" x14ac:dyDescent="0.25">
      <c r="A426" s="26"/>
      <c r="B426" s="21"/>
      <c r="C426" s="21"/>
      <c r="D426" s="22"/>
      <c r="F426" s="22"/>
      <c r="G426" s="27"/>
      <c r="H426" s="22"/>
      <c r="I426" s="27"/>
      <c r="J426" s="247"/>
      <c r="K426" s="247"/>
      <c r="L426" s="247"/>
    </row>
    <row r="427" spans="1:12" s="20" customFormat="1" x14ac:dyDescent="0.25">
      <c r="A427" s="26"/>
      <c r="B427" s="21"/>
      <c r="C427" s="21"/>
      <c r="D427" s="22"/>
      <c r="F427" s="22"/>
      <c r="G427" s="27"/>
      <c r="H427" s="22"/>
      <c r="I427" s="27"/>
      <c r="J427" s="247"/>
      <c r="K427" s="247"/>
      <c r="L427" s="247"/>
    </row>
    <row r="428" spans="1:12" s="20" customFormat="1" x14ac:dyDescent="0.25">
      <c r="A428" s="26"/>
      <c r="B428" s="21"/>
      <c r="C428" s="21"/>
      <c r="D428" s="22"/>
      <c r="F428" s="22"/>
      <c r="G428" s="27"/>
      <c r="H428" s="22"/>
      <c r="I428" s="27"/>
      <c r="J428" s="247"/>
      <c r="K428" s="247"/>
      <c r="L428" s="247"/>
    </row>
    <row r="429" spans="1:12" s="20" customFormat="1" x14ac:dyDescent="0.25">
      <c r="A429" s="26"/>
      <c r="B429" s="21"/>
      <c r="C429" s="21"/>
      <c r="D429" s="22"/>
      <c r="F429" s="22"/>
      <c r="G429" s="27"/>
      <c r="H429" s="22"/>
      <c r="I429" s="27"/>
      <c r="J429" s="247"/>
      <c r="K429" s="247"/>
      <c r="L429" s="247"/>
    </row>
    <row r="430" spans="1:12" s="20" customFormat="1" x14ac:dyDescent="0.25">
      <c r="A430" s="26"/>
      <c r="B430" s="21"/>
      <c r="C430" s="21"/>
      <c r="D430" s="22"/>
      <c r="F430" s="22"/>
      <c r="G430" s="27"/>
      <c r="H430" s="22"/>
      <c r="I430" s="27"/>
      <c r="J430" s="247"/>
      <c r="K430" s="247"/>
      <c r="L430" s="247"/>
    </row>
    <row r="431" spans="1:12" s="20" customFormat="1" x14ac:dyDescent="0.25">
      <c r="A431" s="26"/>
      <c r="B431" s="21"/>
      <c r="C431" s="21"/>
      <c r="D431" s="22"/>
      <c r="F431" s="22"/>
      <c r="G431" s="27"/>
      <c r="H431" s="22"/>
      <c r="I431" s="27"/>
      <c r="J431" s="247"/>
      <c r="K431" s="247"/>
      <c r="L431" s="247"/>
    </row>
    <row r="432" spans="1:12" s="20" customFormat="1" x14ac:dyDescent="0.25">
      <c r="A432" s="26"/>
      <c r="B432" s="21"/>
      <c r="C432" s="21"/>
      <c r="D432" s="22"/>
      <c r="F432" s="22"/>
      <c r="G432" s="27"/>
      <c r="H432" s="22"/>
      <c r="I432" s="27"/>
      <c r="J432" s="247"/>
      <c r="K432" s="247"/>
      <c r="L432" s="247"/>
    </row>
    <row r="433" spans="1:12" s="20" customFormat="1" x14ac:dyDescent="0.25">
      <c r="A433" s="26"/>
      <c r="B433" s="21"/>
      <c r="C433" s="21"/>
      <c r="D433" s="22"/>
      <c r="F433" s="22"/>
      <c r="G433" s="27"/>
      <c r="H433" s="22"/>
      <c r="I433" s="27"/>
      <c r="J433" s="247"/>
      <c r="K433" s="247"/>
      <c r="L433" s="247"/>
    </row>
    <row r="434" spans="1:12" s="20" customFormat="1" x14ac:dyDescent="0.25">
      <c r="A434" s="26"/>
      <c r="B434" s="21"/>
      <c r="C434" s="21"/>
      <c r="D434" s="22"/>
      <c r="F434" s="22"/>
      <c r="G434" s="27"/>
      <c r="H434" s="22"/>
      <c r="I434" s="27"/>
      <c r="J434" s="247"/>
      <c r="K434" s="247"/>
      <c r="L434" s="247"/>
    </row>
    <row r="435" spans="1:12" s="20" customFormat="1" x14ac:dyDescent="0.25">
      <c r="A435" s="26"/>
      <c r="B435" s="21"/>
      <c r="C435" s="21"/>
      <c r="D435" s="22"/>
      <c r="F435" s="22"/>
      <c r="G435" s="27"/>
      <c r="H435" s="22"/>
      <c r="I435" s="27"/>
      <c r="J435" s="247"/>
      <c r="K435" s="247"/>
      <c r="L435" s="247"/>
    </row>
    <row r="436" spans="1:12" s="20" customFormat="1" x14ac:dyDescent="0.25">
      <c r="A436" s="26"/>
      <c r="B436" s="21"/>
      <c r="C436" s="21"/>
      <c r="D436" s="22"/>
      <c r="F436" s="22"/>
      <c r="G436" s="27"/>
      <c r="H436" s="22"/>
      <c r="I436" s="27"/>
      <c r="J436" s="247"/>
      <c r="K436" s="247"/>
      <c r="L436" s="247"/>
    </row>
    <row r="437" spans="1:12" s="20" customFormat="1" x14ac:dyDescent="0.25">
      <c r="A437" s="26"/>
      <c r="B437" s="21"/>
      <c r="C437" s="21"/>
      <c r="D437" s="22"/>
      <c r="F437" s="22"/>
      <c r="G437" s="27"/>
      <c r="H437" s="22"/>
      <c r="I437" s="27"/>
      <c r="J437" s="247"/>
      <c r="K437" s="247"/>
      <c r="L437" s="247"/>
    </row>
    <row r="438" spans="1:12" s="20" customFormat="1" x14ac:dyDescent="0.25">
      <c r="A438" s="26"/>
      <c r="B438" s="21"/>
      <c r="C438" s="21"/>
      <c r="D438" s="22"/>
      <c r="F438" s="22"/>
      <c r="G438" s="27"/>
      <c r="H438" s="22"/>
      <c r="I438" s="27"/>
      <c r="J438" s="247"/>
      <c r="K438" s="247"/>
      <c r="L438" s="247"/>
    </row>
    <row r="439" spans="1:12" s="20" customFormat="1" x14ac:dyDescent="0.25">
      <c r="A439" s="26"/>
      <c r="B439" s="21"/>
      <c r="C439" s="21"/>
      <c r="D439" s="22"/>
      <c r="F439" s="22"/>
      <c r="G439" s="27"/>
      <c r="H439" s="22"/>
      <c r="I439" s="27"/>
      <c r="J439" s="247"/>
      <c r="K439" s="247"/>
      <c r="L439" s="247"/>
    </row>
    <row r="440" spans="1:12" s="20" customFormat="1" x14ac:dyDescent="0.25">
      <c r="A440" s="26"/>
      <c r="B440" s="21"/>
      <c r="C440" s="21"/>
      <c r="D440" s="22"/>
      <c r="F440" s="22"/>
      <c r="G440" s="27"/>
      <c r="H440" s="22"/>
      <c r="I440" s="27"/>
      <c r="J440" s="247"/>
      <c r="K440" s="247"/>
      <c r="L440" s="247"/>
    </row>
    <row r="441" spans="1:12" s="20" customFormat="1" x14ac:dyDescent="0.25">
      <c r="A441" s="26"/>
      <c r="B441" s="21"/>
      <c r="C441" s="21"/>
      <c r="D441" s="22"/>
      <c r="F441" s="22"/>
      <c r="G441" s="27"/>
      <c r="H441" s="22"/>
      <c r="I441" s="27"/>
      <c r="J441" s="247"/>
      <c r="K441" s="247"/>
      <c r="L441" s="247"/>
    </row>
    <row r="442" spans="1:12" s="20" customFormat="1" x14ac:dyDescent="0.25">
      <c r="A442" s="26"/>
      <c r="B442" s="21"/>
      <c r="C442" s="21"/>
      <c r="D442" s="22"/>
      <c r="F442" s="22"/>
      <c r="G442" s="27"/>
      <c r="H442" s="22"/>
      <c r="I442" s="27"/>
      <c r="J442" s="247"/>
      <c r="K442" s="247"/>
      <c r="L442" s="247"/>
    </row>
    <row r="443" spans="1:12" s="20" customFormat="1" x14ac:dyDescent="0.25">
      <c r="A443" s="26"/>
      <c r="B443" s="21"/>
      <c r="C443" s="21"/>
      <c r="D443" s="22"/>
      <c r="F443" s="22"/>
      <c r="G443" s="27"/>
      <c r="H443" s="22"/>
      <c r="I443" s="27"/>
      <c r="J443" s="247"/>
      <c r="K443" s="247"/>
      <c r="L443" s="247"/>
    </row>
    <row r="444" spans="1:12" s="20" customFormat="1" x14ac:dyDescent="0.25">
      <c r="A444" s="26"/>
      <c r="B444" s="21"/>
      <c r="C444" s="21"/>
      <c r="D444" s="22"/>
      <c r="F444" s="22"/>
      <c r="G444" s="27"/>
      <c r="H444" s="22"/>
      <c r="I444" s="27"/>
      <c r="J444" s="247"/>
      <c r="K444" s="247"/>
      <c r="L444" s="247"/>
    </row>
    <row r="445" spans="1:12" s="20" customFormat="1" x14ac:dyDescent="0.25">
      <c r="A445" s="26"/>
      <c r="B445" s="21"/>
      <c r="C445" s="21"/>
      <c r="D445" s="22"/>
      <c r="F445" s="22"/>
      <c r="G445" s="27"/>
      <c r="H445" s="22"/>
      <c r="I445" s="27"/>
      <c r="J445" s="247"/>
      <c r="K445" s="247"/>
      <c r="L445" s="247"/>
    </row>
    <row r="446" spans="1:12" s="20" customFormat="1" x14ac:dyDescent="0.25">
      <c r="A446" s="26"/>
      <c r="B446" s="21"/>
      <c r="C446" s="21"/>
      <c r="D446" s="22"/>
      <c r="F446" s="22"/>
      <c r="G446" s="27"/>
      <c r="H446" s="22"/>
      <c r="I446" s="27"/>
      <c r="J446" s="247"/>
      <c r="K446" s="247"/>
      <c r="L446" s="247"/>
    </row>
    <row r="447" spans="1:12" s="20" customFormat="1" x14ac:dyDescent="0.25">
      <c r="A447" s="26"/>
      <c r="B447" s="21"/>
      <c r="C447" s="21"/>
      <c r="D447" s="22"/>
      <c r="F447" s="22"/>
      <c r="G447" s="27"/>
      <c r="H447" s="22"/>
      <c r="I447" s="27"/>
      <c r="J447" s="247"/>
      <c r="K447" s="247"/>
      <c r="L447" s="247"/>
    </row>
    <row r="448" spans="1:12" s="20" customFormat="1" x14ac:dyDescent="0.25">
      <c r="A448" s="26"/>
      <c r="B448" s="21"/>
      <c r="C448" s="21"/>
      <c r="D448" s="22"/>
      <c r="F448" s="22"/>
      <c r="G448" s="27"/>
      <c r="H448" s="22"/>
      <c r="I448" s="27"/>
      <c r="J448" s="247"/>
      <c r="K448" s="247"/>
      <c r="L448" s="247"/>
    </row>
    <row r="449" spans="1:12" s="20" customFormat="1" x14ac:dyDescent="0.25">
      <c r="A449" s="26"/>
      <c r="B449" s="21"/>
      <c r="C449" s="21"/>
      <c r="D449" s="22"/>
      <c r="F449" s="22"/>
      <c r="G449" s="27"/>
      <c r="H449" s="22"/>
      <c r="I449" s="27"/>
      <c r="J449" s="247"/>
      <c r="K449" s="247"/>
      <c r="L449" s="247"/>
    </row>
    <row r="450" spans="1:12" s="20" customFormat="1" x14ac:dyDescent="0.25">
      <c r="A450" s="26"/>
      <c r="B450" s="21"/>
      <c r="C450" s="21"/>
      <c r="D450" s="22"/>
      <c r="F450" s="22"/>
      <c r="G450" s="27"/>
      <c r="H450" s="22"/>
      <c r="I450" s="27"/>
      <c r="J450" s="247"/>
      <c r="K450" s="247"/>
      <c r="L450" s="247"/>
    </row>
    <row r="451" spans="1:12" s="20" customFormat="1" x14ac:dyDescent="0.25">
      <c r="A451" s="26"/>
      <c r="B451" s="21"/>
      <c r="C451" s="21"/>
      <c r="D451" s="22"/>
      <c r="F451" s="22"/>
      <c r="G451" s="27"/>
      <c r="H451" s="22"/>
      <c r="I451" s="27"/>
      <c r="J451" s="247"/>
      <c r="K451" s="247"/>
      <c r="L451" s="247"/>
    </row>
    <row r="452" spans="1:12" s="20" customFormat="1" x14ac:dyDescent="0.25">
      <c r="A452" s="26"/>
      <c r="B452" s="21"/>
      <c r="C452" s="21"/>
      <c r="D452" s="22"/>
      <c r="F452" s="22"/>
      <c r="G452" s="27"/>
      <c r="H452" s="22"/>
      <c r="I452" s="27"/>
      <c r="J452" s="247"/>
      <c r="K452" s="247"/>
      <c r="L452" s="247"/>
    </row>
    <row r="453" spans="1:12" s="20" customFormat="1" x14ac:dyDescent="0.25">
      <c r="A453" s="26"/>
      <c r="B453" s="21"/>
      <c r="C453" s="21"/>
      <c r="D453" s="22"/>
      <c r="F453" s="22"/>
      <c r="G453" s="27"/>
      <c r="H453" s="22"/>
      <c r="I453" s="27"/>
      <c r="J453" s="247"/>
      <c r="K453" s="247"/>
      <c r="L453" s="247"/>
    </row>
    <row r="454" spans="1:12" s="20" customFormat="1" x14ac:dyDescent="0.25">
      <c r="A454" s="26"/>
      <c r="B454" s="21"/>
      <c r="C454" s="21"/>
      <c r="D454" s="22"/>
      <c r="F454" s="22"/>
      <c r="G454" s="27"/>
      <c r="H454" s="22"/>
      <c r="I454" s="27"/>
      <c r="J454" s="247"/>
      <c r="K454" s="247"/>
      <c r="L454" s="247"/>
    </row>
    <row r="455" spans="1:12" s="20" customFormat="1" x14ac:dyDescent="0.25">
      <c r="A455" s="26"/>
      <c r="B455" s="21"/>
      <c r="C455" s="21"/>
      <c r="D455" s="22"/>
      <c r="F455" s="22"/>
      <c r="G455" s="27"/>
      <c r="H455" s="22"/>
      <c r="I455" s="27"/>
      <c r="J455" s="247"/>
      <c r="K455" s="247"/>
      <c r="L455" s="247"/>
    </row>
    <row r="456" spans="1:12" s="20" customFormat="1" x14ac:dyDescent="0.25">
      <c r="A456" s="26"/>
      <c r="B456" s="21"/>
      <c r="C456" s="21"/>
      <c r="D456" s="22"/>
      <c r="F456" s="22"/>
      <c r="G456" s="27"/>
      <c r="H456" s="22"/>
      <c r="I456" s="27"/>
      <c r="J456" s="247"/>
      <c r="K456" s="247"/>
      <c r="L456" s="247"/>
    </row>
    <row r="457" spans="1:12" s="20" customFormat="1" x14ac:dyDescent="0.25">
      <c r="A457" s="26"/>
      <c r="B457" s="21"/>
      <c r="C457" s="21"/>
      <c r="D457" s="22"/>
      <c r="F457" s="22"/>
      <c r="G457" s="27"/>
      <c r="H457" s="22"/>
      <c r="I457" s="27"/>
      <c r="J457" s="247"/>
      <c r="K457" s="247"/>
      <c r="L457" s="247"/>
    </row>
    <row r="458" spans="1:12" s="20" customFormat="1" x14ac:dyDescent="0.25">
      <c r="A458" s="26"/>
      <c r="B458" s="21"/>
      <c r="C458" s="21"/>
      <c r="D458" s="22"/>
      <c r="F458" s="22"/>
      <c r="G458" s="27"/>
      <c r="H458" s="22"/>
      <c r="I458" s="27"/>
      <c r="J458" s="247"/>
      <c r="K458" s="247"/>
      <c r="L458" s="247"/>
    </row>
    <row r="459" spans="1:12" s="20" customFormat="1" x14ac:dyDescent="0.25">
      <c r="A459" s="26"/>
      <c r="B459" s="21"/>
      <c r="C459" s="21"/>
      <c r="D459" s="22"/>
      <c r="F459" s="22"/>
      <c r="G459" s="27"/>
      <c r="H459" s="22"/>
      <c r="I459" s="27"/>
      <c r="J459" s="247"/>
      <c r="K459" s="247"/>
      <c r="L459" s="247"/>
    </row>
    <row r="460" spans="1:12" s="20" customFormat="1" x14ac:dyDescent="0.25">
      <c r="A460" s="26"/>
      <c r="B460" s="21"/>
      <c r="C460" s="21"/>
      <c r="D460" s="22"/>
      <c r="F460" s="22"/>
      <c r="G460" s="27"/>
      <c r="H460" s="22"/>
      <c r="I460" s="27"/>
      <c r="J460" s="247"/>
      <c r="K460" s="247"/>
      <c r="L460" s="247"/>
    </row>
    <row r="461" spans="1:12" s="20" customFormat="1" x14ac:dyDescent="0.25">
      <c r="A461" s="26"/>
      <c r="B461" s="21"/>
      <c r="C461" s="21"/>
      <c r="D461" s="22"/>
      <c r="F461" s="22"/>
      <c r="G461" s="27"/>
      <c r="H461" s="22"/>
      <c r="I461" s="27"/>
      <c r="J461" s="247"/>
      <c r="K461" s="247"/>
      <c r="L461" s="247"/>
    </row>
    <row r="462" spans="1:12" s="20" customFormat="1" x14ac:dyDescent="0.25">
      <c r="A462" s="26"/>
      <c r="B462" s="21"/>
      <c r="C462" s="21"/>
      <c r="D462" s="22"/>
      <c r="F462" s="22"/>
      <c r="G462" s="27"/>
      <c r="H462" s="22"/>
      <c r="I462" s="27"/>
      <c r="J462" s="247"/>
      <c r="K462" s="247"/>
      <c r="L462" s="247"/>
    </row>
    <row r="463" spans="1:12" s="20" customFormat="1" x14ac:dyDescent="0.25">
      <c r="A463" s="26"/>
      <c r="B463" s="21"/>
      <c r="C463" s="21"/>
      <c r="D463" s="22"/>
      <c r="F463" s="22"/>
      <c r="G463" s="27"/>
      <c r="H463" s="22"/>
      <c r="I463" s="27"/>
      <c r="J463" s="247"/>
      <c r="K463" s="247"/>
      <c r="L463" s="247"/>
    </row>
    <row r="464" spans="1:12" s="20" customFormat="1" x14ac:dyDescent="0.25">
      <c r="A464" s="26"/>
      <c r="B464" s="21"/>
      <c r="C464" s="21"/>
      <c r="D464" s="22"/>
      <c r="F464" s="22"/>
      <c r="G464" s="27"/>
      <c r="H464" s="22"/>
      <c r="I464" s="27"/>
      <c r="J464" s="247"/>
      <c r="K464" s="247"/>
      <c r="L464" s="247"/>
    </row>
    <row r="465" spans="1:12" s="20" customFormat="1" x14ac:dyDescent="0.25">
      <c r="A465" s="26"/>
      <c r="B465" s="21"/>
      <c r="C465" s="21"/>
      <c r="D465" s="22"/>
      <c r="F465" s="22"/>
      <c r="G465" s="27"/>
      <c r="H465" s="22"/>
      <c r="I465" s="27"/>
      <c r="J465" s="247"/>
      <c r="K465" s="247"/>
      <c r="L465" s="247"/>
    </row>
    <row r="466" spans="1:12" s="20" customFormat="1" x14ac:dyDescent="0.25">
      <c r="A466" s="26"/>
      <c r="B466" s="21"/>
      <c r="C466" s="21"/>
      <c r="D466" s="22"/>
      <c r="F466" s="22"/>
      <c r="G466" s="27"/>
      <c r="H466" s="22"/>
      <c r="I466" s="27"/>
      <c r="J466" s="247"/>
      <c r="K466" s="247"/>
      <c r="L466" s="247"/>
    </row>
    <row r="467" spans="1:12" s="20" customFormat="1" x14ac:dyDescent="0.25">
      <c r="A467" s="26"/>
      <c r="B467" s="21"/>
      <c r="C467" s="21"/>
      <c r="D467" s="22"/>
      <c r="F467" s="22"/>
      <c r="G467" s="27"/>
      <c r="H467" s="22"/>
      <c r="I467" s="27"/>
      <c r="J467" s="247"/>
      <c r="K467" s="247"/>
      <c r="L467" s="247"/>
    </row>
    <row r="468" spans="1:12" s="20" customFormat="1" x14ac:dyDescent="0.25">
      <c r="A468" s="26"/>
      <c r="B468" s="21"/>
      <c r="C468" s="21"/>
      <c r="D468" s="22"/>
      <c r="F468" s="22"/>
      <c r="G468" s="27"/>
      <c r="H468" s="22"/>
      <c r="I468" s="27"/>
      <c r="J468" s="247"/>
      <c r="K468" s="247"/>
      <c r="L468" s="247"/>
    </row>
    <row r="469" spans="1:12" s="20" customFormat="1" x14ac:dyDescent="0.25">
      <c r="A469" s="26"/>
      <c r="B469" s="21"/>
      <c r="C469" s="21"/>
      <c r="D469" s="22"/>
      <c r="F469" s="22"/>
      <c r="G469" s="27"/>
      <c r="H469" s="22"/>
      <c r="I469" s="27"/>
      <c r="J469" s="247"/>
      <c r="K469" s="247"/>
      <c r="L469" s="247"/>
    </row>
    <row r="470" spans="1:12" s="20" customFormat="1" x14ac:dyDescent="0.25">
      <c r="A470" s="26"/>
      <c r="B470" s="21"/>
      <c r="C470" s="21"/>
      <c r="D470" s="22"/>
      <c r="F470" s="22"/>
      <c r="G470" s="27"/>
      <c r="H470" s="22"/>
      <c r="I470" s="27"/>
      <c r="J470" s="247"/>
      <c r="K470" s="247"/>
      <c r="L470" s="247"/>
    </row>
    <row r="471" spans="1:12" s="20" customFormat="1" x14ac:dyDescent="0.25">
      <c r="A471" s="26"/>
      <c r="B471" s="21"/>
      <c r="C471" s="21"/>
      <c r="D471" s="22"/>
      <c r="F471" s="22"/>
      <c r="G471" s="27"/>
      <c r="H471" s="22"/>
      <c r="I471" s="27"/>
      <c r="J471" s="247"/>
      <c r="K471" s="247"/>
      <c r="L471" s="247"/>
    </row>
    <row r="472" spans="1:12" s="20" customFormat="1" x14ac:dyDescent="0.25">
      <c r="A472" s="26"/>
      <c r="B472" s="21"/>
      <c r="C472" s="21"/>
      <c r="D472" s="22"/>
      <c r="F472" s="22"/>
      <c r="G472" s="27"/>
      <c r="H472" s="22"/>
      <c r="I472" s="27"/>
      <c r="J472" s="247"/>
      <c r="K472" s="247"/>
      <c r="L472" s="247"/>
    </row>
    <row r="473" spans="1:12" s="20" customFormat="1" x14ac:dyDescent="0.25">
      <c r="A473" s="26"/>
      <c r="B473" s="21"/>
      <c r="C473" s="21"/>
      <c r="D473" s="22"/>
      <c r="F473" s="22"/>
      <c r="G473" s="27"/>
      <c r="H473" s="22"/>
      <c r="I473" s="27"/>
      <c r="J473" s="247"/>
      <c r="K473" s="247"/>
      <c r="L473" s="247"/>
    </row>
    <row r="474" spans="1:12" s="20" customFormat="1" x14ac:dyDescent="0.25">
      <c r="A474" s="26"/>
      <c r="B474" s="21"/>
      <c r="C474" s="21"/>
      <c r="D474" s="22"/>
      <c r="F474" s="22"/>
      <c r="G474" s="27"/>
      <c r="H474" s="22"/>
      <c r="I474" s="27"/>
      <c r="J474" s="247"/>
      <c r="K474" s="247"/>
      <c r="L474" s="247"/>
    </row>
    <row r="475" spans="1:12" s="20" customFormat="1" x14ac:dyDescent="0.25">
      <c r="A475" s="26"/>
      <c r="B475" s="21"/>
      <c r="C475" s="21"/>
      <c r="D475" s="22"/>
      <c r="F475" s="22"/>
      <c r="G475" s="27"/>
      <c r="H475" s="22"/>
      <c r="I475" s="27"/>
      <c r="J475" s="247"/>
      <c r="K475" s="247"/>
      <c r="L475" s="247"/>
    </row>
    <row r="476" spans="1:12" s="20" customFormat="1" x14ac:dyDescent="0.25">
      <c r="A476" s="26"/>
      <c r="B476" s="21"/>
      <c r="C476" s="21"/>
      <c r="D476" s="22"/>
      <c r="F476" s="22"/>
      <c r="G476" s="27"/>
      <c r="H476" s="22"/>
      <c r="I476" s="27"/>
      <c r="J476" s="247"/>
      <c r="K476" s="247"/>
      <c r="L476" s="247"/>
    </row>
    <row r="477" spans="1:12" s="20" customFormat="1" x14ac:dyDescent="0.25">
      <c r="A477" s="26"/>
      <c r="B477" s="21"/>
      <c r="C477" s="21"/>
      <c r="D477" s="22"/>
      <c r="F477" s="22"/>
      <c r="G477" s="27"/>
      <c r="H477" s="22"/>
      <c r="I477" s="27"/>
      <c r="J477" s="247"/>
      <c r="K477" s="247"/>
      <c r="L477" s="247"/>
    </row>
    <row r="478" spans="1:12" s="20" customFormat="1" x14ac:dyDescent="0.25">
      <c r="A478" s="26"/>
      <c r="B478" s="21"/>
      <c r="C478" s="21"/>
      <c r="D478" s="22"/>
      <c r="F478" s="22"/>
      <c r="G478" s="27"/>
      <c r="H478" s="22"/>
      <c r="I478" s="27"/>
      <c r="J478" s="247"/>
      <c r="K478" s="247"/>
      <c r="L478" s="247"/>
    </row>
    <row r="479" spans="1:12" s="20" customFormat="1" x14ac:dyDescent="0.25">
      <c r="A479" s="26"/>
      <c r="B479" s="21"/>
      <c r="C479" s="21"/>
      <c r="D479" s="22"/>
      <c r="F479" s="22"/>
      <c r="G479" s="27"/>
      <c r="H479" s="22"/>
      <c r="I479" s="27"/>
      <c r="J479" s="247"/>
      <c r="K479" s="247"/>
      <c r="L479" s="247"/>
    </row>
    <row r="480" spans="1:12" s="20" customFormat="1" x14ac:dyDescent="0.25">
      <c r="A480" s="26"/>
      <c r="B480" s="21"/>
      <c r="C480" s="21"/>
      <c r="D480" s="22"/>
      <c r="F480" s="22"/>
      <c r="G480" s="27"/>
      <c r="H480" s="22"/>
      <c r="I480" s="27"/>
      <c r="J480" s="247"/>
      <c r="K480" s="247"/>
      <c r="L480" s="247"/>
    </row>
    <row r="481" spans="1:12" s="20" customFormat="1" x14ac:dyDescent="0.25">
      <c r="A481" s="26"/>
      <c r="B481" s="21"/>
      <c r="C481" s="21"/>
      <c r="D481" s="22"/>
      <c r="F481" s="22"/>
      <c r="G481" s="27"/>
      <c r="H481" s="22"/>
      <c r="I481" s="27"/>
      <c r="J481" s="247"/>
      <c r="K481" s="247"/>
      <c r="L481" s="247"/>
    </row>
    <row r="482" spans="1:12" s="20" customFormat="1" x14ac:dyDescent="0.25">
      <c r="A482" s="26"/>
      <c r="B482" s="21"/>
      <c r="C482" s="21"/>
      <c r="D482" s="22"/>
      <c r="F482" s="22"/>
      <c r="G482" s="27"/>
      <c r="H482" s="22"/>
      <c r="I482" s="27"/>
      <c r="J482" s="247"/>
      <c r="K482" s="247"/>
      <c r="L482" s="247"/>
    </row>
    <row r="483" spans="1:12" s="20" customFormat="1" x14ac:dyDescent="0.25">
      <c r="A483" s="26"/>
      <c r="B483" s="21"/>
      <c r="C483" s="21"/>
      <c r="D483" s="22"/>
      <c r="F483" s="22"/>
      <c r="G483" s="27"/>
      <c r="H483" s="22"/>
      <c r="I483" s="27"/>
      <c r="J483" s="247"/>
      <c r="K483" s="247"/>
      <c r="L483" s="247"/>
    </row>
    <row r="484" spans="1:12" s="20" customFormat="1" x14ac:dyDescent="0.25">
      <c r="A484" s="26"/>
      <c r="B484" s="21"/>
      <c r="C484" s="21"/>
      <c r="D484" s="22"/>
      <c r="F484" s="22"/>
      <c r="G484" s="27"/>
      <c r="H484" s="22"/>
      <c r="I484" s="27"/>
      <c r="J484" s="247"/>
      <c r="K484" s="247"/>
      <c r="L484" s="247"/>
    </row>
    <row r="485" spans="1:12" s="20" customFormat="1" x14ac:dyDescent="0.25">
      <c r="A485" s="26"/>
      <c r="B485" s="21"/>
      <c r="C485" s="21"/>
      <c r="D485" s="22"/>
      <c r="F485" s="22"/>
      <c r="G485" s="27"/>
      <c r="H485" s="22"/>
      <c r="I485" s="27"/>
      <c r="J485" s="247"/>
      <c r="K485" s="247"/>
      <c r="L485" s="247"/>
    </row>
    <row r="486" spans="1:12" s="20" customFormat="1" x14ac:dyDescent="0.25">
      <c r="A486" s="26"/>
      <c r="B486" s="21"/>
      <c r="C486" s="21"/>
      <c r="D486" s="22"/>
      <c r="F486" s="22"/>
      <c r="G486" s="27"/>
      <c r="H486" s="22"/>
      <c r="I486" s="27"/>
      <c r="J486" s="247"/>
      <c r="K486" s="247"/>
      <c r="L486" s="247"/>
    </row>
    <row r="487" spans="1:12" s="20" customFormat="1" x14ac:dyDescent="0.25">
      <c r="A487" s="26"/>
      <c r="B487" s="21"/>
      <c r="C487" s="21"/>
      <c r="D487" s="22"/>
      <c r="F487" s="22"/>
      <c r="G487" s="27"/>
      <c r="H487" s="22"/>
      <c r="I487" s="27"/>
      <c r="J487" s="247"/>
      <c r="K487" s="247"/>
      <c r="L487" s="247"/>
    </row>
    <row r="488" spans="1:12" s="20" customFormat="1" x14ac:dyDescent="0.25">
      <c r="A488" s="26"/>
      <c r="B488" s="21"/>
      <c r="C488" s="21"/>
      <c r="D488" s="22"/>
      <c r="F488" s="22"/>
      <c r="G488" s="27"/>
      <c r="H488" s="22"/>
      <c r="I488" s="27"/>
      <c r="J488" s="247"/>
      <c r="K488" s="247"/>
      <c r="L488" s="247"/>
    </row>
    <row r="489" spans="1:12" s="20" customFormat="1" x14ac:dyDescent="0.25">
      <c r="A489" s="26"/>
      <c r="B489" s="21"/>
      <c r="C489" s="21"/>
      <c r="D489" s="22"/>
      <c r="F489" s="22"/>
      <c r="G489" s="27"/>
      <c r="H489" s="22"/>
      <c r="I489" s="27"/>
      <c r="J489" s="247"/>
      <c r="K489" s="247"/>
      <c r="L489" s="247"/>
    </row>
    <row r="490" spans="1:12" s="20" customFormat="1" x14ac:dyDescent="0.25">
      <c r="A490" s="26"/>
      <c r="B490" s="21"/>
      <c r="C490" s="21"/>
      <c r="D490" s="22"/>
      <c r="F490" s="22"/>
      <c r="G490" s="27"/>
      <c r="H490" s="22"/>
      <c r="I490" s="27"/>
      <c r="J490" s="247"/>
      <c r="K490" s="247"/>
      <c r="L490" s="247"/>
    </row>
    <row r="491" spans="1:12" s="20" customFormat="1" x14ac:dyDescent="0.25">
      <c r="A491" s="26"/>
      <c r="B491" s="21"/>
      <c r="C491" s="21"/>
      <c r="D491" s="22"/>
      <c r="F491" s="22"/>
      <c r="G491" s="27"/>
      <c r="H491" s="22"/>
      <c r="I491" s="27"/>
      <c r="J491" s="247"/>
      <c r="K491" s="247"/>
      <c r="L491" s="247"/>
    </row>
    <row r="492" spans="1:12" s="20" customFormat="1" x14ac:dyDescent="0.25">
      <c r="A492" s="26"/>
      <c r="B492" s="21"/>
      <c r="C492" s="21"/>
      <c r="D492" s="22"/>
      <c r="F492" s="22"/>
      <c r="G492" s="27"/>
      <c r="H492" s="22"/>
      <c r="I492" s="27"/>
      <c r="J492" s="247"/>
      <c r="K492" s="247"/>
      <c r="L492" s="247"/>
    </row>
    <row r="493" spans="1:12" s="20" customFormat="1" x14ac:dyDescent="0.25">
      <c r="A493" s="26"/>
      <c r="B493" s="21"/>
      <c r="C493" s="21"/>
      <c r="D493" s="22"/>
      <c r="F493" s="22"/>
      <c r="G493" s="27"/>
      <c r="H493" s="22"/>
      <c r="I493" s="27"/>
      <c r="J493" s="247"/>
      <c r="K493" s="247"/>
      <c r="L493" s="247"/>
    </row>
    <row r="494" spans="1:12" s="20" customFormat="1" x14ac:dyDescent="0.25">
      <c r="A494" s="26"/>
      <c r="B494" s="21"/>
      <c r="C494" s="21"/>
      <c r="D494" s="22"/>
      <c r="F494" s="22"/>
      <c r="G494" s="27"/>
      <c r="H494" s="22"/>
      <c r="I494" s="27"/>
      <c r="J494" s="247"/>
      <c r="K494" s="247"/>
      <c r="L494" s="247"/>
    </row>
    <row r="495" spans="1:12" s="20" customFormat="1" x14ac:dyDescent="0.25">
      <c r="A495" s="26"/>
      <c r="B495" s="21"/>
      <c r="C495" s="21"/>
      <c r="D495" s="22"/>
      <c r="F495" s="22"/>
      <c r="G495" s="27"/>
      <c r="H495" s="22"/>
      <c r="I495" s="27"/>
      <c r="J495" s="247"/>
      <c r="K495" s="247"/>
      <c r="L495" s="247"/>
    </row>
    <row r="496" spans="1:12" s="20" customFormat="1" x14ac:dyDescent="0.25">
      <c r="A496" s="26"/>
      <c r="B496" s="21"/>
      <c r="C496" s="21"/>
      <c r="D496" s="22"/>
      <c r="F496" s="22"/>
      <c r="G496" s="27"/>
      <c r="H496" s="22"/>
      <c r="I496" s="27"/>
      <c r="J496" s="247"/>
      <c r="K496" s="247"/>
      <c r="L496" s="247"/>
    </row>
    <row r="497" spans="1:12" s="20" customFormat="1" x14ac:dyDescent="0.25">
      <c r="A497" s="26"/>
      <c r="B497" s="21"/>
      <c r="C497" s="21"/>
      <c r="D497" s="22"/>
      <c r="F497" s="22"/>
      <c r="G497" s="27"/>
      <c r="H497" s="22"/>
      <c r="I497" s="27"/>
      <c r="J497" s="247"/>
      <c r="K497" s="247"/>
      <c r="L497" s="247"/>
    </row>
    <row r="498" spans="1:12" s="20" customFormat="1" x14ac:dyDescent="0.25">
      <c r="A498" s="26"/>
      <c r="B498" s="21"/>
      <c r="C498" s="21"/>
      <c r="D498" s="22"/>
      <c r="F498" s="22"/>
      <c r="G498" s="27"/>
      <c r="H498" s="22"/>
      <c r="I498" s="27"/>
      <c r="J498" s="247"/>
      <c r="K498" s="247"/>
      <c r="L498" s="247"/>
    </row>
    <row r="499" spans="1:12" s="20" customFormat="1" x14ac:dyDescent="0.25">
      <c r="A499" s="26"/>
      <c r="B499" s="21"/>
      <c r="C499" s="21"/>
      <c r="D499" s="22"/>
      <c r="F499" s="22"/>
      <c r="G499" s="27"/>
      <c r="H499" s="22"/>
      <c r="I499" s="27"/>
      <c r="J499" s="247"/>
      <c r="K499" s="247"/>
      <c r="L499" s="247"/>
    </row>
    <row r="500" spans="1:12" s="20" customFormat="1" x14ac:dyDescent="0.25">
      <c r="A500" s="26"/>
      <c r="B500" s="21"/>
      <c r="C500" s="21"/>
      <c r="D500" s="22"/>
      <c r="F500" s="22"/>
      <c r="G500" s="27"/>
      <c r="H500" s="22"/>
      <c r="I500" s="27"/>
      <c r="J500" s="247"/>
      <c r="K500" s="247"/>
      <c r="L500" s="247"/>
    </row>
    <row r="501" spans="1:12" s="20" customFormat="1" x14ac:dyDescent="0.25">
      <c r="A501" s="26"/>
      <c r="B501" s="21"/>
      <c r="C501" s="21"/>
      <c r="D501" s="22"/>
      <c r="F501" s="22"/>
      <c r="G501" s="27"/>
      <c r="H501" s="22"/>
      <c r="I501" s="27"/>
      <c r="J501" s="247"/>
      <c r="K501" s="247"/>
      <c r="L501" s="247"/>
    </row>
    <row r="502" spans="1:12" s="20" customFormat="1" x14ac:dyDescent="0.25">
      <c r="A502" s="26"/>
      <c r="B502" s="21"/>
      <c r="C502" s="21"/>
      <c r="D502" s="22"/>
      <c r="F502" s="22"/>
      <c r="G502" s="27"/>
      <c r="H502" s="22"/>
      <c r="I502" s="27"/>
      <c r="J502" s="247"/>
      <c r="K502" s="247"/>
      <c r="L502" s="247"/>
    </row>
    <row r="503" spans="1:12" s="20" customFormat="1" x14ac:dyDescent="0.25">
      <c r="A503" s="26"/>
      <c r="B503" s="21"/>
      <c r="C503" s="21"/>
      <c r="D503" s="22"/>
      <c r="F503" s="22"/>
      <c r="G503" s="27"/>
      <c r="H503" s="22"/>
      <c r="I503" s="27"/>
      <c r="J503" s="247"/>
      <c r="K503" s="247"/>
      <c r="L503" s="247"/>
    </row>
    <row r="504" spans="1:12" s="20" customFormat="1" x14ac:dyDescent="0.25">
      <c r="A504" s="26"/>
      <c r="B504" s="21"/>
      <c r="C504" s="21"/>
      <c r="D504" s="22"/>
      <c r="F504" s="22"/>
      <c r="G504" s="27"/>
      <c r="H504" s="22"/>
      <c r="I504" s="27"/>
      <c r="J504" s="247"/>
      <c r="K504" s="247"/>
      <c r="L504" s="247"/>
    </row>
    <row r="505" spans="1:12" s="20" customFormat="1" x14ac:dyDescent="0.25">
      <c r="A505" s="26"/>
      <c r="B505" s="21"/>
      <c r="C505" s="21"/>
      <c r="D505" s="22"/>
      <c r="F505" s="22"/>
      <c r="G505" s="27"/>
      <c r="H505" s="22"/>
      <c r="I505" s="27"/>
      <c r="J505" s="247"/>
      <c r="K505" s="247"/>
      <c r="L505" s="247"/>
    </row>
    <row r="506" spans="1:12" s="20" customFormat="1" x14ac:dyDescent="0.25">
      <c r="A506" s="26"/>
      <c r="B506" s="21"/>
      <c r="C506" s="21"/>
      <c r="D506" s="22"/>
      <c r="F506" s="22"/>
      <c r="G506" s="27"/>
      <c r="H506" s="22"/>
      <c r="I506" s="27"/>
      <c r="J506" s="247"/>
      <c r="K506" s="247"/>
      <c r="L506" s="247"/>
    </row>
    <row r="507" spans="1:12" s="20" customFormat="1" x14ac:dyDescent="0.25">
      <c r="A507" s="26"/>
      <c r="B507" s="21"/>
      <c r="C507" s="21"/>
      <c r="D507" s="22"/>
      <c r="F507" s="22"/>
      <c r="G507" s="27"/>
      <c r="H507" s="22"/>
      <c r="I507" s="27"/>
      <c r="J507" s="247"/>
      <c r="K507" s="247"/>
      <c r="L507" s="247"/>
    </row>
    <row r="508" spans="1:12" s="20" customFormat="1" x14ac:dyDescent="0.25">
      <c r="A508" s="26"/>
      <c r="B508" s="21"/>
      <c r="C508" s="21"/>
      <c r="D508" s="22"/>
      <c r="F508" s="22"/>
      <c r="G508" s="27"/>
      <c r="H508" s="22"/>
      <c r="I508" s="27"/>
      <c r="J508" s="247"/>
      <c r="K508" s="247"/>
      <c r="L508" s="247"/>
    </row>
    <row r="509" spans="1:12" s="20" customFormat="1" x14ac:dyDescent="0.25">
      <c r="A509" s="26"/>
      <c r="B509" s="21"/>
      <c r="C509" s="21"/>
      <c r="D509" s="22"/>
      <c r="F509" s="22"/>
      <c r="G509" s="27"/>
      <c r="H509" s="22"/>
      <c r="I509" s="27"/>
      <c r="J509" s="247"/>
      <c r="K509" s="247"/>
      <c r="L509" s="247"/>
    </row>
    <row r="510" spans="1:12" s="20" customFormat="1" x14ac:dyDescent="0.25">
      <c r="A510" s="26"/>
      <c r="B510" s="21"/>
      <c r="C510" s="21"/>
      <c r="D510" s="22"/>
      <c r="F510" s="22"/>
      <c r="G510" s="27"/>
      <c r="H510" s="22"/>
      <c r="I510" s="27"/>
      <c r="J510" s="247"/>
      <c r="K510" s="247"/>
      <c r="L510" s="247"/>
    </row>
    <row r="511" spans="1:12" s="20" customFormat="1" x14ac:dyDescent="0.25">
      <c r="A511" s="26"/>
      <c r="B511" s="21"/>
      <c r="C511" s="21"/>
      <c r="D511" s="22"/>
      <c r="F511" s="22"/>
      <c r="G511" s="27"/>
      <c r="H511" s="22"/>
      <c r="I511" s="27"/>
      <c r="J511" s="247"/>
      <c r="K511" s="247"/>
      <c r="L511" s="247"/>
    </row>
    <row r="512" spans="1:12" s="20" customFormat="1" x14ac:dyDescent="0.25">
      <c r="A512" s="26"/>
      <c r="B512" s="21"/>
      <c r="C512" s="21"/>
      <c r="D512" s="22"/>
      <c r="F512" s="22"/>
      <c r="G512" s="27"/>
      <c r="H512" s="22"/>
      <c r="I512" s="27"/>
      <c r="J512" s="247"/>
      <c r="K512" s="247"/>
      <c r="L512" s="247"/>
    </row>
    <row r="513" spans="1:12" s="20" customFormat="1" x14ac:dyDescent="0.25">
      <c r="A513" s="26"/>
      <c r="B513" s="21"/>
      <c r="C513" s="21"/>
      <c r="D513" s="22"/>
      <c r="F513" s="22"/>
      <c r="G513" s="27"/>
      <c r="H513" s="22"/>
      <c r="I513" s="27"/>
      <c r="J513" s="247"/>
      <c r="K513" s="247"/>
      <c r="L513" s="247"/>
    </row>
    <row r="514" spans="1:12" s="20" customFormat="1" x14ac:dyDescent="0.25">
      <c r="A514" s="26"/>
      <c r="B514" s="21"/>
      <c r="C514" s="21"/>
      <c r="D514" s="22"/>
      <c r="F514" s="22"/>
      <c r="G514" s="27"/>
      <c r="H514" s="22"/>
      <c r="I514" s="27"/>
      <c r="J514" s="247"/>
      <c r="K514" s="247"/>
      <c r="L514" s="247"/>
    </row>
    <row r="515" spans="1:12" s="20" customFormat="1" x14ac:dyDescent="0.25">
      <c r="A515" s="26"/>
      <c r="B515" s="21"/>
      <c r="C515" s="21"/>
      <c r="D515" s="22"/>
      <c r="F515" s="22"/>
      <c r="G515" s="27"/>
      <c r="H515" s="22"/>
      <c r="I515" s="27"/>
      <c r="J515" s="247"/>
      <c r="K515" s="247"/>
      <c r="L515" s="247"/>
    </row>
    <row r="516" spans="1:12" s="20" customFormat="1" x14ac:dyDescent="0.25">
      <c r="A516" s="26"/>
      <c r="B516" s="21"/>
      <c r="C516" s="21"/>
      <c r="D516" s="22"/>
      <c r="F516" s="22"/>
      <c r="G516" s="27"/>
      <c r="H516" s="22"/>
      <c r="I516" s="27"/>
      <c r="J516" s="247"/>
      <c r="K516" s="247"/>
      <c r="L516" s="247"/>
    </row>
    <row r="517" spans="1:12" s="20" customFormat="1" x14ac:dyDescent="0.25">
      <c r="A517" s="26"/>
      <c r="B517" s="21"/>
      <c r="C517" s="21"/>
      <c r="D517" s="22"/>
      <c r="F517" s="22"/>
      <c r="G517" s="27"/>
      <c r="H517" s="22"/>
      <c r="I517" s="27"/>
      <c r="J517" s="247"/>
      <c r="K517" s="247"/>
      <c r="L517" s="247"/>
    </row>
    <row r="518" spans="1:12" s="20" customFormat="1" x14ac:dyDescent="0.25">
      <c r="A518" s="26"/>
      <c r="B518" s="21"/>
      <c r="C518" s="21"/>
      <c r="D518" s="22"/>
      <c r="F518" s="22"/>
      <c r="G518" s="27"/>
      <c r="H518" s="22"/>
      <c r="I518" s="27"/>
      <c r="J518" s="247"/>
      <c r="K518" s="247"/>
      <c r="L518" s="247"/>
    </row>
    <row r="519" spans="1:12" s="20" customFormat="1" x14ac:dyDescent="0.25">
      <c r="A519" s="26"/>
      <c r="B519" s="21"/>
      <c r="C519" s="21"/>
      <c r="D519" s="22"/>
      <c r="F519" s="22"/>
      <c r="G519" s="27"/>
      <c r="H519" s="22"/>
      <c r="I519" s="27"/>
      <c r="J519" s="247"/>
      <c r="K519" s="247"/>
      <c r="L519" s="247"/>
    </row>
    <row r="520" spans="1:12" s="20" customFormat="1" x14ac:dyDescent="0.25">
      <c r="A520" s="26"/>
      <c r="B520" s="21"/>
      <c r="C520" s="21"/>
      <c r="D520" s="22"/>
      <c r="F520" s="22"/>
      <c r="G520" s="27"/>
      <c r="H520" s="22"/>
      <c r="I520" s="27"/>
      <c r="J520" s="247"/>
      <c r="K520" s="247"/>
      <c r="L520" s="247"/>
    </row>
    <row r="521" spans="1:12" s="20" customFormat="1" x14ac:dyDescent="0.25">
      <c r="A521" s="26"/>
      <c r="B521" s="21"/>
      <c r="C521" s="21"/>
      <c r="D521" s="22"/>
      <c r="F521" s="22"/>
      <c r="G521" s="27"/>
      <c r="H521" s="22"/>
      <c r="I521" s="27"/>
      <c r="J521" s="247"/>
      <c r="K521" s="247"/>
      <c r="L521" s="247"/>
    </row>
    <row r="522" spans="1:12" s="20" customFormat="1" x14ac:dyDescent="0.25">
      <c r="A522" s="26"/>
      <c r="B522" s="21"/>
      <c r="C522" s="21"/>
      <c r="D522" s="22"/>
      <c r="F522" s="22"/>
      <c r="G522" s="27"/>
      <c r="H522" s="22"/>
      <c r="I522" s="27"/>
      <c r="J522" s="247"/>
      <c r="K522" s="247"/>
      <c r="L522" s="247"/>
    </row>
    <row r="523" spans="1:12" s="20" customFormat="1" x14ac:dyDescent="0.25">
      <c r="A523" s="26"/>
      <c r="B523" s="21"/>
      <c r="C523" s="21"/>
      <c r="D523" s="22"/>
      <c r="F523" s="22"/>
      <c r="G523" s="27"/>
      <c r="H523" s="22"/>
      <c r="I523" s="27"/>
      <c r="J523" s="247"/>
      <c r="K523" s="247"/>
      <c r="L523" s="247"/>
    </row>
    <row r="524" spans="1:12" s="20" customFormat="1" x14ac:dyDescent="0.25">
      <c r="A524" s="26"/>
      <c r="B524" s="21"/>
      <c r="C524" s="21"/>
      <c r="D524" s="22"/>
      <c r="F524" s="22"/>
      <c r="G524" s="27"/>
      <c r="H524" s="22"/>
      <c r="I524" s="27"/>
      <c r="J524" s="247"/>
      <c r="K524" s="247"/>
      <c r="L524" s="247"/>
    </row>
    <row r="525" spans="1:12" s="20" customFormat="1" x14ac:dyDescent="0.25">
      <c r="A525" s="26"/>
      <c r="B525" s="21"/>
      <c r="C525" s="21"/>
      <c r="D525" s="22"/>
      <c r="F525" s="22"/>
      <c r="G525" s="27"/>
      <c r="H525" s="22"/>
      <c r="I525" s="27"/>
      <c r="J525" s="247"/>
      <c r="K525" s="247"/>
      <c r="L525" s="247"/>
    </row>
    <row r="526" spans="1:12" s="20" customFormat="1" x14ac:dyDescent="0.25">
      <c r="A526" s="26"/>
      <c r="B526" s="21"/>
      <c r="C526" s="21"/>
      <c r="D526" s="22"/>
      <c r="F526" s="22"/>
      <c r="G526" s="27"/>
      <c r="H526" s="22"/>
      <c r="I526" s="27"/>
      <c r="J526" s="247"/>
      <c r="K526" s="247"/>
      <c r="L526" s="247"/>
    </row>
    <row r="527" spans="1:12" s="20" customFormat="1" x14ac:dyDescent="0.25">
      <c r="A527" s="26"/>
      <c r="B527" s="21"/>
      <c r="C527" s="21"/>
      <c r="D527" s="22"/>
      <c r="F527" s="22"/>
      <c r="G527" s="27"/>
      <c r="H527" s="22"/>
      <c r="I527" s="27"/>
      <c r="J527" s="247"/>
      <c r="K527" s="247"/>
      <c r="L527" s="247"/>
    </row>
    <row r="528" spans="1:12" s="20" customFormat="1" x14ac:dyDescent="0.25">
      <c r="A528" s="26"/>
      <c r="B528" s="21"/>
      <c r="C528" s="21"/>
      <c r="D528" s="22"/>
      <c r="F528" s="22"/>
      <c r="G528" s="27"/>
      <c r="H528" s="22"/>
      <c r="I528" s="27"/>
      <c r="J528" s="247"/>
      <c r="K528" s="247"/>
      <c r="L528" s="247"/>
    </row>
    <row r="529" spans="1:12" s="20" customFormat="1" x14ac:dyDescent="0.25">
      <c r="A529" s="26"/>
      <c r="B529" s="21"/>
      <c r="C529" s="21"/>
      <c r="D529" s="22"/>
      <c r="F529" s="22"/>
      <c r="G529" s="27"/>
      <c r="H529" s="22"/>
      <c r="I529" s="27"/>
      <c r="J529" s="247"/>
      <c r="K529" s="247"/>
      <c r="L529" s="247"/>
    </row>
    <row r="530" spans="1:12" s="20" customFormat="1" x14ac:dyDescent="0.25">
      <c r="A530" s="26"/>
      <c r="B530" s="21"/>
      <c r="C530" s="21"/>
      <c r="D530" s="22"/>
      <c r="F530" s="22"/>
      <c r="G530" s="27"/>
      <c r="H530" s="22"/>
      <c r="I530" s="27"/>
      <c r="J530" s="247"/>
      <c r="K530" s="247"/>
      <c r="L530" s="247"/>
    </row>
    <row r="531" spans="1:12" s="20" customFormat="1" x14ac:dyDescent="0.25">
      <c r="A531" s="26"/>
      <c r="B531" s="21"/>
      <c r="C531" s="21"/>
      <c r="D531" s="22"/>
      <c r="F531" s="22"/>
      <c r="G531" s="27"/>
      <c r="H531" s="22"/>
      <c r="I531" s="27"/>
      <c r="J531" s="247"/>
      <c r="K531" s="247"/>
      <c r="L531" s="247"/>
    </row>
    <row r="532" spans="1:12" s="20" customFormat="1" x14ac:dyDescent="0.25">
      <c r="A532" s="26"/>
      <c r="B532" s="21"/>
      <c r="C532" s="21"/>
      <c r="D532" s="22"/>
      <c r="F532" s="22"/>
      <c r="G532" s="27"/>
      <c r="H532" s="22"/>
      <c r="I532" s="27"/>
      <c r="J532" s="247"/>
      <c r="K532" s="247"/>
      <c r="L532" s="247"/>
    </row>
    <row r="533" spans="1:12" s="20" customFormat="1" x14ac:dyDescent="0.25">
      <c r="A533" s="26"/>
      <c r="B533" s="21"/>
      <c r="C533" s="21"/>
      <c r="D533" s="22"/>
      <c r="F533" s="22"/>
      <c r="G533" s="27"/>
      <c r="H533" s="22"/>
      <c r="I533" s="27"/>
      <c r="J533" s="247"/>
      <c r="K533" s="247"/>
      <c r="L533" s="247"/>
    </row>
    <row r="534" spans="1:12" s="20" customFormat="1" x14ac:dyDescent="0.25">
      <c r="A534" s="26"/>
      <c r="B534" s="21"/>
      <c r="C534" s="21"/>
      <c r="D534" s="22"/>
      <c r="F534" s="22"/>
      <c r="G534" s="27"/>
      <c r="H534" s="22"/>
      <c r="I534" s="27"/>
      <c r="J534" s="247"/>
      <c r="K534" s="247"/>
      <c r="L534" s="247"/>
    </row>
    <row r="535" spans="1:12" s="20" customFormat="1" x14ac:dyDescent="0.25">
      <c r="A535" s="26"/>
      <c r="B535" s="21"/>
      <c r="C535" s="21"/>
      <c r="D535" s="22"/>
      <c r="F535" s="22"/>
      <c r="G535" s="27"/>
      <c r="H535" s="22"/>
      <c r="I535" s="27"/>
      <c r="J535" s="247"/>
      <c r="K535" s="247"/>
      <c r="L535" s="247"/>
    </row>
    <row r="536" spans="1:12" s="20" customFormat="1" x14ac:dyDescent="0.25">
      <c r="A536" s="26"/>
      <c r="B536" s="21"/>
      <c r="C536" s="21"/>
      <c r="D536" s="22"/>
      <c r="F536" s="22"/>
      <c r="G536" s="27"/>
      <c r="H536" s="22"/>
      <c r="I536" s="27"/>
      <c r="J536" s="247"/>
      <c r="K536" s="247"/>
      <c r="L536" s="247"/>
    </row>
    <row r="537" spans="1:12" s="20" customFormat="1" x14ac:dyDescent="0.25">
      <c r="A537" s="26"/>
      <c r="B537" s="21"/>
      <c r="C537" s="21"/>
      <c r="D537" s="22"/>
      <c r="F537" s="22"/>
      <c r="G537" s="27"/>
      <c r="H537" s="22"/>
      <c r="I537" s="27"/>
      <c r="J537" s="247"/>
      <c r="K537" s="247"/>
      <c r="L537" s="247"/>
    </row>
    <row r="538" spans="1:12" s="20" customFormat="1" x14ac:dyDescent="0.25">
      <c r="A538" s="26"/>
      <c r="B538" s="21"/>
      <c r="C538" s="21"/>
      <c r="D538" s="22"/>
      <c r="F538" s="22"/>
      <c r="G538" s="27"/>
      <c r="H538" s="22"/>
      <c r="I538" s="27"/>
      <c r="J538" s="247"/>
      <c r="K538" s="247"/>
      <c r="L538" s="247"/>
    </row>
    <row r="539" spans="1:12" s="20" customFormat="1" x14ac:dyDescent="0.25">
      <c r="A539" s="26"/>
      <c r="B539" s="21"/>
      <c r="C539" s="21"/>
      <c r="D539" s="22"/>
      <c r="F539" s="22"/>
      <c r="G539" s="27"/>
      <c r="H539" s="22"/>
      <c r="I539" s="27"/>
      <c r="J539" s="247"/>
      <c r="K539" s="247"/>
      <c r="L539" s="247"/>
    </row>
    <row r="540" spans="1:12" s="20" customFormat="1" x14ac:dyDescent="0.25">
      <c r="A540" s="26"/>
      <c r="B540" s="21"/>
      <c r="C540" s="21"/>
      <c r="D540" s="22"/>
      <c r="F540" s="22"/>
      <c r="G540" s="27"/>
      <c r="H540" s="22"/>
      <c r="I540" s="27"/>
      <c r="J540" s="247"/>
      <c r="K540" s="247"/>
      <c r="L540" s="247"/>
    </row>
    <row r="541" spans="1:12" s="20" customFormat="1" x14ac:dyDescent="0.25">
      <c r="A541" s="26"/>
      <c r="B541" s="21"/>
      <c r="C541" s="21"/>
      <c r="D541" s="22"/>
      <c r="F541" s="22"/>
      <c r="G541" s="27"/>
      <c r="H541" s="22"/>
      <c r="I541" s="27"/>
      <c r="J541" s="247"/>
      <c r="K541" s="247"/>
      <c r="L541" s="247"/>
    </row>
    <row r="542" spans="1:12" s="20" customFormat="1" x14ac:dyDescent="0.25">
      <c r="A542" s="26"/>
      <c r="B542" s="21"/>
      <c r="C542" s="21"/>
      <c r="D542" s="22"/>
      <c r="F542" s="22"/>
      <c r="G542" s="27"/>
      <c r="H542" s="22"/>
      <c r="I542" s="27"/>
      <c r="J542" s="247"/>
      <c r="K542" s="247"/>
      <c r="L542" s="247"/>
    </row>
    <row r="543" spans="1:12" s="20" customFormat="1" x14ac:dyDescent="0.25">
      <c r="A543" s="26"/>
      <c r="B543" s="21"/>
      <c r="C543" s="21"/>
      <c r="D543" s="22"/>
      <c r="F543" s="22"/>
      <c r="G543" s="27"/>
      <c r="H543" s="22"/>
      <c r="I543" s="27"/>
      <c r="J543" s="247"/>
      <c r="K543" s="247"/>
      <c r="L543" s="247"/>
    </row>
    <row r="544" spans="1:12" s="20" customFormat="1" x14ac:dyDescent="0.25">
      <c r="A544" s="26"/>
      <c r="B544" s="21"/>
      <c r="C544" s="21"/>
      <c r="D544" s="22"/>
      <c r="F544" s="22"/>
      <c r="G544" s="27"/>
      <c r="H544" s="22"/>
      <c r="I544" s="27"/>
      <c r="J544" s="247"/>
      <c r="K544" s="247"/>
      <c r="L544" s="247"/>
    </row>
    <row r="545" spans="1:12" s="20" customFormat="1" x14ac:dyDescent="0.25">
      <c r="A545" s="26"/>
      <c r="B545" s="21"/>
      <c r="C545" s="21"/>
      <c r="D545" s="22"/>
      <c r="F545" s="22"/>
      <c r="G545" s="27"/>
      <c r="H545" s="22"/>
      <c r="I545" s="27"/>
      <c r="J545" s="247"/>
      <c r="K545" s="247"/>
      <c r="L545" s="247"/>
    </row>
    <row r="546" spans="1:12" s="20" customFormat="1" x14ac:dyDescent="0.25">
      <c r="A546" s="26"/>
      <c r="B546" s="21"/>
      <c r="C546" s="21"/>
      <c r="D546" s="22"/>
      <c r="F546" s="22"/>
      <c r="G546" s="27"/>
      <c r="H546" s="22"/>
      <c r="I546" s="27"/>
      <c r="J546" s="247"/>
      <c r="K546" s="247"/>
      <c r="L546" s="247"/>
    </row>
    <row r="547" spans="1:12" s="20" customFormat="1" x14ac:dyDescent="0.25">
      <c r="A547" s="26"/>
      <c r="B547" s="21"/>
      <c r="C547" s="21"/>
      <c r="D547" s="22"/>
      <c r="F547" s="22"/>
      <c r="G547" s="27"/>
      <c r="H547" s="22"/>
      <c r="I547" s="27"/>
      <c r="J547" s="247"/>
      <c r="K547" s="247"/>
      <c r="L547" s="247"/>
    </row>
    <row r="548" spans="1:12" s="20" customFormat="1" x14ac:dyDescent="0.25">
      <c r="A548" s="26"/>
      <c r="B548" s="21"/>
      <c r="C548" s="21"/>
      <c r="D548" s="22"/>
      <c r="F548" s="22"/>
      <c r="G548" s="27"/>
      <c r="H548" s="22"/>
      <c r="I548" s="27"/>
      <c r="J548" s="247"/>
      <c r="K548" s="247"/>
      <c r="L548" s="247"/>
    </row>
    <row r="549" spans="1:12" s="20" customFormat="1" x14ac:dyDescent="0.25">
      <c r="A549" s="26"/>
      <c r="B549" s="21"/>
      <c r="C549" s="21"/>
      <c r="D549" s="22"/>
      <c r="F549" s="22"/>
      <c r="G549" s="27"/>
      <c r="H549" s="22"/>
      <c r="I549" s="27"/>
      <c r="J549" s="247"/>
      <c r="K549" s="247"/>
      <c r="L549" s="247"/>
    </row>
    <row r="550" spans="1:12" s="20" customFormat="1" x14ac:dyDescent="0.25">
      <c r="A550" s="26"/>
      <c r="B550" s="21"/>
      <c r="C550" s="21"/>
      <c r="D550" s="22"/>
      <c r="F550" s="22"/>
      <c r="G550" s="27"/>
      <c r="H550" s="22"/>
      <c r="I550" s="27"/>
      <c r="J550" s="247"/>
      <c r="K550" s="247"/>
      <c r="L550" s="247"/>
    </row>
    <row r="551" spans="1:12" s="20" customFormat="1" x14ac:dyDescent="0.25">
      <c r="A551" s="26"/>
      <c r="B551" s="21"/>
      <c r="C551" s="21"/>
      <c r="D551" s="22"/>
      <c r="F551" s="22"/>
      <c r="G551" s="27"/>
      <c r="H551" s="22"/>
      <c r="I551" s="27"/>
      <c r="J551" s="247"/>
      <c r="K551" s="247"/>
      <c r="L551" s="247"/>
    </row>
    <row r="552" spans="1:12" s="20" customFormat="1" x14ac:dyDescent="0.25">
      <c r="A552" s="26"/>
      <c r="B552" s="21"/>
      <c r="C552" s="21"/>
      <c r="D552" s="22"/>
      <c r="F552" s="22"/>
      <c r="G552" s="27"/>
      <c r="H552" s="22"/>
      <c r="I552" s="27"/>
      <c r="J552" s="247"/>
      <c r="K552" s="247"/>
      <c r="L552" s="247"/>
    </row>
    <row r="553" spans="1:12" s="20" customFormat="1" x14ac:dyDescent="0.25">
      <c r="A553" s="26"/>
      <c r="B553" s="21"/>
      <c r="C553" s="21"/>
      <c r="D553" s="22"/>
      <c r="F553" s="22"/>
      <c r="G553" s="27"/>
      <c r="H553" s="22"/>
      <c r="I553" s="27"/>
      <c r="J553" s="247"/>
      <c r="K553" s="247"/>
      <c r="L553" s="247"/>
    </row>
    <row r="554" spans="1:12" s="20" customFormat="1" x14ac:dyDescent="0.25">
      <c r="A554" s="26"/>
      <c r="B554" s="21"/>
      <c r="C554" s="21"/>
      <c r="D554" s="22"/>
      <c r="F554" s="22"/>
      <c r="G554" s="27"/>
      <c r="H554" s="22"/>
      <c r="I554" s="27"/>
      <c r="J554" s="247"/>
      <c r="K554" s="247"/>
      <c r="L554" s="247"/>
    </row>
    <row r="555" spans="1:12" s="20" customFormat="1" x14ac:dyDescent="0.25">
      <c r="A555" s="26"/>
      <c r="B555" s="21"/>
      <c r="C555" s="21"/>
      <c r="D555" s="22"/>
      <c r="F555" s="22"/>
      <c r="G555" s="27"/>
      <c r="H555" s="22"/>
      <c r="I555" s="27"/>
      <c r="J555" s="247"/>
      <c r="K555" s="247"/>
      <c r="L555" s="247"/>
    </row>
    <row r="556" spans="1:12" s="20" customFormat="1" x14ac:dyDescent="0.25">
      <c r="A556" s="26"/>
      <c r="B556" s="21"/>
      <c r="C556" s="21"/>
      <c r="D556" s="22"/>
      <c r="F556" s="22"/>
      <c r="G556" s="27"/>
      <c r="H556" s="22"/>
      <c r="I556" s="27"/>
      <c r="J556" s="247"/>
      <c r="K556" s="247"/>
      <c r="L556" s="247"/>
    </row>
    <row r="557" spans="1:12" s="20" customFormat="1" x14ac:dyDescent="0.25">
      <c r="A557" s="26"/>
      <c r="B557" s="21"/>
      <c r="C557" s="21"/>
      <c r="D557" s="22"/>
      <c r="F557" s="22"/>
      <c r="G557" s="27"/>
      <c r="H557" s="22"/>
      <c r="I557" s="27"/>
      <c r="J557" s="247"/>
      <c r="K557" s="247"/>
      <c r="L557" s="247"/>
    </row>
    <row r="558" spans="1:12" s="20" customFormat="1" x14ac:dyDescent="0.25">
      <c r="A558" s="26"/>
      <c r="B558" s="21"/>
      <c r="C558" s="21"/>
      <c r="D558" s="22"/>
      <c r="F558" s="22"/>
      <c r="G558" s="27"/>
      <c r="H558" s="22"/>
      <c r="I558" s="27"/>
      <c r="J558" s="247"/>
      <c r="K558" s="247"/>
      <c r="L558" s="247"/>
    </row>
    <row r="559" spans="1:12" s="20" customFormat="1" x14ac:dyDescent="0.25">
      <c r="A559" s="26"/>
      <c r="B559" s="21"/>
      <c r="C559" s="21"/>
      <c r="D559" s="22"/>
      <c r="F559" s="22"/>
      <c r="G559" s="27"/>
      <c r="H559" s="22"/>
      <c r="I559" s="27"/>
      <c r="J559" s="247"/>
      <c r="K559" s="247"/>
      <c r="L559" s="247"/>
    </row>
    <row r="560" spans="1:12" s="20" customFormat="1" x14ac:dyDescent="0.25">
      <c r="A560" s="26"/>
      <c r="B560" s="21"/>
      <c r="C560" s="21"/>
      <c r="D560" s="22"/>
      <c r="F560" s="22"/>
      <c r="G560" s="27"/>
      <c r="H560" s="22"/>
      <c r="I560" s="27"/>
      <c r="J560" s="247"/>
      <c r="K560" s="247"/>
      <c r="L560" s="247"/>
    </row>
    <row r="561" spans="1:12" s="20" customFormat="1" x14ac:dyDescent="0.25">
      <c r="A561" s="26"/>
      <c r="B561" s="21"/>
      <c r="C561" s="21"/>
      <c r="D561" s="22"/>
      <c r="F561" s="22"/>
      <c r="G561" s="27"/>
      <c r="H561" s="22"/>
      <c r="I561" s="27"/>
      <c r="J561" s="247"/>
      <c r="K561" s="247"/>
      <c r="L561" s="247"/>
    </row>
    <row r="562" spans="1:12" s="20" customFormat="1" x14ac:dyDescent="0.25">
      <c r="A562" s="26"/>
      <c r="B562" s="21"/>
      <c r="C562" s="21"/>
      <c r="D562" s="22"/>
      <c r="F562" s="22"/>
      <c r="G562" s="27"/>
      <c r="H562" s="22"/>
      <c r="I562" s="27"/>
      <c r="J562" s="247"/>
      <c r="K562" s="247"/>
      <c r="L562" s="247"/>
    </row>
    <row r="563" spans="1:12" s="20" customFormat="1" x14ac:dyDescent="0.25">
      <c r="A563" s="26"/>
      <c r="B563" s="21"/>
      <c r="C563" s="21"/>
      <c r="D563" s="22"/>
      <c r="F563" s="22"/>
      <c r="G563" s="27"/>
      <c r="H563" s="22"/>
      <c r="I563" s="27"/>
      <c r="J563" s="247"/>
      <c r="K563" s="247"/>
      <c r="L563" s="247"/>
    </row>
    <row r="564" spans="1:12" s="20" customFormat="1" x14ac:dyDescent="0.25">
      <c r="A564" s="26"/>
      <c r="B564" s="21"/>
      <c r="C564" s="21"/>
      <c r="D564" s="22"/>
      <c r="F564" s="22"/>
      <c r="G564" s="27"/>
      <c r="H564" s="22"/>
      <c r="I564" s="27"/>
      <c r="J564" s="247"/>
      <c r="K564" s="247"/>
      <c r="L564" s="247"/>
    </row>
    <row r="565" spans="1:12" s="20" customFormat="1" x14ac:dyDescent="0.25">
      <c r="A565" s="26"/>
      <c r="B565" s="21"/>
      <c r="C565" s="21"/>
      <c r="D565" s="22"/>
      <c r="F565" s="22"/>
      <c r="G565" s="27"/>
      <c r="H565" s="22"/>
      <c r="I565" s="27"/>
      <c r="J565" s="247"/>
      <c r="K565" s="247"/>
      <c r="L565" s="247"/>
    </row>
    <row r="566" spans="1:12" s="20" customFormat="1" x14ac:dyDescent="0.25">
      <c r="A566" s="26"/>
      <c r="B566" s="21"/>
      <c r="C566" s="21"/>
      <c r="D566" s="22"/>
      <c r="F566" s="22"/>
      <c r="G566" s="27"/>
      <c r="H566" s="22"/>
      <c r="I566" s="27"/>
      <c r="J566" s="247"/>
      <c r="K566" s="247"/>
      <c r="L566" s="247"/>
    </row>
    <row r="567" spans="1:12" s="20" customFormat="1" x14ac:dyDescent="0.25">
      <c r="A567" s="26"/>
      <c r="B567" s="21"/>
      <c r="C567" s="21"/>
      <c r="D567" s="22"/>
      <c r="F567" s="22"/>
      <c r="G567" s="27"/>
      <c r="H567" s="22"/>
      <c r="I567" s="27"/>
      <c r="J567" s="247"/>
      <c r="K567" s="247"/>
      <c r="L567" s="247"/>
    </row>
    <row r="568" spans="1:12" s="20" customFormat="1" x14ac:dyDescent="0.25">
      <c r="A568" s="26"/>
      <c r="B568" s="21"/>
      <c r="C568" s="21"/>
      <c r="D568" s="22"/>
      <c r="F568" s="22"/>
      <c r="G568" s="27"/>
      <c r="H568" s="22"/>
      <c r="I568" s="27"/>
      <c r="J568" s="247"/>
      <c r="K568" s="247"/>
      <c r="L568" s="247"/>
    </row>
    <row r="569" spans="1:12" s="20" customFormat="1" x14ac:dyDescent="0.25">
      <c r="A569" s="26"/>
      <c r="B569" s="21"/>
      <c r="C569" s="21"/>
      <c r="D569" s="22"/>
      <c r="F569" s="22"/>
      <c r="G569" s="27"/>
      <c r="H569" s="22"/>
      <c r="I569" s="27"/>
      <c r="J569" s="247"/>
      <c r="K569" s="247"/>
      <c r="L569" s="247"/>
    </row>
    <row r="570" spans="1:12" s="20" customFormat="1" x14ac:dyDescent="0.25">
      <c r="A570" s="26"/>
      <c r="B570" s="21"/>
      <c r="C570" s="21"/>
      <c r="D570" s="22"/>
      <c r="F570" s="22"/>
      <c r="G570" s="27"/>
      <c r="H570" s="22"/>
      <c r="I570" s="27"/>
      <c r="J570" s="247"/>
      <c r="K570" s="247"/>
      <c r="L570" s="247"/>
    </row>
    <row r="571" spans="1:12" s="20" customFormat="1" x14ac:dyDescent="0.25">
      <c r="A571" s="26"/>
      <c r="B571" s="21"/>
      <c r="C571" s="21"/>
      <c r="D571" s="22"/>
      <c r="F571" s="22"/>
      <c r="G571" s="27"/>
      <c r="H571" s="22"/>
      <c r="I571" s="27"/>
      <c r="J571" s="247"/>
      <c r="K571" s="247"/>
      <c r="L571" s="247"/>
    </row>
    <row r="572" spans="1:12" s="20" customFormat="1" x14ac:dyDescent="0.25">
      <c r="A572" s="26"/>
      <c r="B572" s="21"/>
      <c r="C572" s="21"/>
      <c r="D572" s="22"/>
      <c r="F572" s="22"/>
      <c r="G572" s="27"/>
      <c r="H572" s="22"/>
      <c r="I572" s="27"/>
      <c r="J572" s="247"/>
      <c r="K572" s="247"/>
      <c r="L572" s="247"/>
    </row>
    <row r="573" spans="1:12" s="20" customFormat="1" x14ac:dyDescent="0.25">
      <c r="A573" s="26"/>
      <c r="B573" s="21"/>
      <c r="C573" s="21"/>
      <c r="D573" s="22"/>
      <c r="F573" s="22"/>
      <c r="G573" s="27"/>
      <c r="H573" s="22"/>
      <c r="I573" s="27"/>
      <c r="J573" s="247"/>
      <c r="K573" s="247"/>
      <c r="L573" s="247"/>
    </row>
    <row r="574" spans="1:12" s="20" customFormat="1" x14ac:dyDescent="0.25">
      <c r="A574" s="26"/>
      <c r="B574" s="21"/>
      <c r="C574" s="21"/>
      <c r="D574" s="22"/>
      <c r="F574" s="22"/>
      <c r="G574" s="27"/>
      <c r="H574" s="22"/>
      <c r="I574" s="27"/>
      <c r="J574" s="247"/>
      <c r="K574" s="247"/>
      <c r="L574" s="247"/>
    </row>
    <row r="575" spans="1:12" s="20" customFormat="1" x14ac:dyDescent="0.25">
      <c r="A575" s="26"/>
      <c r="B575" s="21"/>
      <c r="C575" s="21"/>
      <c r="D575" s="22"/>
      <c r="F575" s="22"/>
      <c r="G575" s="27"/>
      <c r="H575" s="22"/>
      <c r="I575" s="27"/>
      <c r="J575" s="247"/>
      <c r="K575" s="247"/>
      <c r="L575" s="247"/>
    </row>
    <row r="576" spans="1:12" s="20" customFormat="1" x14ac:dyDescent="0.25">
      <c r="A576" s="26"/>
      <c r="B576" s="21"/>
      <c r="C576" s="21"/>
      <c r="D576" s="22"/>
      <c r="F576" s="22"/>
      <c r="G576" s="27"/>
      <c r="H576" s="22"/>
      <c r="I576" s="27"/>
      <c r="J576" s="247"/>
      <c r="K576" s="247"/>
      <c r="L576" s="247"/>
    </row>
    <row r="577" spans="1:12" s="20" customFormat="1" x14ac:dyDescent="0.25">
      <c r="A577" s="26"/>
      <c r="B577" s="21"/>
      <c r="C577" s="21"/>
      <c r="D577" s="22"/>
      <c r="F577" s="22"/>
      <c r="G577" s="27"/>
      <c r="H577" s="22"/>
      <c r="I577" s="27"/>
      <c r="J577" s="247"/>
      <c r="K577" s="247"/>
      <c r="L577" s="247"/>
    </row>
    <row r="578" spans="1:12" s="20" customFormat="1" x14ac:dyDescent="0.25">
      <c r="A578" s="26"/>
      <c r="B578" s="21"/>
      <c r="C578" s="21"/>
      <c r="D578" s="22"/>
      <c r="F578" s="22"/>
      <c r="G578" s="27"/>
      <c r="H578" s="22"/>
      <c r="I578" s="27"/>
      <c r="J578" s="247"/>
      <c r="K578" s="247"/>
      <c r="L578" s="247"/>
    </row>
    <row r="579" spans="1:12" s="20" customFormat="1" x14ac:dyDescent="0.25">
      <c r="A579" s="26"/>
      <c r="B579" s="21"/>
      <c r="C579" s="21"/>
      <c r="D579" s="22"/>
      <c r="F579" s="22"/>
      <c r="G579" s="27"/>
      <c r="H579" s="22"/>
      <c r="I579" s="27"/>
      <c r="J579" s="247"/>
      <c r="K579" s="247"/>
      <c r="L579" s="247"/>
    </row>
    <row r="580" spans="1:12" s="20" customFormat="1" x14ac:dyDescent="0.25">
      <c r="A580" s="26"/>
      <c r="B580" s="21"/>
      <c r="C580" s="21"/>
      <c r="D580" s="22"/>
      <c r="F580" s="22"/>
      <c r="G580" s="27"/>
      <c r="H580" s="22"/>
      <c r="I580" s="27"/>
      <c r="J580" s="247"/>
      <c r="K580" s="247"/>
      <c r="L580" s="247"/>
    </row>
    <row r="581" spans="1:12" s="20" customFormat="1" x14ac:dyDescent="0.25">
      <c r="A581" s="26"/>
      <c r="B581" s="21"/>
      <c r="C581" s="21"/>
      <c r="D581" s="22"/>
      <c r="F581" s="22"/>
      <c r="G581" s="27"/>
      <c r="H581" s="22"/>
      <c r="I581" s="27"/>
      <c r="J581" s="247"/>
      <c r="K581" s="247"/>
      <c r="L581" s="247"/>
    </row>
    <row r="582" spans="1:12" s="20" customFormat="1" x14ac:dyDescent="0.25">
      <c r="A582" s="26"/>
      <c r="B582" s="21"/>
      <c r="C582" s="21"/>
      <c r="D582" s="22"/>
      <c r="F582" s="22"/>
      <c r="G582" s="27"/>
      <c r="H582" s="22"/>
      <c r="I582" s="27"/>
      <c r="J582" s="247"/>
      <c r="K582" s="247"/>
      <c r="L582" s="247"/>
    </row>
    <row r="583" spans="1:12" s="20" customFormat="1" x14ac:dyDescent="0.25">
      <c r="A583" s="26"/>
      <c r="B583" s="21"/>
      <c r="C583" s="21"/>
      <c r="D583" s="22"/>
      <c r="F583" s="22"/>
      <c r="G583" s="27"/>
      <c r="H583" s="22"/>
      <c r="I583" s="27"/>
      <c r="J583" s="247"/>
      <c r="K583" s="247"/>
      <c r="L583" s="247"/>
    </row>
    <row r="584" spans="1:12" s="20" customFormat="1" x14ac:dyDescent="0.25">
      <c r="A584" s="26"/>
      <c r="B584" s="21"/>
      <c r="C584" s="21"/>
      <c r="D584" s="22"/>
      <c r="F584" s="22"/>
      <c r="G584" s="27"/>
      <c r="H584" s="22"/>
      <c r="I584" s="27"/>
      <c r="J584" s="247"/>
      <c r="K584" s="247"/>
      <c r="L584" s="247"/>
    </row>
    <row r="585" spans="1:12" s="20" customFormat="1" x14ac:dyDescent="0.25">
      <c r="A585" s="26"/>
      <c r="B585" s="21"/>
      <c r="C585" s="21"/>
      <c r="D585" s="22"/>
      <c r="F585" s="22"/>
      <c r="G585" s="27"/>
      <c r="H585" s="22"/>
      <c r="I585" s="27"/>
      <c r="J585" s="247"/>
      <c r="K585" s="247"/>
      <c r="L585" s="247"/>
    </row>
    <row r="586" spans="1:12" s="20" customFormat="1" x14ac:dyDescent="0.25">
      <c r="A586" s="26"/>
      <c r="B586" s="21"/>
      <c r="C586" s="21"/>
      <c r="D586" s="22"/>
      <c r="F586" s="22"/>
      <c r="G586" s="27"/>
      <c r="H586" s="22"/>
      <c r="I586" s="27"/>
      <c r="J586" s="247"/>
      <c r="K586" s="247"/>
      <c r="L586" s="247"/>
    </row>
    <row r="587" spans="1:12" s="20" customFormat="1" x14ac:dyDescent="0.25">
      <c r="A587" s="26"/>
      <c r="B587" s="21"/>
      <c r="C587" s="21"/>
      <c r="D587" s="22"/>
      <c r="F587" s="22"/>
      <c r="G587" s="27"/>
      <c r="H587" s="22"/>
      <c r="I587" s="27"/>
      <c r="J587" s="247"/>
      <c r="K587" s="247"/>
      <c r="L587" s="247"/>
    </row>
    <row r="588" spans="1:12" s="20" customFormat="1" x14ac:dyDescent="0.25">
      <c r="A588" s="26"/>
      <c r="B588" s="21"/>
      <c r="C588" s="21"/>
      <c r="D588" s="22"/>
      <c r="F588" s="22"/>
      <c r="G588" s="27"/>
      <c r="H588" s="22"/>
      <c r="I588" s="27"/>
      <c r="J588" s="247"/>
      <c r="K588" s="247"/>
      <c r="L588" s="247"/>
    </row>
    <row r="589" spans="1:12" s="20" customFormat="1" x14ac:dyDescent="0.25">
      <c r="A589" s="26"/>
      <c r="B589" s="21"/>
      <c r="C589" s="21"/>
      <c r="D589" s="22"/>
      <c r="F589" s="22"/>
      <c r="G589" s="27"/>
      <c r="H589" s="22"/>
      <c r="I589" s="27"/>
      <c r="J589" s="247"/>
      <c r="K589" s="247"/>
      <c r="L589" s="247"/>
    </row>
    <row r="590" spans="1:12" s="20" customFormat="1" x14ac:dyDescent="0.25">
      <c r="A590" s="26"/>
      <c r="B590" s="21"/>
      <c r="C590" s="21"/>
      <c r="D590" s="22"/>
      <c r="F590" s="22"/>
      <c r="G590" s="27"/>
      <c r="H590" s="22"/>
      <c r="I590" s="27"/>
      <c r="J590" s="247"/>
      <c r="K590" s="247"/>
      <c r="L590" s="247"/>
    </row>
    <row r="591" spans="1:12" s="20" customFormat="1" x14ac:dyDescent="0.25">
      <c r="A591" s="26"/>
      <c r="B591" s="21"/>
      <c r="C591" s="21"/>
      <c r="D591" s="22"/>
      <c r="F591" s="22"/>
      <c r="G591" s="27"/>
      <c r="H591" s="22"/>
      <c r="I591" s="27"/>
      <c r="J591" s="247"/>
      <c r="K591" s="247"/>
      <c r="L591" s="247"/>
    </row>
    <row r="592" spans="1:12" s="20" customFormat="1" x14ac:dyDescent="0.25">
      <c r="A592" s="26"/>
      <c r="B592" s="21"/>
      <c r="C592" s="21"/>
      <c r="D592" s="22"/>
      <c r="F592" s="22"/>
      <c r="G592" s="27"/>
      <c r="H592" s="22"/>
      <c r="I592" s="27"/>
      <c r="J592" s="247"/>
      <c r="K592" s="247"/>
      <c r="L592" s="247"/>
    </row>
    <row r="593" spans="1:12" s="20" customFormat="1" x14ac:dyDescent="0.25">
      <c r="A593" s="26"/>
      <c r="B593" s="21"/>
      <c r="C593" s="21"/>
      <c r="D593" s="22"/>
      <c r="F593" s="22"/>
      <c r="G593" s="27"/>
      <c r="H593" s="22"/>
      <c r="I593" s="27"/>
      <c r="J593" s="247"/>
      <c r="K593" s="247"/>
      <c r="L593" s="247"/>
    </row>
    <row r="594" spans="1:12" s="20" customFormat="1" x14ac:dyDescent="0.25">
      <c r="A594" s="26"/>
      <c r="B594" s="21"/>
      <c r="C594" s="21"/>
      <c r="D594" s="22"/>
      <c r="F594" s="22"/>
      <c r="G594" s="27"/>
      <c r="H594" s="22"/>
      <c r="I594" s="27"/>
      <c r="J594" s="247"/>
      <c r="K594" s="247"/>
      <c r="L594" s="247"/>
    </row>
    <row r="595" spans="1:12" s="20" customFormat="1" x14ac:dyDescent="0.25">
      <c r="A595" s="26"/>
      <c r="B595" s="21"/>
      <c r="C595" s="21"/>
      <c r="D595" s="22"/>
      <c r="F595" s="22"/>
      <c r="G595" s="27"/>
      <c r="H595" s="22"/>
      <c r="I595" s="27"/>
      <c r="J595" s="247"/>
      <c r="K595" s="247"/>
      <c r="L595" s="247"/>
    </row>
    <row r="596" spans="1:12" s="20" customFormat="1" x14ac:dyDescent="0.25">
      <c r="A596" s="26"/>
      <c r="B596" s="21"/>
      <c r="C596" s="21"/>
      <c r="D596" s="22"/>
      <c r="F596" s="22"/>
      <c r="G596" s="27"/>
      <c r="H596" s="22"/>
      <c r="I596" s="27"/>
      <c r="J596" s="247"/>
      <c r="K596" s="247"/>
      <c r="L596" s="247"/>
    </row>
    <row r="597" spans="1:12" s="20" customFormat="1" x14ac:dyDescent="0.25">
      <c r="A597" s="26"/>
      <c r="B597" s="21"/>
      <c r="C597" s="21"/>
      <c r="D597" s="22"/>
      <c r="F597" s="22"/>
      <c r="G597" s="27"/>
      <c r="H597" s="22"/>
      <c r="I597" s="27"/>
      <c r="J597" s="247"/>
      <c r="K597" s="247"/>
      <c r="L597" s="247"/>
    </row>
    <row r="598" spans="1:12" s="20" customFormat="1" x14ac:dyDescent="0.25">
      <c r="A598" s="26"/>
      <c r="B598" s="21"/>
      <c r="C598" s="21"/>
      <c r="D598" s="22"/>
      <c r="F598" s="22"/>
      <c r="G598" s="27"/>
      <c r="H598" s="22"/>
      <c r="I598" s="27"/>
      <c r="J598" s="247"/>
      <c r="K598" s="247"/>
      <c r="L598" s="247"/>
    </row>
    <row r="599" spans="1:12" s="20" customFormat="1" x14ac:dyDescent="0.25">
      <c r="A599" s="26"/>
      <c r="B599" s="21"/>
      <c r="C599" s="21"/>
      <c r="D599" s="22"/>
      <c r="F599" s="22"/>
      <c r="G599" s="27"/>
      <c r="H599" s="22"/>
      <c r="I599" s="27"/>
      <c r="J599" s="247"/>
      <c r="K599" s="247"/>
      <c r="L599" s="247"/>
    </row>
    <row r="600" spans="1:12" s="20" customFormat="1" x14ac:dyDescent="0.25">
      <c r="A600" s="26"/>
      <c r="B600" s="21"/>
      <c r="C600" s="21"/>
      <c r="D600" s="22"/>
      <c r="F600" s="22"/>
      <c r="G600" s="27"/>
      <c r="H600" s="22"/>
      <c r="I600" s="27"/>
      <c r="J600" s="247"/>
      <c r="K600" s="247"/>
      <c r="L600" s="247"/>
    </row>
    <row r="601" spans="1:12" s="20" customFormat="1" x14ac:dyDescent="0.25">
      <c r="A601" s="26"/>
      <c r="B601" s="21"/>
      <c r="C601" s="21"/>
      <c r="D601" s="22"/>
      <c r="F601" s="22"/>
      <c r="G601" s="27"/>
      <c r="H601" s="22"/>
      <c r="I601" s="27"/>
      <c r="J601" s="247"/>
      <c r="K601" s="247"/>
      <c r="L601" s="247"/>
    </row>
    <row r="602" spans="1:12" s="20" customFormat="1" x14ac:dyDescent="0.25">
      <c r="A602" s="26"/>
      <c r="B602" s="21"/>
      <c r="C602" s="21"/>
      <c r="D602" s="22"/>
      <c r="F602" s="22"/>
      <c r="G602" s="27"/>
      <c r="H602" s="22"/>
      <c r="I602" s="27"/>
      <c r="J602" s="247"/>
      <c r="K602" s="247"/>
      <c r="L602" s="247"/>
    </row>
    <row r="603" spans="1:12" s="20" customFormat="1" x14ac:dyDescent="0.25">
      <c r="A603" s="26"/>
      <c r="B603" s="21"/>
      <c r="C603" s="21"/>
      <c r="D603" s="22"/>
      <c r="F603" s="22"/>
      <c r="G603" s="27"/>
      <c r="H603" s="22"/>
      <c r="I603" s="27"/>
      <c r="J603" s="247"/>
      <c r="K603" s="247"/>
      <c r="L603" s="247"/>
    </row>
    <row r="604" spans="1:12" s="20" customFormat="1" x14ac:dyDescent="0.25">
      <c r="A604" s="26"/>
      <c r="B604" s="21"/>
      <c r="C604" s="21"/>
      <c r="D604" s="22"/>
      <c r="F604" s="22"/>
      <c r="G604" s="27"/>
      <c r="H604" s="22"/>
      <c r="I604" s="27"/>
      <c r="J604" s="247"/>
      <c r="K604" s="247"/>
      <c r="L604" s="247"/>
    </row>
    <row r="605" spans="1:12" s="20" customFormat="1" x14ac:dyDescent="0.25">
      <c r="A605" s="26"/>
      <c r="B605" s="21"/>
      <c r="C605" s="21"/>
      <c r="D605" s="22"/>
      <c r="F605" s="22"/>
      <c r="G605" s="27"/>
      <c r="H605" s="22"/>
      <c r="I605" s="27"/>
      <c r="J605" s="247"/>
      <c r="K605" s="247"/>
      <c r="L605" s="247"/>
    </row>
    <row r="606" spans="1:12" s="20" customFormat="1" x14ac:dyDescent="0.25">
      <c r="A606" s="26"/>
      <c r="B606" s="21"/>
      <c r="C606" s="21"/>
      <c r="D606" s="22"/>
      <c r="F606" s="22"/>
      <c r="G606" s="27"/>
      <c r="H606" s="22"/>
      <c r="I606" s="27"/>
      <c r="J606" s="247"/>
      <c r="K606" s="247"/>
      <c r="L606" s="247"/>
    </row>
    <row r="607" spans="1:12" s="20" customFormat="1" x14ac:dyDescent="0.25">
      <c r="A607" s="26"/>
      <c r="B607" s="21"/>
      <c r="C607" s="21"/>
      <c r="D607" s="22"/>
      <c r="F607" s="22"/>
      <c r="G607" s="27"/>
      <c r="H607" s="22"/>
      <c r="I607" s="27"/>
      <c r="J607" s="247"/>
      <c r="K607" s="247"/>
      <c r="L607" s="247"/>
    </row>
    <row r="608" spans="1:12" s="20" customFormat="1" x14ac:dyDescent="0.25">
      <c r="A608" s="26"/>
      <c r="B608" s="21"/>
      <c r="C608" s="21"/>
      <c r="D608" s="22"/>
      <c r="F608" s="22"/>
      <c r="G608" s="27"/>
      <c r="H608" s="22"/>
      <c r="I608" s="27"/>
      <c r="J608" s="247"/>
      <c r="K608" s="247"/>
      <c r="L608" s="247"/>
    </row>
    <row r="609" spans="1:12" s="20" customFormat="1" x14ac:dyDescent="0.25">
      <c r="A609" s="26"/>
      <c r="B609" s="21"/>
      <c r="C609" s="21"/>
      <c r="D609" s="22"/>
      <c r="F609" s="22"/>
      <c r="G609" s="27"/>
      <c r="H609" s="22"/>
      <c r="I609" s="27"/>
      <c r="J609" s="247"/>
      <c r="K609" s="247"/>
      <c r="L609" s="247"/>
    </row>
    <row r="610" spans="1:12" s="20" customFormat="1" x14ac:dyDescent="0.25">
      <c r="A610" s="26"/>
      <c r="B610" s="21"/>
      <c r="C610" s="21"/>
      <c r="D610" s="22"/>
      <c r="F610" s="22"/>
      <c r="G610" s="27"/>
      <c r="H610" s="22"/>
      <c r="I610" s="27"/>
      <c r="J610" s="247"/>
      <c r="K610" s="247"/>
      <c r="L610" s="247"/>
    </row>
    <row r="611" spans="1:12" s="20" customFormat="1" x14ac:dyDescent="0.25">
      <c r="A611" s="26"/>
      <c r="B611" s="21"/>
      <c r="C611" s="21"/>
      <c r="D611" s="22"/>
      <c r="F611" s="22"/>
      <c r="G611" s="27"/>
      <c r="H611" s="22"/>
      <c r="I611" s="27"/>
      <c r="J611" s="247"/>
      <c r="K611" s="247"/>
      <c r="L611" s="247"/>
    </row>
    <row r="612" spans="1:12" s="20" customFormat="1" x14ac:dyDescent="0.25">
      <c r="A612" s="26"/>
      <c r="B612" s="21"/>
      <c r="C612" s="21"/>
      <c r="D612" s="22"/>
      <c r="F612" s="22"/>
      <c r="G612" s="27"/>
      <c r="H612" s="22"/>
      <c r="I612" s="27"/>
      <c r="J612" s="247"/>
      <c r="K612" s="247"/>
      <c r="L612" s="247"/>
    </row>
    <row r="613" spans="1:12" s="20" customFormat="1" x14ac:dyDescent="0.25">
      <c r="A613" s="26"/>
      <c r="B613" s="21"/>
      <c r="C613" s="21"/>
      <c r="D613" s="22"/>
      <c r="F613" s="22"/>
      <c r="G613" s="27"/>
      <c r="H613" s="22"/>
      <c r="I613" s="27"/>
      <c r="J613" s="247"/>
      <c r="K613" s="247"/>
      <c r="L613" s="247"/>
    </row>
    <row r="614" spans="1:12" s="20" customFormat="1" x14ac:dyDescent="0.25">
      <c r="A614" s="26"/>
      <c r="B614" s="21"/>
      <c r="C614" s="21"/>
      <c r="D614" s="22"/>
      <c r="F614" s="22"/>
      <c r="G614" s="27"/>
      <c r="H614" s="22"/>
      <c r="I614" s="27"/>
      <c r="J614" s="247"/>
      <c r="K614" s="247"/>
      <c r="L614" s="247"/>
    </row>
    <row r="615" spans="1:12" s="20" customFormat="1" x14ac:dyDescent="0.25">
      <c r="A615" s="26"/>
      <c r="B615" s="21"/>
      <c r="C615" s="21"/>
      <c r="D615" s="22"/>
      <c r="F615" s="22"/>
      <c r="G615" s="27"/>
      <c r="H615" s="22"/>
      <c r="I615" s="27"/>
      <c r="J615" s="247"/>
      <c r="K615" s="247"/>
      <c r="L615" s="247"/>
    </row>
    <row r="616" spans="1:12" s="20" customFormat="1" x14ac:dyDescent="0.25">
      <c r="A616" s="26"/>
      <c r="B616" s="21"/>
      <c r="C616" s="21"/>
      <c r="D616" s="22"/>
      <c r="F616" s="22"/>
      <c r="G616" s="27"/>
      <c r="H616" s="22"/>
      <c r="I616" s="27"/>
      <c r="J616" s="247"/>
      <c r="K616" s="247"/>
      <c r="L616" s="247"/>
    </row>
    <row r="617" spans="1:12" s="20" customFormat="1" x14ac:dyDescent="0.25">
      <c r="A617" s="26"/>
      <c r="B617" s="21"/>
      <c r="C617" s="21"/>
      <c r="D617" s="22"/>
      <c r="F617" s="22"/>
      <c r="G617" s="27"/>
      <c r="H617" s="22"/>
      <c r="I617" s="27"/>
      <c r="J617" s="247"/>
      <c r="K617" s="247"/>
      <c r="L617" s="247"/>
    </row>
    <row r="618" spans="1:12" s="20" customFormat="1" x14ac:dyDescent="0.25">
      <c r="A618" s="26"/>
      <c r="B618" s="21"/>
      <c r="C618" s="21"/>
      <c r="D618" s="22"/>
      <c r="F618" s="22"/>
      <c r="G618" s="27"/>
      <c r="H618" s="22"/>
      <c r="I618" s="27"/>
      <c r="J618" s="247"/>
      <c r="K618" s="247"/>
      <c r="L618" s="247"/>
    </row>
    <row r="619" spans="1:12" s="20" customFormat="1" x14ac:dyDescent="0.25">
      <c r="A619" s="26"/>
      <c r="B619" s="21"/>
      <c r="C619" s="21"/>
      <c r="D619" s="22"/>
      <c r="F619" s="22"/>
      <c r="G619" s="27"/>
      <c r="H619" s="22"/>
      <c r="I619" s="27"/>
      <c r="J619" s="247"/>
      <c r="K619" s="247"/>
      <c r="L619" s="247"/>
    </row>
    <row r="620" spans="1:12" s="20" customFormat="1" x14ac:dyDescent="0.25">
      <c r="A620" s="26"/>
      <c r="B620" s="21"/>
      <c r="C620" s="21"/>
      <c r="D620" s="22"/>
      <c r="F620" s="22"/>
      <c r="G620" s="27"/>
      <c r="H620" s="22"/>
      <c r="I620" s="27"/>
      <c r="J620" s="247"/>
      <c r="K620" s="247"/>
      <c r="L620" s="247"/>
    </row>
    <row r="621" spans="1:12" s="20" customFormat="1" x14ac:dyDescent="0.25">
      <c r="A621" s="26"/>
      <c r="B621" s="21"/>
      <c r="C621" s="21"/>
      <c r="D621" s="22"/>
      <c r="F621" s="22"/>
      <c r="G621" s="27"/>
      <c r="H621" s="22"/>
      <c r="I621" s="27"/>
      <c r="J621" s="247"/>
      <c r="K621" s="247"/>
      <c r="L621" s="247"/>
    </row>
    <row r="622" spans="1:12" s="20" customFormat="1" x14ac:dyDescent="0.25">
      <c r="A622" s="26"/>
      <c r="B622" s="21"/>
      <c r="C622" s="21"/>
      <c r="D622" s="22"/>
      <c r="F622" s="22"/>
      <c r="G622" s="27"/>
      <c r="H622" s="22"/>
      <c r="I622" s="27"/>
      <c r="J622" s="247"/>
      <c r="K622" s="247"/>
      <c r="L622" s="247"/>
    </row>
    <row r="623" spans="1:12" s="20" customFormat="1" x14ac:dyDescent="0.25">
      <c r="A623" s="26"/>
      <c r="B623" s="21"/>
      <c r="C623" s="21"/>
      <c r="D623" s="22"/>
      <c r="F623" s="22"/>
      <c r="G623" s="27"/>
      <c r="H623" s="22"/>
      <c r="I623" s="27"/>
      <c r="J623" s="247"/>
      <c r="K623" s="247"/>
      <c r="L623" s="247"/>
    </row>
    <row r="624" spans="1:12" s="20" customFormat="1" x14ac:dyDescent="0.25">
      <c r="A624" s="26"/>
      <c r="B624" s="21"/>
      <c r="C624" s="21"/>
      <c r="D624" s="22"/>
      <c r="F624" s="22"/>
      <c r="G624" s="27"/>
      <c r="H624" s="22"/>
      <c r="I624" s="27"/>
      <c r="J624" s="247"/>
      <c r="K624" s="247"/>
      <c r="L624" s="247"/>
    </row>
    <row r="625" spans="1:12" s="20" customFormat="1" x14ac:dyDescent="0.25">
      <c r="A625" s="26"/>
      <c r="B625" s="21"/>
      <c r="C625" s="21"/>
      <c r="D625" s="22"/>
      <c r="F625" s="22"/>
      <c r="G625" s="27"/>
      <c r="H625" s="22"/>
      <c r="I625" s="27"/>
      <c r="J625" s="247"/>
      <c r="K625" s="247"/>
      <c r="L625" s="247"/>
    </row>
    <row r="626" spans="1:12" s="20" customFormat="1" x14ac:dyDescent="0.25">
      <c r="A626" s="26"/>
      <c r="B626" s="21"/>
      <c r="C626" s="21"/>
      <c r="D626" s="22"/>
      <c r="F626" s="22"/>
      <c r="G626" s="27"/>
      <c r="H626" s="22"/>
      <c r="I626" s="27"/>
      <c r="J626" s="247"/>
      <c r="K626" s="247"/>
      <c r="L626" s="247"/>
    </row>
    <row r="627" spans="1:12" s="20" customFormat="1" x14ac:dyDescent="0.25">
      <c r="A627" s="26"/>
      <c r="B627" s="21"/>
      <c r="C627" s="21"/>
      <c r="D627" s="22"/>
      <c r="F627" s="22"/>
      <c r="G627" s="27"/>
      <c r="H627" s="22"/>
      <c r="I627" s="27"/>
      <c r="J627" s="247"/>
      <c r="K627" s="247"/>
      <c r="L627" s="247"/>
    </row>
    <row r="628" spans="1:12" s="20" customFormat="1" x14ac:dyDescent="0.25">
      <c r="A628" s="26"/>
      <c r="B628" s="21"/>
      <c r="C628" s="21"/>
      <c r="D628" s="22"/>
      <c r="F628" s="22"/>
      <c r="G628" s="27"/>
      <c r="H628" s="22"/>
      <c r="I628" s="27"/>
      <c r="J628" s="247"/>
      <c r="K628" s="247"/>
      <c r="L628" s="247"/>
    </row>
    <row r="629" spans="1:12" s="20" customFormat="1" x14ac:dyDescent="0.25">
      <c r="A629" s="26"/>
      <c r="B629" s="21"/>
      <c r="C629" s="21"/>
      <c r="D629" s="22"/>
      <c r="F629" s="22"/>
      <c r="G629" s="27"/>
      <c r="H629" s="22"/>
      <c r="I629" s="27"/>
      <c r="J629" s="247"/>
      <c r="K629" s="247"/>
      <c r="L629" s="247"/>
    </row>
    <row r="630" spans="1:12" s="20" customFormat="1" x14ac:dyDescent="0.25">
      <c r="A630" s="26"/>
      <c r="B630" s="21"/>
      <c r="C630" s="21"/>
      <c r="D630" s="22"/>
      <c r="F630" s="22"/>
      <c r="G630" s="27"/>
      <c r="H630" s="22"/>
      <c r="I630" s="27"/>
      <c r="J630" s="247"/>
      <c r="K630" s="247"/>
      <c r="L630" s="247"/>
    </row>
    <row r="631" spans="1:12" s="20" customFormat="1" x14ac:dyDescent="0.25">
      <c r="A631" s="26"/>
      <c r="B631" s="21"/>
      <c r="C631" s="21"/>
      <c r="D631" s="22"/>
      <c r="F631" s="22"/>
      <c r="G631" s="27"/>
      <c r="H631" s="22"/>
      <c r="I631" s="27"/>
      <c r="J631" s="247"/>
      <c r="K631" s="247"/>
      <c r="L631" s="247"/>
    </row>
    <row r="632" spans="1:12" s="20" customFormat="1" x14ac:dyDescent="0.25">
      <c r="A632" s="26"/>
      <c r="B632" s="21"/>
      <c r="C632" s="21"/>
      <c r="D632" s="22"/>
      <c r="F632" s="22"/>
      <c r="G632" s="27"/>
      <c r="H632" s="22"/>
      <c r="I632" s="27"/>
      <c r="J632" s="247"/>
      <c r="K632" s="247"/>
      <c r="L632" s="247"/>
    </row>
    <row r="633" spans="1:12" s="20" customFormat="1" x14ac:dyDescent="0.25">
      <c r="A633" s="26"/>
      <c r="B633" s="21"/>
      <c r="C633" s="21"/>
      <c r="D633" s="22"/>
      <c r="F633" s="22"/>
      <c r="G633" s="27"/>
      <c r="H633" s="22"/>
      <c r="I633" s="27"/>
      <c r="J633" s="247"/>
      <c r="K633" s="247"/>
      <c r="L633" s="247"/>
    </row>
    <row r="634" spans="1:12" s="20" customFormat="1" x14ac:dyDescent="0.25">
      <c r="A634" s="26"/>
      <c r="B634" s="21"/>
      <c r="C634" s="21"/>
      <c r="D634" s="22"/>
      <c r="F634" s="22"/>
      <c r="G634" s="27"/>
      <c r="H634" s="22"/>
      <c r="I634" s="27"/>
      <c r="J634" s="247"/>
      <c r="K634" s="247"/>
      <c r="L634" s="247"/>
    </row>
    <row r="635" spans="1:12" s="20" customFormat="1" x14ac:dyDescent="0.25">
      <c r="A635" s="26"/>
      <c r="B635" s="21"/>
      <c r="C635" s="21"/>
      <c r="D635" s="22"/>
      <c r="F635" s="22"/>
      <c r="G635" s="27"/>
      <c r="H635" s="22"/>
      <c r="I635" s="27"/>
      <c r="J635" s="247"/>
      <c r="K635" s="247"/>
      <c r="L635" s="247"/>
    </row>
    <row r="636" spans="1:12" s="20" customFormat="1" x14ac:dyDescent="0.25">
      <c r="A636" s="26"/>
      <c r="B636" s="21"/>
      <c r="C636" s="21"/>
      <c r="D636" s="22"/>
      <c r="F636" s="22"/>
      <c r="G636" s="27"/>
      <c r="H636" s="22"/>
      <c r="I636" s="27"/>
      <c r="J636" s="247"/>
      <c r="K636" s="247"/>
      <c r="L636" s="247"/>
    </row>
    <row r="637" spans="1:12" s="20" customFormat="1" x14ac:dyDescent="0.25">
      <c r="A637" s="26"/>
      <c r="B637" s="21"/>
      <c r="C637" s="21"/>
      <c r="D637" s="22"/>
      <c r="F637" s="22"/>
      <c r="G637" s="27"/>
      <c r="H637" s="22"/>
      <c r="I637" s="27"/>
      <c r="J637" s="247"/>
      <c r="K637" s="247"/>
      <c r="L637" s="247"/>
    </row>
    <row r="638" spans="1:12" s="20" customFormat="1" x14ac:dyDescent="0.25">
      <c r="A638" s="26"/>
      <c r="B638" s="21"/>
      <c r="C638" s="21"/>
      <c r="D638" s="22"/>
      <c r="F638" s="22"/>
      <c r="G638" s="27"/>
      <c r="H638" s="22"/>
      <c r="I638" s="27"/>
      <c r="J638" s="247"/>
      <c r="K638" s="247"/>
      <c r="L638" s="247"/>
    </row>
    <row r="639" spans="1:12" s="20" customFormat="1" x14ac:dyDescent="0.25">
      <c r="A639" s="26"/>
      <c r="B639" s="21"/>
      <c r="C639" s="21"/>
      <c r="D639" s="22"/>
      <c r="F639" s="22"/>
      <c r="G639" s="27"/>
      <c r="H639" s="22"/>
      <c r="I639" s="27"/>
      <c r="J639" s="247"/>
      <c r="K639" s="247"/>
      <c r="L639" s="247"/>
    </row>
    <row r="640" spans="1:12" s="20" customFormat="1" x14ac:dyDescent="0.25">
      <c r="A640" s="26"/>
      <c r="B640" s="21"/>
      <c r="C640" s="21"/>
      <c r="D640" s="22"/>
      <c r="F640" s="22"/>
      <c r="G640" s="27"/>
      <c r="H640" s="22"/>
      <c r="I640" s="27"/>
      <c r="J640" s="247"/>
      <c r="K640" s="247"/>
      <c r="L640" s="247"/>
    </row>
    <row r="641" spans="1:12" s="20" customFormat="1" x14ac:dyDescent="0.25">
      <c r="A641" s="26"/>
      <c r="B641" s="21"/>
      <c r="C641" s="21"/>
      <c r="D641" s="22"/>
      <c r="F641" s="22"/>
      <c r="G641" s="27"/>
      <c r="H641" s="22"/>
      <c r="I641" s="27"/>
      <c r="J641" s="247"/>
      <c r="K641" s="247"/>
      <c r="L641" s="247"/>
    </row>
    <row r="642" spans="1:12" s="20" customFormat="1" x14ac:dyDescent="0.25">
      <c r="A642" s="26"/>
      <c r="B642" s="21"/>
      <c r="C642" s="21"/>
      <c r="D642" s="22"/>
      <c r="F642" s="22"/>
      <c r="G642" s="27"/>
      <c r="H642" s="22"/>
      <c r="I642" s="27"/>
      <c r="J642" s="247"/>
      <c r="K642" s="247"/>
      <c r="L642" s="247"/>
    </row>
    <row r="643" spans="1:12" s="20" customFormat="1" x14ac:dyDescent="0.25">
      <c r="A643" s="26"/>
      <c r="B643" s="21"/>
      <c r="C643" s="21"/>
      <c r="D643" s="22"/>
      <c r="F643" s="22"/>
      <c r="G643" s="27"/>
      <c r="H643" s="22"/>
      <c r="I643" s="27"/>
      <c r="J643" s="247"/>
      <c r="K643" s="247"/>
      <c r="L643" s="247"/>
    </row>
    <row r="644" spans="1:12" s="20" customFormat="1" x14ac:dyDescent="0.25">
      <c r="A644" s="26"/>
      <c r="B644" s="21"/>
      <c r="C644" s="21"/>
      <c r="D644" s="22"/>
      <c r="F644" s="22"/>
      <c r="G644" s="27"/>
      <c r="H644" s="22"/>
      <c r="I644" s="27"/>
      <c r="J644" s="247"/>
      <c r="K644" s="247"/>
      <c r="L644" s="247"/>
    </row>
    <row r="645" spans="1:12" s="20" customFormat="1" x14ac:dyDescent="0.25">
      <c r="A645" s="26"/>
      <c r="B645" s="21"/>
      <c r="C645" s="21"/>
      <c r="D645" s="22"/>
      <c r="F645" s="22"/>
      <c r="G645" s="27"/>
      <c r="H645" s="22"/>
      <c r="I645" s="27"/>
      <c r="J645" s="247"/>
      <c r="K645" s="247"/>
      <c r="L645" s="247"/>
    </row>
    <row r="646" spans="1:12" s="20" customFormat="1" x14ac:dyDescent="0.25">
      <c r="A646" s="26"/>
      <c r="B646" s="21"/>
      <c r="C646" s="21"/>
      <c r="D646" s="22"/>
      <c r="F646" s="22"/>
      <c r="G646" s="27"/>
      <c r="H646" s="22"/>
      <c r="I646" s="27"/>
      <c r="J646" s="247"/>
      <c r="K646" s="247"/>
      <c r="L646" s="247"/>
    </row>
    <row r="647" spans="1:12" s="20" customFormat="1" x14ac:dyDescent="0.25">
      <c r="A647" s="26"/>
      <c r="B647" s="21"/>
      <c r="C647" s="21"/>
      <c r="D647" s="22"/>
      <c r="F647" s="22"/>
      <c r="G647" s="27"/>
      <c r="H647" s="22"/>
      <c r="I647" s="27"/>
      <c r="J647" s="247"/>
      <c r="K647" s="247"/>
      <c r="L647" s="247"/>
    </row>
    <row r="648" spans="1:12" s="20" customFormat="1" x14ac:dyDescent="0.25">
      <c r="A648" s="26"/>
      <c r="B648" s="21"/>
      <c r="C648" s="21"/>
      <c r="D648" s="22"/>
      <c r="F648" s="22"/>
      <c r="G648" s="27"/>
      <c r="H648" s="22"/>
      <c r="I648" s="27"/>
      <c r="J648" s="247"/>
      <c r="K648" s="247"/>
      <c r="L648" s="247"/>
    </row>
    <row r="649" spans="1:12" s="20" customFormat="1" x14ac:dyDescent="0.25">
      <c r="A649" s="26"/>
      <c r="B649" s="21"/>
      <c r="C649" s="21"/>
      <c r="D649" s="22"/>
      <c r="F649" s="22"/>
      <c r="G649" s="27"/>
      <c r="H649" s="22"/>
      <c r="I649" s="27"/>
      <c r="J649" s="247"/>
      <c r="K649" s="247"/>
      <c r="L649" s="247"/>
    </row>
    <row r="650" spans="1:12" s="20" customFormat="1" x14ac:dyDescent="0.25">
      <c r="A650" s="26"/>
      <c r="B650" s="21"/>
      <c r="C650" s="21"/>
      <c r="D650" s="22"/>
      <c r="F650" s="22"/>
      <c r="G650" s="27"/>
      <c r="H650" s="22"/>
      <c r="I650" s="27"/>
      <c r="J650" s="247"/>
      <c r="K650" s="247"/>
      <c r="L650" s="247"/>
    </row>
    <row r="651" spans="1:12" s="20" customFormat="1" x14ac:dyDescent="0.25">
      <c r="A651" s="26"/>
      <c r="B651" s="21"/>
      <c r="C651" s="21"/>
      <c r="D651" s="22"/>
      <c r="F651" s="22"/>
      <c r="G651" s="27"/>
      <c r="H651" s="22"/>
      <c r="I651" s="27"/>
      <c r="J651" s="247"/>
      <c r="K651" s="247"/>
      <c r="L651" s="247"/>
    </row>
    <row r="652" spans="1:12" s="20" customFormat="1" x14ac:dyDescent="0.25">
      <c r="A652" s="26"/>
      <c r="B652" s="21"/>
      <c r="C652" s="21"/>
      <c r="D652" s="22"/>
      <c r="F652" s="22"/>
      <c r="G652" s="27"/>
      <c r="H652" s="22"/>
      <c r="I652" s="27"/>
      <c r="J652" s="247"/>
      <c r="K652" s="247"/>
      <c r="L652" s="247"/>
    </row>
    <row r="653" spans="1:12" s="20" customFormat="1" x14ac:dyDescent="0.25">
      <c r="A653" s="26"/>
      <c r="B653" s="21"/>
      <c r="C653" s="21"/>
      <c r="D653" s="22"/>
      <c r="F653" s="22"/>
      <c r="G653" s="27"/>
      <c r="H653" s="22"/>
      <c r="I653" s="27"/>
      <c r="J653" s="247"/>
      <c r="K653" s="247"/>
      <c r="L653" s="247"/>
    </row>
    <row r="654" spans="1:12" s="20" customFormat="1" x14ac:dyDescent="0.25">
      <c r="A654" s="26"/>
      <c r="B654" s="21"/>
      <c r="C654" s="21"/>
      <c r="D654" s="22"/>
      <c r="F654" s="22"/>
      <c r="G654" s="27"/>
      <c r="H654" s="22"/>
      <c r="I654" s="27"/>
      <c r="J654" s="247"/>
      <c r="K654" s="247"/>
      <c r="L654" s="247"/>
    </row>
    <row r="655" spans="1:12" s="20" customFormat="1" x14ac:dyDescent="0.25">
      <c r="A655" s="26"/>
      <c r="B655" s="21"/>
      <c r="C655" s="21"/>
      <c r="D655" s="22"/>
      <c r="F655" s="22"/>
      <c r="G655" s="27"/>
      <c r="H655" s="22"/>
      <c r="I655" s="27"/>
      <c r="J655" s="247"/>
      <c r="K655" s="247"/>
      <c r="L655" s="247"/>
    </row>
    <row r="656" spans="1:12" s="20" customFormat="1" x14ac:dyDescent="0.25">
      <c r="A656" s="26"/>
      <c r="B656" s="21"/>
      <c r="C656" s="21"/>
      <c r="D656" s="22"/>
      <c r="F656" s="22"/>
      <c r="G656" s="27"/>
      <c r="H656" s="22"/>
      <c r="I656" s="27"/>
      <c r="J656" s="247"/>
      <c r="K656" s="247"/>
      <c r="L656" s="247"/>
    </row>
    <row r="657" spans="1:12" s="20" customFormat="1" x14ac:dyDescent="0.25">
      <c r="A657" s="26"/>
      <c r="B657" s="21"/>
      <c r="C657" s="21"/>
      <c r="D657" s="22"/>
      <c r="F657" s="22"/>
      <c r="G657" s="27"/>
      <c r="H657" s="22"/>
      <c r="I657" s="27"/>
      <c r="J657" s="247"/>
      <c r="K657" s="247"/>
      <c r="L657" s="247"/>
    </row>
    <row r="658" spans="1:12" s="20" customFormat="1" x14ac:dyDescent="0.25">
      <c r="A658" s="26"/>
      <c r="B658" s="21"/>
      <c r="C658" s="21"/>
      <c r="D658" s="22"/>
      <c r="F658" s="22"/>
      <c r="G658" s="27"/>
      <c r="H658" s="22"/>
      <c r="I658" s="27"/>
      <c r="J658" s="247"/>
      <c r="K658" s="247"/>
      <c r="L658" s="247"/>
    </row>
    <row r="659" spans="1:12" s="20" customFormat="1" x14ac:dyDescent="0.25">
      <c r="A659" s="26"/>
      <c r="B659" s="21"/>
      <c r="C659" s="21"/>
      <c r="D659" s="22"/>
      <c r="F659" s="22"/>
      <c r="G659" s="27"/>
      <c r="H659" s="22"/>
      <c r="I659" s="27"/>
      <c r="J659" s="247"/>
      <c r="K659" s="247"/>
      <c r="L659" s="247"/>
    </row>
    <row r="660" spans="1:12" s="20" customFormat="1" x14ac:dyDescent="0.25">
      <c r="A660" s="26"/>
      <c r="B660" s="21"/>
      <c r="C660" s="21"/>
      <c r="D660" s="22"/>
      <c r="F660" s="22"/>
      <c r="G660" s="27"/>
      <c r="H660" s="22"/>
      <c r="I660" s="27"/>
      <c r="J660" s="247"/>
      <c r="K660" s="247"/>
      <c r="L660" s="247"/>
    </row>
    <row r="661" spans="1:12" s="20" customFormat="1" x14ac:dyDescent="0.25">
      <c r="A661" s="26"/>
      <c r="B661" s="21"/>
      <c r="C661" s="21"/>
      <c r="D661" s="22"/>
      <c r="F661" s="22"/>
      <c r="G661" s="27"/>
      <c r="H661" s="22"/>
      <c r="I661" s="27"/>
      <c r="J661" s="247"/>
      <c r="K661" s="247"/>
      <c r="L661" s="247"/>
    </row>
    <row r="662" spans="1:12" s="20" customFormat="1" x14ac:dyDescent="0.25">
      <c r="A662" s="26"/>
      <c r="B662" s="21"/>
      <c r="C662" s="21"/>
      <c r="D662" s="22"/>
      <c r="F662" s="22"/>
      <c r="G662" s="27"/>
      <c r="H662" s="22"/>
      <c r="I662" s="27"/>
      <c r="J662" s="247"/>
      <c r="K662" s="247"/>
      <c r="L662" s="247"/>
    </row>
    <row r="663" spans="1:12" s="20" customFormat="1" x14ac:dyDescent="0.25">
      <c r="A663" s="26"/>
      <c r="B663" s="21"/>
      <c r="C663" s="21"/>
      <c r="D663" s="22"/>
      <c r="F663" s="22"/>
      <c r="G663" s="27"/>
      <c r="H663" s="22"/>
      <c r="I663" s="27"/>
      <c r="J663" s="247"/>
      <c r="K663" s="247"/>
      <c r="L663" s="247"/>
    </row>
    <row r="664" spans="1:12" s="20" customFormat="1" x14ac:dyDescent="0.25">
      <c r="A664" s="26"/>
      <c r="B664" s="21"/>
      <c r="C664" s="21"/>
      <c r="D664" s="22"/>
      <c r="F664" s="22"/>
      <c r="G664" s="27"/>
      <c r="H664" s="22"/>
      <c r="I664" s="27"/>
      <c r="J664" s="247"/>
      <c r="K664" s="247"/>
      <c r="L664" s="247"/>
    </row>
    <row r="665" spans="1:12" s="20" customFormat="1" x14ac:dyDescent="0.25">
      <c r="A665" s="26"/>
      <c r="B665" s="21"/>
      <c r="C665" s="21"/>
      <c r="D665" s="22"/>
      <c r="F665" s="22"/>
      <c r="G665" s="27"/>
      <c r="H665" s="22"/>
      <c r="I665" s="27"/>
      <c r="J665" s="247"/>
      <c r="K665" s="247"/>
      <c r="L665" s="247"/>
    </row>
    <row r="666" spans="1:12" s="20" customFormat="1" x14ac:dyDescent="0.25">
      <c r="A666" s="26"/>
      <c r="B666" s="21"/>
      <c r="C666" s="21"/>
      <c r="D666" s="22"/>
      <c r="F666" s="22"/>
      <c r="G666" s="27"/>
      <c r="H666" s="22"/>
      <c r="I666" s="27"/>
      <c r="J666" s="247"/>
      <c r="K666" s="247"/>
      <c r="L666" s="247"/>
    </row>
    <row r="667" spans="1:12" s="20" customFormat="1" x14ac:dyDescent="0.25">
      <c r="A667" s="26"/>
      <c r="B667" s="21"/>
      <c r="C667" s="21"/>
      <c r="D667" s="22"/>
      <c r="F667" s="22"/>
      <c r="G667" s="27"/>
      <c r="H667" s="22"/>
      <c r="I667" s="27"/>
      <c r="J667" s="247"/>
      <c r="K667" s="247"/>
      <c r="L667" s="247"/>
    </row>
    <row r="668" spans="1:12" s="20" customFormat="1" x14ac:dyDescent="0.25">
      <c r="A668" s="26"/>
      <c r="B668" s="21"/>
      <c r="C668" s="21"/>
      <c r="D668" s="22"/>
      <c r="F668" s="22"/>
      <c r="G668" s="27"/>
      <c r="H668" s="22"/>
      <c r="I668" s="27"/>
      <c r="J668" s="247"/>
      <c r="K668" s="247"/>
      <c r="L668" s="247"/>
    </row>
    <row r="669" spans="1:12" s="20" customFormat="1" x14ac:dyDescent="0.25">
      <c r="A669" s="26"/>
      <c r="B669" s="21"/>
      <c r="C669" s="21"/>
      <c r="D669" s="22"/>
      <c r="F669" s="22"/>
      <c r="G669" s="27"/>
      <c r="H669" s="22"/>
      <c r="I669" s="27"/>
      <c r="J669" s="247"/>
      <c r="K669" s="247"/>
      <c r="L669" s="247"/>
    </row>
    <row r="670" spans="1:12" s="20" customFormat="1" x14ac:dyDescent="0.25">
      <c r="A670" s="26"/>
      <c r="B670" s="21"/>
      <c r="C670" s="21"/>
      <c r="D670" s="22"/>
      <c r="F670" s="22"/>
      <c r="G670" s="27"/>
      <c r="H670" s="22"/>
      <c r="I670" s="27"/>
      <c r="J670" s="247"/>
      <c r="K670" s="247"/>
      <c r="L670" s="247"/>
    </row>
    <row r="671" spans="1:12" s="20" customFormat="1" x14ac:dyDescent="0.25">
      <c r="A671" s="26"/>
      <c r="B671" s="21"/>
      <c r="C671" s="21"/>
      <c r="D671" s="22"/>
      <c r="F671" s="22"/>
      <c r="G671" s="27"/>
      <c r="H671" s="22"/>
      <c r="I671" s="27"/>
      <c r="J671" s="247"/>
      <c r="K671" s="247"/>
      <c r="L671" s="247"/>
    </row>
    <row r="672" spans="1:12" s="20" customFormat="1" x14ac:dyDescent="0.25">
      <c r="A672" s="26"/>
      <c r="B672" s="21"/>
      <c r="C672" s="21"/>
      <c r="D672" s="22"/>
      <c r="F672" s="22"/>
      <c r="G672" s="27"/>
      <c r="H672" s="22"/>
      <c r="I672" s="27"/>
      <c r="J672" s="247"/>
      <c r="K672" s="247"/>
      <c r="L672" s="247"/>
    </row>
    <row r="673" spans="1:12" s="20" customFormat="1" x14ac:dyDescent="0.25">
      <c r="A673" s="26"/>
      <c r="B673" s="21"/>
      <c r="C673" s="21"/>
      <c r="D673" s="22"/>
      <c r="F673" s="22"/>
      <c r="G673" s="27"/>
      <c r="H673" s="22"/>
      <c r="I673" s="27"/>
      <c r="J673" s="247"/>
      <c r="K673" s="247"/>
      <c r="L673" s="247"/>
    </row>
    <row r="674" spans="1:12" s="20" customFormat="1" x14ac:dyDescent="0.25">
      <c r="A674" s="26"/>
      <c r="B674" s="21"/>
      <c r="C674" s="21"/>
      <c r="D674" s="22"/>
      <c r="F674" s="22"/>
      <c r="G674" s="27"/>
      <c r="H674" s="22"/>
      <c r="I674" s="27"/>
      <c r="J674" s="247"/>
      <c r="K674" s="247"/>
      <c r="L674" s="247"/>
    </row>
    <row r="675" spans="1:12" s="20" customFormat="1" x14ac:dyDescent="0.25">
      <c r="A675" s="26"/>
      <c r="B675" s="21"/>
      <c r="C675" s="21"/>
      <c r="D675" s="22"/>
      <c r="F675" s="22"/>
      <c r="G675" s="27"/>
      <c r="H675" s="22"/>
      <c r="I675" s="27"/>
      <c r="J675" s="247"/>
      <c r="K675" s="247"/>
      <c r="L675" s="247"/>
    </row>
    <row r="676" spans="1:12" s="20" customFormat="1" x14ac:dyDescent="0.25">
      <c r="A676" s="26"/>
      <c r="B676" s="21"/>
      <c r="C676" s="21"/>
      <c r="D676" s="22"/>
      <c r="F676" s="22"/>
      <c r="G676" s="27"/>
      <c r="H676" s="22"/>
      <c r="I676" s="27"/>
      <c r="J676" s="247"/>
      <c r="K676" s="247"/>
      <c r="L676" s="247"/>
    </row>
    <row r="677" spans="1:12" s="20" customFormat="1" x14ac:dyDescent="0.25">
      <c r="A677" s="26"/>
      <c r="B677" s="21"/>
      <c r="C677" s="21"/>
      <c r="D677" s="22"/>
      <c r="F677" s="22"/>
      <c r="G677" s="27"/>
      <c r="H677" s="22"/>
      <c r="I677" s="27"/>
      <c r="J677" s="247"/>
      <c r="K677" s="247"/>
      <c r="L677" s="247"/>
    </row>
    <row r="678" spans="1:12" s="20" customFormat="1" x14ac:dyDescent="0.25">
      <c r="A678" s="26"/>
      <c r="B678" s="21"/>
      <c r="C678" s="21"/>
      <c r="D678" s="22"/>
      <c r="F678" s="22"/>
      <c r="G678" s="27"/>
      <c r="H678" s="22"/>
      <c r="I678" s="27"/>
      <c r="J678" s="247"/>
      <c r="K678" s="247"/>
      <c r="L678" s="247"/>
    </row>
    <row r="679" spans="1:12" s="20" customFormat="1" x14ac:dyDescent="0.25">
      <c r="A679" s="26"/>
      <c r="B679" s="21"/>
      <c r="C679" s="21"/>
      <c r="D679" s="22"/>
      <c r="F679" s="22"/>
      <c r="G679" s="27"/>
      <c r="H679" s="22"/>
      <c r="I679" s="27"/>
      <c r="J679" s="247"/>
      <c r="K679" s="247"/>
      <c r="L679" s="247"/>
    </row>
    <row r="680" spans="1:12" s="20" customFormat="1" x14ac:dyDescent="0.25">
      <c r="A680" s="26"/>
      <c r="B680" s="21"/>
      <c r="C680" s="21"/>
      <c r="D680" s="22"/>
      <c r="F680" s="22"/>
      <c r="G680" s="27"/>
      <c r="H680" s="22"/>
      <c r="I680" s="27"/>
      <c r="J680" s="247"/>
      <c r="K680" s="247"/>
      <c r="L680" s="247"/>
    </row>
    <row r="681" spans="1:12" s="20" customFormat="1" x14ac:dyDescent="0.25">
      <c r="A681" s="26"/>
      <c r="B681" s="21"/>
      <c r="C681" s="21"/>
      <c r="D681" s="22"/>
      <c r="F681" s="22"/>
      <c r="G681" s="27"/>
      <c r="H681" s="22"/>
      <c r="I681" s="27"/>
      <c r="J681" s="247"/>
      <c r="K681" s="247"/>
      <c r="L681" s="247"/>
    </row>
    <row r="682" spans="1:12" s="20" customFormat="1" x14ac:dyDescent="0.25">
      <c r="A682" s="26"/>
      <c r="B682" s="21"/>
      <c r="C682" s="21"/>
      <c r="D682" s="22"/>
      <c r="F682" s="22"/>
      <c r="G682" s="27"/>
      <c r="H682" s="22"/>
      <c r="I682" s="27"/>
      <c r="J682" s="247"/>
      <c r="K682" s="247"/>
      <c r="L682" s="247"/>
    </row>
    <row r="683" spans="1:12" s="20" customFormat="1" x14ac:dyDescent="0.25">
      <c r="A683" s="26"/>
      <c r="B683" s="21"/>
      <c r="C683" s="21"/>
      <c r="D683" s="22"/>
      <c r="F683" s="22"/>
      <c r="G683" s="27"/>
      <c r="H683" s="22"/>
      <c r="I683" s="27"/>
      <c r="J683" s="247"/>
      <c r="K683" s="247"/>
      <c r="L683" s="247"/>
    </row>
    <row r="684" spans="1:12" s="20" customFormat="1" x14ac:dyDescent="0.25">
      <c r="A684" s="26"/>
      <c r="B684" s="21"/>
      <c r="C684" s="21"/>
      <c r="D684" s="22"/>
      <c r="F684" s="22"/>
      <c r="G684" s="27"/>
      <c r="H684" s="22"/>
      <c r="I684" s="27"/>
      <c r="J684" s="247"/>
      <c r="K684" s="247"/>
      <c r="L684" s="247"/>
    </row>
    <row r="685" spans="1:12" s="20" customFormat="1" x14ac:dyDescent="0.25">
      <c r="A685" s="26"/>
      <c r="B685" s="21"/>
      <c r="C685" s="21"/>
      <c r="D685" s="22"/>
      <c r="F685" s="22"/>
      <c r="G685" s="27"/>
      <c r="H685" s="22"/>
      <c r="I685" s="27"/>
      <c r="J685" s="247"/>
      <c r="K685" s="247"/>
      <c r="L685" s="247"/>
    </row>
    <row r="686" spans="1:12" s="20" customFormat="1" x14ac:dyDescent="0.25">
      <c r="A686" s="26"/>
      <c r="B686" s="21"/>
      <c r="C686" s="21"/>
      <c r="D686" s="22"/>
      <c r="F686" s="22"/>
      <c r="G686" s="27"/>
      <c r="H686" s="22"/>
      <c r="I686" s="27"/>
      <c r="J686" s="247"/>
      <c r="K686" s="247"/>
      <c r="L686" s="247"/>
    </row>
    <row r="687" spans="1:12" s="20" customFormat="1" x14ac:dyDescent="0.25">
      <c r="A687" s="26"/>
      <c r="B687" s="21"/>
      <c r="C687" s="21"/>
      <c r="D687" s="22"/>
      <c r="F687" s="22"/>
      <c r="G687" s="27"/>
      <c r="H687" s="22"/>
      <c r="I687" s="27"/>
      <c r="J687" s="247"/>
      <c r="K687" s="247"/>
      <c r="L687" s="247"/>
    </row>
    <row r="688" spans="1:12" s="20" customFormat="1" x14ac:dyDescent="0.25">
      <c r="A688" s="26"/>
      <c r="B688" s="21"/>
      <c r="C688" s="21"/>
      <c r="D688" s="22"/>
      <c r="F688" s="22"/>
      <c r="G688" s="27"/>
      <c r="H688" s="22"/>
      <c r="I688" s="27"/>
      <c r="J688" s="247"/>
      <c r="K688" s="247"/>
      <c r="L688" s="247"/>
    </row>
    <row r="689" spans="1:12" s="20" customFormat="1" x14ac:dyDescent="0.25">
      <c r="A689" s="26"/>
      <c r="B689" s="21"/>
      <c r="C689" s="21"/>
      <c r="D689" s="22"/>
      <c r="F689" s="22"/>
      <c r="G689" s="27"/>
      <c r="H689" s="22"/>
      <c r="I689" s="27"/>
      <c r="J689" s="247"/>
      <c r="K689" s="247"/>
      <c r="L689" s="247"/>
    </row>
    <row r="690" spans="1:12" s="20" customFormat="1" x14ac:dyDescent="0.25">
      <c r="A690" s="26"/>
      <c r="B690" s="21"/>
      <c r="C690" s="21"/>
      <c r="D690" s="22"/>
      <c r="F690" s="22"/>
      <c r="G690" s="27"/>
      <c r="H690" s="22"/>
      <c r="I690" s="27"/>
      <c r="J690" s="247"/>
      <c r="K690" s="247"/>
      <c r="L690" s="247"/>
    </row>
    <row r="691" spans="1:12" s="20" customFormat="1" x14ac:dyDescent="0.25">
      <c r="A691" s="26"/>
      <c r="B691" s="21"/>
      <c r="C691" s="21"/>
      <c r="D691" s="22"/>
      <c r="F691" s="22"/>
      <c r="G691" s="27"/>
      <c r="H691" s="22"/>
      <c r="I691" s="27"/>
      <c r="J691" s="247"/>
      <c r="K691" s="247"/>
      <c r="L691" s="247"/>
    </row>
    <row r="692" spans="1:12" s="20" customFormat="1" x14ac:dyDescent="0.25">
      <c r="A692" s="26"/>
      <c r="B692" s="21"/>
      <c r="C692" s="21"/>
      <c r="D692" s="22"/>
      <c r="F692" s="22"/>
      <c r="G692" s="27"/>
      <c r="H692" s="22"/>
      <c r="I692" s="27"/>
      <c r="J692" s="247"/>
      <c r="K692" s="247"/>
      <c r="L692" s="247"/>
    </row>
    <row r="693" spans="1:12" s="20" customFormat="1" x14ac:dyDescent="0.25">
      <c r="A693" s="26"/>
      <c r="B693" s="21"/>
      <c r="C693" s="21"/>
      <c r="D693" s="22"/>
      <c r="F693" s="22"/>
      <c r="G693" s="27"/>
      <c r="H693" s="22"/>
      <c r="I693" s="27"/>
      <c r="J693" s="247"/>
      <c r="K693" s="247"/>
      <c r="L693" s="247"/>
    </row>
    <row r="694" spans="1:12" s="20" customFormat="1" x14ac:dyDescent="0.25">
      <c r="A694" s="26"/>
      <c r="B694" s="21"/>
      <c r="C694" s="21"/>
      <c r="D694" s="22"/>
      <c r="F694" s="22"/>
      <c r="G694" s="27"/>
      <c r="H694" s="22"/>
      <c r="I694" s="27"/>
      <c r="J694" s="247"/>
      <c r="K694" s="247"/>
      <c r="L694" s="247"/>
    </row>
    <row r="695" spans="1:12" s="20" customFormat="1" x14ac:dyDescent="0.25">
      <c r="A695" s="26"/>
      <c r="B695" s="21"/>
      <c r="C695" s="21"/>
      <c r="D695" s="22"/>
      <c r="F695" s="22"/>
      <c r="G695" s="27"/>
      <c r="H695" s="22"/>
      <c r="I695" s="27"/>
      <c r="J695" s="247"/>
      <c r="K695" s="247"/>
      <c r="L695" s="247"/>
    </row>
    <row r="696" spans="1:12" s="20" customFormat="1" x14ac:dyDescent="0.25">
      <c r="A696" s="26"/>
      <c r="B696" s="21"/>
      <c r="C696" s="21"/>
      <c r="D696" s="22"/>
      <c r="F696" s="22"/>
      <c r="G696" s="27"/>
      <c r="H696" s="22"/>
      <c r="I696" s="27"/>
      <c r="J696" s="247"/>
      <c r="K696" s="247"/>
      <c r="L696" s="247"/>
    </row>
    <row r="697" spans="1:12" s="20" customFormat="1" x14ac:dyDescent="0.25">
      <c r="A697" s="26"/>
      <c r="B697" s="21"/>
      <c r="C697" s="21"/>
      <c r="D697" s="22"/>
      <c r="F697" s="22"/>
      <c r="G697" s="27"/>
      <c r="H697" s="22"/>
      <c r="I697" s="27"/>
      <c r="J697" s="247"/>
      <c r="K697" s="247"/>
      <c r="L697" s="247"/>
    </row>
    <row r="698" spans="1:12" s="20" customFormat="1" x14ac:dyDescent="0.25">
      <c r="A698" s="26"/>
      <c r="B698" s="21"/>
      <c r="C698" s="21"/>
      <c r="D698" s="22"/>
      <c r="F698" s="22"/>
      <c r="G698" s="27"/>
      <c r="H698" s="22"/>
      <c r="I698" s="27"/>
      <c r="J698" s="247"/>
      <c r="K698" s="247"/>
      <c r="L698" s="247"/>
    </row>
    <row r="699" spans="1:12" s="20" customFormat="1" x14ac:dyDescent="0.25">
      <c r="A699" s="26"/>
      <c r="B699" s="21"/>
      <c r="C699" s="21"/>
      <c r="D699" s="22"/>
      <c r="F699" s="22"/>
      <c r="G699" s="27"/>
      <c r="H699" s="22"/>
      <c r="I699" s="27"/>
      <c r="J699" s="247"/>
      <c r="K699" s="247"/>
      <c r="L699" s="247"/>
    </row>
    <row r="700" spans="1:12" s="20" customFormat="1" x14ac:dyDescent="0.25">
      <c r="A700" s="26"/>
      <c r="B700" s="21"/>
      <c r="C700" s="21"/>
      <c r="D700" s="22"/>
      <c r="F700" s="22"/>
      <c r="G700" s="27"/>
      <c r="H700" s="22"/>
      <c r="I700" s="27"/>
      <c r="J700" s="247"/>
      <c r="K700" s="247"/>
      <c r="L700" s="247"/>
    </row>
    <row r="701" spans="1:12" s="20" customFormat="1" x14ac:dyDescent="0.25">
      <c r="A701" s="26"/>
      <c r="B701" s="21"/>
      <c r="C701" s="21"/>
      <c r="D701" s="22"/>
      <c r="F701" s="22"/>
      <c r="G701" s="27"/>
      <c r="H701" s="22"/>
      <c r="I701" s="27"/>
      <c r="J701" s="247"/>
      <c r="K701" s="247"/>
      <c r="L701" s="247"/>
    </row>
    <row r="702" spans="1:12" s="20" customFormat="1" x14ac:dyDescent="0.25">
      <c r="A702" s="26"/>
      <c r="B702" s="21"/>
      <c r="C702" s="21"/>
      <c r="D702" s="22"/>
      <c r="F702" s="22"/>
      <c r="G702" s="27"/>
      <c r="H702" s="22"/>
      <c r="I702" s="27"/>
      <c r="J702" s="247"/>
      <c r="K702" s="247"/>
      <c r="L702" s="247"/>
    </row>
    <row r="703" spans="1:12" s="20" customFormat="1" x14ac:dyDescent="0.25">
      <c r="A703" s="26"/>
      <c r="B703" s="21"/>
      <c r="C703" s="21"/>
      <c r="D703" s="22"/>
      <c r="F703" s="22"/>
      <c r="G703" s="27"/>
      <c r="H703" s="22"/>
      <c r="I703" s="27"/>
      <c r="J703" s="247"/>
      <c r="K703" s="247"/>
      <c r="L703" s="247"/>
    </row>
    <row r="704" spans="1:12" s="20" customFormat="1" x14ac:dyDescent="0.25">
      <c r="A704" s="26"/>
      <c r="B704" s="21"/>
      <c r="C704" s="21"/>
      <c r="D704" s="22"/>
      <c r="F704" s="22"/>
      <c r="G704" s="27"/>
      <c r="H704" s="22"/>
      <c r="I704" s="27"/>
      <c r="J704" s="247"/>
      <c r="K704" s="247"/>
      <c r="L704" s="247"/>
    </row>
    <row r="705" spans="1:12" s="20" customFormat="1" x14ac:dyDescent="0.25">
      <c r="A705" s="26"/>
      <c r="B705" s="21"/>
      <c r="C705" s="21"/>
      <c r="D705" s="22"/>
      <c r="F705" s="22"/>
      <c r="G705" s="27"/>
      <c r="H705" s="22"/>
      <c r="I705" s="27"/>
      <c r="J705" s="247"/>
      <c r="K705" s="247"/>
      <c r="L705" s="247"/>
    </row>
    <row r="706" spans="1:12" s="20" customFormat="1" x14ac:dyDescent="0.25">
      <c r="A706" s="26"/>
      <c r="B706" s="21"/>
      <c r="C706" s="21"/>
      <c r="D706" s="22"/>
      <c r="F706" s="22"/>
      <c r="G706" s="27"/>
      <c r="H706" s="22"/>
      <c r="I706" s="27"/>
      <c r="J706" s="247"/>
      <c r="K706" s="247"/>
      <c r="L706" s="247"/>
    </row>
    <row r="707" spans="1:12" s="20" customFormat="1" x14ac:dyDescent="0.25">
      <c r="A707" s="26"/>
      <c r="B707" s="21"/>
      <c r="C707" s="21"/>
      <c r="D707" s="22"/>
      <c r="F707" s="22"/>
      <c r="G707" s="27"/>
      <c r="H707" s="22"/>
      <c r="I707" s="27"/>
      <c r="J707" s="247"/>
      <c r="K707" s="247"/>
      <c r="L707" s="247"/>
    </row>
    <row r="708" spans="1:12" s="20" customFormat="1" x14ac:dyDescent="0.25">
      <c r="A708" s="26"/>
      <c r="B708" s="21"/>
      <c r="C708" s="21"/>
      <c r="D708" s="22"/>
      <c r="F708" s="22"/>
      <c r="G708" s="27"/>
      <c r="H708" s="22"/>
      <c r="I708" s="27"/>
      <c r="J708" s="247"/>
      <c r="K708" s="247"/>
      <c r="L708" s="247"/>
    </row>
    <row r="709" spans="1:12" s="20" customFormat="1" x14ac:dyDescent="0.25">
      <c r="A709" s="26"/>
      <c r="B709" s="21"/>
      <c r="C709" s="21"/>
      <c r="D709" s="22"/>
      <c r="F709" s="22"/>
      <c r="G709" s="27"/>
      <c r="H709" s="22"/>
      <c r="I709" s="27"/>
      <c r="J709" s="247"/>
      <c r="K709" s="247"/>
      <c r="L709" s="247"/>
    </row>
    <row r="710" spans="1:12" s="20" customFormat="1" x14ac:dyDescent="0.25">
      <c r="A710" s="26"/>
      <c r="B710" s="21"/>
      <c r="C710" s="21"/>
      <c r="D710" s="22"/>
      <c r="F710" s="22"/>
      <c r="G710" s="27"/>
      <c r="H710" s="22"/>
      <c r="I710" s="27"/>
      <c r="J710" s="247"/>
      <c r="K710" s="247"/>
      <c r="L710" s="247"/>
    </row>
    <row r="711" spans="1:12" s="20" customFormat="1" x14ac:dyDescent="0.25">
      <c r="A711" s="26"/>
      <c r="B711" s="21"/>
      <c r="C711" s="21"/>
      <c r="D711" s="22"/>
      <c r="F711" s="22"/>
      <c r="G711" s="27"/>
      <c r="H711" s="22"/>
      <c r="I711" s="27"/>
      <c r="J711" s="247"/>
      <c r="K711" s="247"/>
      <c r="L711" s="247"/>
    </row>
    <row r="712" spans="1:12" s="20" customFormat="1" x14ac:dyDescent="0.25">
      <c r="A712" s="26"/>
      <c r="B712" s="21"/>
      <c r="C712" s="21"/>
      <c r="D712" s="22"/>
      <c r="F712" s="22"/>
      <c r="G712" s="27"/>
      <c r="H712" s="22"/>
      <c r="I712" s="27"/>
      <c r="J712" s="247"/>
      <c r="K712" s="247"/>
      <c r="L712" s="247"/>
    </row>
    <row r="713" spans="1:12" s="20" customFormat="1" x14ac:dyDescent="0.25">
      <c r="A713" s="26"/>
      <c r="B713" s="21"/>
      <c r="C713" s="21"/>
      <c r="D713" s="22"/>
      <c r="F713" s="22"/>
      <c r="G713" s="27"/>
      <c r="H713" s="22"/>
      <c r="I713" s="27"/>
      <c r="J713" s="247"/>
      <c r="K713" s="247"/>
      <c r="L713" s="247"/>
    </row>
    <row r="714" spans="1:12" s="20" customFormat="1" x14ac:dyDescent="0.25">
      <c r="A714" s="26"/>
      <c r="B714" s="21"/>
      <c r="C714" s="21"/>
      <c r="D714" s="22"/>
      <c r="F714" s="22"/>
      <c r="G714" s="27"/>
      <c r="H714" s="22"/>
      <c r="I714" s="27"/>
      <c r="J714" s="247"/>
      <c r="K714" s="247"/>
      <c r="L714" s="247"/>
    </row>
    <row r="715" spans="1:12" s="20" customFormat="1" x14ac:dyDescent="0.25">
      <c r="A715" s="26"/>
      <c r="B715" s="21"/>
      <c r="C715" s="21"/>
      <c r="D715" s="22"/>
      <c r="F715" s="22"/>
      <c r="G715" s="27"/>
      <c r="H715" s="22"/>
      <c r="I715" s="27"/>
      <c r="J715" s="247"/>
      <c r="K715" s="247"/>
      <c r="L715" s="247"/>
    </row>
    <row r="716" spans="1:12" s="20" customFormat="1" x14ac:dyDescent="0.25">
      <c r="A716" s="26"/>
      <c r="B716" s="21"/>
      <c r="C716" s="21"/>
      <c r="D716" s="22"/>
      <c r="F716" s="22"/>
      <c r="G716" s="27"/>
      <c r="H716" s="22"/>
      <c r="I716" s="27"/>
      <c r="J716" s="247"/>
      <c r="K716" s="247"/>
      <c r="L716" s="247"/>
    </row>
    <row r="717" spans="1:12" s="20" customFormat="1" x14ac:dyDescent="0.25">
      <c r="A717" s="26"/>
      <c r="B717" s="21"/>
      <c r="C717" s="21"/>
      <c r="D717" s="22"/>
      <c r="F717" s="22"/>
      <c r="G717" s="27"/>
      <c r="H717" s="22"/>
      <c r="I717" s="27"/>
      <c r="J717" s="247"/>
      <c r="K717" s="247"/>
      <c r="L717" s="247"/>
    </row>
    <row r="718" spans="1:12" s="20" customFormat="1" x14ac:dyDescent="0.25">
      <c r="A718" s="26"/>
      <c r="B718" s="21"/>
      <c r="C718" s="21"/>
      <c r="D718" s="22"/>
      <c r="F718" s="22"/>
      <c r="G718" s="27"/>
      <c r="H718" s="22"/>
      <c r="I718" s="27"/>
      <c r="J718" s="247"/>
      <c r="K718" s="247"/>
      <c r="L718" s="247"/>
    </row>
    <row r="719" spans="1:12" s="20" customFormat="1" x14ac:dyDescent="0.25">
      <c r="A719" s="26"/>
      <c r="B719" s="21"/>
      <c r="C719" s="21"/>
      <c r="D719" s="22"/>
      <c r="F719" s="22"/>
      <c r="G719" s="27"/>
      <c r="H719" s="22"/>
      <c r="I719" s="27"/>
      <c r="J719" s="247"/>
      <c r="K719" s="247"/>
      <c r="L719" s="247"/>
    </row>
    <row r="720" spans="1:12" s="20" customFormat="1" x14ac:dyDescent="0.25">
      <c r="A720" s="26"/>
      <c r="B720" s="21"/>
      <c r="C720" s="21"/>
      <c r="D720" s="22"/>
      <c r="F720" s="22"/>
      <c r="G720" s="27"/>
      <c r="H720" s="22"/>
      <c r="I720" s="27"/>
      <c r="J720" s="247"/>
      <c r="K720" s="247"/>
      <c r="L720" s="247"/>
    </row>
    <row r="721" spans="1:12" s="20" customFormat="1" x14ac:dyDescent="0.25">
      <c r="A721" s="26"/>
      <c r="B721" s="21"/>
      <c r="C721" s="21"/>
      <c r="D721" s="22"/>
      <c r="F721" s="22"/>
      <c r="G721" s="27"/>
      <c r="H721" s="22"/>
      <c r="I721" s="27"/>
      <c r="J721" s="247"/>
      <c r="K721" s="247"/>
      <c r="L721" s="247"/>
    </row>
    <row r="722" spans="1:12" s="20" customFormat="1" x14ac:dyDescent="0.25">
      <c r="A722" s="26"/>
      <c r="B722" s="21"/>
      <c r="C722" s="21"/>
      <c r="D722" s="22"/>
      <c r="F722" s="22"/>
      <c r="G722" s="27"/>
      <c r="H722" s="22"/>
      <c r="I722" s="27"/>
      <c r="J722" s="247"/>
      <c r="K722" s="247"/>
      <c r="L722" s="247"/>
    </row>
    <row r="723" spans="1:12" s="20" customFormat="1" x14ac:dyDescent="0.25">
      <c r="A723" s="26"/>
      <c r="B723" s="21"/>
      <c r="C723" s="21"/>
      <c r="D723" s="22"/>
      <c r="F723" s="22"/>
      <c r="G723" s="27"/>
      <c r="H723" s="22"/>
      <c r="I723" s="27"/>
      <c r="J723" s="247"/>
      <c r="K723" s="247"/>
      <c r="L723" s="247"/>
    </row>
    <row r="724" spans="1:12" s="20" customFormat="1" x14ac:dyDescent="0.25">
      <c r="A724" s="26"/>
      <c r="B724" s="21"/>
      <c r="C724" s="21"/>
      <c r="D724" s="22"/>
      <c r="F724" s="22"/>
      <c r="G724" s="27"/>
      <c r="H724" s="22"/>
      <c r="I724" s="27"/>
      <c r="J724" s="247"/>
      <c r="K724" s="247"/>
      <c r="L724" s="247"/>
    </row>
    <row r="725" spans="1:12" s="20" customFormat="1" x14ac:dyDescent="0.25">
      <c r="A725" s="26"/>
      <c r="B725" s="21"/>
      <c r="C725" s="21"/>
      <c r="D725" s="22"/>
      <c r="F725" s="22"/>
      <c r="G725" s="27"/>
      <c r="H725" s="22"/>
      <c r="I725" s="27"/>
      <c r="J725" s="247"/>
      <c r="K725" s="247"/>
      <c r="L725" s="247"/>
    </row>
    <row r="726" spans="1:12" s="20" customFormat="1" x14ac:dyDescent="0.25">
      <c r="A726" s="26"/>
      <c r="B726" s="21"/>
      <c r="C726" s="21"/>
      <c r="D726" s="22"/>
      <c r="F726" s="22"/>
      <c r="G726" s="27"/>
      <c r="H726" s="22"/>
      <c r="I726" s="27"/>
      <c r="J726" s="247"/>
      <c r="K726" s="247"/>
      <c r="L726" s="247"/>
    </row>
    <row r="727" spans="1:12" s="20" customFormat="1" x14ac:dyDescent="0.25">
      <c r="A727" s="26"/>
      <c r="B727" s="21"/>
      <c r="C727" s="21"/>
      <c r="D727" s="22"/>
      <c r="F727" s="22"/>
      <c r="G727" s="27"/>
      <c r="H727" s="22"/>
      <c r="I727" s="27"/>
      <c r="J727" s="247"/>
      <c r="K727" s="247"/>
      <c r="L727" s="247"/>
    </row>
    <row r="728" spans="1:12" s="20" customFormat="1" x14ac:dyDescent="0.25">
      <c r="A728" s="26"/>
      <c r="B728" s="21"/>
      <c r="C728" s="21"/>
      <c r="D728" s="22"/>
      <c r="F728" s="22"/>
      <c r="G728" s="27"/>
      <c r="H728" s="22"/>
      <c r="I728" s="27"/>
      <c r="J728" s="247"/>
      <c r="K728" s="247"/>
      <c r="L728" s="247"/>
    </row>
    <row r="729" spans="1:12" s="20" customFormat="1" x14ac:dyDescent="0.25">
      <c r="A729" s="26"/>
      <c r="B729" s="21"/>
      <c r="C729" s="21"/>
      <c r="D729" s="22"/>
      <c r="F729" s="22"/>
      <c r="G729" s="27"/>
      <c r="H729" s="22"/>
      <c r="I729" s="27"/>
      <c r="J729" s="247"/>
      <c r="K729" s="247"/>
      <c r="L729" s="247"/>
    </row>
    <row r="730" spans="1:12" s="20" customFormat="1" x14ac:dyDescent="0.25">
      <c r="A730" s="26"/>
      <c r="B730" s="21"/>
      <c r="C730" s="21"/>
      <c r="D730" s="22"/>
      <c r="F730" s="22"/>
      <c r="G730" s="27"/>
      <c r="H730" s="22"/>
      <c r="I730" s="27"/>
      <c r="J730" s="247"/>
      <c r="K730" s="247"/>
      <c r="L730" s="247"/>
    </row>
    <row r="731" spans="1:12" s="20" customFormat="1" x14ac:dyDescent="0.25">
      <c r="A731" s="26"/>
      <c r="B731" s="21"/>
      <c r="C731" s="21"/>
      <c r="D731" s="22"/>
      <c r="F731" s="22"/>
      <c r="G731" s="27"/>
      <c r="H731" s="22"/>
      <c r="I731" s="27"/>
      <c r="J731" s="247"/>
      <c r="K731" s="247"/>
      <c r="L731" s="247"/>
    </row>
    <row r="732" spans="1:12" s="20" customFormat="1" x14ac:dyDescent="0.25">
      <c r="A732" s="26"/>
      <c r="B732" s="21"/>
      <c r="C732" s="21"/>
      <c r="D732" s="22"/>
      <c r="F732" s="22"/>
      <c r="G732" s="27"/>
      <c r="H732" s="22"/>
      <c r="I732" s="27"/>
      <c r="J732" s="247"/>
      <c r="K732" s="247"/>
      <c r="L732" s="247"/>
    </row>
    <row r="733" spans="1:12" s="20" customFormat="1" x14ac:dyDescent="0.25">
      <c r="A733" s="26"/>
      <c r="B733" s="21"/>
      <c r="C733" s="21"/>
      <c r="D733" s="22"/>
      <c r="F733" s="22"/>
      <c r="G733" s="27"/>
      <c r="H733" s="22"/>
      <c r="I733" s="27"/>
      <c r="J733" s="247"/>
      <c r="K733" s="247"/>
      <c r="L733" s="247"/>
    </row>
    <row r="734" spans="1:12" s="20" customFormat="1" x14ac:dyDescent="0.25">
      <c r="A734" s="26"/>
      <c r="B734" s="21"/>
      <c r="C734" s="21"/>
      <c r="D734" s="22"/>
      <c r="F734" s="22"/>
      <c r="G734" s="27"/>
      <c r="H734" s="22"/>
      <c r="I734" s="27"/>
      <c r="J734" s="247"/>
      <c r="K734" s="247"/>
      <c r="L734" s="247"/>
    </row>
    <row r="735" spans="1:12" s="20" customFormat="1" x14ac:dyDescent="0.25">
      <c r="A735" s="26"/>
      <c r="B735" s="21"/>
      <c r="C735" s="21"/>
      <c r="D735" s="22"/>
      <c r="F735" s="22"/>
      <c r="G735" s="27"/>
      <c r="H735" s="22"/>
      <c r="I735" s="27"/>
      <c r="J735" s="247"/>
      <c r="K735" s="247"/>
      <c r="L735" s="247"/>
    </row>
    <row r="736" spans="1:12" s="20" customFormat="1" x14ac:dyDescent="0.25">
      <c r="A736" s="26"/>
      <c r="B736" s="21"/>
      <c r="C736" s="21"/>
      <c r="D736" s="22"/>
      <c r="F736" s="22"/>
      <c r="G736" s="27"/>
      <c r="H736" s="22"/>
      <c r="I736" s="27"/>
      <c r="J736" s="247"/>
      <c r="K736" s="247"/>
      <c r="L736" s="247"/>
    </row>
    <row r="737" spans="1:12" s="20" customFormat="1" x14ac:dyDescent="0.25">
      <c r="A737" s="26"/>
      <c r="B737" s="21"/>
      <c r="C737" s="21"/>
      <c r="D737" s="22"/>
      <c r="F737" s="22"/>
      <c r="G737" s="27"/>
      <c r="H737" s="22"/>
      <c r="I737" s="27"/>
      <c r="J737" s="247"/>
      <c r="K737" s="247"/>
      <c r="L737" s="247"/>
    </row>
    <row r="738" spans="1:12" s="20" customFormat="1" x14ac:dyDescent="0.25">
      <c r="A738" s="26"/>
      <c r="B738" s="21"/>
      <c r="C738" s="21"/>
      <c r="D738" s="22"/>
      <c r="F738" s="22"/>
      <c r="G738" s="27"/>
      <c r="H738" s="22"/>
      <c r="I738" s="27"/>
      <c r="J738" s="247"/>
      <c r="K738" s="247"/>
      <c r="L738" s="247"/>
    </row>
    <row r="739" spans="1:12" s="20" customFormat="1" x14ac:dyDescent="0.25">
      <c r="A739" s="26"/>
      <c r="B739" s="21"/>
      <c r="C739" s="21"/>
      <c r="D739" s="22"/>
      <c r="F739" s="22"/>
      <c r="G739" s="27"/>
      <c r="H739" s="22"/>
      <c r="I739" s="27"/>
      <c r="J739" s="247"/>
      <c r="K739" s="247"/>
      <c r="L739" s="247"/>
    </row>
    <row r="740" spans="1:12" s="20" customFormat="1" x14ac:dyDescent="0.25">
      <c r="A740" s="26"/>
      <c r="B740" s="21"/>
      <c r="C740" s="21"/>
      <c r="D740" s="22"/>
      <c r="F740" s="22"/>
      <c r="G740" s="27"/>
      <c r="H740" s="22"/>
      <c r="I740" s="27"/>
      <c r="J740" s="247"/>
      <c r="K740" s="247"/>
      <c r="L740" s="247"/>
    </row>
    <row r="741" spans="1:12" s="20" customFormat="1" x14ac:dyDescent="0.25">
      <c r="A741" s="26"/>
      <c r="B741" s="21"/>
      <c r="C741" s="21"/>
      <c r="D741" s="22"/>
      <c r="F741" s="22"/>
      <c r="G741" s="27"/>
      <c r="H741" s="22"/>
      <c r="I741" s="27"/>
      <c r="J741" s="247"/>
      <c r="K741" s="247"/>
      <c r="L741" s="247"/>
    </row>
    <row r="742" spans="1:12" s="20" customFormat="1" x14ac:dyDescent="0.25">
      <c r="A742" s="26"/>
      <c r="B742" s="21"/>
      <c r="C742" s="21"/>
      <c r="D742" s="22"/>
      <c r="F742" s="22"/>
      <c r="G742" s="27"/>
      <c r="H742" s="22"/>
      <c r="I742" s="27"/>
      <c r="J742" s="247"/>
      <c r="K742" s="247"/>
      <c r="L742" s="247"/>
    </row>
    <row r="743" spans="1:12" s="20" customFormat="1" x14ac:dyDescent="0.25">
      <c r="A743" s="26"/>
      <c r="B743" s="21"/>
      <c r="C743" s="21"/>
      <c r="D743" s="22"/>
      <c r="F743" s="22"/>
      <c r="G743" s="27"/>
      <c r="H743" s="22"/>
      <c r="I743" s="27"/>
      <c r="J743" s="247"/>
      <c r="K743" s="247"/>
      <c r="L743" s="247"/>
    </row>
    <row r="744" spans="1:12" s="20" customFormat="1" x14ac:dyDescent="0.25">
      <c r="A744" s="26"/>
      <c r="B744" s="21"/>
      <c r="C744" s="21"/>
      <c r="D744" s="22"/>
      <c r="F744" s="22"/>
      <c r="G744" s="27"/>
      <c r="H744" s="22"/>
      <c r="I744" s="27"/>
      <c r="J744" s="247"/>
      <c r="K744" s="247"/>
      <c r="L744" s="247"/>
    </row>
    <row r="745" spans="1:12" s="20" customFormat="1" x14ac:dyDescent="0.25">
      <c r="A745" s="26"/>
      <c r="B745" s="21"/>
      <c r="C745" s="21"/>
      <c r="D745" s="22"/>
      <c r="F745" s="22"/>
      <c r="G745" s="27"/>
      <c r="H745" s="22"/>
      <c r="I745" s="27"/>
      <c r="J745" s="247"/>
      <c r="K745" s="247"/>
      <c r="L745" s="247"/>
    </row>
    <row r="746" spans="1:12" s="20" customFormat="1" x14ac:dyDescent="0.25">
      <c r="A746" s="26"/>
      <c r="B746" s="21"/>
      <c r="C746" s="21"/>
      <c r="D746" s="22"/>
      <c r="F746" s="22"/>
      <c r="G746" s="27"/>
      <c r="H746" s="22"/>
      <c r="I746" s="27"/>
      <c r="J746" s="247"/>
      <c r="K746" s="247"/>
      <c r="L746" s="247"/>
    </row>
    <row r="747" spans="1:12" s="20" customFormat="1" x14ac:dyDescent="0.25">
      <c r="A747" s="26"/>
      <c r="B747" s="21"/>
      <c r="C747" s="21"/>
      <c r="D747" s="22"/>
      <c r="F747" s="22"/>
      <c r="G747" s="27"/>
      <c r="H747" s="22"/>
      <c r="I747" s="27"/>
      <c r="J747" s="247"/>
      <c r="K747" s="247"/>
      <c r="L747" s="247"/>
    </row>
    <row r="748" spans="1:12" s="20" customFormat="1" x14ac:dyDescent="0.25">
      <c r="A748" s="26"/>
      <c r="B748" s="21"/>
      <c r="C748" s="21"/>
      <c r="D748" s="22"/>
      <c r="F748" s="22"/>
      <c r="G748" s="27"/>
      <c r="H748" s="22"/>
      <c r="I748" s="27"/>
      <c r="J748" s="247"/>
      <c r="K748" s="247"/>
      <c r="L748" s="247"/>
    </row>
    <row r="749" spans="1:12" s="20" customFormat="1" x14ac:dyDescent="0.25">
      <c r="A749" s="26"/>
      <c r="B749" s="21"/>
      <c r="C749" s="21"/>
      <c r="D749" s="22"/>
      <c r="F749" s="22"/>
      <c r="G749" s="27"/>
      <c r="H749" s="22"/>
      <c r="I749" s="27"/>
      <c r="J749" s="247"/>
      <c r="K749" s="247"/>
      <c r="L749" s="247"/>
    </row>
    <row r="750" spans="1:12" s="20" customFormat="1" x14ac:dyDescent="0.25">
      <c r="A750" s="26"/>
      <c r="B750" s="21"/>
      <c r="C750" s="21"/>
      <c r="D750" s="22"/>
      <c r="F750" s="22"/>
      <c r="G750" s="27"/>
      <c r="H750" s="22"/>
      <c r="I750" s="27"/>
      <c r="J750" s="247"/>
      <c r="K750" s="247"/>
      <c r="L750" s="247"/>
    </row>
    <row r="751" spans="1:12" s="20" customFormat="1" x14ac:dyDescent="0.25">
      <c r="A751" s="26"/>
      <c r="B751" s="21"/>
      <c r="C751" s="21"/>
      <c r="D751" s="22"/>
      <c r="F751" s="22"/>
      <c r="G751" s="27"/>
      <c r="H751" s="22"/>
      <c r="I751" s="27"/>
      <c r="J751" s="247"/>
      <c r="K751" s="247"/>
      <c r="L751" s="247"/>
    </row>
    <row r="752" spans="1:12" s="20" customFormat="1" x14ac:dyDescent="0.25">
      <c r="A752" s="26"/>
      <c r="B752" s="21"/>
      <c r="C752" s="21"/>
      <c r="D752" s="22"/>
      <c r="F752" s="22"/>
      <c r="G752" s="27"/>
      <c r="H752" s="22"/>
      <c r="I752" s="27"/>
      <c r="J752" s="247"/>
      <c r="K752" s="247"/>
      <c r="L752" s="247"/>
    </row>
    <row r="753" spans="1:12" s="20" customFormat="1" x14ac:dyDescent="0.25">
      <c r="A753" s="26"/>
      <c r="B753" s="21"/>
      <c r="C753" s="21"/>
      <c r="D753" s="22"/>
      <c r="F753" s="22"/>
      <c r="G753" s="27"/>
      <c r="H753" s="22"/>
      <c r="I753" s="27"/>
      <c r="J753" s="247"/>
      <c r="K753" s="247"/>
      <c r="L753" s="247"/>
    </row>
    <row r="754" spans="1:12" s="20" customFormat="1" x14ac:dyDescent="0.25">
      <c r="A754" s="26"/>
      <c r="B754" s="21"/>
      <c r="C754" s="21"/>
      <c r="D754" s="22"/>
      <c r="F754" s="22"/>
      <c r="G754" s="27"/>
      <c r="H754" s="22"/>
      <c r="I754" s="27"/>
      <c r="J754" s="247"/>
      <c r="K754" s="247"/>
      <c r="L754" s="247"/>
    </row>
    <row r="755" spans="1:12" s="20" customFormat="1" x14ac:dyDescent="0.25">
      <c r="A755" s="26"/>
      <c r="B755" s="21"/>
      <c r="C755" s="21"/>
      <c r="D755" s="22"/>
      <c r="F755" s="22"/>
      <c r="G755" s="27"/>
      <c r="H755" s="22"/>
      <c r="I755" s="27"/>
      <c r="J755" s="247"/>
      <c r="K755" s="247"/>
      <c r="L755" s="247"/>
    </row>
    <row r="756" spans="1:12" s="20" customFormat="1" x14ac:dyDescent="0.25">
      <c r="A756" s="26"/>
      <c r="B756" s="21"/>
      <c r="C756" s="21"/>
      <c r="D756" s="22"/>
      <c r="F756" s="22"/>
      <c r="G756" s="27"/>
      <c r="H756" s="22"/>
      <c r="I756" s="27"/>
      <c r="J756" s="247"/>
      <c r="K756" s="247"/>
      <c r="L756" s="247"/>
    </row>
    <row r="757" spans="1:12" s="20" customFormat="1" x14ac:dyDescent="0.25">
      <c r="A757" s="26"/>
      <c r="B757" s="21"/>
      <c r="C757" s="21"/>
      <c r="D757" s="22"/>
      <c r="F757" s="22"/>
      <c r="G757" s="27"/>
      <c r="H757" s="22"/>
      <c r="I757" s="27"/>
      <c r="J757" s="247"/>
      <c r="K757" s="247"/>
      <c r="L757" s="247"/>
    </row>
    <row r="758" spans="1:12" s="20" customFormat="1" x14ac:dyDescent="0.25">
      <c r="A758" s="26"/>
      <c r="B758" s="21"/>
      <c r="C758" s="21"/>
      <c r="D758" s="22"/>
      <c r="F758" s="22"/>
      <c r="G758" s="27"/>
      <c r="H758" s="22"/>
      <c r="I758" s="27"/>
      <c r="J758" s="247"/>
      <c r="K758" s="247"/>
      <c r="L758" s="247"/>
    </row>
    <row r="759" spans="1:12" s="20" customFormat="1" x14ac:dyDescent="0.25">
      <c r="A759" s="26"/>
      <c r="B759" s="21"/>
      <c r="C759" s="21"/>
      <c r="D759" s="22"/>
      <c r="F759" s="22"/>
      <c r="G759" s="27"/>
      <c r="H759" s="22"/>
      <c r="I759" s="27"/>
      <c r="J759" s="247"/>
      <c r="K759" s="247"/>
      <c r="L759" s="247"/>
    </row>
    <row r="760" spans="1:12" s="20" customFormat="1" x14ac:dyDescent="0.25">
      <c r="A760" s="26"/>
      <c r="B760" s="21"/>
      <c r="C760" s="21"/>
      <c r="D760" s="22"/>
      <c r="F760" s="22"/>
      <c r="G760" s="27"/>
      <c r="H760" s="22"/>
      <c r="I760" s="27"/>
      <c r="J760" s="247"/>
      <c r="K760" s="247"/>
      <c r="L760" s="247"/>
    </row>
    <row r="761" spans="1:12" s="20" customFormat="1" x14ac:dyDescent="0.25">
      <c r="A761" s="26"/>
      <c r="B761" s="21"/>
      <c r="C761" s="21"/>
      <c r="D761" s="22"/>
      <c r="F761" s="22"/>
      <c r="G761" s="27"/>
      <c r="H761" s="22"/>
      <c r="I761" s="27"/>
      <c r="J761" s="247"/>
      <c r="K761" s="247"/>
      <c r="L761" s="247"/>
    </row>
    <row r="762" spans="1:12" s="20" customFormat="1" x14ac:dyDescent="0.25">
      <c r="A762" s="26"/>
      <c r="B762" s="21"/>
      <c r="C762" s="21"/>
      <c r="D762" s="22"/>
      <c r="F762" s="22"/>
      <c r="G762" s="27"/>
      <c r="H762" s="22"/>
      <c r="I762" s="27"/>
      <c r="J762" s="247"/>
      <c r="K762" s="247"/>
      <c r="L762" s="247"/>
    </row>
    <row r="763" spans="1:12" s="20" customFormat="1" x14ac:dyDescent="0.25">
      <c r="A763" s="26"/>
      <c r="B763" s="21"/>
      <c r="C763" s="21"/>
      <c r="D763" s="22"/>
      <c r="F763" s="22"/>
      <c r="G763" s="27"/>
      <c r="H763" s="22"/>
      <c r="I763" s="27"/>
      <c r="J763" s="247"/>
      <c r="K763" s="247"/>
      <c r="L763" s="247"/>
    </row>
    <row r="764" spans="1:12" s="20" customFormat="1" x14ac:dyDescent="0.25">
      <c r="A764" s="26"/>
      <c r="B764" s="21"/>
      <c r="C764" s="21"/>
      <c r="D764" s="22"/>
      <c r="F764" s="22"/>
      <c r="G764" s="27"/>
      <c r="H764" s="22"/>
      <c r="I764" s="27"/>
      <c r="J764" s="247"/>
      <c r="K764" s="247"/>
      <c r="L764" s="247"/>
    </row>
    <row r="765" spans="1:12" s="20" customFormat="1" x14ac:dyDescent="0.25">
      <c r="A765" s="26"/>
      <c r="B765" s="21"/>
      <c r="C765" s="21"/>
      <c r="D765" s="22"/>
      <c r="F765" s="22"/>
      <c r="G765" s="27"/>
      <c r="H765" s="22"/>
      <c r="I765" s="27"/>
      <c r="J765" s="247"/>
      <c r="K765" s="247"/>
      <c r="L765" s="247"/>
    </row>
    <row r="766" spans="1:12" s="20" customFormat="1" x14ac:dyDescent="0.25">
      <c r="A766" s="26"/>
      <c r="B766" s="21"/>
      <c r="C766" s="21"/>
      <c r="D766" s="22"/>
      <c r="F766" s="22"/>
      <c r="G766" s="27"/>
      <c r="H766" s="22"/>
      <c r="I766" s="27"/>
      <c r="J766" s="247"/>
      <c r="K766" s="247"/>
      <c r="L766" s="247"/>
    </row>
    <row r="767" spans="1:12" s="20" customFormat="1" x14ac:dyDescent="0.25">
      <c r="A767" s="26"/>
      <c r="B767" s="21"/>
      <c r="C767" s="21"/>
      <c r="D767" s="22"/>
      <c r="F767" s="22"/>
      <c r="G767" s="27"/>
      <c r="H767" s="22"/>
      <c r="I767" s="27"/>
      <c r="J767" s="247"/>
      <c r="K767" s="247"/>
      <c r="L767" s="247"/>
    </row>
    <row r="768" spans="1:12" s="20" customFormat="1" x14ac:dyDescent="0.25">
      <c r="A768" s="26"/>
      <c r="B768" s="21"/>
      <c r="C768" s="21"/>
      <c r="D768" s="22"/>
      <c r="F768" s="22"/>
      <c r="G768" s="27"/>
      <c r="H768" s="22"/>
      <c r="I768" s="27"/>
      <c r="J768" s="247"/>
      <c r="K768" s="247"/>
      <c r="L768" s="247"/>
    </row>
    <row r="769" spans="1:12" s="20" customFormat="1" x14ac:dyDescent="0.25">
      <c r="A769" s="26"/>
      <c r="B769" s="21"/>
      <c r="C769" s="21"/>
      <c r="D769" s="22"/>
      <c r="F769" s="22"/>
      <c r="G769" s="27"/>
      <c r="H769" s="22"/>
      <c r="I769" s="27"/>
      <c r="J769" s="247"/>
      <c r="K769" s="247"/>
      <c r="L769" s="247"/>
    </row>
    <row r="770" spans="1:12" s="20" customFormat="1" x14ac:dyDescent="0.25">
      <c r="A770" s="26"/>
      <c r="B770" s="21"/>
      <c r="C770" s="21"/>
      <c r="D770" s="22"/>
      <c r="F770" s="22"/>
      <c r="G770" s="27"/>
      <c r="H770" s="22"/>
      <c r="I770" s="27"/>
      <c r="J770" s="247"/>
      <c r="K770" s="247"/>
      <c r="L770" s="247"/>
    </row>
    <row r="771" spans="1:12" s="20" customFormat="1" x14ac:dyDescent="0.25">
      <c r="A771" s="26"/>
      <c r="B771" s="21"/>
      <c r="C771" s="21"/>
      <c r="D771" s="22"/>
      <c r="F771" s="22"/>
      <c r="G771" s="27"/>
      <c r="H771" s="22"/>
      <c r="I771" s="27"/>
      <c r="J771" s="247"/>
      <c r="K771" s="247"/>
      <c r="L771" s="247"/>
    </row>
    <row r="772" spans="1:12" s="20" customFormat="1" x14ac:dyDescent="0.25">
      <c r="A772" s="26"/>
      <c r="B772" s="21"/>
      <c r="C772" s="21"/>
      <c r="D772" s="22"/>
      <c r="F772" s="22"/>
      <c r="G772" s="27"/>
      <c r="H772" s="22"/>
      <c r="I772" s="27"/>
      <c r="J772" s="247"/>
      <c r="K772" s="247"/>
      <c r="L772" s="247"/>
    </row>
    <row r="773" spans="1:12" s="20" customFormat="1" x14ac:dyDescent="0.25">
      <c r="A773" s="26"/>
      <c r="B773" s="21"/>
      <c r="C773" s="21"/>
      <c r="D773" s="22"/>
      <c r="F773" s="22"/>
      <c r="G773" s="27"/>
      <c r="H773" s="22"/>
      <c r="I773" s="27"/>
      <c r="J773" s="247"/>
      <c r="K773" s="247"/>
      <c r="L773" s="247"/>
    </row>
    <row r="774" spans="1:12" s="20" customFormat="1" x14ac:dyDescent="0.25">
      <c r="A774" s="26"/>
      <c r="B774" s="21"/>
      <c r="C774" s="21"/>
      <c r="D774" s="22"/>
      <c r="F774" s="22"/>
      <c r="G774" s="27"/>
      <c r="H774" s="22"/>
      <c r="I774" s="27"/>
      <c r="J774" s="247"/>
      <c r="K774" s="247"/>
      <c r="L774" s="247"/>
    </row>
    <row r="775" spans="1:12" s="20" customFormat="1" x14ac:dyDescent="0.25">
      <c r="A775" s="26"/>
      <c r="B775" s="21"/>
      <c r="C775" s="21"/>
      <c r="D775" s="22"/>
      <c r="F775" s="22"/>
      <c r="G775" s="27"/>
      <c r="H775" s="22"/>
      <c r="I775" s="27"/>
      <c r="J775" s="247"/>
      <c r="K775" s="247"/>
      <c r="L775" s="247"/>
    </row>
    <row r="776" spans="1:12" s="20" customFormat="1" x14ac:dyDescent="0.25">
      <c r="A776" s="26"/>
      <c r="B776" s="21"/>
      <c r="C776" s="21"/>
      <c r="D776" s="22"/>
      <c r="F776" s="22"/>
      <c r="G776" s="27"/>
      <c r="H776" s="22"/>
      <c r="I776" s="27"/>
      <c r="J776" s="247"/>
      <c r="K776" s="247"/>
      <c r="L776" s="247"/>
    </row>
    <row r="777" spans="1:12" s="20" customFormat="1" x14ac:dyDescent="0.25">
      <c r="A777" s="26"/>
      <c r="B777" s="21"/>
      <c r="C777" s="21"/>
      <c r="D777" s="22"/>
      <c r="F777" s="22"/>
      <c r="G777" s="27"/>
      <c r="H777" s="22"/>
      <c r="I777" s="27"/>
      <c r="J777" s="247"/>
      <c r="K777" s="247"/>
      <c r="L777" s="247"/>
    </row>
  </sheetData>
  <mergeCells count="3">
    <mergeCell ref="A9:C9"/>
    <mergeCell ref="A38:C38"/>
    <mergeCell ref="A39:C39"/>
  </mergeCells>
  <phoneticPr fontId="29"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B865AC-DE68-48B0-9D9E-B55DE67D7126}">
  <sheetPr>
    <tabColor rgb="FFFFFF00"/>
  </sheetPr>
  <dimension ref="A1:N40"/>
  <sheetViews>
    <sheetView workbookViewId="0">
      <selection activeCell="E19" sqref="E19"/>
    </sheetView>
  </sheetViews>
  <sheetFormatPr defaultRowHeight="15" x14ac:dyDescent="0.25"/>
  <cols>
    <col min="1" max="1" width="20.140625" style="37" customWidth="1"/>
    <col min="2" max="2" width="32" style="37" customWidth="1"/>
    <col min="3" max="3" width="56.5703125" style="37" customWidth="1"/>
    <col min="4" max="4" width="14.85546875" style="37" customWidth="1"/>
    <col min="5" max="5" width="25.42578125" customWidth="1"/>
    <col min="6" max="6" width="2.28515625" style="73" customWidth="1"/>
    <col min="7" max="7" width="25.42578125" customWidth="1"/>
    <col min="8" max="8" width="2.42578125" style="73" customWidth="1"/>
    <col min="9" max="9" width="25.42578125" customWidth="1"/>
    <col min="10" max="10" width="2.5703125" style="73" customWidth="1"/>
    <col min="11" max="11" width="25.42578125" customWidth="1"/>
    <col min="12" max="12" width="3.28515625" customWidth="1"/>
    <col min="13" max="13" width="27.85546875" customWidth="1"/>
  </cols>
  <sheetData>
    <row r="1" spans="1:13" s="37" customFormat="1" ht="15.75" thickBot="1" x14ac:dyDescent="0.3">
      <c r="B1" s="321" t="s">
        <v>460</v>
      </c>
      <c r="C1" s="388" t="str">
        <f>'SUB CPIF RATES (ALL)'!C1</f>
        <v xml:space="preserve">NAME </v>
      </c>
      <c r="H1" s="309"/>
      <c r="J1" s="73"/>
    </row>
    <row r="2" spans="1:13" s="37" customFormat="1" ht="15.75" thickBot="1" x14ac:dyDescent="0.3">
      <c r="B2" s="392" t="s">
        <v>459</v>
      </c>
      <c r="C2" s="389" t="str">
        <f>'SUB CPIF RATES (ALL)'!C2</f>
        <v xml:space="preserve">NAME </v>
      </c>
      <c r="H2" s="440"/>
      <c r="J2" s="73"/>
    </row>
    <row r="3" spans="1:13" s="37" customFormat="1" x14ac:dyDescent="0.25">
      <c r="F3" s="73"/>
      <c r="H3" s="73"/>
      <c r="J3" s="73"/>
    </row>
    <row r="4" spans="1:13" s="37" customFormat="1" x14ac:dyDescent="0.25">
      <c r="B4" s="44" t="s">
        <v>291</v>
      </c>
      <c r="F4" s="440"/>
      <c r="H4" s="73"/>
      <c r="J4" s="73"/>
    </row>
    <row r="5" spans="1:13" x14ac:dyDescent="0.25">
      <c r="B5" s="44" t="s">
        <v>440</v>
      </c>
      <c r="F5" s="440"/>
    </row>
    <row r="6" spans="1:13" s="37" customFormat="1" x14ac:dyDescent="0.25">
      <c r="B6" s="44" t="s">
        <v>323</v>
      </c>
      <c r="F6" s="440"/>
      <c r="H6" s="73"/>
      <c r="J6" s="73"/>
    </row>
    <row r="7" spans="1:13" ht="15.75" customHeight="1" x14ac:dyDescent="0.25">
      <c r="B7" s="44" t="s">
        <v>409</v>
      </c>
      <c r="F7" s="440"/>
    </row>
    <row r="8" spans="1:13" s="37" customFormat="1" ht="15.75" customHeight="1" x14ac:dyDescent="0.25">
      <c r="E8" s="44"/>
      <c r="F8" s="440"/>
      <c r="H8" s="73"/>
      <c r="J8" s="73"/>
    </row>
    <row r="9" spans="1:13" s="37" customFormat="1" ht="15.75" customHeight="1" thickBot="1" x14ac:dyDescent="0.3">
      <c r="E9" s="44"/>
      <c r="F9" s="440"/>
      <c r="H9" s="73"/>
      <c r="J9" s="73"/>
    </row>
    <row r="10" spans="1:13" s="37" customFormat="1" ht="36.75" customHeight="1" thickBot="1" x14ac:dyDescent="0.3">
      <c r="A10" s="511" t="s">
        <v>225</v>
      </c>
      <c r="B10" s="512"/>
      <c r="C10" s="513"/>
      <c r="D10" s="411"/>
      <c r="E10" s="435" t="s">
        <v>226</v>
      </c>
      <c r="F10" s="411"/>
      <c r="G10" s="435" t="s">
        <v>227</v>
      </c>
      <c r="H10" s="411"/>
      <c r="I10" s="435" t="s">
        <v>228</v>
      </c>
      <c r="J10" s="436"/>
      <c r="K10" s="435" t="s">
        <v>229</v>
      </c>
      <c r="L10" s="436"/>
      <c r="M10" s="411"/>
    </row>
    <row r="11" spans="1:13" s="37" customFormat="1" ht="38.25" customHeight="1" thickBot="1" x14ac:dyDescent="0.3">
      <c r="A11" s="412" t="s">
        <v>307</v>
      </c>
      <c r="B11" s="412" t="s">
        <v>1</v>
      </c>
      <c r="C11" s="413"/>
      <c r="D11" s="414" t="s">
        <v>1</v>
      </c>
      <c r="E11" s="437" t="s">
        <v>473</v>
      </c>
      <c r="F11" s="438"/>
      <c r="G11" s="437" t="s">
        <v>473</v>
      </c>
      <c r="H11" s="438"/>
      <c r="I11" s="437" t="s">
        <v>473</v>
      </c>
      <c r="J11" s="436"/>
      <c r="K11" s="437" t="s">
        <v>473</v>
      </c>
      <c r="L11" s="436"/>
      <c r="M11" s="439" t="s">
        <v>472</v>
      </c>
    </row>
    <row r="12" spans="1:13" ht="15.75" thickBot="1" x14ac:dyDescent="0.3">
      <c r="A12" s="415" t="s">
        <v>45</v>
      </c>
      <c r="B12" s="328" t="s">
        <v>15</v>
      </c>
      <c r="C12" s="328"/>
      <c r="D12" s="416"/>
    </row>
    <row r="13" spans="1:13" s="37" customFormat="1" x14ac:dyDescent="0.25">
      <c r="A13" s="417">
        <v>1.01</v>
      </c>
      <c r="B13" s="418"/>
      <c r="C13" s="419" t="s">
        <v>30</v>
      </c>
      <c r="D13" s="420" t="s">
        <v>25</v>
      </c>
      <c r="E13" s="458"/>
      <c r="F13" s="459"/>
      <c r="G13" s="458"/>
      <c r="H13" s="459"/>
      <c r="I13" s="458"/>
      <c r="J13" s="436"/>
      <c r="K13" s="458"/>
      <c r="L13" s="436"/>
      <c r="M13" s="452">
        <f>E13+G13+I13+K13</f>
        <v>0</v>
      </c>
    </row>
    <row r="14" spans="1:13" x14ac:dyDescent="0.25">
      <c r="A14" s="421">
        <v>1.02</v>
      </c>
      <c r="B14" s="328"/>
      <c r="C14" s="419" t="s">
        <v>31</v>
      </c>
      <c r="D14" s="422" t="s">
        <v>25</v>
      </c>
      <c r="E14" s="458"/>
      <c r="F14" s="459"/>
      <c r="G14" s="458"/>
      <c r="H14" s="459"/>
      <c r="I14" s="458"/>
      <c r="J14" s="436"/>
      <c r="K14" s="458"/>
      <c r="L14" s="436"/>
      <c r="M14" s="453">
        <f t="shared" ref="M14:M24" si="0">E14+G14+I14+K14</f>
        <v>0</v>
      </c>
    </row>
    <row r="15" spans="1:13" s="37" customFormat="1" x14ac:dyDescent="0.25">
      <c r="A15" s="423">
        <v>1.03</v>
      </c>
      <c r="B15" s="424"/>
      <c r="C15" s="419" t="s">
        <v>32</v>
      </c>
      <c r="D15" s="425" t="s">
        <v>25</v>
      </c>
      <c r="E15" s="458"/>
      <c r="F15" s="459"/>
      <c r="G15" s="458"/>
      <c r="H15" s="459"/>
      <c r="I15" s="458"/>
      <c r="J15" s="436"/>
      <c r="K15" s="458"/>
      <c r="L15" s="436"/>
      <c r="M15" s="453">
        <f t="shared" si="0"/>
        <v>0</v>
      </c>
    </row>
    <row r="16" spans="1:13" s="37" customFormat="1" x14ac:dyDescent="0.25">
      <c r="A16" s="417">
        <v>1.04</v>
      </c>
      <c r="B16" s="418"/>
      <c r="C16" s="419" t="s">
        <v>33</v>
      </c>
      <c r="D16" s="425" t="s">
        <v>25</v>
      </c>
      <c r="E16" s="458"/>
      <c r="F16" s="459"/>
      <c r="G16" s="458"/>
      <c r="H16" s="459"/>
      <c r="I16" s="458"/>
      <c r="J16" s="436"/>
      <c r="K16" s="458"/>
      <c r="L16" s="436"/>
      <c r="M16" s="453">
        <f t="shared" si="0"/>
        <v>0</v>
      </c>
    </row>
    <row r="17" spans="1:13" s="37" customFormat="1" x14ac:dyDescent="0.25">
      <c r="A17" s="417">
        <v>1.05</v>
      </c>
      <c r="B17" s="418"/>
      <c r="C17" s="419" t="s">
        <v>34</v>
      </c>
      <c r="D17" s="425" t="s">
        <v>25</v>
      </c>
      <c r="E17" s="458"/>
      <c r="F17" s="459"/>
      <c r="G17" s="458"/>
      <c r="H17" s="459"/>
      <c r="I17" s="458"/>
      <c r="J17" s="436"/>
      <c r="K17" s="458"/>
      <c r="L17" s="436"/>
      <c r="M17" s="453">
        <f t="shared" si="0"/>
        <v>0</v>
      </c>
    </row>
    <row r="18" spans="1:13" s="37" customFormat="1" x14ac:dyDescent="0.25">
      <c r="A18" s="417">
        <v>1.06</v>
      </c>
      <c r="B18" s="418"/>
      <c r="C18" s="419" t="s">
        <v>35</v>
      </c>
      <c r="D18" s="425" t="s">
        <v>25</v>
      </c>
      <c r="E18" s="458"/>
      <c r="F18" s="459"/>
      <c r="G18" s="458"/>
      <c r="H18" s="459"/>
      <c r="I18" s="458"/>
      <c r="J18" s="436"/>
      <c r="K18" s="458"/>
      <c r="L18" s="436"/>
      <c r="M18" s="453">
        <f t="shared" si="0"/>
        <v>0</v>
      </c>
    </row>
    <row r="19" spans="1:13" s="37" customFormat="1" x14ac:dyDescent="0.25">
      <c r="A19" s="417">
        <v>1.07</v>
      </c>
      <c r="B19" s="418"/>
      <c r="C19" s="419" t="s">
        <v>36</v>
      </c>
      <c r="D19" s="425" t="s">
        <v>25</v>
      </c>
      <c r="E19" s="458"/>
      <c r="F19" s="459"/>
      <c r="G19" s="458"/>
      <c r="H19" s="459"/>
      <c r="I19" s="458"/>
      <c r="J19" s="436"/>
      <c r="K19" s="458"/>
      <c r="L19" s="436"/>
      <c r="M19" s="453">
        <f t="shared" si="0"/>
        <v>0</v>
      </c>
    </row>
    <row r="20" spans="1:13" s="37" customFormat="1" x14ac:dyDescent="0.25">
      <c r="A20" s="417">
        <v>1.08</v>
      </c>
      <c r="B20" s="418"/>
      <c r="C20" s="419" t="s">
        <v>37</v>
      </c>
      <c r="D20" s="425" t="s">
        <v>25</v>
      </c>
      <c r="E20" s="458"/>
      <c r="F20" s="459"/>
      <c r="G20" s="458"/>
      <c r="H20" s="459"/>
      <c r="I20" s="458"/>
      <c r="J20" s="436"/>
      <c r="K20" s="458"/>
      <c r="L20" s="436"/>
      <c r="M20" s="453">
        <f t="shared" si="0"/>
        <v>0</v>
      </c>
    </row>
    <row r="21" spans="1:13" s="37" customFormat="1" x14ac:dyDescent="0.25">
      <c r="A21" s="417">
        <v>1.0900000000000001</v>
      </c>
      <c r="B21" s="418"/>
      <c r="C21" s="419" t="s">
        <v>38</v>
      </c>
      <c r="D21" s="425" t="s">
        <v>25</v>
      </c>
      <c r="E21" s="458"/>
      <c r="F21" s="459"/>
      <c r="G21" s="458"/>
      <c r="H21" s="459"/>
      <c r="I21" s="458"/>
      <c r="J21" s="436"/>
      <c r="K21" s="458"/>
      <c r="L21" s="436"/>
      <c r="M21" s="453">
        <f t="shared" si="0"/>
        <v>0</v>
      </c>
    </row>
    <row r="22" spans="1:13" s="37" customFormat="1" x14ac:dyDescent="0.25">
      <c r="A22" s="426">
        <v>1.1000000000000001</v>
      </c>
      <c r="B22" s="418"/>
      <c r="C22" s="419" t="s">
        <v>39</v>
      </c>
      <c r="D22" s="425" t="s">
        <v>25</v>
      </c>
      <c r="E22" s="458"/>
      <c r="F22" s="459"/>
      <c r="G22" s="458"/>
      <c r="H22" s="459"/>
      <c r="I22" s="458"/>
      <c r="J22" s="436"/>
      <c r="K22" s="458"/>
      <c r="L22" s="436"/>
      <c r="M22" s="453">
        <f t="shared" si="0"/>
        <v>0</v>
      </c>
    </row>
    <row r="23" spans="1:13" s="37" customFormat="1" ht="15.75" thickBot="1" x14ac:dyDescent="0.3">
      <c r="A23" s="426">
        <v>1.1100000000000001</v>
      </c>
      <c r="B23" s="418"/>
      <c r="C23" s="427" t="s">
        <v>10</v>
      </c>
      <c r="D23" s="425" t="s">
        <v>25</v>
      </c>
      <c r="E23" s="458"/>
      <c r="F23" s="459"/>
      <c r="G23" s="458"/>
      <c r="H23" s="459"/>
      <c r="I23" s="458"/>
      <c r="J23" s="436"/>
      <c r="K23" s="458"/>
      <c r="L23" s="436"/>
      <c r="M23" s="454">
        <f t="shared" si="0"/>
        <v>0</v>
      </c>
    </row>
    <row r="24" spans="1:13" s="37" customFormat="1" ht="15.75" thickBot="1" x14ac:dyDescent="0.3">
      <c r="A24" s="426"/>
      <c r="B24" s="418"/>
      <c r="C24" s="428" t="s">
        <v>237</v>
      </c>
      <c r="D24" s="429"/>
      <c r="E24" s="460">
        <f>E13+E14+E15+E16+E17+E18+E19+E20+E21+E22+E23</f>
        <v>0</v>
      </c>
      <c r="F24" s="459"/>
      <c r="G24" s="460">
        <f>G13+G14+G15+G16+G17+G18+G19+G20+G21+G22+G23</f>
        <v>0</v>
      </c>
      <c r="H24" s="459"/>
      <c r="I24" s="460">
        <f>I13+I14+I15+I16+I17+I18+I19+I20+I21+I22+I23</f>
        <v>0</v>
      </c>
      <c r="J24" s="436"/>
      <c r="K24" s="460">
        <f>K13+K14+K15+K16+K17+K18+K19+K20+K21+K22+K23</f>
        <v>0</v>
      </c>
      <c r="L24" s="436"/>
      <c r="M24" s="455">
        <f t="shared" si="0"/>
        <v>0</v>
      </c>
    </row>
    <row r="25" spans="1:13" s="37" customFormat="1" ht="15.75" thickBot="1" x14ac:dyDescent="0.3">
      <c r="A25" s="430" t="s">
        <v>45</v>
      </c>
      <c r="B25" s="328" t="s">
        <v>16</v>
      </c>
      <c r="C25" s="451"/>
      <c r="D25" s="429"/>
      <c r="E25" s="461"/>
      <c r="F25" s="459"/>
      <c r="G25" s="461"/>
      <c r="H25" s="459"/>
      <c r="I25" s="461"/>
      <c r="J25" s="436"/>
      <c r="K25" s="461"/>
      <c r="L25" s="436"/>
      <c r="M25" s="456"/>
    </row>
    <row r="26" spans="1:13" x14ac:dyDescent="0.25">
      <c r="A26" s="417">
        <v>1.01</v>
      </c>
      <c r="B26" s="418"/>
      <c r="C26" s="419" t="s">
        <v>40</v>
      </c>
      <c r="D26" s="425" t="s">
        <v>26</v>
      </c>
      <c r="E26" s="458"/>
      <c r="F26" s="459"/>
      <c r="G26" s="458"/>
      <c r="H26" s="459"/>
      <c r="I26" s="458"/>
      <c r="J26" s="436"/>
      <c r="K26" s="458"/>
      <c r="L26" s="436"/>
      <c r="M26" s="452">
        <f>E26+G26+I26+K26</f>
        <v>0</v>
      </c>
    </row>
    <row r="27" spans="1:13" s="37" customFormat="1" x14ac:dyDescent="0.25">
      <c r="A27" s="431">
        <v>1.02</v>
      </c>
      <c r="B27" s="328"/>
      <c r="C27" s="419" t="s">
        <v>41</v>
      </c>
      <c r="D27" s="422" t="s">
        <v>26</v>
      </c>
      <c r="E27" s="458"/>
      <c r="F27" s="459"/>
      <c r="G27" s="458"/>
      <c r="H27" s="459"/>
      <c r="I27" s="458"/>
      <c r="J27" s="436"/>
      <c r="K27" s="458"/>
      <c r="L27" s="436"/>
      <c r="M27" s="453">
        <f t="shared" ref="M27:M29" si="1">E27+G27+I27+K27</f>
        <v>0</v>
      </c>
    </row>
    <row r="28" spans="1:13" s="37" customFormat="1" ht="15.75" thickBot="1" x14ac:dyDescent="0.3">
      <c r="A28" s="423">
        <v>1.03</v>
      </c>
      <c r="B28" s="424"/>
      <c r="C28" s="419" t="s">
        <v>42</v>
      </c>
      <c r="D28" s="425" t="s">
        <v>26</v>
      </c>
      <c r="E28" s="458"/>
      <c r="F28" s="459"/>
      <c r="G28" s="458"/>
      <c r="H28" s="459"/>
      <c r="I28" s="458"/>
      <c r="J28" s="436"/>
      <c r="K28" s="458"/>
      <c r="L28" s="436"/>
      <c r="M28" s="454">
        <f t="shared" si="1"/>
        <v>0</v>
      </c>
    </row>
    <row r="29" spans="1:13" s="37" customFormat="1" ht="15.75" thickBot="1" x14ac:dyDescent="0.3">
      <c r="A29" s="423"/>
      <c r="B29" s="424"/>
      <c r="C29" s="428" t="s">
        <v>243</v>
      </c>
      <c r="D29" s="429"/>
      <c r="E29" s="460">
        <f>E26+E27+E28</f>
        <v>0</v>
      </c>
      <c r="F29" s="459"/>
      <c r="G29" s="460">
        <f>G26+G27+G28</f>
        <v>0</v>
      </c>
      <c r="H29" s="459"/>
      <c r="I29" s="460">
        <f>I26+I27+I28</f>
        <v>0</v>
      </c>
      <c r="J29" s="436"/>
      <c r="K29" s="460">
        <f>K26+K27+K28</f>
        <v>0</v>
      </c>
      <c r="L29" s="436"/>
      <c r="M29" s="455">
        <f t="shared" si="1"/>
        <v>0</v>
      </c>
    </row>
    <row r="30" spans="1:13" ht="15.75" thickBot="1" x14ac:dyDescent="0.3">
      <c r="A30" s="430" t="s">
        <v>45</v>
      </c>
      <c r="B30" s="328" t="s">
        <v>43</v>
      </c>
      <c r="C30" s="328"/>
      <c r="D30" s="429"/>
      <c r="E30" s="461"/>
      <c r="F30" s="459"/>
      <c r="G30" s="461"/>
      <c r="H30" s="459"/>
      <c r="I30" s="461"/>
      <c r="J30" s="436"/>
      <c r="K30" s="461"/>
      <c r="L30" s="436"/>
      <c r="M30" s="456"/>
    </row>
    <row r="31" spans="1:13" x14ac:dyDescent="0.25">
      <c r="A31" s="417">
        <v>1.01</v>
      </c>
      <c r="B31" s="418"/>
      <c r="C31" s="432" t="s">
        <v>96</v>
      </c>
      <c r="D31" s="425" t="s">
        <v>27</v>
      </c>
      <c r="E31" s="458"/>
      <c r="F31" s="459"/>
      <c r="G31" s="458"/>
      <c r="H31" s="459"/>
      <c r="I31" s="458"/>
      <c r="J31" s="436"/>
      <c r="K31" s="458"/>
      <c r="L31" s="436"/>
      <c r="M31" s="452">
        <f>E31+G31+I31+K31</f>
        <v>0</v>
      </c>
    </row>
    <row r="32" spans="1:13" x14ac:dyDescent="0.25">
      <c r="A32" s="421">
        <v>1.02</v>
      </c>
      <c r="B32" s="328"/>
      <c r="C32" s="432" t="s">
        <v>97</v>
      </c>
      <c r="D32" s="425" t="s">
        <v>27</v>
      </c>
      <c r="E32" s="458"/>
      <c r="F32" s="459"/>
      <c r="G32" s="458"/>
      <c r="H32" s="459"/>
      <c r="I32" s="458"/>
      <c r="J32" s="436"/>
      <c r="K32" s="458"/>
      <c r="L32" s="436"/>
      <c r="M32" s="453">
        <f t="shared" ref="M32:M35" si="2">E32+G32+I32+K32</f>
        <v>0</v>
      </c>
    </row>
    <row r="33" spans="1:14" x14ac:dyDescent="0.25">
      <c r="A33" s="423">
        <v>1.03</v>
      </c>
      <c r="B33" s="424"/>
      <c r="C33" s="432" t="s">
        <v>98</v>
      </c>
      <c r="D33" s="425" t="s">
        <v>27</v>
      </c>
      <c r="E33" s="458"/>
      <c r="F33" s="459"/>
      <c r="G33" s="458"/>
      <c r="H33" s="459"/>
      <c r="I33" s="458"/>
      <c r="J33" s="436"/>
      <c r="K33" s="458"/>
      <c r="L33" s="436"/>
      <c r="M33" s="453">
        <f t="shared" si="2"/>
        <v>0</v>
      </c>
    </row>
    <row r="34" spans="1:14" ht="15.75" thickBot="1" x14ac:dyDescent="0.3">
      <c r="A34" s="423">
        <v>1.04</v>
      </c>
      <c r="B34" s="424"/>
      <c r="C34" s="432" t="s">
        <v>44</v>
      </c>
      <c r="D34" s="425" t="s">
        <v>27</v>
      </c>
      <c r="E34" s="458"/>
      <c r="F34" s="459"/>
      <c r="G34" s="458"/>
      <c r="H34" s="459"/>
      <c r="I34" s="458"/>
      <c r="J34" s="436"/>
      <c r="K34" s="458"/>
      <c r="L34" s="436"/>
      <c r="M34" s="454">
        <f t="shared" si="2"/>
        <v>0</v>
      </c>
    </row>
    <row r="35" spans="1:14" ht="15.75" thickBot="1" x14ac:dyDescent="0.3">
      <c r="A35" s="433"/>
      <c r="B35" s="434"/>
      <c r="C35" s="428" t="s">
        <v>244</v>
      </c>
      <c r="D35" s="457"/>
      <c r="E35" s="460">
        <f>E32+E33+E34</f>
        <v>0</v>
      </c>
      <c r="F35" s="459"/>
      <c r="G35" s="460">
        <f>G32+G33+G34</f>
        <v>0</v>
      </c>
      <c r="H35" s="459"/>
      <c r="I35" s="460">
        <f>I32+I33+I34</f>
        <v>0</v>
      </c>
      <c r="J35" s="436"/>
      <c r="K35" s="460">
        <f>K32+K33+K34</f>
        <v>0</v>
      </c>
      <c r="L35" s="436"/>
      <c r="M35" s="455">
        <f t="shared" si="2"/>
        <v>0</v>
      </c>
      <c r="N35" s="37"/>
    </row>
    <row r="36" spans="1:14" ht="15.75" customHeight="1" thickBot="1" x14ac:dyDescent="0.3">
      <c r="D36" s="429"/>
    </row>
    <row r="37" spans="1:14" ht="48" customHeight="1" thickBot="1" x14ac:dyDescent="0.3">
      <c r="E37" s="441">
        <f>E24+E29+E35</f>
        <v>0</v>
      </c>
      <c r="F37" s="442"/>
      <c r="G37" s="441">
        <f>G24+G29+G35</f>
        <v>0</v>
      </c>
      <c r="H37" s="442"/>
      <c r="I37" s="441">
        <f>I24+I29+I35</f>
        <v>0</v>
      </c>
      <c r="J37" s="443"/>
      <c r="K37" s="441">
        <f>K24+K29+K35</f>
        <v>0</v>
      </c>
      <c r="L37" s="443"/>
      <c r="M37" s="444">
        <f>M24+M29+M35</f>
        <v>0</v>
      </c>
      <c r="N37" s="445" t="s">
        <v>472</v>
      </c>
    </row>
    <row r="38" spans="1:14" ht="15.75" thickBot="1" x14ac:dyDescent="0.3">
      <c r="E38" s="37"/>
      <c r="F38" s="446"/>
      <c r="G38" s="447"/>
      <c r="H38" s="446"/>
      <c r="I38" s="447"/>
      <c r="J38" s="244"/>
      <c r="K38" s="244"/>
      <c r="L38" s="244"/>
      <c r="M38" s="244"/>
      <c r="N38" s="37"/>
    </row>
    <row r="39" spans="1:14" ht="30.75" thickBot="1" x14ac:dyDescent="0.3">
      <c r="E39" s="37"/>
      <c r="F39" s="446"/>
      <c r="G39" s="448"/>
      <c r="H39" s="446"/>
      <c r="I39" s="448"/>
      <c r="J39" s="37"/>
      <c r="K39" s="37"/>
      <c r="L39" s="37"/>
      <c r="M39" s="444">
        <f>E37+G37+I37+K37</f>
        <v>0</v>
      </c>
      <c r="N39" s="445" t="s">
        <v>13</v>
      </c>
    </row>
    <row r="40" spans="1:14" x14ac:dyDescent="0.25">
      <c r="E40" s="37"/>
      <c r="F40" s="446"/>
      <c r="G40" s="448"/>
      <c r="H40" s="446"/>
      <c r="I40" s="448"/>
      <c r="J40" s="37"/>
      <c r="K40" s="37"/>
      <c r="L40" s="37"/>
      <c r="M40" s="449">
        <f>M37-M39</f>
        <v>0</v>
      </c>
      <c r="N40" s="450" t="s">
        <v>14</v>
      </c>
    </row>
  </sheetData>
  <mergeCells count="1">
    <mergeCell ref="A10:C10"/>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60AD96-AF9F-4094-AA5E-9EB48829C74C}">
  <dimension ref="A1:W761"/>
  <sheetViews>
    <sheetView zoomScale="80" zoomScaleNormal="80" workbookViewId="0">
      <pane xSplit="3" topLeftCell="D1" activePane="topRight" state="frozen"/>
      <selection pane="topRight" activeCell="A4" sqref="A4"/>
    </sheetView>
  </sheetViews>
  <sheetFormatPr defaultColWidth="9.140625" defaultRowHeight="15" x14ac:dyDescent="0.25"/>
  <cols>
    <col min="1" max="1" width="20.5703125" style="31" customWidth="1"/>
    <col min="2" max="2" width="23.5703125" style="32" bestFit="1" customWidth="1"/>
    <col min="3" max="3" width="52.28515625" style="32" bestFit="1" customWidth="1"/>
    <col min="4" max="4" width="7.5703125" style="2" customWidth="1"/>
    <col min="5" max="5" width="12.28515625" style="7" customWidth="1"/>
    <col min="6" max="6" width="15.7109375" style="7" customWidth="1"/>
    <col min="7" max="7" width="18.140625" style="7" customWidth="1"/>
    <col min="8" max="8" width="1.5703125" style="2" customWidth="1"/>
    <col min="9" max="9" width="12.28515625" style="7" bestFit="1" customWidth="1"/>
    <col min="10" max="10" width="15.7109375" style="33" customWidth="1"/>
    <col min="11" max="11" width="17" style="34" customWidth="1"/>
    <col min="12" max="12" width="1.42578125" style="2" customWidth="1"/>
    <col min="13" max="13" width="12.28515625" style="7" bestFit="1" customWidth="1"/>
    <col min="14" max="14" width="15.7109375" style="33" customWidth="1"/>
    <col min="15" max="15" width="18.42578125" style="34" customWidth="1"/>
    <col min="16" max="16" width="1.5703125" style="247" customWidth="1"/>
    <col min="17" max="17" width="9.85546875" style="247" customWidth="1"/>
    <col min="18" max="18" width="15.7109375" style="247" customWidth="1"/>
    <col min="19" max="19" width="18.7109375" style="247" customWidth="1"/>
    <col min="20" max="20" width="1.28515625" style="247" customWidth="1"/>
    <col min="21" max="21" width="22.7109375" style="7" customWidth="1"/>
    <col min="22" max="22" width="18.28515625" style="35" customWidth="1"/>
    <col min="23" max="23" width="15.7109375" style="7" customWidth="1"/>
    <col min="24" max="16384" width="9.140625" style="7"/>
  </cols>
  <sheetData>
    <row r="1" spans="1:22" ht="15.75" thickBot="1" x14ac:dyDescent="0.3">
      <c r="B1" s="71" t="s">
        <v>460</v>
      </c>
      <c r="C1" s="390" t="str">
        <f>'SUB CPIF RATES (ALL)'!C1</f>
        <v xml:space="preserve">NAME </v>
      </c>
      <c r="J1" s="22"/>
      <c r="N1" s="22"/>
      <c r="V1" s="20"/>
    </row>
    <row r="2" spans="1:22" ht="15.75" thickBot="1" x14ac:dyDescent="0.3">
      <c r="A2" s="71"/>
      <c r="B2" s="391" t="s">
        <v>459</v>
      </c>
      <c r="C2" s="390" t="str">
        <f>'SUB CPIF RATES (ALL)'!C2</f>
        <v xml:space="preserve">NAME </v>
      </c>
      <c r="J2" s="22"/>
      <c r="N2" s="22"/>
      <c r="V2" s="20"/>
    </row>
    <row r="3" spans="1:22" x14ac:dyDescent="0.25">
      <c r="A3" s="71"/>
      <c r="B3" s="211"/>
      <c r="C3" s="211"/>
      <c r="J3" s="22"/>
      <c r="N3" s="22"/>
      <c r="V3" s="20"/>
    </row>
    <row r="4" spans="1:22" x14ac:dyDescent="0.25">
      <c r="A4" s="399" t="s">
        <v>325</v>
      </c>
      <c r="B4" s="211"/>
      <c r="C4" s="211"/>
      <c r="J4" s="22"/>
      <c r="N4" s="22"/>
      <c r="V4" s="20"/>
    </row>
    <row r="5" spans="1:22" ht="15.75" thickBot="1" x14ac:dyDescent="0.3">
      <c r="J5" s="22"/>
      <c r="N5" s="22"/>
      <c r="V5" s="20"/>
    </row>
    <row r="6" spans="1:22" ht="48" customHeight="1" thickBot="1" x14ac:dyDescent="0.3">
      <c r="A6" s="466" t="s">
        <v>252</v>
      </c>
      <c r="B6" s="467"/>
      <c r="C6" s="468"/>
      <c r="D6" s="5"/>
      <c r="E6" s="514" t="s">
        <v>197</v>
      </c>
      <c r="F6" s="515"/>
      <c r="G6" s="516"/>
      <c r="H6" s="5"/>
      <c r="I6" s="514" t="s">
        <v>211</v>
      </c>
      <c r="J6" s="515"/>
      <c r="K6" s="516"/>
      <c r="L6" s="5"/>
      <c r="M6" s="514" t="s">
        <v>198</v>
      </c>
      <c r="N6" s="515"/>
      <c r="O6" s="516"/>
      <c r="P6" s="4"/>
      <c r="Q6" s="514" t="s">
        <v>199</v>
      </c>
      <c r="R6" s="515"/>
      <c r="S6" s="516"/>
      <c r="T6" s="4"/>
      <c r="U6" s="5"/>
      <c r="V6" s="6"/>
    </row>
    <row r="7" spans="1:22" ht="45" x14ac:dyDescent="0.25">
      <c r="A7" s="338" t="s">
        <v>305</v>
      </c>
      <c r="B7" s="40" t="s">
        <v>1</v>
      </c>
      <c r="C7" s="41"/>
      <c r="D7" s="51" t="s">
        <v>85</v>
      </c>
      <c r="E7" s="55" t="s">
        <v>86</v>
      </c>
      <c r="F7" s="43" t="s">
        <v>7</v>
      </c>
      <c r="G7" s="252" t="s">
        <v>224</v>
      </c>
      <c r="H7" s="258"/>
      <c r="I7" s="55" t="s">
        <v>86</v>
      </c>
      <c r="J7" s="43" t="s">
        <v>7</v>
      </c>
      <c r="K7" s="252" t="s">
        <v>224</v>
      </c>
      <c r="L7" s="258"/>
      <c r="M7" s="56" t="s">
        <v>86</v>
      </c>
      <c r="N7" s="9" t="s">
        <v>7</v>
      </c>
      <c r="O7" s="252" t="s">
        <v>224</v>
      </c>
      <c r="P7" s="4"/>
      <c r="Q7" s="56" t="s">
        <v>86</v>
      </c>
      <c r="R7" s="9" t="s">
        <v>7</v>
      </c>
      <c r="S7" s="252" t="s">
        <v>224</v>
      </c>
      <c r="T7" s="4"/>
      <c r="U7" s="48" t="s">
        <v>230</v>
      </c>
      <c r="V7" s="7"/>
    </row>
    <row r="8" spans="1:22" ht="15.75" x14ac:dyDescent="0.25">
      <c r="A8" s="65" t="s">
        <v>45</v>
      </c>
      <c r="B8" s="64" t="s">
        <v>15</v>
      </c>
      <c r="C8" s="64" t="s">
        <v>183</v>
      </c>
      <c r="D8" s="52"/>
      <c r="E8" s="55"/>
      <c r="F8" s="43"/>
      <c r="G8" s="252"/>
      <c r="H8" s="258"/>
      <c r="I8" s="55"/>
      <c r="J8" s="43"/>
      <c r="K8" s="252"/>
      <c r="L8" s="258"/>
      <c r="M8" s="56"/>
      <c r="N8" s="9"/>
      <c r="O8" s="57"/>
      <c r="P8" s="4"/>
      <c r="Q8" s="56"/>
      <c r="R8" s="9"/>
      <c r="S8" s="57"/>
      <c r="T8" s="4"/>
      <c r="U8" s="49"/>
      <c r="V8" s="7"/>
    </row>
    <row r="9" spans="1:22" x14ac:dyDescent="0.25">
      <c r="A9" s="67">
        <v>1.01</v>
      </c>
      <c r="B9" s="11"/>
      <c r="C9" s="70" t="s">
        <v>30</v>
      </c>
      <c r="D9" s="250" t="s">
        <v>25</v>
      </c>
      <c r="E9" s="253">
        <v>1</v>
      </c>
      <c r="F9" s="45">
        <f>'CPIF CLIN 0001-TASK 1.01 INPUTS'!E80</f>
        <v>0</v>
      </c>
      <c r="G9" s="58">
        <f t="shared" ref="G9:G19" si="0">ROUND(E9*F9,2)</f>
        <v>0</v>
      </c>
      <c r="H9" s="259"/>
      <c r="I9" s="253">
        <v>1</v>
      </c>
      <c r="J9" s="45">
        <f>'CPIF CLIN 0001-TASK 1.01 INPUTS'!I80</f>
        <v>0</v>
      </c>
      <c r="K9" s="58">
        <f t="shared" ref="K9:K19" si="1">ROUND(I9*J9,2)</f>
        <v>0</v>
      </c>
      <c r="L9" s="259"/>
      <c r="M9" s="253">
        <v>1</v>
      </c>
      <c r="N9" s="45">
        <f>'CPIF CLIN 0001-TASK 1.01 INPUTS'!M80</f>
        <v>0</v>
      </c>
      <c r="O9" s="58">
        <f t="shared" ref="O9:O19" si="2">ROUND(M9*N9,2)</f>
        <v>0</v>
      </c>
      <c r="P9" s="4"/>
      <c r="Q9" s="253">
        <v>1</v>
      </c>
      <c r="R9" s="45">
        <f>'CPIF CLIN 0001-TASK 1.01 INPUTS'!Q80</f>
        <v>0</v>
      </c>
      <c r="S9" s="58">
        <f t="shared" ref="S9:S19" si="3">ROUND(Q9*R9,2)</f>
        <v>0</v>
      </c>
      <c r="T9" s="4"/>
      <c r="U9" s="12">
        <f t="shared" ref="U9:U19" si="4">G9+K9+O9+S9</f>
        <v>0</v>
      </c>
      <c r="V9" s="7"/>
    </row>
    <row r="10" spans="1:22" x14ac:dyDescent="0.25">
      <c r="A10" s="66">
        <v>1.02</v>
      </c>
      <c r="B10" s="64"/>
      <c r="C10" s="70" t="s">
        <v>31</v>
      </c>
      <c r="D10" s="251" t="s">
        <v>25</v>
      </c>
      <c r="E10" s="253">
        <v>1</v>
      </c>
      <c r="F10" s="45">
        <f>'CPIF CLIN 0001-TASK 1.02 INPUTS'!E78</f>
        <v>0</v>
      </c>
      <c r="G10" s="58">
        <f t="shared" si="0"/>
        <v>0</v>
      </c>
      <c r="H10" s="259"/>
      <c r="I10" s="253">
        <v>1</v>
      </c>
      <c r="J10" s="45">
        <f>'CPIF CLIN 0001-TASK 1.02 INPUTS'!I78</f>
        <v>0</v>
      </c>
      <c r="K10" s="58">
        <f t="shared" si="1"/>
        <v>0</v>
      </c>
      <c r="L10" s="259"/>
      <c r="M10" s="253">
        <v>1</v>
      </c>
      <c r="N10" s="45">
        <f>'CPIF CLIN 0001-TASK 1.02 INPUTS'!M78</f>
        <v>0</v>
      </c>
      <c r="O10" s="58">
        <f t="shared" si="2"/>
        <v>0</v>
      </c>
      <c r="P10" s="4"/>
      <c r="Q10" s="253">
        <v>1</v>
      </c>
      <c r="R10" s="45">
        <f>'CPIF CLIN 0001-TASK 1.02 INPUTS'!Q78</f>
        <v>0</v>
      </c>
      <c r="S10" s="58">
        <f t="shared" si="3"/>
        <v>0</v>
      </c>
      <c r="T10" s="4"/>
      <c r="U10" s="12">
        <f t="shared" si="4"/>
        <v>0</v>
      </c>
      <c r="V10" s="7"/>
    </row>
    <row r="11" spans="1:22" x14ac:dyDescent="0.25">
      <c r="A11" s="68">
        <v>1.03</v>
      </c>
      <c r="B11" s="38"/>
      <c r="C11" s="70" t="s">
        <v>32</v>
      </c>
      <c r="D11" s="245" t="s">
        <v>25</v>
      </c>
      <c r="E11" s="253">
        <v>1</v>
      </c>
      <c r="F11" s="45">
        <f>'CPIF CLIN 0001-TASK 1.03 INPUTS'!E78</f>
        <v>0</v>
      </c>
      <c r="G11" s="58">
        <f t="shared" si="0"/>
        <v>0</v>
      </c>
      <c r="H11" s="259"/>
      <c r="I11" s="253">
        <v>1</v>
      </c>
      <c r="J11" s="45">
        <f>'CPIF CLIN 0001-TASK 1.03 INPUTS'!I78</f>
        <v>0</v>
      </c>
      <c r="K11" s="58">
        <f t="shared" si="1"/>
        <v>0</v>
      </c>
      <c r="L11" s="259"/>
      <c r="M11" s="253">
        <v>1</v>
      </c>
      <c r="N11" s="45">
        <f>'CPIF CLIN 0001-TASK 1.03 INPUTS'!M78</f>
        <v>0</v>
      </c>
      <c r="O11" s="58">
        <f t="shared" si="2"/>
        <v>0</v>
      </c>
      <c r="P11" s="4"/>
      <c r="Q11" s="253">
        <v>1</v>
      </c>
      <c r="R11" s="45">
        <f>'CPIF CLIN 0001-TASK 1.03 INPUTS'!Q78</f>
        <v>0</v>
      </c>
      <c r="S11" s="58">
        <f t="shared" si="3"/>
        <v>0</v>
      </c>
      <c r="T11" s="4"/>
      <c r="U11" s="12">
        <f t="shared" si="4"/>
        <v>0</v>
      </c>
      <c r="V11" s="7"/>
    </row>
    <row r="12" spans="1:22" x14ac:dyDescent="0.25">
      <c r="A12" s="67">
        <v>1.04</v>
      </c>
      <c r="B12" s="11"/>
      <c r="C12" s="70" t="s">
        <v>33</v>
      </c>
      <c r="D12" s="245" t="s">
        <v>25</v>
      </c>
      <c r="E12" s="253">
        <v>1</v>
      </c>
      <c r="F12" s="45">
        <f>'CPIF CLIN 0001 TASK 1.04 INPUTS'!E78</f>
        <v>0</v>
      </c>
      <c r="G12" s="58">
        <f t="shared" si="0"/>
        <v>0</v>
      </c>
      <c r="H12" s="259"/>
      <c r="I12" s="253">
        <v>1</v>
      </c>
      <c r="J12" s="45">
        <f>'CPIF CLIN 0001 TASK 1.04 INPUTS'!I78</f>
        <v>0</v>
      </c>
      <c r="K12" s="58">
        <f t="shared" si="1"/>
        <v>0</v>
      </c>
      <c r="L12" s="259"/>
      <c r="M12" s="253">
        <v>1</v>
      </c>
      <c r="N12" s="45">
        <f>'CPIF CLIN 0001 TASK 1.04 INPUTS'!M78</f>
        <v>0</v>
      </c>
      <c r="O12" s="58">
        <f t="shared" si="2"/>
        <v>0</v>
      </c>
      <c r="P12" s="4"/>
      <c r="Q12" s="253">
        <v>1</v>
      </c>
      <c r="R12" s="45">
        <f>'CPIF CLIN 0001 TASK 1.04 INPUTS'!Q78</f>
        <v>0</v>
      </c>
      <c r="S12" s="58">
        <f t="shared" si="3"/>
        <v>0</v>
      </c>
      <c r="T12" s="4"/>
      <c r="U12" s="12">
        <f t="shared" si="4"/>
        <v>0</v>
      </c>
      <c r="V12" s="7"/>
    </row>
    <row r="13" spans="1:22" x14ac:dyDescent="0.25">
      <c r="A13" s="67">
        <v>1.05</v>
      </c>
      <c r="B13" s="11"/>
      <c r="C13" s="70" t="s">
        <v>34</v>
      </c>
      <c r="D13" s="245" t="s">
        <v>25</v>
      </c>
      <c r="E13" s="253">
        <v>1</v>
      </c>
      <c r="F13" s="45">
        <f>'CPIF CLIN 0001-TASK 1.05 INPUTS'!E78</f>
        <v>0</v>
      </c>
      <c r="G13" s="58">
        <f t="shared" si="0"/>
        <v>0</v>
      </c>
      <c r="H13" s="259"/>
      <c r="I13" s="253">
        <v>1</v>
      </c>
      <c r="J13" s="45">
        <f>'CPIF CLIN 0001-TASK 1.05 INPUTS'!I78</f>
        <v>0</v>
      </c>
      <c r="K13" s="58">
        <f t="shared" si="1"/>
        <v>0</v>
      </c>
      <c r="L13" s="259"/>
      <c r="M13" s="253">
        <v>1</v>
      </c>
      <c r="N13" s="45">
        <f>'CPIF CLIN 0001-TASK 1.05 INPUTS'!M78</f>
        <v>0</v>
      </c>
      <c r="O13" s="58">
        <f t="shared" si="2"/>
        <v>0</v>
      </c>
      <c r="P13" s="4"/>
      <c r="Q13" s="253">
        <v>1</v>
      </c>
      <c r="R13" s="45">
        <f>'CPIF CLIN 0001-TASK 1.05 INPUTS'!Q78</f>
        <v>0</v>
      </c>
      <c r="S13" s="58">
        <f t="shared" si="3"/>
        <v>0</v>
      </c>
      <c r="T13" s="4"/>
      <c r="U13" s="12">
        <f t="shared" si="4"/>
        <v>0</v>
      </c>
      <c r="V13" s="7"/>
    </row>
    <row r="14" spans="1:22" x14ac:dyDescent="0.25">
      <c r="A14" s="67">
        <v>1.06</v>
      </c>
      <c r="B14" s="11"/>
      <c r="C14" s="70" t="s">
        <v>35</v>
      </c>
      <c r="D14" s="245" t="s">
        <v>25</v>
      </c>
      <c r="E14" s="253">
        <v>1</v>
      </c>
      <c r="F14" s="45">
        <f>'CPIF CLIN 0001-TASK 1.06 INPUTS'!E78</f>
        <v>0</v>
      </c>
      <c r="G14" s="58">
        <f t="shared" si="0"/>
        <v>0</v>
      </c>
      <c r="H14" s="260"/>
      <c r="I14" s="255">
        <v>1</v>
      </c>
      <c r="J14" s="45">
        <f>'CPIF CLIN 0001-TASK 1.06 INPUTS'!I78</f>
        <v>0</v>
      </c>
      <c r="K14" s="58">
        <f t="shared" si="1"/>
        <v>0</v>
      </c>
      <c r="L14" s="260"/>
      <c r="M14" s="255">
        <v>1</v>
      </c>
      <c r="N14" s="45">
        <f>'CPIF CLIN 0001-TASK 1.06 INPUTS'!M78</f>
        <v>0</v>
      </c>
      <c r="O14" s="58">
        <f t="shared" si="2"/>
        <v>0</v>
      </c>
      <c r="P14" s="4"/>
      <c r="Q14" s="255">
        <v>1</v>
      </c>
      <c r="R14" s="45">
        <f>'CPIF CLIN 0001-TASK 1.06 INPUTS'!Q78</f>
        <v>0</v>
      </c>
      <c r="S14" s="58">
        <f t="shared" si="3"/>
        <v>0</v>
      </c>
      <c r="T14" s="4"/>
      <c r="U14" s="12">
        <f t="shared" si="4"/>
        <v>0</v>
      </c>
      <c r="V14" s="7"/>
    </row>
    <row r="15" spans="1:22" x14ac:dyDescent="0.25">
      <c r="A15" s="67">
        <v>1.07</v>
      </c>
      <c r="B15" s="11"/>
      <c r="C15" s="70" t="s">
        <v>36</v>
      </c>
      <c r="D15" s="245" t="s">
        <v>25</v>
      </c>
      <c r="E15" s="253">
        <v>1</v>
      </c>
      <c r="F15" s="45">
        <f>'CPIF CLIN 0001-TASK 1.07 INPUTS'!E78</f>
        <v>0</v>
      </c>
      <c r="G15" s="58">
        <f t="shared" si="0"/>
        <v>0</v>
      </c>
      <c r="H15" s="260"/>
      <c r="I15" s="255">
        <v>1</v>
      </c>
      <c r="J15" s="45">
        <f>'CPIF CLIN 0001-TASK 1.07 INPUTS'!I78</f>
        <v>0</v>
      </c>
      <c r="K15" s="58">
        <f t="shared" si="1"/>
        <v>0</v>
      </c>
      <c r="L15" s="260"/>
      <c r="M15" s="255">
        <v>1</v>
      </c>
      <c r="N15" s="45">
        <f>'CPIF CLIN 0001-TASK 1.07 INPUTS'!M78</f>
        <v>0</v>
      </c>
      <c r="O15" s="58">
        <f t="shared" si="2"/>
        <v>0</v>
      </c>
      <c r="P15" s="4"/>
      <c r="Q15" s="255">
        <v>1</v>
      </c>
      <c r="R15" s="45">
        <f>'CPIF CLIN 0001-TASK 1.07 INPUTS'!Q78</f>
        <v>0</v>
      </c>
      <c r="S15" s="58">
        <f t="shared" si="3"/>
        <v>0</v>
      </c>
      <c r="T15" s="4"/>
      <c r="U15" s="12">
        <f t="shared" si="4"/>
        <v>0</v>
      </c>
      <c r="V15" s="7"/>
    </row>
    <row r="16" spans="1:22" x14ac:dyDescent="0.25">
      <c r="A16" s="67">
        <v>1.08</v>
      </c>
      <c r="B16" s="11"/>
      <c r="C16" s="70" t="s">
        <v>37</v>
      </c>
      <c r="D16" s="245" t="s">
        <v>25</v>
      </c>
      <c r="E16" s="253">
        <v>1</v>
      </c>
      <c r="F16" s="45">
        <f>'CPIF CLIN 0001-TASK 1.08 INPUTS'!E78</f>
        <v>0</v>
      </c>
      <c r="G16" s="58">
        <f t="shared" si="0"/>
        <v>0</v>
      </c>
      <c r="H16" s="260"/>
      <c r="I16" s="255">
        <v>1</v>
      </c>
      <c r="J16" s="45">
        <f>'CPIF CLIN 0001-TASK 1.08 INPUTS'!I78</f>
        <v>0</v>
      </c>
      <c r="K16" s="58">
        <f t="shared" si="1"/>
        <v>0</v>
      </c>
      <c r="L16" s="260"/>
      <c r="M16" s="255">
        <v>1</v>
      </c>
      <c r="N16" s="45">
        <f>'CPIF CLIN 0001-TASK 1.08 INPUTS'!M78</f>
        <v>0</v>
      </c>
      <c r="O16" s="58">
        <f t="shared" si="2"/>
        <v>0</v>
      </c>
      <c r="P16" s="4"/>
      <c r="Q16" s="255">
        <v>1</v>
      </c>
      <c r="R16" s="45">
        <f>'CPIF CLIN 0001-TASK 1.08 INPUTS'!Q78</f>
        <v>0</v>
      </c>
      <c r="S16" s="58">
        <f t="shared" si="3"/>
        <v>0</v>
      </c>
      <c r="T16" s="4"/>
      <c r="U16" s="12">
        <f t="shared" si="4"/>
        <v>0</v>
      </c>
      <c r="V16" s="7"/>
    </row>
    <row r="17" spans="1:23" x14ac:dyDescent="0.25">
      <c r="A17" s="67">
        <v>1.0900000000000001</v>
      </c>
      <c r="B17" s="11"/>
      <c r="C17" s="70" t="s">
        <v>38</v>
      </c>
      <c r="D17" s="245" t="s">
        <v>25</v>
      </c>
      <c r="E17" s="253">
        <v>1</v>
      </c>
      <c r="F17" s="45">
        <f>'CPIF CLIN 0001-TASK 1.09 INPUTS'!E78</f>
        <v>0</v>
      </c>
      <c r="G17" s="58">
        <f t="shared" si="0"/>
        <v>0</v>
      </c>
      <c r="H17" s="260"/>
      <c r="I17" s="255">
        <v>1</v>
      </c>
      <c r="J17" s="45">
        <f>'CPIF CLIN 0001-TASK 1.09 INPUTS'!I78</f>
        <v>0</v>
      </c>
      <c r="K17" s="58">
        <f t="shared" si="1"/>
        <v>0</v>
      </c>
      <c r="L17" s="260"/>
      <c r="M17" s="255">
        <v>1</v>
      </c>
      <c r="N17" s="45">
        <f>'CPIF CLIN 0001-TASK 1.09 INPUTS'!M78</f>
        <v>0</v>
      </c>
      <c r="O17" s="58">
        <f t="shared" si="2"/>
        <v>0</v>
      </c>
      <c r="P17" s="4"/>
      <c r="Q17" s="255">
        <v>1</v>
      </c>
      <c r="R17" s="45">
        <f>'CPIF CLIN 0001-TASK 1.09 INPUTS'!Q78</f>
        <v>0</v>
      </c>
      <c r="S17" s="58">
        <f t="shared" si="3"/>
        <v>0</v>
      </c>
      <c r="T17" s="4"/>
      <c r="U17" s="12">
        <f t="shared" si="4"/>
        <v>0</v>
      </c>
      <c r="V17" s="7"/>
    </row>
    <row r="18" spans="1:23" x14ac:dyDescent="0.25">
      <c r="A18" s="69">
        <v>1.1000000000000001</v>
      </c>
      <c r="B18" s="11"/>
      <c r="C18" s="70" t="s">
        <v>304</v>
      </c>
      <c r="D18" s="245" t="s">
        <v>25</v>
      </c>
      <c r="E18" s="253">
        <v>1</v>
      </c>
      <c r="F18" s="45">
        <f>'CPIF CLIN 0001-TASK 1.10 INPUTS'!E78</f>
        <v>0</v>
      </c>
      <c r="G18" s="58">
        <f t="shared" si="0"/>
        <v>0</v>
      </c>
      <c r="H18" s="259"/>
      <c r="I18" s="253">
        <v>1</v>
      </c>
      <c r="J18" s="45">
        <f>'CPIF CLIN 0001-TASK 1.10 INPUTS'!I78</f>
        <v>0</v>
      </c>
      <c r="K18" s="58">
        <f t="shared" si="1"/>
        <v>0</v>
      </c>
      <c r="L18" s="259"/>
      <c r="M18" s="253">
        <v>1</v>
      </c>
      <c r="N18" s="45">
        <f>'CPIF CLIN 0001-TASK 1.10 INPUTS'!M78</f>
        <v>0</v>
      </c>
      <c r="O18" s="58">
        <f t="shared" si="2"/>
        <v>0</v>
      </c>
      <c r="P18" s="4"/>
      <c r="Q18" s="253">
        <v>1</v>
      </c>
      <c r="R18" s="45">
        <f>'CPIF CLIN 0001-TASK 1.10 INPUTS'!Q78</f>
        <v>0</v>
      </c>
      <c r="S18" s="58">
        <f t="shared" si="3"/>
        <v>0</v>
      </c>
      <c r="T18" s="4"/>
      <c r="U18" s="12">
        <f t="shared" si="4"/>
        <v>0</v>
      </c>
      <c r="V18" s="7"/>
    </row>
    <row r="19" spans="1:23" ht="15.75" thickBot="1" x14ac:dyDescent="0.3">
      <c r="A19" s="67">
        <v>1.1100000000000001</v>
      </c>
      <c r="B19" s="11"/>
      <c r="C19" s="70" t="s">
        <v>10</v>
      </c>
      <c r="D19" s="245" t="s">
        <v>25</v>
      </c>
      <c r="E19" s="254">
        <v>1</v>
      </c>
      <c r="F19" s="59">
        <f>'CPIF CLIN 0001-TASK 1.11 INPUTS'!E78</f>
        <v>0</v>
      </c>
      <c r="G19" s="60">
        <f t="shared" si="0"/>
        <v>0</v>
      </c>
      <c r="H19" s="250"/>
      <c r="I19" s="254">
        <v>1</v>
      </c>
      <c r="J19" s="59">
        <f>'CPIF CLIN 0001-TASK 1.11 INPUTS'!I78</f>
        <v>0</v>
      </c>
      <c r="K19" s="60">
        <f t="shared" si="1"/>
        <v>0</v>
      </c>
      <c r="L19" s="259"/>
      <c r="M19" s="254">
        <v>1</v>
      </c>
      <c r="N19" s="59">
        <f>'CPIF CLIN 0001-TASK 1.11 INPUTS'!M78</f>
        <v>0</v>
      </c>
      <c r="O19" s="60">
        <f t="shared" si="2"/>
        <v>0</v>
      </c>
      <c r="P19" s="4"/>
      <c r="Q19" s="254">
        <v>1</v>
      </c>
      <c r="R19" s="59">
        <f>'CPIF CLIN 0001-TASK 1.11 INPUTS'!Q78</f>
        <v>0</v>
      </c>
      <c r="S19" s="60">
        <f t="shared" si="3"/>
        <v>0</v>
      </c>
      <c r="T19" s="4"/>
      <c r="U19" s="12">
        <f t="shared" si="4"/>
        <v>0</v>
      </c>
      <c r="V19" s="7"/>
    </row>
    <row r="20" spans="1:23" ht="31.5" customHeight="1" thickBot="1" x14ac:dyDescent="0.3">
      <c r="A20" s="4"/>
      <c r="B20" s="14"/>
      <c r="C20" s="8"/>
      <c r="D20" s="15"/>
      <c r="E20" s="13"/>
      <c r="F20" s="257" t="s">
        <v>231</v>
      </c>
      <c r="G20" s="54">
        <f>SUM(G9:G19)</f>
        <v>0</v>
      </c>
      <c r="H20" s="15"/>
      <c r="J20" s="257" t="s">
        <v>232</v>
      </c>
      <c r="K20" s="54">
        <f>SUM(K9:K19)</f>
        <v>0</v>
      </c>
      <c r="L20" s="15"/>
      <c r="M20" s="30"/>
      <c r="N20" s="53" t="s">
        <v>233</v>
      </c>
      <c r="O20" s="256">
        <f>SUM(O9:O19)</f>
        <v>0</v>
      </c>
      <c r="P20" s="84"/>
      <c r="Q20" s="30"/>
      <c r="R20" s="53" t="s">
        <v>234</v>
      </c>
      <c r="S20" s="256">
        <f>SUM(S9:S19)</f>
        <v>0</v>
      </c>
      <c r="T20" s="84"/>
      <c r="U20" s="46">
        <f>SUM(U9:U19)</f>
        <v>0</v>
      </c>
      <c r="V20" s="47" t="s">
        <v>230</v>
      </c>
      <c r="W20" s="20"/>
    </row>
    <row r="21" spans="1:23" s="20" customFormat="1" ht="15.75" thickBot="1" x14ac:dyDescent="0.3">
      <c r="B21" s="142"/>
      <c r="C21" s="143"/>
      <c r="D21" s="22"/>
      <c r="H21" s="22"/>
      <c r="J21" s="23"/>
      <c r="K21" s="24"/>
      <c r="L21" s="22"/>
      <c r="M21" s="25"/>
      <c r="N21" s="23"/>
      <c r="O21" s="24"/>
      <c r="P21" s="249"/>
      <c r="Q21" s="249"/>
      <c r="R21" s="249"/>
      <c r="S21" s="249"/>
      <c r="T21" s="249"/>
      <c r="U21" s="25"/>
    </row>
    <row r="22" spans="1:23" s="20" customFormat="1" ht="39.75" customHeight="1" thickBot="1" x14ac:dyDescent="0.3">
      <c r="A22" s="510" t="s">
        <v>1</v>
      </c>
      <c r="B22" s="510"/>
      <c r="C22" s="510"/>
      <c r="D22" s="22"/>
      <c r="H22" s="22"/>
      <c r="J22" s="22"/>
      <c r="K22" s="27"/>
      <c r="L22" s="22"/>
      <c r="N22" s="22"/>
      <c r="O22" s="27"/>
      <c r="P22" s="247"/>
      <c r="Q22" s="247"/>
      <c r="R22" s="247"/>
      <c r="S22" s="247"/>
      <c r="T22" s="247"/>
      <c r="U22" s="46">
        <f>G20+K20+O20+S20</f>
        <v>0</v>
      </c>
      <c r="V22" s="47" t="s">
        <v>13</v>
      </c>
    </row>
    <row r="23" spans="1:23" s="20" customFormat="1" ht="27.75" customHeight="1" x14ac:dyDescent="0.25">
      <c r="A23" s="510" t="s">
        <v>1</v>
      </c>
      <c r="B23" s="510"/>
      <c r="C23" s="510"/>
      <c r="D23" s="22"/>
      <c r="H23" s="22"/>
      <c r="J23" s="22"/>
      <c r="K23" s="27"/>
      <c r="L23" s="22"/>
      <c r="N23" s="22"/>
      <c r="O23" s="27"/>
      <c r="P23" s="247"/>
      <c r="Q23" s="247"/>
      <c r="R23" s="247"/>
      <c r="S23" s="247"/>
      <c r="T23" s="247"/>
      <c r="U23" s="28">
        <f>U20-U22</f>
        <v>0</v>
      </c>
      <c r="V23" s="29" t="s">
        <v>14</v>
      </c>
    </row>
    <row r="24" spans="1:23" s="20" customFormat="1" x14ac:dyDescent="0.25">
      <c r="A24" s="26"/>
      <c r="B24" s="21"/>
      <c r="C24" s="21"/>
      <c r="D24" s="22"/>
      <c r="H24" s="22"/>
      <c r="J24" s="22"/>
      <c r="K24" s="27"/>
      <c r="L24" s="22"/>
      <c r="N24" s="22"/>
      <c r="O24" s="27"/>
      <c r="P24" s="247"/>
      <c r="Q24" s="247"/>
      <c r="R24" s="247"/>
      <c r="S24" s="247"/>
      <c r="T24" s="247"/>
    </row>
    <row r="25" spans="1:23" s="20" customFormat="1" x14ac:dyDescent="0.25">
      <c r="A25" s="26"/>
      <c r="B25" s="21"/>
      <c r="C25" s="21"/>
      <c r="D25" s="22"/>
      <c r="H25" s="22"/>
      <c r="J25" s="22"/>
      <c r="K25" s="27"/>
      <c r="L25" s="22"/>
      <c r="N25" s="22"/>
      <c r="O25" s="27"/>
      <c r="P25" s="247"/>
      <c r="Q25" s="247"/>
      <c r="R25" s="247"/>
      <c r="S25" s="247"/>
      <c r="T25" s="247"/>
    </row>
    <row r="26" spans="1:23" s="20" customFormat="1" x14ac:dyDescent="0.25">
      <c r="A26" s="26"/>
      <c r="B26" s="21"/>
      <c r="C26" s="21"/>
      <c r="D26" s="22"/>
      <c r="H26" s="22"/>
      <c r="J26" s="22"/>
      <c r="K26" s="27"/>
      <c r="L26" s="22"/>
      <c r="N26" s="22"/>
      <c r="O26" s="27"/>
      <c r="P26" s="247"/>
      <c r="Q26" s="247"/>
      <c r="R26" s="247"/>
      <c r="S26" s="247"/>
      <c r="T26" s="247"/>
    </row>
    <row r="27" spans="1:23" s="20" customFormat="1" x14ac:dyDescent="0.25">
      <c r="A27" s="26"/>
      <c r="B27" s="21"/>
      <c r="C27" s="21"/>
      <c r="D27" s="22"/>
      <c r="H27" s="22"/>
      <c r="J27" s="22"/>
      <c r="K27" s="27"/>
      <c r="L27" s="22"/>
      <c r="N27" s="22"/>
      <c r="O27" s="27"/>
      <c r="P27" s="247"/>
      <c r="Q27" s="247"/>
      <c r="R27" s="247"/>
      <c r="S27" s="247"/>
      <c r="T27" s="247"/>
    </row>
    <row r="28" spans="1:23" s="20" customFormat="1" x14ac:dyDescent="0.25">
      <c r="A28" s="26"/>
      <c r="B28" s="21"/>
      <c r="C28" s="21"/>
      <c r="D28" s="22"/>
      <c r="H28" s="22"/>
      <c r="J28" s="22"/>
      <c r="K28" s="27"/>
      <c r="L28" s="22"/>
      <c r="N28" s="22"/>
      <c r="O28" s="27"/>
      <c r="P28" s="247"/>
      <c r="Q28" s="247"/>
      <c r="R28" s="247"/>
      <c r="S28" s="247"/>
      <c r="T28" s="247"/>
    </row>
    <row r="29" spans="1:23" s="20" customFormat="1" x14ac:dyDescent="0.25">
      <c r="A29" s="26"/>
      <c r="B29" s="21"/>
      <c r="C29" s="21"/>
      <c r="D29" s="22"/>
      <c r="H29" s="22"/>
      <c r="J29" s="22"/>
      <c r="K29" s="27"/>
      <c r="L29" s="22"/>
      <c r="N29" s="22"/>
      <c r="O29" s="27"/>
      <c r="P29" s="247"/>
      <c r="Q29" s="247"/>
      <c r="R29" s="247"/>
      <c r="S29" s="247"/>
      <c r="T29" s="247"/>
    </row>
    <row r="30" spans="1:23" s="20" customFormat="1" x14ac:dyDescent="0.25">
      <c r="A30" s="26"/>
      <c r="B30" s="21"/>
      <c r="C30" s="21"/>
      <c r="D30" s="22"/>
      <c r="H30" s="22"/>
      <c r="J30" s="22"/>
      <c r="K30" s="27"/>
      <c r="L30" s="22"/>
      <c r="N30" s="22"/>
      <c r="O30" s="27"/>
      <c r="P30" s="247"/>
      <c r="Q30" s="247"/>
      <c r="R30" s="247"/>
      <c r="S30" s="247"/>
      <c r="T30" s="247"/>
    </row>
    <row r="31" spans="1:23" s="20" customFormat="1" x14ac:dyDescent="0.25">
      <c r="A31" s="26"/>
      <c r="B31" s="21"/>
      <c r="C31" s="21"/>
      <c r="D31" s="22"/>
      <c r="H31" s="22"/>
      <c r="J31" s="22"/>
      <c r="K31" s="27"/>
      <c r="L31" s="22"/>
      <c r="N31" s="22"/>
      <c r="O31" s="27"/>
      <c r="P31" s="247"/>
      <c r="Q31" s="247"/>
      <c r="R31" s="247"/>
      <c r="S31" s="247"/>
      <c r="T31" s="247"/>
    </row>
    <row r="32" spans="1:23" s="20" customFormat="1" x14ac:dyDescent="0.25">
      <c r="A32" s="26"/>
      <c r="B32" s="21"/>
      <c r="C32" s="21"/>
      <c r="D32" s="22"/>
      <c r="H32" s="22"/>
      <c r="J32" s="22"/>
      <c r="K32" s="27"/>
      <c r="L32" s="22"/>
      <c r="N32" s="22"/>
      <c r="O32" s="27"/>
      <c r="P32" s="247"/>
      <c r="Q32" s="247"/>
      <c r="R32" s="247"/>
      <c r="S32" s="247"/>
      <c r="T32" s="247"/>
    </row>
    <row r="33" spans="1:20" s="20" customFormat="1" x14ac:dyDescent="0.25">
      <c r="A33" s="26"/>
      <c r="B33" s="21"/>
      <c r="C33" s="21"/>
      <c r="D33" s="22"/>
      <c r="H33" s="22"/>
      <c r="J33" s="22"/>
      <c r="K33" s="27"/>
      <c r="L33" s="22"/>
      <c r="N33" s="22"/>
      <c r="O33" s="27"/>
      <c r="P33" s="247"/>
      <c r="Q33" s="247"/>
      <c r="R33" s="247"/>
      <c r="S33" s="247"/>
      <c r="T33" s="247"/>
    </row>
    <row r="34" spans="1:20" s="20" customFormat="1" x14ac:dyDescent="0.25">
      <c r="A34" s="26"/>
      <c r="B34" s="21"/>
      <c r="C34" s="21"/>
      <c r="D34" s="22"/>
      <c r="H34" s="22"/>
      <c r="J34" s="22"/>
      <c r="K34" s="27"/>
      <c r="L34" s="22"/>
      <c r="N34" s="22"/>
      <c r="O34" s="27"/>
      <c r="P34" s="247"/>
      <c r="Q34" s="247"/>
      <c r="R34" s="247"/>
      <c r="S34" s="247"/>
      <c r="T34" s="247"/>
    </row>
    <row r="35" spans="1:20" s="20" customFormat="1" x14ac:dyDescent="0.25">
      <c r="A35" s="26"/>
      <c r="B35" s="21"/>
      <c r="C35" s="21"/>
      <c r="D35" s="22"/>
      <c r="H35" s="22"/>
      <c r="J35" s="22"/>
      <c r="K35" s="27"/>
      <c r="L35" s="22"/>
      <c r="N35" s="22"/>
      <c r="O35" s="27"/>
      <c r="P35" s="247"/>
      <c r="Q35" s="247"/>
      <c r="R35" s="247"/>
      <c r="S35" s="247"/>
      <c r="T35" s="247"/>
    </row>
    <row r="36" spans="1:20" s="20" customFormat="1" x14ac:dyDescent="0.25">
      <c r="A36" s="26"/>
      <c r="B36" s="21"/>
      <c r="C36" s="21"/>
      <c r="D36" s="22"/>
      <c r="H36" s="22"/>
      <c r="J36" s="22"/>
      <c r="K36" s="27"/>
      <c r="L36" s="22"/>
      <c r="N36" s="22"/>
      <c r="O36" s="27"/>
      <c r="P36" s="247"/>
      <c r="Q36" s="247"/>
      <c r="R36" s="247"/>
      <c r="S36" s="247"/>
      <c r="T36" s="247"/>
    </row>
    <row r="37" spans="1:20" s="20" customFormat="1" x14ac:dyDescent="0.25">
      <c r="A37" s="26"/>
      <c r="B37" s="21"/>
      <c r="C37" s="21"/>
      <c r="D37" s="22"/>
      <c r="H37" s="22"/>
      <c r="J37" s="22"/>
      <c r="K37" s="27"/>
      <c r="L37" s="22"/>
      <c r="N37" s="22"/>
      <c r="O37" s="27"/>
      <c r="P37" s="247"/>
      <c r="Q37" s="247"/>
      <c r="R37" s="247"/>
      <c r="S37" s="247"/>
      <c r="T37" s="247"/>
    </row>
    <row r="38" spans="1:20" s="20" customFormat="1" x14ac:dyDescent="0.25">
      <c r="A38" s="26"/>
      <c r="B38" s="21"/>
      <c r="C38" s="21"/>
      <c r="D38" s="22"/>
      <c r="H38" s="22"/>
      <c r="J38" s="22"/>
      <c r="K38" s="27"/>
      <c r="L38" s="22"/>
      <c r="N38" s="22"/>
      <c r="O38" s="27"/>
      <c r="P38" s="247"/>
      <c r="Q38" s="247"/>
      <c r="R38" s="247"/>
      <c r="S38" s="247"/>
      <c r="T38" s="247"/>
    </row>
    <row r="39" spans="1:20" s="20" customFormat="1" x14ac:dyDescent="0.25">
      <c r="A39" s="26"/>
      <c r="B39" s="21"/>
      <c r="C39" s="21"/>
      <c r="D39" s="22"/>
      <c r="H39" s="22"/>
      <c r="J39" s="22"/>
      <c r="K39" s="27"/>
      <c r="L39" s="22"/>
      <c r="N39" s="22"/>
      <c r="O39" s="27"/>
      <c r="P39" s="247"/>
      <c r="Q39" s="247"/>
      <c r="R39" s="247"/>
      <c r="S39" s="247"/>
      <c r="T39" s="247"/>
    </row>
    <row r="40" spans="1:20" s="20" customFormat="1" x14ac:dyDescent="0.25">
      <c r="A40" s="26"/>
      <c r="B40" s="21"/>
      <c r="C40" s="21"/>
      <c r="D40" s="22"/>
      <c r="H40" s="22"/>
      <c r="J40" s="22"/>
      <c r="K40" s="27"/>
      <c r="L40" s="22"/>
      <c r="N40" s="22"/>
      <c r="O40" s="27"/>
      <c r="P40" s="247"/>
      <c r="Q40" s="247"/>
      <c r="R40" s="247"/>
      <c r="S40" s="247"/>
      <c r="T40" s="247"/>
    </row>
    <row r="41" spans="1:20" s="20" customFormat="1" x14ac:dyDescent="0.25">
      <c r="A41" s="26"/>
      <c r="B41" s="21"/>
      <c r="C41" s="21"/>
      <c r="D41" s="22"/>
      <c r="H41" s="22"/>
      <c r="J41" s="22"/>
      <c r="K41" s="27"/>
      <c r="L41" s="22"/>
      <c r="N41" s="22"/>
      <c r="O41" s="27"/>
      <c r="P41" s="247"/>
      <c r="Q41" s="247"/>
      <c r="R41" s="247"/>
      <c r="S41" s="247"/>
      <c r="T41" s="247"/>
    </row>
    <row r="42" spans="1:20" s="20" customFormat="1" x14ac:dyDescent="0.25">
      <c r="A42" s="26"/>
      <c r="B42" s="21"/>
      <c r="C42" s="21"/>
      <c r="D42" s="22"/>
      <c r="H42" s="22"/>
      <c r="J42" s="22"/>
      <c r="K42" s="27"/>
      <c r="L42" s="22"/>
      <c r="N42" s="22"/>
      <c r="O42" s="27"/>
      <c r="P42" s="247"/>
      <c r="Q42" s="247"/>
      <c r="R42" s="247"/>
      <c r="S42" s="247"/>
      <c r="T42" s="247"/>
    </row>
    <row r="43" spans="1:20" s="20" customFormat="1" x14ac:dyDescent="0.25">
      <c r="A43" s="26"/>
      <c r="B43" s="21"/>
      <c r="C43" s="21"/>
      <c r="D43" s="22"/>
      <c r="H43" s="22"/>
      <c r="J43" s="22"/>
      <c r="K43" s="27"/>
      <c r="L43" s="22"/>
      <c r="N43" s="22"/>
      <c r="O43" s="27"/>
      <c r="P43" s="247"/>
      <c r="Q43" s="247"/>
      <c r="R43" s="247"/>
      <c r="S43" s="247"/>
      <c r="T43" s="247"/>
    </row>
    <row r="44" spans="1:20" s="20" customFormat="1" x14ac:dyDescent="0.25">
      <c r="A44" s="26"/>
      <c r="B44" s="21"/>
      <c r="C44" s="21"/>
      <c r="D44" s="22"/>
      <c r="H44" s="22"/>
      <c r="J44" s="22"/>
      <c r="K44" s="27"/>
      <c r="L44" s="22"/>
      <c r="N44" s="22"/>
      <c r="O44" s="27"/>
      <c r="P44" s="247"/>
      <c r="Q44" s="247"/>
      <c r="R44" s="247"/>
      <c r="S44" s="247"/>
      <c r="T44" s="247"/>
    </row>
    <row r="45" spans="1:20" s="20" customFormat="1" x14ac:dyDescent="0.25">
      <c r="A45" s="26"/>
      <c r="B45" s="21"/>
      <c r="C45" s="21"/>
      <c r="D45" s="22"/>
      <c r="H45" s="22"/>
      <c r="J45" s="22"/>
      <c r="K45" s="27"/>
      <c r="L45" s="22"/>
      <c r="N45" s="22"/>
      <c r="O45" s="27"/>
      <c r="P45" s="247"/>
      <c r="Q45" s="247"/>
      <c r="R45" s="247"/>
      <c r="S45" s="247"/>
      <c r="T45" s="247"/>
    </row>
    <row r="46" spans="1:20" s="20" customFormat="1" x14ac:dyDescent="0.25">
      <c r="A46" s="26"/>
      <c r="B46" s="21"/>
      <c r="C46" s="21"/>
      <c r="D46" s="22"/>
      <c r="H46" s="22"/>
      <c r="J46" s="22"/>
      <c r="K46" s="27"/>
      <c r="L46" s="22"/>
      <c r="N46" s="22"/>
      <c r="O46" s="27"/>
      <c r="P46" s="247"/>
      <c r="Q46" s="247"/>
      <c r="R46" s="247"/>
      <c r="S46" s="247"/>
      <c r="T46" s="247"/>
    </row>
    <row r="47" spans="1:20" s="20" customFormat="1" x14ac:dyDescent="0.25">
      <c r="A47" s="26"/>
      <c r="B47" s="21"/>
      <c r="C47" s="21"/>
      <c r="D47" s="22"/>
      <c r="H47" s="22"/>
      <c r="J47" s="22"/>
      <c r="K47" s="27"/>
      <c r="L47" s="22"/>
      <c r="N47" s="22"/>
      <c r="O47" s="27"/>
      <c r="P47" s="247"/>
      <c r="Q47" s="247"/>
      <c r="R47" s="247"/>
      <c r="S47" s="247"/>
      <c r="T47" s="247"/>
    </row>
    <row r="48" spans="1:20" s="20" customFormat="1" x14ac:dyDescent="0.25">
      <c r="A48" s="26"/>
      <c r="B48" s="21"/>
      <c r="C48" s="21"/>
      <c r="D48" s="22"/>
      <c r="H48" s="22"/>
      <c r="J48" s="22"/>
      <c r="K48" s="27"/>
      <c r="L48" s="22"/>
      <c r="N48" s="22"/>
      <c r="O48" s="27"/>
      <c r="P48" s="247"/>
      <c r="Q48" s="247"/>
      <c r="R48" s="247"/>
      <c r="S48" s="247"/>
      <c r="T48" s="247"/>
    </row>
    <row r="49" spans="1:20" s="20" customFormat="1" x14ac:dyDescent="0.25">
      <c r="A49" s="26"/>
      <c r="B49" s="21"/>
      <c r="C49" s="21"/>
      <c r="D49" s="22"/>
      <c r="H49" s="22"/>
      <c r="J49" s="22"/>
      <c r="K49" s="27"/>
      <c r="L49" s="22"/>
      <c r="N49" s="22"/>
      <c r="O49" s="27"/>
      <c r="P49" s="247"/>
      <c r="Q49" s="247"/>
      <c r="R49" s="247"/>
      <c r="S49" s="247"/>
      <c r="T49" s="247"/>
    </row>
    <row r="50" spans="1:20" s="20" customFormat="1" x14ac:dyDescent="0.25">
      <c r="A50" s="26"/>
      <c r="B50" s="21"/>
      <c r="C50" s="21"/>
      <c r="D50" s="22"/>
      <c r="H50" s="22"/>
      <c r="J50" s="22"/>
      <c r="K50" s="27"/>
      <c r="L50" s="22"/>
      <c r="N50" s="22"/>
      <c r="O50" s="27"/>
      <c r="P50" s="247"/>
      <c r="Q50" s="247"/>
      <c r="R50" s="247"/>
      <c r="S50" s="247"/>
      <c r="T50" s="247"/>
    </row>
    <row r="51" spans="1:20" s="20" customFormat="1" x14ac:dyDescent="0.25">
      <c r="A51" s="26"/>
      <c r="B51" s="21"/>
      <c r="C51" s="21"/>
      <c r="D51" s="22"/>
      <c r="H51" s="22"/>
      <c r="J51" s="22"/>
      <c r="K51" s="27"/>
      <c r="L51" s="22"/>
      <c r="N51" s="22"/>
      <c r="O51" s="27"/>
      <c r="P51" s="247"/>
      <c r="Q51" s="247"/>
      <c r="R51" s="247"/>
      <c r="S51" s="247"/>
      <c r="T51" s="247"/>
    </row>
    <row r="52" spans="1:20" s="20" customFormat="1" x14ac:dyDescent="0.25">
      <c r="A52" s="26"/>
      <c r="B52" s="21"/>
      <c r="C52" s="21"/>
      <c r="D52" s="22"/>
      <c r="H52" s="22"/>
      <c r="J52" s="22"/>
      <c r="K52" s="27"/>
      <c r="L52" s="22"/>
      <c r="N52" s="22"/>
      <c r="O52" s="27"/>
      <c r="P52" s="247"/>
      <c r="Q52" s="247"/>
      <c r="R52" s="247"/>
      <c r="S52" s="247"/>
      <c r="T52" s="247"/>
    </row>
    <row r="53" spans="1:20" s="20" customFormat="1" x14ac:dyDescent="0.25">
      <c r="A53" s="26"/>
      <c r="B53" s="21"/>
      <c r="C53" s="21"/>
      <c r="D53" s="22"/>
      <c r="H53" s="22"/>
      <c r="J53" s="22"/>
      <c r="K53" s="27"/>
      <c r="L53" s="22"/>
      <c r="N53" s="22"/>
      <c r="O53" s="27"/>
      <c r="P53" s="247"/>
      <c r="Q53" s="247"/>
      <c r="R53" s="247"/>
      <c r="S53" s="247"/>
      <c r="T53" s="247"/>
    </row>
    <row r="54" spans="1:20" s="20" customFormat="1" x14ac:dyDescent="0.25">
      <c r="A54" s="26"/>
      <c r="B54" s="21"/>
      <c r="C54" s="21"/>
      <c r="D54" s="22"/>
      <c r="H54" s="22"/>
      <c r="J54" s="22"/>
      <c r="K54" s="27"/>
      <c r="L54" s="22"/>
      <c r="N54" s="22"/>
      <c r="O54" s="27"/>
      <c r="P54" s="247"/>
      <c r="Q54" s="247"/>
      <c r="R54" s="247"/>
      <c r="S54" s="247"/>
      <c r="T54" s="247"/>
    </row>
    <row r="55" spans="1:20" s="20" customFormat="1" x14ac:dyDescent="0.25">
      <c r="A55" s="26"/>
      <c r="B55" s="21"/>
      <c r="C55" s="21"/>
      <c r="D55" s="22"/>
      <c r="H55" s="22"/>
      <c r="J55" s="22"/>
      <c r="K55" s="27"/>
      <c r="L55" s="22"/>
      <c r="N55" s="22"/>
      <c r="O55" s="27"/>
      <c r="P55" s="247"/>
      <c r="Q55" s="247"/>
      <c r="R55" s="247"/>
      <c r="S55" s="247"/>
      <c r="T55" s="247"/>
    </row>
    <row r="56" spans="1:20" s="20" customFormat="1" x14ac:dyDescent="0.25">
      <c r="A56" s="26"/>
      <c r="B56" s="21"/>
      <c r="C56" s="21"/>
      <c r="D56" s="22"/>
      <c r="H56" s="22"/>
      <c r="J56" s="22"/>
      <c r="K56" s="27"/>
      <c r="L56" s="22"/>
      <c r="N56" s="22"/>
      <c r="O56" s="27"/>
      <c r="P56" s="247"/>
      <c r="Q56" s="247"/>
      <c r="R56" s="247"/>
      <c r="S56" s="247"/>
      <c r="T56" s="247"/>
    </row>
    <row r="57" spans="1:20" s="20" customFormat="1" x14ac:dyDescent="0.25">
      <c r="A57" s="26"/>
      <c r="B57" s="21"/>
      <c r="C57" s="21"/>
      <c r="D57" s="22"/>
      <c r="H57" s="22"/>
      <c r="J57" s="22"/>
      <c r="K57" s="27"/>
      <c r="L57" s="22"/>
      <c r="N57" s="22"/>
      <c r="O57" s="27"/>
      <c r="P57" s="247"/>
      <c r="Q57" s="247"/>
      <c r="R57" s="247"/>
      <c r="S57" s="247"/>
      <c r="T57" s="247"/>
    </row>
    <row r="58" spans="1:20" s="20" customFormat="1" x14ac:dyDescent="0.25">
      <c r="A58" s="26"/>
      <c r="B58" s="21"/>
      <c r="C58" s="21"/>
      <c r="D58" s="22"/>
      <c r="H58" s="22"/>
      <c r="J58" s="22"/>
      <c r="K58" s="27"/>
      <c r="L58" s="22"/>
      <c r="N58" s="22"/>
      <c r="O58" s="27"/>
      <c r="P58" s="247"/>
      <c r="Q58" s="247"/>
      <c r="R58" s="247"/>
      <c r="S58" s="247"/>
      <c r="T58" s="247"/>
    </row>
    <row r="59" spans="1:20" s="20" customFormat="1" x14ac:dyDescent="0.25">
      <c r="A59" s="26"/>
      <c r="B59" s="21"/>
      <c r="C59" s="21"/>
      <c r="D59" s="22"/>
      <c r="H59" s="22"/>
      <c r="J59" s="22"/>
      <c r="K59" s="27"/>
      <c r="L59" s="22"/>
      <c r="N59" s="22"/>
      <c r="O59" s="27"/>
      <c r="P59" s="247"/>
      <c r="Q59" s="247"/>
      <c r="R59" s="247"/>
      <c r="S59" s="247"/>
      <c r="T59" s="247"/>
    </row>
    <row r="60" spans="1:20" s="20" customFormat="1" x14ac:dyDescent="0.25">
      <c r="A60" s="26"/>
      <c r="B60" s="21"/>
      <c r="C60" s="21"/>
      <c r="D60" s="22"/>
      <c r="H60" s="22"/>
      <c r="J60" s="22"/>
      <c r="K60" s="27"/>
      <c r="L60" s="22"/>
      <c r="N60" s="22"/>
      <c r="O60" s="27"/>
      <c r="P60" s="247"/>
      <c r="Q60" s="247"/>
      <c r="R60" s="247"/>
      <c r="S60" s="247"/>
      <c r="T60" s="247"/>
    </row>
    <row r="61" spans="1:20" s="20" customFormat="1" x14ac:dyDescent="0.25">
      <c r="A61" s="26"/>
      <c r="B61" s="21"/>
      <c r="C61" s="21"/>
      <c r="D61" s="22"/>
      <c r="H61" s="22"/>
      <c r="J61" s="22"/>
      <c r="K61" s="27"/>
      <c r="L61" s="22"/>
      <c r="N61" s="22"/>
      <c r="O61" s="27"/>
      <c r="P61" s="247"/>
      <c r="Q61" s="247"/>
      <c r="R61" s="247"/>
      <c r="S61" s="247"/>
      <c r="T61" s="247"/>
    </row>
    <row r="62" spans="1:20" s="20" customFormat="1" x14ac:dyDescent="0.25">
      <c r="A62" s="26"/>
      <c r="B62" s="21"/>
      <c r="C62" s="21"/>
      <c r="D62" s="22"/>
      <c r="H62" s="22"/>
      <c r="J62" s="22"/>
      <c r="K62" s="27"/>
      <c r="L62" s="22"/>
      <c r="N62" s="22"/>
      <c r="O62" s="27"/>
      <c r="P62" s="247"/>
      <c r="Q62" s="247"/>
      <c r="R62" s="247"/>
      <c r="S62" s="247"/>
      <c r="T62" s="247"/>
    </row>
    <row r="63" spans="1:20" s="20" customFormat="1" x14ac:dyDescent="0.25">
      <c r="A63" s="26"/>
      <c r="B63" s="21"/>
      <c r="C63" s="21"/>
      <c r="D63" s="22"/>
      <c r="H63" s="22"/>
      <c r="J63" s="22"/>
      <c r="K63" s="27"/>
      <c r="L63" s="22"/>
      <c r="N63" s="22"/>
      <c r="O63" s="27"/>
      <c r="P63" s="247"/>
      <c r="Q63" s="247"/>
      <c r="R63" s="247"/>
      <c r="S63" s="247"/>
      <c r="T63" s="247"/>
    </row>
    <row r="64" spans="1:20" s="20" customFormat="1" x14ac:dyDescent="0.25">
      <c r="A64" s="26"/>
      <c r="B64" s="21"/>
      <c r="C64" s="21"/>
      <c r="D64" s="22"/>
      <c r="H64" s="22"/>
      <c r="J64" s="22"/>
      <c r="K64" s="27"/>
      <c r="L64" s="22"/>
      <c r="N64" s="22"/>
      <c r="O64" s="27"/>
      <c r="P64" s="247"/>
      <c r="Q64" s="247"/>
      <c r="R64" s="247"/>
      <c r="S64" s="247"/>
      <c r="T64" s="247"/>
    </row>
    <row r="65" spans="1:20" s="20" customFormat="1" x14ac:dyDescent="0.25">
      <c r="A65" s="26"/>
      <c r="B65" s="21"/>
      <c r="C65" s="21"/>
      <c r="D65" s="22"/>
      <c r="H65" s="22"/>
      <c r="J65" s="22"/>
      <c r="K65" s="27"/>
      <c r="L65" s="22"/>
      <c r="N65" s="22"/>
      <c r="O65" s="27"/>
      <c r="P65" s="247"/>
      <c r="Q65" s="247"/>
      <c r="R65" s="247"/>
      <c r="S65" s="247"/>
      <c r="T65" s="247"/>
    </row>
    <row r="66" spans="1:20" s="20" customFormat="1" x14ac:dyDescent="0.25">
      <c r="A66" s="26"/>
      <c r="B66" s="21"/>
      <c r="C66" s="21"/>
      <c r="D66" s="22"/>
      <c r="H66" s="22"/>
      <c r="J66" s="22"/>
      <c r="K66" s="27"/>
      <c r="L66" s="22"/>
      <c r="N66" s="22"/>
      <c r="O66" s="27"/>
      <c r="P66" s="247"/>
      <c r="Q66" s="247"/>
      <c r="R66" s="247"/>
      <c r="S66" s="247"/>
      <c r="T66" s="247"/>
    </row>
    <row r="67" spans="1:20" s="20" customFormat="1" x14ac:dyDescent="0.25">
      <c r="A67" s="26"/>
      <c r="B67" s="21"/>
      <c r="C67" s="21"/>
      <c r="D67" s="22"/>
      <c r="H67" s="22"/>
      <c r="J67" s="22"/>
      <c r="K67" s="27"/>
      <c r="L67" s="22"/>
      <c r="N67" s="22"/>
      <c r="O67" s="27"/>
      <c r="P67" s="247"/>
      <c r="Q67" s="247"/>
      <c r="R67" s="247"/>
      <c r="S67" s="247"/>
      <c r="T67" s="247"/>
    </row>
    <row r="68" spans="1:20" s="20" customFormat="1" x14ac:dyDescent="0.25">
      <c r="A68" s="26"/>
      <c r="B68" s="21"/>
      <c r="C68" s="21"/>
      <c r="D68" s="22"/>
      <c r="H68" s="22"/>
      <c r="J68" s="22"/>
      <c r="K68" s="27"/>
      <c r="L68" s="22"/>
      <c r="N68" s="22"/>
      <c r="O68" s="27"/>
      <c r="P68" s="247"/>
      <c r="Q68" s="247"/>
      <c r="R68" s="247"/>
      <c r="S68" s="247"/>
      <c r="T68" s="247"/>
    </row>
    <row r="69" spans="1:20" s="20" customFormat="1" x14ac:dyDescent="0.25">
      <c r="A69" s="26"/>
      <c r="B69" s="21"/>
      <c r="C69" s="21"/>
      <c r="D69" s="22"/>
      <c r="H69" s="22"/>
      <c r="J69" s="22"/>
      <c r="K69" s="27"/>
      <c r="L69" s="22"/>
      <c r="N69" s="22"/>
      <c r="O69" s="27"/>
      <c r="P69" s="247"/>
      <c r="Q69" s="247"/>
      <c r="R69" s="247"/>
      <c r="S69" s="247"/>
      <c r="T69" s="247"/>
    </row>
    <row r="70" spans="1:20" s="20" customFormat="1" x14ac:dyDescent="0.25">
      <c r="A70" s="26"/>
      <c r="B70" s="21"/>
      <c r="C70" s="21"/>
      <c r="D70" s="22"/>
      <c r="H70" s="22"/>
      <c r="J70" s="22"/>
      <c r="K70" s="27"/>
      <c r="L70" s="22"/>
      <c r="N70" s="22"/>
      <c r="O70" s="27"/>
      <c r="P70" s="247"/>
      <c r="Q70" s="247"/>
      <c r="R70" s="247"/>
      <c r="S70" s="247"/>
      <c r="T70" s="247"/>
    </row>
    <row r="71" spans="1:20" s="20" customFormat="1" x14ac:dyDescent="0.25">
      <c r="A71" s="26"/>
      <c r="B71" s="21"/>
      <c r="C71" s="21"/>
      <c r="D71" s="22"/>
      <c r="H71" s="22"/>
      <c r="J71" s="22"/>
      <c r="K71" s="27"/>
      <c r="L71" s="22"/>
      <c r="N71" s="22"/>
      <c r="O71" s="27"/>
      <c r="P71" s="247"/>
      <c r="Q71" s="247"/>
      <c r="R71" s="247"/>
      <c r="S71" s="247"/>
      <c r="T71" s="247"/>
    </row>
    <row r="72" spans="1:20" s="20" customFormat="1" x14ac:dyDescent="0.25">
      <c r="A72" s="26"/>
      <c r="B72" s="21"/>
      <c r="C72" s="21"/>
      <c r="D72" s="22"/>
      <c r="H72" s="22"/>
      <c r="J72" s="22"/>
      <c r="K72" s="27"/>
      <c r="L72" s="22"/>
      <c r="N72" s="22"/>
      <c r="O72" s="27"/>
      <c r="P72" s="247"/>
      <c r="Q72" s="247"/>
      <c r="R72" s="247"/>
      <c r="S72" s="247"/>
      <c r="T72" s="247"/>
    </row>
    <row r="73" spans="1:20" s="20" customFormat="1" x14ac:dyDescent="0.25">
      <c r="A73" s="26"/>
      <c r="B73" s="21"/>
      <c r="C73" s="21"/>
      <c r="D73" s="22"/>
      <c r="H73" s="22"/>
      <c r="J73" s="22"/>
      <c r="K73" s="27"/>
      <c r="L73" s="22"/>
      <c r="N73" s="22"/>
      <c r="O73" s="27"/>
      <c r="P73" s="247"/>
      <c r="Q73" s="247"/>
      <c r="R73" s="247"/>
      <c r="S73" s="247"/>
      <c r="T73" s="247"/>
    </row>
    <row r="74" spans="1:20" s="20" customFormat="1" x14ac:dyDescent="0.25">
      <c r="A74" s="26"/>
      <c r="B74" s="21"/>
      <c r="C74" s="21"/>
      <c r="D74" s="22"/>
      <c r="H74" s="22"/>
      <c r="J74" s="22"/>
      <c r="K74" s="27"/>
      <c r="L74" s="22"/>
      <c r="N74" s="22"/>
      <c r="O74" s="27"/>
      <c r="P74" s="247"/>
      <c r="Q74" s="247"/>
      <c r="R74" s="247"/>
      <c r="S74" s="247"/>
      <c r="T74" s="247"/>
    </row>
    <row r="75" spans="1:20" s="20" customFormat="1" x14ac:dyDescent="0.25">
      <c r="A75" s="26"/>
      <c r="B75" s="21"/>
      <c r="C75" s="21"/>
      <c r="D75" s="22"/>
      <c r="H75" s="22"/>
      <c r="J75" s="22"/>
      <c r="K75" s="27"/>
      <c r="L75" s="22"/>
      <c r="N75" s="22"/>
      <c r="O75" s="27"/>
      <c r="P75" s="247"/>
      <c r="Q75" s="247"/>
      <c r="R75" s="247"/>
      <c r="S75" s="247"/>
      <c r="T75" s="247"/>
    </row>
    <row r="76" spans="1:20" s="20" customFormat="1" x14ac:dyDescent="0.25">
      <c r="A76" s="26"/>
      <c r="B76" s="21"/>
      <c r="C76" s="21"/>
      <c r="D76" s="22"/>
      <c r="H76" s="22"/>
      <c r="J76" s="22"/>
      <c r="K76" s="27"/>
      <c r="L76" s="22"/>
      <c r="N76" s="22"/>
      <c r="O76" s="27"/>
      <c r="P76" s="247"/>
      <c r="Q76" s="247"/>
      <c r="R76" s="247"/>
      <c r="S76" s="247"/>
      <c r="T76" s="247"/>
    </row>
    <row r="77" spans="1:20" s="20" customFormat="1" x14ac:dyDescent="0.25">
      <c r="A77" s="26"/>
      <c r="B77" s="21"/>
      <c r="C77" s="21"/>
      <c r="D77" s="22"/>
      <c r="H77" s="22"/>
      <c r="J77" s="22"/>
      <c r="K77" s="27"/>
      <c r="L77" s="22"/>
      <c r="N77" s="22"/>
      <c r="O77" s="27"/>
      <c r="P77" s="247"/>
      <c r="Q77" s="247"/>
      <c r="R77" s="247"/>
      <c r="S77" s="247"/>
      <c r="T77" s="247"/>
    </row>
    <row r="78" spans="1:20" s="20" customFormat="1" x14ac:dyDescent="0.25">
      <c r="A78" s="26"/>
      <c r="B78" s="21"/>
      <c r="C78" s="21"/>
      <c r="D78" s="22"/>
      <c r="H78" s="22"/>
      <c r="J78" s="22"/>
      <c r="K78" s="27"/>
      <c r="L78" s="22"/>
      <c r="N78" s="22"/>
      <c r="O78" s="27"/>
      <c r="P78" s="247"/>
      <c r="Q78" s="247"/>
      <c r="R78" s="247"/>
      <c r="S78" s="247"/>
      <c r="T78" s="247"/>
    </row>
    <row r="79" spans="1:20" s="20" customFormat="1" x14ac:dyDescent="0.25">
      <c r="A79" s="26"/>
      <c r="B79" s="21"/>
      <c r="C79" s="21"/>
      <c r="D79" s="22"/>
      <c r="H79" s="22"/>
      <c r="J79" s="22"/>
      <c r="K79" s="27"/>
      <c r="L79" s="22"/>
      <c r="N79" s="22"/>
      <c r="O79" s="27"/>
      <c r="P79" s="247"/>
      <c r="Q79" s="247"/>
      <c r="R79" s="247"/>
      <c r="S79" s="247"/>
      <c r="T79" s="247"/>
    </row>
    <row r="80" spans="1:20" s="20" customFormat="1" x14ac:dyDescent="0.25">
      <c r="A80" s="26"/>
      <c r="B80" s="21"/>
      <c r="C80" s="21"/>
      <c r="D80" s="22"/>
      <c r="H80" s="22"/>
      <c r="J80" s="22"/>
      <c r="K80" s="27"/>
      <c r="L80" s="22"/>
      <c r="N80" s="22"/>
      <c r="O80" s="27"/>
      <c r="P80" s="247"/>
      <c r="Q80" s="247"/>
      <c r="R80" s="247"/>
      <c r="S80" s="247"/>
      <c r="T80" s="247"/>
    </row>
    <row r="81" spans="1:20" s="20" customFormat="1" x14ac:dyDescent="0.25">
      <c r="A81" s="26"/>
      <c r="B81" s="21"/>
      <c r="C81" s="21"/>
      <c r="D81" s="22"/>
      <c r="H81" s="22"/>
      <c r="J81" s="22"/>
      <c r="K81" s="27"/>
      <c r="L81" s="22"/>
      <c r="N81" s="22"/>
      <c r="O81" s="27"/>
      <c r="P81" s="247"/>
      <c r="Q81" s="247"/>
      <c r="R81" s="247"/>
      <c r="S81" s="247"/>
      <c r="T81" s="247"/>
    </row>
    <row r="82" spans="1:20" s="20" customFormat="1" x14ac:dyDescent="0.25">
      <c r="A82" s="26"/>
      <c r="B82" s="21"/>
      <c r="C82" s="21"/>
      <c r="D82" s="22"/>
      <c r="H82" s="22"/>
      <c r="J82" s="22"/>
      <c r="K82" s="27"/>
      <c r="L82" s="22"/>
      <c r="N82" s="22"/>
      <c r="O82" s="27"/>
      <c r="P82" s="247"/>
      <c r="Q82" s="247"/>
      <c r="R82" s="247"/>
      <c r="S82" s="247"/>
      <c r="T82" s="247"/>
    </row>
    <row r="83" spans="1:20" s="20" customFormat="1" x14ac:dyDescent="0.25">
      <c r="A83" s="26"/>
      <c r="B83" s="21"/>
      <c r="C83" s="21"/>
      <c r="D83" s="22"/>
      <c r="H83" s="22"/>
      <c r="J83" s="22"/>
      <c r="K83" s="27"/>
      <c r="L83" s="22"/>
      <c r="N83" s="22"/>
      <c r="O83" s="27"/>
      <c r="P83" s="247"/>
      <c r="Q83" s="247"/>
      <c r="R83" s="247"/>
      <c r="S83" s="247"/>
      <c r="T83" s="247"/>
    </row>
    <row r="84" spans="1:20" s="20" customFormat="1" x14ac:dyDescent="0.25">
      <c r="A84" s="26"/>
      <c r="B84" s="21"/>
      <c r="C84" s="21"/>
      <c r="D84" s="22"/>
      <c r="H84" s="22"/>
      <c r="J84" s="22"/>
      <c r="K84" s="27"/>
      <c r="L84" s="22"/>
      <c r="N84" s="22"/>
      <c r="O84" s="27"/>
      <c r="P84" s="247"/>
      <c r="Q84" s="247"/>
      <c r="R84" s="247"/>
      <c r="S84" s="247"/>
      <c r="T84" s="247"/>
    </row>
    <row r="85" spans="1:20" s="20" customFormat="1" x14ac:dyDescent="0.25">
      <c r="A85" s="26"/>
      <c r="B85" s="21"/>
      <c r="C85" s="21"/>
      <c r="D85" s="22"/>
      <c r="H85" s="22"/>
      <c r="J85" s="22"/>
      <c r="K85" s="27"/>
      <c r="L85" s="22"/>
      <c r="N85" s="22"/>
      <c r="O85" s="27"/>
      <c r="P85" s="247"/>
      <c r="Q85" s="247"/>
      <c r="R85" s="247"/>
      <c r="S85" s="247"/>
      <c r="T85" s="247"/>
    </row>
    <row r="86" spans="1:20" s="20" customFormat="1" x14ac:dyDescent="0.25">
      <c r="A86" s="26"/>
      <c r="B86" s="21"/>
      <c r="C86" s="21"/>
      <c r="D86" s="22"/>
      <c r="H86" s="22"/>
      <c r="J86" s="22"/>
      <c r="K86" s="27"/>
      <c r="L86" s="22"/>
      <c r="N86" s="22"/>
      <c r="O86" s="27"/>
      <c r="P86" s="247"/>
      <c r="Q86" s="247"/>
      <c r="R86" s="247"/>
      <c r="S86" s="247"/>
      <c r="T86" s="247"/>
    </row>
    <row r="87" spans="1:20" s="20" customFormat="1" x14ac:dyDescent="0.25">
      <c r="A87" s="26"/>
      <c r="B87" s="21"/>
      <c r="C87" s="21"/>
      <c r="D87" s="22"/>
      <c r="H87" s="22"/>
      <c r="J87" s="22"/>
      <c r="K87" s="27"/>
      <c r="L87" s="22"/>
      <c r="N87" s="22"/>
      <c r="O87" s="27"/>
      <c r="P87" s="247"/>
      <c r="Q87" s="247"/>
      <c r="R87" s="247"/>
      <c r="S87" s="247"/>
      <c r="T87" s="247"/>
    </row>
    <row r="88" spans="1:20" s="20" customFormat="1" x14ac:dyDescent="0.25">
      <c r="A88" s="26"/>
      <c r="B88" s="21"/>
      <c r="C88" s="21"/>
      <c r="D88" s="22"/>
      <c r="H88" s="22"/>
      <c r="J88" s="22"/>
      <c r="K88" s="27"/>
      <c r="L88" s="22"/>
      <c r="N88" s="22"/>
      <c r="O88" s="27"/>
      <c r="P88" s="247"/>
      <c r="Q88" s="247"/>
      <c r="R88" s="247"/>
      <c r="S88" s="247"/>
      <c r="T88" s="247"/>
    </row>
    <row r="89" spans="1:20" s="20" customFormat="1" x14ac:dyDescent="0.25">
      <c r="A89" s="26"/>
      <c r="B89" s="21"/>
      <c r="C89" s="21"/>
      <c r="D89" s="22"/>
      <c r="H89" s="22"/>
      <c r="J89" s="22"/>
      <c r="K89" s="27"/>
      <c r="L89" s="22"/>
      <c r="N89" s="22"/>
      <c r="O89" s="27"/>
      <c r="P89" s="247"/>
      <c r="Q89" s="247"/>
      <c r="R89" s="247"/>
      <c r="S89" s="247"/>
      <c r="T89" s="247"/>
    </row>
    <row r="90" spans="1:20" s="20" customFormat="1" x14ac:dyDescent="0.25">
      <c r="A90" s="26"/>
      <c r="B90" s="21"/>
      <c r="C90" s="21"/>
      <c r="D90" s="22"/>
      <c r="H90" s="22"/>
      <c r="J90" s="22"/>
      <c r="K90" s="27"/>
      <c r="L90" s="22"/>
      <c r="N90" s="22"/>
      <c r="O90" s="27"/>
      <c r="P90" s="247"/>
      <c r="Q90" s="247"/>
      <c r="R90" s="247"/>
      <c r="S90" s="247"/>
      <c r="T90" s="247"/>
    </row>
    <row r="91" spans="1:20" s="20" customFormat="1" x14ac:dyDescent="0.25">
      <c r="A91" s="26"/>
      <c r="B91" s="21"/>
      <c r="C91" s="21"/>
      <c r="D91" s="22"/>
      <c r="H91" s="22"/>
      <c r="J91" s="22"/>
      <c r="K91" s="27"/>
      <c r="L91" s="22"/>
      <c r="N91" s="22"/>
      <c r="O91" s="27"/>
      <c r="P91" s="247"/>
      <c r="Q91" s="247"/>
      <c r="R91" s="247"/>
      <c r="S91" s="247"/>
      <c r="T91" s="247"/>
    </row>
    <row r="92" spans="1:20" s="20" customFormat="1" x14ac:dyDescent="0.25">
      <c r="A92" s="26"/>
      <c r="B92" s="21"/>
      <c r="C92" s="21"/>
      <c r="D92" s="22"/>
      <c r="H92" s="22"/>
      <c r="J92" s="22"/>
      <c r="K92" s="27"/>
      <c r="L92" s="22"/>
      <c r="N92" s="22"/>
      <c r="O92" s="27"/>
      <c r="P92" s="247"/>
      <c r="Q92" s="247"/>
      <c r="R92" s="247"/>
      <c r="S92" s="247"/>
      <c r="T92" s="247"/>
    </row>
    <row r="93" spans="1:20" s="20" customFormat="1" x14ac:dyDescent="0.25">
      <c r="A93" s="26"/>
      <c r="B93" s="21"/>
      <c r="C93" s="21"/>
      <c r="D93" s="22"/>
      <c r="H93" s="22"/>
      <c r="J93" s="22"/>
      <c r="K93" s="27"/>
      <c r="L93" s="22"/>
      <c r="N93" s="22"/>
      <c r="O93" s="27"/>
      <c r="P93" s="247"/>
      <c r="Q93" s="247"/>
      <c r="R93" s="247"/>
      <c r="S93" s="247"/>
      <c r="T93" s="247"/>
    </row>
    <row r="94" spans="1:20" s="20" customFormat="1" x14ac:dyDescent="0.25">
      <c r="A94" s="26"/>
      <c r="B94" s="21"/>
      <c r="C94" s="21"/>
      <c r="D94" s="22"/>
      <c r="H94" s="22"/>
      <c r="J94" s="22"/>
      <c r="K94" s="27"/>
      <c r="L94" s="22"/>
      <c r="N94" s="22"/>
      <c r="O94" s="27"/>
      <c r="P94" s="247"/>
      <c r="Q94" s="247"/>
      <c r="R94" s="247"/>
      <c r="S94" s="247"/>
      <c r="T94" s="247"/>
    </row>
    <row r="95" spans="1:20" s="20" customFormat="1" x14ac:dyDescent="0.25">
      <c r="A95" s="26"/>
      <c r="B95" s="21"/>
      <c r="C95" s="21"/>
      <c r="D95" s="22"/>
      <c r="H95" s="22"/>
      <c r="J95" s="22"/>
      <c r="K95" s="27"/>
      <c r="L95" s="22"/>
      <c r="N95" s="22"/>
      <c r="O95" s="27"/>
      <c r="P95" s="247"/>
      <c r="Q95" s="247"/>
      <c r="R95" s="247"/>
      <c r="S95" s="247"/>
      <c r="T95" s="247"/>
    </row>
    <row r="96" spans="1:20" s="20" customFormat="1" x14ac:dyDescent="0.25">
      <c r="A96" s="26"/>
      <c r="B96" s="21"/>
      <c r="C96" s="21"/>
      <c r="D96" s="22"/>
      <c r="H96" s="22"/>
      <c r="J96" s="22"/>
      <c r="K96" s="27"/>
      <c r="L96" s="22"/>
      <c r="N96" s="22"/>
      <c r="O96" s="27"/>
      <c r="P96" s="247"/>
      <c r="Q96" s="247"/>
      <c r="R96" s="247"/>
      <c r="S96" s="247"/>
      <c r="T96" s="247"/>
    </row>
    <row r="97" spans="1:20" s="20" customFormat="1" x14ac:dyDescent="0.25">
      <c r="A97" s="26"/>
      <c r="B97" s="21"/>
      <c r="C97" s="21"/>
      <c r="D97" s="22"/>
      <c r="H97" s="22"/>
      <c r="J97" s="22"/>
      <c r="K97" s="27"/>
      <c r="L97" s="22"/>
      <c r="N97" s="22"/>
      <c r="O97" s="27"/>
      <c r="P97" s="247"/>
      <c r="Q97" s="247"/>
      <c r="R97" s="247"/>
      <c r="S97" s="247"/>
      <c r="T97" s="247"/>
    </row>
    <row r="98" spans="1:20" s="20" customFormat="1" x14ac:dyDescent="0.25">
      <c r="A98" s="26"/>
      <c r="B98" s="21"/>
      <c r="C98" s="21"/>
      <c r="D98" s="22"/>
      <c r="H98" s="22"/>
      <c r="J98" s="22"/>
      <c r="K98" s="27"/>
      <c r="L98" s="22"/>
      <c r="N98" s="22"/>
      <c r="O98" s="27"/>
      <c r="P98" s="247"/>
      <c r="Q98" s="247"/>
      <c r="R98" s="247"/>
      <c r="S98" s="247"/>
      <c r="T98" s="247"/>
    </row>
    <row r="99" spans="1:20" s="20" customFormat="1" x14ac:dyDescent="0.25">
      <c r="A99" s="26"/>
      <c r="B99" s="21"/>
      <c r="C99" s="21"/>
      <c r="D99" s="22"/>
      <c r="H99" s="22"/>
      <c r="J99" s="22"/>
      <c r="K99" s="27"/>
      <c r="L99" s="22"/>
      <c r="N99" s="22"/>
      <c r="O99" s="27"/>
      <c r="P99" s="247"/>
      <c r="Q99" s="247"/>
      <c r="R99" s="247"/>
      <c r="S99" s="247"/>
      <c r="T99" s="247"/>
    </row>
    <row r="100" spans="1:20" s="20" customFormat="1" x14ac:dyDescent="0.25">
      <c r="A100" s="26"/>
      <c r="B100" s="21"/>
      <c r="C100" s="21"/>
      <c r="D100" s="22"/>
      <c r="H100" s="22"/>
      <c r="J100" s="22"/>
      <c r="K100" s="27"/>
      <c r="L100" s="22"/>
      <c r="N100" s="22"/>
      <c r="O100" s="27"/>
      <c r="P100" s="247"/>
      <c r="Q100" s="247"/>
      <c r="R100" s="247"/>
      <c r="S100" s="247"/>
      <c r="T100" s="247"/>
    </row>
    <row r="101" spans="1:20" s="20" customFormat="1" x14ac:dyDescent="0.25">
      <c r="A101" s="26"/>
      <c r="B101" s="21"/>
      <c r="C101" s="21"/>
      <c r="D101" s="22"/>
      <c r="H101" s="22"/>
      <c r="J101" s="22"/>
      <c r="K101" s="27"/>
      <c r="L101" s="22"/>
      <c r="N101" s="22"/>
      <c r="O101" s="27"/>
      <c r="P101" s="247"/>
      <c r="Q101" s="247"/>
      <c r="R101" s="247"/>
      <c r="S101" s="247"/>
      <c r="T101" s="247"/>
    </row>
    <row r="102" spans="1:20" s="20" customFormat="1" x14ac:dyDescent="0.25">
      <c r="A102" s="26"/>
      <c r="B102" s="21"/>
      <c r="C102" s="21"/>
      <c r="D102" s="22"/>
      <c r="H102" s="22"/>
      <c r="J102" s="22"/>
      <c r="K102" s="27"/>
      <c r="L102" s="22"/>
      <c r="N102" s="22"/>
      <c r="O102" s="27"/>
      <c r="P102" s="247"/>
      <c r="Q102" s="247"/>
      <c r="R102" s="247"/>
      <c r="S102" s="247"/>
      <c r="T102" s="247"/>
    </row>
    <row r="103" spans="1:20" s="20" customFormat="1" x14ac:dyDescent="0.25">
      <c r="A103" s="26"/>
      <c r="B103" s="21"/>
      <c r="C103" s="21"/>
      <c r="D103" s="22"/>
      <c r="H103" s="22"/>
      <c r="J103" s="22"/>
      <c r="K103" s="27"/>
      <c r="L103" s="22"/>
      <c r="N103" s="22"/>
      <c r="O103" s="27"/>
      <c r="P103" s="247"/>
      <c r="Q103" s="247"/>
      <c r="R103" s="247"/>
      <c r="S103" s="247"/>
      <c r="T103" s="247"/>
    </row>
    <row r="104" spans="1:20" s="20" customFormat="1" x14ac:dyDescent="0.25">
      <c r="A104" s="26"/>
      <c r="B104" s="21"/>
      <c r="C104" s="21"/>
      <c r="D104" s="22"/>
      <c r="H104" s="22"/>
      <c r="J104" s="22"/>
      <c r="K104" s="27"/>
      <c r="L104" s="22"/>
      <c r="N104" s="22"/>
      <c r="O104" s="27"/>
      <c r="P104" s="247"/>
      <c r="Q104" s="247"/>
      <c r="R104" s="247"/>
      <c r="S104" s="247"/>
      <c r="T104" s="247"/>
    </row>
    <row r="105" spans="1:20" s="20" customFormat="1" x14ac:dyDescent="0.25">
      <c r="A105" s="26"/>
      <c r="B105" s="21"/>
      <c r="C105" s="21"/>
      <c r="D105" s="22"/>
      <c r="H105" s="22"/>
      <c r="J105" s="22"/>
      <c r="K105" s="27"/>
      <c r="L105" s="22"/>
      <c r="N105" s="22"/>
      <c r="O105" s="27"/>
      <c r="P105" s="247"/>
      <c r="Q105" s="247"/>
      <c r="R105" s="247"/>
      <c r="S105" s="247"/>
      <c r="T105" s="247"/>
    </row>
    <row r="106" spans="1:20" s="20" customFormat="1" x14ac:dyDescent="0.25">
      <c r="A106" s="26"/>
      <c r="B106" s="21"/>
      <c r="C106" s="21"/>
      <c r="D106" s="22"/>
      <c r="H106" s="22"/>
      <c r="J106" s="22"/>
      <c r="K106" s="27"/>
      <c r="L106" s="22"/>
      <c r="N106" s="22"/>
      <c r="O106" s="27"/>
      <c r="P106" s="247"/>
      <c r="Q106" s="247"/>
      <c r="R106" s="247"/>
      <c r="S106" s="247"/>
      <c r="T106" s="247"/>
    </row>
    <row r="107" spans="1:20" s="20" customFormat="1" x14ac:dyDescent="0.25">
      <c r="A107" s="26"/>
      <c r="B107" s="21"/>
      <c r="C107" s="21"/>
      <c r="D107" s="22"/>
      <c r="H107" s="22"/>
      <c r="J107" s="22"/>
      <c r="K107" s="27"/>
      <c r="L107" s="22"/>
      <c r="N107" s="22"/>
      <c r="O107" s="27"/>
      <c r="P107" s="247"/>
      <c r="Q107" s="247"/>
      <c r="R107" s="247"/>
      <c r="S107" s="247"/>
      <c r="T107" s="247"/>
    </row>
    <row r="108" spans="1:20" s="20" customFormat="1" x14ac:dyDescent="0.25">
      <c r="A108" s="26"/>
      <c r="B108" s="21"/>
      <c r="C108" s="21"/>
      <c r="D108" s="22"/>
      <c r="H108" s="22"/>
      <c r="J108" s="22"/>
      <c r="K108" s="27"/>
      <c r="L108" s="22"/>
      <c r="N108" s="22"/>
      <c r="O108" s="27"/>
      <c r="P108" s="247"/>
      <c r="Q108" s="247"/>
      <c r="R108" s="247"/>
      <c r="S108" s="247"/>
      <c r="T108" s="247"/>
    </row>
    <row r="109" spans="1:20" s="20" customFormat="1" x14ac:dyDescent="0.25">
      <c r="A109" s="26"/>
      <c r="B109" s="21"/>
      <c r="C109" s="21"/>
      <c r="D109" s="22"/>
      <c r="H109" s="22"/>
      <c r="J109" s="22"/>
      <c r="K109" s="27"/>
      <c r="L109" s="22"/>
      <c r="N109" s="22"/>
      <c r="O109" s="27"/>
      <c r="P109" s="247"/>
      <c r="Q109" s="247"/>
      <c r="R109" s="247"/>
      <c r="S109" s="247"/>
      <c r="T109" s="247"/>
    </row>
    <row r="110" spans="1:20" s="20" customFormat="1" x14ac:dyDescent="0.25">
      <c r="A110" s="26"/>
      <c r="B110" s="21"/>
      <c r="C110" s="21"/>
      <c r="D110" s="22"/>
      <c r="H110" s="22"/>
      <c r="J110" s="22"/>
      <c r="K110" s="27"/>
      <c r="L110" s="22"/>
      <c r="N110" s="22"/>
      <c r="O110" s="27"/>
      <c r="P110" s="247"/>
      <c r="Q110" s="247"/>
      <c r="R110" s="247"/>
      <c r="S110" s="247"/>
      <c r="T110" s="247"/>
    </row>
    <row r="111" spans="1:20" s="20" customFormat="1" x14ac:dyDescent="0.25">
      <c r="A111" s="26"/>
      <c r="B111" s="21"/>
      <c r="C111" s="21"/>
      <c r="D111" s="22"/>
      <c r="H111" s="22"/>
      <c r="J111" s="22"/>
      <c r="K111" s="27"/>
      <c r="L111" s="22"/>
      <c r="N111" s="22"/>
      <c r="O111" s="27"/>
      <c r="P111" s="247"/>
      <c r="Q111" s="247"/>
      <c r="R111" s="247"/>
      <c r="S111" s="247"/>
      <c r="T111" s="247"/>
    </row>
    <row r="112" spans="1:20" s="20" customFormat="1" x14ac:dyDescent="0.25">
      <c r="A112" s="26"/>
      <c r="B112" s="21"/>
      <c r="C112" s="21"/>
      <c r="D112" s="22"/>
      <c r="H112" s="22"/>
      <c r="J112" s="22"/>
      <c r="K112" s="27"/>
      <c r="L112" s="22"/>
      <c r="N112" s="22"/>
      <c r="O112" s="27"/>
      <c r="P112" s="247"/>
      <c r="Q112" s="247"/>
      <c r="R112" s="247"/>
      <c r="S112" s="247"/>
      <c r="T112" s="247"/>
    </row>
    <row r="113" spans="1:20" s="20" customFormat="1" x14ac:dyDescent="0.25">
      <c r="A113" s="26"/>
      <c r="B113" s="21"/>
      <c r="C113" s="21"/>
      <c r="D113" s="22"/>
      <c r="H113" s="22"/>
      <c r="J113" s="22"/>
      <c r="K113" s="27"/>
      <c r="L113" s="22"/>
      <c r="N113" s="22"/>
      <c r="O113" s="27"/>
      <c r="P113" s="247"/>
      <c r="Q113" s="247"/>
      <c r="R113" s="247"/>
      <c r="S113" s="247"/>
      <c r="T113" s="247"/>
    </row>
    <row r="114" spans="1:20" s="20" customFormat="1" x14ac:dyDescent="0.25">
      <c r="A114" s="26"/>
      <c r="B114" s="21"/>
      <c r="C114" s="21"/>
      <c r="D114" s="22"/>
      <c r="H114" s="22"/>
      <c r="J114" s="22"/>
      <c r="K114" s="27"/>
      <c r="L114" s="22"/>
      <c r="N114" s="22"/>
      <c r="O114" s="27"/>
      <c r="P114" s="247"/>
      <c r="Q114" s="247"/>
      <c r="R114" s="247"/>
      <c r="S114" s="247"/>
      <c r="T114" s="247"/>
    </row>
    <row r="115" spans="1:20" s="20" customFormat="1" x14ac:dyDescent="0.25">
      <c r="A115" s="26"/>
      <c r="B115" s="21"/>
      <c r="C115" s="21"/>
      <c r="D115" s="22"/>
      <c r="H115" s="22"/>
      <c r="J115" s="22"/>
      <c r="K115" s="27"/>
      <c r="L115" s="22"/>
      <c r="N115" s="22"/>
      <c r="O115" s="27"/>
      <c r="P115" s="247"/>
      <c r="Q115" s="247"/>
      <c r="R115" s="247"/>
      <c r="S115" s="247"/>
      <c r="T115" s="247"/>
    </row>
    <row r="116" spans="1:20" s="20" customFormat="1" x14ac:dyDescent="0.25">
      <c r="A116" s="26"/>
      <c r="B116" s="21"/>
      <c r="C116" s="21"/>
      <c r="D116" s="22"/>
      <c r="H116" s="22"/>
      <c r="J116" s="22"/>
      <c r="K116" s="27"/>
      <c r="L116" s="22"/>
      <c r="N116" s="22"/>
      <c r="O116" s="27"/>
      <c r="P116" s="247"/>
      <c r="Q116" s="247"/>
      <c r="R116" s="247"/>
      <c r="S116" s="247"/>
      <c r="T116" s="247"/>
    </row>
    <row r="117" spans="1:20" s="20" customFormat="1" x14ac:dyDescent="0.25">
      <c r="A117" s="26"/>
      <c r="B117" s="21"/>
      <c r="C117" s="21"/>
      <c r="D117" s="22"/>
      <c r="H117" s="22"/>
      <c r="J117" s="22"/>
      <c r="K117" s="27"/>
      <c r="L117" s="22"/>
      <c r="N117" s="22"/>
      <c r="O117" s="27"/>
      <c r="P117" s="247"/>
      <c r="Q117" s="247"/>
      <c r="R117" s="247"/>
      <c r="S117" s="247"/>
      <c r="T117" s="247"/>
    </row>
    <row r="118" spans="1:20" s="20" customFormat="1" x14ac:dyDescent="0.25">
      <c r="A118" s="26"/>
      <c r="B118" s="21"/>
      <c r="C118" s="21"/>
      <c r="D118" s="22"/>
      <c r="H118" s="22"/>
      <c r="J118" s="22"/>
      <c r="K118" s="27"/>
      <c r="L118" s="22"/>
      <c r="N118" s="22"/>
      <c r="O118" s="27"/>
      <c r="P118" s="247"/>
      <c r="Q118" s="247"/>
      <c r="R118" s="247"/>
      <c r="S118" s="247"/>
      <c r="T118" s="247"/>
    </row>
    <row r="119" spans="1:20" s="20" customFormat="1" x14ac:dyDescent="0.25">
      <c r="A119" s="26"/>
      <c r="B119" s="21"/>
      <c r="C119" s="21"/>
      <c r="D119" s="22"/>
      <c r="H119" s="22"/>
      <c r="J119" s="22"/>
      <c r="K119" s="27"/>
      <c r="L119" s="22"/>
      <c r="N119" s="22"/>
      <c r="O119" s="27"/>
      <c r="P119" s="247"/>
      <c r="Q119" s="247"/>
      <c r="R119" s="247"/>
      <c r="S119" s="247"/>
      <c r="T119" s="247"/>
    </row>
    <row r="120" spans="1:20" s="20" customFormat="1" x14ac:dyDescent="0.25">
      <c r="A120" s="26"/>
      <c r="B120" s="21"/>
      <c r="C120" s="21"/>
      <c r="D120" s="22"/>
      <c r="H120" s="22"/>
      <c r="J120" s="22"/>
      <c r="K120" s="27"/>
      <c r="L120" s="22"/>
      <c r="N120" s="22"/>
      <c r="O120" s="27"/>
      <c r="P120" s="247"/>
      <c r="Q120" s="247"/>
      <c r="R120" s="247"/>
      <c r="S120" s="247"/>
      <c r="T120" s="247"/>
    </row>
    <row r="121" spans="1:20" s="20" customFormat="1" x14ac:dyDescent="0.25">
      <c r="A121" s="26"/>
      <c r="B121" s="21"/>
      <c r="C121" s="21"/>
      <c r="D121" s="22"/>
      <c r="H121" s="22"/>
      <c r="J121" s="22"/>
      <c r="K121" s="27"/>
      <c r="L121" s="22"/>
      <c r="N121" s="22"/>
      <c r="O121" s="27"/>
      <c r="P121" s="247"/>
      <c r="Q121" s="247"/>
      <c r="R121" s="247"/>
      <c r="S121" s="247"/>
      <c r="T121" s="247"/>
    </row>
    <row r="122" spans="1:20" s="20" customFormat="1" x14ac:dyDescent="0.25">
      <c r="A122" s="26"/>
      <c r="B122" s="21"/>
      <c r="C122" s="21"/>
      <c r="D122" s="22"/>
      <c r="H122" s="22"/>
      <c r="J122" s="22"/>
      <c r="K122" s="27"/>
      <c r="L122" s="22"/>
      <c r="N122" s="22"/>
      <c r="O122" s="27"/>
      <c r="P122" s="247"/>
      <c r="Q122" s="247"/>
      <c r="R122" s="247"/>
      <c r="S122" s="247"/>
      <c r="T122" s="247"/>
    </row>
    <row r="123" spans="1:20" s="20" customFormat="1" x14ac:dyDescent="0.25">
      <c r="A123" s="26"/>
      <c r="B123" s="21"/>
      <c r="C123" s="21"/>
      <c r="D123" s="22"/>
      <c r="H123" s="22"/>
      <c r="J123" s="22"/>
      <c r="K123" s="27"/>
      <c r="L123" s="22"/>
      <c r="N123" s="22"/>
      <c r="O123" s="27"/>
      <c r="P123" s="247"/>
      <c r="Q123" s="247"/>
      <c r="R123" s="247"/>
      <c r="S123" s="247"/>
      <c r="T123" s="247"/>
    </row>
    <row r="124" spans="1:20" s="20" customFormat="1" x14ac:dyDescent="0.25">
      <c r="A124" s="26"/>
      <c r="B124" s="21"/>
      <c r="C124" s="21"/>
      <c r="D124" s="22"/>
      <c r="H124" s="22"/>
      <c r="J124" s="22"/>
      <c r="K124" s="27"/>
      <c r="L124" s="22"/>
      <c r="N124" s="22"/>
      <c r="O124" s="27"/>
      <c r="P124" s="247"/>
      <c r="Q124" s="247"/>
      <c r="R124" s="247"/>
      <c r="S124" s="247"/>
      <c r="T124" s="247"/>
    </row>
    <row r="125" spans="1:20" s="20" customFormat="1" x14ac:dyDescent="0.25">
      <c r="A125" s="26"/>
      <c r="B125" s="21"/>
      <c r="C125" s="21"/>
      <c r="D125" s="22"/>
      <c r="H125" s="22"/>
      <c r="J125" s="22"/>
      <c r="K125" s="27"/>
      <c r="L125" s="22"/>
      <c r="N125" s="22"/>
      <c r="O125" s="27"/>
      <c r="P125" s="247"/>
      <c r="Q125" s="247"/>
      <c r="R125" s="247"/>
      <c r="S125" s="247"/>
      <c r="T125" s="247"/>
    </row>
    <row r="126" spans="1:20" s="20" customFormat="1" x14ac:dyDescent="0.25">
      <c r="A126" s="26"/>
      <c r="B126" s="21"/>
      <c r="C126" s="21"/>
      <c r="D126" s="22"/>
      <c r="H126" s="22"/>
      <c r="J126" s="22"/>
      <c r="K126" s="27"/>
      <c r="L126" s="22"/>
      <c r="N126" s="22"/>
      <c r="O126" s="27"/>
      <c r="P126" s="247"/>
      <c r="Q126" s="247"/>
      <c r="R126" s="247"/>
      <c r="S126" s="247"/>
      <c r="T126" s="247"/>
    </row>
    <row r="127" spans="1:20" s="20" customFormat="1" x14ac:dyDescent="0.25">
      <c r="A127" s="26"/>
      <c r="B127" s="21"/>
      <c r="C127" s="21"/>
      <c r="D127" s="22"/>
      <c r="H127" s="22"/>
      <c r="J127" s="22"/>
      <c r="K127" s="27"/>
      <c r="L127" s="22"/>
      <c r="N127" s="22"/>
      <c r="O127" s="27"/>
      <c r="P127" s="247"/>
      <c r="Q127" s="247"/>
      <c r="R127" s="247"/>
      <c r="S127" s="247"/>
      <c r="T127" s="247"/>
    </row>
    <row r="128" spans="1:20" s="20" customFormat="1" x14ac:dyDescent="0.25">
      <c r="A128" s="26"/>
      <c r="B128" s="21"/>
      <c r="C128" s="21"/>
      <c r="D128" s="22"/>
      <c r="H128" s="22"/>
      <c r="J128" s="22"/>
      <c r="K128" s="27"/>
      <c r="L128" s="22"/>
      <c r="N128" s="22"/>
      <c r="O128" s="27"/>
      <c r="P128" s="247"/>
      <c r="Q128" s="247"/>
      <c r="R128" s="247"/>
      <c r="S128" s="247"/>
      <c r="T128" s="247"/>
    </row>
    <row r="129" spans="1:20" s="20" customFormat="1" x14ac:dyDescent="0.25">
      <c r="A129" s="26"/>
      <c r="B129" s="21"/>
      <c r="C129" s="21"/>
      <c r="D129" s="22"/>
      <c r="H129" s="22"/>
      <c r="J129" s="22"/>
      <c r="K129" s="27"/>
      <c r="L129" s="22"/>
      <c r="N129" s="22"/>
      <c r="O129" s="27"/>
      <c r="P129" s="247"/>
      <c r="Q129" s="247"/>
      <c r="R129" s="247"/>
      <c r="S129" s="247"/>
      <c r="T129" s="247"/>
    </row>
    <row r="130" spans="1:20" s="20" customFormat="1" x14ac:dyDescent="0.25">
      <c r="A130" s="26"/>
      <c r="B130" s="21"/>
      <c r="C130" s="21"/>
      <c r="D130" s="22"/>
      <c r="H130" s="22"/>
      <c r="J130" s="22"/>
      <c r="K130" s="27"/>
      <c r="L130" s="22"/>
      <c r="N130" s="22"/>
      <c r="O130" s="27"/>
      <c r="P130" s="247"/>
      <c r="Q130" s="247"/>
      <c r="R130" s="247"/>
      <c r="S130" s="247"/>
      <c r="T130" s="247"/>
    </row>
    <row r="131" spans="1:20" s="20" customFormat="1" x14ac:dyDescent="0.25">
      <c r="A131" s="26"/>
      <c r="B131" s="21"/>
      <c r="C131" s="21"/>
      <c r="D131" s="22"/>
      <c r="H131" s="22"/>
      <c r="J131" s="22"/>
      <c r="K131" s="27"/>
      <c r="L131" s="22"/>
      <c r="N131" s="22"/>
      <c r="O131" s="27"/>
      <c r="P131" s="247"/>
      <c r="Q131" s="247"/>
      <c r="R131" s="247"/>
      <c r="S131" s="247"/>
      <c r="T131" s="247"/>
    </row>
    <row r="132" spans="1:20" s="20" customFormat="1" x14ac:dyDescent="0.25">
      <c r="A132" s="26"/>
      <c r="B132" s="21"/>
      <c r="C132" s="21"/>
      <c r="D132" s="22"/>
      <c r="H132" s="22"/>
      <c r="J132" s="22"/>
      <c r="K132" s="27"/>
      <c r="L132" s="22"/>
      <c r="N132" s="22"/>
      <c r="O132" s="27"/>
      <c r="P132" s="247"/>
      <c r="Q132" s="247"/>
      <c r="R132" s="247"/>
      <c r="S132" s="247"/>
      <c r="T132" s="247"/>
    </row>
    <row r="133" spans="1:20" s="20" customFormat="1" x14ac:dyDescent="0.25">
      <c r="A133" s="26"/>
      <c r="B133" s="21"/>
      <c r="C133" s="21"/>
      <c r="D133" s="22"/>
      <c r="H133" s="22"/>
      <c r="J133" s="22"/>
      <c r="K133" s="27"/>
      <c r="L133" s="22"/>
      <c r="N133" s="22"/>
      <c r="O133" s="27"/>
      <c r="P133" s="247"/>
      <c r="Q133" s="247"/>
      <c r="R133" s="247"/>
      <c r="S133" s="247"/>
      <c r="T133" s="247"/>
    </row>
    <row r="134" spans="1:20" s="20" customFormat="1" x14ac:dyDescent="0.25">
      <c r="A134" s="26"/>
      <c r="B134" s="21"/>
      <c r="C134" s="21"/>
      <c r="D134" s="22"/>
      <c r="H134" s="22"/>
      <c r="J134" s="22"/>
      <c r="K134" s="27"/>
      <c r="L134" s="22"/>
      <c r="N134" s="22"/>
      <c r="O134" s="27"/>
      <c r="P134" s="247"/>
      <c r="Q134" s="247"/>
      <c r="R134" s="247"/>
      <c r="S134" s="247"/>
      <c r="T134" s="247"/>
    </row>
    <row r="135" spans="1:20" s="20" customFormat="1" x14ac:dyDescent="0.25">
      <c r="A135" s="26"/>
      <c r="B135" s="21"/>
      <c r="C135" s="21"/>
      <c r="D135" s="22"/>
      <c r="H135" s="22"/>
      <c r="J135" s="22"/>
      <c r="K135" s="27"/>
      <c r="L135" s="22"/>
      <c r="N135" s="22"/>
      <c r="O135" s="27"/>
      <c r="P135" s="247"/>
      <c r="Q135" s="247"/>
      <c r="R135" s="247"/>
      <c r="S135" s="247"/>
      <c r="T135" s="247"/>
    </row>
    <row r="136" spans="1:20" s="20" customFormat="1" x14ac:dyDescent="0.25">
      <c r="A136" s="26"/>
      <c r="B136" s="21"/>
      <c r="C136" s="21"/>
      <c r="D136" s="22"/>
      <c r="H136" s="22"/>
      <c r="J136" s="22"/>
      <c r="K136" s="27"/>
      <c r="L136" s="22"/>
      <c r="N136" s="22"/>
      <c r="O136" s="27"/>
      <c r="P136" s="247"/>
      <c r="Q136" s="247"/>
      <c r="R136" s="247"/>
      <c r="S136" s="247"/>
      <c r="T136" s="247"/>
    </row>
    <row r="137" spans="1:20" s="20" customFormat="1" x14ac:dyDescent="0.25">
      <c r="A137" s="26"/>
      <c r="B137" s="21"/>
      <c r="C137" s="21"/>
      <c r="D137" s="22"/>
      <c r="H137" s="22"/>
      <c r="J137" s="22"/>
      <c r="K137" s="27"/>
      <c r="L137" s="22"/>
      <c r="N137" s="22"/>
      <c r="O137" s="27"/>
      <c r="P137" s="247"/>
      <c r="Q137" s="247"/>
      <c r="R137" s="247"/>
      <c r="S137" s="247"/>
      <c r="T137" s="247"/>
    </row>
    <row r="138" spans="1:20" s="20" customFormat="1" x14ac:dyDescent="0.25">
      <c r="A138" s="26"/>
      <c r="B138" s="21"/>
      <c r="C138" s="21"/>
      <c r="D138" s="22"/>
      <c r="H138" s="22"/>
      <c r="J138" s="22"/>
      <c r="K138" s="27"/>
      <c r="L138" s="22"/>
      <c r="N138" s="22"/>
      <c r="O138" s="27"/>
      <c r="P138" s="247"/>
      <c r="Q138" s="247"/>
      <c r="R138" s="247"/>
      <c r="S138" s="247"/>
      <c r="T138" s="247"/>
    </row>
    <row r="139" spans="1:20" s="20" customFormat="1" x14ac:dyDescent="0.25">
      <c r="A139" s="26"/>
      <c r="B139" s="21"/>
      <c r="C139" s="21"/>
      <c r="D139" s="22"/>
      <c r="H139" s="22"/>
      <c r="J139" s="22"/>
      <c r="K139" s="27"/>
      <c r="L139" s="22"/>
      <c r="N139" s="22"/>
      <c r="O139" s="27"/>
      <c r="P139" s="247"/>
      <c r="Q139" s="247"/>
      <c r="R139" s="247"/>
      <c r="S139" s="247"/>
      <c r="T139" s="247"/>
    </row>
    <row r="140" spans="1:20" s="20" customFormat="1" x14ac:dyDescent="0.25">
      <c r="A140" s="26"/>
      <c r="B140" s="21"/>
      <c r="C140" s="21"/>
      <c r="D140" s="22"/>
      <c r="H140" s="22"/>
      <c r="J140" s="22"/>
      <c r="K140" s="27"/>
      <c r="L140" s="22"/>
      <c r="N140" s="22"/>
      <c r="O140" s="27"/>
      <c r="P140" s="247"/>
      <c r="Q140" s="247"/>
      <c r="R140" s="247"/>
      <c r="S140" s="247"/>
      <c r="T140" s="247"/>
    </row>
    <row r="141" spans="1:20" s="20" customFormat="1" x14ac:dyDescent="0.25">
      <c r="A141" s="26"/>
      <c r="B141" s="21"/>
      <c r="C141" s="21"/>
      <c r="D141" s="22"/>
      <c r="H141" s="22"/>
      <c r="J141" s="22"/>
      <c r="K141" s="27"/>
      <c r="L141" s="22"/>
      <c r="N141" s="22"/>
      <c r="O141" s="27"/>
      <c r="P141" s="247"/>
      <c r="Q141" s="247"/>
      <c r="R141" s="247"/>
      <c r="S141" s="247"/>
      <c r="T141" s="247"/>
    </row>
    <row r="142" spans="1:20" s="20" customFormat="1" x14ac:dyDescent="0.25">
      <c r="A142" s="26"/>
      <c r="B142" s="21"/>
      <c r="C142" s="21"/>
      <c r="D142" s="22"/>
      <c r="H142" s="22"/>
      <c r="J142" s="22"/>
      <c r="K142" s="27"/>
      <c r="L142" s="22"/>
      <c r="N142" s="22"/>
      <c r="O142" s="27"/>
      <c r="P142" s="247"/>
      <c r="Q142" s="247"/>
      <c r="R142" s="247"/>
      <c r="S142" s="247"/>
      <c r="T142" s="247"/>
    </row>
    <row r="143" spans="1:20" s="20" customFormat="1" x14ac:dyDescent="0.25">
      <c r="A143" s="26"/>
      <c r="B143" s="21"/>
      <c r="C143" s="21"/>
      <c r="D143" s="22"/>
      <c r="H143" s="22"/>
      <c r="J143" s="22"/>
      <c r="K143" s="27"/>
      <c r="L143" s="22"/>
      <c r="N143" s="22"/>
      <c r="O143" s="27"/>
      <c r="P143" s="247"/>
      <c r="Q143" s="247"/>
      <c r="R143" s="247"/>
      <c r="S143" s="247"/>
      <c r="T143" s="247"/>
    </row>
    <row r="144" spans="1:20" s="20" customFormat="1" x14ac:dyDescent="0.25">
      <c r="A144" s="26"/>
      <c r="B144" s="21"/>
      <c r="C144" s="21"/>
      <c r="D144" s="22"/>
      <c r="H144" s="22"/>
      <c r="J144" s="22"/>
      <c r="K144" s="27"/>
      <c r="L144" s="22"/>
      <c r="N144" s="22"/>
      <c r="O144" s="27"/>
      <c r="P144" s="247"/>
      <c r="Q144" s="247"/>
      <c r="R144" s="247"/>
      <c r="S144" s="247"/>
      <c r="T144" s="247"/>
    </row>
    <row r="145" spans="1:20" s="20" customFormat="1" x14ac:dyDescent="0.25">
      <c r="A145" s="26"/>
      <c r="B145" s="21"/>
      <c r="C145" s="21"/>
      <c r="D145" s="22"/>
      <c r="H145" s="22"/>
      <c r="J145" s="22"/>
      <c r="K145" s="27"/>
      <c r="L145" s="22"/>
      <c r="N145" s="22"/>
      <c r="O145" s="27"/>
      <c r="P145" s="247"/>
      <c r="Q145" s="247"/>
      <c r="R145" s="247"/>
      <c r="S145" s="247"/>
      <c r="T145" s="247"/>
    </row>
    <row r="146" spans="1:20" s="20" customFormat="1" x14ac:dyDescent="0.25">
      <c r="A146" s="26"/>
      <c r="B146" s="21"/>
      <c r="C146" s="21"/>
      <c r="D146" s="22"/>
      <c r="H146" s="22"/>
      <c r="J146" s="22"/>
      <c r="K146" s="27"/>
      <c r="L146" s="22"/>
      <c r="N146" s="22"/>
      <c r="O146" s="27"/>
      <c r="P146" s="247"/>
      <c r="Q146" s="247"/>
      <c r="R146" s="247"/>
      <c r="S146" s="247"/>
      <c r="T146" s="247"/>
    </row>
    <row r="147" spans="1:20" s="20" customFormat="1" x14ac:dyDescent="0.25">
      <c r="A147" s="26"/>
      <c r="B147" s="21"/>
      <c r="C147" s="21"/>
      <c r="D147" s="22"/>
      <c r="H147" s="22"/>
      <c r="J147" s="22"/>
      <c r="K147" s="27"/>
      <c r="L147" s="22"/>
      <c r="N147" s="22"/>
      <c r="O147" s="27"/>
      <c r="P147" s="247"/>
      <c r="Q147" s="247"/>
      <c r="R147" s="247"/>
      <c r="S147" s="247"/>
      <c r="T147" s="247"/>
    </row>
    <row r="148" spans="1:20" s="20" customFormat="1" x14ac:dyDescent="0.25">
      <c r="A148" s="26"/>
      <c r="B148" s="21"/>
      <c r="C148" s="21"/>
      <c r="D148" s="22"/>
      <c r="H148" s="22"/>
      <c r="J148" s="22"/>
      <c r="K148" s="27"/>
      <c r="L148" s="22"/>
      <c r="N148" s="22"/>
      <c r="O148" s="27"/>
      <c r="P148" s="247"/>
      <c r="Q148" s="247"/>
      <c r="R148" s="247"/>
      <c r="S148" s="247"/>
      <c r="T148" s="247"/>
    </row>
    <row r="149" spans="1:20" s="20" customFormat="1" x14ac:dyDescent="0.25">
      <c r="A149" s="26"/>
      <c r="B149" s="21"/>
      <c r="C149" s="21"/>
      <c r="D149" s="22"/>
      <c r="H149" s="22"/>
      <c r="J149" s="22"/>
      <c r="K149" s="27"/>
      <c r="L149" s="22"/>
      <c r="N149" s="22"/>
      <c r="O149" s="27"/>
      <c r="P149" s="247"/>
      <c r="Q149" s="247"/>
      <c r="R149" s="247"/>
      <c r="S149" s="247"/>
      <c r="T149" s="247"/>
    </row>
    <row r="150" spans="1:20" s="20" customFormat="1" x14ac:dyDescent="0.25">
      <c r="A150" s="26"/>
      <c r="B150" s="21"/>
      <c r="C150" s="21"/>
      <c r="D150" s="22"/>
      <c r="H150" s="22"/>
      <c r="J150" s="22"/>
      <c r="K150" s="27"/>
      <c r="L150" s="22"/>
      <c r="N150" s="22"/>
      <c r="O150" s="27"/>
      <c r="P150" s="247"/>
      <c r="Q150" s="247"/>
      <c r="R150" s="247"/>
      <c r="S150" s="247"/>
      <c r="T150" s="247"/>
    </row>
    <row r="151" spans="1:20" s="20" customFormat="1" x14ac:dyDescent="0.25">
      <c r="A151" s="26"/>
      <c r="B151" s="21"/>
      <c r="C151" s="21"/>
      <c r="D151" s="22"/>
      <c r="H151" s="22"/>
      <c r="J151" s="22"/>
      <c r="K151" s="27"/>
      <c r="L151" s="22"/>
      <c r="N151" s="22"/>
      <c r="O151" s="27"/>
      <c r="P151" s="247"/>
      <c r="Q151" s="247"/>
      <c r="R151" s="247"/>
      <c r="S151" s="247"/>
      <c r="T151" s="247"/>
    </row>
    <row r="152" spans="1:20" s="20" customFormat="1" x14ac:dyDescent="0.25">
      <c r="A152" s="26"/>
      <c r="B152" s="21"/>
      <c r="C152" s="21"/>
      <c r="D152" s="22"/>
      <c r="H152" s="22"/>
      <c r="J152" s="22"/>
      <c r="K152" s="27"/>
      <c r="L152" s="22"/>
      <c r="N152" s="22"/>
      <c r="O152" s="27"/>
      <c r="P152" s="247"/>
      <c r="Q152" s="247"/>
      <c r="R152" s="247"/>
      <c r="S152" s="247"/>
      <c r="T152" s="247"/>
    </row>
    <row r="153" spans="1:20" s="20" customFormat="1" x14ac:dyDescent="0.25">
      <c r="A153" s="26"/>
      <c r="B153" s="21"/>
      <c r="C153" s="21"/>
      <c r="D153" s="22"/>
      <c r="H153" s="22"/>
      <c r="J153" s="22"/>
      <c r="K153" s="27"/>
      <c r="L153" s="22"/>
      <c r="N153" s="22"/>
      <c r="O153" s="27"/>
      <c r="P153" s="247"/>
      <c r="Q153" s="247"/>
      <c r="R153" s="247"/>
      <c r="S153" s="247"/>
      <c r="T153" s="247"/>
    </row>
    <row r="154" spans="1:20" s="20" customFormat="1" x14ac:dyDescent="0.25">
      <c r="A154" s="26"/>
      <c r="B154" s="21"/>
      <c r="C154" s="21"/>
      <c r="D154" s="22"/>
      <c r="H154" s="22"/>
      <c r="J154" s="22"/>
      <c r="K154" s="27"/>
      <c r="L154" s="22"/>
      <c r="N154" s="22"/>
      <c r="O154" s="27"/>
      <c r="P154" s="247"/>
      <c r="Q154" s="247"/>
      <c r="R154" s="247"/>
      <c r="S154" s="247"/>
      <c r="T154" s="247"/>
    </row>
    <row r="155" spans="1:20" s="20" customFormat="1" x14ac:dyDescent="0.25">
      <c r="A155" s="26"/>
      <c r="B155" s="21"/>
      <c r="C155" s="21"/>
      <c r="D155" s="22"/>
      <c r="H155" s="22"/>
      <c r="J155" s="22"/>
      <c r="K155" s="27"/>
      <c r="L155" s="22"/>
      <c r="N155" s="22"/>
      <c r="O155" s="27"/>
      <c r="P155" s="247"/>
      <c r="Q155" s="247"/>
      <c r="R155" s="247"/>
      <c r="S155" s="247"/>
      <c r="T155" s="247"/>
    </row>
    <row r="156" spans="1:20" s="20" customFormat="1" x14ac:dyDescent="0.25">
      <c r="A156" s="26"/>
      <c r="B156" s="21"/>
      <c r="C156" s="21"/>
      <c r="D156" s="22"/>
      <c r="H156" s="22"/>
      <c r="J156" s="22"/>
      <c r="K156" s="27"/>
      <c r="L156" s="22"/>
      <c r="N156" s="22"/>
      <c r="O156" s="27"/>
      <c r="P156" s="247"/>
      <c r="Q156" s="247"/>
      <c r="R156" s="247"/>
      <c r="S156" s="247"/>
      <c r="T156" s="247"/>
    </row>
    <row r="157" spans="1:20" s="20" customFormat="1" x14ac:dyDescent="0.25">
      <c r="A157" s="26"/>
      <c r="B157" s="21"/>
      <c r="C157" s="21"/>
      <c r="D157" s="22"/>
      <c r="H157" s="22"/>
      <c r="J157" s="22"/>
      <c r="K157" s="27"/>
      <c r="L157" s="22"/>
      <c r="N157" s="22"/>
      <c r="O157" s="27"/>
      <c r="P157" s="247"/>
      <c r="Q157" s="247"/>
      <c r="R157" s="247"/>
      <c r="S157" s="247"/>
      <c r="T157" s="247"/>
    </row>
    <row r="158" spans="1:20" s="20" customFormat="1" x14ac:dyDescent="0.25">
      <c r="A158" s="26"/>
      <c r="B158" s="21"/>
      <c r="C158" s="21"/>
      <c r="D158" s="22"/>
      <c r="H158" s="22"/>
      <c r="J158" s="22"/>
      <c r="K158" s="27"/>
      <c r="L158" s="22"/>
      <c r="N158" s="22"/>
      <c r="O158" s="27"/>
      <c r="P158" s="247"/>
      <c r="Q158" s="247"/>
      <c r="R158" s="247"/>
      <c r="S158" s="247"/>
      <c r="T158" s="247"/>
    </row>
    <row r="159" spans="1:20" s="20" customFormat="1" x14ac:dyDescent="0.25">
      <c r="A159" s="26"/>
      <c r="B159" s="21"/>
      <c r="C159" s="21"/>
      <c r="D159" s="22"/>
      <c r="H159" s="22"/>
      <c r="J159" s="22"/>
      <c r="K159" s="27"/>
      <c r="L159" s="22"/>
      <c r="N159" s="22"/>
      <c r="O159" s="27"/>
      <c r="P159" s="247"/>
      <c r="Q159" s="247"/>
      <c r="R159" s="247"/>
      <c r="S159" s="247"/>
      <c r="T159" s="247"/>
    </row>
    <row r="160" spans="1:20" s="20" customFormat="1" x14ac:dyDescent="0.25">
      <c r="A160" s="26"/>
      <c r="B160" s="21"/>
      <c r="C160" s="21"/>
      <c r="D160" s="22"/>
      <c r="H160" s="22"/>
      <c r="J160" s="22"/>
      <c r="K160" s="27"/>
      <c r="L160" s="22"/>
      <c r="N160" s="22"/>
      <c r="O160" s="27"/>
      <c r="P160" s="247"/>
      <c r="Q160" s="247"/>
      <c r="R160" s="247"/>
      <c r="S160" s="247"/>
      <c r="T160" s="247"/>
    </row>
    <row r="161" spans="1:20" s="20" customFormat="1" x14ac:dyDescent="0.25">
      <c r="A161" s="26"/>
      <c r="B161" s="21"/>
      <c r="C161" s="21"/>
      <c r="D161" s="22"/>
      <c r="H161" s="22"/>
      <c r="J161" s="22"/>
      <c r="K161" s="27"/>
      <c r="L161" s="22"/>
      <c r="N161" s="22"/>
      <c r="O161" s="27"/>
      <c r="P161" s="247"/>
      <c r="Q161" s="247"/>
      <c r="R161" s="247"/>
      <c r="S161" s="247"/>
      <c r="T161" s="247"/>
    </row>
    <row r="162" spans="1:20" s="20" customFormat="1" x14ac:dyDescent="0.25">
      <c r="A162" s="26"/>
      <c r="B162" s="21"/>
      <c r="C162" s="21"/>
      <c r="D162" s="22"/>
      <c r="H162" s="22"/>
      <c r="J162" s="22"/>
      <c r="K162" s="27"/>
      <c r="L162" s="22"/>
      <c r="N162" s="22"/>
      <c r="O162" s="27"/>
      <c r="P162" s="247"/>
      <c r="Q162" s="247"/>
      <c r="R162" s="247"/>
      <c r="S162" s="247"/>
      <c r="T162" s="247"/>
    </row>
    <row r="163" spans="1:20" s="20" customFormat="1" x14ac:dyDescent="0.25">
      <c r="A163" s="26"/>
      <c r="B163" s="21"/>
      <c r="C163" s="21"/>
      <c r="D163" s="22"/>
      <c r="H163" s="22"/>
      <c r="J163" s="22"/>
      <c r="K163" s="27"/>
      <c r="L163" s="22"/>
      <c r="N163" s="22"/>
      <c r="O163" s="27"/>
      <c r="P163" s="247"/>
      <c r="Q163" s="247"/>
      <c r="R163" s="247"/>
      <c r="S163" s="247"/>
      <c r="T163" s="247"/>
    </row>
    <row r="164" spans="1:20" s="20" customFormat="1" x14ac:dyDescent="0.25">
      <c r="A164" s="26"/>
      <c r="B164" s="21"/>
      <c r="C164" s="21"/>
      <c r="D164" s="22"/>
      <c r="H164" s="22"/>
      <c r="J164" s="22"/>
      <c r="K164" s="27"/>
      <c r="L164" s="22"/>
      <c r="N164" s="22"/>
      <c r="O164" s="27"/>
      <c r="P164" s="247"/>
      <c r="Q164" s="247"/>
      <c r="R164" s="247"/>
      <c r="S164" s="247"/>
      <c r="T164" s="247"/>
    </row>
    <row r="165" spans="1:20" s="20" customFormat="1" x14ac:dyDescent="0.25">
      <c r="A165" s="26"/>
      <c r="B165" s="21"/>
      <c r="C165" s="21"/>
      <c r="D165" s="22"/>
      <c r="H165" s="22"/>
      <c r="J165" s="22"/>
      <c r="K165" s="27"/>
      <c r="L165" s="22"/>
      <c r="N165" s="22"/>
      <c r="O165" s="27"/>
      <c r="P165" s="247"/>
      <c r="Q165" s="247"/>
      <c r="R165" s="247"/>
      <c r="S165" s="247"/>
      <c r="T165" s="247"/>
    </row>
    <row r="166" spans="1:20" s="20" customFormat="1" x14ac:dyDescent="0.25">
      <c r="A166" s="26"/>
      <c r="B166" s="21"/>
      <c r="C166" s="21"/>
      <c r="D166" s="22"/>
      <c r="H166" s="22"/>
      <c r="J166" s="22"/>
      <c r="K166" s="27"/>
      <c r="L166" s="22"/>
      <c r="N166" s="22"/>
      <c r="O166" s="27"/>
      <c r="P166" s="247"/>
      <c r="Q166" s="247"/>
      <c r="R166" s="247"/>
      <c r="S166" s="247"/>
      <c r="T166" s="247"/>
    </row>
    <row r="167" spans="1:20" s="20" customFormat="1" x14ac:dyDescent="0.25">
      <c r="A167" s="26"/>
      <c r="B167" s="21"/>
      <c r="C167" s="21"/>
      <c r="D167" s="22"/>
      <c r="H167" s="22"/>
      <c r="J167" s="22"/>
      <c r="K167" s="27"/>
      <c r="L167" s="22"/>
      <c r="N167" s="22"/>
      <c r="O167" s="27"/>
      <c r="P167" s="247"/>
      <c r="Q167" s="247"/>
      <c r="R167" s="247"/>
      <c r="S167" s="247"/>
      <c r="T167" s="247"/>
    </row>
    <row r="168" spans="1:20" s="20" customFormat="1" x14ac:dyDescent="0.25">
      <c r="A168" s="26"/>
      <c r="B168" s="21"/>
      <c r="C168" s="21"/>
      <c r="D168" s="22"/>
      <c r="H168" s="22"/>
      <c r="J168" s="22"/>
      <c r="K168" s="27"/>
      <c r="L168" s="22"/>
      <c r="N168" s="22"/>
      <c r="O168" s="27"/>
      <c r="P168" s="247"/>
      <c r="Q168" s="247"/>
      <c r="R168" s="247"/>
      <c r="S168" s="247"/>
      <c r="T168" s="247"/>
    </row>
    <row r="169" spans="1:20" s="20" customFormat="1" x14ac:dyDescent="0.25">
      <c r="A169" s="26"/>
      <c r="B169" s="21"/>
      <c r="C169" s="21"/>
      <c r="D169" s="22"/>
      <c r="H169" s="22"/>
      <c r="J169" s="22"/>
      <c r="K169" s="27"/>
      <c r="L169" s="22"/>
      <c r="N169" s="22"/>
      <c r="O169" s="27"/>
      <c r="P169" s="247"/>
      <c r="Q169" s="247"/>
      <c r="R169" s="247"/>
      <c r="S169" s="247"/>
      <c r="T169" s="247"/>
    </row>
    <row r="170" spans="1:20" s="20" customFormat="1" x14ac:dyDescent="0.25">
      <c r="A170" s="26"/>
      <c r="B170" s="21"/>
      <c r="C170" s="21"/>
      <c r="D170" s="22"/>
      <c r="H170" s="22"/>
      <c r="J170" s="22"/>
      <c r="K170" s="27"/>
      <c r="L170" s="22"/>
      <c r="N170" s="22"/>
      <c r="O170" s="27"/>
      <c r="P170" s="247"/>
      <c r="Q170" s="247"/>
      <c r="R170" s="247"/>
      <c r="S170" s="247"/>
      <c r="T170" s="247"/>
    </row>
    <row r="171" spans="1:20" s="20" customFormat="1" x14ac:dyDescent="0.25">
      <c r="A171" s="26"/>
      <c r="B171" s="21"/>
      <c r="C171" s="21"/>
      <c r="D171" s="22"/>
      <c r="H171" s="22"/>
      <c r="J171" s="22"/>
      <c r="K171" s="27"/>
      <c r="L171" s="22"/>
      <c r="N171" s="22"/>
      <c r="O171" s="27"/>
      <c r="P171" s="247"/>
      <c r="Q171" s="247"/>
      <c r="R171" s="247"/>
      <c r="S171" s="247"/>
      <c r="T171" s="247"/>
    </row>
    <row r="172" spans="1:20" s="20" customFormat="1" x14ac:dyDescent="0.25">
      <c r="A172" s="26"/>
      <c r="B172" s="21"/>
      <c r="C172" s="21"/>
      <c r="D172" s="22"/>
      <c r="H172" s="22"/>
      <c r="J172" s="22"/>
      <c r="K172" s="27"/>
      <c r="L172" s="22"/>
      <c r="N172" s="22"/>
      <c r="O172" s="27"/>
      <c r="P172" s="247"/>
      <c r="Q172" s="247"/>
      <c r="R172" s="247"/>
      <c r="S172" s="247"/>
      <c r="T172" s="247"/>
    </row>
    <row r="173" spans="1:20" s="20" customFormat="1" x14ac:dyDescent="0.25">
      <c r="A173" s="26"/>
      <c r="B173" s="21"/>
      <c r="C173" s="21"/>
      <c r="D173" s="22"/>
      <c r="H173" s="22"/>
      <c r="J173" s="22"/>
      <c r="K173" s="27"/>
      <c r="L173" s="22"/>
      <c r="N173" s="22"/>
      <c r="O173" s="27"/>
      <c r="P173" s="247"/>
      <c r="Q173" s="247"/>
      <c r="R173" s="247"/>
      <c r="S173" s="247"/>
      <c r="T173" s="247"/>
    </row>
    <row r="174" spans="1:20" s="20" customFormat="1" x14ac:dyDescent="0.25">
      <c r="A174" s="26"/>
      <c r="B174" s="21"/>
      <c r="C174" s="21"/>
      <c r="D174" s="22"/>
      <c r="H174" s="22"/>
      <c r="J174" s="22"/>
      <c r="K174" s="27"/>
      <c r="L174" s="22"/>
      <c r="N174" s="22"/>
      <c r="O174" s="27"/>
      <c r="P174" s="247"/>
      <c r="Q174" s="247"/>
      <c r="R174" s="247"/>
      <c r="S174" s="247"/>
      <c r="T174" s="247"/>
    </row>
    <row r="175" spans="1:20" s="20" customFormat="1" x14ac:dyDescent="0.25">
      <c r="A175" s="26"/>
      <c r="B175" s="21"/>
      <c r="C175" s="21"/>
      <c r="D175" s="22"/>
      <c r="H175" s="22"/>
      <c r="J175" s="22"/>
      <c r="K175" s="27"/>
      <c r="L175" s="22"/>
      <c r="N175" s="22"/>
      <c r="O175" s="27"/>
      <c r="P175" s="247"/>
      <c r="Q175" s="247"/>
      <c r="R175" s="247"/>
      <c r="S175" s="247"/>
      <c r="T175" s="247"/>
    </row>
    <row r="176" spans="1:20" s="20" customFormat="1" x14ac:dyDescent="0.25">
      <c r="A176" s="26"/>
      <c r="B176" s="21"/>
      <c r="C176" s="21"/>
      <c r="D176" s="22"/>
      <c r="H176" s="22"/>
      <c r="J176" s="22"/>
      <c r="K176" s="27"/>
      <c r="L176" s="22"/>
      <c r="N176" s="22"/>
      <c r="O176" s="27"/>
      <c r="P176" s="247"/>
      <c r="Q176" s="247"/>
      <c r="R176" s="247"/>
      <c r="S176" s="247"/>
      <c r="T176" s="247"/>
    </row>
    <row r="177" spans="1:20" s="20" customFormat="1" x14ac:dyDescent="0.25">
      <c r="A177" s="26"/>
      <c r="B177" s="21"/>
      <c r="C177" s="21"/>
      <c r="D177" s="22"/>
      <c r="H177" s="22"/>
      <c r="J177" s="22"/>
      <c r="K177" s="27"/>
      <c r="L177" s="22"/>
      <c r="N177" s="22"/>
      <c r="O177" s="27"/>
      <c r="P177" s="247"/>
      <c r="Q177" s="247"/>
      <c r="R177" s="247"/>
      <c r="S177" s="247"/>
      <c r="T177" s="247"/>
    </row>
    <row r="178" spans="1:20" s="20" customFormat="1" x14ac:dyDescent="0.25">
      <c r="A178" s="26"/>
      <c r="B178" s="21"/>
      <c r="C178" s="21"/>
      <c r="D178" s="22"/>
      <c r="H178" s="22"/>
      <c r="J178" s="22"/>
      <c r="K178" s="27"/>
      <c r="L178" s="22"/>
      <c r="N178" s="22"/>
      <c r="O178" s="27"/>
      <c r="P178" s="247"/>
      <c r="Q178" s="247"/>
      <c r="R178" s="247"/>
      <c r="S178" s="247"/>
      <c r="T178" s="247"/>
    </row>
    <row r="179" spans="1:20" s="20" customFormat="1" x14ac:dyDescent="0.25">
      <c r="A179" s="26"/>
      <c r="B179" s="21"/>
      <c r="C179" s="21"/>
      <c r="D179" s="22"/>
      <c r="H179" s="22"/>
      <c r="J179" s="22"/>
      <c r="K179" s="27"/>
      <c r="L179" s="22"/>
      <c r="N179" s="22"/>
      <c r="O179" s="27"/>
      <c r="P179" s="247"/>
      <c r="Q179" s="247"/>
      <c r="R179" s="247"/>
      <c r="S179" s="247"/>
      <c r="T179" s="247"/>
    </row>
    <row r="180" spans="1:20" s="20" customFormat="1" x14ac:dyDescent="0.25">
      <c r="A180" s="26"/>
      <c r="B180" s="21"/>
      <c r="C180" s="21"/>
      <c r="D180" s="22"/>
      <c r="H180" s="22"/>
      <c r="J180" s="22"/>
      <c r="K180" s="27"/>
      <c r="L180" s="22"/>
      <c r="N180" s="22"/>
      <c r="O180" s="27"/>
      <c r="P180" s="247"/>
      <c r="Q180" s="247"/>
      <c r="R180" s="247"/>
      <c r="S180" s="247"/>
      <c r="T180" s="247"/>
    </row>
    <row r="181" spans="1:20" s="20" customFormat="1" x14ac:dyDescent="0.25">
      <c r="A181" s="26"/>
      <c r="B181" s="21"/>
      <c r="C181" s="21"/>
      <c r="D181" s="22"/>
      <c r="H181" s="22"/>
      <c r="J181" s="22"/>
      <c r="K181" s="27"/>
      <c r="L181" s="22"/>
      <c r="N181" s="22"/>
      <c r="O181" s="27"/>
      <c r="P181" s="247"/>
      <c r="Q181" s="247"/>
      <c r="R181" s="247"/>
      <c r="S181" s="247"/>
      <c r="T181" s="247"/>
    </row>
    <row r="182" spans="1:20" s="20" customFormat="1" x14ac:dyDescent="0.25">
      <c r="A182" s="26"/>
      <c r="B182" s="21"/>
      <c r="C182" s="21"/>
      <c r="D182" s="22"/>
      <c r="H182" s="22"/>
      <c r="J182" s="22"/>
      <c r="K182" s="27"/>
      <c r="L182" s="22"/>
      <c r="N182" s="22"/>
      <c r="O182" s="27"/>
      <c r="P182" s="247"/>
      <c r="Q182" s="247"/>
      <c r="R182" s="247"/>
      <c r="S182" s="247"/>
      <c r="T182" s="247"/>
    </row>
    <row r="183" spans="1:20" s="20" customFormat="1" x14ac:dyDescent="0.25">
      <c r="A183" s="26"/>
      <c r="B183" s="21"/>
      <c r="C183" s="21"/>
      <c r="D183" s="22"/>
      <c r="H183" s="22"/>
      <c r="J183" s="22"/>
      <c r="K183" s="27"/>
      <c r="L183" s="22"/>
      <c r="N183" s="22"/>
      <c r="O183" s="27"/>
      <c r="P183" s="247"/>
      <c r="Q183" s="247"/>
      <c r="R183" s="247"/>
      <c r="S183" s="247"/>
      <c r="T183" s="247"/>
    </row>
    <row r="184" spans="1:20" s="20" customFormat="1" x14ac:dyDescent="0.25">
      <c r="A184" s="26"/>
      <c r="B184" s="21"/>
      <c r="C184" s="21"/>
      <c r="D184" s="22"/>
      <c r="H184" s="22"/>
      <c r="J184" s="22"/>
      <c r="K184" s="27"/>
      <c r="L184" s="22"/>
      <c r="N184" s="22"/>
      <c r="O184" s="27"/>
      <c r="P184" s="247"/>
      <c r="Q184" s="247"/>
      <c r="R184" s="247"/>
      <c r="S184" s="247"/>
      <c r="T184" s="247"/>
    </row>
    <row r="185" spans="1:20" s="20" customFormat="1" x14ac:dyDescent="0.25">
      <c r="A185" s="26"/>
      <c r="B185" s="21"/>
      <c r="C185" s="21"/>
      <c r="D185" s="22"/>
      <c r="H185" s="22"/>
      <c r="J185" s="22"/>
      <c r="K185" s="27"/>
      <c r="L185" s="22"/>
      <c r="N185" s="22"/>
      <c r="O185" s="27"/>
      <c r="P185" s="247"/>
      <c r="Q185" s="247"/>
      <c r="R185" s="247"/>
      <c r="S185" s="247"/>
      <c r="T185" s="247"/>
    </row>
    <row r="186" spans="1:20" s="20" customFormat="1" x14ac:dyDescent="0.25">
      <c r="A186" s="26"/>
      <c r="B186" s="21"/>
      <c r="C186" s="21"/>
      <c r="D186" s="22"/>
      <c r="H186" s="22"/>
      <c r="J186" s="22"/>
      <c r="K186" s="27"/>
      <c r="L186" s="22"/>
      <c r="N186" s="22"/>
      <c r="O186" s="27"/>
      <c r="P186" s="247"/>
      <c r="Q186" s="247"/>
      <c r="R186" s="247"/>
      <c r="S186" s="247"/>
      <c r="T186" s="247"/>
    </row>
    <row r="187" spans="1:20" s="20" customFormat="1" x14ac:dyDescent="0.25">
      <c r="A187" s="26"/>
      <c r="B187" s="21"/>
      <c r="C187" s="21"/>
      <c r="D187" s="22"/>
      <c r="H187" s="22"/>
      <c r="J187" s="22"/>
      <c r="K187" s="27"/>
      <c r="L187" s="22"/>
      <c r="N187" s="22"/>
      <c r="O187" s="27"/>
      <c r="P187" s="247"/>
      <c r="Q187" s="247"/>
      <c r="R187" s="247"/>
      <c r="S187" s="247"/>
      <c r="T187" s="247"/>
    </row>
    <row r="188" spans="1:20" s="20" customFormat="1" x14ac:dyDescent="0.25">
      <c r="A188" s="26"/>
      <c r="B188" s="21"/>
      <c r="C188" s="21"/>
      <c r="D188" s="22"/>
      <c r="H188" s="22"/>
      <c r="J188" s="22"/>
      <c r="K188" s="27"/>
      <c r="L188" s="22"/>
      <c r="N188" s="22"/>
      <c r="O188" s="27"/>
      <c r="P188" s="247"/>
      <c r="Q188" s="247"/>
      <c r="R188" s="247"/>
      <c r="S188" s="247"/>
      <c r="T188" s="247"/>
    </row>
    <row r="189" spans="1:20" s="20" customFormat="1" x14ac:dyDescent="0.25">
      <c r="A189" s="26"/>
      <c r="B189" s="21"/>
      <c r="C189" s="21"/>
      <c r="D189" s="22"/>
      <c r="H189" s="22"/>
      <c r="J189" s="22"/>
      <c r="K189" s="27"/>
      <c r="L189" s="22"/>
      <c r="N189" s="22"/>
      <c r="O189" s="27"/>
      <c r="P189" s="247"/>
      <c r="Q189" s="247"/>
      <c r="R189" s="247"/>
      <c r="S189" s="247"/>
      <c r="T189" s="247"/>
    </row>
    <row r="190" spans="1:20" s="20" customFormat="1" x14ac:dyDescent="0.25">
      <c r="A190" s="26"/>
      <c r="B190" s="21"/>
      <c r="C190" s="21"/>
      <c r="D190" s="22"/>
      <c r="H190" s="22"/>
      <c r="J190" s="22"/>
      <c r="K190" s="27"/>
      <c r="L190" s="22"/>
      <c r="N190" s="22"/>
      <c r="O190" s="27"/>
      <c r="P190" s="247"/>
      <c r="Q190" s="247"/>
      <c r="R190" s="247"/>
      <c r="S190" s="247"/>
      <c r="T190" s="247"/>
    </row>
    <row r="191" spans="1:20" s="20" customFormat="1" x14ac:dyDescent="0.25">
      <c r="A191" s="26"/>
      <c r="B191" s="21"/>
      <c r="C191" s="21"/>
      <c r="D191" s="22"/>
      <c r="H191" s="22"/>
      <c r="J191" s="22"/>
      <c r="K191" s="27"/>
      <c r="L191" s="22"/>
      <c r="N191" s="22"/>
      <c r="O191" s="27"/>
      <c r="P191" s="247"/>
      <c r="Q191" s="247"/>
      <c r="R191" s="247"/>
      <c r="S191" s="247"/>
      <c r="T191" s="247"/>
    </row>
    <row r="192" spans="1:20" s="20" customFormat="1" x14ac:dyDescent="0.25">
      <c r="A192" s="26"/>
      <c r="B192" s="21"/>
      <c r="C192" s="21"/>
      <c r="D192" s="22"/>
      <c r="H192" s="22"/>
      <c r="J192" s="22"/>
      <c r="K192" s="27"/>
      <c r="L192" s="22"/>
      <c r="N192" s="22"/>
      <c r="O192" s="27"/>
      <c r="P192" s="247"/>
      <c r="Q192" s="247"/>
      <c r="R192" s="247"/>
      <c r="S192" s="247"/>
      <c r="T192" s="247"/>
    </row>
    <row r="193" spans="1:20" s="20" customFormat="1" x14ac:dyDescent="0.25">
      <c r="A193" s="26"/>
      <c r="B193" s="21"/>
      <c r="C193" s="21"/>
      <c r="D193" s="22"/>
      <c r="H193" s="22"/>
      <c r="J193" s="22"/>
      <c r="K193" s="27"/>
      <c r="L193" s="22"/>
      <c r="N193" s="22"/>
      <c r="O193" s="27"/>
      <c r="P193" s="247"/>
      <c r="Q193" s="247"/>
      <c r="R193" s="247"/>
      <c r="S193" s="247"/>
      <c r="T193" s="247"/>
    </row>
    <row r="194" spans="1:20" s="20" customFormat="1" x14ac:dyDescent="0.25">
      <c r="A194" s="26"/>
      <c r="B194" s="21"/>
      <c r="C194" s="21"/>
      <c r="D194" s="22"/>
      <c r="H194" s="22"/>
      <c r="J194" s="22"/>
      <c r="K194" s="27"/>
      <c r="L194" s="22"/>
      <c r="N194" s="22"/>
      <c r="O194" s="27"/>
      <c r="P194" s="247"/>
      <c r="Q194" s="247"/>
      <c r="R194" s="247"/>
      <c r="S194" s="247"/>
      <c r="T194" s="247"/>
    </row>
    <row r="195" spans="1:20" s="20" customFormat="1" x14ac:dyDescent="0.25">
      <c r="A195" s="26"/>
      <c r="B195" s="21"/>
      <c r="C195" s="21"/>
      <c r="D195" s="22"/>
      <c r="H195" s="22"/>
      <c r="J195" s="22"/>
      <c r="K195" s="27"/>
      <c r="L195" s="22"/>
      <c r="N195" s="22"/>
      <c r="O195" s="27"/>
      <c r="P195" s="247"/>
      <c r="Q195" s="247"/>
      <c r="R195" s="247"/>
      <c r="S195" s="247"/>
      <c r="T195" s="247"/>
    </row>
    <row r="196" spans="1:20" s="20" customFormat="1" x14ac:dyDescent="0.25">
      <c r="A196" s="26"/>
      <c r="B196" s="21"/>
      <c r="C196" s="21"/>
      <c r="D196" s="22"/>
      <c r="H196" s="22"/>
      <c r="J196" s="22"/>
      <c r="K196" s="27"/>
      <c r="L196" s="22"/>
      <c r="N196" s="22"/>
      <c r="O196" s="27"/>
      <c r="P196" s="247"/>
      <c r="Q196" s="247"/>
      <c r="R196" s="247"/>
      <c r="S196" s="247"/>
      <c r="T196" s="247"/>
    </row>
    <row r="197" spans="1:20" s="20" customFormat="1" x14ac:dyDescent="0.25">
      <c r="A197" s="26"/>
      <c r="B197" s="21"/>
      <c r="C197" s="21"/>
      <c r="D197" s="22"/>
      <c r="H197" s="22"/>
      <c r="J197" s="22"/>
      <c r="K197" s="27"/>
      <c r="L197" s="22"/>
      <c r="N197" s="22"/>
      <c r="O197" s="27"/>
      <c r="P197" s="247"/>
      <c r="Q197" s="247"/>
      <c r="R197" s="247"/>
      <c r="S197" s="247"/>
      <c r="T197" s="247"/>
    </row>
    <row r="198" spans="1:20" s="20" customFormat="1" x14ac:dyDescent="0.25">
      <c r="A198" s="26"/>
      <c r="B198" s="21"/>
      <c r="C198" s="21"/>
      <c r="D198" s="22"/>
      <c r="H198" s="22"/>
      <c r="J198" s="22"/>
      <c r="K198" s="27"/>
      <c r="L198" s="22"/>
      <c r="N198" s="22"/>
      <c r="O198" s="27"/>
      <c r="P198" s="247"/>
      <c r="Q198" s="247"/>
      <c r="R198" s="247"/>
      <c r="S198" s="247"/>
      <c r="T198" s="247"/>
    </row>
    <row r="199" spans="1:20" s="20" customFormat="1" x14ac:dyDescent="0.25">
      <c r="A199" s="26"/>
      <c r="B199" s="21"/>
      <c r="C199" s="21"/>
      <c r="D199" s="22"/>
      <c r="H199" s="22"/>
      <c r="J199" s="22"/>
      <c r="K199" s="27"/>
      <c r="L199" s="22"/>
      <c r="N199" s="22"/>
      <c r="O199" s="27"/>
      <c r="P199" s="247"/>
      <c r="Q199" s="247"/>
      <c r="R199" s="247"/>
      <c r="S199" s="247"/>
      <c r="T199" s="247"/>
    </row>
    <row r="200" spans="1:20" s="20" customFormat="1" x14ac:dyDescent="0.25">
      <c r="A200" s="26"/>
      <c r="B200" s="21"/>
      <c r="C200" s="21"/>
      <c r="D200" s="22"/>
      <c r="H200" s="22"/>
      <c r="J200" s="22"/>
      <c r="K200" s="27"/>
      <c r="L200" s="22"/>
      <c r="N200" s="22"/>
      <c r="O200" s="27"/>
      <c r="P200" s="247"/>
      <c r="Q200" s="247"/>
      <c r="R200" s="247"/>
      <c r="S200" s="247"/>
      <c r="T200" s="247"/>
    </row>
    <row r="201" spans="1:20" s="20" customFormat="1" x14ac:dyDescent="0.25">
      <c r="A201" s="26"/>
      <c r="B201" s="21"/>
      <c r="C201" s="21"/>
      <c r="D201" s="22"/>
      <c r="H201" s="22"/>
      <c r="J201" s="22"/>
      <c r="K201" s="27"/>
      <c r="L201" s="22"/>
      <c r="N201" s="22"/>
      <c r="O201" s="27"/>
      <c r="P201" s="247"/>
      <c r="Q201" s="247"/>
      <c r="R201" s="247"/>
      <c r="S201" s="247"/>
      <c r="T201" s="247"/>
    </row>
    <row r="202" spans="1:20" s="20" customFormat="1" x14ac:dyDescent="0.25">
      <c r="A202" s="26"/>
      <c r="B202" s="21"/>
      <c r="C202" s="21"/>
      <c r="D202" s="22"/>
      <c r="H202" s="22"/>
      <c r="J202" s="22"/>
      <c r="K202" s="27"/>
      <c r="L202" s="22"/>
      <c r="N202" s="22"/>
      <c r="O202" s="27"/>
      <c r="P202" s="247"/>
      <c r="Q202" s="247"/>
      <c r="R202" s="247"/>
      <c r="S202" s="247"/>
      <c r="T202" s="247"/>
    </row>
    <row r="203" spans="1:20" s="20" customFormat="1" x14ac:dyDescent="0.25">
      <c r="A203" s="26"/>
      <c r="B203" s="21"/>
      <c r="C203" s="21"/>
      <c r="D203" s="22"/>
      <c r="H203" s="22"/>
      <c r="J203" s="22"/>
      <c r="K203" s="27"/>
      <c r="L203" s="22"/>
      <c r="N203" s="22"/>
      <c r="O203" s="27"/>
      <c r="P203" s="247"/>
      <c r="Q203" s="247"/>
      <c r="R203" s="247"/>
      <c r="S203" s="247"/>
      <c r="T203" s="247"/>
    </row>
    <row r="204" spans="1:20" s="20" customFormat="1" x14ac:dyDescent="0.25">
      <c r="A204" s="26"/>
      <c r="B204" s="21"/>
      <c r="C204" s="21"/>
      <c r="D204" s="22"/>
      <c r="H204" s="22"/>
      <c r="J204" s="22"/>
      <c r="K204" s="27"/>
      <c r="L204" s="22"/>
      <c r="N204" s="22"/>
      <c r="O204" s="27"/>
      <c r="P204" s="247"/>
      <c r="Q204" s="247"/>
      <c r="R204" s="247"/>
      <c r="S204" s="247"/>
      <c r="T204" s="247"/>
    </row>
    <row r="205" spans="1:20" s="20" customFormat="1" x14ac:dyDescent="0.25">
      <c r="A205" s="26"/>
      <c r="B205" s="21"/>
      <c r="C205" s="21"/>
      <c r="D205" s="22"/>
      <c r="H205" s="22"/>
      <c r="J205" s="22"/>
      <c r="K205" s="27"/>
      <c r="L205" s="22"/>
      <c r="N205" s="22"/>
      <c r="O205" s="27"/>
      <c r="P205" s="247"/>
      <c r="Q205" s="247"/>
      <c r="R205" s="247"/>
      <c r="S205" s="247"/>
      <c r="T205" s="247"/>
    </row>
    <row r="206" spans="1:20" s="20" customFormat="1" x14ac:dyDescent="0.25">
      <c r="A206" s="26"/>
      <c r="B206" s="21"/>
      <c r="C206" s="21"/>
      <c r="D206" s="22"/>
      <c r="H206" s="22"/>
      <c r="J206" s="22"/>
      <c r="K206" s="27"/>
      <c r="L206" s="22"/>
      <c r="N206" s="22"/>
      <c r="O206" s="27"/>
      <c r="P206" s="247"/>
      <c r="Q206" s="247"/>
      <c r="R206" s="247"/>
      <c r="S206" s="247"/>
      <c r="T206" s="247"/>
    </row>
    <row r="207" spans="1:20" s="20" customFormat="1" x14ac:dyDescent="0.25">
      <c r="A207" s="26"/>
      <c r="B207" s="21"/>
      <c r="C207" s="21"/>
      <c r="D207" s="22"/>
      <c r="H207" s="22"/>
      <c r="J207" s="22"/>
      <c r="K207" s="27"/>
      <c r="L207" s="22"/>
      <c r="N207" s="22"/>
      <c r="O207" s="27"/>
      <c r="P207" s="247"/>
      <c r="Q207" s="247"/>
      <c r="R207" s="247"/>
      <c r="S207" s="247"/>
      <c r="T207" s="247"/>
    </row>
    <row r="208" spans="1:20" s="20" customFormat="1" x14ac:dyDescent="0.25">
      <c r="A208" s="26"/>
      <c r="B208" s="21"/>
      <c r="C208" s="21"/>
      <c r="D208" s="22"/>
      <c r="H208" s="22"/>
      <c r="J208" s="22"/>
      <c r="K208" s="27"/>
      <c r="L208" s="22"/>
      <c r="N208" s="22"/>
      <c r="O208" s="27"/>
      <c r="P208" s="247"/>
      <c r="Q208" s="247"/>
      <c r="R208" s="247"/>
      <c r="S208" s="247"/>
      <c r="T208" s="247"/>
    </row>
    <row r="209" spans="1:20" s="20" customFormat="1" x14ac:dyDescent="0.25">
      <c r="A209" s="26"/>
      <c r="B209" s="21"/>
      <c r="C209" s="21"/>
      <c r="D209" s="22"/>
      <c r="H209" s="22"/>
      <c r="J209" s="22"/>
      <c r="K209" s="27"/>
      <c r="L209" s="22"/>
      <c r="N209" s="22"/>
      <c r="O209" s="27"/>
      <c r="P209" s="247"/>
      <c r="Q209" s="247"/>
      <c r="R209" s="247"/>
      <c r="S209" s="247"/>
      <c r="T209" s="247"/>
    </row>
    <row r="210" spans="1:20" s="20" customFormat="1" x14ac:dyDescent="0.25">
      <c r="A210" s="26"/>
      <c r="B210" s="21"/>
      <c r="C210" s="21"/>
      <c r="D210" s="22"/>
      <c r="H210" s="22"/>
      <c r="J210" s="22"/>
      <c r="K210" s="27"/>
      <c r="L210" s="22"/>
      <c r="N210" s="22"/>
      <c r="O210" s="27"/>
      <c r="P210" s="247"/>
      <c r="Q210" s="247"/>
      <c r="R210" s="247"/>
      <c r="S210" s="247"/>
      <c r="T210" s="247"/>
    </row>
    <row r="211" spans="1:20" s="20" customFormat="1" x14ac:dyDescent="0.25">
      <c r="A211" s="26"/>
      <c r="B211" s="21"/>
      <c r="C211" s="21"/>
      <c r="D211" s="22"/>
      <c r="H211" s="22"/>
      <c r="J211" s="22"/>
      <c r="K211" s="27"/>
      <c r="L211" s="22"/>
      <c r="N211" s="22"/>
      <c r="O211" s="27"/>
      <c r="P211" s="247"/>
      <c r="Q211" s="247"/>
      <c r="R211" s="247"/>
      <c r="S211" s="247"/>
      <c r="T211" s="247"/>
    </row>
    <row r="212" spans="1:20" s="20" customFormat="1" x14ac:dyDescent="0.25">
      <c r="A212" s="26"/>
      <c r="B212" s="21"/>
      <c r="C212" s="21"/>
      <c r="D212" s="22"/>
      <c r="H212" s="22"/>
      <c r="J212" s="22"/>
      <c r="K212" s="27"/>
      <c r="L212" s="22"/>
      <c r="N212" s="22"/>
      <c r="O212" s="27"/>
      <c r="P212" s="247"/>
      <c r="Q212" s="247"/>
      <c r="R212" s="247"/>
      <c r="S212" s="247"/>
      <c r="T212" s="247"/>
    </row>
    <row r="213" spans="1:20" s="20" customFormat="1" x14ac:dyDescent="0.25">
      <c r="A213" s="26"/>
      <c r="B213" s="21"/>
      <c r="C213" s="21"/>
      <c r="D213" s="22"/>
      <c r="H213" s="22"/>
      <c r="J213" s="22"/>
      <c r="K213" s="27"/>
      <c r="L213" s="22"/>
      <c r="N213" s="22"/>
      <c r="O213" s="27"/>
      <c r="P213" s="247"/>
      <c r="Q213" s="247"/>
      <c r="R213" s="247"/>
      <c r="S213" s="247"/>
      <c r="T213" s="247"/>
    </row>
    <row r="214" spans="1:20" s="20" customFormat="1" x14ac:dyDescent="0.25">
      <c r="A214" s="26"/>
      <c r="B214" s="21"/>
      <c r="C214" s="21"/>
      <c r="D214" s="22"/>
      <c r="H214" s="22"/>
      <c r="J214" s="22"/>
      <c r="K214" s="27"/>
      <c r="L214" s="22"/>
      <c r="N214" s="22"/>
      <c r="O214" s="27"/>
      <c r="P214" s="247"/>
      <c r="Q214" s="247"/>
      <c r="R214" s="247"/>
      <c r="S214" s="247"/>
      <c r="T214" s="247"/>
    </row>
    <row r="215" spans="1:20" s="20" customFormat="1" x14ac:dyDescent="0.25">
      <c r="A215" s="26"/>
      <c r="B215" s="21"/>
      <c r="C215" s="21"/>
      <c r="D215" s="22"/>
      <c r="H215" s="22"/>
      <c r="J215" s="22"/>
      <c r="K215" s="27"/>
      <c r="L215" s="22"/>
      <c r="N215" s="22"/>
      <c r="O215" s="27"/>
      <c r="P215" s="247"/>
      <c r="Q215" s="247"/>
      <c r="R215" s="247"/>
      <c r="S215" s="247"/>
      <c r="T215" s="247"/>
    </row>
    <row r="216" spans="1:20" s="20" customFormat="1" x14ac:dyDescent="0.25">
      <c r="A216" s="26"/>
      <c r="B216" s="21"/>
      <c r="C216" s="21"/>
      <c r="D216" s="22"/>
      <c r="H216" s="22"/>
      <c r="J216" s="22"/>
      <c r="K216" s="27"/>
      <c r="L216" s="22"/>
      <c r="N216" s="22"/>
      <c r="O216" s="27"/>
      <c r="P216" s="247"/>
      <c r="Q216" s="247"/>
      <c r="R216" s="247"/>
      <c r="S216" s="247"/>
      <c r="T216" s="247"/>
    </row>
    <row r="217" spans="1:20" s="20" customFormat="1" x14ac:dyDescent="0.25">
      <c r="A217" s="26"/>
      <c r="B217" s="21"/>
      <c r="C217" s="21"/>
      <c r="D217" s="22"/>
      <c r="H217" s="22"/>
      <c r="J217" s="22"/>
      <c r="K217" s="27"/>
      <c r="L217" s="22"/>
      <c r="N217" s="22"/>
      <c r="O217" s="27"/>
      <c r="P217" s="247"/>
      <c r="Q217" s="247"/>
      <c r="R217" s="247"/>
      <c r="S217" s="247"/>
      <c r="T217" s="247"/>
    </row>
    <row r="218" spans="1:20" s="20" customFormat="1" x14ac:dyDescent="0.25">
      <c r="A218" s="26"/>
      <c r="B218" s="21"/>
      <c r="C218" s="21"/>
      <c r="D218" s="22"/>
      <c r="H218" s="22"/>
      <c r="J218" s="22"/>
      <c r="K218" s="27"/>
      <c r="L218" s="22"/>
      <c r="N218" s="22"/>
      <c r="O218" s="27"/>
      <c r="P218" s="247"/>
      <c r="Q218" s="247"/>
      <c r="R218" s="247"/>
      <c r="S218" s="247"/>
      <c r="T218" s="247"/>
    </row>
    <row r="219" spans="1:20" s="20" customFormat="1" x14ac:dyDescent="0.25">
      <c r="A219" s="26"/>
      <c r="B219" s="21"/>
      <c r="C219" s="21"/>
      <c r="D219" s="22"/>
      <c r="H219" s="22"/>
      <c r="J219" s="22"/>
      <c r="K219" s="27"/>
      <c r="L219" s="22"/>
      <c r="N219" s="22"/>
      <c r="O219" s="27"/>
      <c r="P219" s="247"/>
      <c r="Q219" s="247"/>
      <c r="R219" s="247"/>
      <c r="S219" s="247"/>
      <c r="T219" s="247"/>
    </row>
    <row r="220" spans="1:20" s="20" customFormat="1" x14ac:dyDescent="0.25">
      <c r="A220" s="26"/>
      <c r="B220" s="21"/>
      <c r="C220" s="21"/>
      <c r="D220" s="22"/>
      <c r="H220" s="22"/>
      <c r="J220" s="22"/>
      <c r="K220" s="27"/>
      <c r="L220" s="22"/>
      <c r="N220" s="22"/>
      <c r="O220" s="27"/>
      <c r="P220" s="247"/>
      <c r="Q220" s="247"/>
      <c r="R220" s="247"/>
      <c r="S220" s="247"/>
      <c r="T220" s="247"/>
    </row>
    <row r="221" spans="1:20" s="20" customFormat="1" x14ac:dyDescent="0.25">
      <c r="A221" s="26"/>
      <c r="B221" s="21"/>
      <c r="C221" s="21"/>
      <c r="D221" s="22"/>
      <c r="H221" s="22"/>
      <c r="J221" s="22"/>
      <c r="K221" s="27"/>
      <c r="L221" s="22"/>
      <c r="N221" s="22"/>
      <c r="O221" s="27"/>
      <c r="P221" s="247"/>
      <c r="Q221" s="247"/>
      <c r="R221" s="247"/>
      <c r="S221" s="247"/>
      <c r="T221" s="247"/>
    </row>
    <row r="222" spans="1:20" s="20" customFormat="1" x14ac:dyDescent="0.25">
      <c r="A222" s="26"/>
      <c r="B222" s="21"/>
      <c r="C222" s="21"/>
      <c r="D222" s="22"/>
      <c r="H222" s="22"/>
      <c r="J222" s="22"/>
      <c r="K222" s="27"/>
      <c r="L222" s="22"/>
      <c r="N222" s="22"/>
      <c r="O222" s="27"/>
      <c r="P222" s="247"/>
      <c r="Q222" s="247"/>
      <c r="R222" s="247"/>
      <c r="S222" s="247"/>
      <c r="T222" s="247"/>
    </row>
    <row r="223" spans="1:20" s="20" customFormat="1" x14ac:dyDescent="0.25">
      <c r="A223" s="26"/>
      <c r="B223" s="21"/>
      <c r="C223" s="21"/>
      <c r="D223" s="22"/>
      <c r="H223" s="22"/>
      <c r="J223" s="22"/>
      <c r="K223" s="27"/>
      <c r="L223" s="22"/>
      <c r="N223" s="22"/>
      <c r="O223" s="27"/>
      <c r="P223" s="247"/>
      <c r="Q223" s="247"/>
      <c r="R223" s="247"/>
      <c r="S223" s="247"/>
      <c r="T223" s="247"/>
    </row>
    <row r="224" spans="1:20" s="20" customFormat="1" x14ac:dyDescent="0.25">
      <c r="A224" s="26"/>
      <c r="B224" s="21"/>
      <c r="C224" s="21"/>
      <c r="D224" s="22"/>
      <c r="H224" s="22"/>
      <c r="J224" s="22"/>
      <c r="K224" s="27"/>
      <c r="L224" s="22"/>
      <c r="N224" s="22"/>
      <c r="O224" s="27"/>
      <c r="P224" s="247"/>
      <c r="Q224" s="247"/>
      <c r="R224" s="247"/>
      <c r="S224" s="247"/>
      <c r="T224" s="247"/>
    </row>
    <row r="225" spans="1:20" s="20" customFormat="1" x14ac:dyDescent="0.25">
      <c r="A225" s="26"/>
      <c r="B225" s="21"/>
      <c r="C225" s="21"/>
      <c r="D225" s="22"/>
      <c r="H225" s="22"/>
      <c r="J225" s="22"/>
      <c r="K225" s="27"/>
      <c r="L225" s="22"/>
      <c r="N225" s="22"/>
      <c r="O225" s="27"/>
      <c r="P225" s="247"/>
      <c r="Q225" s="247"/>
      <c r="R225" s="247"/>
      <c r="S225" s="247"/>
      <c r="T225" s="247"/>
    </row>
    <row r="226" spans="1:20" s="20" customFormat="1" x14ac:dyDescent="0.25">
      <c r="A226" s="26"/>
      <c r="B226" s="21"/>
      <c r="C226" s="21"/>
      <c r="D226" s="22"/>
      <c r="H226" s="22"/>
      <c r="J226" s="22"/>
      <c r="K226" s="27"/>
      <c r="L226" s="22"/>
      <c r="N226" s="22"/>
      <c r="O226" s="27"/>
      <c r="P226" s="247"/>
      <c r="Q226" s="247"/>
      <c r="R226" s="247"/>
      <c r="S226" s="247"/>
      <c r="T226" s="247"/>
    </row>
    <row r="227" spans="1:20" s="20" customFormat="1" x14ac:dyDescent="0.25">
      <c r="A227" s="26"/>
      <c r="B227" s="21"/>
      <c r="C227" s="21"/>
      <c r="D227" s="22"/>
      <c r="H227" s="22"/>
      <c r="J227" s="22"/>
      <c r="K227" s="27"/>
      <c r="L227" s="22"/>
      <c r="N227" s="22"/>
      <c r="O227" s="27"/>
      <c r="P227" s="247"/>
      <c r="Q227" s="247"/>
      <c r="R227" s="247"/>
      <c r="S227" s="247"/>
      <c r="T227" s="247"/>
    </row>
    <row r="228" spans="1:20" s="20" customFormat="1" x14ac:dyDescent="0.25">
      <c r="A228" s="26"/>
      <c r="B228" s="21"/>
      <c r="C228" s="21"/>
      <c r="D228" s="22"/>
      <c r="H228" s="22"/>
      <c r="J228" s="22"/>
      <c r="K228" s="27"/>
      <c r="L228" s="22"/>
      <c r="N228" s="22"/>
      <c r="O228" s="27"/>
      <c r="P228" s="247"/>
      <c r="Q228" s="247"/>
      <c r="R228" s="247"/>
      <c r="S228" s="247"/>
      <c r="T228" s="247"/>
    </row>
    <row r="229" spans="1:20" s="20" customFormat="1" x14ac:dyDescent="0.25">
      <c r="A229" s="26"/>
      <c r="B229" s="21"/>
      <c r="C229" s="21"/>
      <c r="D229" s="22"/>
      <c r="H229" s="22"/>
      <c r="J229" s="22"/>
      <c r="K229" s="27"/>
      <c r="L229" s="22"/>
      <c r="N229" s="22"/>
      <c r="O229" s="27"/>
      <c r="P229" s="247"/>
      <c r="Q229" s="247"/>
      <c r="R229" s="247"/>
      <c r="S229" s="247"/>
      <c r="T229" s="247"/>
    </row>
    <row r="230" spans="1:20" s="20" customFormat="1" x14ac:dyDescent="0.25">
      <c r="A230" s="26"/>
      <c r="B230" s="21"/>
      <c r="C230" s="21"/>
      <c r="D230" s="22"/>
      <c r="H230" s="22"/>
      <c r="J230" s="22"/>
      <c r="K230" s="27"/>
      <c r="L230" s="22"/>
      <c r="N230" s="22"/>
      <c r="O230" s="27"/>
      <c r="P230" s="247"/>
      <c r="Q230" s="247"/>
      <c r="R230" s="247"/>
      <c r="S230" s="247"/>
      <c r="T230" s="247"/>
    </row>
    <row r="231" spans="1:20" s="20" customFormat="1" x14ac:dyDescent="0.25">
      <c r="A231" s="26"/>
      <c r="B231" s="21"/>
      <c r="C231" s="21"/>
      <c r="D231" s="22"/>
      <c r="H231" s="22"/>
      <c r="J231" s="22"/>
      <c r="K231" s="27"/>
      <c r="L231" s="22"/>
      <c r="N231" s="22"/>
      <c r="O231" s="27"/>
      <c r="P231" s="247"/>
      <c r="Q231" s="247"/>
      <c r="R231" s="247"/>
      <c r="S231" s="247"/>
      <c r="T231" s="247"/>
    </row>
    <row r="232" spans="1:20" s="20" customFormat="1" x14ac:dyDescent="0.25">
      <c r="A232" s="26"/>
      <c r="B232" s="21"/>
      <c r="C232" s="21"/>
      <c r="D232" s="22"/>
      <c r="H232" s="22"/>
      <c r="J232" s="22"/>
      <c r="K232" s="27"/>
      <c r="L232" s="22"/>
      <c r="N232" s="22"/>
      <c r="O232" s="27"/>
      <c r="P232" s="247"/>
      <c r="Q232" s="247"/>
      <c r="R232" s="247"/>
      <c r="S232" s="247"/>
      <c r="T232" s="247"/>
    </row>
    <row r="233" spans="1:20" s="20" customFormat="1" x14ac:dyDescent="0.25">
      <c r="A233" s="26"/>
      <c r="B233" s="21"/>
      <c r="C233" s="21"/>
      <c r="D233" s="22"/>
      <c r="H233" s="22"/>
      <c r="J233" s="22"/>
      <c r="K233" s="27"/>
      <c r="L233" s="22"/>
      <c r="N233" s="22"/>
      <c r="O233" s="27"/>
      <c r="P233" s="247"/>
      <c r="Q233" s="247"/>
      <c r="R233" s="247"/>
      <c r="S233" s="247"/>
      <c r="T233" s="247"/>
    </row>
    <row r="234" spans="1:20" s="20" customFormat="1" x14ac:dyDescent="0.25">
      <c r="A234" s="26"/>
      <c r="B234" s="21"/>
      <c r="C234" s="21"/>
      <c r="D234" s="22"/>
      <c r="H234" s="22"/>
      <c r="J234" s="22"/>
      <c r="K234" s="27"/>
      <c r="L234" s="22"/>
      <c r="N234" s="22"/>
      <c r="O234" s="27"/>
      <c r="P234" s="247"/>
      <c r="Q234" s="247"/>
      <c r="R234" s="247"/>
      <c r="S234" s="247"/>
      <c r="T234" s="247"/>
    </row>
    <row r="235" spans="1:20" s="20" customFormat="1" x14ac:dyDescent="0.25">
      <c r="A235" s="26"/>
      <c r="B235" s="21"/>
      <c r="C235" s="21"/>
      <c r="D235" s="22"/>
      <c r="H235" s="22"/>
      <c r="J235" s="22"/>
      <c r="K235" s="27"/>
      <c r="L235" s="22"/>
      <c r="N235" s="22"/>
      <c r="O235" s="27"/>
      <c r="P235" s="247"/>
      <c r="Q235" s="247"/>
      <c r="R235" s="247"/>
      <c r="S235" s="247"/>
      <c r="T235" s="247"/>
    </row>
    <row r="236" spans="1:20" s="20" customFormat="1" x14ac:dyDescent="0.25">
      <c r="A236" s="26"/>
      <c r="B236" s="21"/>
      <c r="C236" s="21"/>
      <c r="D236" s="22"/>
      <c r="H236" s="22"/>
      <c r="J236" s="22"/>
      <c r="K236" s="27"/>
      <c r="L236" s="22"/>
      <c r="N236" s="22"/>
      <c r="O236" s="27"/>
      <c r="P236" s="247"/>
      <c r="Q236" s="247"/>
      <c r="R236" s="247"/>
      <c r="S236" s="247"/>
      <c r="T236" s="247"/>
    </row>
    <row r="237" spans="1:20" s="20" customFormat="1" x14ac:dyDescent="0.25">
      <c r="A237" s="26"/>
      <c r="B237" s="21"/>
      <c r="C237" s="21"/>
      <c r="D237" s="22"/>
      <c r="H237" s="22"/>
      <c r="J237" s="22"/>
      <c r="K237" s="27"/>
      <c r="L237" s="22"/>
      <c r="N237" s="22"/>
      <c r="O237" s="27"/>
      <c r="P237" s="247"/>
      <c r="Q237" s="247"/>
      <c r="R237" s="247"/>
      <c r="S237" s="247"/>
      <c r="T237" s="247"/>
    </row>
    <row r="238" spans="1:20" s="20" customFormat="1" x14ac:dyDescent="0.25">
      <c r="A238" s="26"/>
      <c r="B238" s="21"/>
      <c r="C238" s="21"/>
      <c r="D238" s="22"/>
      <c r="H238" s="22"/>
      <c r="J238" s="22"/>
      <c r="K238" s="27"/>
      <c r="L238" s="22"/>
      <c r="N238" s="22"/>
      <c r="O238" s="27"/>
      <c r="P238" s="247"/>
      <c r="Q238" s="247"/>
      <c r="R238" s="247"/>
      <c r="S238" s="247"/>
      <c r="T238" s="247"/>
    </row>
    <row r="239" spans="1:20" s="20" customFormat="1" x14ac:dyDescent="0.25">
      <c r="A239" s="26"/>
      <c r="B239" s="21"/>
      <c r="C239" s="21"/>
      <c r="D239" s="22"/>
      <c r="H239" s="22"/>
      <c r="J239" s="22"/>
      <c r="K239" s="27"/>
      <c r="L239" s="22"/>
      <c r="N239" s="22"/>
      <c r="O239" s="27"/>
      <c r="P239" s="247"/>
      <c r="Q239" s="247"/>
      <c r="R239" s="247"/>
      <c r="S239" s="247"/>
      <c r="T239" s="247"/>
    </row>
    <row r="240" spans="1:20" s="20" customFormat="1" x14ac:dyDescent="0.25">
      <c r="A240" s="26"/>
      <c r="B240" s="21"/>
      <c r="C240" s="21"/>
      <c r="D240" s="22"/>
      <c r="H240" s="22"/>
      <c r="J240" s="22"/>
      <c r="K240" s="27"/>
      <c r="L240" s="22"/>
      <c r="N240" s="22"/>
      <c r="O240" s="27"/>
      <c r="P240" s="247"/>
      <c r="Q240" s="247"/>
      <c r="R240" s="247"/>
      <c r="S240" s="247"/>
      <c r="T240" s="247"/>
    </row>
    <row r="241" spans="1:20" s="20" customFormat="1" x14ac:dyDescent="0.25">
      <c r="A241" s="26"/>
      <c r="B241" s="21"/>
      <c r="C241" s="21"/>
      <c r="D241" s="22"/>
      <c r="H241" s="22"/>
      <c r="J241" s="22"/>
      <c r="K241" s="27"/>
      <c r="L241" s="22"/>
      <c r="N241" s="22"/>
      <c r="O241" s="27"/>
      <c r="P241" s="247"/>
      <c r="Q241" s="247"/>
      <c r="R241" s="247"/>
      <c r="S241" s="247"/>
      <c r="T241" s="247"/>
    </row>
    <row r="242" spans="1:20" s="20" customFormat="1" x14ac:dyDescent="0.25">
      <c r="A242" s="26"/>
      <c r="B242" s="21"/>
      <c r="C242" s="21"/>
      <c r="D242" s="22"/>
      <c r="H242" s="22"/>
      <c r="J242" s="22"/>
      <c r="K242" s="27"/>
      <c r="L242" s="22"/>
      <c r="N242" s="22"/>
      <c r="O242" s="27"/>
      <c r="P242" s="247"/>
      <c r="Q242" s="247"/>
      <c r="R242" s="247"/>
      <c r="S242" s="247"/>
      <c r="T242" s="247"/>
    </row>
    <row r="243" spans="1:20" s="20" customFormat="1" x14ac:dyDescent="0.25">
      <c r="A243" s="26"/>
      <c r="B243" s="21"/>
      <c r="C243" s="21"/>
      <c r="D243" s="22"/>
      <c r="H243" s="22"/>
      <c r="J243" s="22"/>
      <c r="K243" s="27"/>
      <c r="L243" s="22"/>
      <c r="N243" s="22"/>
      <c r="O243" s="27"/>
      <c r="P243" s="247"/>
      <c r="Q243" s="247"/>
      <c r="R243" s="247"/>
      <c r="S243" s="247"/>
      <c r="T243" s="247"/>
    </row>
    <row r="244" spans="1:20" s="20" customFormat="1" x14ac:dyDescent="0.25">
      <c r="A244" s="26"/>
      <c r="B244" s="21"/>
      <c r="C244" s="21"/>
      <c r="D244" s="22"/>
      <c r="H244" s="22"/>
      <c r="J244" s="22"/>
      <c r="K244" s="27"/>
      <c r="L244" s="22"/>
      <c r="N244" s="22"/>
      <c r="O244" s="27"/>
      <c r="P244" s="247"/>
      <c r="Q244" s="247"/>
      <c r="R244" s="247"/>
      <c r="S244" s="247"/>
      <c r="T244" s="247"/>
    </row>
    <row r="245" spans="1:20" s="20" customFormat="1" x14ac:dyDescent="0.25">
      <c r="A245" s="26"/>
      <c r="B245" s="21"/>
      <c r="C245" s="21"/>
      <c r="D245" s="22"/>
      <c r="H245" s="22"/>
      <c r="J245" s="22"/>
      <c r="K245" s="27"/>
      <c r="L245" s="22"/>
      <c r="N245" s="22"/>
      <c r="O245" s="27"/>
      <c r="P245" s="247"/>
      <c r="Q245" s="247"/>
      <c r="R245" s="247"/>
      <c r="S245" s="247"/>
      <c r="T245" s="247"/>
    </row>
    <row r="246" spans="1:20" s="20" customFormat="1" x14ac:dyDescent="0.25">
      <c r="A246" s="26"/>
      <c r="B246" s="21"/>
      <c r="C246" s="21"/>
      <c r="D246" s="22"/>
      <c r="H246" s="22"/>
      <c r="J246" s="22"/>
      <c r="K246" s="27"/>
      <c r="L246" s="22"/>
      <c r="N246" s="22"/>
      <c r="O246" s="27"/>
      <c r="P246" s="247"/>
      <c r="Q246" s="247"/>
      <c r="R246" s="247"/>
      <c r="S246" s="247"/>
      <c r="T246" s="247"/>
    </row>
    <row r="247" spans="1:20" s="20" customFormat="1" x14ac:dyDescent="0.25">
      <c r="A247" s="26"/>
      <c r="B247" s="21"/>
      <c r="C247" s="21"/>
      <c r="D247" s="22"/>
      <c r="H247" s="22"/>
      <c r="J247" s="22"/>
      <c r="K247" s="27"/>
      <c r="L247" s="22"/>
      <c r="N247" s="22"/>
      <c r="O247" s="27"/>
      <c r="P247" s="247"/>
      <c r="Q247" s="247"/>
      <c r="R247" s="247"/>
      <c r="S247" s="247"/>
      <c r="T247" s="247"/>
    </row>
    <row r="248" spans="1:20" s="20" customFormat="1" x14ac:dyDescent="0.25">
      <c r="A248" s="26"/>
      <c r="B248" s="21"/>
      <c r="C248" s="21"/>
      <c r="D248" s="22"/>
      <c r="H248" s="22"/>
      <c r="J248" s="22"/>
      <c r="K248" s="27"/>
      <c r="L248" s="22"/>
      <c r="N248" s="22"/>
      <c r="O248" s="27"/>
      <c r="P248" s="247"/>
      <c r="Q248" s="247"/>
      <c r="R248" s="247"/>
      <c r="S248" s="247"/>
      <c r="T248" s="247"/>
    </row>
    <row r="249" spans="1:20" s="20" customFormat="1" x14ac:dyDescent="0.25">
      <c r="A249" s="26"/>
      <c r="B249" s="21"/>
      <c r="C249" s="21"/>
      <c r="D249" s="22"/>
      <c r="H249" s="22"/>
      <c r="J249" s="22"/>
      <c r="K249" s="27"/>
      <c r="L249" s="22"/>
      <c r="N249" s="22"/>
      <c r="O249" s="27"/>
      <c r="P249" s="247"/>
      <c r="Q249" s="247"/>
      <c r="R249" s="247"/>
      <c r="S249" s="247"/>
      <c r="T249" s="247"/>
    </row>
    <row r="250" spans="1:20" s="20" customFormat="1" x14ac:dyDescent="0.25">
      <c r="A250" s="26"/>
      <c r="B250" s="21"/>
      <c r="C250" s="21"/>
      <c r="D250" s="22"/>
      <c r="H250" s="22"/>
      <c r="J250" s="22"/>
      <c r="K250" s="27"/>
      <c r="L250" s="22"/>
      <c r="N250" s="22"/>
      <c r="O250" s="27"/>
      <c r="P250" s="247"/>
      <c r="Q250" s="247"/>
      <c r="R250" s="247"/>
      <c r="S250" s="247"/>
      <c r="T250" s="247"/>
    </row>
    <row r="251" spans="1:20" s="20" customFormat="1" x14ac:dyDescent="0.25">
      <c r="A251" s="26"/>
      <c r="B251" s="21"/>
      <c r="C251" s="21"/>
      <c r="D251" s="22"/>
      <c r="H251" s="22"/>
      <c r="J251" s="22"/>
      <c r="K251" s="27"/>
      <c r="L251" s="22"/>
      <c r="N251" s="22"/>
      <c r="O251" s="27"/>
      <c r="P251" s="247"/>
      <c r="Q251" s="247"/>
      <c r="R251" s="247"/>
      <c r="S251" s="247"/>
      <c r="T251" s="247"/>
    </row>
    <row r="252" spans="1:20" s="20" customFormat="1" x14ac:dyDescent="0.25">
      <c r="A252" s="26"/>
      <c r="B252" s="21"/>
      <c r="C252" s="21"/>
      <c r="D252" s="22"/>
      <c r="H252" s="22"/>
      <c r="J252" s="22"/>
      <c r="K252" s="27"/>
      <c r="L252" s="22"/>
      <c r="N252" s="22"/>
      <c r="O252" s="27"/>
      <c r="P252" s="247"/>
      <c r="Q252" s="247"/>
      <c r="R252" s="247"/>
      <c r="S252" s="247"/>
      <c r="T252" s="247"/>
    </row>
    <row r="253" spans="1:20" s="20" customFormat="1" x14ac:dyDescent="0.25">
      <c r="A253" s="26"/>
      <c r="B253" s="21"/>
      <c r="C253" s="21"/>
      <c r="D253" s="22"/>
      <c r="H253" s="22"/>
      <c r="J253" s="22"/>
      <c r="K253" s="27"/>
      <c r="L253" s="22"/>
      <c r="N253" s="22"/>
      <c r="O253" s="27"/>
      <c r="P253" s="247"/>
      <c r="Q253" s="247"/>
      <c r="R253" s="247"/>
      <c r="S253" s="247"/>
      <c r="T253" s="247"/>
    </row>
    <row r="254" spans="1:20" s="20" customFormat="1" x14ac:dyDescent="0.25">
      <c r="A254" s="26"/>
      <c r="B254" s="21"/>
      <c r="C254" s="21"/>
      <c r="D254" s="22"/>
      <c r="H254" s="22"/>
      <c r="J254" s="22"/>
      <c r="K254" s="27"/>
      <c r="L254" s="22"/>
      <c r="N254" s="22"/>
      <c r="O254" s="27"/>
      <c r="P254" s="247"/>
      <c r="Q254" s="247"/>
      <c r="R254" s="247"/>
      <c r="S254" s="247"/>
      <c r="T254" s="247"/>
    </row>
    <row r="255" spans="1:20" s="20" customFormat="1" x14ac:dyDescent="0.25">
      <c r="A255" s="26"/>
      <c r="B255" s="21"/>
      <c r="C255" s="21"/>
      <c r="D255" s="22"/>
      <c r="H255" s="22"/>
      <c r="J255" s="22"/>
      <c r="K255" s="27"/>
      <c r="L255" s="22"/>
      <c r="N255" s="22"/>
      <c r="O255" s="27"/>
      <c r="P255" s="247"/>
      <c r="Q255" s="247"/>
      <c r="R255" s="247"/>
      <c r="S255" s="247"/>
      <c r="T255" s="247"/>
    </row>
    <row r="256" spans="1:20" s="20" customFormat="1" x14ac:dyDescent="0.25">
      <c r="A256" s="26"/>
      <c r="B256" s="21"/>
      <c r="C256" s="21"/>
      <c r="D256" s="22"/>
      <c r="H256" s="22"/>
      <c r="J256" s="22"/>
      <c r="K256" s="27"/>
      <c r="L256" s="22"/>
      <c r="N256" s="22"/>
      <c r="O256" s="27"/>
      <c r="P256" s="247"/>
      <c r="Q256" s="247"/>
      <c r="R256" s="247"/>
      <c r="S256" s="247"/>
      <c r="T256" s="247"/>
    </row>
    <row r="257" spans="1:20" s="20" customFormat="1" x14ac:dyDescent="0.25">
      <c r="A257" s="26"/>
      <c r="B257" s="21"/>
      <c r="C257" s="21"/>
      <c r="D257" s="22"/>
      <c r="H257" s="22"/>
      <c r="J257" s="22"/>
      <c r="K257" s="27"/>
      <c r="L257" s="22"/>
      <c r="N257" s="22"/>
      <c r="O257" s="27"/>
      <c r="P257" s="247"/>
      <c r="Q257" s="247"/>
      <c r="R257" s="247"/>
      <c r="S257" s="247"/>
      <c r="T257" s="247"/>
    </row>
    <row r="258" spans="1:20" s="20" customFormat="1" x14ac:dyDescent="0.25">
      <c r="A258" s="26"/>
      <c r="B258" s="21"/>
      <c r="C258" s="21"/>
      <c r="D258" s="22"/>
      <c r="H258" s="22"/>
      <c r="J258" s="22"/>
      <c r="K258" s="27"/>
      <c r="L258" s="22"/>
      <c r="N258" s="22"/>
      <c r="O258" s="27"/>
      <c r="P258" s="247"/>
      <c r="Q258" s="247"/>
      <c r="R258" s="247"/>
      <c r="S258" s="247"/>
      <c r="T258" s="247"/>
    </row>
    <row r="259" spans="1:20" s="20" customFormat="1" x14ac:dyDescent="0.25">
      <c r="A259" s="26"/>
      <c r="B259" s="21"/>
      <c r="C259" s="21"/>
      <c r="D259" s="22"/>
      <c r="H259" s="22"/>
      <c r="J259" s="22"/>
      <c r="K259" s="27"/>
      <c r="L259" s="22"/>
      <c r="N259" s="22"/>
      <c r="O259" s="27"/>
      <c r="P259" s="247"/>
      <c r="Q259" s="247"/>
      <c r="R259" s="247"/>
      <c r="S259" s="247"/>
      <c r="T259" s="247"/>
    </row>
    <row r="260" spans="1:20" s="20" customFormat="1" x14ac:dyDescent="0.25">
      <c r="A260" s="26"/>
      <c r="B260" s="21"/>
      <c r="C260" s="21"/>
      <c r="D260" s="22"/>
      <c r="H260" s="22"/>
      <c r="J260" s="22"/>
      <c r="K260" s="27"/>
      <c r="L260" s="22"/>
      <c r="N260" s="22"/>
      <c r="O260" s="27"/>
      <c r="P260" s="247"/>
      <c r="Q260" s="247"/>
      <c r="R260" s="247"/>
      <c r="S260" s="247"/>
      <c r="T260" s="247"/>
    </row>
    <row r="261" spans="1:20" s="20" customFormat="1" x14ac:dyDescent="0.25">
      <c r="A261" s="26"/>
      <c r="B261" s="21"/>
      <c r="C261" s="21"/>
      <c r="D261" s="22"/>
      <c r="H261" s="22"/>
      <c r="J261" s="22"/>
      <c r="K261" s="27"/>
      <c r="L261" s="22"/>
      <c r="N261" s="22"/>
      <c r="O261" s="27"/>
      <c r="P261" s="247"/>
      <c r="Q261" s="247"/>
      <c r="R261" s="247"/>
      <c r="S261" s="247"/>
      <c r="T261" s="247"/>
    </row>
    <row r="262" spans="1:20" s="20" customFormat="1" x14ac:dyDescent="0.25">
      <c r="A262" s="26"/>
      <c r="B262" s="21"/>
      <c r="C262" s="21"/>
      <c r="D262" s="22"/>
      <c r="H262" s="22"/>
      <c r="J262" s="22"/>
      <c r="K262" s="27"/>
      <c r="L262" s="22"/>
      <c r="N262" s="22"/>
      <c r="O262" s="27"/>
      <c r="P262" s="247"/>
      <c r="Q262" s="247"/>
      <c r="R262" s="247"/>
      <c r="S262" s="247"/>
      <c r="T262" s="247"/>
    </row>
    <row r="263" spans="1:20" s="20" customFormat="1" x14ac:dyDescent="0.25">
      <c r="A263" s="26"/>
      <c r="B263" s="21"/>
      <c r="C263" s="21"/>
      <c r="D263" s="22"/>
      <c r="H263" s="22"/>
      <c r="J263" s="22"/>
      <c r="K263" s="27"/>
      <c r="L263" s="22"/>
      <c r="N263" s="22"/>
      <c r="O263" s="27"/>
      <c r="P263" s="247"/>
      <c r="Q263" s="247"/>
      <c r="R263" s="247"/>
      <c r="S263" s="247"/>
      <c r="T263" s="247"/>
    </row>
    <row r="264" spans="1:20" s="20" customFormat="1" x14ac:dyDescent="0.25">
      <c r="A264" s="26"/>
      <c r="B264" s="21"/>
      <c r="C264" s="21"/>
      <c r="D264" s="22"/>
      <c r="H264" s="22"/>
      <c r="J264" s="22"/>
      <c r="K264" s="27"/>
      <c r="L264" s="22"/>
      <c r="N264" s="22"/>
      <c r="O264" s="27"/>
      <c r="P264" s="247"/>
      <c r="Q264" s="247"/>
      <c r="R264" s="247"/>
      <c r="S264" s="247"/>
      <c r="T264" s="247"/>
    </row>
    <row r="265" spans="1:20" s="20" customFormat="1" x14ac:dyDescent="0.25">
      <c r="A265" s="26"/>
      <c r="B265" s="21"/>
      <c r="C265" s="21"/>
      <c r="D265" s="22"/>
      <c r="H265" s="22"/>
      <c r="J265" s="22"/>
      <c r="K265" s="27"/>
      <c r="L265" s="22"/>
      <c r="N265" s="22"/>
      <c r="O265" s="27"/>
      <c r="P265" s="247"/>
      <c r="Q265" s="247"/>
      <c r="R265" s="247"/>
      <c r="S265" s="247"/>
      <c r="T265" s="247"/>
    </row>
    <row r="266" spans="1:20" s="20" customFormat="1" x14ac:dyDescent="0.25">
      <c r="A266" s="26"/>
      <c r="B266" s="21"/>
      <c r="C266" s="21"/>
      <c r="D266" s="22"/>
      <c r="H266" s="22"/>
      <c r="J266" s="22"/>
      <c r="K266" s="27"/>
      <c r="L266" s="22"/>
      <c r="N266" s="22"/>
      <c r="O266" s="27"/>
      <c r="P266" s="247"/>
      <c r="Q266" s="247"/>
      <c r="R266" s="247"/>
      <c r="S266" s="247"/>
      <c r="T266" s="247"/>
    </row>
    <row r="267" spans="1:20" s="20" customFormat="1" x14ac:dyDescent="0.25">
      <c r="A267" s="26"/>
      <c r="B267" s="21"/>
      <c r="C267" s="21"/>
      <c r="D267" s="22"/>
      <c r="H267" s="22"/>
      <c r="J267" s="22"/>
      <c r="K267" s="27"/>
      <c r="L267" s="22"/>
      <c r="N267" s="22"/>
      <c r="O267" s="27"/>
      <c r="P267" s="247"/>
      <c r="Q267" s="247"/>
      <c r="R267" s="247"/>
      <c r="S267" s="247"/>
      <c r="T267" s="247"/>
    </row>
    <row r="268" spans="1:20" s="20" customFormat="1" x14ac:dyDescent="0.25">
      <c r="A268" s="26"/>
      <c r="B268" s="21"/>
      <c r="C268" s="21"/>
      <c r="D268" s="22"/>
      <c r="H268" s="22"/>
      <c r="J268" s="22"/>
      <c r="K268" s="27"/>
      <c r="L268" s="22"/>
      <c r="N268" s="22"/>
      <c r="O268" s="27"/>
      <c r="P268" s="247"/>
      <c r="Q268" s="247"/>
      <c r="R268" s="247"/>
      <c r="S268" s="247"/>
      <c r="T268" s="247"/>
    </row>
    <row r="269" spans="1:20" s="20" customFormat="1" x14ac:dyDescent="0.25">
      <c r="A269" s="26"/>
      <c r="B269" s="21"/>
      <c r="C269" s="21"/>
      <c r="D269" s="22"/>
      <c r="H269" s="22"/>
      <c r="J269" s="22"/>
      <c r="K269" s="27"/>
      <c r="L269" s="22"/>
      <c r="N269" s="22"/>
      <c r="O269" s="27"/>
      <c r="P269" s="247"/>
      <c r="Q269" s="247"/>
      <c r="R269" s="247"/>
      <c r="S269" s="247"/>
      <c r="T269" s="247"/>
    </row>
    <row r="270" spans="1:20" s="20" customFormat="1" x14ac:dyDescent="0.25">
      <c r="A270" s="26"/>
      <c r="B270" s="21"/>
      <c r="C270" s="21"/>
      <c r="D270" s="22"/>
      <c r="H270" s="22"/>
      <c r="J270" s="22"/>
      <c r="K270" s="27"/>
      <c r="L270" s="22"/>
      <c r="N270" s="22"/>
      <c r="O270" s="27"/>
      <c r="P270" s="247"/>
      <c r="Q270" s="247"/>
      <c r="R270" s="247"/>
      <c r="S270" s="247"/>
      <c r="T270" s="247"/>
    </row>
    <row r="271" spans="1:20" s="20" customFormat="1" x14ac:dyDescent="0.25">
      <c r="A271" s="26"/>
      <c r="B271" s="21"/>
      <c r="C271" s="21"/>
      <c r="D271" s="22"/>
      <c r="H271" s="22"/>
      <c r="J271" s="22"/>
      <c r="K271" s="27"/>
      <c r="L271" s="22"/>
      <c r="N271" s="22"/>
      <c r="O271" s="27"/>
      <c r="P271" s="247"/>
      <c r="Q271" s="247"/>
      <c r="R271" s="247"/>
      <c r="S271" s="247"/>
      <c r="T271" s="247"/>
    </row>
    <row r="272" spans="1:20" s="20" customFormat="1" x14ac:dyDescent="0.25">
      <c r="A272" s="26"/>
      <c r="B272" s="21"/>
      <c r="C272" s="21"/>
      <c r="D272" s="22"/>
      <c r="H272" s="22"/>
      <c r="J272" s="22"/>
      <c r="K272" s="27"/>
      <c r="L272" s="22"/>
      <c r="N272" s="22"/>
      <c r="O272" s="27"/>
      <c r="P272" s="247"/>
      <c r="Q272" s="247"/>
      <c r="R272" s="247"/>
      <c r="S272" s="247"/>
      <c r="T272" s="247"/>
    </row>
    <row r="273" spans="1:20" s="20" customFormat="1" x14ac:dyDescent="0.25">
      <c r="A273" s="26"/>
      <c r="B273" s="21"/>
      <c r="C273" s="21"/>
      <c r="D273" s="22"/>
      <c r="H273" s="22"/>
      <c r="J273" s="22"/>
      <c r="K273" s="27"/>
      <c r="L273" s="22"/>
      <c r="N273" s="22"/>
      <c r="O273" s="27"/>
      <c r="P273" s="247"/>
      <c r="Q273" s="247"/>
      <c r="R273" s="247"/>
      <c r="S273" s="247"/>
      <c r="T273" s="247"/>
    </row>
    <row r="274" spans="1:20" s="20" customFormat="1" x14ac:dyDescent="0.25">
      <c r="A274" s="26"/>
      <c r="B274" s="21"/>
      <c r="C274" s="21"/>
      <c r="D274" s="22"/>
      <c r="H274" s="22"/>
      <c r="J274" s="22"/>
      <c r="K274" s="27"/>
      <c r="L274" s="22"/>
      <c r="N274" s="22"/>
      <c r="O274" s="27"/>
      <c r="P274" s="247"/>
      <c r="Q274" s="247"/>
      <c r="R274" s="247"/>
      <c r="S274" s="247"/>
      <c r="T274" s="247"/>
    </row>
    <row r="275" spans="1:20" s="20" customFormat="1" x14ac:dyDescent="0.25">
      <c r="A275" s="26"/>
      <c r="B275" s="21"/>
      <c r="C275" s="21"/>
      <c r="D275" s="22"/>
      <c r="H275" s="22"/>
      <c r="J275" s="22"/>
      <c r="K275" s="27"/>
      <c r="L275" s="22"/>
      <c r="N275" s="22"/>
      <c r="O275" s="27"/>
      <c r="P275" s="247"/>
      <c r="Q275" s="247"/>
      <c r="R275" s="247"/>
      <c r="S275" s="247"/>
      <c r="T275" s="247"/>
    </row>
    <row r="276" spans="1:20" s="20" customFormat="1" x14ac:dyDescent="0.25">
      <c r="A276" s="26"/>
      <c r="B276" s="21"/>
      <c r="C276" s="21"/>
      <c r="D276" s="22"/>
      <c r="H276" s="22"/>
      <c r="J276" s="22"/>
      <c r="K276" s="27"/>
      <c r="L276" s="22"/>
      <c r="N276" s="22"/>
      <c r="O276" s="27"/>
      <c r="P276" s="247"/>
      <c r="Q276" s="247"/>
      <c r="R276" s="247"/>
      <c r="S276" s="247"/>
      <c r="T276" s="247"/>
    </row>
    <row r="277" spans="1:20" s="20" customFormat="1" x14ac:dyDescent="0.25">
      <c r="A277" s="26"/>
      <c r="B277" s="21"/>
      <c r="C277" s="21"/>
      <c r="D277" s="22"/>
      <c r="H277" s="22"/>
      <c r="J277" s="22"/>
      <c r="K277" s="27"/>
      <c r="L277" s="22"/>
      <c r="N277" s="22"/>
      <c r="O277" s="27"/>
      <c r="P277" s="247"/>
      <c r="Q277" s="247"/>
      <c r="R277" s="247"/>
      <c r="S277" s="247"/>
      <c r="T277" s="247"/>
    </row>
    <row r="278" spans="1:20" s="20" customFormat="1" x14ac:dyDescent="0.25">
      <c r="A278" s="26"/>
      <c r="B278" s="21"/>
      <c r="C278" s="21"/>
      <c r="D278" s="22"/>
      <c r="H278" s="22"/>
      <c r="J278" s="22"/>
      <c r="K278" s="27"/>
      <c r="L278" s="22"/>
      <c r="N278" s="22"/>
      <c r="O278" s="27"/>
      <c r="P278" s="247"/>
      <c r="Q278" s="247"/>
      <c r="R278" s="247"/>
      <c r="S278" s="247"/>
      <c r="T278" s="247"/>
    </row>
    <row r="279" spans="1:20" s="20" customFormat="1" x14ac:dyDescent="0.25">
      <c r="A279" s="26"/>
      <c r="B279" s="21"/>
      <c r="C279" s="21"/>
      <c r="D279" s="22"/>
      <c r="H279" s="22"/>
      <c r="J279" s="22"/>
      <c r="K279" s="27"/>
      <c r="L279" s="22"/>
      <c r="N279" s="22"/>
      <c r="O279" s="27"/>
      <c r="P279" s="247"/>
      <c r="Q279" s="247"/>
      <c r="R279" s="247"/>
      <c r="S279" s="247"/>
      <c r="T279" s="247"/>
    </row>
    <row r="280" spans="1:20" s="20" customFormat="1" x14ac:dyDescent="0.25">
      <c r="A280" s="26"/>
      <c r="B280" s="21"/>
      <c r="C280" s="21"/>
      <c r="D280" s="22"/>
      <c r="H280" s="22"/>
      <c r="J280" s="22"/>
      <c r="K280" s="27"/>
      <c r="L280" s="22"/>
      <c r="N280" s="22"/>
      <c r="O280" s="27"/>
      <c r="P280" s="247"/>
      <c r="Q280" s="247"/>
      <c r="R280" s="247"/>
      <c r="S280" s="247"/>
      <c r="T280" s="247"/>
    </row>
    <row r="281" spans="1:20" s="20" customFormat="1" x14ac:dyDescent="0.25">
      <c r="A281" s="26"/>
      <c r="B281" s="21"/>
      <c r="C281" s="21"/>
      <c r="D281" s="22"/>
      <c r="H281" s="22"/>
      <c r="J281" s="22"/>
      <c r="K281" s="27"/>
      <c r="L281" s="22"/>
      <c r="N281" s="22"/>
      <c r="O281" s="27"/>
      <c r="P281" s="247"/>
      <c r="Q281" s="247"/>
      <c r="R281" s="247"/>
      <c r="S281" s="247"/>
      <c r="T281" s="247"/>
    </row>
    <row r="282" spans="1:20" s="20" customFormat="1" x14ac:dyDescent="0.25">
      <c r="A282" s="26"/>
      <c r="B282" s="21"/>
      <c r="C282" s="21"/>
      <c r="D282" s="22"/>
      <c r="H282" s="22"/>
      <c r="J282" s="22"/>
      <c r="K282" s="27"/>
      <c r="L282" s="22"/>
      <c r="N282" s="22"/>
      <c r="O282" s="27"/>
      <c r="P282" s="247"/>
      <c r="Q282" s="247"/>
      <c r="R282" s="247"/>
      <c r="S282" s="247"/>
      <c r="T282" s="247"/>
    </row>
    <row r="283" spans="1:20" s="20" customFormat="1" x14ac:dyDescent="0.25">
      <c r="A283" s="26"/>
      <c r="B283" s="21"/>
      <c r="C283" s="21"/>
      <c r="D283" s="22"/>
      <c r="H283" s="22"/>
      <c r="J283" s="22"/>
      <c r="K283" s="27"/>
      <c r="L283" s="22"/>
      <c r="N283" s="22"/>
      <c r="O283" s="27"/>
      <c r="P283" s="247"/>
      <c r="Q283" s="247"/>
      <c r="R283" s="247"/>
      <c r="S283" s="247"/>
      <c r="T283" s="247"/>
    </row>
    <row r="284" spans="1:20" s="20" customFormat="1" x14ac:dyDescent="0.25">
      <c r="A284" s="26"/>
      <c r="B284" s="21"/>
      <c r="C284" s="21"/>
      <c r="D284" s="22"/>
      <c r="H284" s="22"/>
      <c r="J284" s="22"/>
      <c r="K284" s="27"/>
      <c r="L284" s="22"/>
      <c r="N284" s="22"/>
      <c r="O284" s="27"/>
      <c r="P284" s="247"/>
      <c r="Q284" s="247"/>
      <c r="R284" s="247"/>
      <c r="S284" s="247"/>
      <c r="T284" s="247"/>
    </row>
    <row r="285" spans="1:20" s="20" customFormat="1" x14ac:dyDescent="0.25">
      <c r="A285" s="26"/>
      <c r="B285" s="21"/>
      <c r="C285" s="21"/>
      <c r="D285" s="22"/>
      <c r="H285" s="22"/>
      <c r="J285" s="22"/>
      <c r="K285" s="27"/>
      <c r="L285" s="22"/>
      <c r="N285" s="22"/>
      <c r="O285" s="27"/>
      <c r="P285" s="247"/>
      <c r="Q285" s="247"/>
      <c r="R285" s="247"/>
      <c r="S285" s="247"/>
      <c r="T285" s="247"/>
    </row>
    <row r="286" spans="1:20" s="20" customFormat="1" x14ac:dyDescent="0.25">
      <c r="A286" s="26"/>
      <c r="B286" s="21"/>
      <c r="C286" s="21"/>
      <c r="D286" s="22"/>
      <c r="H286" s="22"/>
      <c r="J286" s="22"/>
      <c r="K286" s="27"/>
      <c r="L286" s="22"/>
      <c r="N286" s="22"/>
      <c r="O286" s="27"/>
      <c r="P286" s="247"/>
      <c r="Q286" s="247"/>
      <c r="R286" s="247"/>
      <c r="S286" s="247"/>
      <c r="T286" s="247"/>
    </row>
    <row r="287" spans="1:20" s="20" customFormat="1" x14ac:dyDescent="0.25">
      <c r="A287" s="26"/>
      <c r="B287" s="21"/>
      <c r="C287" s="21"/>
      <c r="D287" s="22"/>
      <c r="H287" s="22"/>
      <c r="J287" s="22"/>
      <c r="K287" s="27"/>
      <c r="L287" s="22"/>
      <c r="N287" s="22"/>
      <c r="O287" s="27"/>
      <c r="P287" s="247"/>
      <c r="Q287" s="247"/>
      <c r="R287" s="247"/>
      <c r="S287" s="247"/>
      <c r="T287" s="247"/>
    </row>
    <row r="288" spans="1:20" s="20" customFormat="1" x14ac:dyDescent="0.25">
      <c r="A288" s="26"/>
      <c r="B288" s="21"/>
      <c r="C288" s="21"/>
      <c r="D288" s="22"/>
      <c r="H288" s="22"/>
      <c r="J288" s="22"/>
      <c r="K288" s="27"/>
      <c r="L288" s="22"/>
      <c r="N288" s="22"/>
      <c r="O288" s="27"/>
      <c r="P288" s="247"/>
      <c r="Q288" s="247"/>
      <c r="R288" s="247"/>
      <c r="S288" s="247"/>
      <c r="T288" s="247"/>
    </row>
    <row r="289" spans="1:20" s="20" customFormat="1" x14ac:dyDescent="0.25">
      <c r="A289" s="26"/>
      <c r="B289" s="21"/>
      <c r="C289" s="21"/>
      <c r="D289" s="22"/>
      <c r="H289" s="22"/>
      <c r="J289" s="22"/>
      <c r="K289" s="27"/>
      <c r="L289" s="22"/>
      <c r="N289" s="22"/>
      <c r="O289" s="27"/>
      <c r="P289" s="247"/>
      <c r="Q289" s="247"/>
      <c r="R289" s="247"/>
      <c r="S289" s="247"/>
      <c r="T289" s="247"/>
    </row>
    <row r="290" spans="1:20" s="20" customFormat="1" x14ac:dyDescent="0.25">
      <c r="A290" s="26"/>
      <c r="B290" s="21"/>
      <c r="C290" s="21"/>
      <c r="D290" s="22"/>
      <c r="H290" s="22"/>
      <c r="J290" s="22"/>
      <c r="K290" s="27"/>
      <c r="L290" s="22"/>
      <c r="N290" s="22"/>
      <c r="O290" s="27"/>
      <c r="P290" s="247"/>
      <c r="Q290" s="247"/>
      <c r="R290" s="247"/>
      <c r="S290" s="247"/>
      <c r="T290" s="247"/>
    </row>
    <row r="291" spans="1:20" s="20" customFormat="1" x14ac:dyDescent="0.25">
      <c r="A291" s="26"/>
      <c r="B291" s="21"/>
      <c r="C291" s="21"/>
      <c r="D291" s="22"/>
      <c r="H291" s="22"/>
      <c r="J291" s="22"/>
      <c r="K291" s="27"/>
      <c r="L291" s="22"/>
      <c r="N291" s="22"/>
      <c r="O291" s="27"/>
      <c r="P291" s="247"/>
      <c r="Q291" s="247"/>
      <c r="R291" s="247"/>
      <c r="S291" s="247"/>
      <c r="T291" s="247"/>
    </row>
    <row r="292" spans="1:20" s="20" customFormat="1" x14ac:dyDescent="0.25">
      <c r="A292" s="26"/>
      <c r="B292" s="21"/>
      <c r="C292" s="21"/>
      <c r="D292" s="22"/>
      <c r="H292" s="22"/>
      <c r="J292" s="22"/>
      <c r="K292" s="27"/>
      <c r="L292" s="22"/>
      <c r="N292" s="22"/>
      <c r="O292" s="27"/>
      <c r="P292" s="247"/>
      <c r="Q292" s="247"/>
      <c r="R292" s="247"/>
      <c r="S292" s="247"/>
      <c r="T292" s="247"/>
    </row>
    <row r="293" spans="1:20" s="20" customFormat="1" x14ac:dyDescent="0.25">
      <c r="A293" s="26"/>
      <c r="B293" s="21"/>
      <c r="C293" s="21"/>
      <c r="D293" s="22"/>
      <c r="H293" s="22"/>
      <c r="J293" s="22"/>
      <c r="K293" s="27"/>
      <c r="L293" s="22"/>
      <c r="N293" s="22"/>
      <c r="O293" s="27"/>
      <c r="P293" s="247"/>
      <c r="Q293" s="247"/>
      <c r="R293" s="247"/>
      <c r="S293" s="247"/>
      <c r="T293" s="247"/>
    </row>
    <row r="294" spans="1:20" s="20" customFormat="1" x14ac:dyDescent="0.25">
      <c r="A294" s="26"/>
      <c r="B294" s="21"/>
      <c r="C294" s="21"/>
      <c r="D294" s="22"/>
      <c r="H294" s="22"/>
      <c r="J294" s="22"/>
      <c r="K294" s="27"/>
      <c r="L294" s="22"/>
      <c r="N294" s="22"/>
      <c r="O294" s="27"/>
      <c r="P294" s="247"/>
      <c r="Q294" s="247"/>
      <c r="R294" s="247"/>
      <c r="S294" s="247"/>
      <c r="T294" s="247"/>
    </row>
    <row r="295" spans="1:20" s="20" customFormat="1" x14ac:dyDescent="0.25">
      <c r="A295" s="26"/>
      <c r="B295" s="21"/>
      <c r="C295" s="21"/>
      <c r="D295" s="22"/>
      <c r="H295" s="22"/>
      <c r="J295" s="22"/>
      <c r="K295" s="27"/>
      <c r="L295" s="22"/>
      <c r="N295" s="22"/>
      <c r="O295" s="27"/>
      <c r="P295" s="247"/>
      <c r="Q295" s="247"/>
      <c r="R295" s="247"/>
      <c r="S295" s="247"/>
      <c r="T295" s="247"/>
    </row>
    <row r="296" spans="1:20" s="20" customFormat="1" x14ac:dyDescent="0.25">
      <c r="A296" s="26"/>
      <c r="B296" s="21"/>
      <c r="C296" s="21"/>
      <c r="D296" s="22"/>
      <c r="H296" s="22"/>
      <c r="J296" s="22"/>
      <c r="K296" s="27"/>
      <c r="L296" s="22"/>
      <c r="N296" s="22"/>
      <c r="O296" s="27"/>
      <c r="P296" s="247"/>
      <c r="Q296" s="247"/>
      <c r="R296" s="247"/>
      <c r="S296" s="247"/>
      <c r="T296" s="247"/>
    </row>
    <row r="297" spans="1:20" s="20" customFormat="1" x14ac:dyDescent="0.25">
      <c r="A297" s="26"/>
      <c r="B297" s="21"/>
      <c r="C297" s="21"/>
      <c r="D297" s="22"/>
      <c r="H297" s="22"/>
      <c r="J297" s="22"/>
      <c r="K297" s="27"/>
      <c r="L297" s="22"/>
      <c r="N297" s="22"/>
      <c r="O297" s="27"/>
      <c r="P297" s="247"/>
      <c r="Q297" s="247"/>
      <c r="R297" s="247"/>
      <c r="S297" s="247"/>
      <c r="T297" s="247"/>
    </row>
    <row r="298" spans="1:20" s="20" customFormat="1" x14ac:dyDescent="0.25">
      <c r="A298" s="26"/>
      <c r="B298" s="21"/>
      <c r="C298" s="21"/>
      <c r="D298" s="22"/>
      <c r="H298" s="22"/>
      <c r="J298" s="22"/>
      <c r="K298" s="27"/>
      <c r="L298" s="22"/>
      <c r="N298" s="22"/>
      <c r="O298" s="27"/>
      <c r="P298" s="247"/>
      <c r="Q298" s="247"/>
      <c r="R298" s="247"/>
      <c r="S298" s="247"/>
      <c r="T298" s="247"/>
    </row>
    <row r="299" spans="1:20" s="20" customFormat="1" x14ac:dyDescent="0.25">
      <c r="A299" s="26"/>
      <c r="B299" s="21"/>
      <c r="C299" s="21"/>
      <c r="D299" s="22"/>
      <c r="H299" s="22"/>
      <c r="J299" s="22"/>
      <c r="K299" s="27"/>
      <c r="L299" s="22"/>
      <c r="N299" s="22"/>
      <c r="O299" s="27"/>
      <c r="P299" s="247"/>
      <c r="Q299" s="247"/>
      <c r="R299" s="247"/>
      <c r="S299" s="247"/>
      <c r="T299" s="247"/>
    </row>
    <row r="300" spans="1:20" s="20" customFormat="1" x14ac:dyDescent="0.25">
      <c r="A300" s="26"/>
      <c r="B300" s="21"/>
      <c r="C300" s="21"/>
      <c r="D300" s="22"/>
      <c r="H300" s="22"/>
      <c r="J300" s="22"/>
      <c r="K300" s="27"/>
      <c r="L300" s="22"/>
      <c r="N300" s="22"/>
      <c r="O300" s="27"/>
      <c r="P300" s="247"/>
      <c r="Q300" s="247"/>
      <c r="R300" s="247"/>
      <c r="S300" s="247"/>
      <c r="T300" s="247"/>
    </row>
    <row r="301" spans="1:20" s="20" customFormat="1" x14ac:dyDescent="0.25">
      <c r="A301" s="26"/>
      <c r="B301" s="21"/>
      <c r="C301" s="21"/>
      <c r="D301" s="22"/>
      <c r="H301" s="22"/>
      <c r="J301" s="22"/>
      <c r="K301" s="27"/>
      <c r="L301" s="22"/>
      <c r="N301" s="22"/>
      <c r="O301" s="27"/>
      <c r="P301" s="247"/>
      <c r="Q301" s="247"/>
      <c r="R301" s="247"/>
      <c r="S301" s="247"/>
      <c r="T301" s="247"/>
    </row>
    <row r="302" spans="1:20" s="20" customFormat="1" x14ac:dyDescent="0.25">
      <c r="A302" s="26"/>
      <c r="B302" s="21"/>
      <c r="C302" s="21"/>
      <c r="D302" s="22"/>
      <c r="H302" s="22"/>
      <c r="J302" s="22"/>
      <c r="K302" s="27"/>
      <c r="L302" s="22"/>
      <c r="N302" s="22"/>
      <c r="O302" s="27"/>
      <c r="P302" s="247"/>
      <c r="Q302" s="247"/>
      <c r="R302" s="247"/>
      <c r="S302" s="247"/>
      <c r="T302" s="247"/>
    </row>
    <row r="303" spans="1:20" s="20" customFormat="1" x14ac:dyDescent="0.25">
      <c r="A303" s="26"/>
      <c r="B303" s="21"/>
      <c r="C303" s="21"/>
      <c r="D303" s="22"/>
      <c r="H303" s="22"/>
      <c r="J303" s="22"/>
      <c r="K303" s="27"/>
      <c r="L303" s="22"/>
      <c r="N303" s="22"/>
      <c r="O303" s="27"/>
      <c r="P303" s="247"/>
      <c r="Q303" s="247"/>
      <c r="R303" s="247"/>
      <c r="S303" s="247"/>
      <c r="T303" s="247"/>
    </row>
    <row r="304" spans="1:20" s="20" customFormat="1" x14ac:dyDescent="0.25">
      <c r="A304" s="26"/>
      <c r="B304" s="21"/>
      <c r="C304" s="21"/>
      <c r="D304" s="22"/>
      <c r="H304" s="22"/>
      <c r="J304" s="22"/>
      <c r="K304" s="27"/>
      <c r="L304" s="22"/>
      <c r="N304" s="22"/>
      <c r="O304" s="27"/>
      <c r="P304" s="247"/>
      <c r="Q304" s="247"/>
      <c r="R304" s="247"/>
      <c r="S304" s="247"/>
      <c r="T304" s="247"/>
    </row>
    <row r="305" spans="1:20" s="20" customFormat="1" x14ac:dyDescent="0.25">
      <c r="A305" s="26"/>
      <c r="B305" s="21"/>
      <c r="C305" s="21"/>
      <c r="D305" s="22"/>
      <c r="H305" s="22"/>
      <c r="J305" s="22"/>
      <c r="K305" s="27"/>
      <c r="L305" s="22"/>
      <c r="N305" s="22"/>
      <c r="O305" s="27"/>
      <c r="P305" s="247"/>
      <c r="Q305" s="247"/>
      <c r="R305" s="247"/>
      <c r="S305" s="247"/>
      <c r="T305" s="247"/>
    </row>
    <row r="306" spans="1:20" s="20" customFormat="1" x14ac:dyDescent="0.25">
      <c r="A306" s="26"/>
      <c r="B306" s="21"/>
      <c r="C306" s="21"/>
      <c r="D306" s="22"/>
      <c r="H306" s="22"/>
      <c r="J306" s="22"/>
      <c r="K306" s="27"/>
      <c r="L306" s="22"/>
      <c r="N306" s="22"/>
      <c r="O306" s="27"/>
      <c r="P306" s="247"/>
      <c r="Q306" s="247"/>
      <c r="R306" s="247"/>
      <c r="S306" s="247"/>
      <c r="T306" s="247"/>
    </row>
    <row r="307" spans="1:20" s="20" customFormat="1" x14ac:dyDescent="0.25">
      <c r="A307" s="26"/>
      <c r="B307" s="21"/>
      <c r="C307" s="21"/>
      <c r="D307" s="22"/>
      <c r="H307" s="22"/>
      <c r="J307" s="22"/>
      <c r="K307" s="27"/>
      <c r="L307" s="22"/>
      <c r="N307" s="22"/>
      <c r="O307" s="27"/>
      <c r="P307" s="247"/>
      <c r="Q307" s="247"/>
      <c r="R307" s="247"/>
      <c r="S307" s="247"/>
      <c r="T307" s="247"/>
    </row>
    <row r="308" spans="1:20" s="20" customFormat="1" x14ac:dyDescent="0.25">
      <c r="A308" s="26"/>
      <c r="B308" s="21"/>
      <c r="C308" s="21"/>
      <c r="D308" s="22"/>
      <c r="H308" s="22"/>
      <c r="J308" s="22"/>
      <c r="K308" s="27"/>
      <c r="L308" s="22"/>
      <c r="N308" s="22"/>
      <c r="O308" s="27"/>
      <c r="P308" s="247"/>
      <c r="Q308" s="247"/>
      <c r="R308" s="247"/>
      <c r="S308" s="247"/>
      <c r="T308" s="247"/>
    </row>
    <row r="309" spans="1:20" s="20" customFormat="1" x14ac:dyDescent="0.25">
      <c r="A309" s="26"/>
      <c r="B309" s="21"/>
      <c r="C309" s="21"/>
      <c r="D309" s="22"/>
      <c r="H309" s="22"/>
      <c r="J309" s="22"/>
      <c r="K309" s="27"/>
      <c r="L309" s="22"/>
      <c r="N309" s="22"/>
      <c r="O309" s="27"/>
      <c r="P309" s="247"/>
      <c r="Q309" s="247"/>
      <c r="R309" s="247"/>
      <c r="S309" s="247"/>
      <c r="T309" s="247"/>
    </row>
    <row r="310" spans="1:20" s="20" customFormat="1" x14ac:dyDescent="0.25">
      <c r="A310" s="26"/>
      <c r="B310" s="21"/>
      <c r="C310" s="21"/>
      <c r="D310" s="22"/>
      <c r="H310" s="22"/>
      <c r="J310" s="22"/>
      <c r="K310" s="27"/>
      <c r="L310" s="22"/>
      <c r="N310" s="22"/>
      <c r="O310" s="27"/>
      <c r="P310" s="247"/>
      <c r="Q310" s="247"/>
      <c r="R310" s="247"/>
      <c r="S310" s="247"/>
      <c r="T310" s="247"/>
    </row>
    <row r="311" spans="1:20" s="20" customFormat="1" x14ac:dyDescent="0.25">
      <c r="A311" s="26"/>
      <c r="B311" s="21"/>
      <c r="C311" s="21"/>
      <c r="D311" s="22"/>
      <c r="H311" s="22"/>
      <c r="J311" s="22"/>
      <c r="K311" s="27"/>
      <c r="L311" s="22"/>
      <c r="N311" s="22"/>
      <c r="O311" s="27"/>
      <c r="P311" s="247"/>
      <c r="Q311" s="247"/>
      <c r="R311" s="247"/>
      <c r="S311" s="247"/>
      <c r="T311" s="247"/>
    </row>
    <row r="312" spans="1:20" s="20" customFormat="1" x14ac:dyDescent="0.25">
      <c r="A312" s="26"/>
      <c r="B312" s="21"/>
      <c r="C312" s="21"/>
      <c r="D312" s="22"/>
      <c r="H312" s="22"/>
      <c r="J312" s="22"/>
      <c r="K312" s="27"/>
      <c r="L312" s="22"/>
      <c r="N312" s="22"/>
      <c r="O312" s="27"/>
      <c r="P312" s="247"/>
      <c r="Q312" s="247"/>
      <c r="R312" s="247"/>
      <c r="S312" s="247"/>
      <c r="T312" s="247"/>
    </row>
    <row r="313" spans="1:20" s="20" customFormat="1" x14ac:dyDescent="0.25">
      <c r="A313" s="26"/>
      <c r="B313" s="21"/>
      <c r="C313" s="21"/>
      <c r="D313" s="22"/>
      <c r="H313" s="22"/>
      <c r="J313" s="22"/>
      <c r="K313" s="27"/>
      <c r="L313" s="22"/>
      <c r="N313" s="22"/>
      <c r="O313" s="27"/>
      <c r="P313" s="247"/>
      <c r="Q313" s="247"/>
      <c r="R313" s="247"/>
      <c r="S313" s="247"/>
      <c r="T313" s="247"/>
    </row>
    <row r="314" spans="1:20" s="20" customFormat="1" x14ac:dyDescent="0.25">
      <c r="A314" s="26"/>
      <c r="B314" s="21"/>
      <c r="C314" s="21"/>
      <c r="D314" s="22"/>
      <c r="H314" s="22"/>
      <c r="J314" s="22"/>
      <c r="K314" s="27"/>
      <c r="L314" s="22"/>
      <c r="N314" s="22"/>
      <c r="O314" s="27"/>
      <c r="P314" s="247"/>
      <c r="Q314" s="247"/>
      <c r="R314" s="247"/>
      <c r="S314" s="247"/>
      <c r="T314" s="247"/>
    </row>
    <row r="315" spans="1:20" s="20" customFormat="1" x14ac:dyDescent="0.25">
      <c r="A315" s="26"/>
      <c r="B315" s="21"/>
      <c r="C315" s="21"/>
      <c r="D315" s="22"/>
      <c r="H315" s="22"/>
      <c r="J315" s="22"/>
      <c r="K315" s="27"/>
      <c r="L315" s="22"/>
      <c r="N315" s="22"/>
      <c r="O315" s="27"/>
      <c r="P315" s="247"/>
      <c r="Q315" s="247"/>
      <c r="R315" s="247"/>
      <c r="S315" s="247"/>
      <c r="T315" s="247"/>
    </row>
    <row r="316" spans="1:20" s="20" customFormat="1" x14ac:dyDescent="0.25">
      <c r="A316" s="26"/>
      <c r="B316" s="21"/>
      <c r="C316" s="21"/>
      <c r="D316" s="22"/>
      <c r="H316" s="22"/>
      <c r="J316" s="22"/>
      <c r="K316" s="27"/>
      <c r="L316" s="22"/>
      <c r="N316" s="22"/>
      <c r="O316" s="27"/>
      <c r="P316" s="247"/>
      <c r="Q316" s="247"/>
      <c r="R316" s="247"/>
      <c r="S316" s="247"/>
      <c r="T316" s="247"/>
    </row>
    <row r="317" spans="1:20" s="20" customFormat="1" x14ac:dyDescent="0.25">
      <c r="A317" s="26"/>
      <c r="B317" s="21"/>
      <c r="C317" s="21"/>
      <c r="D317" s="22"/>
      <c r="H317" s="22"/>
      <c r="J317" s="22"/>
      <c r="K317" s="27"/>
      <c r="L317" s="22"/>
      <c r="N317" s="22"/>
      <c r="O317" s="27"/>
      <c r="P317" s="247"/>
      <c r="Q317" s="247"/>
      <c r="R317" s="247"/>
      <c r="S317" s="247"/>
      <c r="T317" s="247"/>
    </row>
    <row r="318" spans="1:20" s="20" customFormat="1" x14ac:dyDescent="0.25">
      <c r="A318" s="26"/>
      <c r="B318" s="21"/>
      <c r="C318" s="21"/>
      <c r="D318" s="22"/>
      <c r="H318" s="22"/>
      <c r="J318" s="22"/>
      <c r="K318" s="27"/>
      <c r="L318" s="22"/>
      <c r="N318" s="22"/>
      <c r="O318" s="27"/>
      <c r="P318" s="247"/>
      <c r="Q318" s="247"/>
      <c r="R318" s="247"/>
      <c r="S318" s="247"/>
      <c r="T318" s="247"/>
    </row>
    <row r="319" spans="1:20" s="20" customFormat="1" x14ac:dyDescent="0.25">
      <c r="A319" s="26"/>
      <c r="B319" s="21"/>
      <c r="C319" s="21"/>
      <c r="D319" s="22"/>
      <c r="H319" s="22"/>
      <c r="J319" s="22"/>
      <c r="K319" s="27"/>
      <c r="L319" s="22"/>
      <c r="N319" s="22"/>
      <c r="O319" s="27"/>
      <c r="P319" s="247"/>
      <c r="Q319" s="247"/>
      <c r="R319" s="247"/>
      <c r="S319" s="247"/>
      <c r="T319" s="247"/>
    </row>
    <row r="320" spans="1:20" s="20" customFormat="1" x14ac:dyDescent="0.25">
      <c r="A320" s="26"/>
      <c r="B320" s="21"/>
      <c r="C320" s="21"/>
      <c r="D320" s="22"/>
      <c r="H320" s="22"/>
      <c r="J320" s="22"/>
      <c r="K320" s="27"/>
      <c r="L320" s="22"/>
      <c r="N320" s="22"/>
      <c r="O320" s="27"/>
      <c r="P320" s="247"/>
      <c r="Q320" s="247"/>
      <c r="R320" s="247"/>
      <c r="S320" s="247"/>
      <c r="T320" s="247"/>
    </row>
    <row r="321" spans="1:20" s="20" customFormat="1" x14ac:dyDescent="0.25">
      <c r="A321" s="26"/>
      <c r="B321" s="21"/>
      <c r="C321" s="21"/>
      <c r="D321" s="22"/>
      <c r="H321" s="22"/>
      <c r="J321" s="22"/>
      <c r="K321" s="27"/>
      <c r="L321" s="22"/>
      <c r="N321" s="22"/>
      <c r="O321" s="27"/>
      <c r="P321" s="247"/>
      <c r="Q321" s="247"/>
      <c r="R321" s="247"/>
      <c r="S321" s="247"/>
      <c r="T321" s="247"/>
    </row>
    <row r="322" spans="1:20" s="20" customFormat="1" x14ac:dyDescent="0.25">
      <c r="A322" s="26"/>
      <c r="B322" s="21"/>
      <c r="C322" s="21"/>
      <c r="D322" s="22"/>
      <c r="H322" s="22"/>
      <c r="J322" s="22"/>
      <c r="K322" s="27"/>
      <c r="L322" s="22"/>
      <c r="N322" s="22"/>
      <c r="O322" s="27"/>
      <c r="P322" s="247"/>
      <c r="Q322" s="247"/>
      <c r="R322" s="247"/>
      <c r="S322" s="247"/>
      <c r="T322" s="247"/>
    </row>
    <row r="323" spans="1:20" s="20" customFormat="1" x14ac:dyDescent="0.25">
      <c r="A323" s="26"/>
      <c r="B323" s="21"/>
      <c r="C323" s="21"/>
      <c r="D323" s="22"/>
      <c r="H323" s="22"/>
      <c r="J323" s="22"/>
      <c r="K323" s="27"/>
      <c r="L323" s="22"/>
      <c r="N323" s="22"/>
      <c r="O323" s="27"/>
      <c r="P323" s="247"/>
      <c r="Q323" s="247"/>
      <c r="R323" s="247"/>
      <c r="S323" s="247"/>
      <c r="T323" s="247"/>
    </row>
    <row r="324" spans="1:20" s="20" customFormat="1" x14ac:dyDescent="0.25">
      <c r="A324" s="26"/>
      <c r="B324" s="21"/>
      <c r="C324" s="21"/>
      <c r="D324" s="22"/>
      <c r="H324" s="22"/>
      <c r="J324" s="22"/>
      <c r="K324" s="27"/>
      <c r="L324" s="22"/>
      <c r="N324" s="22"/>
      <c r="O324" s="27"/>
      <c r="P324" s="247"/>
      <c r="Q324" s="247"/>
      <c r="R324" s="247"/>
      <c r="S324" s="247"/>
      <c r="T324" s="247"/>
    </row>
    <row r="325" spans="1:20" s="20" customFormat="1" x14ac:dyDescent="0.25">
      <c r="A325" s="26"/>
      <c r="B325" s="21"/>
      <c r="C325" s="21"/>
      <c r="D325" s="22"/>
      <c r="H325" s="22"/>
      <c r="J325" s="22"/>
      <c r="K325" s="27"/>
      <c r="L325" s="22"/>
      <c r="N325" s="22"/>
      <c r="O325" s="27"/>
      <c r="P325" s="247"/>
      <c r="Q325" s="247"/>
      <c r="R325" s="247"/>
      <c r="S325" s="247"/>
      <c r="T325" s="247"/>
    </row>
    <row r="326" spans="1:20" s="20" customFormat="1" x14ac:dyDescent="0.25">
      <c r="A326" s="26"/>
      <c r="B326" s="21"/>
      <c r="C326" s="21"/>
      <c r="D326" s="22"/>
      <c r="H326" s="22"/>
      <c r="J326" s="22"/>
      <c r="K326" s="27"/>
      <c r="L326" s="22"/>
      <c r="N326" s="22"/>
      <c r="O326" s="27"/>
      <c r="P326" s="247"/>
      <c r="Q326" s="247"/>
      <c r="R326" s="247"/>
      <c r="S326" s="247"/>
      <c r="T326" s="247"/>
    </row>
    <row r="327" spans="1:20" s="20" customFormat="1" x14ac:dyDescent="0.25">
      <c r="A327" s="26"/>
      <c r="B327" s="21"/>
      <c r="C327" s="21"/>
      <c r="D327" s="22"/>
      <c r="H327" s="22"/>
      <c r="J327" s="22"/>
      <c r="K327" s="27"/>
      <c r="L327" s="22"/>
      <c r="N327" s="22"/>
      <c r="O327" s="27"/>
      <c r="P327" s="247"/>
      <c r="Q327" s="247"/>
      <c r="R327" s="247"/>
      <c r="S327" s="247"/>
      <c r="T327" s="247"/>
    </row>
    <row r="328" spans="1:20" s="20" customFormat="1" x14ac:dyDescent="0.25">
      <c r="A328" s="26"/>
      <c r="B328" s="21"/>
      <c r="C328" s="21"/>
      <c r="D328" s="22"/>
      <c r="H328" s="22"/>
      <c r="J328" s="22"/>
      <c r="K328" s="27"/>
      <c r="L328" s="22"/>
      <c r="N328" s="22"/>
      <c r="O328" s="27"/>
      <c r="P328" s="247"/>
      <c r="Q328" s="247"/>
      <c r="R328" s="247"/>
      <c r="S328" s="247"/>
      <c r="T328" s="247"/>
    </row>
    <row r="329" spans="1:20" s="20" customFormat="1" x14ac:dyDescent="0.25">
      <c r="A329" s="26"/>
      <c r="B329" s="21"/>
      <c r="C329" s="21"/>
      <c r="D329" s="22"/>
      <c r="H329" s="22"/>
      <c r="J329" s="22"/>
      <c r="K329" s="27"/>
      <c r="L329" s="22"/>
      <c r="N329" s="22"/>
      <c r="O329" s="27"/>
      <c r="P329" s="247"/>
      <c r="Q329" s="247"/>
      <c r="R329" s="247"/>
      <c r="S329" s="247"/>
      <c r="T329" s="247"/>
    </row>
    <row r="330" spans="1:20" s="20" customFormat="1" x14ac:dyDescent="0.25">
      <c r="A330" s="26"/>
      <c r="B330" s="21"/>
      <c r="C330" s="21"/>
      <c r="D330" s="22"/>
      <c r="H330" s="22"/>
      <c r="J330" s="22"/>
      <c r="K330" s="27"/>
      <c r="L330" s="22"/>
      <c r="N330" s="22"/>
      <c r="O330" s="27"/>
      <c r="P330" s="247"/>
      <c r="Q330" s="247"/>
      <c r="R330" s="247"/>
      <c r="S330" s="247"/>
      <c r="T330" s="247"/>
    </row>
    <row r="331" spans="1:20" s="20" customFormat="1" x14ac:dyDescent="0.25">
      <c r="A331" s="26"/>
      <c r="B331" s="21"/>
      <c r="C331" s="21"/>
      <c r="D331" s="22"/>
      <c r="H331" s="22"/>
      <c r="J331" s="22"/>
      <c r="K331" s="27"/>
      <c r="L331" s="22"/>
      <c r="N331" s="22"/>
      <c r="O331" s="27"/>
      <c r="P331" s="247"/>
      <c r="Q331" s="247"/>
      <c r="R331" s="247"/>
      <c r="S331" s="247"/>
      <c r="T331" s="247"/>
    </row>
    <row r="332" spans="1:20" s="20" customFormat="1" x14ac:dyDescent="0.25">
      <c r="A332" s="26"/>
      <c r="B332" s="21"/>
      <c r="C332" s="21"/>
      <c r="D332" s="22"/>
      <c r="H332" s="22"/>
      <c r="J332" s="22"/>
      <c r="K332" s="27"/>
      <c r="L332" s="22"/>
      <c r="N332" s="22"/>
      <c r="O332" s="27"/>
      <c r="P332" s="247"/>
      <c r="Q332" s="247"/>
      <c r="R332" s="247"/>
      <c r="S332" s="247"/>
      <c r="T332" s="247"/>
    </row>
    <row r="333" spans="1:20" s="20" customFormat="1" x14ac:dyDescent="0.25">
      <c r="A333" s="26"/>
      <c r="B333" s="21"/>
      <c r="C333" s="21"/>
      <c r="D333" s="22"/>
      <c r="H333" s="22"/>
      <c r="J333" s="22"/>
      <c r="K333" s="27"/>
      <c r="L333" s="22"/>
      <c r="N333" s="22"/>
      <c r="O333" s="27"/>
      <c r="P333" s="247"/>
      <c r="Q333" s="247"/>
      <c r="R333" s="247"/>
      <c r="S333" s="247"/>
      <c r="T333" s="247"/>
    </row>
    <row r="334" spans="1:20" s="20" customFormat="1" x14ac:dyDescent="0.25">
      <c r="A334" s="26"/>
      <c r="B334" s="21"/>
      <c r="C334" s="21"/>
      <c r="D334" s="22"/>
      <c r="H334" s="22"/>
      <c r="J334" s="22"/>
      <c r="K334" s="27"/>
      <c r="L334" s="22"/>
      <c r="N334" s="22"/>
      <c r="O334" s="27"/>
      <c r="P334" s="247"/>
      <c r="Q334" s="247"/>
      <c r="R334" s="247"/>
      <c r="S334" s="247"/>
      <c r="T334" s="247"/>
    </row>
    <row r="335" spans="1:20" s="20" customFormat="1" x14ac:dyDescent="0.25">
      <c r="A335" s="26"/>
      <c r="B335" s="21"/>
      <c r="C335" s="21"/>
      <c r="D335" s="22"/>
      <c r="H335" s="22"/>
      <c r="J335" s="22"/>
      <c r="K335" s="27"/>
      <c r="L335" s="22"/>
      <c r="N335" s="22"/>
      <c r="O335" s="27"/>
      <c r="P335" s="247"/>
      <c r="Q335" s="247"/>
      <c r="R335" s="247"/>
      <c r="S335" s="247"/>
      <c r="T335" s="247"/>
    </row>
    <row r="336" spans="1:20" s="20" customFormat="1" x14ac:dyDescent="0.25">
      <c r="A336" s="26"/>
      <c r="B336" s="21"/>
      <c r="C336" s="21"/>
      <c r="D336" s="22"/>
      <c r="H336" s="22"/>
      <c r="J336" s="22"/>
      <c r="K336" s="27"/>
      <c r="L336" s="22"/>
      <c r="N336" s="22"/>
      <c r="O336" s="27"/>
      <c r="P336" s="247"/>
      <c r="Q336" s="247"/>
      <c r="R336" s="247"/>
      <c r="S336" s="247"/>
      <c r="T336" s="247"/>
    </row>
    <row r="337" spans="1:20" s="20" customFormat="1" x14ac:dyDescent="0.25">
      <c r="A337" s="26"/>
      <c r="B337" s="21"/>
      <c r="C337" s="21"/>
      <c r="D337" s="22"/>
      <c r="H337" s="22"/>
      <c r="J337" s="22"/>
      <c r="K337" s="27"/>
      <c r="L337" s="22"/>
      <c r="N337" s="22"/>
      <c r="O337" s="27"/>
      <c r="P337" s="247"/>
      <c r="Q337" s="247"/>
      <c r="R337" s="247"/>
      <c r="S337" s="247"/>
      <c r="T337" s="247"/>
    </row>
    <row r="338" spans="1:20" s="20" customFormat="1" x14ac:dyDescent="0.25">
      <c r="A338" s="26"/>
      <c r="B338" s="21"/>
      <c r="C338" s="21"/>
      <c r="D338" s="22"/>
      <c r="H338" s="22"/>
      <c r="J338" s="22"/>
      <c r="K338" s="27"/>
      <c r="L338" s="22"/>
      <c r="N338" s="22"/>
      <c r="O338" s="27"/>
      <c r="P338" s="247"/>
      <c r="Q338" s="247"/>
      <c r="R338" s="247"/>
      <c r="S338" s="247"/>
      <c r="T338" s="247"/>
    </row>
    <row r="339" spans="1:20" s="20" customFormat="1" x14ac:dyDescent="0.25">
      <c r="A339" s="26"/>
      <c r="B339" s="21"/>
      <c r="C339" s="21"/>
      <c r="D339" s="22"/>
      <c r="H339" s="22"/>
      <c r="J339" s="22"/>
      <c r="K339" s="27"/>
      <c r="L339" s="22"/>
      <c r="N339" s="22"/>
      <c r="O339" s="27"/>
      <c r="P339" s="247"/>
      <c r="Q339" s="247"/>
      <c r="R339" s="247"/>
      <c r="S339" s="247"/>
      <c r="T339" s="247"/>
    </row>
    <row r="340" spans="1:20" s="20" customFormat="1" x14ac:dyDescent="0.25">
      <c r="A340" s="26"/>
      <c r="B340" s="21"/>
      <c r="C340" s="21"/>
      <c r="D340" s="22"/>
      <c r="H340" s="22"/>
      <c r="J340" s="22"/>
      <c r="K340" s="27"/>
      <c r="L340" s="22"/>
      <c r="N340" s="22"/>
      <c r="O340" s="27"/>
      <c r="P340" s="247"/>
      <c r="Q340" s="247"/>
      <c r="R340" s="247"/>
      <c r="S340" s="247"/>
      <c r="T340" s="247"/>
    </row>
    <row r="341" spans="1:20" s="20" customFormat="1" x14ac:dyDescent="0.25">
      <c r="A341" s="26"/>
      <c r="B341" s="21"/>
      <c r="C341" s="21"/>
      <c r="D341" s="22"/>
      <c r="H341" s="22"/>
      <c r="J341" s="22"/>
      <c r="K341" s="27"/>
      <c r="L341" s="22"/>
      <c r="N341" s="22"/>
      <c r="O341" s="27"/>
      <c r="P341" s="247"/>
      <c r="Q341" s="247"/>
      <c r="R341" s="247"/>
      <c r="S341" s="247"/>
      <c r="T341" s="247"/>
    </row>
    <row r="342" spans="1:20" s="20" customFormat="1" x14ac:dyDescent="0.25">
      <c r="A342" s="26"/>
      <c r="B342" s="21"/>
      <c r="C342" s="21"/>
      <c r="D342" s="22"/>
      <c r="H342" s="22"/>
      <c r="J342" s="22"/>
      <c r="K342" s="27"/>
      <c r="L342" s="22"/>
      <c r="N342" s="22"/>
      <c r="O342" s="27"/>
      <c r="P342" s="247"/>
      <c r="Q342" s="247"/>
      <c r="R342" s="247"/>
      <c r="S342" s="247"/>
      <c r="T342" s="247"/>
    </row>
    <row r="343" spans="1:20" s="20" customFormat="1" x14ac:dyDescent="0.25">
      <c r="A343" s="26"/>
      <c r="B343" s="21"/>
      <c r="C343" s="21"/>
      <c r="D343" s="22"/>
      <c r="H343" s="22"/>
      <c r="J343" s="22"/>
      <c r="K343" s="27"/>
      <c r="L343" s="22"/>
      <c r="N343" s="22"/>
      <c r="O343" s="27"/>
      <c r="P343" s="247"/>
      <c r="Q343" s="247"/>
      <c r="R343" s="247"/>
      <c r="S343" s="247"/>
      <c r="T343" s="247"/>
    </row>
    <row r="344" spans="1:20" s="20" customFormat="1" x14ac:dyDescent="0.25">
      <c r="A344" s="26"/>
      <c r="B344" s="21"/>
      <c r="C344" s="21"/>
      <c r="D344" s="22"/>
      <c r="H344" s="22"/>
      <c r="J344" s="22"/>
      <c r="K344" s="27"/>
      <c r="L344" s="22"/>
      <c r="N344" s="22"/>
      <c r="O344" s="27"/>
      <c r="P344" s="247"/>
      <c r="Q344" s="247"/>
      <c r="R344" s="247"/>
      <c r="S344" s="247"/>
      <c r="T344" s="247"/>
    </row>
    <row r="345" spans="1:20" s="20" customFormat="1" x14ac:dyDescent="0.25">
      <c r="A345" s="26"/>
      <c r="B345" s="21"/>
      <c r="C345" s="21"/>
      <c r="D345" s="22"/>
      <c r="H345" s="22"/>
      <c r="J345" s="22"/>
      <c r="K345" s="27"/>
      <c r="L345" s="22"/>
      <c r="N345" s="22"/>
      <c r="O345" s="27"/>
      <c r="P345" s="247"/>
      <c r="Q345" s="247"/>
      <c r="R345" s="247"/>
      <c r="S345" s="247"/>
      <c r="T345" s="247"/>
    </row>
    <row r="346" spans="1:20" s="20" customFormat="1" x14ac:dyDescent="0.25">
      <c r="A346" s="26"/>
      <c r="B346" s="21"/>
      <c r="C346" s="21"/>
      <c r="D346" s="22"/>
      <c r="H346" s="22"/>
      <c r="J346" s="22"/>
      <c r="K346" s="27"/>
      <c r="L346" s="22"/>
      <c r="N346" s="22"/>
      <c r="O346" s="27"/>
      <c r="P346" s="247"/>
      <c r="Q346" s="247"/>
      <c r="R346" s="247"/>
      <c r="S346" s="247"/>
      <c r="T346" s="247"/>
    </row>
    <row r="347" spans="1:20" s="20" customFormat="1" x14ac:dyDescent="0.25">
      <c r="A347" s="26"/>
      <c r="B347" s="21"/>
      <c r="C347" s="21"/>
      <c r="D347" s="22"/>
      <c r="H347" s="22"/>
      <c r="J347" s="22"/>
      <c r="K347" s="27"/>
      <c r="L347" s="22"/>
      <c r="N347" s="22"/>
      <c r="O347" s="27"/>
      <c r="P347" s="247"/>
      <c r="Q347" s="247"/>
      <c r="R347" s="247"/>
      <c r="S347" s="247"/>
      <c r="T347" s="247"/>
    </row>
    <row r="348" spans="1:20" s="20" customFormat="1" x14ac:dyDescent="0.25">
      <c r="A348" s="26"/>
      <c r="B348" s="21"/>
      <c r="C348" s="21"/>
      <c r="D348" s="22"/>
      <c r="H348" s="22"/>
      <c r="J348" s="22"/>
      <c r="K348" s="27"/>
      <c r="L348" s="22"/>
      <c r="N348" s="22"/>
      <c r="O348" s="27"/>
      <c r="P348" s="247"/>
      <c r="Q348" s="247"/>
      <c r="R348" s="247"/>
      <c r="S348" s="247"/>
      <c r="T348" s="247"/>
    </row>
    <row r="349" spans="1:20" s="20" customFormat="1" x14ac:dyDescent="0.25">
      <c r="A349" s="26"/>
      <c r="B349" s="21"/>
      <c r="C349" s="21"/>
      <c r="D349" s="22"/>
      <c r="H349" s="22"/>
      <c r="J349" s="22"/>
      <c r="K349" s="27"/>
      <c r="L349" s="22"/>
      <c r="N349" s="22"/>
      <c r="O349" s="27"/>
      <c r="P349" s="247"/>
      <c r="Q349" s="247"/>
      <c r="R349" s="247"/>
      <c r="S349" s="247"/>
      <c r="T349" s="247"/>
    </row>
    <row r="350" spans="1:20" s="20" customFormat="1" x14ac:dyDescent="0.25">
      <c r="A350" s="26"/>
      <c r="B350" s="21"/>
      <c r="C350" s="21"/>
      <c r="D350" s="22"/>
      <c r="H350" s="22"/>
      <c r="J350" s="22"/>
      <c r="K350" s="27"/>
      <c r="L350" s="22"/>
      <c r="N350" s="22"/>
      <c r="O350" s="27"/>
      <c r="P350" s="247"/>
      <c r="Q350" s="247"/>
      <c r="R350" s="247"/>
      <c r="S350" s="247"/>
      <c r="T350" s="247"/>
    </row>
    <row r="351" spans="1:20" s="20" customFormat="1" x14ac:dyDescent="0.25">
      <c r="A351" s="26"/>
      <c r="B351" s="21"/>
      <c r="C351" s="21"/>
      <c r="D351" s="22"/>
      <c r="H351" s="22"/>
      <c r="J351" s="22"/>
      <c r="K351" s="27"/>
      <c r="L351" s="22"/>
      <c r="N351" s="22"/>
      <c r="O351" s="27"/>
      <c r="P351" s="247"/>
      <c r="Q351" s="247"/>
      <c r="R351" s="247"/>
      <c r="S351" s="247"/>
      <c r="T351" s="247"/>
    </row>
    <row r="352" spans="1:20" s="20" customFormat="1" x14ac:dyDescent="0.25">
      <c r="A352" s="26"/>
      <c r="B352" s="21"/>
      <c r="C352" s="21"/>
      <c r="D352" s="22"/>
      <c r="H352" s="22"/>
      <c r="J352" s="22"/>
      <c r="K352" s="27"/>
      <c r="L352" s="22"/>
      <c r="N352" s="22"/>
      <c r="O352" s="27"/>
      <c r="P352" s="247"/>
      <c r="Q352" s="247"/>
      <c r="R352" s="247"/>
      <c r="S352" s="247"/>
      <c r="T352" s="247"/>
    </row>
    <row r="353" spans="1:20" s="20" customFormat="1" x14ac:dyDescent="0.25">
      <c r="A353" s="26"/>
      <c r="B353" s="21"/>
      <c r="C353" s="21"/>
      <c r="D353" s="22"/>
      <c r="H353" s="22"/>
      <c r="J353" s="22"/>
      <c r="K353" s="27"/>
      <c r="L353" s="22"/>
      <c r="N353" s="22"/>
      <c r="O353" s="27"/>
      <c r="P353" s="247"/>
      <c r="Q353" s="247"/>
      <c r="R353" s="247"/>
      <c r="S353" s="247"/>
      <c r="T353" s="247"/>
    </row>
    <row r="354" spans="1:20" s="20" customFormat="1" x14ac:dyDescent="0.25">
      <c r="A354" s="26"/>
      <c r="B354" s="21"/>
      <c r="C354" s="21"/>
      <c r="D354" s="22"/>
      <c r="H354" s="22"/>
      <c r="J354" s="22"/>
      <c r="K354" s="27"/>
      <c r="L354" s="22"/>
      <c r="N354" s="22"/>
      <c r="O354" s="27"/>
      <c r="P354" s="247"/>
      <c r="Q354" s="247"/>
      <c r="R354" s="247"/>
      <c r="S354" s="247"/>
      <c r="T354" s="247"/>
    </row>
    <row r="355" spans="1:20" s="20" customFormat="1" x14ac:dyDescent="0.25">
      <c r="A355" s="26"/>
      <c r="B355" s="21"/>
      <c r="C355" s="21"/>
      <c r="D355" s="22"/>
      <c r="H355" s="22"/>
      <c r="J355" s="22"/>
      <c r="K355" s="27"/>
      <c r="L355" s="22"/>
      <c r="N355" s="22"/>
      <c r="O355" s="27"/>
      <c r="P355" s="247"/>
      <c r="Q355" s="247"/>
      <c r="R355" s="247"/>
      <c r="S355" s="247"/>
      <c r="T355" s="247"/>
    </row>
    <row r="356" spans="1:20" s="20" customFormat="1" x14ac:dyDescent="0.25">
      <c r="A356" s="26"/>
      <c r="B356" s="21"/>
      <c r="C356" s="21"/>
      <c r="D356" s="22"/>
      <c r="H356" s="22"/>
      <c r="J356" s="22"/>
      <c r="K356" s="27"/>
      <c r="L356" s="22"/>
      <c r="N356" s="22"/>
      <c r="O356" s="27"/>
      <c r="P356" s="247"/>
      <c r="Q356" s="247"/>
      <c r="R356" s="247"/>
      <c r="S356" s="247"/>
      <c r="T356" s="247"/>
    </row>
    <row r="357" spans="1:20" s="20" customFormat="1" x14ac:dyDescent="0.25">
      <c r="A357" s="26"/>
      <c r="B357" s="21"/>
      <c r="C357" s="21"/>
      <c r="D357" s="22"/>
      <c r="H357" s="22"/>
      <c r="J357" s="22"/>
      <c r="K357" s="27"/>
      <c r="L357" s="22"/>
      <c r="N357" s="22"/>
      <c r="O357" s="27"/>
      <c r="P357" s="247"/>
      <c r="Q357" s="247"/>
      <c r="R357" s="247"/>
      <c r="S357" s="247"/>
      <c r="T357" s="247"/>
    </row>
    <row r="358" spans="1:20" s="20" customFormat="1" x14ac:dyDescent="0.25">
      <c r="A358" s="26"/>
      <c r="B358" s="21"/>
      <c r="C358" s="21"/>
      <c r="D358" s="22"/>
      <c r="H358" s="22"/>
      <c r="J358" s="22"/>
      <c r="K358" s="27"/>
      <c r="L358" s="22"/>
      <c r="N358" s="22"/>
      <c r="O358" s="27"/>
      <c r="P358" s="247"/>
      <c r="Q358" s="247"/>
      <c r="R358" s="247"/>
      <c r="S358" s="247"/>
      <c r="T358" s="247"/>
    </row>
    <row r="359" spans="1:20" s="20" customFormat="1" x14ac:dyDescent="0.25">
      <c r="A359" s="26"/>
      <c r="B359" s="21"/>
      <c r="C359" s="21"/>
      <c r="D359" s="22"/>
      <c r="H359" s="22"/>
      <c r="J359" s="22"/>
      <c r="K359" s="27"/>
      <c r="L359" s="22"/>
      <c r="N359" s="22"/>
      <c r="O359" s="27"/>
      <c r="P359" s="247"/>
      <c r="Q359" s="247"/>
      <c r="R359" s="247"/>
      <c r="S359" s="247"/>
      <c r="T359" s="247"/>
    </row>
    <row r="360" spans="1:20" s="20" customFormat="1" x14ac:dyDescent="0.25">
      <c r="A360" s="26"/>
      <c r="B360" s="21"/>
      <c r="C360" s="21"/>
      <c r="D360" s="22"/>
      <c r="H360" s="22"/>
      <c r="J360" s="22"/>
      <c r="K360" s="27"/>
      <c r="L360" s="22"/>
      <c r="N360" s="22"/>
      <c r="O360" s="27"/>
      <c r="P360" s="247"/>
      <c r="Q360" s="247"/>
      <c r="R360" s="247"/>
      <c r="S360" s="247"/>
      <c r="T360" s="247"/>
    </row>
    <row r="361" spans="1:20" s="20" customFormat="1" x14ac:dyDescent="0.25">
      <c r="A361" s="26"/>
      <c r="B361" s="21"/>
      <c r="C361" s="21"/>
      <c r="D361" s="22"/>
      <c r="H361" s="22"/>
      <c r="J361" s="22"/>
      <c r="K361" s="27"/>
      <c r="L361" s="22"/>
      <c r="N361" s="22"/>
      <c r="O361" s="27"/>
      <c r="P361" s="247"/>
      <c r="Q361" s="247"/>
      <c r="R361" s="247"/>
      <c r="S361" s="247"/>
      <c r="T361" s="247"/>
    </row>
    <row r="362" spans="1:20" s="20" customFormat="1" x14ac:dyDescent="0.25">
      <c r="A362" s="26"/>
      <c r="B362" s="21"/>
      <c r="C362" s="21"/>
      <c r="D362" s="22"/>
      <c r="H362" s="22"/>
      <c r="J362" s="22"/>
      <c r="K362" s="27"/>
      <c r="L362" s="22"/>
      <c r="N362" s="22"/>
      <c r="O362" s="27"/>
      <c r="P362" s="247"/>
      <c r="Q362" s="247"/>
      <c r="R362" s="247"/>
      <c r="S362" s="247"/>
      <c r="T362" s="247"/>
    </row>
    <row r="363" spans="1:20" s="20" customFormat="1" x14ac:dyDescent="0.25">
      <c r="A363" s="26"/>
      <c r="B363" s="21"/>
      <c r="C363" s="21"/>
      <c r="D363" s="22"/>
      <c r="H363" s="22"/>
      <c r="J363" s="22"/>
      <c r="K363" s="27"/>
      <c r="L363" s="22"/>
      <c r="N363" s="22"/>
      <c r="O363" s="27"/>
      <c r="P363" s="247"/>
      <c r="Q363" s="247"/>
      <c r="R363" s="247"/>
      <c r="S363" s="247"/>
      <c r="T363" s="247"/>
    </row>
    <row r="364" spans="1:20" s="20" customFormat="1" x14ac:dyDescent="0.25">
      <c r="A364" s="26"/>
      <c r="B364" s="21"/>
      <c r="C364" s="21"/>
      <c r="D364" s="22"/>
      <c r="H364" s="22"/>
      <c r="J364" s="22"/>
      <c r="K364" s="27"/>
      <c r="L364" s="22"/>
      <c r="N364" s="22"/>
      <c r="O364" s="27"/>
      <c r="P364" s="247"/>
      <c r="Q364" s="247"/>
      <c r="R364" s="247"/>
      <c r="S364" s="247"/>
      <c r="T364" s="247"/>
    </row>
    <row r="365" spans="1:20" s="20" customFormat="1" x14ac:dyDescent="0.25">
      <c r="A365" s="26"/>
      <c r="B365" s="21"/>
      <c r="C365" s="21"/>
      <c r="D365" s="22"/>
      <c r="H365" s="22"/>
      <c r="J365" s="22"/>
      <c r="K365" s="27"/>
      <c r="L365" s="22"/>
      <c r="N365" s="22"/>
      <c r="O365" s="27"/>
      <c r="P365" s="247"/>
      <c r="Q365" s="247"/>
      <c r="R365" s="247"/>
      <c r="S365" s="247"/>
      <c r="T365" s="247"/>
    </row>
    <row r="366" spans="1:20" s="20" customFormat="1" x14ac:dyDescent="0.25">
      <c r="A366" s="26"/>
      <c r="B366" s="21"/>
      <c r="C366" s="21"/>
      <c r="D366" s="22"/>
      <c r="H366" s="22"/>
      <c r="J366" s="22"/>
      <c r="K366" s="27"/>
      <c r="L366" s="22"/>
      <c r="N366" s="22"/>
      <c r="O366" s="27"/>
      <c r="P366" s="247"/>
      <c r="Q366" s="247"/>
      <c r="R366" s="247"/>
      <c r="S366" s="247"/>
      <c r="T366" s="247"/>
    </row>
    <row r="367" spans="1:20" s="20" customFormat="1" x14ac:dyDescent="0.25">
      <c r="A367" s="26"/>
      <c r="B367" s="21"/>
      <c r="C367" s="21"/>
      <c r="D367" s="22"/>
      <c r="H367" s="22"/>
      <c r="J367" s="22"/>
      <c r="K367" s="27"/>
      <c r="L367" s="22"/>
      <c r="N367" s="22"/>
      <c r="O367" s="27"/>
      <c r="P367" s="247"/>
      <c r="Q367" s="247"/>
      <c r="R367" s="247"/>
      <c r="S367" s="247"/>
      <c r="T367" s="247"/>
    </row>
    <row r="368" spans="1:20" s="20" customFormat="1" x14ac:dyDescent="0.25">
      <c r="A368" s="26"/>
      <c r="B368" s="21"/>
      <c r="C368" s="21"/>
      <c r="D368" s="22"/>
      <c r="H368" s="22"/>
      <c r="J368" s="22"/>
      <c r="K368" s="27"/>
      <c r="L368" s="22"/>
      <c r="N368" s="22"/>
      <c r="O368" s="27"/>
      <c r="P368" s="247"/>
      <c r="Q368" s="247"/>
      <c r="R368" s="247"/>
      <c r="S368" s="247"/>
      <c r="T368" s="247"/>
    </row>
    <row r="369" spans="1:20" s="20" customFormat="1" x14ac:dyDescent="0.25">
      <c r="A369" s="26"/>
      <c r="B369" s="21"/>
      <c r="C369" s="21"/>
      <c r="D369" s="22"/>
      <c r="H369" s="22"/>
      <c r="J369" s="22"/>
      <c r="K369" s="27"/>
      <c r="L369" s="22"/>
      <c r="N369" s="22"/>
      <c r="O369" s="27"/>
      <c r="P369" s="247"/>
      <c r="Q369" s="247"/>
      <c r="R369" s="247"/>
      <c r="S369" s="247"/>
      <c r="T369" s="247"/>
    </row>
    <row r="370" spans="1:20" s="20" customFormat="1" x14ac:dyDescent="0.25">
      <c r="A370" s="26"/>
      <c r="B370" s="21"/>
      <c r="C370" s="21"/>
      <c r="D370" s="22"/>
      <c r="H370" s="22"/>
      <c r="J370" s="22"/>
      <c r="K370" s="27"/>
      <c r="L370" s="22"/>
      <c r="N370" s="22"/>
      <c r="O370" s="27"/>
      <c r="P370" s="247"/>
      <c r="Q370" s="247"/>
      <c r="R370" s="247"/>
      <c r="S370" s="247"/>
      <c r="T370" s="247"/>
    </row>
    <row r="371" spans="1:20" s="20" customFormat="1" x14ac:dyDescent="0.25">
      <c r="A371" s="26"/>
      <c r="B371" s="21"/>
      <c r="C371" s="21"/>
      <c r="D371" s="22"/>
      <c r="H371" s="22"/>
      <c r="J371" s="22"/>
      <c r="K371" s="27"/>
      <c r="L371" s="22"/>
      <c r="N371" s="22"/>
      <c r="O371" s="27"/>
      <c r="P371" s="247"/>
      <c r="Q371" s="247"/>
      <c r="R371" s="247"/>
      <c r="S371" s="247"/>
      <c r="T371" s="247"/>
    </row>
    <row r="372" spans="1:20" s="20" customFormat="1" x14ac:dyDescent="0.25">
      <c r="A372" s="26"/>
      <c r="B372" s="21"/>
      <c r="C372" s="21"/>
      <c r="D372" s="22"/>
      <c r="H372" s="22"/>
      <c r="J372" s="22"/>
      <c r="K372" s="27"/>
      <c r="L372" s="22"/>
      <c r="N372" s="22"/>
      <c r="O372" s="27"/>
      <c r="P372" s="247"/>
      <c r="Q372" s="247"/>
      <c r="R372" s="247"/>
      <c r="S372" s="247"/>
      <c r="T372" s="247"/>
    </row>
    <row r="373" spans="1:20" s="20" customFormat="1" x14ac:dyDescent="0.25">
      <c r="A373" s="26"/>
      <c r="B373" s="21"/>
      <c r="C373" s="21"/>
      <c r="D373" s="22"/>
      <c r="H373" s="22"/>
      <c r="J373" s="22"/>
      <c r="K373" s="27"/>
      <c r="L373" s="22"/>
      <c r="N373" s="22"/>
      <c r="O373" s="27"/>
      <c r="P373" s="247"/>
      <c r="Q373" s="247"/>
      <c r="R373" s="247"/>
      <c r="S373" s="247"/>
      <c r="T373" s="247"/>
    </row>
    <row r="374" spans="1:20" s="20" customFormat="1" x14ac:dyDescent="0.25">
      <c r="A374" s="26"/>
      <c r="B374" s="21"/>
      <c r="C374" s="21"/>
      <c r="D374" s="22"/>
      <c r="H374" s="22"/>
      <c r="J374" s="22"/>
      <c r="K374" s="27"/>
      <c r="L374" s="22"/>
      <c r="N374" s="22"/>
      <c r="O374" s="27"/>
      <c r="P374" s="247"/>
      <c r="Q374" s="247"/>
      <c r="R374" s="247"/>
      <c r="S374" s="247"/>
      <c r="T374" s="247"/>
    </row>
    <row r="375" spans="1:20" s="20" customFormat="1" x14ac:dyDescent="0.25">
      <c r="A375" s="26"/>
      <c r="B375" s="21"/>
      <c r="C375" s="21"/>
      <c r="D375" s="22"/>
      <c r="H375" s="22"/>
      <c r="J375" s="22"/>
      <c r="K375" s="27"/>
      <c r="L375" s="22"/>
      <c r="N375" s="22"/>
      <c r="O375" s="27"/>
      <c r="P375" s="247"/>
      <c r="Q375" s="247"/>
      <c r="R375" s="247"/>
      <c r="S375" s="247"/>
      <c r="T375" s="247"/>
    </row>
    <row r="376" spans="1:20" s="20" customFormat="1" x14ac:dyDescent="0.25">
      <c r="A376" s="26"/>
      <c r="B376" s="21"/>
      <c r="C376" s="21"/>
      <c r="D376" s="22"/>
      <c r="H376" s="22"/>
      <c r="J376" s="22"/>
      <c r="K376" s="27"/>
      <c r="L376" s="22"/>
      <c r="N376" s="22"/>
      <c r="O376" s="27"/>
      <c r="P376" s="247"/>
      <c r="Q376" s="247"/>
      <c r="R376" s="247"/>
      <c r="S376" s="247"/>
      <c r="T376" s="247"/>
    </row>
    <row r="377" spans="1:20" s="20" customFormat="1" x14ac:dyDescent="0.25">
      <c r="A377" s="26"/>
      <c r="B377" s="21"/>
      <c r="C377" s="21"/>
      <c r="D377" s="22"/>
      <c r="H377" s="22"/>
      <c r="J377" s="22"/>
      <c r="K377" s="27"/>
      <c r="L377" s="22"/>
      <c r="N377" s="22"/>
      <c r="O377" s="27"/>
      <c r="P377" s="247"/>
      <c r="Q377" s="247"/>
      <c r="R377" s="247"/>
      <c r="S377" s="247"/>
      <c r="T377" s="247"/>
    </row>
    <row r="378" spans="1:20" s="20" customFormat="1" x14ac:dyDescent="0.25">
      <c r="A378" s="26"/>
      <c r="B378" s="21"/>
      <c r="C378" s="21"/>
      <c r="D378" s="22"/>
      <c r="H378" s="22"/>
      <c r="J378" s="22"/>
      <c r="K378" s="27"/>
      <c r="L378" s="22"/>
      <c r="N378" s="22"/>
      <c r="O378" s="27"/>
      <c r="P378" s="247"/>
      <c r="Q378" s="247"/>
      <c r="R378" s="247"/>
      <c r="S378" s="247"/>
      <c r="T378" s="247"/>
    </row>
    <row r="379" spans="1:20" s="20" customFormat="1" x14ac:dyDescent="0.25">
      <c r="A379" s="26"/>
      <c r="B379" s="21"/>
      <c r="C379" s="21"/>
      <c r="D379" s="22"/>
      <c r="H379" s="22"/>
      <c r="J379" s="22"/>
      <c r="K379" s="27"/>
      <c r="L379" s="22"/>
      <c r="N379" s="22"/>
      <c r="O379" s="27"/>
      <c r="P379" s="247"/>
      <c r="Q379" s="247"/>
      <c r="R379" s="247"/>
      <c r="S379" s="247"/>
      <c r="T379" s="247"/>
    </row>
    <row r="380" spans="1:20" s="20" customFormat="1" x14ac:dyDescent="0.25">
      <c r="A380" s="26"/>
      <c r="B380" s="21"/>
      <c r="C380" s="21"/>
      <c r="D380" s="22"/>
      <c r="H380" s="22"/>
      <c r="J380" s="22"/>
      <c r="K380" s="27"/>
      <c r="L380" s="22"/>
      <c r="N380" s="22"/>
      <c r="O380" s="27"/>
      <c r="P380" s="247"/>
      <c r="Q380" s="247"/>
      <c r="R380" s="247"/>
      <c r="S380" s="247"/>
      <c r="T380" s="247"/>
    </row>
    <row r="381" spans="1:20" s="20" customFormat="1" x14ac:dyDescent="0.25">
      <c r="A381" s="26"/>
      <c r="B381" s="21"/>
      <c r="C381" s="21"/>
      <c r="D381" s="22"/>
      <c r="H381" s="22"/>
      <c r="J381" s="22"/>
      <c r="K381" s="27"/>
      <c r="L381" s="22"/>
      <c r="N381" s="22"/>
      <c r="O381" s="27"/>
      <c r="P381" s="247"/>
      <c r="Q381" s="247"/>
      <c r="R381" s="247"/>
      <c r="S381" s="247"/>
      <c r="T381" s="247"/>
    </row>
    <row r="382" spans="1:20" s="20" customFormat="1" x14ac:dyDescent="0.25">
      <c r="A382" s="26"/>
      <c r="B382" s="21"/>
      <c r="C382" s="21"/>
      <c r="D382" s="22"/>
      <c r="H382" s="22"/>
      <c r="J382" s="22"/>
      <c r="K382" s="27"/>
      <c r="L382" s="22"/>
      <c r="N382" s="22"/>
      <c r="O382" s="27"/>
      <c r="P382" s="247"/>
      <c r="Q382" s="247"/>
      <c r="R382" s="247"/>
      <c r="S382" s="247"/>
      <c r="T382" s="247"/>
    </row>
    <row r="383" spans="1:20" s="20" customFormat="1" x14ac:dyDescent="0.25">
      <c r="A383" s="26"/>
      <c r="B383" s="21"/>
      <c r="C383" s="21"/>
      <c r="D383" s="22"/>
      <c r="H383" s="22"/>
      <c r="J383" s="22"/>
      <c r="K383" s="27"/>
      <c r="L383" s="22"/>
      <c r="N383" s="22"/>
      <c r="O383" s="27"/>
      <c r="P383" s="247"/>
      <c r="Q383" s="247"/>
      <c r="R383" s="247"/>
      <c r="S383" s="247"/>
      <c r="T383" s="247"/>
    </row>
    <row r="384" spans="1:20" s="20" customFormat="1" x14ac:dyDescent="0.25">
      <c r="A384" s="26"/>
      <c r="B384" s="21"/>
      <c r="C384" s="21"/>
      <c r="D384" s="22"/>
      <c r="H384" s="22"/>
      <c r="J384" s="22"/>
      <c r="K384" s="27"/>
      <c r="L384" s="22"/>
      <c r="N384" s="22"/>
      <c r="O384" s="27"/>
      <c r="P384" s="247"/>
      <c r="Q384" s="247"/>
      <c r="R384" s="247"/>
      <c r="S384" s="247"/>
      <c r="T384" s="247"/>
    </row>
    <row r="385" spans="1:20" s="20" customFormat="1" x14ac:dyDescent="0.25">
      <c r="A385" s="26"/>
      <c r="B385" s="21"/>
      <c r="C385" s="21"/>
      <c r="D385" s="22"/>
      <c r="H385" s="22"/>
      <c r="J385" s="22"/>
      <c r="K385" s="27"/>
      <c r="L385" s="22"/>
      <c r="N385" s="22"/>
      <c r="O385" s="27"/>
      <c r="P385" s="247"/>
      <c r="Q385" s="247"/>
      <c r="R385" s="247"/>
      <c r="S385" s="247"/>
      <c r="T385" s="247"/>
    </row>
    <row r="386" spans="1:20" s="20" customFormat="1" x14ac:dyDescent="0.25">
      <c r="A386" s="26"/>
      <c r="B386" s="21"/>
      <c r="C386" s="21"/>
      <c r="D386" s="22"/>
      <c r="H386" s="22"/>
      <c r="J386" s="22"/>
      <c r="K386" s="27"/>
      <c r="L386" s="22"/>
      <c r="N386" s="22"/>
      <c r="O386" s="27"/>
      <c r="P386" s="247"/>
      <c r="Q386" s="247"/>
      <c r="R386" s="247"/>
      <c r="S386" s="247"/>
      <c r="T386" s="247"/>
    </row>
    <row r="387" spans="1:20" s="20" customFormat="1" x14ac:dyDescent="0.25">
      <c r="A387" s="26"/>
      <c r="B387" s="21"/>
      <c r="C387" s="21"/>
      <c r="D387" s="22"/>
      <c r="H387" s="22"/>
      <c r="J387" s="22"/>
      <c r="K387" s="27"/>
      <c r="L387" s="22"/>
      <c r="N387" s="22"/>
      <c r="O387" s="27"/>
      <c r="P387" s="247"/>
      <c r="Q387" s="247"/>
      <c r="R387" s="247"/>
      <c r="S387" s="247"/>
      <c r="T387" s="247"/>
    </row>
    <row r="388" spans="1:20" s="20" customFormat="1" x14ac:dyDescent="0.25">
      <c r="A388" s="26"/>
      <c r="B388" s="21"/>
      <c r="C388" s="21"/>
      <c r="D388" s="22"/>
      <c r="H388" s="22"/>
      <c r="J388" s="22"/>
      <c r="K388" s="27"/>
      <c r="L388" s="22"/>
      <c r="N388" s="22"/>
      <c r="O388" s="27"/>
      <c r="P388" s="247"/>
      <c r="Q388" s="247"/>
      <c r="R388" s="247"/>
      <c r="S388" s="247"/>
      <c r="T388" s="247"/>
    </row>
    <row r="389" spans="1:20" s="20" customFormat="1" x14ac:dyDescent="0.25">
      <c r="A389" s="26"/>
      <c r="B389" s="21"/>
      <c r="C389" s="21"/>
      <c r="D389" s="22"/>
      <c r="H389" s="22"/>
      <c r="J389" s="22"/>
      <c r="K389" s="27"/>
      <c r="L389" s="22"/>
      <c r="N389" s="22"/>
      <c r="O389" s="27"/>
      <c r="P389" s="247"/>
      <c r="Q389" s="247"/>
      <c r="R389" s="247"/>
      <c r="S389" s="247"/>
      <c r="T389" s="247"/>
    </row>
    <row r="390" spans="1:20" s="20" customFormat="1" x14ac:dyDescent="0.25">
      <c r="A390" s="26"/>
      <c r="B390" s="21"/>
      <c r="C390" s="21"/>
      <c r="D390" s="22"/>
      <c r="H390" s="22"/>
      <c r="J390" s="22"/>
      <c r="K390" s="27"/>
      <c r="L390" s="22"/>
      <c r="N390" s="22"/>
      <c r="O390" s="27"/>
      <c r="P390" s="247"/>
      <c r="Q390" s="247"/>
      <c r="R390" s="247"/>
      <c r="S390" s="247"/>
      <c r="T390" s="247"/>
    </row>
    <row r="391" spans="1:20" s="20" customFormat="1" x14ac:dyDescent="0.25">
      <c r="A391" s="26"/>
      <c r="B391" s="21"/>
      <c r="C391" s="21"/>
      <c r="D391" s="22"/>
      <c r="H391" s="22"/>
      <c r="J391" s="22"/>
      <c r="K391" s="27"/>
      <c r="L391" s="22"/>
      <c r="N391" s="22"/>
      <c r="O391" s="27"/>
      <c r="P391" s="247"/>
      <c r="Q391" s="247"/>
      <c r="R391" s="247"/>
      <c r="S391" s="247"/>
      <c r="T391" s="247"/>
    </row>
    <row r="392" spans="1:20" s="20" customFormat="1" x14ac:dyDescent="0.25">
      <c r="A392" s="26"/>
      <c r="B392" s="21"/>
      <c r="C392" s="21"/>
      <c r="D392" s="22"/>
      <c r="H392" s="22"/>
      <c r="J392" s="22"/>
      <c r="K392" s="27"/>
      <c r="L392" s="22"/>
      <c r="N392" s="22"/>
      <c r="O392" s="27"/>
      <c r="P392" s="247"/>
      <c r="Q392" s="247"/>
      <c r="R392" s="247"/>
      <c r="S392" s="247"/>
      <c r="T392" s="247"/>
    </row>
    <row r="393" spans="1:20" s="20" customFormat="1" x14ac:dyDescent="0.25">
      <c r="A393" s="26"/>
      <c r="B393" s="21"/>
      <c r="C393" s="21"/>
      <c r="D393" s="22"/>
      <c r="H393" s="22"/>
      <c r="J393" s="22"/>
      <c r="K393" s="27"/>
      <c r="L393" s="22"/>
      <c r="N393" s="22"/>
      <c r="O393" s="27"/>
      <c r="P393" s="247"/>
      <c r="Q393" s="247"/>
      <c r="R393" s="247"/>
      <c r="S393" s="247"/>
      <c r="T393" s="247"/>
    </row>
    <row r="394" spans="1:20" s="20" customFormat="1" x14ac:dyDescent="0.25">
      <c r="A394" s="26"/>
      <c r="B394" s="21"/>
      <c r="C394" s="21"/>
      <c r="D394" s="22"/>
      <c r="H394" s="22"/>
      <c r="J394" s="22"/>
      <c r="K394" s="27"/>
      <c r="L394" s="22"/>
      <c r="N394" s="22"/>
      <c r="O394" s="27"/>
      <c r="P394" s="247"/>
      <c r="Q394" s="247"/>
      <c r="R394" s="247"/>
      <c r="S394" s="247"/>
      <c r="T394" s="247"/>
    </row>
    <row r="395" spans="1:20" s="20" customFormat="1" x14ac:dyDescent="0.25">
      <c r="A395" s="26"/>
      <c r="B395" s="21"/>
      <c r="C395" s="21"/>
      <c r="D395" s="22"/>
      <c r="H395" s="22"/>
      <c r="J395" s="22"/>
      <c r="K395" s="27"/>
      <c r="L395" s="22"/>
      <c r="N395" s="22"/>
      <c r="O395" s="27"/>
      <c r="P395" s="247"/>
      <c r="Q395" s="247"/>
      <c r="R395" s="247"/>
      <c r="S395" s="247"/>
      <c r="T395" s="247"/>
    </row>
    <row r="396" spans="1:20" s="20" customFormat="1" x14ac:dyDescent="0.25">
      <c r="A396" s="26"/>
      <c r="B396" s="21"/>
      <c r="C396" s="21"/>
      <c r="D396" s="22"/>
      <c r="H396" s="22"/>
      <c r="J396" s="22"/>
      <c r="K396" s="27"/>
      <c r="L396" s="22"/>
      <c r="N396" s="22"/>
      <c r="O396" s="27"/>
      <c r="P396" s="247"/>
      <c r="Q396" s="247"/>
      <c r="R396" s="247"/>
      <c r="S396" s="247"/>
      <c r="T396" s="247"/>
    </row>
    <row r="397" spans="1:20" s="20" customFormat="1" x14ac:dyDescent="0.25">
      <c r="A397" s="26"/>
      <c r="B397" s="21"/>
      <c r="C397" s="21"/>
      <c r="D397" s="22"/>
      <c r="H397" s="22"/>
      <c r="J397" s="22"/>
      <c r="K397" s="27"/>
      <c r="L397" s="22"/>
      <c r="N397" s="22"/>
      <c r="O397" s="27"/>
      <c r="P397" s="247"/>
      <c r="Q397" s="247"/>
      <c r="R397" s="247"/>
      <c r="S397" s="247"/>
      <c r="T397" s="247"/>
    </row>
    <row r="398" spans="1:20" s="20" customFormat="1" x14ac:dyDescent="0.25">
      <c r="A398" s="26"/>
      <c r="B398" s="21"/>
      <c r="C398" s="21"/>
      <c r="D398" s="22"/>
      <c r="H398" s="22"/>
      <c r="J398" s="22"/>
      <c r="K398" s="27"/>
      <c r="L398" s="22"/>
      <c r="N398" s="22"/>
      <c r="O398" s="27"/>
      <c r="P398" s="247"/>
      <c r="Q398" s="247"/>
      <c r="R398" s="247"/>
      <c r="S398" s="247"/>
      <c r="T398" s="247"/>
    </row>
    <row r="399" spans="1:20" s="20" customFormat="1" x14ac:dyDescent="0.25">
      <c r="A399" s="26"/>
      <c r="B399" s="21"/>
      <c r="C399" s="21"/>
      <c r="D399" s="22"/>
      <c r="H399" s="22"/>
      <c r="J399" s="22"/>
      <c r="K399" s="27"/>
      <c r="L399" s="22"/>
      <c r="N399" s="22"/>
      <c r="O399" s="27"/>
      <c r="P399" s="247"/>
      <c r="Q399" s="247"/>
      <c r="R399" s="247"/>
      <c r="S399" s="247"/>
      <c r="T399" s="247"/>
    </row>
    <row r="400" spans="1:20" s="20" customFormat="1" x14ac:dyDescent="0.25">
      <c r="A400" s="26"/>
      <c r="B400" s="21"/>
      <c r="C400" s="21"/>
      <c r="D400" s="22"/>
      <c r="H400" s="22"/>
      <c r="J400" s="22"/>
      <c r="K400" s="27"/>
      <c r="L400" s="22"/>
      <c r="N400" s="22"/>
      <c r="O400" s="27"/>
      <c r="P400" s="247"/>
      <c r="Q400" s="247"/>
      <c r="R400" s="247"/>
      <c r="S400" s="247"/>
      <c r="T400" s="247"/>
    </row>
    <row r="401" spans="1:20" s="20" customFormat="1" x14ac:dyDescent="0.25">
      <c r="A401" s="26"/>
      <c r="B401" s="21"/>
      <c r="C401" s="21"/>
      <c r="D401" s="22"/>
      <c r="H401" s="22"/>
      <c r="J401" s="22"/>
      <c r="K401" s="27"/>
      <c r="L401" s="22"/>
      <c r="N401" s="22"/>
      <c r="O401" s="27"/>
      <c r="P401" s="247"/>
      <c r="Q401" s="247"/>
      <c r="R401" s="247"/>
      <c r="S401" s="247"/>
      <c r="T401" s="247"/>
    </row>
    <row r="402" spans="1:20" s="20" customFormat="1" x14ac:dyDescent="0.25">
      <c r="A402" s="26"/>
      <c r="B402" s="21"/>
      <c r="C402" s="21"/>
      <c r="D402" s="22"/>
      <c r="H402" s="22"/>
      <c r="J402" s="22"/>
      <c r="K402" s="27"/>
      <c r="L402" s="22"/>
      <c r="N402" s="22"/>
      <c r="O402" s="27"/>
      <c r="P402" s="247"/>
      <c r="Q402" s="247"/>
      <c r="R402" s="247"/>
      <c r="S402" s="247"/>
      <c r="T402" s="247"/>
    </row>
    <row r="403" spans="1:20" s="20" customFormat="1" x14ac:dyDescent="0.25">
      <c r="A403" s="26"/>
      <c r="B403" s="21"/>
      <c r="C403" s="21"/>
      <c r="D403" s="22"/>
      <c r="H403" s="22"/>
      <c r="J403" s="22"/>
      <c r="K403" s="27"/>
      <c r="L403" s="22"/>
      <c r="N403" s="22"/>
      <c r="O403" s="27"/>
      <c r="P403" s="247"/>
      <c r="Q403" s="247"/>
      <c r="R403" s="247"/>
      <c r="S403" s="247"/>
      <c r="T403" s="247"/>
    </row>
    <row r="404" spans="1:20" s="20" customFormat="1" x14ac:dyDescent="0.25">
      <c r="A404" s="26"/>
      <c r="B404" s="21"/>
      <c r="C404" s="21"/>
      <c r="D404" s="22"/>
      <c r="H404" s="22"/>
      <c r="J404" s="22"/>
      <c r="K404" s="27"/>
      <c r="L404" s="22"/>
      <c r="N404" s="22"/>
      <c r="O404" s="27"/>
      <c r="P404" s="247"/>
      <c r="Q404" s="247"/>
      <c r="R404" s="247"/>
      <c r="S404" s="247"/>
      <c r="T404" s="247"/>
    </row>
    <row r="405" spans="1:20" s="20" customFormat="1" x14ac:dyDescent="0.25">
      <c r="A405" s="26"/>
      <c r="B405" s="21"/>
      <c r="C405" s="21"/>
      <c r="D405" s="22"/>
      <c r="H405" s="22"/>
      <c r="J405" s="22"/>
      <c r="K405" s="27"/>
      <c r="L405" s="22"/>
      <c r="N405" s="22"/>
      <c r="O405" s="27"/>
      <c r="P405" s="247"/>
      <c r="Q405" s="247"/>
      <c r="R405" s="247"/>
      <c r="S405" s="247"/>
      <c r="T405" s="247"/>
    </row>
    <row r="406" spans="1:20" s="20" customFormat="1" x14ac:dyDescent="0.25">
      <c r="A406" s="26"/>
      <c r="B406" s="21"/>
      <c r="C406" s="21"/>
      <c r="D406" s="22"/>
      <c r="H406" s="22"/>
      <c r="J406" s="22"/>
      <c r="K406" s="27"/>
      <c r="L406" s="22"/>
      <c r="N406" s="22"/>
      <c r="O406" s="27"/>
      <c r="P406" s="247"/>
      <c r="Q406" s="247"/>
      <c r="R406" s="247"/>
      <c r="S406" s="247"/>
      <c r="T406" s="247"/>
    </row>
    <row r="407" spans="1:20" s="20" customFormat="1" x14ac:dyDescent="0.25">
      <c r="A407" s="26"/>
      <c r="B407" s="21"/>
      <c r="C407" s="21"/>
      <c r="D407" s="22"/>
      <c r="H407" s="22"/>
      <c r="J407" s="22"/>
      <c r="K407" s="27"/>
      <c r="L407" s="22"/>
      <c r="N407" s="22"/>
      <c r="O407" s="27"/>
      <c r="P407" s="247"/>
      <c r="Q407" s="247"/>
      <c r="R407" s="247"/>
      <c r="S407" s="247"/>
      <c r="T407" s="247"/>
    </row>
    <row r="408" spans="1:20" s="20" customFormat="1" x14ac:dyDescent="0.25">
      <c r="A408" s="26"/>
      <c r="B408" s="21"/>
      <c r="C408" s="21"/>
      <c r="D408" s="22"/>
      <c r="H408" s="22"/>
      <c r="J408" s="22"/>
      <c r="K408" s="27"/>
      <c r="L408" s="22"/>
      <c r="N408" s="22"/>
      <c r="O408" s="27"/>
      <c r="P408" s="247"/>
      <c r="Q408" s="247"/>
      <c r="R408" s="247"/>
      <c r="S408" s="247"/>
      <c r="T408" s="247"/>
    </row>
    <row r="409" spans="1:20" s="20" customFormat="1" x14ac:dyDescent="0.25">
      <c r="A409" s="26"/>
      <c r="B409" s="21"/>
      <c r="C409" s="21"/>
      <c r="D409" s="22"/>
      <c r="H409" s="22"/>
      <c r="J409" s="22"/>
      <c r="K409" s="27"/>
      <c r="L409" s="22"/>
      <c r="N409" s="22"/>
      <c r="O409" s="27"/>
      <c r="P409" s="247"/>
      <c r="Q409" s="247"/>
      <c r="R409" s="247"/>
      <c r="S409" s="247"/>
      <c r="T409" s="247"/>
    </row>
    <row r="410" spans="1:20" s="20" customFormat="1" x14ac:dyDescent="0.25">
      <c r="A410" s="26"/>
      <c r="B410" s="21"/>
      <c r="C410" s="21"/>
      <c r="D410" s="22"/>
      <c r="H410" s="22"/>
      <c r="J410" s="22"/>
      <c r="K410" s="27"/>
      <c r="L410" s="22"/>
      <c r="N410" s="22"/>
      <c r="O410" s="27"/>
      <c r="P410" s="247"/>
      <c r="Q410" s="247"/>
      <c r="R410" s="247"/>
      <c r="S410" s="247"/>
      <c r="T410" s="247"/>
    </row>
    <row r="411" spans="1:20" s="20" customFormat="1" x14ac:dyDescent="0.25">
      <c r="A411" s="26"/>
      <c r="B411" s="21"/>
      <c r="C411" s="21"/>
      <c r="D411" s="22"/>
      <c r="H411" s="22"/>
      <c r="J411" s="22"/>
      <c r="K411" s="27"/>
      <c r="L411" s="22"/>
      <c r="N411" s="22"/>
      <c r="O411" s="27"/>
      <c r="P411" s="247"/>
      <c r="Q411" s="247"/>
      <c r="R411" s="247"/>
      <c r="S411" s="247"/>
      <c r="T411" s="247"/>
    </row>
    <row r="412" spans="1:20" s="20" customFormat="1" x14ac:dyDescent="0.25">
      <c r="A412" s="26"/>
      <c r="B412" s="21"/>
      <c r="C412" s="21"/>
      <c r="D412" s="22"/>
      <c r="H412" s="22"/>
      <c r="J412" s="22"/>
      <c r="K412" s="27"/>
      <c r="L412" s="22"/>
      <c r="N412" s="22"/>
      <c r="O412" s="27"/>
      <c r="P412" s="247"/>
      <c r="Q412" s="247"/>
      <c r="R412" s="247"/>
      <c r="S412" s="247"/>
      <c r="T412" s="247"/>
    </row>
    <row r="413" spans="1:20" s="20" customFormat="1" x14ac:dyDescent="0.25">
      <c r="A413" s="26"/>
      <c r="B413" s="21"/>
      <c r="C413" s="21"/>
      <c r="D413" s="22"/>
      <c r="H413" s="22"/>
      <c r="J413" s="22"/>
      <c r="K413" s="27"/>
      <c r="L413" s="22"/>
      <c r="N413" s="22"/>
      <c r="O413" s="27"/>
      <c r="P413" s="247"/>
      <c r="Q413" s="247"/>
      <c r="R413" s="247"/>
      <c r="S413" s="247"/>
      <c r="T413" s="247"/>
    </row>
    <row r="414" spans="1:20" s="20" customFormat="1" x14ac:dyDescent="0.25">
      <c r="A414" s="26"/>
      <c r="B414" s="21"/>
      <c r="C414" s="21"/>
      <c r="D414" s="22"/>
      <c r="H414" s="22"/>
      <c r="J414" s="22"/>
      <c r="K414" s="27"/>
      <c r="L414" s="22"/>
      <c r="N414" s="22"/>
      <c r="O414" s="27"/>
      <c r="P414" s="247"/>
      <c r="Q414" s="247"/>
      <c r="R414" s="247"/>
      <c r="S414" s="247"/>
      <c r="T414" s="247"/>
    </row>
    <row r="415" spans="1:20" s="20" customFormat="1" x14ac:dyDescent="0.25">
      <c r="A415" s="26"/>
      <c r="B415" s="21"/>
      <c r="C415" s="21"/>
      <c r="D415" s="22"/>
      <c r="H415" s="22"/>
      <c r="J415" s="22"/>
      <c r="K415" s="27"/>
      <c r="L415" s="22"/>
      <c r="N415" s="22"/>
      <c r="O415" s="27"/>
      <c r="P415" s="247"/>
      <c r="Q415" s="247"/>
      <c r="R415" s="247"/>
      <c r="S415" s="247"/>
      <c r="T415" s="247"/>
    </row>
    <row r="416" spans="1:20" s="20" customFormat="1" x14ac:dyDescent="0.25">
      <c r="A416" s="26"/>
      <c r="B416" s="21"/>
      <c r="C416" s="21"/>
      <c r="D416" s="22"/>
      <c r="H416" s="22"/>
      <c r="J416" s="22"/>
      <c r="K416" s="27"/>
      <c r="L416" s="22"/>
      <c r="N416" s="22"/>
      <c r="O416" s="27"/>
      <c r="P416" s="247"/>
      <c r="Q416" s="247"/>
      <c r="R416" s="247"/>
      <c r="S416" s="247"/>
      <c r="T416" s="247"/>
    </row>
    <row r="417" spans="1:20" s="20" customFormat="1" x14ac:dyDescent="0.25">
      <c r="A417" s="26"/>
      <c r="B417" s="21"/>
      <c r="C417" s="21"/>
      <c r="D417" s="22"/>
      <c r="H417" s="22"/>
      <c r="J417" s="22"/>
      <c r="K417" s="27"/>
      <c r="L417" s="22"/>
      <c r="N417" s="22"/>
      <c r="O417" s="27"/>
      <c r="P417" s="247"/>
      <c r="Q417" s="247"/>
      <c r="R417" s="247"/>
      <c r="S417" s="247"/>
      <c r="T417" s="247"/>
    </row>
    <row r="418" spans="1:20" s="20" customFormat="1" x14ac:dyDescent="0.25">
      <c r="A418" s="26"/>
      <c r="B418" s="21"/>
      <c r="C418" s="21"/>
      <c r="D418" s="22"/>
      <c r="H418" s="22"/>
      <c r="J418" s="22"/>
      <c r="K418" s="27"/>
      <c r="L418" s="22"/>
      <c r="N418" s="22"/>
      <c r="O418" s="27"/>
      <c r="P418" s="247"/>
      <c r="Q418" s="247"/>
      <c r="R418" s="247"/>
      <c r="S418" s="247"/>
      <c r="T418" s="247"/>
    </row>
    <row r="419" spans="1:20" s="20" customFormat="1" x14ac:dyDescent="0.25">
      <c r="A419" s="26"/>
      <c r="B419" s="21"/>
      <c r="C419" s="21"/>
      <c r="D419" s="22"/>
      <c r="H419" s="22"/>
      <c r="J419" s="22"/>
      <c r="K419" s="27"/>
      <c r="L419" s="22"/>
      <c r="N419" s="22"/>
      <c r="O419" s="27"/>
      <c r="P419" s="247"/>
      <c r="Q419" s="247"/>
      <c r="R419" s="247"/>
      <c r="S419" s="247"/>
      <c r="T419" s="247"/>
    </row>
    <row r="420" spans="1:20" s="20" customFormat="1" x14ac:dyDescent="0.25">
      <c r="A420" s="26"/>
      <c r="B420" s="21"/>
      <c r="C420" s="21"/>
      <c r="D420" s="22"/>
      <c r="H420" s="22"/>
      <c r="J420" s="22"/>
      <c r="K420" s="27"/>
      <c r="L420" s="22"/>
      <c r="N420" s="22"/>
      <c r="O420" s="27"/>
      <c r="P420" s="247"/>
      <c r="Q420" s="247"/>
      <c r="R420" s="247"/>
      <c r="S420" s="247"/>
      <c r="T420" s="247"/>
    </row>
    <row r="421" spans="1:20" s="20" customFormat="1" x14ac:dyDescent="0.25">
      <c r="A421" s="26"/>
      <c r="B421" s="21"/>
      <c r="C421" s="21"/>
      <c r="D421" s="22"/>
      <c r="H421" s="22"/>
      <c r="J421" s="22"/>
      <c r="K421" s="27"/>
      <c r="L421" s="22"/>
      <c r="N421" s="22"/>
      <c r="O421" s="27"/>
      <c r="P421" s="247"/>
      <c r="Q421" s="247"/>
      <c r="R421" s="247"/>
      <c r="S421" s="247"/>
      <c r="T421" s="247"/>
    </row>
    <row r="422" spans="1:20" s="20" customFormat="1" x14ac:dyDescent="0.25">
      <c r="A422" s="26"/>
      <c r="B422" s="21"/>
      <c r="C422" s="21"/>
      <c r="D422" s="22"/>
      <c r="H422" s="22"/>
      <c r="J422" s="22"/>
      <c r="K422" s="27"/>
      <c r="L422" s="22"/>
      <c r="N422" s="22"/>
      <c r="O422" s="27"/>
      <c r="P422" s="247"/>
      <c r="Q422" s="247"/>
      <c r="R422" s="247"/>
      <c r="S422" s="247"/>
      <c r="T422" s="247"/>
    </row>
    <row r="423" spans="1:20" s="20" customFormat="1" x14ac:dyDescent="0.25">
      <c r="A423" s="26"/>
      <c r="B423" s="21"/>
      <c r="C423" s="21"/>
      <c r="D423" s="22"/>
      <c r="H423" s="22"/>
      <c r="J423" s="22"/>
      <c r="K423" s="27"/>
      <c r="L423" s="22"/>
      <c r="N423" s="22"/>
      <c r="O423" s="27"/>
      <c r="P423" s="247"/>
      <c r="Q423" s="247"/>
      <c r="R423" s="247"/>
      <c r="S423" s="247"/>
      <c r="T423" s="247"/>
    </row>
    <row r="424" spans="1:20" s="20" customFormat="1" x14ac:dyDescent="0.25">
      <c r="A424" s="26"/>
      <c r="B424" s="21"/>
      <c r="C424" s="21"/>
      <c r="D424" s="22"/>
      <c r="H424" s="22"/>
      <c r="J424" s="22"/>
      <c r="K424" s="27"/>
      <c r="L424" s="22"/>
      <c r="N424" s="22"/>
      <c r="O424" s="27"/>
      <c r="P424" s="247"/>
      <c r="Q424" s="247"/>
      <c r="R424" s="247"/>
      <c r="S424" s="247"/>
      <c r="T424" s="247"/>
    </row>
    <row r="425" spans="1:20" s="20" customFormat="1" x14ac:dyDescent="0.25">
      <c r="A425" s="26"/>
      <c r="B425" s="21"/>
      <c r="C425" s="21"/>
      <c r="D425" s="22"/>
      <c r="H425" s="22"/>
      <c r="J425" s="22"/>
      <c r="K425" s="27"/>
      <c r="L425" s="22"/>
      <c r="N425" s="22"/>
      <c r="O425" s="27"/>
      <c r="P425" s="247"/>
      <c r="Q425" s="247"/>
      <c r="R425" s="247"/>
      <c r="S425" s="247"/>
      <c r="T425" s="247"/>
    </row>
    <row r="426" spans="1:20" s="20" customFormat="1" x14ac:dyDescent="0.25">
      <c r="A426" s="26"/>
      <c r="B426" s="21"/>
      <c r="C426" s="21"/>
      <c r="D426" s="22"/>
      <c r="H426" s="22"/>
      <c r="J426" s="22"/>
      <c r="K426" s="27"/>
      <c r="L426" s="22"/>
      <c r="N426" s="22"/>
      <c r="O426" s="27"/>
      <c r="P426" s="247"/>
      <c r="Q426" s="247"/>
      <c r="R426" s="247"/>
      <c r="S426" s="247"/>
      <c r="T426" s="247"/>
    </row>
    <row r="427" spans="1:20" s="20" customFormat="1" x14ac:dyDescent="0.25">
      <c r="A427" s="26"/>
      <c r="B427" s="21"/>
      <c r="C427" s="21"/>
      <c r="D427" s="22"/>
      <c r="H427" s="22"/>
      <c r="J427" s="22"/>
      <c r="K427" s="27"/>
      <c r="L427" s="22"/>
      <c r="N427" s="22"/>
      <c r="O427" s="27"/>
      <c r="P427" s="247"/>
      <c r="Q427" s="247"/>
      <c r="R427" s="247"/>
      <c r="S427" s="247"/>
      <c r="T427" s="247"/>
    </row>
    <row r="428" spans="1:20" s="20" customFormat="1" x14ac:dyDescent="0.25">
      <c r="A428" s="26"/>
      <c r="B428" s="21"/>
      <c r="C428" s="21"/>
      <c r="D428" s="22"/>
      <c r="H428" s="22"/>
      <c r="J428" s="22"/>
      <c r="K428" s="27"/>
      <c r="L428" s="22"/>
      <c r="N428" s="22"/>
      <c r="O428" s="27"/>
      <c r="P428" s="247"/>
      <c r="Q428" s="247"/>
      <c r="R428" s="247"/>
      <c r="S428" s="247"/>
      <c r="T428" s="247"/>
    </row>
    <row r="429" spans="1:20" s="20" customFormat="1" x14ac:dyDescent="0.25">
      <c r="A429" s="26"/>
      <c r="B429" s="21"/>
      <c r="C429" s="21"/>
      <c r="D429" s="22"/>
      <c r="H429" s="22"/>
      <c r="J429" s="22"/>
      <c r="K429" s="27"/>
      <c r="L429" s="22"/>
      <c r="N429" s="22"/>
      <c r="O429" s="27"/>
      <c r="P429" s="247"/>
      <c r="Q429" s="247"/>
      <c r="R429" s="247"/>
      <c r="S429" s="247"/>
      <c r="T429" s="247"/>
    </row>
    <row r="430" spans="1:20" s="20" customFormat="1" x14ac:dyDescent="0.25">
      <c r="A430" s="26"/>
      <c r="B430" s="21"/>
      <c r="C430" s="21"/>
      <c r="D430" s="22"/>
      <c r="H430" s="22"/>
      <c r="J430" s="22"/>
      <c r="K430" s="27"/>
      <c r="L430" s="22"/>
      <c r="N430" s="22"/>
      <c r="O430" s="27"/>
      <c r="P430" s="247"/>
      <c r="Q430" s="247"/>
      <c r="R430" s="247"/>
      <c r="S430" s="247"/>
      <c r="T430" s="247"/>
    </row>
    <row r="431" spans="1:20" s="20" customFormat="1" x14ac:dyDescent="0.25">
      <c r="A431" s="26"/>
      <c r="B431" s="21"/>
      <c r="C431" s="21"/>
      <c r="D431" s="22"/>
      <c r="H431" s="22"/>
      <c r="J431" s="22"/>
      <c r="K431" s="27"/>
      <c r="L431" s="22"/>
      <c r="N431" s="22"/>
      <c r="O431" s="27"/>
      <c r="P431" s="247"/>
      <c r="Q431" s="247"/>
      <c r="R431" s="247"/>
      <c r="S431" s="247"/>
      <c r="T431" s="247"/>
    </row>
    <row r="432" spans="1:20" s="20" customFormat="1" x14ac:dyDescent="0.25">
      <c r="A432" s="26"/>
      <c r="B432" s="21"/>
      <c r="C432" s="21"/>
      <c r="D432" s="22"/>
      <c r="H432" s="22"/>
      <c r="J432" s="22"/>
      <c r="K432" s="27"/>
      <c r="L432" s="22"/>
      <c r="N432" s="22"/>
      <c r="O432" s="27"/>
      <c r="P432" s="247"/>
      <c r="Q432" s="247"/>
      <c r="R432" s="247"/>
      <c r="S432" s="247"/>
      <c r="T432" s="247"/>
    </row>
    <row r="433" spans="1:20" s="20" customFormat="1" x14ac:dyDescent="0.25">
      <c r="A433" s="26"/>
      <c r="B433" s="21"/>
      <c r="C433" s="21"/>
      <c r="D433" s="22"/>
      <c r="H433" s="22"/>
      <c r="J433" s="22"/>
      <c r="K433" s="27"/>
      <c r="L433" s="22"/>
      <c r="N433" s="22"/>
      <c r="O433" s="27"/>
      <c r="P433" s="247"/>
      <c r="Q433" s="247"/>
      <c r="R433" s="247"/>
      <c r="S433" s="247"/>
      <c r="T433" s="247"/>
    </row>
    <row r="434" spans="1:20" s="20" customFormat="1" x14ac:dyDescent="0.25">
      <c r="A434" s="26"/>
      <c r="B434" s="21"/>
      <c r="C434" s="21"/>
      <c r="D434" s="22"/>
      <c r="H434" s="22"/>
      <c r="J434" s="22"/>
      <c r="K434" s="27"/>
      <c r="L434" s="22"/>
      <c r="N434" s="22"/>
      <c r="O434" s="27"/>
      <c r="P434" s="247"/>
      <c r="Q434" s="247"/>
      <c r="R434" s="247"/>
      <c r="S434" s="247"/>
      <c r="T434" s="247"/>
    </row>
    <row r="435" spans="1:20" s="20" customFormat="1" x14ac:dyDescent="0.25">
      <c r="A435" s="26"/>
      <c r="B435" s="21"/>
      <c r="C435" s="21"/>
      <c r="D435" s="22"/>
      <c r="H435" s="22"/>
      <c r="J435" s="22"/>
      <c r="K435" s="27"/>
      <c r="L435" s="22"/>
      <c r="N435" s="22"/>
      <c r="O435" s="27"/>
      <c r="P435" s="247"/>
      <c r="Q435" s="247"/>
      <c r="R435" s="247"/>
      <c r="S435" s="247"/>
      <c r="T435" s="247"/>
    </row>
    <row r="436" spans="1:20" s="20" customFormat="1" x14ac:dyDescent="0.25">
      <c r="A436" s="26"/>
      <c r="B436" s="21"/>
      <c r="C436" s="21"/>
      <c r="D436" s="22"/>
      <c r="H436" s="22"/>
      <c r="J436" s="22"/>
      <c r="K436" s="27"/>
      <c r="L436" s="22"/>
      <c r="N436" s="22"/>
      <c r="O436" s="27"/>
      <c r="P436" s="247"/>
      <c r="Q436" s="247"/>
      <c r="R436" s="247"/>
      <c r="S436" s="247"/>
      <c r="T436" s="247"/>
    </row>
    <row r="437" spans="1:20" s="20" customFormat="1" x14ac:dyDescent="0.25">
      <c r="A437" s="26"/>
      <c r="B437" s="21"/>
      <c r="C437" s="21"/>
      <c r="D437" s="22"/>
      <c r="H437" s="22"/>
      <c r="J437" s="22"/>
      <c r="K437" s="27"/>
      <c r="L437" s="22"/>
      <c r="N437" s="22"/>
      <c r="O437" s="27"/>
      <c r="P437" s="247"/>
      <c r="Q437" s="247"/>
      <c r="R437" s="247"/>
      <c r="S437" s="247"/>
      <c r="T437" s="247"/>
    </row>
    <row r="438" spans="1:20" s="20" customFormat="1" x14ac:dyDescent="0.25">
      <c r="A438" s="26"/>
      <c r="B438" s="21"/>
      <c r="C438" s="21"/>
      <c r="D438" s="22"/>
      <c r="H438" s="22"/>
      <c r="J438" s="22"/>
      <c r="K438" s="27"/>
      <c r="L438" s="22"/>
      <c r="N438" s="22"/>
      <c r="O438" s="27"/>
      <c r="P438" s="247"/>
      <c r="Q438" s="247"/>
      <c r="R438" s="247"/>
      <c r="S438" s="247"/>
      <c r="T438" s="247"/>
    </row>
    <row r="439" spans="1:20" s="20" customFormat="1" x14ac:dyDescent="0.25">
      <c r="A439" s="26"/>
      <c r="B439" s="21"/>
      <c r="C439" s="21"/>
      <c r="D439" s="22"/>
      <c r="H439" s="22"/>
      <c r="J439" s="22"/>
      <c r="K439" s="27"/>
      <c r="L439" s="22"/>
      <c r="N439" s="22"/>
      <c r="O439" s="27"/>
      <c r="P439" s="247"/>
      <c r="Q439" s="247"/>
      <c r="R439" s="247"/>
      <c r="S439" s="247"/>
      <c r="T439" s="247"/>
    </row>
    <row r="440" spans="1:20" s="20" customFormat="1" x14ac:dyDescent="0.25">
      <c r="A440" s="26"/>
      <c r="B440" s="21"/>
      <c r="C440" s="21"/>
      <c r="D440" s="22"/>
      <c r="H440" s="22"/>
      <c r="J440" s="22"/>
      <c r="K440" s="27"/>
      <c r="L440" s="22"/>
      <c r="N440" s="22"/>
      <c r="O440" s="27"/>
      <c r="P440" s="247"/>
      <c r="Q440" s="247"/>
      <c r="R440" s="247"/>
      <c r="S440" s="247"/>
      <c r="T440" s="247"/>
    </row>
    <row r="441" spans="1:20" s="20" customFormat="1" x14ac:dyDescent="0.25">
      <c r="A441" s="26"/>
      <c r="B441" s="21"/>
      <c r="C441" s="21"/>
      <c r="D441" s="22"/>
      <c r="H441" s="22"/>
      <c r="J441" s="22"/>
      <c r="K441" s="27"/>
      <c r="L441" s="22"/>
      <c r="N441" s="22"/>
      <c r="O441" s="27"/>
      <c r="P441" s="247"/>
      <c r="Q441" s="247"/>
      <c r="R441" s="247"/>
      <c r="S441" s="247"/>
      <c r="T441" s="247"/>
    </row>
    <row r="442" spans="1:20" s="20" customFormat="1" x14ac:dyDescent="0.25">
      <c r="A442" s="26"/>
      <c r="B442" s="21"/>
      <c r="C442" s="21"/>
      <c r="D442" s="22"/>
      <c r="H442" s="22"/>
      <c r="J442" s="22"/>
      <c r="K442" s="27"/>
      <c r="L442" s="22"/>
      <c r="N442" s="22"/>
      <c r="O442" s="27"/>
      <c r="P442" s="247"/>
      <c r="Q442" s="247"/>
      <c r="R442" s="247"/>
      <c r="S442" s="247"/>
      <c r="T442" s="247"/>
    </row>
    <row r="443" spans="1:20" s="20" customFormat="1" x14ac:dyDescent="0.25">
      <c r="A443" s="26"/>
      <c r="B443" s="21"/>
      <c r="C443" s="21"/>
      <c r="D443" s="22"/>
      <c r="H443" s="22"/>
      <c r="J443" s="22"/>
      <c r="K443" s="27"/>
      <c r="L443" s="22"/>
      <c r="N443" s="22"/>
      <c r="O443" s="27"/>
      <c r="P443" s="247"/>
      <c r="Q443" s="247"/>
      <c r="R443" s="247"/>
      <c r="S443" s="247"/>
      <c r="T443" s="247"/>
    </row>
    <row r="444" spans="1:20" s="20" customFormat="1" x14ac:dyDescent="0.25">
      <c r="A444" s="26"/>
      <c r="B444" s="21"/>
      <c r="C444" s="21"/>
      <c r="D444" s="22"/>
      <c r="H444" s="22"/>
      <c r="J444" s="22"/>
      <c r="K444" s="27"/>
      <c r="L444" s="22"/>
      <c r="N444" s="22"/>
      <c r="O444" s="27"/>
      <c r="P444" s="247"/>
      <c r="Q444" s="247"/>
      <c r="R444" s="247"/>
      <c r="S444" s="247"/>
      <c r="T444" s="247"/>
    </row>
    <row r="445" spans="1:20" s="20" customFormat="1" x14ac:dyDescent="0.25">
      <c r="A445" s="26"/>
      <c r="B445" s="21"/>
      <c r="C445" s="21"/>
      <c r="D445" s="22"/>
      <c r="H445" s="22"/>
      <c r="J445" s="22"/>
      <c r="K445" s="27"/>
      <c r="L445" s="22"/>
      <c r="N445" s="22"/>
      <c r="O445" s="27"/>
      <c r="P445" s="247"/>
      <c r="Q445" s="247"/>
      <c r="R445" s="247"/>
      <c r="S445" s="247"/>
      <c r="T445" s="247"/>
    </row>
    <row r="446" spans="1:20" s="20" customFormat="1" x14ac:dyDescent="0.25">
      <c r="A446" s="26"/>
      <c r="B446" s="21"/>
      <c r="C446" s="21"/>
      <c r="D446" s="22"/>
      <c r="H446" s="22"/>
      <c r="J446" s="22"/>
      <c r="K446" s="27"/>
      <c r="L446" s="22"/>
      <c r="N446" s="22"/>
      <c r="O446" s="27"/>
      <c r="P446" s="247"/>
      <c r="Q446" s="247"/>
      <c r="R446" s="247"/>
      <c r="S446" s="247"/>
      <c r="T446" s="247"/>
    </row>
    <row r="447" spans="1:20" s="20" customFormat="1" x14ac:dyDescent="0.25">
      <c r="A447" s="26"/>
      <c r="B447" s="21"/>
      <c r="C447" s="21"/>
      <c r="D447" s="22"/>
      <c r="H447" s="22"/>
      <c r="J447" s="22"/>
      <c r="K447" s="27"/>
      <c r="L447" s="22"/>
      <c r="N447" s="22"/>
      <c r="O447" s="27"/>
      <c r="P447" s="247"/>
      <c r="Q447" s="247"/>
      <c r="R447" s="247"/>
      <c r="S447" s="247"/>
      <c r="T447" s="247"/>
    </row>
    <row r="448" spans="1:20" s="20" customFormat="1" x14ac:dyDescent="0.25">
      <c r="A448" s="26"/>
      <c r="B448" s="21"/>
      <c r="C448" s="21"/>
      <c r="D448" s="22"/>
      <c r="H448" s="22"/>
      <c r="J448" s="22"/>
      <c r="K448" s="27"/>
      <c r="L448" s="22"/>
      <c r="N448" s="22"/>
      <c r="O448" s="27"/>
      <c r="P448" s="247"/>
      <c r="Q448" s="247"/>
      <c r="R448" s="247"/>
      <c r="S448" s="247"/>
      <c r="T448" s="247"/>
    </row>
    <row r="449" spans="1:20" s="20" customFormat="1" x14ac:dyDescent="0.25">
      <c r="A449" s="26"/>
      <c r="B449" s="21"/>
      <c r="C449" s="21"/>
      <c r="D449" s="22"/>
      <c r="H449" s="22"/>
      <c r="J449" s="22"/>
      <c r="K449" s="27"/>
      <c r="L449" s="22"/>
      <c r="N449" s="22"/>
      <c r="O449" s="27"/>
      <c r="P449" s="247"/>
      <c r="Q449" s="247"/>
      <c r="R449" s="247"/>
      <c r="S449" s="247"/>
      <c r="T449" s="247"/>
    </row>
    <row r="450" spans="1:20" s="20" customFormat="1" x14ac:dyDescent="0.25">
      <c r="A450" s="26"/>
      <c r="B450" s="21"/>
      <c r="C450" s="21"/>
      <c r="D450" s="22"/>
      <c r="H450" s="22"/>
      <c r="J450" s="22"/>
      <c r="K450" s="27"/>
      <c r="L450" s="22"/>
      <c r="N450" s="22"/>
      <c r="O450" s="27"/>
      <c r="P450" s="247"/>
      <c r="Q450" s="247"/>
      <c r="R450" s="247"/>
      <c r="S450" s="247"/>
      <c r="T450" s="247"/>
    </row>
    <row r="451" spans="1:20" s="20" customFormat="1" x14ac:dyDescent="0.25">
      <c r="A451" s="26"/>
      <c r="B451" s="21"/>
      <c r="C451" s="21"/>
      <c r="D451" s="22"/>
      <c r="H451" s="22"/>
      <c r="J451" s="22"/>
      <c r="K451" s="27"/>
      <c r="L451" s="22"/>
      <c r="N451" s="22"/>
      <c r="O451" s="27"/>
      <c r="P451" s="247"/>
      <c r="Q451" s="247"/>
      <c r="R451" s="247"/>
      <c r="S451" s="247"/>
      <c r="T451" s="247"/>
    </row>
    <row r="452" spans="1:20" s="20" customFormat="1" x14ac:dyDescent="0.25">
      <c r="A452" s="26"/>
      <c r="B452" s="21"/>
      <c r="C452" s="21"/>
      <c r="D452" s="22"/>
      <c r="H452" s="22"/>
      <c r="J452" s="22"/>
      <c r="K452" s="27"/>
      <c r="L452" s="22"/>
      <c r="N452" s="22"/>
      <c r="O452" s="27"/>
      <c r="P452" s="247"/>
      <c r="Q452" s="247"/>
      <c r="R452" s="247"/>
      <c r="S452" s="247"/>
      <c r="T452" s="247"/>
    </row>
    <row r="453" spans="1:20" s="20" customFormat="1" x14ac:dyDescent="0.25">
      <c r="A453" s="26"/>
      <c r="B453" s="21"/>
      <c r="C453" s="21"/>
      <c r="D453" s="22"/>
      <c r="H453" s="22"/>
      <c r="J453" s="22"/>
      <c r="K453" s="27"/>
      <c r="L453" s="22"/>
      <c r="N453" s="22"/>
      <c r="O453" s="27"/>
      <c r="P453" s="247"/>
      <c r="Q453" s="247"/>
      <c r="R453" s="247"/>
      <c r="S453" s="247"/>
      <c r="T453" s="247"/>
    </row>
    <row r="454" spans="1:20" s="20" customFormat="1" x14ac:dyDescent="0.25">
      <c r="A454" s="26"/>
      <c r="B454" s="21"/>
      <c r="C454" s="21"/>
      <c r="D454" s="22"/>
      <c r="H454" s="22"/>
      <c r="J454" s="22"/>
      <c r="K454" s="27"/>
      <c r="L454" s="22"/>
      <c r="N454" s="22"/>
      <c r="O454" s="27"/>
      <c r="P454" s="247"/>
      <c r="Q454" s="247"/>
      <c r="R454" s="247"/>
      <c r="S454" s="247"/>
      <c r="T454" s="247"/>
    </row>
    <row r="455" spans="1:20" s="20" customFormat="1" x14ac:dyDescent="0.25">
      <c r="A455" s="26"/>
      <c r="B455" s="21"/>
      <c r="C455" s="21"/>
      <c r="D455" s="22"/>
      <c r="H455" s="22"/>
      <c r="J455" s="22"/>
      <c r="K455" s="27"/>
      <c r="L455" s="22"/>
      <c r="N455" s="22"/>
      <c r="O455" s="27"/>
      <c r="P455" s="247"/>
      <c r="Q455" s="247"/>
      <c r="R455" s="247"/>
      <c r="S455" s="247"/>
      <c r="T455" s="247"/>
    </row>
    <row r="456" spans="1:20" s="20" customFormat="1" x14ac:dyDescent="0.25">
      <c r="A456" s="26"/>
      <c r="B456" s="21"/>
      <c r="C456" s="21"/>
      <c r="D456" s="22"/>
      <c r="H456" s="22"/>
      <c r="J456" s="22"/>
      <c r="K456" s="27"/>
      <c r="L456" s="22"/>
      <c r="N456" s="22"/>
      <c r="O456" s="27"/>
      <c r="P456" s="247"/>
      <c r="Q456" s="247"/>
      <c r="R456" s="247"/>
      <c r="S456" s="247"/>
      <c r="T456" s="247"/>
    </row>
    <row r="457" spans="1:20" s="20" customFormat="1" x14ac:dyDescent="0.25">
      <c r="A457" s="26"/>
      <c r="B457" s="21"/>
      <c r="C457" s="21"/>
      <c r="D457" s="22"/>
      <c r="H457" s="22"/>
      <c r="J457" s="22"/>
      <c r="K457" s="27"/>
      <c r="L457" s="22"/>
      <c r="N457" s="22"/>
      <c r="O457" s="27"/>
      <c r="P457" s="247"/>
      <c r="Q457" s="247"/>
      <c r="R457" s="247"/>
      <c r="S457" s="247"/>
      <c r="T457" s="247"/>
    </row>
    <row r="458" spans="1:20" s="20" customFormat="1" x14ac:dyDescent="0.25">
      <c r="A458" s="26"/>
      <c r="B458" s="21"/>
      <c r="C458" s="21"/>
      <c r="D458" s="22"/>
      <c r="H458" s="22"/>
      <c r="J458" s="22"/>
      <c r="K458" s="27"/>
      <c r="L458" s="22"/>
      <c r="N458" s="22"/>
      <c r="O458" s="27"/>
      <c r="P458" s="247"/>
      <c r="Q458" s="247"/>
      <c r="R458" s="247"/>
      <c r="S458" s="247"/>
      <c r="T458" s="247"/>
    </row>
    <row r="459" spans="1:20" s="20" customFormat="1" x14ac:dyDescent="0.25">
      <c r="A459" s="26"/>
      <c r="B459" s="21"/>
      <c r="C459" s="21"/>
      <c r="D459" s="22"/>
      <c r="H459" s="22"/>
      <c r="J459" s="22"/>
      <c r="K459" s="27"/>
      <c r="L459" s="22"/>
      <c r="N459" s="22"/>
      <c r="O459" s="27"/>
      <c r="P459" s="247"/>
      <c r="Q459" s="247"/>
      <c r="R459" s="247"/>
      <c r="S459" s="247"/>
      <c r="T459" s="247"/>
    </row>
    <row r="460" spans="1:20" s="20" customFormat="1" x14ac:dyDescent="0.25">
      <c r="A460" s="26"/>
      <c r="B460" s="21"/>
      <c r="C460" s="21"/>
      <c r="D460" s="22"/>
      <c r="H460" s="22"/>
      <c r="J460" s="22"/>
      <c r="K460" s="27"/>
      <c r="L460" s="22"/>
      <c r="N460" s="22"/>
      <c r="O460" s="27"/>
      <c r="P460" s="247"/>
      <c r="Q460" s="247"/>
      <c r="R460" s="247"/>
      <c r="S460" s="247"/>
      <c r="T460" s="247"/>
    </row>
    <row r="461" spans="1:20" s="20" customFormat="1" x14ac:dyDescent="0.25">
      <c r="A461" s="26"/>
      <c r="B461" s="21"/>
      <c r="C461" s="21"/>
      <c r="D461" s="22"/>
      <c r="H461" s="22"/>
      <c r="J461" s="22"/>
      <c r="K461" s="27"/>
      <c r="L461" s="22"/>
      <c r="N461" s="22"/>
      <c r="O461" s="27"/>
      <c r="P461" s="247"/>
      <c r="Q461" s="247"/>
      <c r="R461" s="247"/>
      <c r="S461" s="247"/>
      <c r="T461" s="247"/>
    </row>
    <row r="462" spans="1:20" s="20" customFormat="1" x14ac:dyDescent="0.25">
      <c r="A462" s="26"/>
      <c r="B462" s="21"/>
      <c r="C462" s="21"/>
      <c r="D462" s="22"/>
      <c r="H462" s="22"/>
      <c r="J462" s="22"/>
      <c r="K462" s="27"/>
      <c r="L462" s="22"/>
      <c r="N462" s="22"/>
      <c r="O462" s="27"/>
      <c r="P462" s="247"/>
      <c r="Q462" s="247"/>
      <c r="R462" s="247"/>
      <c r="S462" s="247"/>
      <c r="T462" s="247"/>
    </row>
    <row r="463" spans="1:20" s="20" customFormat="1" x14ac:dyDescent="0.25">
      <c r="A463" s="26"/>
      <c r="B463" s="21"/>
      <c r="C463" s="21"/>
      <c r="D463" s="22"/>
      <c r="H463" s="22"/>
      <c r="J463" s="22"/>
      <c r="K463" s="27"/>
      <c r="L463" s="22"/>
      <c r="N463" s="22"/>
      <c r="O463" s="27"/>
      <c r="P463" s="247"/>
      <c r="Q463" s="247"/>
      <c r="R463" s="247"/>
      <c r="S463" s="247"/>
      <c r="T463" s="247"/>
    </row>
    <row r="464" spans="1:20" s="20" customFormat="1" x14ac:dyDescent="0.25">
      <c r="A464" s="26"/>
      <c r="B464" s="21"/>
      <c r="C464" s="21"/>
      <c r="D464" s="22"/>
      <c r="H464" s="22"/>
      <c r="J464" s="22"/>
      <c r="K464" s="27"/>
      <c r="L464" s="22"/>
      <c r="N464" s="22"/>
      <c r="O464" s="27"/>
      <c r="P464" s="247"/>
      <c r="Q464" s="247"/>
      <c r="R464" s="247"/>
      <c r="S464" s="247"/>
      <c r="T464" s="247"/>
    </row>
    <row r="465" spans="1:20" s="20" customFormat="1" x14ac:dyDescent="0.25">
      <c r="A465" s="26"/>
      <c r="B465" s="21"/>
      <c r="C465" s="21"/>
      <c r="D465" s="22"/>
      <c r="H465" s="22"/>
      <c r="J465" s="22"/>
      <c r="K465" s="27"/>
      <c r="L465" s="22"/>
      <c r="N465" s="22"/>
      <c r="O465" s="27"/>
      <c r="P465" s="247"/>
      <c r="Q465" s="247"/>
      <c r="R465" s="247"/>
      <c r="S465" s="247"/>
      <c r="T465" s="247"/>
    </row>
    <row r="466" spans="1:20" s="20" customFormat="1" x14ac:dyDescent="0.25">
      <c r="A466" s="26"/>
      <c r="B466" s="21"/>
      <c r="C466" s="21"/>
      <c r="D466" s="22"/>
      <c r="H466" s="22"/>
      <c r="J466" s="22"/>
      <c r="K466" s="27"/>
      <c r="L466" s="22"/>
      <c r="N466" s="22"/>
      <c r="O466" s="27"/>
      <c r="P466" s="247"/>
      <c r="Q466" s="247"/>
      <c r="R466" s="247"/>
      <c r="S466" s="247"/>
      <c r="T466" s="247"/>
    </row>
    <row r="467" spans="1:20" s="20" customFormat="1" x14ac:dyDescent="0.25">
      <c r="A467" s="26"/>
      <c r="B467" s="21"/>
      <c r="C467" s="21"/>
      <c r="D467" s="22"/>
      <c r="H467" s="22"/>
      <c r="J467" s="22"/>
      <c r="K467" s="27"/>
      <c r="L467" s="22"/>
      <c r="N467" s="22"/>
      <c r="O467" s="27"/>
      <c r="P467" s="247"/>
      <c r="Q467" s="247"/>
      <c r="R467" s="247"/>
      <c r="S467" s="247"/>
      <c r="T467" s="247"/>
    </row>
    <row r="468" spans="1:20" s="20" customFormat="1" x14ac:dyDescent="0.25">
      <c r="A468" s="26"/>
      <c r="B468" s="21"/>
      <c r="C468" s="21"/>
      <c r="D468" s="22"/>
      <c r="H468" s="22"/>
      <c r="J468" s="22"/>
      <c r="K468" s="27"/>
      <c r="L468" s="22"/>
      <c r="N468" s="22"/>
      <c r="O468" s="27"/>
      <c r="P468" s="247"/>
      <c r="Q468" s="247"/>
      <c r="R468" s="247"/>
      <c r="S468" s="247"/>
      <c r="T468" s="247"/>
    </row>
    <row r="469" spans="1:20" s="20" customFormat="1" x14ac:dyDescent="0.25">
      <c r="A469" s="26"/>
      <c r="B469" s="21"/>
      <c r="C469" s="21"/>
      <c r="D469" s="22"/>
      <c r="H469" s="22"/>
      <c r="J469" s="22"/>
      <c r="K469" s="27"/>
      <c r="L469" s="22"/>
      <c r="N469" s="22"/>
      <c r="O469" s="27"/>
      <c r="P469" s="247"/>
      <c r="Q469" s="247"/>
      <c r="R469" s="247"/>
      <c r="S469" s="247"/>
      <c r="T469" s="247"/>
    </row>
    <row r="470" spans="1:20" s="20" customFormat="1" x14ac:dyDescent="0.25">
      <c r="A470" s="26"/>
      <c r="B470" s="21"/>
      <c r="C470" s="21"/>
      <c r="D470" s="22"/>
      <c r="H470" s="22"/>
      <c r="J470" s="22"/>
      <c r="K470" s="27"/>
      <c r="L470" s="22"/>
      <c r="N470" s="22"/>
      <c r="O470" s="27"/>
      <c r="P470" s="247"/>
      <c r="Q470" s="247"/>
      <c r="R470" s="247"/>
      <c r="S470" s="247"/>
      <c r="T470" s="247"/>
    </row>
    <row r="471" spans="1:20" s="20" customFormat="1" x14ac:dyDescent="0.25">
      <c r="A471" s="26"/>
      <c r="B471" s="21"/>
      <c r="C471" s="21"/>
      <c r="D471" s="22"/>
      <c r="H471" s="22"/>
      <c r="J471" s="22"/>
      <c r="K471" s="27"/>
      <c r="L471" s="22"/>
      <c r="N471" s="22"/>
      <c r="O471" s="27"/>
      <c r="P471" s="247"/>
      <c r="Q471" s="247"/>
      <c r="R471" s="247"/>
      <c r="S471" s="247"/>
      <c r="T471" s="247"/>
    </row>
    <row r="472" spans="1:20" s="20" customFormat="1" x14ac:dyDescent="0.25">
      <c r="A472" s="26"/>
      <c r="B472" s="21"/>
      <c r="C472" s="21"/>
      <c r="D472" s="22"/>
      <c r="H472" s="22"/>
      <c r="J472" s="22"/>
      <c r="K472" s="27"/>
      <c r="L472" s="22"/>
      <c r="N472" s="22"/>
      <c r="O472" s="27"/>
      <c r="P472" s="247"/>
      <c r="Q472" s="247"/>
      <c r="R472" s="247"/>
      <c r="S472" s="247"/>
      <c r="T472" s="247"/>
    </row>
    <row r="473" spans="1:20" s="20" customFormat="1" x14ac:dyDescent="0.25">
      <c r="A473" s="26"/>
      <c r="B473" s="21"/>
      <c r="C473" s="21"/>
      <c r="D473" s="22"/>
      <c r="H473" s="22"/>
      <c r="J473" s="22"/>
      <c r="K473" s="27"/>
      <c r="L473" s="22"/>
      <c r="N473" s="22"/>
      <c r="O473" s="27"/>
      <c r="P473" s="247"/>
      <c r="Q473" s="247"/>
      <c r="R473" s="247"/>
      <c r="S473" s="247"/>
      <c r="T473" s="247"/>
    </row>
    <row r="474" spans="1:20" s="20" customFormat="1" x14ac:dyDescent="0.25">
      <c r="A474" s="26"/>
      <c r="B474" s="21"/>
      <c r="C474" s="21"/>
      <c r="D474" s="22"/>
      <c r="H474" s="22"/>
      <c r="J474" s="22"/>
      <c r="K474" s="27"/>
      <c r="L474" s="22"/>
      <c r="N474" s="22"/>
      <c r="O474" s="27"/>
      <c r="P474" s="247"/>
      <c r="Q474" s="247"/>
      <c r="R474" s="247"/>
      <c r="S474" s="247"/>
      <c r="T474" s="247"/>
    </row>
    <row r="475" spans="1:20" s="20" customFormat="1" x14ac:dyDescent="0.25">
      <c r="A475" s="26"/>
      <c r="B475" s="21"/>
      <c r="C475" s="21"/>
      <c r="D475" s="22"/>
      <c r="H475" s="22"/>
      <c r="J475" s="22"/>
      <c r="K475" s="27"/>
      <c r="L475" s="22"/>
      <c r="N475" s="22"/>
      <c r="O475" s="27"/>
      <c r="P475" s="247"/>
      <c r="Q475" s="247"/>
      <c r="R475" s="247"/>
      <c r="S475" s="247"/>
      <c r="T475" s="247"/>
    </row>
    <row r="476" spans="1:20" s="20" customFormat="1" x14ac:dyDescent="0.25">
      <c r="A476" s="26"/>
      <c r="B476" s="21"/>
      <c r="C476" s="21"/>
      <c r="D476" s="22"/>
      <c r="H476" s="22"/>
      <c r="J476" s="22"/>
      <c r="K476" s="27"/>
      <c r="L476" s="22"/>
      <c r="N476" s="22"/>
      <c r="O476" s="27"/>
      <c r="P476" s="247"/>
      <c r="Q476" s="247"/>
      <c r="R476" s="247"/>
      <c r="S476" s="247"/>
      <c r="T476" s="247"/>
    </row>
    <row r="477" spans="1:20" s="20" customFormat="1" x14ac:dyDescent="0.25">
      <c r="A477" s="26"/>
      <c r="B477" s="21"/>
      <c r="C477" s="21"/>
      <c r="D477" s="22"/>
      <c r="H477" s="22"/>
      <c r="J477" s="22"/>
      <c r="K477" s="27"/>
      <c r="L477" s="22"/>
      <c r="N477" s="22"/>
      <c r="O477" s="27"/>
      <c r="P477" s="247"/>
      <c r="Q477" s="247"/>
      <c r="R477" s="247"/>
      <c r="S477" s="247"/>
      <c r="T477" s="247"/>
    </row>
    <row r="478" spans="1:20" s="20" customFormat="1" x14ac:dyDescent="0.25">
      <c r="A478" s="26"/>
      <c r="B478" s="21"/>
      <c r="C478" s="21"/>
      <c r="D478" s="22"/>
      <c r="H478" s="22"/>
      <c r="J478" s="22"/>
      <c r="K478" s="27"/>
      <c r="L478" s="22"/>
      <c r="N478" s="22"/>
      <c r="O478" s="27"/>
      <c r="P478" s="247"/>
      <c r="Q478" s="247"/>
      <c r="R478" s="247"/>
      <c r="S478" s="247"/>
      <c r="T478" s="247"/>
    </row>
    <row r="479" spans="1:20" s="20" customFormat="1" x14ac:dyDescent="0.25">
      <c r="A479" s="26"/>
      <c r="B479" s="21"/>
      <c r="C479" s="21"/>
      <c r="D479" s="22"/>
      <c r="H479" s="22"/>
      <c r="J479" s="22"/>
      <c r="K479" s="27"/>
      <c r="L479" s="22"/>
      <c r="N479" s="22"/>
      <c r="O479" s="27"/>
      <c r="P479" s="247"/>
      <c r="Q479" s="247"/>
      <c r="R479" s="247"/>
      <c r="S479" s="247"/>
      <c r="T479" s="247"/>
    </row>
    <row r="480" spans="1:20" s="20" customFormat="1" x14ac:dyDescent="0.25">
      <c r="A480" s="26"/>
      <c r="B480" s="21"/>
      <c r="C480" s="21"/>
      <c r="D480" s="22"/>
      <c r="H480" s="22"/>
      <c r="J480" s="22"/>
      <c r="K480" s="27"/>
      <c r="L480" s="22"/>
      <c r="N480" s="22"/>
      <c r="O480" s="27"/>
      <c r="P480" s="247"/>
      <c r="Q480" s="247"/>
      <c r="R480" s="247"/>
      <c r="S480" s="247"/>
      <c r="T480" s="247"/>
    </row>
    <row r="481" spans="1:20" s="20" customFormat="1" x14ac:dyDescent="0.25">
      <c r="A481" s="26"/>
      <c r="B481" s="21"/>
      <c r="C481" s="21"/>
      <c r="D481" s="22"/>
      <c r="H481" s="22"/>
      <c r="J481" s="22"/>
      <c r="K481" s="27"/>
      <c r="L481" s="22"/>
      <c r="N481" s="22"/>
      <c r="O481" s="27"/>
      <c r="P481" s="247"/>
      <c r="Q481" s="247"/>
      <c r="R481" s="247"/>
      <c r="S481" s="247"/>
      <c r="T481" s="247"/>
    </row>
    <row r="482" spans="1:20" s="20" customFormat="1" x14ac:dyDescent="0.25">
      <c r="A482" s="26"/>
      <c r="B482" s="21"/>
      <c r="C482" s="21"/>
      <c r="D482" s="22"/>
      <c r="H482" s="22"/>
      <c r="J482" s="22"/>
      <c r="K482" s="27"/>
      <c r="L482" s="22"/>
      <c r="N482" s="22"/>
      <c r="O482" s="27"/>
      <c r="P482" s="247"/>
      <c r="Q482" s="247"/>
      <c r="R482" s="247"/>
      <c r="S482" s="247"/>
      <c r="T482" s="247"/>
    </row>
    <row r="483" spans="1:20" s="20" customFormat="1" x14ac:dyDescent="0.25">
      <c r="A483" s="26"/>
      <c r="B483" s="21"/>
      <c r="C483" s="21"/>
      <c r="D483" s="22"/>
      <c r="H483" s="22"/>
      <c r="J483" s="22"/>
      <c r="K483" s="27"/>
      <c r="L483" s="22"/>
      <c r="N483" s="22"/>
      <c r="O483" s="27"/>
      <c r="P483" s="247"/>
      <c r="Q483" s="247"/>
      <c r="R483" s="247"/>
      <c r="S483" s="247"/>
      <c r="T483" s="247"/>
    </row>
    <row r="484" spans="1:20" s="20" customFormat="1" x14ac:dyDescent="0.25">
      <c r="A484" s="26"/>
      <c r="B484" s="21"/>
      <c r="C484" s="21"/>
      <c r="D484" s="22"/>
      <c r="H484" s="22"/>
      <c r="J484" s="22"/>
      <c r="K484" s="27"/>
      <c r="L484" s="22"/>
      <c r="N484" s="22"/>
      <c r="O484" s="27"/>
      <c r="P484" s="247"/>
      <c r="Q484" s="247"/>
      <c r="R484" s="247"/>
      <c r="S484" s="247"/>
      <c r="T484" s="247"/>
    </row>
    <row r="485" spans="1:20" s="20" customFormat="1" x14ac:dyDescent="0.25">
      <c r="A485" s="26"/>
      <c r="B485" s="21"/>
      <c r="C485" s="21"/>
      <c r="D485" s="22"/>
      <c r="H485" s="22"/>
      <c r="J485" s="22"/>
      <c r="K485" s="27"/>
      <c r="L485" s="22"/>
      <c r="N485" s="22"/>
      <c r="O485" s="27"/>
      <c r="P485" s="247"/>
      <c r="Q485" s="247"/>
      <c r="R485" s="247"/>
      <c r="S485" s="247"/>
      <c r="T485" s="247"/>
    </row>
    <row r="486" spans="1:20" s="20" customFormat="1" x14ac:dyDescent="0.25">
      <c r="A486" s="26"/>
      <c r="B486" s="21"/>
      <c r="C486" s="21"/>
      <c r="D486" s="22"/>
      <c r="H486" s="22"/>
      <c r="J486" s="22"/>
      <c r="K486" s="27"/>
      <c r="L486" s="22"/>
      <c r="N486" s="22"/>
      <c r="O486" s="27"/>
      <c r="P486" s="247"/>
      <c r="Q486" s="247"/>
      <c r="R486" s="247"/>
      <c r="S486" s="247"/>
      <c r="T486" s="247"/>
    </row>
    <row r="487" spans="1:20" s="20" customFormat="1" x14ac:dyDescent="0.25">
      <c r="A487" s="26"/>
      <c r="B487" s="21"/>
      <c r="C487" s="21"/>
      <c r="D487" s="22"/>
      <c r="H487" s="22"/>
      <c r="J487" s="22"/>
      <c r="K487" s="27"/>
      <c r="L487" s="22"/>
      <c r="N487" s="22"/>
      <c r="O487" s="27"/>
      <c r="P487" s="247"/>
      <c r="Q487" s="247"/>
      <c r="R487" s="247"/>
      <c r="S487" s="247"/>
      <c r="T487" s="247"/>
    </row>
    <row r="488" spans="1:20" s="20" customFormat="1" x14ac:dyDescent="0.25">
      <c r="A488" s="26"/>
      <c r="B488" s="21"/>
      <c r="C488" s="21"/>
      <c r="D488" s="22"/>
      <c r="H488" s="22"/>
      <c r="J488" s="22"/>
      <c r="K488" s="27"/>
      <c r="L488" s="22"/>
      <c r="N488" s="22"/>
      <c r="O488" s="27"/>
      <c r="P488" s="247"/>
      <c r="Q488" s="247"/>
      <c r="R488" s="247"/>
      <c r="S488" s="247"/>
      <c r="T488" s="247"/>
    </row>
    <row r="489" spans="1:20" s="20" customFormat="1" x14ac:dyDescent="0.25">
      <c r="A489" s="26"/>
      <c r="B489" s="21"/>
      <c r="C489" s="21"/>
      <c r="D489" s="22"/>
      <c r="H489" s="22"/>
      <c r="J489" s="22"/>
      <c r="K489" s="27"/>
      <c r="L489" s="22"/>
      <c r="N489" s="22"/>
      <c r="O489" s="27"/>
      <c r="P489" s="247"/>
      <c r="Q489" s="247"/>
      <c r="R489" s="247"/>
      <c r="S489" s="247"/>
      <c r="T489" s="247"/>
    </row>
    <row r="490" spans="1:20" s="20" customFormat="1" x14ac:dyDescent="0.25">
      <c r="A490" s="26"/>
      <c r="B490" s="21"/>
      <c r="C490" s="21"/>
      <c r="D490" s="22"/>
      <c r="H490" s="22"/>
      <c r="J490" s="22"/>
      <c r="K490" s="27"/>
      <c r="L490" s="22"/>
      <c r="N490" s="22"/>
      <c r="O490" s="27"/>
      <c r="P490" s="247"/>
      <c r="Q490" s="247"/>
      <c r="R490" s="247"/>
      <c r="S490" s="247"/>
      <c r="T490" s="247"/>
    </row>
    <row r="491" spans="1:20" s="20" customFormat="1" x14ac:dyDescent="0.25">
      <c r="A491" s="26"/>
      <c r="B491" s="21"/>
      <c r="C491" s="21"/>
      <c r="D491" s="22"/>
      <c r="H491" s="22"/>
      <c r="J491" s="22"/>
      <c r="K491" s="27"/>
      <c r="L491" s="22"/>
      <c r="N491" s="22"/>
      <c r="O491" s="27"/>
      <c r="P491" s="247"/>
      <c r="Q491" s="247"/>
      <c r="R491" s="247"/>
      <c r="S491" s="247"/>
      <c r="T491" s="247"/>
    </row>
    <row r="492" spans="1:20" s="20" customFormat="1" x14ac:dyDescent="0.25">
      <c r="A492" s="26"/>
      <c r="B492" s="21"/>
      <c r="C492" s="21"/>
      <c r="D492" s="22"/>
      <c r="H492" s="22"/>
      <c r="J492" s="22"/>
      <c r="K492" s="27"/>
      <c r="L492" s="22"/>
      <c r="N492" s="22"/>
      <c r="O492" s="27"/>
      <c r="P492" s="247"/>
      <c r="Q492" s="247"/>
      <c r="R492" s="247"/>
      <c r="S492" s="247"/>
      <c r="T492" s="247"/>
    </row>
    <row r="493" spans="1:20" s="20" customFormat="1" x14ac:dyDescent="0.25">
      <c r="A493" s="26"/>
      <c r="B493" s="21"/>
      <c r="C493" s="21"/>
      <c r="D493" s="22"/>
      <c r="H493" s="22"/>
      <c r="J493" s="22"/>
      <c r="K493" s="27"/>
      <c r="L493" s="22"/>
      <c r="N493" s="22"/>
      <c r="O493" s="27"/>
      <c r="P493" s="247"/>
      <c r="Q493" s="247"/>
      <c r="R493" s="247"/>
      <c r="S493" s="247"/>
      <c r="T493" s="247"/>
    </row>
    <row r="494" spans="1:20" s="20" customFormat="1" x14ac:dyDescent="0.25">
      <c r="A494" s="26"/>
      <c r="B494" s="21"/>
      <c r="C494" s="21"/>
      <c r="D494" s="22"/>
      <c r="H494" s="22"/>
      <c r="J494" s="22"/>
      <c r="K494" s="27"/>
      <c r="L494" s="22"/>
      <c r="N494" s="22"/>
      <c r="O494" s="27"/>
      <c r="P494" s="247"/>
      <c r="Q494" s="247"/>
      <c r="R494" s="247"/>
      <c r="S494" s="247"/>
      <c r="T494" s="247"/>
    </row>
    <row r="495" spans="1:20" s="20" customFormat="1" x14ac:dyDescent="0.25">
      <c r="A495" s="26"/>
      <c r="B495" s="21"/>
      <c r="C495" s="21"/>
      <c r="D495" s="22"/>
      <c r="H495" s="22"/>
      <c r="J495" s="22"/>
      <c r="K495" s="27"/>
      <c r="L495" s="22"/>
      <c r="N495" s="22"/>
      <c r="O495" s="27"/>
      <c r="P495" s="247"/>
      <c r="Q495" s="247"/>
      <c r="R495" s="247"/>
      <c r="S495" s="247"/>
      <c r="T495" s="247"/>
    </row>
    <row r="496" spans="1:20" s="20" customFormat="1" x14ac:dyDescent="0.25">
      <c r="A496" s="26"/>
      <c r="B496" s="21"/>
      <c r="C496" s="21"/>
      <c r="D496" s="22"/>
      <c r="H496" s="22"/>
      <c r="J496" s="22"/>
      <c r="K496" s="27"/>
      <c r="L496" s="22"/>
      <c r="N496" s="22"/>
      <c r="O496" s="27"/>
      <c r="P496" s="247"/>
      <c r="Q496" s="247"/>
      <c r="R496" s="247"/>
      <c r="S496" s="247"/>
      <c r="T496" s="247"/>
    </row>
    <row r="497" spans="1:20" s="20" customFormat="1" x14ac:dyDescent="0.25">
      <c r="A497" s="26"/>
      <c r="B497" s="21"/>
      <c r="C497" s="21"/>
      <c r="D497" s="22"/>
      <c r="H497" s="22"/>
      <c r="J497" s="22"/>
      <c r="K497" s="27"/>
      <c r="L497" s="22"/>
      <c r="N497" s="22"/>
      <c r="O497" s="27"/>
      <c r="P497" s="247"/>
      <c r="Q497" s="247"/>
      <c r="R497" s="247"/>
      <c r="S497" s="247"/>
      <c r="T497" s="247"/>
    </row>
    <row r="498" spans="1:20" s="20" customFormat="1" x14ac:dyDescent="0.25">
      <c r="A498" s="26"/>
      <c r="B498" s="21"/>
      <c r="C498" s="21"/>
      <c r="D498" s="22"/>
      <c r="H498" s="22"/>
      <c r="J498" s="22"/>
      <c r="K498" s="27"/>
      <c r="L498" s="22"/>
      <c r="N498" s="22"/>
      <c r="O498" s="27"/>
      <c r="P498" s="247"/>
      <c r="Q498" s="247"/>
      <c r="R498" s="247"/>
      <c r="S498" s="247"/>
      <c r="T498" s="247"/>
    </row>
    <row r="499" spans="1:20" s="20" customFormat="1" x14ac:dyDescent="0.25">
      <c r="A499" s="26"/>
      <c r="B499" s="21"/>
      <c r="C499" s="21"/>
      <c r="D499" s="22"/>
      <c r="H499" s="22"/>
      <c r="J499" s="22"/>
      <c r="K499" s="27"/>
      <c r="L499" s="22"/>
      <c r="N499" s="22"/>
      <c r="O499" s="27"/>
      <c r="P499" s="247"/>
      <c r="Q499" s="247"/>
      <c r="R499" s="247"/>
      <c r="S499" s="247"/>
      <c r="T499" s="247"/>
    </row>
    <row r="500" spans="1:20" s="20" customFormat="1" x14ac:dyDescent="0.25">
      <c r="A500" s="26"/>
      <c r="B500" s="21"/>
      <c r="C500" s="21"/>
      <c r="D500" s="22"/>
      <c r="H500" s="22"/>
      <c r="J500" s="22"/>
      <c r="K500" s="27"/>
      <c r="L500" s="22"/>
      <c r="N500" s="22"/>
      <c r="O500" s="27"/>
      <c r="P500" s="247"/>
      <c r="Q500" s="247"/>
      <c r="R500" s="247"/>
      <c r="S500" s="247"/>
      <c r="T500" s="247"/>
    </row>
    <row r="501" spans="1:20" s="20" customFormat="1" x14ac:dyDescent="0.25">
      <c r="A501" s="26"/>
      <c r="B501" s="21"/>
      <c r="C501" s="21"/>
      <c r="D501" s="22"/>
      <c r="H501" s="22"/>
      <c r="J501" s="22"/>
      <c r="K501" s="27"/>
      <c r="L501" s="22"/>
      <c r="N501" s="22"/>
      <c r="O501" s="27"/>
      <c r="P501" s="247"/>
      <c r="Q501" s="247"/>
      <c r="R501" s="247"/>
      <c r="S501" s="247"/>
      <c r="T501" s="247"/>
    </row>
    <row r="502" spans="1:20" s="20" customFormat="1" x14ac:dyDescent="0.25">
      <c r="A502" s="26"/>
      <c r="B502" s="21"/>
      <c r="C502" s="21"/>
      <c r="D502" s="22"/>
      <c r="H502" s="22"/>
      <c r="J502" s="22"/>
      <c r="K502" s="27"/>
      <c r="L502" s="22"/>
      <c r="N502" s="22"/>
      <c r="O502" s="27"/>
      <c r="P502" s="247"/>
      <c r="Q502" s="247"/>
      <c r="R502" s="247"/>
      <c r="S502" s="247"/>
      <c r="T502" s="247"/>
    </row>
    <row r="503" spans="1:20" s="20" customFormat="1" x14ac:dyDescent="0.25">
      <c r="A503" s="26"/>
      <c r="B503" s="21"/>
      <c r="C503" s="21"/>
      <c r="D503" s="22"/>
      <c r="H503" s="22"/>
      <c r="J503" s="22"/>
      <c r="K503" s="27"/>
      <c r="L503" s="22"/>
      <c r="N503" s="22"/>
      <c r="O503" s="27"/>
      <c r="P503" s="247"/>
      <c r="Q503" s="247"/>
      <c r="R503" s="247"/>
      <c r="S503" s="247"/>
      <c r="T503" s="247"/>
    </row>
    <row r="504" spans="1:20" s="20" customFormat="1" x14ac:dyDescent="0.25">
      <c r="A504" s="26"/>
      <c r="B504" s="21"/>
      <c r="C504" s="21"/>
      <c r="D504" s="22"/>
      <c r="H504" s="22"/>
      <c r="J504" s="22"/>
      <c r="K504" s="27"/>
      <c r="L504" s="22"/>
      <c r="N504" s="22"/>
      <c r="O504" s="27"/>
      <c r="P504" s="247"/>
      <c r="Q504" s="247"/>
      <c r="R504" s="247"/>
      <c r="S504" s="247"/>
      <c r="T504" s="247"/>
    </row>
    <row r="505" spans="1:20" s="20" customFormat="1" x14ac:dyDescent="0.25">
      <c r="A505" s="26"/>
      <c r="B505" s="21"/>
      <c r="C505" s="21"/>
      <c r="D505" s="22"/>
      <c r="H505" s="22"/>
      <c r="J505" s="22"/>
      <c r="K505" s="27"/>
      <c r="L505" s="22"/>
      <c r="N505" s="22"/>
      <c r="O505" s="27"/>
      <c r="P505" s="247"/>
      <c r="Q505" s="247"/>
      <c r="R505" s="247"/>
      <c r="S505" s="247"/>
      <c r="T505" s="247"/>
    </row>
    <row r="506" spans="1:20" s="20" customFormat="1" x14ac:dyDescent="0.25">
      <c r="A506" s="26"/>
      <c r="B506" s="21"/>
      <c r="C506" s="21"/>
      <c r="D506" s="22"/>
      <c r="H506" s="22"/>
      <c r="J506" s="22"/>
      <c r="K506" s="27"/>
      <c r="L506" s="22"/>
      <c r="N506" s="22"/>
      <c r="O506" s="27"/>
      <c r="P506" s="247"/>
      <c r="Q506" s="247"/>
      <c r="R506" s="247"/>
      <c r="S506" s="247"/>
      <c r="T506" s="247"/>
    </row>
    <row r="507" spans="1:20" s="20" customFormat="1" x14ac:dyDescent="0.25">
      <c r="A507" s="26"/>
      <c r="B507" s="21"/>
      <c r="C507" s="21"/>
      <c r="D507" s="22"/>
      <c r="H507" s="22"/>
      <c r="J507" s="22"/>
      <c r="K507" s="27"/>
      <c r="L507" s="22"/>
      <c r="N507" s="22"/>
      <c r="O507" s="27"/>
      <c r="P507" s="247"/>
      <c r="Q507" s="247"/>
      <c r="R507" s="247"/>
      <c r="S507" s="247"/>
      <c r="T507" s="247"/>
    </row>
    <row r="508" spans="1:20" s="20" customFormat="1" x14ac:dyDescent="0.25">
      <c r="A508" s="26"/>
      <c r="B508" s="21"/>
      <c r="C508" s="21"/>
      <c r="D508" s="22"/>
      <c r="H508" s="22"/>
      <c r="J508" s="22"/>
      <c r="K508" s="27"/>
      <c r="L508" s="22"/>
      <c r="N508" s="22"/>
      <c r="O508" s="27"/>
      <c r="P508" s="247"/>
      <c r="Q508" s="247"/>
      <c r="R508" s="247"/>
      <c r="S508" s="247"/>
      <c r="T508" s="247"/>
    </row>
    <row r="509" spans="1:20" s="20" customFormat="1" x14ac:dyDescent="0.25">
      <c r="A509" s="26"/>
      <c r="B509" s="21"/>
      <c r="C509" s="21"/>
      <c r="D509" s="22"/>
      <c r="H509" s="22"/>
      <c r="J509" s="22"/>
      <c r="K509" s="27"/>
      <c r="L509" s="22"/>
      <c r="N509" s="22"/>
      <c r="O509" s="27"/>
      <c r="P509" s="247"/>
      <c r="Q509" s="247"/>
      <c r="R509" s="247"/>
      <c r="S509" s="247"/>
      <c r="T509" s="247"/>
    </row>
    <row r="510" spans="1:20" s="20" customFormat="1" x14ac:dyDescent="0.25">
      <c r="A510" s="26"/>
      <c r="B510" s="21"/>
      <c r="C510" s="21"/>
      <c r="D510" s="22"/>
      <c r="H510" s="22"/>
      <c r="J510" s="22"/>
      <c r="K510" s="27"/>
      <c r="L510" s="22"/>
      <c r="N510" s="22"/>
      <c r="O510" s="27"/>
      <c r="P510" s="247"/>
      <c r="Q510" s="247"/>
      <c r="R510" s="247"/>
      <c r="S510" s="247"/>
      <c r="T510" s="247"/>
    </row>
    <row r="511" spans="1:20" s="20" customFormat="1" x14ac:dyDescent="0.25">
      <c r="A511" s="26"/>
      <c r="B511" s="21"/>
      <c r="C511" s="21"/>
      <c r="D511" s="22"/>
      <c r="H511" s="22"/>
      <c r="J511" s="22"/>
      <c r="K511" s="27"/>
      <c r="L511" s="22"/>
      <c r="N511" s="22"/>
      <c r="O511" s="27"/>
      <c r="P511" s="247"/>
      <c r="Q511" s="247"/>
      <c r="R511" s="247"/>
      <c r="S511" s="247"/>
      <c r="T511" s="247"/>
    </row>
    <row r="512" spans="1:20" s="20" customFormat="1" x14ac:dyDescent="0.25">
      <c r="A512" s="26"/>
      <c r="B512" s="21"/>
      <c r="C512" s="21"/>
      <c r="D512" s="22"/>
      <c r="H512" s="22"/>
      <c r="J512" s="22"/>
      <c r="K512" s="27"/>
      <c r="L512" s="22"/>
      <c r="N512" s="22"/>
      <c r="O512" s="27"/>
      <c r="P512" s="247"/>
      <c r="Q512" s="247"/>
      <c r="R512" s="247"/>
      <c r="S512" s="247"/>
      <c r="T512" s="247"/>
    </row>
    <row r="513" spans="1:20" s="20" customFormat="1" x14ac:dyDescent="0.25">
      <c r="A513" s="26"/>
      <c r="B513" s="21"/>
      <c r="C513" s="21"/>
      <c r="D513" s="22"/>
      <c r="H513" s="22"/>
      <c r="J513" s="22"/>
      <c r="K513" s="27"/>
      <c r="L513" s="22"/>
      <c r="N513" s="22"/>
      <c r="O513" s="27"/>
      <c r="P513" s="247"/>
      <c r="Q513" s="247"/>
      <c r="R513" s="247"/>
      <c r="S513" s="247"/>
      <c r="T513" s="247"/>
    </row>
    <row r="514" spans="1:20" s="20" customFormat="1" x14ac:dyDescent="0.25">
      <c r="A514" s="26"/>
      <c r="B514" s="21"/>
      <c r="C514" s="21"/>
      <c r="D514" s="22"/>
      <c r="H514" s="22"/>
      <c r="J514" s="22"/>
      <c r="K514" s="27"/>
      <c r="L514" s="22"/>
      <c r="N514" s="22"/>
      <c r="O514" s="27"/>
      <c r="P514" s="247"/>
      <c r="Q514" s="247"/>
      <c r="R514" s="247"/>
      <c r="S514" s="247"/>
      <c r="T514" s="247"/>
    </row>
    <row r="515" spans="1:20" s="20" customFormat="1" x14ac:dyDescent="0.25">
      <c r="A515" s="26"/>
      <c r="B515" s="21"/>
      <c r="C515" s="21"/>
      <c r="D515" s="22"/>
      <c r="H515" s="22"/>
      <c r="J515" s="22"/>
      <c r="K515" s="27"/>
      <c r="L515" s="22"/>
      <c r="N515" s="22"/>
      <c r="O515" s="27"/>
      <c r="P515" s="247"/>
      <c r="Q515" s="247"/>
      <c r="R515" s="247"/>
      <c r="S515" s="247"/>
      <c r="T515" s="247"/>
    </row>
    <row r="516" spans="1:20" s="20" customFormat="1" x14ac:dyDescent="0.25">
      <c r="A516" s="26"/>
      <c r="B516" s="21"/>
      <c r="C516" s="21"/>
      <c r="D516" s="22"/>
      <c r="H516" s="22"/>
      <c r="J516" s="22"/>
      <c r="K516" s="27"/>
      <c r="L516" s="22"/>
      <c r="N516" s="22"/>
      <c r="O516" s="27"/>
      <c r="P516" s="247"/>
      <c r="Q516" s="247"/>
      <c r="R516" s="247"/>
      <c r="S516" s="247"/>
      <c r="T516" s="247"/>
    </row>
    <row r="517" spans="1:20" s="20" customFormat="1" x14ac:dyDescent="0.25">
      <c r="A517" s="26"/>
      <c r="B517" s="21"/>
      <c r="C517" s="21"/>
      <c r="D517" s="22"/>
      <c r="H517" s="22"/>
      <c r="J517" s="22"/>
      <c r="K517" s="27"/>
      <c r="L517" s="22"/>
      <c r="N517" s="22"/>
      <c r="O517" s="27"/>
      <c r="P517" s="247"/>
      <c r="Q517" s="247"/>
      <c r="R517" s="247"/>
      <c r="S517" s="247"/>
      <c r="T517" s="247"/>
    </row>
    <row r="518" spans="1:20" s="20" customFormat="1" x14ac:dyDescent="0.25">
      <c r="A518" s="26"/>
      <c r="B518" s="21"/>
      <c r="C518" s="21"/>
      <c r="D518" s="22"/>
      <c r="H518" s="22"/>
      <c r="J518" s="22"/>
      <c r="K518" s="27"/>
      <c r="L518" s="22"/>
      <c r="N518" s="22"/>
      <c r="O518" s="27"/>
      <c r="P518" s="247"/>
      <c r="Q518" s="247"/>
      <c r="R518" s="247"/>
      <c r="S518" s="247"/>
      <c r="T518" s="247"/>
    </row>
    <row r="519" spans="1:20" s="20" customFormat="1" x14ac:dyDescent="0.25">
      <c r="A519" s="26"/>
      <c r="B519" s="21"/>
      <c r="C519" s="21"/>
      <c r="D519" s="22"/>
      <c r="H519" s="22"/>
      <c r="J519" s="22"/>
      <c r="K519" s="27"/>
      <c r="L519" s="22"/>
      <c r="N519" s="22"/>
      <c r="O519" s="27"/>
      <c r="P519" s="247"/>
      <c r="Q519" s="247"/>
      <c r="R519" s="247"/>
      <c r="S519" s="247"/>
      <c r="T519" s="247"/>
    </row>
    <row r="520" spans="1:20" s="20" customFormat="1" x14ac:dyDescent="0.25">
      <c r="A520" s="26"/>
      <c r="B520" s="21"/>
      <c r="C520" s="21"/>
      <c r="D520" s="22"/>
      <c r="H520" s="22"/>
      <c r="J520" s="22"/>
      <c r="K520" s="27"/>
      <c r="L520" s="22"/>
      <c r="N520" s="22"/>
      <c r="O520" s="27"/>
      <c r="P520" s="247"/>
      <c r="Q520" s="247"/>
      <c r="R520" s="247"/>
      <c r="S520" s="247"/>
      <c r="T520" s="247"/>
    </row>
    <row r="521" spans="1:20" s="20" customFormat="1" x14ac:dyDescent="0.25">
      <c r="A521" s="26"/>
      <c r="B521" s="21"/>
      <c r="C521" s="21"/>
      <c r="D521" s="22"/>
      <c r="H521" s="22"/>
      <c r="J521" s="22"/>
      <c r="K521" s="27"/>
      <c r="L521" s="22"/>
      <c r="N521" s="22"/>
      <c r="O521" s="27"/>
      <c r="P521" s="247"/>
      <c r="Q521" s="247"/>
      <c r="R521" s="247"/>
      <c r="S521" s="247"/>
      <c r="T521" s="247"/>
    </row>
    <row r="522" spans="1:20" s="20" customFormat="1" x14ac:dyDescent="0.25">
      <c r="A522" s="26"/>
      <c r="B522" s="21"/>
      <c r="C522" s="21"/>
      <c r="D522" s="22"/>
      <c r="H522" s="22"/>
      <c r="J522" s="22"/>
      <c r="K522" s="27"/>
      <c r="L522" s="22"/>
      <c r="N522" s="22"/>
      <c r="O522" s="27"/>
      <c r="P522" s="247"/>
      <c r="Q522" s="247"/>
      <c r="R522" s="247"/>
      <c r="S522" s="247"/>
      <c r="T522" s="247"/>
    </row>
    <row r="523" spans="1:20" s="20" customFormat="1" x14ac:dyDescent="0.25">
      <c r="A523" s="26"/>
      <c r="B523" s="21"/>
      <c r="C523" s="21"/>
      <c r="D523" s="22"/>
      <c r="H523" s="22"/>
      <c r="J523" s="22"/>
      <c r="K523" s="27"/>
      <c r="L523" s="22"/>
      <c r="N523" s="22"/>
      <c r="O523" s="27"/>
      <c r="P523" s="247"/>
      <c r="Q523" s="247"/>
      <c r="R523" s="247"/>
      <c r="S523" s="247"/>
      <c r="T523" s="247"/>
    </row>
    <row r="524" spans="1:20" s="20" customFormat="1" x14ac:dyDescent="0.25">
      <c r="A524" s="26"/>
      <c r="B524" s="21"/>
      <c r="C524" s="21"/>
      <c r="D524" s="22"/>
      <c r="H524" s="22"/>
      <c r="J524" s="22"/>
      <c r="K524" s="27"/>
      <c r="L524" s="22"/>
      <c r="N524" s="22"/>
      <c r="O524" s="27"/>
      <c r="P524" s="247"/>
      <c r="Q524" s="247"/>
      <c r="R524" s="247"/>
      <c r="S524" s="247"/>
      <c r="T524" s="247"/>
    </row>
    <row r="525" spans="1:20" s="20" customFormat="1" x14ac:dyDescent="0.25">
      <c r="A525" s="26"/>
      <c r="B525" s="21"/>
      <c r="C525" s="21"/>
      <c r="D525" s="22"/>
      <c r="H525" s="22"/>
      <c r="J525" s="22"/>
      <c r="K525" s="27"/>
      <c r="L525" s="22"/>
      <c r="N525" s="22"/>
      <c r="O525" s="27"/>
      <c r="P525" s="247"/>
      <c r="Q525" s="247"/>
      <c r="R525" s="247"/>
      <c r="S525" s="247"/>
      <c r="T525" s="247"/>
    </row>
    <row r="526" spans="1:20" s="20" customFormat="1" x14ac:dyDescent="0.25">
      <c r="A526" s="26"/>
      <c r="B526" s="21"/>
      <c r="C526" s="21"/>
      <c r="D526" s="22"/>
      <c r="H526" s="22"/>
      <c r="J526" s="22"/>
      <c r="K526" s="27"/>
      <c r="L526" s="22"/>
      <c r="N526" s="22"/>
      <c r="O526" s="27"/>
      <c r="P526" s="247"/>
      <c r="Q526" s="247"/>
      <c r="R526" s="247"/>
      <c r="S526" s="247"/>
      <c r="T526" s="247"/>
    </row>
    <row r="527" spans="1:20" s="20" customFormat="1" x14ac:dyDescent="0.25">
      <c r="A527" s="26"/>
      <c r="B527" s="21"/>
      <c r="C527" s="21"/>
      <c r="D527" s="22"/>
      <c r="H527" s="22"/>
      <c r="J527" s="22"/>
      <c r="K527" s="27"/>
      <c r="L527" s="22"/>
      <c r="N527" s="22"/>
      <c r="O527" s="27"/>
      <c r="P527" s="247"/>
      <c r="Q527" s="247"/>
      <c r="R527" s="247"/>
      <c r="S527" s="247"/>
      <c r="T527" s="247"/>
    </row>
    <row r="528" spans="1:20" s="20" customFormat="1" x14ac:dyDescent="0.25">
      <c r="A528" s="26"/>
      <c r="B528" s="21"/>
      <c r="C528" s="21"/>
      <c r="D528" s="22"/>
      <c r="H528" s="22"/>
      <c r="J528" s="22"/>
      <c r="K528" s="27"/>
      <c r="L528" s="22"/>
      <c r="N528" s="22"/>
      <c r="O528" s="27"/>
      <c r="P528" s="247"/>
      <c r="Q528" s="247"/>
      <c r="R528" s="247"/>
      <c r="S528" s="247"/>
      <c r="T528" s="247"/>
    </row>
    <row r="529" spans="1:20" s="20" customFormat="1" x14ac:dyDescent="0.25">
      <c r="A529" s="26"/>
      <c r="B529" s="21"/>
      <c r="C529" s="21"/>
      <c r="D529" s="22"/>
      <c r="H529" s="22"/>
      <c r="J529" s="22"/>
      <c r="K529" s="27"/>
      <c r="L529" s="22"/>
      <c r="N529" s="22"/>
      <c r="O529" s="27"/>
      <c r="P529" s="247"/>
      <c r="Q529" s="247"/>
      <c r="R529" s="247"/>
      <c r="S529" s="247"/>
      <c r="T529" s="247"/>
    </row>
    <row r="530" spans="1:20" s="20" customFormat="1" x14ac:dyDescent="0.25">
      <c r="A530" s="26"/>
      <c r="B530" s="21"/>
      <c r="C530" s="21"/>
      <c r="D530" s="22"/>
      <c r="H530" s="22"/>
      <c r="J530" s="22"/>
      <c r="K530" s="27"/>
      <c r="L530" s="22"/>
      <c r="N530" s="22"/>
      <c r="O530" s="27"/>
      <c r="P530" s="247"/>
      <c r="Q530" s="247"/>
      <c r="R530" s="247"/>
      <c r="S530" s="247"/>
      <c r="T530" s="247"/>
    </row>
    <row r="531" spans="1:20" s="20" customFormat="1" x14ac:dyDescent="0.25">
      <c r="A531" s="26"/>
      <c r="B531" s="21"/>
      <c r="C531" s="21"/>
      <c r="D531" s="22"/>
      <c r="H531" s="22"/>
      <c r="J531" s="22"/>
      <c r="K531" s="27"/>
      <c r="L531" s="22"/>
      <c r="N531" s="22"/>
      <c r="O531" s="27"/>
      <c r="P531" s="247"/>
      <c r="Q531" s="247"/>
      <c r="R531" s="247"/>
      <c r="S531" s="247"/>
      <c r="T531" s="247"/>
    </row>
    <row r="532" spans="1:20" s="20" customFormat="1" x14ac:dyDescent="0.25">
      <c r="A532" s="26"/>
      <c r="B532" s="21"/>
      <c r="C532" s="21"/>
      <c r="D532" s="22"/>
      <c r="H532" s="22"/>
      <c r="J532" s="22"/>
      <c r="K532" s="27"/>
      <c r="L532" s="22"/>
      <c r="N532" s="22"/>
      <c r="O532" s="27"/>
      <c r="P532" s="247"/>
      <c r="Q532" s="247"/>
      <c r="R532" s="247"/>
      <c r="S532" s="247"/>
      <c r="T532" s="247"/>
    </row>
    <row r="533" spans="1:20" s="20" customFormat="1" x14ac:dyDescent="0.25">
      <c r="A533" s="26"/>
      <c r="B533" s="21"/>
      <c r="C533" s="21"/>
      <c r="D533" s="22"/>
      <c r="H533" s="22"/>
      <c r="J533" s="22"/>
      <c r="K533" s="27"/>
      <c r="L533" s="22"/>
      <c r="N533" s="22"/>
      <c r="O533" s="27"/>
      <c r="P533" s="247"/>
      <c r="Q533" s="247"/>
      <c r="R533" s="247"/>
      <c r="S533" s="247"/>
      <c r="T533" s="247"/>
    </row>
    <row r="534" spans="1:20" s="20" customFormat="1" x14ac:dyDescent="0.25">
      <c r="A534" s="26"/>
      <c r="B534" s="21"/>
      <c r="C534" s="21"/>
      <c r="D534" s="22"/>
      <c r="H534" s="22"/>
      <c r="J534" s="22"/>
      <c r="K534" s="27"/>
      <c r="L534" s="22"/>
      <c r="N534" s="22"/>
      <c r="O534" s="27"/>
      <c r="P534" s="247"/>
      <c r="Q534" s="247"/>
      <c r="R534" s="247"/>
      <c r="S534" s="247"/>
      <c r="T534" s="247"/>
    </row>
    <row r="535" spans="1:20" s="20" customFormat="1" x14ac:dyDescent="0.25">
      <c r="A535" s="26"/>
      <c r="B535" s="21"/>
      <c r="C535" s="21"/>
      <c r="D535" s="22"/>
      <c r="H535" s="22"/>
      <c r="J535" s="22"/>
      <c r="K535" s="27"/>
      <c r="L535" s="22"/>
      <c r="N535" s="22"/>
      <c r="O535" s="27"/>
      <c r="P535" s="247"/>
      <c r="Q535" s="247"/>
      <c r="R535" s="247"/>
      <c r="S535" s="247"/>
      <c r="T535" s="247"/>
    </row>
    <row r="536" spans="1:20" s="20" customFormat="1" x14ac:dyDescent="0.25">
      <c r="A536" s="26"/>
      <c r="B536" s="21"/>
      <c r="C536" s="21"/>
      <c r="D536" s="22"/>
      <c r="H536" s="22"/>
      <c r="J536" s="22"/>
      <c r="K536" s="27"/>
      <c r="L536" s="22"/>
      <c r="N536" s="22"/>
      <c r="O536" s="27"/>
      <c r="P536" s="247"/>
      <c r="Q536" s="247"/>
      <c r="R536" s="247"/>
      <c r="S536" s="247"/>
      <c r="T536" s="247"/>
    </row>
    <row r="537" spans="1:20" s="20" customFormat="1" x14ac:dyDescent="0.25">
      <c r="A537" s="26"/>
      <c r="B537" s="21"/>
      <c r="C537" s="21"/>
      <c r="D537" s="22"/>
      <c r="H537" s="22"/>
      <c r="J537" s="22"/>
      <c r="K537" s="27"/>
      <c r="L537" s="22"/>
      <c r="N537" s="22"/>
      <c r="O537" s="27"/>
      <c r="P537" s="247"/>
      <c r="Q537" s="247"/>
      <c r="R537" s="247"/>
      <c r="S537" s="247"/>
      <c r="T537" s="247"/>
    </row>
    <row r="538" spans="1:20" s="20" customFormat="1" x14ac:dyDescent="0.25">
      <c r="A538" s="26"/>
      <c r="B538" s="21"/>
      <c r="C538" s="21"/>
      <c r="D538" s="22"/>
      <c r="H538" s="22"/>
      <c r="J538" s="22"/>
      <c r="K538" s="27"/>
      <c r="L538" s="22"/>
      <c r="N538" s="22"/>
      <c r="O538" s="27"/>
      <c r="P538" s="247"/>
      <c r="Q538" s="247"/>
      <c r="R538" s="247"/>
      <c r="S538" s="247"/>
      <c r="T538" s="247"/>
    </row>
    <row r="539" spans="1:20" s="20" customFormat="1" x14ac:dyDescent="0.25">
      <c r="A539" s="26"/>
      <c r="B539" s="21"/>
      <c r="C539" s="21"/>
      <c r="D539" s="22"/>
      <c r="H539" s="22"/>
      <c r="J539" s="22"/>
      <c r="K539" s="27"/>
      <c r="L539" s="22"/>
      <c r="N539" s="22"/>
      <c r="O539" s="27"/>
      <c r="P539" s="247"/>
      <c r="Q539" s="247"/>
      <c r="R539" s="247"/>
      <c r="S539" s="247"/>
      <c r="T539" s="247"/>
    </row>
    <row r="540" spans="1:20" s="20" customFormat="1" x14ac:dyDescent="0.25">
      <c r="A540" s="26"/>
      <c r="B540" s="21"/>
      <c r="C540" s="21"/>
      <c r="D540" s="22"/>
      <c r="H540" s="22"/>
      <c r="J540" s="22"/>
      <c r="K540" s="27"/>
      <c r="L540" s="22"/>
      <c r="N540" s="22"/>
      <c r="O540" s="27"/>
      <c r="P540" s="247"/>
      <c r="Q540" s="247"/>
      <c r="R540" s="247"/>
      <c r="S540" s="247"/>
      <c r="T540" s="247"/>
    </row>
    <row r="541" spans="1:20" s="20" customFormat="1" x14ac:dyDescent="0.25">
      <c r="A541" s="26"/>
      <c r="B541" s="21"/>
      <c r="C541" s="21"/>
      <c r="D541" s="22"/>
      <c r="H541" s="22"/>
      <c r="J541" s="22"/>
      <c r="K541" s="27"/>
      <c r="L541" s="22"/>
      <c r="N541" s="22"/>
      <c r="O541" s="27"/>
      <c r="P541" s="247"/>
      <c r="Q541" s="247"/>
      <c r="R541" s="247"/>
      <c r="S541" s="247"/>
      <c r="T541" s="247"/>
    </row>
    <row r="542" spans="1:20" s="20" customFormat="1" x14ac:dyDescent="0.25">
      <c r="A542" s="26"/>
      <c r="B542" s="21"/>
      <c r="C542" s="21"/>
      <c r="D542" s="22"/>
      <c r="H542" s="22"/>
      <c r="J542" s="22"/>
      <c r="K542" s="27"/>
      <c r="L542" s="22"/>
      <c r="N542" s="22"/>
      <c r="O542" s="27"/>
      <c r="P542" s="247"/>
      <c r="Q542" s="247"/>
      <c r="R542" s="247"/>
      <c r="S542" s="247"/>
      <c r="T542" s="247"/>
    </row>
    <row r="543" spans="1:20" s="20" customFormat="1" x14ac:dyDescent="0.25">
      <c r="A543" s="26"/>
      <c r="B543" s="21"/>
      <c r="C543" s="21"/>
      <c r="D543" s="22"/>
      <c r="H543" s="22"/>
      <c r="J543" s="22"/>
      <c r="K543" s="27"/>
      <c r="L543" s="22"/>
      <c r="N543" s="22"/>
      <c r="O543" s="27"/>
      <c r="P543" s="247"/>
      <c r="Q543" s="247"/>
      <c r="R543" s="247"/>
      <c r="S543" s="247"/>
      <c r="T543" s="247"/>
    </row>
    <row r="544" spans="1:20" s="20" customFormat="1" x14ac:dyDescent="0.25">
      <c r="A544" s="26"/>
      <c r="B544" s="21"/>
      <c r="C544" s="21"/>
      <c r="D544" s="22"/>
      <c r="H544" s="22"/>
      <c r="J544" s="22"/>
      <c r="K544" s="27"/>
      <c r="L544" s="22"/>
      <c r="N544" s="22"/>
      <c r="O544" s="27"/>
      <c r="P544" s="247"/>
      <c r="Q544" s="247"/>
      <c r="R544" s="247"/>
      <c r="S544" s="247"/>
      <c r="T544" s="247"/>
    </row>
    <row r="545" spans="1:20" s="20" customFormat="1" x14ac:dyDescent="0.25">
      <c r="A545" s="26"/>
      <c r="B545" s="21"/>
      <c r="C545" s="21"/>
      <c r="D545" s="22"/>
      <c r="H545" s="22"/>
      <c r="J545" s="22"/>
      <c r="K545" s="27"/>
      <c r="L545" s="22"/>
      <c r="N545" s="22"/>
      <c r="O545" s="27"/>
      <c r="P545" s="247"/>
      <c r="Q545" s="247"/>
      <c r="R545" s="247"/>
      <c r="S545" s="247"/>
      <c r="T545" s="247"/>
    </row>
    <row r="546" spans="1:20" s="20" customFormat="1" x14ac:dyDescent="0.25">
      <c r="A546" s="26"/>
      <c r="B546" s="21"/>
      <c r="C546" s="21"/>
      <c r="D546" s="22"/>
      <c r="H546" s="22"/>
      <c r="J546" s="22"/>
      <c r="K546" s="27"/>
      <c r="L546" s="22"/>
      <c r="N546" s="22"/>
      <c r="O546" s="27"/>
      <c r="P546" s="247"/>
      <c r="Q546" s="247"/>
      <c r="R546" s="247"/>
      <c r="S546" s="247"/>
      <c r="T546" s="247"/>
    </row>
    <row r="547" spans="1:20" s="20" customFormat="1" x14ac:dyDescent="0.25">
      <c r="A547" s="26"/>
      <c r="B547" s="21"/>
      <c r="C547" s="21"/>
      <c r="D547" s="22"/>
      <c r="H547" s="22"/>
      <c r="J547" s="22"/>
      <c r="K547" s="27"/>
      <c r="L547" s="22"/>
      <c r="N547" s="22"/>
      <c r="O547" s="27"/>
      <c r="P547" s="247"/>
      <c r="Q547" s="247"/>
      <c r="R547" s="247"/>
      <c r="S547" s="247"/>
      <c r="T547" s="247"/>
    </row>
    <row r="548" spans="1:20" s="20" customFormat="1" x14ac:dyDescent="0.25">
      <c r="A548" s="26"/>
      <c r="B548" s="21"/>
      <c r="C548" s="21"/>
      <c r="D548" s="22"/>
      <c r="H548" s="22"/>
      <c r="J548" s="22"/>
      <c r="K548" s="27"/>
      <c r="L548" s="22"/>
      <c r="N548" s="22"/>
      <c r="O548" s="27"/>
      <c r="P548" s="247"/>
      <c r="Q548" s="247"/>
      <c r="R548" s="247"/>
      <c r="S548" s="247"/>
      <c r="T548" s="247"/>
    </row>
    <row r="549" spans="1:20" s="20" customFormat="1" x14ac:dyDescent="0.25">
      <c r="A549" s="26"/>
      <c r="B549" s="21"/>
      <c r="C549" s="21"/>
      <c r="D549" s="22"/>
      <c r="H549" s="22"/>
      <c r="J549" s="22"/>
      <c r="K549" s="27"/>
      <c r="L549" s="22"/>
      <c r="N549" s="22"/>
      <c r="O549" s="27"/>
      <c r="P549" s="247"/>
      <c r="Q549" s="247"/>
      <c r="R549" s="247"/>
      <c r="S549" s="247"/>
      <c r="T549" s="247"/>
    </row>
    <row r="550" spans="1:20" s="20" customFormat="1" x14ac:dyDescent="0.25">
      <c r="A550" s="26"/>
      <c r="B550" s="21"/>
      <c r="C550" s="21"/>
      <c r="D550" s="22"/>
      <c r="H550" s="22"/>
      <c r="J550" s="22"/>
      <c r="K550" s="27"/>
      <c r="L550" s="22"/>
      <c r="N550" s="22"/>
      <c r="O550" s="27"/>
      <c r="P550" s="247"/>
      <c r="Q550" s="247"/>
      <c r="R550" s="247"/>
      <c r="S550" s="247"/>
      <c r="T550" s="247"/>
    </row>
    <row r="551" spans="1:20" s="20" customFormat="1" x14ac:dyDescent="0.25">
      <c r="A551" s="26"/>
      <c r="B551" s="21"/>
      <c r="C551" s="21"/>
      <c r="D551" s="22"/>
      <c r="H551" s="22"/>
      <c r="J551" s="22"/>
      <c r="K551" s="27"/>
      <c r="L551" s="22"/>
      <c r="N551" s="22"/>
      <c r="O551" s="27"/>
      <c r="P551" s="247"/>
      <c r="Q551" s="247"/>
      <c r="R551" s="247"/>
      <c r="S551" s="247"/>
      <c r="T551" s="247"/>
    </row>
    <row r="552" spans="1:20" s="20" customFormat="1" x14ac:dyDescent="0.25">
      <c r="A552" s="26"/>
      <c r="B552" s="21"/>
      <c r="C552" s="21"/>
      <c r="D552" s="22"/>
      <c r="H552" s="22"/>
      <c r="J552" s="22"/>
      <c r="K552" s="27"/>
      <c r="L552" s="22"/>
      <c r="N552" s="22"/>
      <c r="O552" s="27"/>
      <c r="P552" s="247"/>
      <c r="Q552" s="247"/>
      <c r="R552" s="247"/>
      <c r="S552" s="247"/>
      <c r="T552" s="247"/>
    </row>
    <row r="553" spans="1:20" s="20" customFormat="1" x14ac:dyDescent="0.25">
      <c r="A553" s="26"/>
      <c r="B553" s="21"/>
      <c r="C553" s="21"/>
      <c r="D553" s="22"/>
      <c r="H553" s="22"/>
      <c r="J553" s="22"/>
      <c r="K553" s="27"/>
      <c r="L553" s="22"/>
      <c r="N553" s="22"/>
      <c r="O553" s="27"/>
      <c r="P553" s="247"/>
      <c r="Q553" s="247"/>
      <c r="R553" s="247"/>
      <c r="S553" s="247"/>
      <c r="T553" s="247"/>
    </row>
    <row r="554" spans="1:20" s="20" customFormat="1" x14ac:dyDescent="0.25">
      <c r="A554" s="26"/>
      <c r="B554" s="21"/>
      <c r="C554" s="21"/>
      <c r="D554" s="22"/>
      <c r="H554" s="22"/>
      <c r="J554" s="22"/>
      <c r="K554" s="27"/>
      <c r="L554" s="22"/>
      <c r="N554" s="22"/>
      <c r="O554" s="27"/>
      <c r="P554" s="247"/>
      <c r="Q554" s="247"/>
      <c r="R554" s="247"/>
      <c r="S554" s="247"/>
      <c r="T554" s="247"/>
    </row>
    <row r="555" spans="1:20" s="20" customFormat="1" x14ac:dyDescent="0.25">
      <c r="A555" s="26"/>
      <c r="B555" s="21"/>
      <c r="C555" s="21"/>
      <c r="D555" s="22"/>
      <c r="H555" s="22"/>
      <c r="J555" s="22"/>
      <c r="K555" s="27"/>
      <c r="L555" s="22"/>
      <c r="N555" s="22"/>
      <c r="O555" s="27"/>
      <c r="P555" s="247"/>
      <c r="Q555" s="247"/>
      <c r="R555" s="247"/>
      <c r="S555" s="247"/>
      <c r="T555" s="247"/>
    </row>
    <row r="556" spans="1:20" s="20" customFormat="1" x14ac:dyDescent="0.25">
      <c r="A556" s="26"/>
      <c r="B556" s="21"/>
      <c r="C556" s="21"/>
      <c r="D556" s="22"/>
      <c r="H556" s="22"/>
      <c r="J556" s="22"/>
      <c r="K556" s="27"/>
      <c r="L556" s="22"/>
      <c r="N556" s="22"/>
      <c r="O556" s="27"/>
      <c r="P556" s="247"/>
      <c r="Q556" s="247"/>
      <c r="R556" s="247"/>
      <c r="S556" s="247"/>
      <c r="T556" s="247"/>
    </row>
    <row r="557" spans="1:20" s="20" customFormat="1" x14ac:dyDescent="0.25">
      <c r="A557" s="26"/>
      <c r="B557" s="21"/>
      <c r="C557" s="21"/>
      <c r="D557" s="22"/>
      <c r="H557" s="22"/>
      <c r="J557" s="22"/>
      <c r="K557" s="27"/>
      <c r="L557" s="22"/>
      <c r="N557" s="22"/>
      <c r="O557" s="27"/>
      <c r="P557" s="247"/>
      <c r="Q557" s="247"/>
      <c r="R557" s="247"/>
      <c r="S557" s="247"/>
      <c r="T557" s="247"/>
    </row>
    <row r="558" spans="1:20" s="20" customFormat="1" x14ac:dyDescent="0.25">
      <c r="A558" s="26"/>
      <c r="B558" s="21"/>
      <c r="C558" s="21"/>
      <c r="D558" s="22"/>
      <c r="H558" s="22"/>
      <c r="J558" s="22"/>
      <c r="K558" s="27"/>
      <c r="L558" s="22"/>
      <c r="N558" s="22"/>
      <c r="O558" s="27"/>
      <c r="P558" s="247"/>
      <c r="Q558" s="247"/>
      <c r="R558" s="247"/>
      <c r="S558" s="247"/>
      <c r="T558" s="247"/>
    </row>
    <row r="559" spans="1:20" s="20" customFormat="1" x14ac:dyDescent="0.25">
      <c r="A559" s="26"/>
      <c r="B559" s="21"/>
      <c r="C559" s="21"/>
      <c r="D559" s="22"/>
      <c r="H559" s="22"/>
      <c r="J559" s="22"/>
      <c r="K559" s="27"/>
      <c r="L559" s="22"/>
      <c r="N559" s="22"/>
      <c r="O559" s="27"/>
      <c r="P559" s="247"/>
      <c r="Q559" s="247"/>
      <c r="R559" s="247"/>
      <c r="S559" s="247"/>
      <c r="T559" s="247"/>
    </row>
    <row r="560" spans="1:20" s="20" customFormat="1" x14ac:dyDescent="0.25">
      <c r="A560" s="26"/>
      <c r="B560" s="21"/>
      <c r="C560" s="21"/>
      <c r="D560" s="22"/>
      <c r="H560" s="22"/>
      <c r="J560" s="22"/>
      <c r="K560" s="27"/>
      <c r="L560" s="22"/>
      <c r="N560" s="22"/>
      <c r="O560" s="27"/>
      <c r="P560" s="247"/>
      <c r="Q560" s="247"/>
      <c r="R560" s="247"/>
      <c r="S560" s="247"/>
      <c r="T560" s="247"/>
    </row>
    <row r="561" spans="1:20" s="20" customFormat="1" x14ac:dyDescent="0.25">
      <c r="A561" s="26"/>
      <c r="B561" s="21"/>
      <c r="C561" s="21"/>
      <c r="D561" s="22"/>
      <c r="H561" s="22"/>
      <c r="J561" s="22"/>
      <c r="K561" s="27"/>
      <c r="L561" s="22"/>
      <c r="N561" s="22"/>
      <c r="O561" s="27"/>
      <c r="P561" s="247"/>
      <c r="Q561" s="247"/>
      <c r="R561" s="247"/>
      <c r="S561" s="247"/>
      <c r="T561" s="247"/>
    </row>
    <row r="562" spans="1:20" s="20" customFormat="1" x14ac:dyDescent="0.25">
      <c r="A562" s="26"/>
      <c r="B562" s="21"/>
      <c r="C562" s="21"/>
      <c r="D562" s="22"/>
      <c r="H562" s="22"/>
      <c r="J562" s="22"/>
      <c r="K562" s="27"/>
      <c r="L562" s="22"/>
      <c r="N562" s="22"/>
      <c r="O562" s="27"/>
      <c r="P562" s="247"/>
      <c r="Q562" s="247"/>
      <c r="R562" s="247"/>
      <c r="S562" s="247"/>
      <c r="T562" s="247"/>
    </row>
    <row r="563" spans="1:20" s="20" customFormat="1" x14ac:dyDescent="0.25">
      <c r="A563" s="26"/>
      <c r="B563" s="21"/>
      <c r="C563" s="21"/>
      <c r="D563" s="22"/>
      <c r="H563" s="22"/>
      <c r="J563" s="22"/>
      <c r="K563" s="27"/>
      <c r="L563" s="22"/>
      <c r="N563" s="22"/>
      <c r="O563" s="27"/>
      <c r="P563" s="247"/>
      <c r="Q563" s="247"/>
      <c r="R563" s="247"/>
      <c r="S563" s="247"/>
      <c r="T563" s="247"/>
    </row>
    <row r="564" spans="1:20" s="20" customFormat="1" x14ac:dyDescent="0.25">
      <c r="A564" s="26"/>
      <c r="B564" s="21"/>
      <c r="C564" s="21"/>
      <c r="D564" s="22"/>
      <c r="H564" s="22"/>
      <c r="J564" s="22"/>
      <c r="K564" s="27"/>
      <c r="L564" s="22"/>
      <c r="N564" s="22"/>
      <c r="O564" s="27"/>
      <c r="P564" s="247"/>
      <c r="Q564" s="247"/>
      <c r="R564" s="247"/>
      <c r="S564" s="247"/>
      <c r="T564" s="247"/>
    </row>
    <row r="565" spans="1:20" s="20" customFormat="1" x14ac:dyDescent="0.25">
      <c r="A565" s="26"/>
      <c r="B565" s="21"/>
      <c r="C565" s="21"/>
      <c r="D565" s="22"/>
      <c r="H565" s="22"/>
      <c r="J565" s="22"/>
      <c r="K565" s="27"/>
      <c r="L565" s="22"/>
      <c r="N565" s="22"/>
      <c r="O565" s="27"/>
      <c r="P565" s="247"/>
      <c r="Q565" s="247"/>
      <c r="R565" s="247"/>
      <c r="S565" s="247"/>
      <c r="T565" s="247"/>
    </row>
    <row r="566" spans="1:20" s="20" customFormat="1" x14ac:dyDescent="0.25">
      <c r="A566" s="26"/>
      <c r="B566" s="21"/>
      <c r="C566" s="21"/>
      <c r="D566" s="22"/>
      <c r="H566" s="22"/>
      <c r="J566" s="22"/>
      <c r="K566" s="27"/>
      <c r="L566" s="22"/>
      <c r="N566" s="22"/>
      <c r="O566" s="27"/>
      <c r="P566" s="247"/>
      <c r="Q566" s="247"/>
      <c r="R566" s="247"/>
      <c r="S566" s="247"/>
      <c r="T566" s="247"/>
    </row>
    <row r="567" spans="1:20" s="20" customFormat="1" x14ac:dyDescent="0.25">
      <c r="A567" s="26"/>
      <c r="B567" s="21"/>
      <c r="C567" s="21"/>
      <c r="D567" s="22"/>
      <c r="H567" s="22"/>
      <c r="J567" s="22"/>
      <c r="K567" s="27"/>
      <c r="L567" s="22"/>
      <c r="N567" s="22"/>
      <c r="O567" s="27"/>
      <c r="P567" s="247"/>
      <c r="Q567" s="247"/>
      <c r="R567" s="247"/>
      <c r="S567" s="247"/>
      <c r="T567" s="247"/>
    </row>
    <row r="568" spans="1:20" s="20" customFormat="1" x14ac:dyDescent="0.25">
      <c r="A568" s="26"/>
      <c r="B568" s="21"/>
      <c r="C568" s="21"/>
      <c r="D568" s="22"/>
      <c r="H568" s="22"/>
      <c r="J568" s="22"/>
      <c r="K568" s="27"/>
      <c r="L568" s="22"/>
      <c r="N568" s="22"/>
      <c r="O568" s="27"/>
      <c r="P568" s="247"/>
      <c r="Q568" s="247"/>
      <c r="R568" s="247"/>
      <c r="S568" s="247"/>
      <c r="T568" s="247"/>
    </row>
    <row r="569" spans="1:20" s="20" customFormat="1" x14ac:dyDescent="0.25">
      <c r="A569" s="26"/>
      <c r="B569" s="21"/>
      <c r="C569" s="21"/>
      <c r="D569" s="22"/>
      <c r="H569" s="22"/>
      <c r="J569" s="22"/>
      <c r="K569" s="27"/>
      <c r="L569" s="22"/>
      <c r="N569" s="22"/>
      <c r="O569" s="27"/>
      <c r="P569" s="247"/>
      <c r="Q569" s="247"/>
      <c r="R569" s="247"/>
      <c r="S569" s="247"/>
      <c r="T569" s="247"/>
    </row>
    <row r="570" spans="1:20" s="20" customFormat="1" x14ac:dyDescent="0.25">
      <c r="A570" s="26"/>
      <c r="B570" s="21"/>
      <c r="C570" s="21"/>
      <c r="D570" s="22"/>
      <c r="H570" s="22"/>
      <c r="J570" s="22"/>
      <c r="K570" s="27"/>
      <c r="L570" s="22"/>
      <c r="N570" s="22"/>
      <c r="O570" s="27"/>
      <c r="P570" s="247"/>
      <c r="Q570" s="247"/>
      <c r="R570" s="247"/>
      <c r="S570" s="247"/>
      <c r="T570" s="247"/>
    </row>
    <row r="571" spans="1:20" s="20" customFormat="1" x14ac:dyDescent="0.25">
      <c r="A571" s="26"/>
      <c r="B571" s="21"/>
      <c r="C571" s="21"/>
      <c r="D571" s="22"/>
      <c r="H571" s="22"/>
      <c r="J571" s="22"/>
      <c r="K571" s="27"/>
      <c r="L571" s="22"/>
      <c r="N571" s="22"/>
      <c r="O571" s="27"/>
      <c r="P571" s="247"/>
      <c r="Q571" s="247"/>
      <c r="R571" s="247"/>
      <c r="S571" s="247"/>
      <c r="T571" s="247"/>
    </row>
    <row r="572" spans="1:20" s="20" customFormat="1" x14ac:dyDescent="0.25">
      <c r="A572" s="26"/>
      <c r="B572" s="21"/>
      <c r="C572" s="21"/>
      <c r="D572" s="22"/>
      <c r="H572" s="22"/>
      <c r="J572" s="22"/>
      <c r="K572" s="27"/>
      <c r="L572" s="22"/>
      <c r="N572" s="22"/>
      <c r="O572" s="27"/>
      <c r="P572" s="247"/>
      <c r="Q572" s="247"/>
      <c r="R572" s="247"/>
      <c r="S572" s="247"/>
      <c r="T572" s="247"/>
    </row>
    <row r="573" spans="1:20" s="20" customFormat="1" x14ac:dyDescent="0.25">
      <c r="A573" s="26"/>
      <c r="B573" s="21"/>
      <c r="C573" s="21"/>
      <c r="D573" s="22"/>
      <c r="H573" s="22"/>
      <c r="J573" s="22"/>
      <c r="K573" s="27"/>
      <c r="L573" s="22"/>
      <c r="N573" s="22"/>
      <c r="O573" s="27"/>
      <c r="P573" s="247"/>
      <c r="Q573" s="247"/>
      <c r="R573" s="247"/>
      <c r="S573" s="247"/>
      <c r="T573" s="247"/>
    </row>
    <row r="574" spans="1:20" s="20" customFormat="1" x14ac:dyDescent="0.25">
      <c r="A574" s="26"/>
      <c r="B574" s="21"/>
      <c r="C574" s="21"/>
      <c r="D574" s="22"/>
      <c r="H574" s="22"/>
      <c r="J574" s="22"/>
      <c r="K574" s="27"/>
      <c r="L574" s="22"/>
      <c r="N574" s="22"/>
      <c r="O574" s="27"/>
      <c r="P574" s="247"/>
      <c r="Q574" s="247"/>
      <c r="R574" s="247"/>
      <c r="S574" s="247"/>
      <c r="T574" s="247"/>
    </row>
    <row r="575" spans="1:20" s="20" customFormat="1" x14ac:dyDescent="0.25">
      <c r="A575" s="26"/>
      <c r="B575" s="21"/>
      <c r="C575" s="21"/>
      <c r="D575" s="22"/>
      <c r="H575" s="22"/>
      <c r="J575" s="22"/>
      <c r="K575" s="27"/>
      <c r="L575" s="22"/>
      <c r="N575" s="22"/>
      <c r="O575" s="27"/>
      <c r="P575" s="247"/>
      <c r="Q575" s="247"/>
      <c r="R575" s="247"/>
      <c r="S575" s="247"/>
      <c r="T575" s="247"/>
    </row>
    <row r="576" spans="1:20" s="20" customFormat="1" x14ac:dyDescent="0.25">
      <c r="A576" s="26"/>
      <c r="B576" s="21"/>
      <c r="C576" s="21"/>
      <c r="D576" s="22"/>
      <c r="H576" s="22"/>
      <c r="J576" s="22"/>
      <c r="K576" s="27"/>
      <c r="L576" s="22"/>
      <c r="N576" s="22"/>
      <c r="O576" s="27"/>
      <c r="P576" s="247"/>
      <c r="Q576" s="247"/>
      <c r="R576" s="247"/>
      <c r="S576" s="247"/>
      <c r="T576" s="247"/>
    </row>
    <row r="577" spans="1:20" s="20" customFormat="1" x14ac:dyDescent="0.25">
      <c r="A577" s="26"/>
      <c r="B577" s="21"/>
      <c r="C577" s="21"/>
      <c r="D577" s="22"/>
      <c r="H577" s="22"/>
      <c r="J577" s="22"/>
      <c r="K577" s="27"/>
      <c r="L577" s="22"/>
      <c r="N577" s="22"/>
      <c r="O577" s="27"/>
      <c r="P577" s="247"/>
      <c r="Q577" s="247"/>
      <c r="R577" s="247"/>
      <c r="S577" s="247"/>
      <c r="T577" s="247"/>
    </row>
    <row r="578" spans="1:20" s="20" customFormat="1" x14ac:dyDescent="0.25">
      <c r="A578" s="26"/>
      <c r="B578" s="21"/>
      <c r="C578" s="21"/>
      <c r="D578" s="22"/>
      <c r="H578" s="22"/>
      <c r="J578" s="22"/>
      <c r="K578" s="27"/>
      <c r="L578" s="22"/>
      <c r="N578" s="22"/>
      <c r="O578" s="27"/>
      <c r="P578" s="247"/>
      <c r="Q578" s="247"/>
      <c r="R578" s="247"/>
      <c r="S578" s="247"/>
      <c r="T578" s="247"/>
    </row>
    <row r="579" spans="1:20" s="20" customFormat="1" x14ac:dyDescent="0.25">
      <c r="A579" s="26"/>
      <c r="B579" s="21"/>
      <c r="C579" s="21"/>
      <c r="D579" s="22"/>
      <c r="H579" s="22"/>
      <c r="J579" s="22"/>
      <c r="K579" s="27"/>
      <c r="L579" s="22"/>
      <c r="N579" s="22"/>
      <c r="O579" s="27"/>
      <c r="P579" s="247"/>
      <c r="Q579" s="247"/>
      <c r="R579" s="247"/>
      <c r="S579" s="247"/>
      <c r="T579" s="247"/>
    </row>
    <row r="580" spans="1:20" s="20" customFormat="1" x14ac:dyDescent="0.25">
      <c r="A580" s="26"/>
      <c r="B580" s="21"/>
      <c r="C580" s="21"/>
      <c r="D580" s="22"/>
      <c r="H580" s="22"/>
      <c r="J580" s="22"/>
      <c r="K580" s="27"/>
      <c r="L580" s="22"/>
      <c r="N580" s="22"/>
      <c r="O580" s="27"/>
      <c r="P580" s="247"/>
      <c r="Q580" s="247"/>
      <c r="R580" s="247"/>
      <c r="S580" s="247"/>
      <c r="T580" s="247"/>
    </row>
    <row r="581" spans="1:20" s="20" customFormat="1" x14ac:dyDescent="0.25">
      <c r="A581" s="26"/>
      <c r="B581" s="21"/>
      <c r="C581" s="21"/>
      <c r="D581" s="22"/>
      <c r="H581" s="22"/>
      <c r="J581" s="22"/>
      <c r="K581" s="27"/>
      <c r="L581" s="22"/>
      <c r="N581" s="22"/>
      <c r="O581" s="27"/>
      <c r="P581" s="247"/>
      <c r="Q581" s="247"/>
      <c r="R581" s="247"/>
      <c r="S581" s="247"/>
      <c r="T581" s="247"/>
    </row>
    <row r="582" spans="1:20" s="20" customFormat="1" x14ac:dyDescent="0.25">
      <c r="A582" s="26"/>
      <c r="B582" s="21"/>
      <c r="C582" s="21"/>
      <c r="D582" s="22"/>
      <c r="H582" s="22"/>
      <c r="J582" s="22"/>
      <c r="K582" s="27"/>
      <c r="L582" s="22"/>
      <c r="N582" s="22"/>
      <c r="O582" s="27"/>
      <c r="P582" s="247"/>
      <c r="Q582" s="247"/>
      <c r="R582" s="247"/>
      <c r="S582" s="247"/>
      <c r="T582" s="247"/>
    </row>
    <row r="583" spans="1:20" s="20" customFormat="1" x14ac:dyDescent="0.25">
      <c r="A583" s="26"/>
      <c r="B583" s="21"/>
      <c r="C583" s="21"/>
      <c r="D583" s="22"/>
      <c r="H583" s="22"/>
      <c r="J583" s="22"/>
      <c r="K583" s="27"/>
      <c r="L583" s="22"/>
      <c r="N583" s="22"/>
      <c r="O583" s="27"/>
      <c r="P583" s="247"/>
      <c r="Q583" s="247"/>
      <c r="R583" s="247"/>
      <c r="S583" s="247"/>
      <c r="T583" s="247"/>
    </row>
    <row r="584" spans="1:20" s="20" customFormat="1" x14ac:dyDescent="0.25">
      <c r="A584" s="26"/>
      <c r="B584" s="21"/>
      <c r="C584" s="21"/>
      <c r="D584" s="22"/>
      <c r="H584" s="22"/>
      <c r="J584" s="22"/>
      <c r="K584" s="27"/>
      <c r="L584" s="22"/>
      <c r="N584" s="22"/>
      <c r="O584" s="27"/>
      <c r="P584" s="247"/>
      <c r="Q584" s="247"/>
      <c r="R584" s="247"/>
      <c r="S584" s="247"/>
      <c r="T584" s="247"/>
    </row>
    <row r="585" spans="1:20" s="20" customFormat="1" x14ac:dyDescent="0.25">
      <c r="A585" s="26"/>
      <c r="B585" s="21"/>
      <c r="C585" s="21"/>
      <c r="D585" s="22"/>
      <c r="H585" s="22"/>
      <c r="J585" s="22"/>
      <c r="K585" s="27"/>
      <c r="L585" s="22"/>
      <c r="N585" s="22"/>
      <c r="O585" s="27"/>
      <c r="P585" s="247"/>
      <c r="Q585" s="247"/>
      <c r="R585" s="247"/>
      <c r="S585" s="247"/>
      <c r="T585" s="247"/>
    </row>
    <row r="586" spans="1:20" s="20" customFormat="1" x14ac:dyDescent="0.25">
      <c r="A586" s="26"/>
      <c r="B586" s="21"/>
      <c r="C586" s="21"/>
      <c r="D586" s="22"/>
      <c r="H586" s="22"/>
      <c r="J586" s="22"/>
      <c r="K586" s="27"/>
      <c r="L586" s="22"/>
      <c r="N586" s="22"/>
      <c r="O586" s="27"/>
      <c r="P586" s="247"/>
      <c r="Q586" s="247"/>
      <c r="R586" s="247"/>
      <c r="S586" s="247"/>
      <c r="T586" s="247"/>
    </row>
    <row r="587" spans="1:20" s="20" customFormat="1" x14ac:dyDescent="0.25">
      <c r="A587" s="26"/>
      <c r="B587" s="21"/>
      <c r="C587" s="21"/>
      <c r="D587" s="22"/>
      <c r="H587" s="22"/>
      <c r="J587" s="22"/>
      <c r="K587" s="27"/>
      <c r="L587" s="22"/>
      <c r="N587" s="22"/>
      <c r="O587" s="27"/>
      <c r="P587" s="247"/>
      <c r="Q587" s="247"/>
      <c r="R587" s="247"/>
      <c r="S587" s="247"/>
      <c r="T587" s="247"/>
    </row>
    <row r="588" spans="1:20" s="20" customFormat="1" x14ac:dyDescent="0.25">
      <c r="A588" s="26"/>
      <c r="B588" s="21"/>
      <c r="C588" s="21"/>
      <c r="D588" s="22"/>
      <c r="H588" s="22"/>
      <c r="J588" s="22"/>
      <c r="K588" s="27"/>
      <c r="L588" s="22"/>
      <c r="N588" s="22"/>
      <c r="O588" s="27"/>
      <c r="P588" s="247"/>
      <c r="Q588" s="247"/>
      <c r="R588" s="247"/>
      <c r="S588" s="247"/>
      <c r="T588" s="247"/>
    </row>
    <row r="589" spans="1:20" s="20" customFormat="1" x14ac:dyDescent="0.25">
      <c r="A589" s="26"/>
      <c r="B589" s="21"/>
      <c r="C589" s="21"/>
      <c r="D589" s="22"/>
      <c r="H589" s="22"/>
      <c r="J589" s="22"/>
      <c r="K589" s="27"/>
      <c r="L589" s="22"/>
      <c r="N589" s="22"/>
      <c r="O589" s="27"/>
      <c r="P589" s="247"/>
      <c r="Q589" s="247"/>
      <c r="R589" s="247"/>
      <c r="S589" s="247"/>
      <c r="T589" s="247"/>
    </row>
    <row r="590" spans="1:20" s="20" customFormat="1" x14ac:dyDescent="0.25">
      <c r="A590" s="26"/>
      <c r="B590" s="21"/>
      <c r="C590" s="21"/>
      <c r="D590" s="22"/>
      <c r="H590" s="22"/>
      <c r="J590" s="22"/>
      <c r="K590" s="27"/>
      <c r="L590" s="22"/>
      <c r="N590" s="22"/>
      <c r="O590" s="27"/>
      <c r="P590" s="247"/>
      <c r="Q590" s="247"/>
      <c r="R590" s="247"/>
      <c r="S590" s="247"/>
      <c r="T590" s="247"/>
    </row>
    <row r="591" spans="1:20" s="20" customFormat="1" x14ac:dyDescent="0.25">
      <c r="A591" s="26"/>
      <c r="B591" s="21"/>
      <c r="C591" s="21"/>
      <c r="D591" s="22"/>
      <c r="H591" s="22"/>
      <c r="J591" s="22"/>
      <c r="K591" s="27"/>
      <c r="L591" s="22"/>
      <c r="N591" s="22"/>
      <c r="O591" s="27"/>
      <c r="P591" s="247"/>
      <c r="Q591" s="247"/>
      <c r="R591" s="247"/>
      <c r="S591" s="247"/>
      <c r="T591" s="247"/>
    </row>
    <row r="592" spans="1:20" s="20" customFormat="1" x14ac:dyDescent="0.25">
      <c r="A592" s="26"/>
      <c r="B592" s="21"/>
      <c r="C592" s="21"/>
      <c r="D592" s="22"/>
      <c r="H592" s="22"/>
      <c r="J592" s="22"/>
      <c r="K592" s="27"/>
      <c r="L592" s="22"/>
      <c r="N592" s="22"/>
      <c r="O592" s="27"/>
      <c r="P592" s="247"/>
      <c r="Q592" s="247"/>
      <c r="R592" s="247"/>
      <c r="S592" s="247"/>
      <c r="T592" s="247"/>
    </row>
    <row r="593" spans="1:20" s="20" customFormat="1" x14ac:dyDescent="0.25">
      <c r="A593" s="26"/>
      <c r="B593" s="21"/>
      <c r="C593" s="21"/>
      <c r="D593" s="22"/>
      <c r="H593" s="22"/>
      <c r="J593" s="22"/>
      <c r="K593" s="27"/>
      <c r="L593" s="22"/>
      <c r="N593" s="22"/>
      <c r="O593" s="27"/>
      <c r="P593" s="247"/>
      <c r="Q593" s="247"/>
      <c r="R593" s="247"/>
      <c r="S593" s="247"/>
      <c r="T593" s="247"/>
    </row>
    <row r="594" spans="1:20" s="20" customFormat="1" x14ac:dyDescent="0.25">
      <c r="A594" s="26"/>
      <c r="B594" s="21"/>
      <c r="C594" s="21"/>
      <c r="D594" s="22"/>
      <c r="H594" s="22"/>
      <c r="J594" s="22"/>
      <c r="K594" s="27"/>
      <c r="L594" s="22"/>
      <c r="N594" s="22"/>
      <c r="O594" s="27"/>
      <c r="P594" s="247"/>
      <c r="Q594" s="247"/>
      <c r="R594" s="247"/>
      <c r="S594" s="247"/>
      <c r="T594" s="247"/>
    </row>
    <row r="595" spans="1:20" s="20" customFormat="1" x14ac:dyDescent="0.25">
      <c r="A595" s="26"/>
      <c r="B595" s="21"/>
      <c r="C595" s="21"/>
      <c r="D595" s="22"/>
      <c r="H595" s="22"/>
      <c r="J595" s="22"/>
      <c r="K595" s="27"/>
      <c r="L595" s="22"/>
      <c r="N595" s="22"/>
      <c r="O595" s="27"/>
      <c r="P595" s="247"/>
      <c r="Q595" s="247"/>
      <c r="R595" s="247"/>
      <c r="S595" s="247"/>
      <c r="T595" s="247"/>
    </row>
    <row r="596" spans="1:20" s="20" customFormat="1" x14ac:dyDescent="0.25">
      <c r="A596" s="26"/>
      <c r="B596" s="21"/>
      <c r="C596" s="21"/>
      <c r="D596" s="22"/>
      <c r="H596" s="22"/>
      <c r="J596" s="22"/>
      <c r="K596" s="27"/>
      <c r="L596" s="22"/>
      <c r="N596" s="22"/>
      <c r="O596" s="27"/>
      <c r="P596" s="247"/>
      <c r="Q596" s="247"/>
      <c r="R596" s="247"/>
      <c r="S596" s="247"/>
      <c r="T596" s="247"/>
    </row>
    <row r="597" spans="1:20" s="20" customFormat="1" x14ac:dyDescent="0.25">
      <c r="A597" s="26"/>
      <c r="B597" s="21"/>
      <c r="C597" s="21"/>
      <c r="D597" s="22"/>
      <c r="H597" s="22"/>
      <c r="J597" s="22"/>
      <c r="K597" s="27"/>
      <c r="L597" s="22"/>
      <c r="N597" s="22"/>
      <c r="O597" s="27"/>
      <c r="P597" s="247"/>
      <c r="Q597" s="247"/>
      <c r="R597" s="247"/>
      <c r="S597" s="247"/>
      <c r="T597" s="247"/>
    </row>
    <row r="598" spans="1:20" s="20" customFormat="1" x14ac:dyDescent="0.25">
      <c r="A598" s="26"/>
      <c r="B598" s="21"/>
      <c r="C598" s="21"/>
      <c r="D598" s="22"/>
      <c r="H598" s="22"/>
      <c r="J598" s="22"/>
      <c r="K598" s="27"/>
      <c r="L598" s="22"/>
      <c r="N598" s="22"/>
      <c r="O598" s="27"/>
      <c r="P598" s="247"/>
      <c r="Q598" s="247"/>
      <c r="R598" s="247"/>
      <c r="S598" s="247"/>
      <c r="T598" s="247"/>
    </row>
    <row r="599" spans="1:20" s="20" customFormat="1" x14ac:dyDescent="0.25">
      <c r="A599" s="26"/>
      <c r="B599" s="21"/>
      <c r="C599" s="21"/>
      <c r="D599" s="22"/>
      <c r="H599" s="22"/>
      <c r="J599" s="22"/>
      <c r="K599" s="27"/>
      <c r="L599" s="22"/>
      <c r="N599" s="22"/>
      <c r="O599" s="27"/>
      <c r="P599" s="247"/>
      <c r="Q599" s="247"/>
      <c r="R599" s="247"/>
      <c r="S599" s="247"/>
      <c r="T599" s="247"/>
    </row>
    <row r="600" spans="1:20" s="20" customFormat="1" x14ac:dyDescent="0.25">
      <c r="A600" s="26"/>
      <c r="B600" s="21"/>
      <c r="C600" s="21"/>
      <c r="D600" s="22"/>
      <c r="H600" s="22"/>
      <c r="J600" s="22"/>
      <c r="K600" s="27"/>
      <c r="L600" s="22"/>
      <c r="N600" s="22"/>
      <c r="O600" s="27"/>
      <c r="P600" s="247"/>
      <c r="Q600" s="247"/>
      <c r="R600" s="247"/>
      <c r="S600" s="247"/>
      <c r="T600" s="247"/>
    </row>
    <row r="601" spans="1:20" s="20" customFormat="1" x14ac:dyDescent="0.25">
      <c r="A601" s="26"/>
      <c r="B601" s="21"/>
      <c r="C601" s="21"/>
      <c r="D601" s="22"/>
      <c r="H601" s="22"/>
      <c r="J601" s="22"/>
      <c r="K601" s="27"/>
      <c r="L601" s="22"/>
      <c r="N601" s="22"/>
      <c r="O601" s="27"/>
      <c r="P601" s="247"/>
      <c r="Q601" s="247"/>
      <c r="R601" s="247"/>
      <c r="S601" s="247"/>
      <c r="T601" s="247"/>
    </row>
    <row r="602" spans="1:20" s="20" customFormat="1" x14ac:dyDescent="0.25">
      <c r="A602" s="26"/>
      <c r="B602" s="21"/>
      <c r="C602" s="21"/>
      <c r="D602" s="22"/>
      <c r="H602" s="22"/>
      <c r="J602" s="22"/>
      <c r="K602" s="27"/>
      <c r="L602" s="22"/>
      <c r="N602" s="22"/>
      <c r="O602" s="27"/>
      <c r="P602" s="247"/>
      <c r="Q602" s="247"/>
      <c r="R602" s="247"/>
      <c r="S602" s="247"/>
      <c r="T602" s="247"/>
    </row>
    <row r="603" spans="1:20" s="20" customFormat="1" x14ac:dyDescent="0.25">
      <c r="A603" s="26"/>
      <c r="B603" s="21"/>
      <c r="C603" s="21"/>
      <c r="D603" s="22"/>
      <c r="H603" s="22"/>
      <c r="J603" s="22"/>
      <c r="K603" s="27"/>
      <c r="L603" s="22"/>
      <c r="N603" s="22"/>
      <c r="O603" s="27"/>
      <c r="P603" s="247"/>
      <c r="Q603" s="247"/>
      <c r="R603" s="247"/>
      <c r="S603" s="247"/>
      <c r="T603" s="247"/>
    </row>
    <row r="604" spans="1:20" s="20" customFormat="1" x14ac:dyDescent="0.25">
      <c r="A604" s="26"/>
      <c r="B604" s="21"/>
      <c r="C604" s="21"/>
      <c r="D604" s="22"/>
      <c r="H604" s="22"/>
      <c r="J604" s="22"/>
      <c r="K604" s="27"/>
      <c r="L604" s="22"/>
      <c r="N604" s="22"/>
      <c r="O604" s="27"/>
      <c r="P604" s="247"/>
      <c r="Q604" s="247"/>
      <c r="R604" s="247"/>
      <c r="S604" s="247"/>
      <c r="T604" s="247"/>
    </row>
    <row r="605" spans="1:20" s="20" customFormat="1" x14ac:dyDescent="0.25">
      <c r="A605" s="26"/>
      <c r="B605" s="21"/>
      <c r="C605" s="21"/>
      <c r="D605" s="22"/>
      <c r="H605" s="22"/>
      <c r="J605" s="22"/>
      <c r="K605" s="27"/>
      <c r="L605" s="22"/>
      <c r="N605" s="22"/>
      <c r="O605" s="27"/>
      <c r="P605" s="247"/>
      <c r="Q605" s="247"/>
      <c r="R605" s="247"/>
      <c r="S605" s="247"/>
      <c r="T605" s="247"/>
    </row>
    <row r="606" spans="1:20" s="20" customFormat="1" x14ac:dyDescent="0.25">
      <c r="A606" s="26"/>
      <c r="B606" s="21"/>
      <c r="C606" s="21"/>
      <c r="D606" s="22"/>
      <c r="H606" s="22"/>
      <c r="J606" s="22"/>
      <c r="K606" s="27"/>
      <c r="L606" s="22"/>
      <c r="N606" s="22"/>
      <c r="O606" s="27"/>
      <c r="P606" s="247"/>
      <c r="Q606" s="247"/>
      <c r="R606" s="247"/>
      <c r="S606" s="247"/>
      <c r="T606" s="247"/>
    </row>
    <row r="607" spans="1:20" s="20" customFormat="1" x14ac:dyDescent="0.25">
      <c r="A607" s="26"/>
      <c r="B607" s="21"/>
      <c r="C607" s="21"/>
      <c r="D607" s="22"/>
      <c r="H607" s="22"/>
      <c r="J607" s="22"/>
      <c r="K607" s="27"/>
      <c r="L607" s="22"/>
      <c r="N607" s="22"/>
      <c r="O607" s="27"/>
      <c r="P607" s="247"/>
      <c r="Q607" s="247"/>
      <c r="R607" s="247"/>
      <c r="S607" s="247"/>
      <c r="T607" s="247"/>
    </row>
    <row r="608" spans="1:20" s="20" customFormat="1" x14ac:dyDescent="0.25">
      <c r="A608" s="26"/>
      <c r="B608" s="21"/>
      <c r="C608" s="21"/>
      <c r="D608" s="22"/>
      <c r="H608" s="22"/>
      <c r="J608" s="22"/>
      <c r="K608" s="27"/>
      <c r="L608" s="22"/>
      <c r="N608" s="22"/>
      <c r="O608" s="27"/>
      <c r="P608" s="247"/>
      <c r="Q608" s="247"/>
      <c r="R608" s="247"/>
      <c r="S608" s="247"/>
      <c r="T608" s="247"/>
    </row>
    <row r="609" spans="1:20" s="20" customFormat="1" x14ac:dyDescent="0.25">
      <c r="A609" s="26"/>
      <c r="B609" s="21"/>
      <c r="C609" s="21"/>
      <c r="D609" s="22"/>
      <c r="H609" s="22"/>
      <c r="J609" s="22"/>
      <c r="K609" s="27"/>
      <c r="L609" s="22"/>
      <c r="N609" s="22"/>
      <c r="O609" s="27"/>
      <c r="P609" s="247"/>
      <c r="Q609" s="247"/>
      <c r="R609" s="247"/>
      <c r="S609" s="247"/>
      <c r="T609" s="247"/>
    </row>
    <row r="610" spans="1:20" s="20" customFormat="1" x14ac:dyDescent="0.25">
      <c r="A610" s="26"/>
      <c r="B610" s="21"/>
      <c r="C610" s="21"/>
      <c r="D610" s="22"/>
      <c r="H610" s="22"/>
      <c r="J610" s="22"/>
      <c r="K610" s="27"/>
      <c r="L610" s="22"/>
      <c r="N610" s="22"/>
      <c r="O610" s="27"/>
      <c r="P610" s="247"/>
      <c r="Q610" s="247"/>
      <c r="R610" s="247"/>
      <c r="S610" s="247"/>
      <c r="T610" s="247"/>
    </row>
    <row r="611" spans="1:20" s="20" customFormat="1" x14ac:dyDescent="0.25">
      <c r="A611" s="26"/>
      <c r="B611" s="21"/>
      <c r="C611" s="21"/>
      <c r="D611" s="22"/>
      <c r="H611" s="22"/>
      <c r="J611" s="22"/>
      <c r="K611" s="27"/>
      <c r="L611" s="22"/>
      <c r="N611" s="22"/>
      <c r="O611" s="27"/>
      <c r="P611" s="247"/>
      <c r="Q611" s="247"/>
      <c r="R611" s="247"/>
      <c r="S611" s="247"/>
      <c r="T611" s="247"/>
    </row>
    <row r="612" spans="1:20" s="20" customFormat="1" x14ac:dyDescent="0.25">
      <c r="A612" s="26"/>
      <c r="B612" s="21"/>
      <c r="C612" s="21"/>
      <c r="D612" s="22"/>
      <c r="H612" s="22"/>
      <c r="J612" s="22"/>
      <c r="K612" s="27"/>
      <c r="L612" s="22"/>
      <c r="N612" s="22"/>
      <c r="O612" s="27"/>
      <c r="P612" s="247"/>
      <c r="Q612" s="247"/>
      <c r="R612" s="247"/>
      <c r="S612" s="247"/>
      <c r="T612" s="247"/>
    </row>
    <row r="613" spans="1:20" s="20" customFormat="1" x14ac:dyDescent="0.25">
      <c r="A613" s="26"/>
      <c r="B613" s="21"/>
      <c r="C613" s="21"/>
      <c r="D613" s="22"/>
      <c r="H613" s="22"/>
      <c r="J613" s="22"/>
      <c r="K613" s="27"/>
      <c r="L613" s="22"/>
      <c r="N613" s="22"/>
      <c r="O613" s="27"/>
      <c r="P613" s="247"/>
      <c r="Q613" s="247"/>
      <c r="R613" s="247"/>
      <c r="S613" s="247"/>
      <c r="T613" s="247"/>
    </row>
    <row r="614" spans="1:20" s="20" customFormat="1" x14ac:dyDescent="0.25">
      <c r="A614" s="26"/>
      <c r="B614" s="21"/>
      <c r="C614" s="21"/>
      <c r="D614" s="22"/>
      <c r="H614" s="22"/>
      <c r="J614" s="22"/>
      <c r="K614" s="27"/>
      <c r="L614" s="22"/>
      <c r="N614" s="22"/>
      <c r="O614" s="27"/>
      <c r="P614" s="247"/>
      <c r="Q614" s="247"/>
      <c r="R614" s="247"/>
      <c r="S614" s="247"/>
      <c r="T614" s="247"/>
    </row>
    <row r="615" spans="1:20" s="20" customFormat="1" x14ac:dyDescent="0.25">
      <c r="A615" s="26"/>
      <c r="B615" s="21"/>
      <c r="C615" s="21"/>
      <c r="D615" s="22"/>
      <c r="H615" s="22"/>
      <c r="J615" s="22"/>
      <c r="K615" s="27"/>
      <c r="L615" s="22"/>
      <c r="N615" s="22"/>
      <c r="O615" s="27"/>
      <c r="P615" s="247"/>
      <c r="Q615" s="247"/>
      <c r="R615" s="247"/>
      <c r="S615" s="247"/>
      <c r="T615" s="247"/>
    </row>
    <row r="616" spans="1:20" s="20" customFormat="1" x14ac:dyDescent="0.25">
      <c r="A616" s="26"/>
      <c r="B616" s="21"/>
      <c r="C616" s="21"/>
      <c r="D616" s="22"/>
      <c r="H616" s="22"/>
      <c r="J616" s="22"/>
      <c r="K616" s="27"/>
      <c r="L616" s="22"/>
      <c r="N616" s="22"/>
      <c r="O616" s="27"/>
      <c r="P616" s="247"/>
      <c r="Q616" s="247"/>
      <c r="R616" s="247"/>
      <c r="S616" s="247"/>
      <c r="T616" s="247"/>
    </row>
    <row r="617" spans="1:20" s="20" customFormat="1" x14ac:dyDescent="0.25">
      <c r="A617" s="26"/>
      <c r="B617" s="21"/>
      <c r="C617" s="21"/>
      <c r="D617" s="22"/>
      <c r="H617" s="22"/>
      <c r="J617" s="22"/>
      <c r="K617" s="27"/>
      <c r="L617" s="22"/>
      <c r="N617" s="22"/>
      <c r="O617" s="27"/>
      <c r="P617" s="247"/>
      <c r="Q617" s="247"/>
      <c r="R617" s="247"/>
      <c r="S617" s="247"/>
      <c r="T617" s="247"/>
    </row>
    <row r="618" spans="1:20" s="20" customFormat="1" x14ac:dyDescent="0.25">
      <c r="A618" s="26"/>
      <c r="B618" s="21"/>
      <c r="C618" s="21"/>
      <c r="D618" s="22"/>
      <c r="H618" s="22"/>
      <c r="J618" s="22"/>
      <c r="K618" s="27"/>
      <c r="L618" s="22"/>
      <c r="N618" s="22"/>
      <c r="O618" s="27"/>
      <c r="P618" s="247"/>
      <c r="Q618" s="247"/>
      <c r="R618" s="247"/>
      <c r="S618" s="247"/>
      <c r="T618" s="247"/>
    </row>
    <row r="619" spans="1:20" s="20" customFormat="1" x14ac:dyDescent="0.25">
      <c r="A619" s="26"/>
      <c r="B619" s="21"/>
      <c r="C619" s="21"/>
      <c r="D619" s="22"/>
      <c r="H619" s="22"/>
      <c r="J619" s="22"/>
      <c r="K619" s="27"/>
      <c r="L619" s="22"/>
      <c r="N619" s="22"/>
      <c r="O619" s="27"/>
      <c r="P619" s="247"/>
      <c r="Q619" s="247"/>
      <c r="R619" s="247"/>
      <c r="S619" s="247"/>
      <c r="T619" s="247"/>
    </row>
    <row r="620" spans="1:20" s="20" customFormat="1" x14ac:dyDescent="0.25">
      <c r="A620" s="26"/>
      <c r="B620" s="21"/>
      <c r="C620" s="21"/>
      <c r="D620" s="22"/>
      <c r="H620" s="22"/>
      <c r="J620" s="22"/>
      <c r="K620" s="27"/>
      <c r="L620" s="22"/>
      <c r="N620" s="22"/>
      <c r="O620" s="27"/>
      <c r="P620" s="247"/>
      <c r="Q620" s="247"/>
      <c r="R620" s="247"/>
      <c r="S620" s="247"/>
      <c r="T620" s="247"/>
    </row>
    <row r="621" spans="1:20" s="20" customFormat="1" x14ac:dyDescent="0.25">
      <c r="A621" s="26"/>
      <c r="B621" s="21"/>
      <c r="C621" s="21"/>
      <c r="D621" s="22"/>
      <c r="H621" s="22"/>
      <c r="J621" s="22"/>
      <c r="K621" s="27"/>
      <c r="L621" s="22"/>
      <c r="N621" s="22"/>
      <c r="O621" s="27"/>
      <c r="P621" s="247"/>
      <c r="Q621" s="247"/>
      <c r="R621" s="247"/>
      <c r="S621" s="247"/>
      <c r="T621" s="247"/>
    </row>
    <row r="622" spans="1:20" s="20" customFormat="1" x14ac:dyDescent="0.25">
      <c r="A622" s="26"/>
      <c r="B622" s="21"/>
      <c r="C622" s="21"/>
      <c r="D622" s="22"/>
      <c r="H622" s="22"/>
      <c r="J622" s="22"/>
      <c r="K622" s="27"/>
      <c r="L622" s="22"/>
      <c r="N622" s="22"/>
      <c r="O622" s="27"/>
      <c r="P622" s="247"/>
      <c r="Q622" s="247"/>
      <c r="R622" s="247"/>
      <c r="S622" s="247"/>
      <c r="T622" s="247"/>
    </row>
    <row r="623" spans="1:20" s="20" customFormat="1" x14ac:dyDescent="0.25">
      <c r="A623" s="26"/>
      <c r="B623" s="21"/>
      <c r="C623" s="21"/>
      <c r="D623" s="22"/>
      <c r="H623" s="22"/>
      <c r="J623" s="22"/>
      <c r="K623" s="27"/>
      <c r="L623" s="22"/>
      <c r="N623" s="22"/>
      <c r="O623" s="27"/>
      <c r="P623" s="247"/>
      <c r="Q623" s="247"/>
      <c r="R623" s="247"/>
      <c r="S623" s="247"/>
      <c r="T623" s="247"/>
    </row>
    <row r="624" spans="1:20" s="20" customFormat="1" x14ac:dyDescent="0.25">
      <c r="A624" s="26"/>
      <c r="B624" s="21"/>
      <c r="C624" s="21"/>
      <c r="D624" s="22"/>
      <c r="H624" s="22"/>
      <c r="J624" s="22"/>
      <c r="K624" s="27"/>
      <c r="L624" s="22"/>
      <c r="N624" s="22"/>
      <c r="O624" s="27"/>
      <c r="P624" s="247"/>
      <c r="Q624" s="247"/>
      <c r="R624" s="247"/>
      <c r="S624" s="247"/>
      <c r="T624" s="247"/>
    </row>
    <row r="625" spans="1:20" s="20" customFormat="1" x14ac:dyDescent="0.25">
      <c r="A625" s="26"/>
      <c r="B625" s="21"/>
      <c r="C625" s="21"/>
      <c r="D625" s="22"/>
      <c r="H625" s="22"/>
      <c r="J625" s="22"/>
      <c r="K625" s="27"/>
      <c r="L625" s="22"/>
      <c r="N625" s="22"/>
      <c r="O625" s="27"/>
      <c r="P625" s="247"/>
      <c r="Q625" s="247"/>
      <c r="R625" s="247"/>
      <c r="S625" s="247"/>
      <c r="T625" s="247"/>
    </row>
    <row r="626" spans="1:20" s="20" customFormat="1" x14ac:dyDescent="0.25">
      <c r="A626" s="26"/>
      <c r="B626" s="21"/>
      <c r="C626" s="21"/>
      <c r="D626" s="22"/>
      <c r="H626" s="22"/>
      <c r="J626" s="22"/>
      <c r="K626" s="27"/>
      <c r="L626" s="22"/>
      <c r="N626" s="22"/>
      <c r="O626" s="27"/>
      <c r="P626" s="247"/>
      <c r="Q626" s="247"/>
      <c r="R626" s="247"/>
      <c r="S626" s="247"/>
      <c r="T626" s="247"/>
    </row>
    <row r="627" spans="1:20" s="20" customFormat="1" x14ac:dyDescent="0.25">
      <c r="A627" s="26"/>
      <c r="B627" s="21"/>
      <c r="C627" s="21"/>
      <c r="D627" s="22"/>
      <c r="H627" s="22"/>
      <c r="J627" s="22"/>
      <c r="K627" s="27"/>
      <c r="L627" s="22"/>
      <c r="N627" s="22"/>
      <c r="O627" s="27"/>
      <c r="P627" s="247"/>
      <c r="Q627" s="247"/>
      <c r="R627" s="247"/>
      <c r="S627" s="247"/>
      <c r="T627" s="247"/>
    </row>
    <row r="628" spans="1:20" s="20" customFormat="1" x14ac:dyDescent="0.25">
      <c r="A628" s="26"/>
      <c r="B628" s="21"/>
      <c r="C628" s="21"/>
      <c r="D628" s="22"/>
      <c r="H628" s="22"/>
      <c r="J628" s="22"/>
      <c r="K628" s="27"/>
      <c r="L628" s="22"/>
      <c r="N628" s="22"/>
      <c r="O628" s="27"/>
      <c r="P628" s="247"/>
      <c r="Q628" s="247"/>
      <c r="R628" s="247"/>
      <c r="S628" s="247"/>
      <c r="T628" s="247"/>
    </row>
    <row r="629" spans="1:20" s="20" customFormat="1" x14ac:dyDescent="0.25">
      <c r="A629" s="26"/>
      <c r="B629" s="21"/>
      <c r="C629" s="21"/>
      <c r="D629" s="22"/>
      <c r="H629" s="22"/>
      <c r="J629" s="22"/>
      <c r="K629" s="27"/>
      <c r="L629" s="22"/>
      <c r="N629" s="22"/>
      <c r="O629" s="27"/>
      <c r="P629" s="247"/>
      <c r="Q629" s="247"/>
      <c r="R629" s="247"/>
      <c r="S629" s="247"/>
      <c r="T629" s="247"/>
    </row>
    <row r="630" spans="1:20" s="20" customFormat="1" x14ac:dyDescent="0.25">
      <c r="A630" s="26"/>
      <c r="B630" s="21"/>
      <c r="C630" s="21"/>
      <c r="D630" s="22"/>
      <c r="H630" s="22"/>
      <c r="J630" s="22"/>
      <c r="K630" s="27"/>
      <c r="L630" s="22"/>
      <c r="N630" s="22"/>
      <c r="O630" s="27"/>
      <c r="P630" s="247"/>
      <c r="Q630" s="247"/>
      <c r="R630" s="247"/>
      <c r="S630" s="247"/>
      <c r="T630" s="247"/>
    </row>
    <row r="631" spans="1:20" s="20" customFormat="1" x14ac:dyDescent="0.25">
      <c r="A631" s="26"/>
      <c r="B631" s="21"/>
      <c r="C631" s="21"/>
      <c r="D631" s="22"/>
      <c r="H631" s="22"/>
      <c r="J631" s="22"/>
      <c r="K631" s="27"/>
      <c r="L631" s="22"/>
      <c r="N631" s="22"/>
      <c r="O631" s="27"/>
      <c r="P631" s="247"/>
      <c r="Q631" s="247"/>
      <c r="R631" s="247"/>
      <c r="S631" s="247"/>
      <c r="T631" s="247"/>
    </row>
    <row r="632" spans="1:20" s="20" customFormat="1" x14ac:dyDescent="0.25">
      <c r="A632" s="26"/>
      <c r="B632" s="21"/>
      <c r="C632" s="21"/>
      <c r="D632" s="22"/>
      <c r="H632" s="22"/>
      <c r="J632" s="22"/>
      <c r="K632" s="27"/>
      <c r="L632" s="22"/>
      <c r="N632" s="22"/>
      <c r="O632" s="27"/>
      <c r="P632" s="247"/>
      <c r="Q632" s="247"/>
      <c r="R632" s="247"/>
      <c r="S632" s="247"/>
      <c r="T632" s="247"/>
    </row>
    <row r="633" spans="1:20" s="20" customFormat="1" x14ac:dyDescent="0.25">
      <c r="A633" s="26"/>
      <c r="B633" s="21"/>
      <c r="C633" s="21"/>
      <c r="D633" s="22"/>
      <c r="H633" s="22"/>
      <c r="J633" s="22"/>
      <c r="K633" s="27"/>
      <c r="L633" s="22"/>
      <c r="N633" s="22"/>
      <c r="O633" s="27"/>
      <c r="P633" s="247"/>
      <c r="Q633" s="247"/>
      <c r="R633" s="247"/>
      <c r="S633" s="247"/>
      <c r="T633" s="247"/>
    </row>
    <row r="634" spans="1:20" s="20" customFormat="1" x14ac:dyDescent="0.25">
      <c r="A634" s="26"/>
      <c r="B634" s="21"/>
      <c r="C634" s="21"/>
      <c r="D634" s="22"/>
      <c r="H634" s="22"/>
      <c r="J634" s="22"/>
      <c r="K634" s="27"/>
      <c r="L634" s="22"/>
      <c r="N634" s="22"/>
      <c r="O634" s="27"/>
      <c r="P634" s="247"/>
      <c r="Q634" s="247"/>
      <c r="R634" s="247"/>
      <c r="S634" s="247"/>
      <c r="T634" s="247"/>
    </row>
    <row r="635" spans="1:20" s="20" customFormat="1" x14ac:dyDescent="0.25">
      <c r="A635" s="26"/>
      <c r="B635" s="21"/>
      <c r="C635" s="21"/>
      <c r="D635" s="22"/>
      <c r="H635" s="22"/>
      <c r="J635" s="22"/>
      <c r="K635" s="27"/>
      <c r="L635" s="22"/>
      <c r="N635" s="22"/>
      <c r="O635" s="27"/>
      <c r="P635" s="247"/>
      <c r="Q635" s="247"/>
      <c r="R635" s="247"/>
      <c r="S635" s="247"/>
      <c r="T635" s="247"/>
    </row>
    <row r="636" spans="1:20" s="20" customFormat="1" x14ac:dyDescent="0.25">
      <c r="A636" s="26"/>
      <c r="B636" s="21"/>
      <c r="C636" s="21"/>
      <c r="D636" s="22"/>
      <c r="H636" s="22"/>
      <c r="J636" s="22"/>
      <c r="K636" s="27"/>
      <c r="L636" s="22"/>
      <c r="N636" s="22"/>
      <c r="O636" s="27"/>
      <c r="P636" s="247"/>
      <c r="Q636" s="247"/>
      <c r="R636" s="247"/>
      <c r="S636" s="247"/>
      <c r="T636" s="247"/>
    </row>
    <row r="637" spans="1:20" s="20" customFormat="1" x14ac:dyDescent="0.25">
      <c r="A637" s="26"/>
      <c r="B637" s="21"/>
      <c r="C637" s="21"/>
      <c r="D637" s="22"/>
      <c r="H637" s="22"/>
      <c r="J637" s="22"/>
      <c r="K637" s="27"/>
      <c r="L637" s="22"/>
      <c r="N637" s="22"/>
      <c r="O637" s="27"/>
      <c r="P637" s="247"/>
      <c r="Q637" s="247"/>
      <c r="R637" s="247"/>
      <c r="S637" s="247"/>
      <c r="T637" s="247"/>
    </row>
    <row r="638" spans="1:20" s="20" customFormat="1" x14ac:dyDescent="0.25">
      <c r="A638" s="26"/>
      <c r="B638" s="21"/>
      <c r="C638" s="21"/>
      <c r="D638" s="22"/>
      <c r="H638" s="22"/>
      <c r="J638" s="22"/>
      <c r="K638" s="27"/>
      <c r="L638" s="22"/>
      <c r="N638" s="22"/>
      <c r="O638" s="27"/>
      <c r="P638" s="247"/>
      <c r="Q638" s="247"/>
      <c r="R638" s="247"/>
      <c r="S638" s="247"/>
      <c r="T638" s="247"/>
    </row>
    <row r="639" spans="1:20" s="20" customFormat="1" x14ac:dyDescent="0.25">
      <c r="A639" s="26"/>
      <c r="B639" s="21"/>
      <c r="C639" s="21"/>
      <c r="D639" s="22"/>
      <c r="H639" s="22"/>
      <c r="J639" s="22"/>
      <c r="K639" s="27"/>
      <c r="L639" s="22"/>
      <c r="N639" s="22"/>
      <c r="O639" s="27"/>
      <c r="P639" s="247"/>
      <c r="Q639" s="247"/>
      <c r="R639" s="247"/>
      <c r="S639" s="247"/>
      <c r="T639" s="247"/>
    </row>
    <row r="640" spans="1:20" s="20" customFormat="1" x14ac:dyDescent="0.25">
      <c r="A640" s="26"/>
      <c r="B640" s="21"/>
      <c r="C640" s="21"/>
      <c r="D640" s="22"/>
      <c r="H640" s="22"/>
      <c r="J640" s="22"/>
      <c r="K640" s="27"/>
      <c r="L640" s="22"/>
      <c r="N640" s="22"/>
      <c r="O640" s="27"/>
      <c r="P640" s="247"/>
      <c r="Q640" s="247"/>
      <c r="R640" s="247"/>
      <c r="S640" s="247"/>
      <c r="T640" s="247"/>
    </row>
    <row r="641" spans="1:20" s="20" customFormat="1" x14ac:dyDescent="0.25">
      <c r="A641" s="26"/>
      <c r="B641" s="21"/>
      <c r="C641" s="21"/>
      <c r="D641" s="22"/>
      <c r="H641" s="22"/>
      <c r="J641" s="22"/>
      <c r="K641" s="27"/>
      <c r="L641" s="22"/>
      <c r="N641" s="22"/>
      <c r="O641" s="27"/>
      <c r="P641" s="247"/>
      <c r="Q641" s="247"/>
      <c r="R641" s="247"/>
      <c r="S641" s="247"/>
      <c r="T641" s="247"/>
    </row>
    <row r="642" spans="1:20" s="20" customFormat="1" x14ac:dyDescent="0.25">
      <c r="A642" s="26"/>
      <c r="B642" s="21"/>
      <c r="C642" s="21"/>
      <c r="D642" s="22"/>
      <c r="H642" s="22"/>
      <c r="J642" s="22"/>
      <c r="K642" s="27"/>
      <c r="L642" s="22"/>
      <c r="N642" s="22"/>
      <c r="O642" s="27"/>
      <c r="P642" s="247"/>
      <c r="Q642" s="247"/>
      <c r="R642" s="247"/>
      <c r="S642" s="247"/>
      <c r="T642" s="247"/>
    </row>
    <row r="643" spans="1:20" s="20" customFormat="1" x14ac:dyDescent="0.25">
      <c r="A643" s="26"/>
      <c r="B643" s="21"/>
      <c r="C643" s="21"/>
      <c r="D643" s="22"/>
      <c r="H643" s="22"/>
      <c r="J643" s="22"/>
      <c r="K643" s="27"/>
      <c r="L643" s="22"/>
      <c r="N643" s="22"/>
      <c r="O643" s="27"/>
      <c r="P643" s="247"/>
      <c r="Q643" s="247"/>
      <c r="R643" s="247"/>
      <c r="S643" s="247"/>
      <c r="T643" s="247"/>
    </row>
    <row r="644" spans="1:20" s="20" customFormat="1" x14ac:dyDescent="0.25">
      <c r="A644" s="26"/>
      <c r="B644" s="21"/>
      <c r="C644" s="21"/>
      <c r="D644" s="22"/>
      <c r="H644" s="22"/>
      <c r="J644" s="22"/>
      <c r="K644" s="27"/>
      <c r="L644" s="22"/>
      <c r="N644" s="22"/>
      <c r="O644" s="27"/>
      <c r="P644" s="247"/>
      <c r="Q644" s="247"/>
      <c r="R644" s="247"/>
      <c r="S644" s="247"/>
      <c r="T644" s="247"/>
    </row>
    <row r="645" spans="1:20" s="20" customFormat="1" x14ac:dyDescent="0.25">
      <c r="A645" s="26"/>
      <c r="B645" s="21"/>
      <c r="C645" s="21"/>
      <c r="D645" s="22"/>
      <c r="H645" s="22"/>
      <c r="J645" s="22"/>
      <c r="K645" s="27"/>
      <c r="L645" s="22"/>
      <c r="N645" s="22"/>
      <c r="O645" s="27"/>
      <c r="P645" s="247"/>
      <c r="Q645" s="247"/>
      <c r="R645" s="247"/>
      <c r="S645" s="247"/>
      <c r="T645" s="247"/>
    </row>
    <row r="646" spans="1:20" s="20" customFormat="1" x14ac:dyDescent="0.25">
      <c r="A646" s="26"/>
      <c r="B646" s="21"/>
      <c r="C646" s="21"/>
      <c r="D646" s="22"/>
      <c r="H646" s="22"/>
      <c r="J646" s="22"/>
      <c r="K646" s="27"/>
      <c r="L646" s="22"/>
      <c r="N646" s="22"/>
      <c r="O646" s="27"/>
      <c r="P646" s="247"/>
      <c r="Q646" s="247"/>
      <c r="R646" s="247"/>
      <c r="S646" s="247"/>
      <c r="T646" s="247"/>
    </row>
    <row r="647" spans="1:20" s="20" customFormat="1" x14ac:dyDescent="0.25">
      <c r="A647" s="26"/>
      <c r="B647" s="21"/>
      <c r="C647" s="21"/>
      <c r="D647" s="22"/>
      <c r="H647" s="22"/>
      <c r="J647" s="22"/>
      <c r="K647" s="27"/>
      <c r="L647" s="22"/>
      <c r="N647" s="22"/>
      <c r="O647" s="27"/>
      <c r="P647" s="247"/>
      <c r="Q647" s="247"/>
      <c r="R647" s="247"/>
      <c r="S647" s="247"/>
      <c r="T647" s="247"/>
    </row>
    <row r="648" spans="1:20" s="20" customFormat="1" x14ac:dyDescent="0.25">
      <c r="A648" s="26"/>
      <c r="B648" s="21"/>
      <c r="C648" s="21"/>
      <c r="D648" s="22"/>
      <c r="H648" s="22"/>
      <c r="J648" s="22"/>
      <c r="K648" s="27"/>
      <c r="L648" s="22"/>
      <c r="N648" s="22"/>
      <c r="O648" s="27"/>
      <c r="P648" s="247"/>
      <c r="Q648" s="247"/>
      <c r="R648" s="247"/>
      <c r="S648" s="247"/>
      <c r="T648" s="247"/>
    </row>
    <row r="649" spans="1:20" s="20" customFormat="1" x14ac:dyDescent="0.25">
      <c r="A649" s="26"/>
      <c r="B649" s="21"/>
      <c r="C649" s="21"/>
      <c r="D649" s="22"/>
      <c r="H649" s="22"/>
      <c r="J649" s="22"/>
      <c r="K649" s="27"/>
      <c r="L649" s="22"/>
      <c r="N649" s="22"/>
      <c r="O649" s="27"/>
      <c r="P649" s="247"/>
      <c r="Q649" s="247"/>
      <c r="R649" s="247"/>
      <c r="S649" s="247"/>
      <c r="T649" s="247"/>
    </row>
    <row r="650" spans="1:20" s="20" customFormat="1" x14ac:dyDescent="0.25">
      <c r="A650" s="26"/>
      <c r="B650" s="21"/>
      <c r="C650" s="21"/>
      <c r="D650" s="22"/>
      <c r="H650" s="22"/>
      <c r="J650" s="22"/>
      <c r="K650" s="27"/>
      <c r="L650" s="22"/>
      <c r="N650" s="22"/>
      <c r="O650" s="27"/>
      <c r="P650" s="247"/>
      <c r="Q650" s="247"/>
      <c r="R650" s="247"/>
      <c r="S650" s="247"/>
      <c r="T650" s="247"/>
    </row>
    <row r="651" spans="1:20" s="20" customFormat="1" x14ac:dyDescent="0.25">
      <c r="A651" s="26"/>
      <c r="B651" s="21"/>
      <c r="C651" s="21"/>
      <c r="D651" s="22"/>
      <c r="H651" s="22"/>
      <c r="J651" s="22"/>
      <c r="K651" s="27"/>
      <c r="L651" s="22"/>
      <c r="N651" s="22"/>
      <c r="O651" s="27"/>
      <c r="P651" s="247"/>
      <c r="Q651" s="247"/>
      <c r="R651" s="247"/>
      <c r="S651" s="247"/>
      <c r="T651" s="247"/>
    </row>
    <row r="652" spans="1:20" s="20" customFormat="1" x14ac:dyDescent="0.25">
      <c r="A652" s="26"/>
      <c r="B652" s="21"/>
      <c r="C652" s="21"/>
      <c r="D652" s="22"/>
      <c r="H652" s="22"/>
      <c r="J652" s="22"/>
      <c r="K652" s="27"/>
      <c r="L652" s="22"/>
      <c r="N652" s="22"/>
      <c r="O652" s="27"/>
      <c r="P652" s="247"/>
      <c r="Q652" s="247"/>
      <c r="R652" s="247"/>
      <c r="S652" s="247"/>
      <c r="T652" s="247"/>
    </row>
    <row r="653" spans="1:20" s="20" customFormat="1" x14ac:dyDescent="0.25">
      <c r="A653" s="26"/>
      <c r="B653" s="21"/>
      <c r="C653" s="21"/>
      <c r="D653" s="22"/>
      <c r="H653" s="22"/>
      <c r="J653" s="22"/>
      <c r="K653" s="27"/>
      <c r="L653" s="22"/>
      <c r="N653" s="22"/>
      <c r="O653" s="27"/>
      <c r="P653" s="247"/>
      <c r="Q653" s="247"/>
      <c r="R653" s="247"/>
      <c r="S653" s="247"/>
      <c r="T653" s="247"/>
    </row>
    <row r="654" spans="1:20" s="20" customFormat="1" x14ac:dyDescent="0.25">
      <c r="A654" s="26"/>
      <c r="B654" s="21"/>
      <c r="C654" s="21"/>
      <c r="D654" s="22"/>
      <c r="H654" s="22"/>
      <c r="J654" s="22"/>
      <c r="K654" s="27"/>
      <c r="L654" s="22"/>
      <c r="N654" s="22"/>
      <c r="O654" s="27"/>
      <c r="P654" s="247"/>
      <c r="Q654" s="247"/>
      <c r="R654" s="247"/>
      <c r="S654" s="247"/>
      <c r="T654" s="247"/>
    </row>
    <row r="655" spans="1:20" s="20" customFormat="1" x14ac:dyDescent="0.25">
      <c r="A655" s="26"/>
      <c r="B655" s="21"/>
      <c r="C655" s="21"/>
      <c r="D655" s="22"/>
      <c r="H655" s="22"/>
      <c r="J655" s="22"/>
      <c r="K655" s="27"/>
      <c r="L655" s="22"/>
      <c r="N655" s="22"/>
      <c r="O655" s="27"/>
      <c r="P655" s="247"/>
      <c r="Q655" s="247"/>
      <c r="R655" s="247"/>
      <c r="S655" s="247"/>
      <c r="T655" s="247"/>
    </row>
    <row r="656" spans="1:20" s="20" customFormat="1" x14ac:dyDescent="0.25">
      <c r="A656" s="26"/>
      <c r="B656" s="21"/>
      <c r="C656" s="21"/>
      <c r="D656" s="22"/>
      <c r="H656" s="22"/>
      <c r="J656" s="22"/>
      <c r="K656" s="27"/>
      <c r="L656" s="22"/>
      <c r="N656" s="22"/>
      <c r="O656" s="27"/>
      <c r="P656" s="247"/>
      <c r="Q656" s="247"/>
      <c r="R656" s="247"/>
      <c r="S656" s="247"/>
      <c r="T656" s="247"/>
    </row>
    <row r="657" spans="1:20" s="20" customFormat="1" x14ac:dyDescent="0.25">
      <c r="A657" s="26"/>
      <c r="B657" s="21"/>
      <c r="C657" s="21"/>
      <c r="D657" s="22"/>
      <c r="H657" s="22"/>
      <c r="J657" s="22"/>
      <c r="K657" s="27"/>
      <c r="L657" s="22"/>
      <c r="N657" s="22"/>
      <c r="O657" s="27"/>
      <c r="P657" s="247"/>
      <c r="Q657" s="247"/>
      <c r="R657" s="247"/>
      <c r="S657" s="247"/>
      <c r="T657" s="247"/>
    </row>
    <row r="658" spans="1:20" s="20" customFormat="1" x14ac:dyDescent="0.25">
      <c r="A658" s="26"/>
      <c r="B658" s="21"/>
      <c r="C658" s="21"/>
      <c r="D658" s="22"/>
      <c r="H658" s="22"/>
      <c r="J658" s="22"/>
      <c r="K658" s="27"/>
      <c r="L658" s="22"/>
      <c r="N658" s="22"/>
      <c r="O658" s="27"/>
      <c r="P658" s="247"/>
      <c r="Q658" s="247"/>
      <c r="R658" s="247"/>
      <c r="S658" s="247"/>
      <c r="T658" s="247"/>
    </row>
    <row r="659" spans="1:20" s="20" customFormat="1" x14ac:dyDescent="0.25">
      <c r="A659" s="26"/>
      <c r="B659" s="21"/>
      <c r="C659" s="21"/>
      <c r="D659" s="22"/>
      <c r="H659" s="22"/>
      <c r="J659" s="22"/>
      <c r="K659" s="27"/>
      <c r="L659" s="22"/>
      <c r="N659" s="22"/>
      <c r="O659" s="27"/>
      <c r="P659" s="247"/>
      <c r="Q659" s="247"/>
      <c r="R659" s="247"/>
      <c r="S659" s="247"/>
      <c r="T659" s="247"/>
    </row>
    <row r="660" spans="1:20" s="20" customFormat="1" x14ac:dyDescent="0.25">
      <c r="A660" s="26"/>
      <c r="B660" s="21"/>
      <c r="C660" s="21"/>
      <c r="D660" s="22"/>
      <c r="H660" s="22"/>
      <c r="J660" s="22"/>
      <c r="K660" s="27"/>
      <c r="L660" s="22"/>
      <c r="N660" s="22"/>
      <c r="O660" s="27"/>
      <c r="P660" s="247"/>
      <c r="Q660" s="247"/>
      <c r="R660" s="247"/>
      <c r="S660" s="247"/>
      <c r="T660" s="247"/>
    </row>
    <row r="661" spans="1:20" s="20" customFormat="1" x14ac:dyDescent="0.25">
      <c r="A661" s="26"/>
      <c r="B661" s="21"/>
      <c r="C661" s="21"/>
      <c r="D661" s="22"/>
      <c r="H661" s="22"/>
      <c r="J661" s="22"/>
      <c r="K661" s="27"/>
      <c r="L661" s="22"/>
      <c r="N661" s="22"/>
      <c r="O661" s="27"/>
      <c r="P661" s="247"/>
      <c r="Q661" s="247"/>
      <c r="R661" s="247"/>
      <c r="S661" s="247"/>
      <c r="T661" s="247"/>
    </row>
    <row r="662" spans="1:20" s="20" customFormat="1" x14ac:dyDescent="0.25">
      <c r="A662" s="26"/>
      <c r="B662" s="21"/>
      <c r="C662" s="21"/>
      <c r="D662" s="22"/>
      <c r="H662" s="22"/>
      <c r="J662" s="22"/>
      <c r="K662" s="27"/>
      <c r="L662" s="22"/>
      <c r="N662" s="22"/>
      <c r="O662" s="27"/>
      <c r="P662" s="247"/>
      <c r="Q662" s="247"/>
      <c r="R662" s="247"/>
      <c r="S662" s="247"/>
      <c r="T662" s="247"/>
    </row>
    <row r="663" spans="1:20" s="20" customFormat="1" x14ac:dyDescent="0.25">
      <c r="A663" s="26"/>
      <c r="B663" s="21"/>
      <c r="C663" s="21"/>
      <c r="D663" s="22"/>
      <c r="H663" s="22"/>
      <c r="J663" s="22"/>
      <c r="K663" s="27"/>
      <c r="L663" s="22"/>
      <c r="N663" s="22"/>
      <c r="O663" s="27"/>
      <c r="P663" s="247"/>
      <c r="Q663" s="247"/>
      <c r="R663" s="247"/>
      <c r="S663" s="247"/>
      <c r="T663" s="247"/>
    </row>
    <row r="664" spans="1:20" s="20" customFormat="1" x14ac:dyDescent="0.25">
      <c r="A664" s="26"/>
      <c r="B664" s="21"/>
      <c r="C664" s="21"/>
      <c r="D664" s="22"/>
      <c r="H664" s="22"/>
      <c r="J664" s="22"/>
      <c r="K664" s="27"/>
      <c r="L664" s="22"/>
      <c r="N664" s="22"/>
      <c r="O664" s="27"/>
      <c r="P664" s="247"/>
      <c r="Q664" s="247"/>
      <c r="R664" s="247"/>
      <c r="S664" s="247"/>
      <c r="T664" s="247"/>
    </row>
    <row r="665" spans="1:20" s="20" customFormat="1" x14ac:dyDescent="0.25">
      <c r="A665" s="26"/>
      <c r="B665" s="21"/>
      <c r="C665" s="21"/>
      <c r="D665" s="22"/>
      <c r="H665" s="22"/>
      <c r="J665" s="22"/>
      <c r="K665" s="27"/>
      <c r="L665" s="22"/>
      <c r="N665" s="22"/>
      <c r="O665" s="27"/>
      <c r="P665" s="247"/>
      <c r="Q665" s="247"/>
      <c r="R665" s="247"/>
      <c r="S665" s="247"/>
      <c r="T665" s="247"/>
    </row>
    <row r="666" spans="1:20" s="20" customFormat="1" x14ac:dyDescent="0.25">
      <c r="A666" s="26"/>
      <c r="B666" s="21"/>
      <c r="C666" s="21"/>
      <c r="D666" s="22"/>
      <c r="H666" s="22"/>
      <c r="J666" s="22"/>
      <c r="K666" s="27"/>
      <c r="L666" s="22"/>
      <c r="N666" s="22"/>
      <c r="O666" s="27"/>
      <c r="P666" s="247"/>
      <c r="Q666" s="247"/>
      <c r="R666" s="247"/>
      <c r="S666" s="247"/>
      <c r="T666" s="247"/>
    </row>
    <row r="667" spans="1:20" s="20" customFormat="1" x14ac:dyDescent="0.25">
      <c r="A667" s="26"/>
      <c r="B667" s="21"/>
      <c r="C667" s="21"/>
      <c r="D667" s="22"/>
      <c r="H667" s="22"/>
      <c r="J667" s="22"/>
      <c r="K667" s="27"/>
      <c r="L667" s="22"/>
      <c r="N667" s="22"/>
      <c r="O667" s="27"/>
      <c r="P667" s="247"/>
      <c r="Q667" s="247"/>
      <c r="R667" s="247"/>
      <c r="S667" s="247"/>
      <c r="T667" s="247"/>
    </row>
    <row r="668" spans="1:20" s="20" customFormat="1" x14ac:dyDescent="0.25">
      <c r="A668" s="26"/>
      <c r="B668" s="21"/>
      <c r="C668" s="21"/>
      <c r="D668" s="22"/>
      <c r="H668" s="22"/>
      <c r="J668" s="22"/>
      <c r="K668" s="27"/>
      <c r="L668" s="22"/>
      <c r="N668" s="22"/>
      <c r="O668" s="27"/>
      <c r="P668" s="247"/>
      <c r="Q668" s="247"/>
      <c r="R668" s="247"/>
      <c r="S668" s="247"/>
      <c r="T668" s="247"/>
    </row>
    <row r="669" spans="1:20" s="20" customFormat="1" x14ac:dyDescent="0.25">
      <c r="A669" s="26"/>
      <c r="B669" s="21"/>
      <c r="C669" s="21"/>
      <c r="D669" s="22"/>
      <c r="H669" s="22"/>
      <c r="J669" s="22"/>
      <c r="K669" s="27"/>
      <c r="L669" s="22"/>
      <c r="N669" s="22"/>
      <c r="O669" s="27"/>
      <c r="P669" s="247"/>
      <c r="Q669" s="247"/>
      <c r="R669" s="247"/>
      <c r="S669" s="247"/>
      <c r="T669" s="247"/>
    </row>
    <row r="670" spans="1:20" s="20" customFormat="1" x14ac:dyDescent="0.25">
      <c r="A670" s="26"/>
      <c r="B670" s="21"/>
      <c r="C670" s="21"/>
      <c r="D670" s="22"/>
      <c r="H670" s="22"/>
      <c r="J670" s="22"/>
      <c r="K670" s="27"/>
      <c r="L670" s="22"/>
      <c r="N670" s="22"/>
      <c r="O670" s="27"/>
      <c r="P670" s="247"/>
      <c r="Q670" s="247"/>
      <c r="R670" s="247"/>
      <c r="S670" s="247"/>
      <c r="T670" s="247"/>
    </row>
    <row r="671" spans="1:20" s="20" customFormat="1" x14ac:dyDescent="0.25">
      <c r="A671" s="26"/>
      <c r="B671" s="21"/>
      <c r="C671" s="21"/>
      <c r="D671" s="22"/>
      <c r="H671" s="22"/>
      <c r="J671" s="22"/>
      <c r="K671" s="27"/>
      <c r="L671" s="22"/>
      <c r="N671" s="22"/>
      <c r="O671" s="27"/>
      <c r="P671" s="247"/>
      <c r="Q671" s="247"/>
      <c r="R671" s="247"/>
      <c r="S671" s="247"/>
      <c r="T671" s="247"/>
    </row>
    <row r="672" spans="1:20" s="20" customFormat="1" x14ac:dyDescent="0.25">
      <c r="A672" s="26"/>
      <c r="B672" s="21"/>
      <c r="C672" s="21"/>
      <c r="D672" s="22"/>
      <c r="H672" s="22"/>
      <c r="J672" s="22"/>
      <c r="K672" s="27"/>
      <c r="L672" s="22"/>
      <c r="N672" s="22"/>
      <c r="O672" s="27"/>
      <c r="P672" s="247"/>
      <c r="Q672" s="247"/>
      <c r="R672" s="247"/>
      <c r="S672" s="247"/>
      <c r="T672" s="247"/>
    </row>
    <row r="673" spans="1:20" s="20" customFormat="1" x14ac:dyDescent="0.25">
      <c r="A673" s="26"/>
      <c r="B673" s="21"/>
      <c r="C673" s="21"/>
      <c r="D673" s="22"/>
      <c r="H673" s="22"/>
      <c r="J673" s="22"/>
      <c r="K673" s="27"/>
      <c r="L673" s="22"/>
      <c r="N673" s="22"/>
      <c r="O673" s="27"/>
      <c r="P673" s="247"/>
      <c r="Q673" s="247"/>
      <c r="R673" s="247"/>
      <c r="S673" s="247"/>
      <c r="T673" s="247"/>
    </row>
    <row r="674" spans="1:20" s="20" customFormat="1" x14ac:dyDescent="0.25">
      <c r="A674" s="26"/>
      <c r="B674" s="21"/>
      <c r="C674" s="21"/>
      <c r="D674" s="22"/>
      <c r="H674" s="22"/>
      <c r="J674" s="22"/>
      <c r="K674" s="27"/>
      <c r="L674" s="22"/>
      <c r="N674" s="22"/>
      <c r="O674" s="27"/>
      <c r="P674" s="247"/>
      <c r="Q674" s="247"/>
      <c r="R674" s="247"/>
      <c r="S674" s="247"/>
      <c r="T674" s="247"/>
    </row>
    <row r="675" spans="1:20" s="20" customFormat="1" x14ac:dyDescent="0.25">
      <c r="A675" s="26"/>
      <c r="B675" s="21"/>
      <c r="C675" s="21"/>
      <c r="D675" s="22"/>
      <c r="H675" s="22"/>
      <c r="J675" s="22"/>
      <c r="K675" s="27"/>
      <c r="L675" s="22"/>
      <c r="N675" s="22"/>
      <c r="O675" s="27"/>
      <c r="P675" s="247"/>
      <c r="Q675" s="247"/>
      <c r="R675" s="247"/>
      <c r="S675" s="247"/>
      <c r="T675" s="247"/>
    </row>
    <row r="676" spans="1:20" s="20" customFormat="1" x14ac:dyDescent="0.25">
      <c r="A676" s="26"/>
      <c r="B676" s="21"/>
      <c r="C676" s="21"/>
      <c r="D676" s="22"/>
      <c r="H676" s="22"/>
      <c r="J676" s="22"/>
      <c r="K676" s="27"/>
      <c r="L676" s="22"/>
      <c r="N676" s="22"/>
      <c r="O676" s="27"/>
      <c r="P676" s="247"/>
      <c r="Q676" s="247"/>
      <c r="R676" s="247"/>
      <c r="S676" s="247"/>
      <c r="T676" s="247"/>
    </row>
    <row r="677" spans="1:20" s="20" customFormat="1" x14ac:dyDescent="0.25">
      <c r="A677" s="26"/>
      <c r="B677" s="21"/>
      <c r="C677" s="21"/>
      <c r="D677" s="22"/>
      <c r="H677" s="22"/>
      <c r="J677" s="22"/>
      <c r="K677" s="27"/>
      <c r="L677" s="22"/>
      <c r="N677" s="22"/>
      <c r="O677" s="27"/>
      <c r="P677" s="247"/>
      <c r="Q677" s="247"/>
      <c r="R677" s="247"/>
      <c r="S677" s="247"/>
      <c r="T677" s="247"/>
    </row>
    <row r="678" spans="1:20" s="20" customFormat="1" x14ac:dyDescent="0.25">
      <c r="A678" s="26"/>
      <c r="B678" s="21"/>
      <c r="C678" s="21"/>
      <c r="D678" s="22"/>
      <c r="H678" s="22"/>
      <c r="J678" s="22"/>
      <c r="K678" s="27"/>
      <c r="L678" s="22"/>
      <c r="N678" s="22"/>
      <c r="O678" s="27"/>
      <c r="P678" s="247"/>
      <c r="Q678" s="247"/>
      <c r="R678" s="247"/>
      <c r="S678" s="247"/>
      <c r="T678" s="247"/>
    </row>
    <row r="679" spans="1:20" s="20" customFormat="1" x14ac:dyDescent="0.25">
      <c r="A679" s="26"/>
      <c r="B679" s="21"/>
      <c r="C679" s="21"/>
      <c r="D679" s="22"/>
      <c r="H679" s="22"/>
      <c r="J679" s="22"/>
      <c r="K679" s="27"/>
      <c r="L679" s="22"/>
      <c r="N679" s="22"/>
      <c r="O679" s="27"/>
      <c r="P679" s="247"/>
      <c r="Q679" s="247"/>
      <c r="R679" s="247"/>
      <c r="S679" s="247"/>
      <c r="T679" s="247"/>
    </row>
    <row r="680" spans="1:20" s="20" customFormat="1" x14ac:dyDescent="0.25">
      <c r="A680" s="26"/>
      <c r="B680" s="21"/>
      <c r="C680" s="21"/>
      <c r="D680" s="22"/>
      <c r="H680" s="22"/>
      <c r="J680" s="22"/>
      <c r="K680" s="27"/>
      <c r="L680" s="22"/>
      <c r="N680" s="22"/>
      <c r="O680" s="27"/>
      <c r="P680" s="247"/>
      <c r="Q680" s="247"/>
      <c r="R680" s="247"/>
      <c r="S680" s="247"/>
      <c r="T680" s="247"/>
    </row>
    <row r="681" spans="1:20" s="20" customFormat="1" x14ac:dyDescent="0.25">
      <c r="A681" s="26"/>
      <c r="B681" s="21"/>
      <c r="C681" s="21"/>
      <c r="D681" s="22"/>
      <c r="H681" s="22"/>
      <c r="J681" s="22"/>
      <c r="K681" s="27"/>
      <c r="L681" s="22"/>
      <c r="N681" s="22"/>
      <c r="O681" s="27"/>
      <c r="P681" s="247"/>
      <c r="Q681" s="247"/>
      <c r="R681" s="247"/>
      <c r="S681" s="247"/>
      <c r="T681" s="247"/>
    </row>
    <row r="682" spans="1:20" s="20" customFormat="1" x14ac:dyDescent="0.25">
      <c r="A682" s="26"/>
      <c r="B682" s="21"/>
      <c r="C682" s="21"/>
      <c r="D682" s="22"/>
      <c r="H682" s="22"/>
      <c r="J682" s="22"/>
      <c r="K682" s="27"/>
      <c r="L682" s="22"/>
      <c r="N682" s="22"/>
      <c r="O682" s="27"/>
      <c r="P682" s="247"/>
      <c r="Q682" s="247"/>
      <c r="R682" s="247"/>
      <c r="S682" s="247"/>
      <c r="T682" s="247"/>
    </row>
    <row r="683" spans="1:20" s="20" customFormat="1" x14ac:dyDescent="0.25">
      <c r="A683" s="26"/>
      <c r="B683" s="21"/>
      <c r="C683" s="21"/>
      <c r="D683" s="22"/>
      <c r="H683" s="22"/>
      <c r="J683" s="22"/>
      <c r="K683" s="27"/>
      <c r="L683" s="22"/>
      <c r="N683" s="22"/>
      <c r="O683" s="27"/>
      <c r="P683" s="247"/>
      <c r="Q683" s="247"/>
      <c r="R683" s="247"/>
      <c r="S683" s="247"/>
      <c r="T683" s="247"/>
    </row>
    <row r="684" spans="1:20" s="20" customFormat="1" x14ac:dyDescent="0.25">
      <c r="A684" s="26"/>
      <c r="B684" s="21"/>
      <c r="C684" s="21"/>
      <c r="D684" s="22"/>
      <c r="H684" s="22"/>
      <c r="J684" s="22"/>
      <c r="K684" s="27"/>
      <c r="L684" s="22"/>
      <c r="N684" s="22"/>
      <c r="O684" s="27"/>
      <c r="P684" s="247"/>
      <c r="Q684" s="247"/>
      <c r="R684" s="247"/>
      <c r="S684" s="247"/>
      <c r="T684" s="247"/>
    </row>
    <row r="685" spans="1:20" s="20" customFormat="1" x14ac:dyDescent="0.25">
      <c r="A685" s="26"/>
      <c r="B685" s="21"/>
      <c r="C685" s="21"/>
      <c r="D685" s="22"/>
      <c r="H685" s="22"/>
      <c r="J685" s="22"/>
      <c r="K685" s="27"/>
      <c r="L685" s="22"/>
      <c r="N685" s="22"/>
      <c r="O685" s="27"/>
      <c r="P685" s="247"/>
      <c r="Q685" s="247"/>
      <c r="R685" s="247"/>
      <c r="S685" s="247"/>
      <c r="T685" s="247"/>
    </row>
    <row r="686" spans="1:20" s="20" customFormat="1" x14ac:dyDescent="0.25">
      <c r="A686" s="26"/>
      <c r="B686" s="21"/>
      <c r="C686" s="21"/>
      <c r="D686" s="22"/>
      <c r="H686" s="22"/>
      <c r="J686" s="22"/>
      <c r="K686" s="27"/>
      <c r="L686" s="22"/>
      <c r="N686" s="22"/>
      <c r="O686" s="27"/>
      <c r="P686" s="247"/>
      <c r="Q686" s="247"/>
      <c r="R686" s="247"/>
      <c r="S686" s="247"/>
      <c r="T686" s="247"/>
    </row>
    <row r="687" spans="1:20" s="20" customFormat="1" x14ac:dyDescent="0.25">
      <c r="A687" s="26"/>
      <c r="B687" s="21"/>
      <c r="C687" s="21"/>
      <c r="D687" s="22"/>
      <c r="H687" s="22"/>
      <c r="J687" s="22"/>
      <c r="K687" s="27"/>
      <c r="L687" s="22"/>
      <c r="N687" s="22"/>
      <c r="O687" s="27"/>
      <c r="P687" s="247"/>
      <c r="Q687" s="247"/>
      <c r="R687" s="247"/>
      <c r="S687" s="247"/>
      <c r="T687" s="247"/>
    </row>
    <row r="688" spans="1:20" s="20" customFormat="1" x14ac:dyDescent="0.25">
      <c r="A688" s="26"/>
      <c r="B688" s="21"/>
      <c r="C688" s="21"/>
      <c r="D688" s="22"/>
      <c r="H688" s="22"/>
      <c r="J688" s="22"/>
      <c r="K688" s="27"/>
      <c r="L688" s="22"/>
      <c r="N688" s="22"/>
      <c r="O688" s="27"/>
      <c r="P688" s="247"/>
      <c r="Q688" s="247"/>
      <c r="R688" s="247"/>
      <c r="S688" s="247"/>
      <c r="T688" s="247"/>
    </row>
    <row r="689" spans="1:20" s="20" customFormat="1" x14ac:dyDescent="0.25">
      <c r="A689" s="26"/>
      <c r="B689" s="21"/>
      <c r="C689" s="21"/>
      <c r="D689" s="22"/>
      <c r="H689" s="22"/>
      <c r="J689" s="22"/>
      <c r="K689" s="27"/>
      <c r="L689" s="22"/>
      <c r="N689" s="22"/>
      <c r="O689" s="27"/>
      <c r="P689" s="247"/>
      <c r="Q689" s="247"/>
      <c r="R689" s="247"/>
      <c r="S689" s="247"/>
      <c r="T689" s="247"/>
    </row>
    <row r="690" spans="1:20" s="20" customFormat="1" x14ac:dyDescent="0.25">
      <c r="A690" s="26"/>
      <c r="B690" s="21"/>
      <c r="C690" s="21"/>
      <c r="D690" s="22"/>
      <c r="H690" s="22"/>
      <c r="J690" s="22"/>
      <c r="K690" s="27"/>
      <c r="L690" s="22"/>
      <c r="N690" s="22"/>
      <c r="O690" s="27"/>
      <c r="P690" s="247"/>
      <c r="Q690" s="247"/>
      <c r="R690" s="247"/>
      <c r="S690" s="247"/>
      <c r="T690" s="247"/>
    </row>
    <row r="691" spans="1:20" s="20" customFormat="1" x14ac:dyDescent="0.25">
      <c r="A691" s="26"/>
      <c r="B691" s="21"/>
      <c r="C691" s="21"/>
      <c r="D691" s="22"/>
      <c r="H691" s="22"/>
      <c r="J691" s="22"/>
      <c r="K691" s="27"/>
      <c r="L691" s="22"/>
      <c r="N691" s="22"/>
      <c r="O691" s="27"/>
      <c r="P691" s="247"/>
      <c r="Q691" s="247"/>
      <c r="R691" s="247"/>
      <c r="S691" s="247"/>
      <c r="T691" s="247"/>
    </row>
    <row r="692" spans="1:20" s="20" customFormat="1" x14ac:dyDescent="0.25">
      <c r="A692" s="26"/>
      <c r="B692" s="21"/>
      <c r="C692" s="21"/>
      <c r="D692" s="22"/>
      <c r="H692" s="22"/>
      <c r="J692" s="22"/>
      <c r="K692" s="27"/>
      <c r="L692" s="22"/>
      <c r="N692" s="22"/>
      <c r="O692" s="27"/>
      <c r="P692" s="247"/>
      <c r="Q692" s="247"/>
      <c r="R692" s="247"/>
      <c r="S692" s="247"/>
      <c r="T692" s="247"/>
    </row>
    <row r="693" spans="1:20" s="20" customFormat="1" x14ac:dyDescent="0.25">
      <c r="A693" s="26"/>
      <c r="B693" s="21"/>
      <c r="C693" s="21"/>
      <c r="D693" s="22"/>
      <c r="H693" s="22"/>
      <c r="J693" s="22"/>
      <c r="K693" s="27"/>
      <c r="L693" s="22"/>
      <c r="N693" s="22"/>
      <c r="O693" s="27"/>
      <c r="P693" s="247"/>
      <c r="Q693" s="247"/>
      <c r="R693" s="247"/>
      <c r="S693" s="247"/>
      <c r="T693" s="247"/>
    </row>
    <row r="694" spans="1:20" s="20" customFormat="1" x14ac:dyDescent="0.25">
      <c r="A694" s="26"/>
      <c r="B694" s="21"/>
      <c r="C694" s="21"/>
      <c r="D694" s="22"/>
      <c r="H694" s="22"/>
      <c r="J694" s="22"/>
      <c r="K694" s="27"/>
      <c r="L694" s="22"/>
      <c r="N694" s="22"/>
      <c r="O694" s="27"/>
      <c r="P694" s="247"/>
      <c r="Q694" s="247"/>
      <c r="R694" s="247"/>
      <c r="S694" s="247"/>
      <c r="T694" s="247"/>
    </row>
    <row r="695" spans="1:20" s="20" customFormat="1" x14ac:dyDescent="0.25">
      <c r="A695" s="26"/>
      <c r="B695" s="21"/>
      <c r="C695" s="21"/>
      <c r="D695" s="22"/>
      <c r="H695" s="22"/>
      <c r="J695" s="22"/>
      <c r="K695" s="27"/>
      <c r="L695" s="22"/>
      <c r="N695" s="22"/>
      <c r="O695" s="27"/>
      <c r="P695" s="247"/>
      <c r="Q695" s="247"/>
      <c r="R695" s="247"/>
      <c r="S695" s="247"/>
      <c r="T695" s="247"/>
    </row>
    <row r="696" spans="1:20" s="20" customFormat="1" x14ac:dyDescent="0.25">
      <c r="A696" s="26"/>
      <c r="B696" s="21"/>
      <c r="C696" s="21"/>
      <c r="D696" s="22"/>
      <c r="H696" s="22"/>
      <c r="J696" s="22"/>
      <c r="K696" s="27"/>
      <c r="L696" s="22"/>
      <c r="N696" s="22"/>
      <c r="O696" s="27"/>
      <c r="P696" s="247"/>
      <c r="Q696" s="247"/>
      <c r="R696" s="247"/>
      <c r="S696" s="247"/>
      <c r="T696" s="247"/>
    </row>
    <row r="697" spans="1:20" s="20" customFormat="1" x14ac:dyDescent="0.25">
      <c r="A697" s="26"/>
      <c r="B697" s="21"/>
      <c r="C697" s="21"/>
      <c r="D697" s="22"/>
      <c r="H697" s="22"/>
      <c r="J697" s="22"/>
      <c r="K697" s="27"/>
      <c r="L697" s="22"/>
      <c r="N697" s="22"/>
      <c r="O697" s="27"/>
      <c r="P697" s="247"/>
      <c r="Q697" s="247"/>
      <c r="R697" s="247"/>
      <c r="S697" s="247"/>
      <c r="T697" s="247"/>
    </row>
    <row r="698" spans="1:20" s="20" customFormat="1" x14ac:dyDescent="0.25">
      <c r="A698" s="26"/>
      <c r="B698" s="21"/>
      <c r="C698" s="21"/>
      <c r="D698" s="22"/>
      <c r="H698" s="22"/>
      <c r="J698" s="22"/>
      <c r="K698" s="27"/>
      <c r="L698" s="22"/>
      <c r="N698" s="22"/>
      <c r="O698" s="27"/>
      <c r="P698" s="247"/>
      <c r="Q698" s="247"/>
      <c r="R698" s="247"/>
      <c r="S698" s="247"/>
      <c r="T698" s="247"/>
    </row>
    <row r="699" spans="1:20" s="20" customFormat="1" x14ac:dyDescent="0.25">
      <c r="A699" s="26"/>
      <c r="B699" s="21"/>
      <c r="C699" s="21"/>
      <c r="D699" s="22"/>
      <c r="H699" s="22"/>
      <c r="J699" s="22"/>
      <c r="K699" s="27"/>
      <c r="L699" s="22"/>
      <c r="N699" s="22"/>
      <c r="O699" s="27"/>
      <c r="P699" s="247"/>
      <c r="Q699" s="247"/>
      <c r="R699" s="247"/>
      <c r="S699" s="247"/>
      <c r="T699" s="247"/>
    </row>
    <row r="700" spans="1:20" s="20" customFormat="1" x14ac:dyDescent="0.25">
      <c r="A700" s="26"/>
      <c r="B700" s="21"/>
      <c r="C700" s="21"/>
      <c r="D700" s="22"/>
      <c r="H700" s="22"/>
      <c r="J700" s="22"/>
      <c r="K700" s="27"/>
      <c r="L700" s="22"/>
      <c r="N700" s="22"/>
      <c r="O700" s="27"/>
      <c r="P700" s="247"/>
      <c r="Q700" s="247"/>
      <c r="R700" s="247"/>
      <c r="S700" s="247"/>
      <c r="T700" s="247"/>
    </row>
    <row r="701" spans="1:20" s="20" customFormat="1" x14ac:dyDescent="0.25">
      <c r="A701" s="26"/>
      <c r="B701" s="21"/>
      <c r="C701" s="21"/>
      <c r="D701" s="22"/>
      <c r="H701" s="22"/>
      <c r="J701" s="22"/>
      <c r="K701" s="27"/>
      <c r="L701" s="22"/>
      <c r="N701" s="22"/>
      <c r="O701" s="27"/>
      <c r="P701" s="247"/>
      <c r="Q701" s="247"/>
      <c r="R701" s="247"/>
      <c r="S701" s="247"/>
      <c r="T701" s="247"/>
    </row>
    <row r="702" spans="1:20" s="20" customFormat="1" x14ac:dyDescent="0.25">
      <c r="A702" s="26"/>
      <c r="B702" s="21"/>
      <c r="C702" s="21"/>
      <c r="D702" s="22"/>
      <c r="H702" s="22"/>
      <c r="J702" s="22"/>
      <c r="K702" s="27"/>
      <c r="L702" s="22"/>
      <c r="N702" s="22"/>
      <c r="O702" s="27"/>
      <c r="P702" s="247"/>
      <c r="Q702" s="247"/>
      <c r="R702" s="247"/>
      <c r="S702" s="247"/>
      <c r="T702" s="247"/>
    </row>
    <row r="703" spans="1:20" s="20" customFormat="1" x14ac:dyDescent="0.25">
      <c r="A703" s="26"/>
      <c r="B703" s="21"/>
      <c r="C703" s="21"/>
      <c r="D703" s="22"/>
      <c r="H703" s="22"/>
      <c r="J703" s="22"/>
      <c r="K703" s="27"/>
      <c r="L703" s="22"/>
      <c r="N703" s="22"/>
      <c r="O703" s="27"/>
      <c r="P703" s="247"/>
      <c r="Q703" s="247"/>
      <c r="R703" s="247"/>
      <c r="S703" s="247"/>
      <c r="T703" s="247"/>
    </row>
    <row r="704" spans="1:20" s="20" customFormat="1" x14ac:dyDescent="0.25">
      <c r="A704" s="26"/>
      <c r="B704" s="21"/>
      <c r="C704" s="21"/>
      <c r="D704" s="22"/>
      <c r="H704" s="22"/>
      <c r="J704" s="22"/>
      <c r="K704" s="27"/>
      <c r="L704" s="22"/>
      <c r="N704" s="22"/>
      <c r="O704" s="27"/>
      <c r="P704" s="247"/>
      <c r="Q704" s="247"/>
      <c r="R704" s="247"/>
      <c r="S704" s="247"/>
      <c r="T704" s="247"/>
    </row>
    <row r="705" spans="1:20" s="20" customFormat="1" x14ac:dyDescent="0.25">
      <c r="A705" s="26"/>
      <c r="B705" s="21"/>
      <c r="C705" s="21"/>
      <c r="D705" s="22"/>
      <c r="H705" s="22"/>
      <c r="J705" s="22"/>
      <c r="K705" s="27"/>
      <c r="L705" s="22"/>
      <c r="N705" s="22"/>
      <c r="O705" s="27"/>
      <c r="P705" s="247"/>
      <c r="Q705" s="247"/>
      <c r="R705" s="247"/>
      <c r="S705" s="247"/>
      <c r="T705" s="247"/>
    </row>
    <row r="706" spans="1:20" s="20" customFormat="1" x14ac:dyDescent="0.25">
      <c r="A706" s="26"/>
      <c r="B706" s="21"/>
      <c r="C706" s="21"/>
      <c r="D706" s="22"/>
      <c r="H706" s="22"/>
      <c r="J706" s="22"/>
      <c r="K706" s="27"/>
      <c r="L706" s="22"/>
      <c r="N706" s="22"/>
      <c r="O706" s="27"/>
      <c r="P706" s="247"/>
      <c r="Q706" s="247"/>
      <c r="R706" s="247"/>
      <c r="S706" s="247"/>
      <c r="T706" s="247"/>
    </row>
    <row r="707" spans="1:20" s="20" customFormat="1" x14ac:dyDescent="0.25">
      <c r="A707" s="26"/>
      <c r="B707" s="21"/>
      <c r="C707" s="21"/>
      <c r="D707" s="22"/>
      <c r="H707" s="22"/>
      <c r="J707" s="22"/>
      <c r="K707" s="27"/>
      <c r="L707" s="22"/>
      <c r="N707" s="22"/>
      <c r="O707" s="27"/>
      <c r="P707" s="247"/>
      <c r="Q707" s="247"/>
      <c r="R707" s="247"/>
      <c r="S707" s="247"/>
      <c r="T707" s="247"/>
    </row>
    <row r="708" spans="1:20" s="20" customFormat="1" x14ac:dyDescent="0.25">
      <c r="A708" s="26"/>
      <c r="B708" s="21"/>
      <c r="C708" s="21"/>
      <c r="D708" s="22"/>
      <c r="H708" s="22"/>
      <c r="J708" s="22"/>
      <c r="K708" s="27"/>
      <c r="L708" s="22"/>
      <c r="N708" s="22"/>
      <c r="O708" s="27"/>
      <c r="P708" s="247"/>
      <c r="Q708" s="247"/>
      <c r="R708" s="247"/>
      <c r="S708" s="247"/>
      <c r="T708" s="247"/>
    </row>
    <row r="709" spans="1:20" s="20" customFormat="1" x14ac:dyDescent="0.25">
      <c r="A709" s="26"/>
      <c r="B709" s="21"/>
      <c r="C709" s="21"/>
      <c r="D709" s="22"/>
      <c r="H709" s="22"/>
      <c r="J709" s="22"/>
      <c r="K709" s="27"/>
      <c r="L709" s="22"/>
      <c r="N709" s="22"/>
      <c r="O709" s="27"/>
      <c r="P709" s="247"/>
      <c r="Q709" s="247"/>
      <c r="R709" s="247"/>
      <c r="S709" s="247"/>
      <c r="T709" s="247"/>
    </row>
    <row r="710" spans="1:20" s="20" customFormat="1" x14ac:dyDescent="0.25">
      <c r="A710" s="26"/>
      <c r="B710" s="21"/>
      <c r="C710" s="21"/>
      <c r="D710" s="22"/>
      <c r="H710" s="22"/>
      <c r="J710" s="22"/>
      <c r="K710" s="27"/>
      <c r="L710" s="22"/>
      <c r="N710" s="22"/>
      <c r="O710" s="27"/>
      <c r="P710" s="247"/>
      <c r="Q710" s="247"/>
      <c r="R710" s="247"/>
      <c r="S710" s="247"/>
      <c r="T710" s="247"/>
    </row>
    <row r="711" spans="1:20" s="20" customFormat="1" x14ac:dyDescent="0.25">
      <c r="A711" s="26"/>
      <c r="B711" s="21"/>
      <c r="C711" s="21"/>
      <c r="D711" s="22"/>
      <c r="H711" s="22"/>
      <c r="J711" s="22"/>
      <c r="K711" s="27"/>
      <c r="L711" s="22"/>
      <c r="N711" s="22"/>
      <c r="O711" s="27"/>
      <c r="P711" s="247"/>
      <c r="Q711" s="247"/>
      <c r="R711" s="247"/>
      <c r="S711" s="247"/>
      <c r="T711" s="247"/>
    </row>
    <row r="712" spans="1:20" s="20" customFormat="1" x14ac:dyDescent="0.25">
      <c r="A712" s="26"/>
      <c r="B712" s="21"/>
      <c r="C712" s="21"/>
      <c r="D712" s="22"/>
      <c r="H712" s="22"/>
      <c r="J712" s="22"/>
      <c r="K712" s="27"/>
      <c r="L712" s="22"/>
      <c r="N712" s="22"/>
      <c r="O712" s="27"/>
      <c r="P712" s="247"/>
      <c r="Q712" s="247"/>
      <c r="R712" s="247"/>
      <c r="S712" s="247"/>
      <c r="T712" s="247"/>
    </row>
    <row r="713" spans="1:20" s="20" customFormat="1" x14ac:dyDescent="0.25">
      <c r="A713" s="26"/>
      <c r="B713" s="21"/>
      <c r="C713" s="21"/>
      <c r="D713" s="22"/>
      <c r="H713" s="22"/>
      <c r="J713" s="22"/>
      <c r="K713" s="27"/>
      <c r="L713" s="22"/>
      <c r="N713" s="22"/>
      <c r="O713" s="27"/>
      <c r="P713" s="247"/>
      <c r="Q713" s="247"/>
      <c r="R713" s="247"/>
      <c r="S713" s="247"/>
      <c r="T713" s="247"/>
    </row>
    <row r="714" spans="1:20" s="20" customFormat="1" x14ac:dyDescent="0.25">
      <c r="A714" s="26"/>
      <c r="B714" s="21"/>
      <c r="C714" s="21"/>
      <c r="D714" s="22"/>
      <c r="H714" s="22"/>
      <c r="J714" s="22"/>
      <c r="K714" s="27"/>
      <c r="L714" s="22"/>
      <c r="N714" s="22"/>
      <c r="O714" s="27"/>
      <c r="P714" s="247"/>
      <c r="Q714" s="247"/>
      <c r="R714" s="247"/>
      <c r="S714" s="247"/>
      <c r="T714" s="247"/>
    </row>
    <row r="715" spans="1:20" s="20" customFormat="1" x14ac:dyDescent="0.25">
      <c r="A715" s="26"/>
      <c r="B715" s="21"/>
      <c r="C715" s="21"/>
      <c r="D715" s="22"/>
      <c r="H715" s="22"/>
      <c r="J715" s="22"/>
      <c r="K715" s="27"/>
      <c r="L715" s="22"/>
      <c r="N715" s="22"/>
      <c r="O715" s="27"/>
      <c r="P715" s="247"/>
      <c r="Q715" s="247"/>
      <c r="R715" s="247"/>
      <c r="S715" s="247"/>
      <c r="T715" s="247"/>
    </row>
    <row r="716" spans="1:20" s="20" customFormat="1" x14ac:dyDescent="0.25">
      <c r="A716" s="26"/>
      <c r="B716" s="21"/>
      <c r="C716" s="21"/>
      <c r="D716" s="22"/>
      <c r="H716" s="22"/>
      <c r="J716" s="22"/>
      <c r="K716" s="27"/>
      <c r="L716" s="22"/>
      <c r="N716" s="22"/>
      <c r="O716" s="27"/>
      <c r="P716" s="247"/>
      <c r="Q716" s="247"/>
      <c r="R716" s="247"/>
      <c r="S716" s="247"/>
      <c r="T716" s="247"/>
    </row>
    <row r="717" spans="1:20" s="20" customFormat="1" x14ac:dyDescent="0.25">
      <c r="A717" s="26"/>
      <c r="B717" s="21"/>
      <c r="C717" s="21"/>
      <c r="D717" s="22"/>
      <c r="H717" s="22"/>
      <c r="J717" s="22"/>
      <c r="K717" s="27"/>
      <c r="L717" s="22"/>
      <c r="N717" s="22"/>
      <c r="O717" s="27"/>
      <c r="P717" s="247"/>
      <c r="Q717" s="247"/>
      <c r="R717" s="247"/>
      <c r="S717" s="247"/>
      <c r="T717" s="247"/>
    </row>
    <row r="718" spans="1:20" s="20" customFormat="1" x14ac:dyDescent="0.25">
      <c r="A718" s="26"/>
      <c r="B718" s="21"/>
      <c r="C718" s="21"/>
      <c r="D718" s="22"/>
      <c r="H718" s="22"/>
      <c r="J718" s="22"/>
      <c r="K718" s="27"/>
      <c r="L718" s="22"/>
      <c r="N718" s="22"/>
      <c r="O718" s="27"/>
      <c r="P718" s="247"/>
      <c r="Q718" s="247"/>
      <c r="R718" s="247"/>
      <c r="S718" s="247"/>
      <c r="T718" s="247"/>
    </row>
    <row r="719" spans="1:20" s="20" customFormat="1" x14ac:dyDescent="0.25">
      <c r="A719" s="26"/>
      <c r="B719" s="21"/>
      <c r="C719" s="21"/>
      <c r="D719" s="22"/>
      <c r="H719" s="22"/>
      <c r="J719" s="22"/>
      <c r="K719" s="27"/>
      <c r="L719" s="22"/>
      <c r="N719" s="22"/>
      <c r="O719" s="27"/>
      <c r="P719" s="247"/>
      <c r="Q719" s="247"/>
      <c r="R719" s="247"/>
      <c r="S719" s="247"/>
      <c r="T719" s="247"/>
    </row>
    <row r="720" spans="1:20" s="20" customFormat="1" x14ac:dyDescent="0.25">
      <c r="A720" s="26"/>
      <c r="B720" s="21"/>
      <c r="C720" s="21"/>
      <c r="D720" s="22"/>
      <c r="H720" s="22"/>
      <c r="J720" s="22"/>
      <c r="K720" s="27"/>
      <c r="L720" s="22"/>
      <c r="N720" s="22"/>
      <c r="O720" s="27"/>
      <c r="P720" s="247"/>
      <c r="Q720" s="247"/>
      <c r="R720" s="247"/>
      <c r="S720" s="247"/>
      <c r="T720" s="247"/>
    </row>
    <row r="721" spans="1:20" s="20" customFormat="1" x14ac:dyDescent="0.25">
      <c r="A721" s="26"/>
      <c r="B721" s="21"/>
      <c r="C721" s="21"/>
      <c r="D721" s="22"/>
      <c r="H721" s="22"/>
      <c r="J721" s="22"/>
      <c r="K721" s="27"/>
      <c r="L721" s="22"/>
      <c r="N721" s="22"/>
      <c r="O721" s="27"/>
      <c r="P721" s="247"/>
      <c r="Q721" s="247"/>
      <c r="R721" s="247"/>
      <c r="S721" s="247"/>
      <c r="T721" s="247"/>
    </row>
    <row r="722" spans="1:20" s="20" customFormat="1" x14ac:dyDescent="0.25">
      <c r="A722" s="26"/>
      <c r="B722" s="21"/>
      <c r="C722" s="21"/>
      <c r="D722" s="22"/>
      <c r="H722" s="22"/>
      <c r="J722" s="22"/>
      <c r="K722" s="27"/>
      <c r="L722" s="22"/>
      <c r="N722" s="22"/>
      <c r="O722" s="27"/>
      <c r="P722" s="247"/>
      <c r="Q722" s="247"/>
      <c r="R722" s="247"/>
      <c r="S722" s="247"/>
      <c r="T722" s="247"/>
    </row>
    <row r="723" spans="1:20" s="20" customFormat="1" x14ac:dyDescent="0.25">
      <c r="A723" s="26"/>
      <c r="B723" s="21"/>
      <c r="C723" s="21"/>
      <c r="D723" s="22"/>
      <c r="H723" s="22"/>
      <c r="J723" s="22"/>
      <c r="K723" s="27"/>
      <c r="L723" s="22"/>
      <c r="N723" s="22"/>
      <c r="O723" s="27"/>
      <c r="P723" s="247"/>
      <c r="Q723" s="247"/>
      <c r="R723" s="247"/>
      <c r="S723" s="247"/>
      <c r="T723" s="247"/>
    </row>
    <row r="724" spans="1:20" s="20" customFormat="1" x14ac:dyDescent="0.25">
      <c r="A724" s="26"/>
      <c r="B724" s="21"/>
      <c r="C724" s="21"/>
      <c r="D724" s="22"/>
      <c r="H724" s="22"/>
      <c r="J724" s="22"/>
      <c r="K724" s="27"/>
      <c r="L724" s="22"/>
      <c r="N724" s="22"/>
      <c r="O724" s="27"/>
      <c r="P724" s="247"/>
      <c r="Q724" s="247"/>
      <c r="R724" s="247"/>
      <c r="S724" s="247"/>
      <c r="T724" s="247"/>
    </row>
    <row r="725" spans="1:20" s="20" customFormat="1" x14ac:dyDescent="0.25">
      <c r="A725" s="26"/>
      <c r="B725" s="21"/>
      <c r="C725" s="21"/>
      <c r="D725" s="22"/>
      <c r="H725" s="22"/>
      <c r="J725" s="22"/>
      <c r="K725" s="27"/>
      <c r="L725" s="22"/>
      <c r="N725" s="22"/>
      <c r="O725" s="27"/>
      <c r="P725" s="247"/>
      <c r="Q725" s="247"/>
      <c r="R725" s="247"/>
      <c r="S725" s="247"/>
      <c r="T725" s="247"/>
    </row>
    <row r="726" spans="1:20" s="20" customFormat="1" x14ac:dyDescent="0.25">
      <c r="A726" s="26"/>
      <c r="B726" s="21"/>
      <c r="C726" s="21"/>
      <c r="D726" s="22"/>
      <c r="H726" s="22"/>
      <c r="J726" s="22"/>
      <c r="K726" s="27"/>
      <c r="L726" s="22"/>
      <c r="N726" s="22"/>
      <c r="O726" s="27"/>
      <c r="P726" s="247"/>
      <c r="Q726" s="247"/>
      <c r="R726" s="247"/>
      <c r="S726" s="247"/>
      <c r="T726" s="247"/>
    </row>
    <row r="727" spans="1:20" s="20" customFormat="1" x14ac:dyDescent="0.25">
      <c r="A727" s="26"/>
      <c r="B727" s="21"/>
      <c r="C727" s="21"/>
      <c r="D727" s="22"/>
      <c r="H727" s="22"/>
      <c r="J727" s="22"/>
      <c r="K727" s="27"/>
      <c r="L727" s="22"/>
      <c r="N727" s="22"/>
      <c r="O727" s="27"/>
      <c r="P727" s="247"/>
      <c r="Q727" s="247"/>
      <c r="R727" s="247"/>
      <c r="S727" s="247"/>
      <c r="T727" s="247"/>
    </row>
    <row r="728" spans="1:20" s="20" customFormat="1" x14ac:dyDescent="0.25">
      <c r="A728" s="26"/>
      <c r="B728" s="21"/>
      <c r="C728" s="21"/>
      <c r="D728" s="22"/>
      <c r="H728" s="22"/>
      <c r="J728" s="22"/>
      <c r="K728" s="27"/>
      <c r="L728" s="22"/>
      <c r="N728" s="22"/>
      <c r="O728" s="27"/>
      <c r="P728" s="247"/>
      <c r="Q728" s="247"/>
      <c r="R728" s="247"/>
      <c r="S728" s="247"/>
      <c r="T728" s="247"/>
    </row>
    <row r="729" spans="1:20" s="20" customFormat="1" x14ac:dyDescent="0.25">
      <c r="A729" s="26"/>
      <c r="B729" s="21"/>
      <c r="C729" s="21"/>
      <c r="D729" s="22"/>
      <c r="H729" s="22"/>
      <c r="J729" s="22"/>
      <c r="K729" s="27"/>
      <c r="L729" s="22"/>
      <c r="N729" s="22"/>
      <c r="O729" s="27"/>
      <c r="P729" s="247"/>
      <c r="Q729" s="247"/>
      <c r="R729" s="247"/>
      <c r="S729" s="247"/>
      <c r="T729" s="247"/>
    </row>
    <row r="730" spans="1:20" s="20" customFormat="1" x14ac:dyDescent="0.25">
      <c r="A730" s="26"/>
      <c r="B730" s="21"/>
      <c r="C730" s="21"/>
      <c r="D730" s="22"/>
      <c r="H730" s="22"/>
      <c r="J730" s="22"/>
      <c r="K730" s="27"/>
      <c r="L730" s="22"/>
      <c r="N730" s="22"/>
      <c r="O730" s="27"/>
      <c r="P730" s="247"/>
      <c r="Q730" s="247"/>
      <c r="R730" s="247"/>
      <c r="S730" s="247"/>
      <c r="T730" s="247"/>
    </row>
    <row r="731" spans="1:20" s="20" customFormat="1" x14ac:dyDescent="0.25">
      <c r="A731" s="26"/>
      <c r="B731" s="21"/>
      <c r="C731" s="21"/>
      <c r="D731" s="22"/>
      <c r="H731" s="22"/>
      <c r="J731" s="22"/>
      <c r="K731" s="27"/>
      <c r="L731" s="22"/>
      <c r="N731" s="22"/>
      <c r="O731" s="27"/>
      <c r="P731" s="247"/>
      <c r="Q731" s="247"/>
      <c r="R731" s="247"/>
      <c r="S731" s="247"/>
      <c r="T731" s="247"/>
    </row>
    <row r="732" spans="1:20" s="20" customFormat="1" x14ac:dyDescent="0.25">
      <c r="A732" s="26"/>
      <c r="B732" s="21"/>
      <c r="C732" s="21"/>
      <c r="D732" s="22"/>
      <c r="H732" s="22"/>
      <c r="J732" s="22"/>
      <c r="K732" s="27"/>
      <c r="L732" s="22"/>
      <c r="N732" s="22"/>
      <c r="O732" s="27"/>
      <c r="P732" s="247"/>
      <c r="Q732" s="247"/>
      <c r="R732" s="247"/>
      <c r="S732" s="247"/>
      <c r="T732" s="247"/>
    </row>
    <row r="733" spans="1:20" s="20" customFormat="1" x14ac:dyDescent="0.25">
      <c r="A733" s="26"/>
      <c r="B733" s="21"/>
      <c r="C733" s="21"/>
      <c r="D733" s="22"/>
      <c r="H733" s="22"/>
      <c r="J733" s="22"/>
      <c r="K733" s="27"/>
      <c r="L733" s="22"/>
      <c r="N733" s="22"/>
      <c r="O733" s="27"/>
      <c r="P733" s="247"/>
      <c r="Q733" s="247"/>
      <c r="R733" s="247"/>
      <c r="S733" s="247"/>
      <c r="T733" s="247"/>
    </row>
    <row r="734" spans="1:20" s="20" customFormat="1" x14ac:dyDescent="0.25">
      <c r="A734" s="26"/>
      <c r="B734" s="21"/>
      <c r="C734" s="21"/>
      <c r="D734" s="22"/>
      <c r="H734" s="22"/>
      <c r="J734" s="22"/>
      <c r="K734" s="27"/>
      <c r="L734" s="22"/>
      <c r="N734" s="22"/>
      <c r="O734" s="27"/>
      <c r="P734" s="247"/>
      <c r="Q734" s="247"/>
      <c r="R734" s="247"/>
      <c r="S734" s="247"/>
      <c r="T734" s="247"/>
    </row>
    <row r="735" spans="1:20" s="20" customFormat="1" x14ac:dyDescent="0.25">
      <c r="A735" s="26"/>
      <c r="B735" s="21"/>
      <c r="C735" s="21"/>
      <c r="D735" s="22"/>
      <c r="H735" s="22"/>
      <c r="J735" s="22"/>
      <c r="K735" s="27"/>
      <c r="L735" s="22"/>
      <c r="N735" s="22"/>
      <c r="O735" s="27"/>
      <c r="P735" s="247"/>
      <c r="Q735" s="247"/>
      <c r="R735" s="247"/>
      <c r="S735" s="247"/>
      <c r="T735" s="247"/>
    </row>
    <row r="736" spans="1:20" s="20" customFormat="1" x14ac:dyDescent="0.25">
      <c r="A736" s="26"/>
      <c r="B736" s="21"/>
      <c r="C736" s="21"/>
      <c r="D736" s="22"/>
      <c r="H736" s="22"/>
      <c r="J736" s="22"/>
      <c r="K736" s="27"/>
      <c r="L736" s="22"/>
      <c r="N736" s="22"/>
      <c r="O736" s="27"/>
      <c r="P736" s="247"/>
      <c r="Q736" s="247"/>
      <c r="R736" s="247"/>
      <c r="S736" s="247"/>
      <c r="T736" s="247"/>
    </row>
    <row r="737" spans="1:20" s="20" customFormat="1" x14ac:dyDescent="0.25">
      <c r="A737" s="26"/>
      <c r="B737" s="21"/>
      <c r="C737" s="21"/>
      <c r="D737" s="22"/>
      <c r="H737" s="22"/>
      <c r="J737" s="22"/>
      <c r="K737" s="27"/>
      <c r="L737" s="22"/>
      <c r="N737" s="22"/>
      <c r="O737" s="27"/>
      <c r="P737" s="247"/>
      <c r="Q737" s="247"/>
      <c r="R737" s="247"/>
      <c r="S737" s="247"/>
      <c r="T737" s="247"/>
    </row>
    <row r="738" spans="1:20" s="20" customFormat="1" x14ac:dyDescent="0.25">
      <c r="A738" s="26"/>
      <c r="B738" s="21"/>
      <c r="C738" s="21"/>
      <c r="D738" s="22"/>
      <c r="H738" s="22"/>
      <c r="J738" s="22"/>
      <c r="K738" s="27"/>
      <c r="L738" s="22"/>
      <c r="N738" s="22"/>
      <c r="O738" s="27"/>
      <c r="P738" s="247"/>
      <c r="Q738" s="247"/>
      <c r="R738" s="247"/>
      <c r="S738" s="247"/>
      <c r="T738" s="247"/>
    </row>
    <row r="739" spans="1:20" s="20" customFormat="1" x14ac:dyDescent="0.25">
      <c r="A739" s="26"/>
      <c r="B739" s="21"/>
      <c r="C739" s="21"/>
      <c r="D739" s="22"/>
      <c r="H739" s="22"/>
      <c r="J739" s="22"/>
      <c r="K739" s="27"/>
      <c r="L739" s="22"/>
      <c r="N739" s="22"/>
      <c r="O739" s="27"/>
      <c r="P739" s="247"/>
      <c r="Q739" s="247"/>
      <c r="R739" s="247"/>
      <c r="S739" s="247"/>
      <c r="T739" s="247"/>
    </row>
    <row r="740" spans="1:20" s="20" customFormat="1" x14ac:dyDescent="0.25">
      <c r="A740" s="26"/>
      <c r="B740" s="21"/>
      <c r="C740" s="21"/>
      <c r="D740" s="22"/>
      <c r="H740" s="22"/>
      <c r="J740" s="22"/>
      <c r="K740" s="27"/>
      <c r="L740" s="22"/>
      <c r="N740" s="22"/>
      <c r="O740" s="27"/>
      <c r="P740" s="247"/>
      <c r="Q740" s="247"/>
      <c r="R740" s="247"/>
      <c r="S740" s="247"/>
      <c r="T740" s="247"/>
    </row>
    <row r="741" spans="1:20" s="20" customFormat="1" x14ac:dyDescent="0.25">
      <c r="A741" s="26"/>
      <c r="B741" s="21"/>
      <c r="C741" s="21"/>
      <c r="D741" s="22"/>
      <c r="H741" s="22"/>
      <c r="J741" s="22"/>
      <c r="K741" s="27"/>
      <c r="L741" s="22"/>
      <c r="N741" s="22"/>
      <c r="O741" s="27"/>
      <c r="P741" s="247"/>
      <c r="Q741" s="247"/>
      <c r="R741" s="247"/>
      <c r="S741" s="247"/>
      <c r="T741" s="247"/>
    </row>
    <row r="742" spans="1:20" s="20" customFormat="1" x14ac:dyDescent="0.25">
      <c r="A742" s="26"/>
      <c r="B742" s="21"/>
      <c r="C742" s="21"/>
      <c r="D742" s="22"/>
      <c r="H742" s="22"/>
      <c r="J742" s="22"/>
      <c r="K742" s="27"/>
      <c r="L742" s="22"/>
      <c r="N742" s="22"/>
      <c r="O742" s="27"/>
      <c r="P742" s="247"/>
      <c r="Q742" s="247"/>
      <c r="R742" s="247"/>
      <c r="S742" s="247"/>
      <c r="T742" s="247"/>
    </row>
    <row r="743" spans="1:20" s="20" customFormat="1" x14ac:dyDescent="0.25">
      <c r="A743" s="26"/>
      <c r="B743" s="21"/>
      <c r="C743" s="21"/>
      <c r="D743" s="22"/>
      <c r="H743" s="22"/>
      <c r="J743" s="22"/>
      <c r="K743" s="27"/>
      <c r="L743" s="22"/>
      <c r="N743" s="22"/>
      <c r="O743" s="27"/>
      <c r="P743" s="247"/>
      <c r="Q743" s="247"/>
      <c r="R743" s="247"/>
      <c r="S743" s="247"/>
      <c r="T743" s="247"/>
    </row>
    <row r="744" spans="1:20" s="20" customFormat="1" x14ac:dyDescent="0.25">
      <c r="A744" s="26"/>
      <c r="B744" s="21"/>
      <c r="C744" s="21"/>
      <c r="D744" s="22"/>
      <c r="H744" s="22"/>
      <c r="J744" s="22"/>
      <c r="K744" s="27"/>
      <c r="L744" s="22"/>
      <c r="N744" s="22"/>
      <c r="O744" s="27"/>
      <c r="P744" s="247"/>
      <c r="Q744" s="247"/>
      <c r="R744" s="247"/>
      <c r="S744" s="247"/>
      <c r="T744" s="247"/>
    </row>
    <row r="745" spans="1:20" s="20" customFormat="1" x14ac:dyDescent="0.25">
      <c r="A745" s="26"/>
      <c r="B745" s="21"/>
      <c r="C745" s="21"/>
      <c r="D745" s="22"/>
      <c r="H745" s="22"/>
      <c r="J745" s="22"/>
      <c r="K745" s="27"/>
      <c r="L745" s="22"/>
      <c r="N745" s="22"/>
      <c r="O745" s="27"/>
      <c r="P745" s="247"/>
      <c r="Q745" s="247"/>
      <c r="R745" s="247"/>
      <c r="S745" s="247"/>
      <c r="T745" s="247"/>
    </row>
    <row r="746" spans="1:20" s="20" customFormat="1" x14ac:dyDescent="0.25">
      <c r="A746" s="26"/>
      <c r="B746" s="21"/>
      <c r="C746" s="21"/>
      <c r="D746" s="22"/>
      <c r="H746" s="22"/>
      <c r="J746" s="22"/>
      <c r="K746" s="27"/>
      <c r="L746" s="22"/>
      <c r="N746" s="22"/>
      <c r="O746" s="27"/>
      <c r="P746" s="247"/>
      <c r="Q746" s="247"/>
      <c r="R746" s="247"/>
      <c r="S746" s="247"/>
      <c r="T746" s="247"/>
    </row>
    <row r="747" spans="1:20" s="20" customFormat="1" x14ac:dyDescent="0.25">
      <c r="A747" s="26"/>
      <c r="B747" s="21"/>
      <c r="C747" s="21"/>
      <c r="D747" s="22"/>
      <c r="H747" s="22"/>
      <c r="J747" s="22"/>
      <c r="K747" s="27"/>
      <c r="L747" s="22"/>
      <c r="N747" s="22"/>
      <c r="O747" s="27"/>
      <c r="P747" s="247"/>
      <c r="Q747" s="247"/>
      <c r="R747" s="247"/>
      <c r="S747" s="247"/>
      <c r="T747" s="247"/>
    </row>
    <row r="748" spans="1:20" s="20" customFormat="1" x14ac:dyDescent="0.25">
      <c r="A748" s="26"/>
      <c r="B748" s="21"/>
      <c r="C748" s="21"/>
      <c r="D748" s="22"/>
      <c r="H748" s="22"/>
      <c r="J748" s="22"/>
      <c r="K748" s="27"/>
      <c r="L748" s="22"/>
      <c r="N748" s="22"/>
      <c r="O748" s="27"/>
      <c r="P748" s="247"/>
      <c r="Q748" s="247"/>
      <c r="R748" s="247"/>
      <c r="S748" s="247"/>
      <c r="T748" s="247"/>
    </row>
    <row r="749" spans="1:20" s="20" customFormat="1" x14ac:dyDescent="0.25">
      <c r="A749" s="26"/>
      <c r="B749" s="21"/>
      <c r="C749" s="21"/>
      <c r="D749" s="22"/>
      <c r="H749" s="22"/>
      <c r="J749" s="22"/>
      <c r="K749" s="27"/>
      <c r="L749" s="22"/>
      <c r="N749" s="22"/>
      <c r="O749" s="27"/>
      <c r="P749" s="247"/>
      <c r="Q749" s="247"/>
      <c r="R749" s="247"/>
      <c r="S749" s="247"/>
      <c r="T749" s="247"/>
    </row>
    <row r="750" spans="1:20" s="20" customFormat="1" x14ac:dyDescent="0.25">
      <c r="A750" s="26"/>
      <c r="B750" s="21"/>
      <c r="C750" s="21"/>
      <c r="D750" s="22"/>
      <c r="H750" s="22"/>
      <c r="J750" s="22"/>
      <c r="K750" s="27"/>
      <c r="L750" s="22"/>
      <c r="N750" s="22"/>
      <c r="O750" s="27"/>
      <c r="P750" s="247"/>
      <c r="Q750" s="247"/>
      <c r="R750" s="247"/>
      <c r="S750" s="247"/>
      <c r="T750" s="247"/>
    </row>
    <row r="751" spans="1:20" s="20" customFormat="1" x14ac:dyDescent="0.25">
      <c r="A751" s="26"/>
      <c r="B751" s="21"/>
      <c r="C751" s="21"/>
      <c r="D751" s="22"/>
      <c r="H751" s="22"/>
      <c r="J751" s="22"/>
      <c r="K751" s="27"/>
      <c r="L751" s="22"/>
      <c r="N751" s="22"/>
      <c r="O751" s="27"/>
      <c r="P751" s="247"/>
      <c r="Q751" s="247"/>
      <c r="R751" s="247"/>
      <c r="S751" s="247"/>
      <c r="T751" s="247"/>
    </row>
    <row r="752" spans="1:20" s="20" customFormat="1" x14ac:dyDescent="0.25">
      <c r="A752" s="26"/>
      <c r="B752" s="21"/>
      <c r="C752" s="21"/>
      <c r="D752" s="22"/>
      <c r="H752" s="22"/>
      <c r="J752" s="22"/>
      <c r="K752" s="27"/>
      <c r="L752" s="22"/>
      <c r="N752" s="22"/>
      <c r="O752" s="27"/>
      <c r="P752" s="247"/>
      <c r="Q752" s="247"/>
      <c r="R752" s="247"/>
      <c r="S752" s="247"/>
      <c r="T752" s="247"/>
    </row>
    <row r="753" spans="1:20" s="20" customFormat="1" x14ac:dyDescent="0.25">
      <c r="A753" s="26"/>
      <c r="B753" s="21"/>
      <c r="C753" s="21"/>
      <c r="D753" s="22"/>
      <c r="H753" s="22"/>
      <c r="J753" s="22"/>
      <c r="K753" s="27"/>
      <c r="L753" s="22"/>
      <c r="N753" s="22"/>
      <c r="O753" s="27"/>
      <c r="P753" s="247"/>
      <c r="Q753" s="247"/>
      <c r="R753" s="247"/>
      <c r="S753" s="247"/>
      <c r="T753" s="247"/>
    </row>
    <row r="754" spans="1:20" s="20" customFormat="1" x14ac:dyDescent="0.25">
      <c r="A754" s="26"/>
      <c r="B754" s="21"/>
      <c r="C754" s="21"/>
      <c r="D754" s="22"/>
      <c r="H754" s="22"/>
      <c r="J754" s="22"/>
      <c r="K754" s="27"/>
      <c r="L754" s="22"/>
      <c r="N754" s="22"/>
      <c r="O754" s="27"/>
      <c r="P754" s="247"/>
      <c r="Q754" s="247"/>
      <c r="R754" s="247"/>
      <c r="S754" s="247"/>
      <c r="T754" s="247"/>
    </row>
    <row r="755" spans="1:20" s="20" customFormat="1" x14ac:dyDescent="0.25">
      <c r="A755" s="26"/>
      <c r="B755" s="21"/>
      <c r="C755" s="21"/>
      <c r="D755" s="22"/>
      <c r="H755" s="22"/>
      <c r="J755" s="22"/>
      <c r="K755" s="27"/>
      <c r="L755" s="22"/>
      <c r="N755" s="22"/>
      <c r="O755" s="27"/>
      <c r="P755" s="247"/>
      <c r="Q755" s="247"/>
      <c r="R755" s="247"/>
      <c r="S755" s="247"/>
      <c r="T755" s="247"/>
    </row>
    <row r="756" spans="1:20" s="20" customFormat="1" x14ac:dyDescent="0.25">
      <c r="A756" s="26"/>
      <c r="B756" s="21"/>
      <c r="C756" s="21"/>
      <c r="D756" s="22"/>
      <c r="H756" s="22"/>
      <c r="J756" s="22"/>
      <c r="K756" s="27"/>
      <c r="L756" s="22"/>
      <c r="N756" s="22"/>
      <c r="O756" s="27"/>
      <c r="P756" s="247"/>
      <c r="Q756" s="247"/>
      <c r="R756" s="247"/>
      <c r="S756" s="247"/>
      <c r="T756" s="247"/>
    </row>
    <row r="757" spans="1:20" s="20" customFormat="1" x14ac:dyDescent="0.25">
      <c r="A757" s="26"/>
      <c r="B757" s="21"/>
      <c r="C757" s="21"/>
      <c r="D757" s="22"/>
      <c r="H757" s="22"/>
      <c r="J757" s="22"/>
      <c r="K757" s="27"/>
      <c r="L757" s="22"/>
      <c r="N757" s="22"/>
      <c r="O757" s="27"/>
      <c r="P757" s="247"/>
      <c r="Q757" s="247"/>
      <c r="R757" s="247"/>
      <c r="S757" s="247"/>
      <c r="T757" s="247"/>
    </row>
    <row r="758" spans="1:20" s="20" customFormat="1" x14ac:dyDescent="0.25">
      <c r="A758" s="26"/>
      <c r="B758" s="21"/>
      <c r="C758" s="21"/>
      <c r="D758" s="22"/>
      <c r="H758" s="22"/>
      <c r="J758" s="22"/>
      <c r="K758" s="27"/>
      <c r="L758" s="22"/>
      <c r="N758" s="22"/>
      <c r="O758" s="27"/>
      <c r="P758" s="247"/>
      <c r="Q758" s="247"/>
      <c r="R758" s="247"/>
      <c r="S758" s="247"/>
      <c r="T758" s="247"/>
    </row>
    <row r="759" spans="1:20" s="20" customFormat="1" x14ac:dyDescent="0.25">
      <c r="A759" s="26"/>
      <c r="B759" s="21"/>
      <c r="C759" s="21"/>
      <c r="D759" s="22"/>
      <c r="H759" s="22"/>
      <c r="J759" s="22"/>
      <c r="K759" s="27"/>
      <c r="L759" s="22"/>
      <c r="N759" s="22"/>
      <c r="O759" s="27"/>
      <c r="P759" s="247"/>
      <c r="Q759" s="247"/>
      <c r="R759" s="247"/>
      <c r="S759" s="247"/>
      <c r="T759" s="247"/>
    </row>
    <row r="760" spans="1:20" s="20" customFormat="1" x14ac:dyDescent="0.25">
      <c r="A760" s="26"/>
      <c r="B760" s="21"/>
      <c r="C760" s="21"/>
      <c r="D760" s="22"/>
      <c r="H760" s="22"/>
      <c r="J760" s="22"/>
      <c r="K760" s="27"/>
      <c r="L760" s="22"/>
      <c r="N760" s="22"/>
      <c r="O760" s="27"/>
      <c r="P760" s="247"/>
      <c r="Q760" s="247"/>
      <c r="R760" s="247"/>
      <c r="S760" s="247"/>
      <c r="T760" s="247"/>
    </row>
    <row r="761" spans="1:20" s="20" customFormat="1" x14ac:dyDescent="0.25">
      <c r="A761" s="26"/>
      <c r="B761" s="21"/>
      <c r="C761" s="21"/>
      <c r="D761" s="22"/>
      <c r="H761" s="22"/>
      <c r="J761" s="22"/>
      <c r="K761" s="27"/>
      <c r="L761" s="22"/>
      <c r="N761" s="22"/>
      <c r="O761" s="27"/>
      <c r="P761" s="247"/>
      <c r="Q761" s="247"/>
      <c r="R761" s="247"/>
      <c r="S761" s="247"/>
      <c r="T761" s="247"/>
    </row>
  </sheetData>
  <mergeCells count="7">
    <mergeCell ref="Q6:S6"/>
    <mergeCell ref="A22:C22"/>
    <mergeCell ref="A23:C23"/>
    <mergeCell ref="A6:C6"/>
    <mergeCell ref="E6:G6"/>
    <mergeCell ref="I6:K6"/>
    <mergeCell ref="M6:O6"/>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F7288B-14FE-4857-AD53-629F0A6945F4}">
  <sheetPr>
    <tabColor theme="0"/>
  </sheetPr>
  <dimension ref="A1:Q85"/>
  <sheetViews>
    <sheetView topLeftCell="A3" zoomScale="80" zoomScaleNormal="80" workbookViewId="0">
      <pane ySplit="12" topLeftCell="A65" activePane="bottomLeft" state="frozen"/>
      <selection activeCell="A3" sqref="A3"/>
      <selection pane="bottomLeft" activeCell="P68" sqref="P68:P69"/>
    </sheetView>
  </sheetViews>
  <sheetFormatPr defaultColWidth="15.85546875" defaultRowHeight="15.75" x14ac:dyDescent="0.25"/>
  <cols>
    <col min="1" max="1" width="3.42578125" style="136" customWidth="1"/>
    <col min="2" max="2" width="49.140625" style="119" customWidth="1"/>
    <col min="3" max="3" width="18.28515625" style="131" bestFit="1" customWidth="1"/>
    <col min="4" max="4" width="12.5703125" style="131" customWidth="1"/>
    <col min="5" max="5" width="31.5703125" style="131" customWidth="1"/>
    <col min="6" max="6" width="1" style="131" customWidth="1"/>
    <col min="7" max="7" width="17.7109375" style="131" customWidth="1"/>
    <col min="8" max="8" width="14.5703125" style="131" customWidth="1"/>
    <col min="9" max="9" width="33.28515625" style="131" customWidth="1"/>
    <col min="10" max="10" width="1" style="131" customWidth="1"/>
    <col min="11" max="11" width="12.85546875" style="131" bestFit="1" customWidth="1"/>
    <col min="12" max="12" width="12.42578125" style="131" bestFit="1" customWidth="1"/>
    <col min="13" max="13" width="36.140625" style="131" customWidth="1"/>
    <col min="14" max="14" width="0.85546875" style="131" customWidth="1"/>
    <col min="15" max="16" width="15.85546875" style="131"/>
    <col min="17" max="17" width="34" style="131" bestFit="1" customWidth="1"/>
    <col min="18" max="16384" width="15.85546875" style="131"/>
  </cols>
  <sheetData>
    <row r="1" spans="1:17" x14ac:dyDescent="0.25">
      <c r="B1" s="22" t="s">
        <v>2</v>
      </c>
      <c r="C1" s="212" t="e">
        <f>#REF!</f>
        <v>#REF!</v>
      </c>
      <c r="D1" s="211"/>
    </row>
    <row r="2" spans="1:17" ht="16.5" thickBot="1" x14ac:dyDescent="0.3"/>
    <row r="3" spans="1:17" ht="16.5" thickBot="1" x14ac:dyDescent="0.3">
      <c r="B3" s="321" t="s">
        <v>460</v>
      </c>
      <c r="C3" s="394" t="str">
        <f>'SUB CPIF RATES (ALL)'!C1</f>
        <v xml:space="preserve">NAME </v>
      </c>
      <c r="D3" s="393"/>
    </row>
    <row r="4" spans="1:17" ht="16.5" thickBot="1" x14ac:dyDescent="0.3">
      <c r="B4" s="395" t="s">
        <v>459</v>
      </c>
      <c r="C4" s="396" t="str">
        <f>'SUB CPIF RATES (ALL)'!C2</f>
        <v xml:space="preserve">NAME </v>
      </c>
    </row>
    <row r="5" spans="1:17" ht="16.5" thickBot="1" x14ac:dyDescent="0.3"/>
    <row r="6" spans="1:17" ht="33" customHeight="1" thickBot="1" x14ac:dyDescent="0.3">
      <c r="A6" s="466" t="s">
        <v>209</v>
      </c>
      <c r="B6" s="467"/>
      <c r="C6" s="468"/>
    </row>
    <row r="8" spans="1:17" s="202" customFormat="1" x14ac:dyDescent="0.2">
      <c r="A8" s="203"/>
      <c r="B8" s="204" t="s">
        <v>65</v>
      </c>
    </row>
    <row r="9" spans="1:17" s="202" customFormat="1" x14ac:dyDescent="0.25">
      <c r="A9" s="201"/>
      <c r="B9" s="201" t="s">
        <v>441</v>
      </c>
    </row>
    <row r="10" spans="1:17" s="202" customFormat="1" x14ac:dyDescent="0.25">
      <c r="A10" s="201"/>
      <c r="B10" s="201" t="s">
        <v>281</v>
      </c>
    </row>
    <row r="11" spans="1:17" s="202" customFormat="1" x14ac:dyDescent="0.25">
      <c r="A11" s="201"/>
      <c r="B11" s="201" t="s">
        <v>442</v>
      </c>
    </row>
    <row r="12" spans="1:17" s="202" customFormat="1" x14ac:dyDescent="0.25">
      <c r="A12" s="201"/>
      <c r="B12" s="201" t="s">
        <v>463</v>
      </c>
    </row>
    <row r="13" spans="1:17" x14ac:dyDescent="0.25">
      <c r="A13" s="137"/>
      <c r="B13" s="201" t="s">
        <v>464</v>
      </c>
      <c r="C13" s="139"/>
    </row>
    <row r="14" spans="1:17" x14ac:dyDescent="0.25">
      <c r="A14" s="137"/>
      <c r="B14" s="201" t="s">
        <v>326</v>
      </c>
      <c r="C14" s="139"/>
    </row>
    <row r="15" spans="1:17" ht="16.5" thickBot="1" x14ac:dyDescent="0.3"/>
    <row r="16" spans="1:17" ht="16.5" thickBot="1" x14ac:dyDescent="0.3">
      <c r="A16" s="138"/>
      <c r="B16" s="523" t="s">
        <v>327</v>
      </c>
      <c r="C16" s="490" t="s">
        <v>69</v>
      </c>
      <c r="D16" s="491"/>
      <c r="E16" s="492"/>
      <c r="F16" s="96"/>
      <c r="G16" s="490" t="s">
        <v>69</v>
      </c>
      <c r="H16" s="491"/>
      <c r="I16" s="492"/>
      <c r="J16" s="96"/>
      <c r="K16" s="490" t="s">
        <v>69</v>
      </c>
      <c r="L16" s="491"/>
      <c r="M16" s="492"/>
      <c r="N16" s="96"/>
      <c r="O16" s="490" t="s">
        <v>69</v>
      </c>
      <c r="P16" s="491"/>
      <c r="Q16" s="492"/>
    </row>
    <row r="17" spans="1:17" ht="16.5" thickBot="1" x14ac:dyDescent="0.3">
      <c r="A17" s="138"/>
      <c r="B17" s="524"/>
      <c r="C17" s="520" t="s">
        <v>205</v>
      </c>
      <c r="D17" s="521"/>
      <c r="E17" s="522"/>
      <c r="F17" s="97"/>
      <c r="G17" s="520" t="s">
        <v>206</v>
      </c>
      <c r="H17" s="521"/>
      <c r="I17" s="522"/>
      <c r="J17" s="97"/>
      <c r="K17" s="520" t="s">
        <v>207</v>
      </c>
      <c r="L17" s="521"/>
      <c r="M17" s="522"/>
      <c r="N17" s="97"/>
      <c r="O17" s="520" t="s">
        <v>208</v>
      </c>
      <c r="P17" s="521"/>
      <c r="Q17" s="522"/>
    </row>
    <row r="18" spans="1:17" x14ac:dyDescent="0.25">
      <c r="A18" s="138"/>
      <c r="B18" s="98" t="s">
        <v>46</v>
      </c>
      <c r="C18" s="98" t="s">
        <v>29</v>
      </c>
      <c r="D18" s="99" t="s">
        <v>1</v>
      </c>
      <c r="E18" s="100" t="s">
        <v>74</v>
      </c>
      <c r="F18" s="101"/>
      <c r="G18" s="98" t="s">
        <v>29</v>
      </c>
      <c r="H18" s="99" t="s">
        <v>1</v>
      </c>
      <c r="I18" s="100" t="s">
        <v>74</v>
      </c>
      <c r="J18" s="101"/>
      <c r="K18" s="98" t="s">
        <v>29</v>
      </c>
      <c r="L18" s="99" t="s">
        <v>1</v>
      </c>
      <c r="M18" s="100" t="s">
        <v>74</v>
      </c>
      <c r="N18" s="101"/>
      <c r="O18" s="98" t="s">
        <v>29</v>
      </c>
      <c r="P18" s="99" t="s">
        <v>1</v>
      </c>
      <c r="Q18" s="100" t="s">
        <v>74</v>
      </c>
    </row>
    <row r="19" spans="1:17" ht="28.5" customHeight="1" thickBot="1" x14ac:dyDescent="0.3">
      <c r="A19" s="138"/>
      <c r="B19" s="148" t="s">
        <v>443</v>
      </c>
      <c r="C19" s="230"/>
      <c r="D19" s="231"/>
      <c r="E19" s="232"/>
      <c r="F19" s="101"/>
      <c r="G19" s="230"/>
      <c r="H19" s="231"/>
      <c r="I19" s="232"/>
      <c r="J19" s="101"/>
      <c r="K19" s="230"/>
      <c r="L19" s="231"/>
      <c r="M19" s="232"/>
      <c r="N19" s="101"/>
      <c r="O19" s="230"/>
      <c r="P19" s="231"/>
      <c r="Q19" s="232"/>
    </row>
    <row r="20" spans="1:17" ht="16.5" thickBot="1" x14ac:dyDescent="0.3">
      <c r="A20" s="138"/>
      <c r="B20" s="239" t="s">
        <v>87</v>
      </c>
      <c r="C20" s="200">
        <f>'SUB CPIF LABOR INPUTS'!D29</f>
        <v>0</v>
      </c>
      <c r="D20" s="150"/>
      <c r="E20" s="109">
        <f>'SUB CPIF LABOR INPUTS'!F29</f>
        <v>0</v>
      </c>
      <c r="F20" s="110"/>
      <c r="G20" s="200">
        <f>'SUB CPIF LABOR INPUTS'!H29</f>
        <v>0</v>
      </c>
      <c r="H20" s="150"/>
      <c r="I20" s="109">
        <f>'SUB CPIF LABOR INPUTS'!J29</f>
        <v>0</v>
      </c>
      <c r="J20" s="110"/>
      <c r="K20" s="200">
        <f>'SUB CPIF LABOR INPUTS'!L29</f>
        <v>0</v>
      </c>
      <c r="L20" s="150"/>
      <c r="M20" s="109">
        <f>'SUB CPIF LABOR INPUTS'!N29</f>
        <v>0</v>
      </c>
      <c r="N20" s="110"/>
      <c r="O20" s="200">
        <f>'SUB CPIF LABOR INPUTS'!P29</f>
        <v>0</v>
      </c>
      <c r="P20" s="150"/>
      <c r="Q20" s="109">
        <f>'SUB CPIF LABOR INPUTS'!R29</f>
        <v>0</v>
      </c>
    </row>
    <row r="21" spans="1:17" x14ac:dyDescent="0.25">
      <c r="A21" s="138"/>
      <c r="B21" s="149"/>
      <c r="C21" s="98" t="s">
        <v>289</v>
      </c>
      <c r="D21" s="99" t="s">
        <v>286</v>
      </c>
      <c r="E21" s="100" t="s">
        <v>288</v>
      </c>
      <c r="F21" s="111"/>
      <c r="G21" s="98" t="s">
        <v>289</v>
      </c>
      <c r="H21" s="99" t="s">
        <v>286</v>
      </c>
      <c r="I21" s="100" t="s">
        <v>288</v>
      </c>
      <c r="J21" s="111"/>
      <c r="K21" s="98" t="s">
        <v>289</v>
      </c>
      <c r="L21" s="99" t="s">
        <v>286</v>
      </c>
      <c r="M21" s="100" t="s">
        <v>288</v>
      </c>
      <c r="N21" s="111"/>
      <c r="O21" s="98" t="s">
        <v>289</v>
      </c>
      <c r="P21" s="99" t="s">
        <v>286</v>
      </c>
      <c r="Q21" s="100" t="s">
        <v>288</v>
      </c>
    </row>
    <row r="22" spans="1:17" ht="66" customHeight="1" x14ac:dyDescent="0.25">
      <c r="A22" s="138"/>
      <c r="B22" s="261" t="s">
        <v>279</v>
      </c>
      <c r="C22" s="315"/>
      <c r="D22" s="316"/>
      <c r="E22" s="310"/>
      <c r="F22" s="110"/>
      <c r="G22" s="315"/>
      <c r="H22" s="316"/>
      <c r="I22" s="310"/>
      <c r="J22" s="110"/>
      <c r="K22" s="315"/>
      <c r="L22" s="316"/>
      <c r="M22" s="310"/>
      <c r="N22" s="110"/>
      <c r="O22" s="315"/>
      <c r="P22" s="316"/>
      <c r="Q22" s="310"/>
    </row>
    <row r="23" spans="1:17" x14ac:dyDescent="0.25">
      <c r="A23" s="138"/>
      <c r="B23" s="112" t="str">
        <f>'SUB CPIF RATES (ALL)'!B36</f>
        <v>Indirect Labor Category:  [Labor Fringe]</v>
      </c>
      <c r="C23" s="160">
        <f>E20</f>
        <v>0</v>
      </c>
      <c r="D23" s="188">
        <f>'SUB CPIF RATES (ALL)'!C36</f>
        <v>0</v>
      </c>
      <c r="E23" s="113">
        <f>ROUND(C23*D23,2)</f>
        <v>0</v>
      </c>
      <c r="F23" s="110"/>
      <c r="G23" s="160">
        <f>I20</f>
        <v>0</v>
      </c>
      <c r="H23" s="188">
        <f>'SUB CPIF RATES (ALL)'!D36</f>
        <v>0</v>
      </c>
      <c r="I23" s="113">
        <f>ROUND(G23*H23,2)</f>
        <v>0</v>
      </c>
      <c r="J23" s="110"/>
      <c r="K23" s="160">
        <f>+M20</f>
        <v>0</v>
      </c>
      <c r="L23" s="188">
        <f>'SUB CPIF RATES (ALL)'!E36</f>
        <v>0</v>
      </c>
      <c r="M23" s="113">
        <f>ROUND(K23*L23,2)</f>
        <v>0</v>
      </c>
      <c r="N23" s="110"/>
      <c r="O23" s="160">
        <f>+Q20</f>
        <v>0</v>
      </c>
      <c r="P23" s="188">
        <f>'SUB CPIF RATES (ALL)'!F36</f>
        <v>0</v>
      </c>
      <c r="Q23" s="113">
        <f>ROUND(O23*P23,2)</f>
        <v>0</v>
      </c>
    </row>
    <row r="24" spans="1:17" x14ac:dyDescent="0.25">
      <c r="A24" s="138"/>
      <c r="B24" s="112" t="str">
        <f>'SUB CPIF RATES (ALL)'!B37</f>
        <v>Indirect Labor Category: [Labor Overhead]</v>
      </c>
      <c r="C24" s="160">
        <f>C23+E23</f>
        <v>0</v>
      </c>
      <c r="D24" s="188">
        <f>'SUB CPIF RATES (ALL)'!C37</f>
        <v>0</v>
      </c>
      <c r="E24" s="113">
        <f>ROUND(C24*D24,2)</f>
        <v>0</v>
      </c>
      <c r="F24" s="110"/>
      <c r="G24" s="160">
        <f>G23+I23</f>
        <v>0</v>
      </c>
      <c r="H24" s="188">
        <f>'SUB CPIF RATES (ALL)'!D37</f>
        <v>0</v>
      </c>
      <c r="I24" s="113">
        <f>ROUND(G24*H24,2)</f>
        <v>0</v>
      </c>
      <c r="J24" s="110"/>
      <c r="K24" s="160">
        <f>+K23+M23</f>
        <v>0</v>
      </c>
      <c r="L24" s="188">
        <f>'SUB CPIF RATES (ALL)'!E37</f>
        <v>0</v>
      </c>
      <c r="M24" s="113">
        <f>ROUND(K24*L24,2)</f>
        <v>0</v>
      </c>
      <c r="N24" s="110"/>
      <c r="O24" s="160">
        <f>+O23+Q23</f>
        <v>0</v>
      </c>
      <c r="P24" s="188">
        <f>'SUB CPIF RATES (ALL)'!F37</f>
        <v>0</v>
      </c>
      <c r="Q24" s="113">
        <f>ROUND(O24*P24,2)</f>
        <v>0</v>
      </c>
    </row>
    <row r="25" spans="1:17" x14ac:dyDescent="0.25">
      <c r="A25" s="138"/>
      <c r="B25" s="112" t="str">
        <f>'SUB CPIF RATES (ALL)'!B38</f>
        <v>Indirect Labor Category: [G&amp;A]</v>
      </c>
      <c r="C25" s="160">
        <f>C24+E24</f>
        <v>0</v>
      </c>
      <c r="D25" s="188">
        <f>'SUB CPIF RATES (ALL)'!C38</f>
        <v>0</v>
      </c>
      <c r="E25" s="113">
        <f>ROUND(C25*D25,2)</f>
        <v>0</v>
      </c>
      <c r="F25" s="110"/>
      <c r="G25" s="160">
        <f>G24+I24</f>
        <v>0</v>
      </c>
      <c r="H25" s="188">
        <f>'SUB CPIF RATES (ALL)'!D38</f>
        <v>0</v>
      </c>
      <c r="I25" s="113">
        <f>ROUND(G25*H25,2)</f>
        <v>0</v>
      </c>
      <c r="J25" s="110"/>
      <c r="K25" s="160">
        <f>+K24+M24</f>
        <v>0</v>
      </c>
      <c r="L25" s="188">
        <f>'SUB CPIF RATES (ALL)'!E38</f>
        <v>0</v>
      </c>
      <c r="M25" s="113">
        <f>ROUND(K25*L25,2)</f>
        <v>0</v>
      </c>
      <c r="N25" s="110"/>
      <c r="O25" s="160">
        <f>+O24+Q24</f>
        <v>0</v>
      </c>
      <c r="P25" s="188">
        <f>'SUB CPIF RATES (ALL)'!F38</f>
        <v>0</v>
      </c>
      <c r="Q25" s="113">
        <f>ROUND(O25*P25,2)</f>
        <v>0</v>
      </c>
    </row>
    <row r="26" spans="1:17" x14ac:dyDescent="0.25">
      <c r="A26" s="138"/>
      <c r="B26" s="112" t="str">
        <f>'SUB CPIF RATES (ALL)'!B39</f>
        <v>Indirect Labor Category: [FCCOM]</v>
      </c>
      <c r="C26" s="160">
        <f>C25+E25</f>
        <v>0</v>
      </c>
      <c r="D26" s="188">
        <f>'SUB CPIF RATES (ALL)'!C39</f>
        <v>0</v>
      </c>
      <c r="E26" s="113">
        <f>ROUND(C26*D26,2)</f>
        <v>0</v>
      </c>
      <c r="F26" s="110"/>
      <c r="G26" s="160">
        <f>I20</f>
        <v>0</v>
      </c>
      <c r="H26" s="188">
        <f>'SUB CPIF RATES (ALL)'!D39</f>
        <v>0</v>
      </c>
      <c r="I26" s="113">
        <f>ROUND(G26*H26,2)</f>
        <v>0</v>
      </c>
      <c r="J26" s="110"/>
      <c r="K26" s="160">
        <f>K25+M25</f>
        <v>0</v>
      </c>
      <c r="L26" s="188">
        <f>'SUB CPIF RATES (ALL)'!E39</f>
        <v>0</v>
      </c>
      <c r="M26" s="113">
        <f>ROUND(K26*L26,2)</f>
        <v>0</v>
      </c>
      <c r="N26" s="110"/>
      <c r="O26" s="160">
        <f>O25+Q25</f>
        <v>0</v>
      </c>
      <c r="P26" s="188">
        <f>'SUB CPIF RATES (ALL)'!F39</f>
        <v>0</v>
      </c>
      <c r="Q26" s="113">
        <f>ROUND(O26*P26,2)</f>
        <v>0</v>
      </c>
    </row>
    <row r="27" spans="1:17" x14ac:dyDescent="0.25">
      <c r="A27" s="138"/>
      <c r="B27" s="112" t="str">
        <f>'SUB CPIF RATES (ALL)'!B40</f>
        <v>Indirect Labor Category: [Target Fee]</v>
      </c>
      <c r="C27" s="160">
        <f>C25+E25</f>
        <v>0</v>
      </c>
      <c r="D27" s="188">
        <f>'SUB CPIF RATES (ALL)'!C40</f>
        <v>0</v>
      </c>
      <c r="E27" s="113">
        <f>ROUND(C27*D27,2)</f>
        <v>0</v>
      </c>
      <c r="F27" s="110"/>
      <c r="G27" s="160">
        <f>G25+I25</f>
        <v>0</v>
      </c>
      <c r="H27" s="188">
        <f>'SUB CPIF RATES (ALL)'!D40</f>
        <v>0</v>
      </c>
      <c r="I27" s="113">
        <f>ROUND(G27*H27,2)</f>
        <v>0</v>
      </c>
      <c r="J27" s="110"/>
      <c r="K27" s="160">
        <f>+K25+M25</f>
        <v>0</v>
      </c>
      <c r="L27" s="188">
        <f>'SUB CPIF RATES (ALL)'!E40</f>
        <v>0</v>
      </c>
      <c r="M27" s="113">
        <f>ROUND(K27*L27,2)</f>
        <v>0</v>
      </c>
      <c r="N27" s="110"/>
      <c r="O27" s="160">
        <f>+O25+Q25</f>
        <v>0</v>
      </c>
      <c r="P27" s="188">
        <f>'SUB CPIF RATES (ALL)'!F40</f>
        <v>0</v>
      </c>
      <c r="Q27" s="113">
        <f>ROUND(O27*P27,2)</f>
        <v>0</v>
      </c>
    </row>
    <row r="28" spans="1:17" x14ac:dyDescent="0.25">
      <c r="A28" s="138"/>
      <c r="B28" s="205" t="s">
        <v>185</v>
      </c>
      <c r="C28" s="155"/>
      <c r="D28" s="156"/>
      <c r="E28" s="175">
        <f>ROUND(SUM(E20,E23,E24,E25),2)</f>
        <v>0</v>
      </c>
      <c r="F28" s="110"/>
      <c r="G28" s="151"/>
      <c r="H28" s="152"/>
      <c r="I28" s="175">
        <f>ROUND(SUM(I20,I23,I24,I25),2)</f>
        <v>0</v>
      </c>
      <c r="J28" s="110"/>
      <c r="K28" s="151"/>
      <c r="L28" s="152"/>
      <c r="M28" s="175">
        <f>ROUND(SUM(M20,M23,M24,M25),2)</f>
        <v>0</v>
      </c>
      <c r="N28" s="110"/>
      <c r="O28" s="151"/>
      <c r="P28" s="152"/>
      <c r="Q28" s="175">
        <f>ROUND(SUM(Q20,Q23,Q24,Q25),2)</f>
        <v>0</v>
      </c>
    </row>
    <row r="29" spans="1:17" x14ac:dyDescent="0.25">
      <c r="A29" s="138"/>
      <c r="B29" s="205" t="s">
        <v>204</v>
      </c>
      <c r="C29" s="155"/>
      <c r="D29" s="156"/>
      <c r="E29" s="175">
        <f>ROUND(E26,2)</f>
        <v>0</v>
      </c>
      <c r="F29" s="110"/>
      <c r="G29" s="151"/>
      <c r="H29" s="152"/>
      <c r="I29" s="175">
        <f>ROUND(I26,2)</f>
        <v>0</v>
      </c>
      <c r="J29" s="110"/>
      <c r="K29" s="151"/>
      <c r="L29" s="152"/>
      <c r="M29" s="175">
        <f>ROUND(M26,2)</f>
        <v>0</v>
      </c>
      <c r="N29" s="110"/>
      <c r="O29" s="151"/>
      <c r="P29" s="152"/>
      <c r="Q29" s="175">
        <f>ROUND(Q26,2)</f>
        <v>0</v>
      </c>
    </row>
    <row r="30" spans="1:17" x14ac:dyDescent="0.25">
      <c r="A30" s="138"/>
      <c r="B30" s="205" t="s">
        <v>71</v>
      </c>
      <c r="C30" s="155"/>
      <c r="D30" s="156"/>
      <c r="E30" s="190">
        <f>ROUND(E27,2)</f>
        <v>0</v>
      </c>
      <c r="F30" s="115"/>
      <c r="G30" s="151"/>
      <c r="H30" s="152"/>
      <c r="I30" s="190">
        <f>ROUND(I27,2)</f>
        <v>0</v>
      </c>
      <c r="J30" s="115"/>
      <c r="K30" s="151"/>
      <c r="L30" s="152"/>
      <c r="M30" s="190">
        <f>ROUND(M27,2)</f>
        <v>0</v>
      </c>
      <c r="N30" s="115"/>
      <c r="O30" s="151"/>
      <c r="P30" s="152"/>
      <c r="Q30" s="190">
        <f>ROUND(Q27,2)</f>
        <v>0</v>
      </c>
    </row>
    <row r="31" spans="1:17" ht="16.5" thickBot="1" x14ac:dyDescent="0.3">
      <c r="A31" s="138"/>
      <c r="B31" s="206" t="s">
        <v>73</v>
      </c>
      <c r="C31" s="157"/>
      <c r="D31" s="158"/>
      <c r="E31" s="191">
        <f>ROUND(SUM(E28:E30),2)</f>
        <v>0</v>
      </c>
      <c r="F31" s="116"/>
      <c r="G31" s="153"/>
      <c r="H31" s="154"/>
      <c r="I31" s="191">
        <f>ROUND(SUM(I28:I30),2)</f>
        <v>0</v>
      </c>
      <c r="J31" s="116"/>
      <c r="K31" s="153"/>
      <c r="L31" s="154"/>
      <c r="M31" s="191">
        <f>ROUND(SUM(M28:M30),2)</f>
        <v>0</v>
      </c>
      <c r="N31" s="116"/>
      <c r="O31" s="153"/>
      <c r="P31" s="154"/>
      <c r="Q31" s="191">
        <f>ROUND(SUM(Q28:Q30),2)</f>
        <v>0</v>
      </c>
    </row>
    <row r="32" spans="1:17" ht="23.25" customHeight="1" thickBot="1" x14ac:dyDescent="0.3">
      <c r="A32" s="138"/>
      <c r="B32" s="117"/>
      <c r="C32" s="118"/>
      <c r="D32" s="118"/>
      <c r="E32" s="118"/>
      <c r="F32" s="199"/>
      <c r="G32" s="118"/>
      <c r="H32" s="118"/>
      <c r="I32" s="118"/>
      <c r="J32" s="199"/>
      <c r="K32" s="118"/>
      <c r="L32" s="118"/>
      <c r="M32" s="118"/>
      <c r="N32" s="110"/>
      <c r="O32" s="118"/>
      <c r="P32" s="118"/>
      <c r="Q32" s="118"/>
    </row>
    <row r="33" spans="1:17" ht="16.5" customHeight="1" thickBot="1" x14ac:dyDescent="0.3">
      <c r="A33" s="138"/>
      <c r="B33" s="523" t="s">
        <v>454</v>
      </c>
      <c r="C33" s="490" t="s">
        <v>80</v>
      </c>
      <c r="D33" s="491"/>
      <c r="E33" s="492"/>
      <c r="F33" s="120"/>
      <c r="G33" s="490" t="s">
        <v>80</v>
      </c>
      <c r="H33" s="491"/>
      <c r="I33" s="492"/>
      <c r="J33" s="120"/>
      <c r="K33" s="490" t="s">
        <v>80</v>
      </c>
      <c r="L33" s="491"/>
      <c r="M33" s="492"/>
      <c r="N33" s="120"/>
      <c r="O33" s="490" t="s">
        <v>80</v>
      </c>
      <c r="P33" s="491"/>
      <c r="Q33" s="492"/>
    </row>
    <row r="34" spans="1:17" ht="16.5" thickBot="1" x14ac:dyDescent="0.3">
      <c r="A34" s="138"/>
      <c r="B34" s="524"/>
      <c r="C34" s="520" t="str">
        <f>C17</f>
        <v>CLIN 0001 - Basic Period (Year 1)</v>
      </c>
      <c r="D34" s="521"/>
      <c r="E34" s="522"/>
      <c r="F34" s="121"/>
      <c r="G34" s="520" t="str">
        <f>G17</f>
        <v>CLIN 0001 - Basic Period (Year 2)</v>
      </c>
      <c r="H34" s="521"/>
      <c r="I34" s="522"/>
      <c r="J34" s="121"/>
      <c r="K34" s="520" t="str">
        <f>K17</f>
        <v>CLIN 0001 - Basic Period (Year 3)</v>
      </c>
      <c r="L34" s="521"/>
      <c r="M34" s="522"/>
      <c r="N34" s="121"/>
      <c r="O34" s="520" t="str">
        <f>O17</f>
        <v>CLIN 0001 - Basic Period (Year 4)</v>
      </c>
      <c r="P34" s="521"/>
      <c r="Q34" s="522"/>
    </row>
    <row r="35" spans="1:17" x14ac:dyDescent="0.25">
      <c r="A35" s="138"/>
      <c r="B35" s="192"/>
      <c r="C35" s="98" t="str">
        <f>C21</f>
        <v>Base Cost</v>
      </c>
      <c r="D35" s="99" t="str">
        <f>D21</f>
        <v>Rate</v>
      </c>
      <c r="E35" s="100" t="s">
        <v>88</v>
      </c>
      <c r="F35" s="111"/>
      <c r="G35" s="98" t="str">
        <f>G21</f>
        <v>Base Cost</v>
      </c>
      <c r="H35" s="99" t="str">
        <f>H21</f>
        <v>Rate</v>
      </c>
      <c r="I35" s="100" t="s">
        <v>88</v>
      </c>
      <c r="J35" s="111"/>
      <c r="K35" s="98" t="str">
        <f>K21</f>
        <v>Base Cost</v>
      </c>
      <c r="L35" s="99" t="str">
        <f>L21</f>
        <v>Rate</v>
      </c>
      <c r="M35" s="100" t="s">
        <v>88</v>
      </c>
      <c r="N35" s="111"/>
      <c r="O35" s="98" t="str">
        <f>O21</f>
        <v>Base Cost</v>
      </c>
      <c r="P35" s="99" t="str">
        <f>P21</f>
        <v>Rate</v>
      </c>
      <c r="Q35" s="100" t="s">
        <v>88</v>
      </c>
    </row>
    <row r="36" spans="1:17" ht="51.75" customHeight="1" x14ac:dyDescent="0.25">
      <c r="A36" s="138"/>
      <c r="B36" s="240" t="s">
        <v>445</v>
      </c>
      <c r="C36" s="176"/>
      <c r="D36" s="177"/>
      <c r="E36" s="310">
        <f>'SUB CPIF TOTAL MATERIAL'!E12</f>
        <v>0</v>
      </c>
      <c r="F36" s="110"/>
      <c r="G36" s="176"/>
      <c r="H36" s="177"/>
      <c r="I36" s="310">
        <f>'SUB CPIF TOTAL MATERIAL'!G12</f>
        <v>0</v>
      </c>
      <c r="J36" s="110"/>
      <c r="K36" s="176"/>
      <c r="L36" s="177"/>
      <c r="M36" s="310">
        <f>'SUB CPIF TOTAL MATERIAL'!I12</f>
        <v>0</v>
      </c>
      <c r="N36" s="110"/>
      <c r="O36" s="176"/>
      <c r="P36" s="177"/>
      <c r="Q36" s="310">
        <f>'SUB CPIF TOTAL MATERIAL'!K12</f>
        <v>0</v>
      </c>
    </row>
    <row r="37" spans="1:17" ht="67.5" customHeight="1" x14ac:dyDescent="0.25">
      <c r="A37" s="138"/>
      <c r="B37" s="261" t="s">
        <v>446</v>
      </c>
      <c r="C37" s="315"/>
      <c r="D37" s="316"/>
      <c r="E37" s="310"/>
      <c r="F37" s="110"/>
      <c r="G37" s="315"/>
      <c r="H37" s="316"/>
      <c r="I37" s="310"/>
      <c r="J37" s="110"/>
      <c r="K37" s="315"/>
      <c r="L37" s="316"/>
      <c r="M37" s="310"/>
      <c r="N37" s="110"/>
      <c r="O37" s="315"/>
      <c r="P37" s="316"/>
      <c r="Q37" s="310"/>
    </row>
    <row r="38" spans="1:17" x14ac:dyDescent="0.25">
      <c r="A38" s="138"/>
      <c r="B38" s="112" t="str">
        <f>'SUB CPIF RATES (ALL)'!B53</f>
        <v>Indirect Category: [Material Overhead]</v>
      </c>
      <c r="C38" s="160">
        <f>E36</f>
        <v>0</v>
      </c>
      <c r="D38" s="188">
        <f>'SUB CPIF RATES (ALL)'!C53</f>
        <v>0</v>
      </c>
      <c r="E38" s="113">
        <f>ROUND(C38*D38,2)</f>
        <v>0</v>
      </c>
      <c r="F38" s="123"/>
      <c r="G38" s="160">
        <f>I36</f>
        <v>0</v>
      </c>
      <c r="H38" s="188">
        <f>'SUB CPIF RATES (ALL)'!D53</f>
        <v>0</v>
      </c>
      <c r="I38" s="113">
        <f>ROUND(G38*H38,2)</f>
        <v>0</v>
      </c>
      <c r="J38" s="123"/>
      <c r="K38" s="160">
        <f>M36</f>
        <v>0</v>
      </c>
      <c r="L38" s="188">
        <f>'SUB CPIF RATES (ALL)'!E53</f>
        <v>0</v>
      </c>
      <c r="M38" s="113">
        <f>ROUND(K38*L38,2)</f>
        <v>0</v>
      </c>
      <c r="N38" s="123"/>
      <c r="O38" s="160">
        <f>Q36</f>
        <v>0</v>
      </c>
      <c r="P38" s="188">
        <f>'SUB CPIF RATES (ALL)'!F53</f>
        <v>0</v>
      </c>
      <c r="Q38" s="113">
        <f>ROUND(O38*P38,2)</f>
        <v>0</v>
      </c>
    </row>
    <row r="39" spans="1:17" x14ac:dyDescent="0.25">
      <c r="A39" s="138"/>
      <c r="B39" s="112" t="str">
        <f>'SUB CPIF RATES (ALL)'!B54</f>
        <v>Indirect Category: [G&amp;A]</v>
      </c>
      <c r="C39" s="160">
        <f>E36+E38</f>
        <v>0</v>
      </c>
      <c r="D39" s="188">
        <f>'SUB CPIF RATES (ALL)'!C54</f>
        <v>0</v>
      </c>
      <c r="E39" s="113">
        <f>ROUND(C39*D39,2)</f>
        <v>0</v>
      </c>
      <c r="F39" s="123"/>
      <c r="G39" s="160">
        <f>I36+I38</f>
        <v>0</v>
      </c>
      <c r="H39" s="188">
        <f>'SUB CPIF RATES (ALL)'!D54</f>
        <v>0</v>
      </c>
      <c r="I39" s="113">
        <f>ROUND(G39*H39,2)</f>
        <v>0</v>
      </c>
      <c r="J39" s="123"/>
      <c r="K39" s="160">
        <f>M36+M38</f>
        <v>0</v>
      </c>
      <c r="L39" s="188">
        <f>'SUB CPIF RATES (ALL)'!E54</f>
        <v>0</v>
      </c>
      <c r="M39" s="113">
        <f>ROUND(K39*L39,2)</f>
        <v>0</v>
      </c>
      <c r="N39" s="123"/>
      <c r="O39" s="160">
        <f>Q36+Q38</f>
        <v>0</v>
      </c>
      <c r="P39" s="188">
        <f>'SUB CPIF RATES (ALL)'!F54</f>
        <v>0</v>
      </c>
      <c r="Q39" s="113">
        <f>ROUND(O39*P39,2)</f>
        <v>0</v>
      </c>
    </row>
    <row r="40" spans="1:17" x14ac:dyDescent="0.25">
      <c r="A40" s="138"/>
      <c r="B40" s="112" t="str">
        <f>'SUB CPIF RATES (ALL)'!B55</f>
        <v>Indirect Category: [FCCOM]</v>
      </c>
      <c r="C40" s="160">
        <f>C39+E39</f>
        <v>0</v>
      </c>
      <c r="D40" s="188">
        <f>'SUB CPIF RATES (ALL)'!C55</f>
        <v>0</v>
      </c>
      <c r="E40" s="113">
        <f>ROUND(C40*D40,2)</f>
        <v>0</v>
      </c>
      <c r="F40" s="110"/>
      <c r="G40" s="160">
        <f>G39+I39</f>
        <v>0</v>
      </c>
      <c r="H40" s="188">
        <f>'SUB CPIF RATES (ALL)'!D55</f>
        <v>0</v>
      </c>
      <c r="I40" s="113">
        <f>ROUND(G40*H40,2)</f>
        <v>0</v>
      </c>
      <c r="J40" s="110"/>
      <c r="K40" s="160">
        <f>K39+M39</f>
        <v>0</v>
      </c>
      <c r="L40" s="188">
        <f>'SUB CPIF RATES (ALL)'!E55</f>
        <v>0</v>
      </c>
      <c r="M40" s="113">
        <f>ROUND(K40*L40,2)</f>
        <v>0</v>
      </c>
      <c r="N40" s="110"/>
      <c r="O40" s="160">
        <f>O39+Q39</f>
        <v>0</v>
      </c>
      <c r="P40" s="188">
        <f>'SUB CPIF RATES (ALL)'!F55</f>
        <v>0</v>
      </c>
      <c r="Q40" s="113">
        <f>ROUND(O40*P40,2)</f>
        <v>0</v>
      </c>
    </row>
    <row r="41" spans="1:17" x14ac:dyDescent="0.25">
      <c r="A41" s="138"/>
      <c r="B41" s="112" t="str">
        <f>'SUB CPIF RATES (ALL)'!B56</f>
        <v>Indirect Category: [Target Fee]</v>
      </c>
      <c r="C41" s="160">
        <f>C39+E39</f>
        <v>0</v>
      </c>
      <c r="D41" s="188">
        <f>'SUB CPIF RATES (ALL)'!C56</f>
        <v>0</v>
      </c>
      <c r="E41" s="113">
        <f>ROUND(C41*D41,2)</f>
        <v>0</v>
      </c>
      <c r="F41" s="110"/>
      <c r="G41" s="160">
        <f>G39+I39</f>
        <v>0</v>
      </c>
      <c r="H41" s="188">
        <f>'SUB CPIF RATES (ALL)'!D56</f>
        <v>0</v>
      </c>
      <c r="I41" s="113">
        <f>ROUND(G41*H41,2)</f>
        <v>0</v>
      </c>
      <c r="J41" s="110"/>
      <c r="K41" s="160">
        <f>K39+M39</f>
        <v>0</v>
      </c>
      <c r="L41" s="188">
        <f>'SUB CPIF RATES (ALL)'!E56</f>
        <v>0</v>
      </c>
      <c r="M41" s="113">
        <f>ROUND(K41*L41,2)</f>
        <v>0</v>
      </c>
      <c r="N41" s="110"/>
      <c r="O41" s="160">
        <f>O39+Q39</f>
        <v>0</v>
      </c>
      <c r="P41" s="188">
        <f>'SUB CPIF RATES (ALL)'!F56</f>
        <v>0</v>
      </c>
      <c r="Q41" s="113">
        <f>ROUND(O41*P41,2)</f>
        <v>0</v>
      </c>
    </row>
    <row r="42" spans="1:17" x14ac:dyDescent="0.25">
      <c r="A42" s="138"/>
      <c r="B42" s="186" t="s">
        <v>186</v>
      </c>
      <c r="C42" s="178"/>
      <c r="D42" s="179"/>
      <c r="E42" s="113">
        <f>ROUND(SUM(E36:E39),2)</f>
        <v>0</v>
      </c>
      <c r="F42" s="110"/>
      <c r="G42" s="178"/>
      <c r="H42" s="179"/>
      <c r="I42" s="113">
        <f>ROUND(SUM(I36:I39),2)</f>
        <v>0</v>
      </c>
      <c r="J42" s="110"/>
      <c r="K42" s="178"/>
      <c r="L42" s="179"/>
      <c r="M42" s="113">
        <f>ROUND(SUM(M36:M39),2)</f>
        <v>0</v>
      </c>
      <c r="N42" s="110"/>
      <c r="O42" s="178"/>
      <c r="P42" s="179"/>
      <c r="Q42" s="113">
        <f>ROUND(SUM(Q36:Q39),2)</f>
        <v>0</v>
      </c>
    </row>
    <row r="43" spans="1:17" x14ac:dyDescent="0.25">
      <c r="A43" s="138"/>
      <c r="B43" s="186" t="s">
        <v>204</v>
      </c>
      <c r="C43" s="176"/>
      <c r="D43" s="180"/>
      <c r="E43" s="113">
        <f>ROUND(E40,2)</f>
        <v>0</v>
      </c>
      <c r="F43" s="110"/>
      <c r="G43" s="176"/>
      <c r="H43" s="180"/>
      <c r="I43" s="113">
        <f>ROUND(I40,2)</f>
        <v>0</v>
      </c>
      <c r="J43" s="110"/>
      <c r="K43" s="176"/>
      <c r="L43" s="180"/>
      <c r="M43" s="113">
        <f>ROUND(M40,2)</f>
        <v>0</v>
      </c>
      <c r="N43" s="110"/>
      <c r="O43" s="176"/>
      <c r="P43" s="180"/>
      <c r="Q43" s="113">
        <f>ROUND(Q40,2)</f>
        <v>0</v>
      </c>
    </row>
    <row r="44" spans="1:17" x14ac:dyDescent="0.2">
      <c r="B44" s="186" t="s">
        <v>71</v>
      </c>
      <c r="C44" s="176"/>
      <c r="D44" s="180"/>
      <c r="E44" s="127">
        <f>ROUND(E41,2)</f>
        <v>0</v>
      </c>
      <c r="F44" s="128"/>
      <c r="G44" s="176"/>
      <c r="H44" s="180"/>
      <c r="I44" s="127">
        <f>ROUND(I41,2)</f>
        <v>0</v>
      </c>
      <c r="J44" s="128"/>
      <c r="K44" s="176"/>
      <c r="L44" s="180"/>
      <c r="M44" s="127">
        <f>ROUND(M41,2)</f>
        <v>0</v>
      </c>
      <c r="N44" s="128"/>
      <c r="O44" s="176"/>
      <c r="P44" s="180"/>
      <c r="Q44" s="127">
        <f>ROUND(Q41,2)</f>
        <v>0</v>
      </c>
    </row>
    <row r="45" spans="1:17" ht="16.5" thickBot="1" x14ac:dyDescent="0.25">
      <c r="B45" s="187" t="s">
        <v>173</v>
      </c>
      <c r="C45" s="181"/>
      <c r="D45" s="182"/>
      <c r="E45" s="105">
        <f>SUM(E42:E44)</f>
        <v>0</v>
      </c>
      <c r="F45" s="106"/>
      <c r="G45" s="181"/>
      <c r="H45" s="182"/>
      <c r="I45" s="105">
        <f>SUM(I42:I44)</f>
        <v>0</v>
      </c>
      <c r="J45" s="106"/>
      <c r="K45" s="181"/>
      <c r="L45" s="182"/>
      <c r="M45" s="105">
        <f>SUM(M42:M44)</f>
        <v>0</v>
      </c>
      <c r="N45" s="106"/>
      <c r="O45" s="181"/>
      <c r="P45" s="182"/>
      <c r="Q45" s="105">
        <f>SUM(Q42:Q44)</f>
        <v>0</v>
      </c>
    </row>
    <row r="46" spans="1:17" ht="21.75" customHeight="1" thickBot="1" x14ac:dyDescent="0.25">
      <c r="B46" s="117"/>
      <c r="E46" s="194"/>
      <c r="F46" s="194"/>
      <c r="G46" s="194"/>
      <c r="H46" s="194"/>
      <c r="I46" s="194"/>
      <c r="J46" s="194"/>
      <c r="K46" s="194"/>
      <c r="N46" s="132"/>
      <c r="O46" s="194"/>
    </row>
    <row r="47" spans="1:17" ht="16.5" thickBot="1" x14ac:dyDescent="0.3">
      <c r="B47" s="523" t="str">
        <f>B16</f>
        <v>CLIN 0001 (CPIF)                                                    TASK 1.01 DEVELOPMENT THROUGH PDR</v>
      </c>
      <c r="C47" s="490" t="s">
        <v>212</v>
      </c>
      <c r="D47" s="491"/>
      <c r="E47" s="492"/>
      <c r="F47" s="120"/>
      <c r="G47" s="490" t="s">
        <v>212</v>
      </c>
      <c r="H47" s="491"/>
      <c r="I47" s="492"/>
      <c r="J47" s="120"/>
      <c r="K47" s="490" t="s">
        <v>212</v>
      </c>
      <c r="L47" s="491"/>
      <c r="M47" s="492"/>
      <c r="N47" s="120"/>
      <c r="O47" s="490" t="s">
        <v>212</v>
      </c>
      <c r="P47" s="491"/>
      <c r="Q47" s="492"/>
    </row>
    <row r="48" spans="1:17" ht="16.5" thickBot="1" x14ac:dyDescent="0.3">
      <c r="B48" s="524"/>
      <c r="C48" s="520" t="str">
        <f>C34</f>
        <v>CLIN 0001 - Basic Period (Year 1)</v>
      </c>
      <c r="D48" s="521"/>
      <c r="E48" s="522"/>
      <c r="F48" s="121"/>
      <c r="G48" s="520" t="str">
        <f>G34</f>
        <v>CLIN 0001 - Basic Period (Year 2)</v>
      </c>
      <c r="H48" s="521"/>
      <c r="I48" s="522"/>
      <c r="J48" s="121"/>
      <c r="K48" s="520" t="str">
        <f>K34</f>
        <v>CLIN 0001 - Basic Period (Year 3)</v>
      </c>
      <c r="L48" s="521"/>
      <c r="M48" s="522"/>
      <c r="N48" s="121"/>
      <c r="O48" s="520" t="str">
        <f>O34</f>
        <v>CLIN 0001 - Basic Period (Year 4)</v>
      </c>
      <c r="P48" s="521"/>
      <c r="Q48" s="522"/>
    </row>
    <row r="49" spans="1:17" x14ac:dyDescent="0.25">
      <c r="B49" s="193"/>
      <c r="C49" s="98" t="str">
        <f>C35</f>
        <v>Base Cost</v>
      </c>
      <c r="D49" s="99" t="str">
        <f>D35</f>
        <v>Rate</v>
      </c>
      <c r="E49" s="100" t="s">
        <v>287</v>
      </c>
      <c r="F49" s="111"/>
      <c r="G49" s="98" t="str">
        <f>G35</f>
        <v>Base Cost</v>
      </c>
      <c r="H49" s="99" t="str">
        <f>H35</f>
        <v>Rate</v>
      </c>
      <c r="I49" s="100" t="s">
        <v>287</v>
      </c>
      <c r="J49" s="111"/>
      <c r="K49" s="98" t="str">
        <f>K35</f>
        <v>Base Cost</v>
      </c>
      <c r="L49" s="99" t="str">
        <f>L35</f>
        <v>Rate</v>
      </c>
      <c r="M49" s="100" t="s">
        <v>287</v>
      </c>
      <c r="N49" s="111"/>
      <c r="O49" s="98" t="str">
        <f>O35</f>
        <v>Base Cost</v>
      </c>
      <c r="P49" s="99" t="str">
        <f>P35</f>
        <v>Rate</v>
      </c>
      <c r="Q49" s="100" t="s">
        <v>287</v>
      </c>
    </row>
    <row r="50" spans="1:17" ht="25.5" x14ac:dyDescent="0.2">
      <c r="B50" s="240" t="s">
        <v>447</v>
      </c>
      <c r="C50" s="226"/>
      <c r="D50" s="226"/>
      <c r="E50" s="262">
        <f>'SUB CPIF TOTAL SUB'!E12</f>
        <v>0</v>
      </c>
      <c r="F50" s="229"/>
      <c r="G50" s="176"/>
      <c r="H50" s="226"/>
      <c r="I50" s="262">
        <f>'SUB CPIF TOTAL SUB'!G12</f>
        <v>0</v>
      </c>
      <c r="J50" s="229"/>
      <c r="K50" s="176"/>
      <c r="L50" s="226"/>
      <c r="M50" s="262">
        <f>'SUB CPIF TOTAL SUB'!I12</f>
        <v>0</v>
      </c>
      <c r="N50" s="110"/>
      <c r="O50" s="176"/>
      <c r="P50" s="226"/>
      <c r="Q50" s="262">
        <f>'SUB CPIF TOTAL SUB'!K12</f>
        <v>0</v>
      </c>
    </row>
    <row r="51" spans="1:17" ht="76.5" x14ac:dyDescent="0.2">
      <c r="B51" s="261" t="s">
        <v>448</v>
      </c>
      <c r="C51" s="527" t="s">
        <v>1</v>
      </c>
      <c r="D51" s="528"/>
      <c r="E51" s="529"/>
      <c r="F51" s="123"/>
      <c r="G51" s="530"/>
      <c r="H51" s="528"/>
      <c r="I51" s="529"/>
      <c r="J51" s="123"/>
      <c r="K51" s="530"/>
      <c r="L51" s="528"/>
      <c r="M51" s="529"/>
      <c r="N51" s="123"/>
      <c r="O51" s="530"/>
      <c r="P51" s="528"/>
      <c r="Q51" s="529"/>
    </row>
    <row r="52" spans="1:17" x14ac:dyDescent="0.2">
      <c r="B52" s="228" t="str">
        <f>'SUB CPIF RATES (ALL)'!B45</f>
        <v>Indirect Category: [Overhead]</v>
      </c>
      <c r="C52" s="227">
        <f>E50</f>
        <v>0</v>
      </c>
      <c r="D52" s="188">
        <f>'SUB CPIF RATES (ALL)'!C45</f>
        <v>0</v>
      </c>
      <c r="E52" s="113">
        <f>ROUND(C52*D52,2)</f>
        <v>0</v>
      </c>
      <c r="F52" s="123"/>
      <c r="G52" s="160">
        <f>I50</f>
        <v>0</v>
      </c>
      <c r="H52" s="188">
        <f>'SUB CPIF RATES (ALL)'!D45</f>
        <v>0</v>
      </c>
      <c r="I52" s="113">
        <f>ROUND(G52*H52,2)</f>
        <v>0</v>
      </c>
      <c r="J52" s="123"/>
      <c r="K52" s="160">
        <f>M50</f>
        <v>0</v>
      </c>
      <c r="L52" s="188">
        <f>'SUB CPIF RATES (ALL)'!E45</f>
        <v>0</v>
      </c>
      <c r="M52" s="113">
        <f>ROUND(K52*L52,2)</f>
        <v>0</v>
      </c>
      <c r="N52" s="123"/>
      <c r="O52" s="160">
        <f>Q50</f>
        <v>0</v>
      </c>
      <c r="P52" s="188">
        <f>'SUB CPIF RATES (ALL)'!F45</f>
        <v>0</v>
      </c>
      <c r="Q52" s="113">
        <f>ROUND(O52*P52,2)</f>
        <v>0</v>
      </c>
    </row>
    <row r="53" spans="1:17" x14ac:dyDescent="0.2">
      <c r="B53" s="228" t="str">
        <f>'SUB CPIF RATES (ALL)'!B46</f>
        <v>Indirect Category: [G&amp;A]</v>
      </c>
      <c r="C53" s="227">
        <f>C52+E52</f>
        <v>0</v>
      </c>
      <c r="D53" s="188">
        <f>'SUB CPIF RATES (ALL)'!C46</f>
        <v>0</v>
      </c>
      <c r="E53" s="113">
        <f>ROUND(C53*D53,2)</f>
        <v>0</v>
      </c>
      <c r="F53" s="229"/>
      <c r="G53" s="227">
        <f>G52+I52</f>
        <v>0</v>
      </c>
      <c r="H53" s="188">
        <f>'SUB CPIF RATES (ALL)'!D46</f>
        <v>0</v>
      </c>
      <c r="I53" s="113">
        <f>ROUND(G53*H53,2)</f>
        <v>0</v>
      </c>
      <c r="J53" s="229"/>
      <c r="K53" s="227">
        <f>K52+M52</f>
        <v>0</v>
      </c>
      <c r="L53" s="188">
        <f>'SUB CPIF RATES (ALL)'!E46</f>
        <v>0</v>
      </c>
      <c r="M53" s="113">
        <f>ROUND(K53*L53,2)</f>
        <v>0</v>
      </c>
      <c r="N53" s="110"/>
      <c r="O53" s="227">
        <f>O52+Q52</f>
        <v>0</v>
      </c>
      <c r="P53" s="188">
        <f>'SUB CPIF RATES (ALL)'!F46</f>
        <v>0</v>
      </c>
      <c r="Q53" s="113">
        <f>ROUND(O53*P53,2)</f>
        <v>0</v>
      </c>
    </row>
    <row r="54" spans="1:17" x14ac:dyDescent="0.2">
      <c r="B54" s="266" t="str">
        <f>'SUB CPIF RATES (ALL)'!B47</f>
        <v>Indirect Category: [FCCOM]</v>
      </c>
      <c r="C54" s="159">
        <f>C53+E53</f>
        <v>0</v>
      </c>
      <c r="D54" s="188">
        <f>'SUB CPIF RATES (ALL)'!C47</f>
        <v>0</v>
      </c>
      <c r="E54" s="268">
        <f>ROUND(C54*D54,2)</f>
        <v>0</v>
      </c>
      <c r="F54" s="229"/>
      <c r="G54" s="159">
        <f>G53+I53</f>
        <v>0</v>
      </c>
      <c r="H54" s="188">
        <f>'SUB CPIF RATES (ALL)'!D47</f>
        <v>0</v>
      </c>
      <c r="I54" s="268">
        <f>ROUND(G54*H54,2)</f>
        <v>0</v>
      </c>
      <c r="J54" s="229"/>
      <c r="K54" s="159">
        <f>K53+M53</f>
        <v>0</v>
      </c>
      <c r="L54" s="188">
        <f>'SUB CPIF RATES (ALL)'!E47</f>
        <v>0</v>
      </c>
      <c r="M54" s="268">
        <f>ROUND(K54*L54,2)</f>
        <v>0</v>
      </c>
      <c r="N54" s="110"/>
      <c r="O54" s="159">
        <f>O53+Q53</f>
        <v>0</v>
      </c>
      <c r="P54" s="188">
        <f>'SUB CPIF RATES (ALL)'!F47</f>
        <v>0</v>
      </c>
      <c r="Q54" s="268">
        <f>ROUND(O54*P54,2)</f>
        <v>0</v>
      </c>
    </row>
    <row r="55" spans="1:17" x14ac:dyDescent="0.2">
      <c r="B55" s="112" t="str">
        <f>'SUB CPIF RATES (ALL)'!B48</f>
        <v>Indirect Category: [Target Fee]</v>
      </c>
      <c r="C55" s="159">
        <f>C53+E53</f>
        <v>0</v>
      </c>
      <c r="D55" s="188">
        <f>'SUB CPIF RATES (ALL)'!C48</f>
        <v>0</v>
      </c>
      <c r="E55" s="268">
        <f>ROUND(C55*D55,2)</f>
        <v>0</v>
      </c>
      <c r="F55" s="229"/>
      <c r="G55" s="159">
        <f>G53+I53</f>
        <v>0</v>
      </c>
      <c r="H55" s="188">
        <f>'SUB CPIF RATES (ALL)'!D48</f>
        <v>0</v>
      </c>
      <c r="I55" s="268">
        <f>ROUND(G55*H55,2)</f>
        <v>0</v>
      </c>
      <c r="J55" s="229"/>
      <c r="K55" s="159">
        <f>K53+M53</f>
        <v>0</v>
      </c>
      <c r="L55" s="188">
        <f>'SUB CPIF RATES (ALL)'!E48</f>
        <v>0</v>
      </c>
      <c r="M55" s="268">
        <f>ROUND(K55*L55,2)</f>
        <v>0</v>
      </c>
      <c r="N55" s="110"/>
      <c r="O55" s="159">
        <f>O53+Q53</f>
        <v>0</v>
      </c>
      <c r="P55" s="188">
        <f>'SUB CPIF RATES (ALL)'!F48</f>
        <v>0</v>
      </c>
      <c r="Q55" s="268">
        <f>ROUND(O55*P55,2)</f>
        <v>0</v>
      </c>
    </row>
    <row r="56" spans="1:17" x14ac:dyDescent="0.2">
      <c r="B56" s="186" t="s">
        <v>214</v>
      </c>
      <c r="C56" s="178"/>
      <c r="D56" s="179"/>
      <c r="E56" s="113">
        <f>ROUND(E50+E52+E53,2)</f>
        <v>0</v>
      </c>
      <c r="F56" s="229"/>
      <c r="G56" s="178"/>
      <c r="H56" s="179"/>
      <c r="I56" s="113">
        <f>ROUND(I50+I52+I53,2)</f>
        <v>0</v>
      </c>
      <c r="J56" s="229"/>
      <c r="K56" s="178"/>
      <c r="L56" s="179"/>
      <c r="M56" s="113">
        <f>ROUND(M50+M52+M53,2)</f>
        <v>0</v>
      </c>
      <c r="N56" s="110"/>
      <c r="O56" s="178"/>
      <c r="P56" s="179"/>
      <c r="Q56" s="113">
        <f>ROUND(Q50+Q52+Q53,2)</f>
        <v>0</v>
      </c>
    </row>
    <row r="57" spans="1:17" x14ac:dyDescent="0.2">
      <c r="B57" s="186" t="s">
        <v>204</v>
      </c>
      <c r="C57" s="176"/>
      <c r="D57" s="180"/>
      <c r="E57" s="113">
        <f>ROUND(E54,2)</f>
        <v>0</v>
      </c>
      <c r="F57" s="229"/>
      <c r="G57" s="176"/>
      <c r="H57" s="180"/>
      <c r="I57" s="113">
        <f>ROUND(I54,2)</f>
        <v>0</v>
      </c>
      <c r="J57" s="229"/>
      <c r="K57" s="176"/>
      <c r="L57" s="180"/>
      <c r="M57" s="113">
        <f>ROUND(M54,2)</f>
        <v>0</v>
      </c>
      <c r="N57" s="110"/>
      <c r="O57" s="176"/>
      <c r="P57" s="180"/>
      <c r="Q57" s="113">
        <f>ROUND(Q54,2)</f>
        <v>0</v>
      </c>
    </row>
    <row r="58" spans="1:17" x14ac:dyDescent="0.2">
      <c r="B58" s="186" t="s">
        <v>71</v>
      </c>
      <c r="C58" s="176"/>
      <c r="D58" s="180"/>
      <c r="E58" s="127">
        <f>ROUND(E55,2)</f>
        <v>0</v>
      </c>
      <c r="F58" s="128"/>
      <c r="G58" s="176"/>
      <c r="H58" s="180"/>
      <c r="I58" s="127">
        <f>ROUND(I55,2)</f>
        <v>0</v>
      </c>
      <c r="J58" s="128"/>
      <c r="K58" s="176"/>
      <c r="L58" s="180"/>
      <c r="M58" s="127">
        <f>ROUND(M55,2)</f>
        <v>0</v>
      </c>
      <c r="N58" s="128"/>
      <c r="O58" s="176"/>
      <c r="P58" s="180"/>
      <c r="Q58" s="127">
        <f>ROUND(Q55,2)</f>
        <v>0</v>
      </c>
    </row>
    <row r="59" spans="1:17" ht="16.5" thickBot="1" x14ac:dyDescent="0.25">
      <c r="B59" s="187" t="s">
        <v>215</v>
      </c>
      <c r="C59" s="181"/>
      <c r="D59" s="182"/>
      <c r="E59" s="105">
        <f>ROUND(SUM(E56:E58),2)</f>
        <v>0</v>
      </c>
      <c r="F59" s="106"/>
      <c r="G59" s="181"/>
      <c r="H59" s="182"/>
      <c r="I59" s="105">
        <f>ROUND(SUM(I56:I58),2)</f>
        <v>0</v>
      </c>
      <c r="J59" s="106"/>
      <c r="K59" s="181"/>
      <c r="L59" s="182"/>
      <c r="M59" s="105">
        <f>ROUND(SUM(M56:M58),2)</f>
        <v>0</v>
      </c>
      <c r="N59" s="106"/>
      <c r="O59" s="181"/>
      <c r="P59" s="182"/>
      <c r="Q59" s="105">
        <f>ROUND(SUM(Q56:Q58),2)</f>
        <v>0</v>
      </c>
    </row>
    <row r="60" spans="1:17" ht="21" customHeight="1" thickBot="1" x14ac:dyDescent="0.25">
      <c r="B60" s="117"/>
      <c r="E60" s="194"/>
      <c r="F60" s="194"/>
      <c r="G60" s="194"/>
      <c r="H60" s="194"/>
      <c r="I60" s="194"/>
      <c r="J60" s="194"/>
      <c r="K60" s="194"/>
      <c r="N60" s="132"/>
      <c r="O60" s="194"/>
    </row>
    <row r="61" spans="1:17" ht="16.5" customHeight="1" thickBot="1" x14ac:dyDescent="0.3">
      <c r="A61" s="138"/>
      <c r="B61" s="523" t="str">
        <f>B33</f>
        <v>CLIN 0001 (CPIF)                                                     TASK 1.01 DEVELOPMENT THROUGH PDR</v>
      </c>
      <c r="C61" s="490" t="s">
        <v>81</v>
      </c>
      <c r="D61" s="491"/>
      <c r="E61" s="492"/>
      <c r="F61" s="120"/>
      <c r="G61" s="490" t="s">
        <v>82</v>
      </c>
      <c r="H61" s="491"/>
      <c r="I61" s="492"/>
      <c r="J61" s="120"/>
      <c r="K61" s="490" t="s">
        <v>82</v>
      </c>
      <c r="L61" s="491"/>
      <c r="M61" s="492"/>
      <c r="N61" s="120"/>
      <c r="O61" s="490" t="s">
        <v>82</v>
      </c>
      <c r="P61" s="491"/>
      <c r="Q61" s="492"/>
    </row>
    <row r="62" spans="1:17" ht="16.5" thickBot="1" x14ac:dyDescent="0.3">
      <c r="A62" s="138"/>
      <c r="B62" s="524"/>
      <c r="C62" s="520" t="str">
        <f>C17</f>
        <v>CLIN 0001 - Basic Period (Year 1)</v>
      </c>
      <c r="D62" s="521"/>
      <c r="E62" s="522"/>
      <c r="F62" s="121"/>
      <c r="G62" s="520" t="str">
        <f>G34</f>
        <v>CLIN 0001 - Basic Period (Year 2)</v>
      </c>
      <c r="H62" s="521"/>
      <c r="I62" s="522"/>
      <c r="J62" s="121"/>
      <c r="K62" s="520" t="str">
        <f>K34</f>
        <v>CLIN 0001 - Basic Period (Year 3)</v>
      </c>
      <c r="L62" s="521"/>
      <c r="M62" s="522"/>
      <c r="N62" s="121"/>
      <c r="O62" s="520" t="str">
        <f>O34</f>
        <v>CLIN 0001 - Basic Period (Year 4)</v>
      </c>
      <c r="P62" s="521"/>
      <c r="Q62" s="522"/>
    </row>
    <row r="63" spans="1:17" x14ac:dyDescent="0.25">
      <c r="A63" s="138"/>
      <c r="B63" s="193"/>
      <c r="C63" s="98" t="str">
        <f>C49</f>
        <v>Base Cost</v>
      </c>
      <c r="D63" s="99" t="str">
        <f>D49</f>
        <v>Rate</v>
      </c>
      <c r="E63" s="100" t="s">
        <v>184</v>
      </c>
      <c r="F63" s="111"/>
      <c r="G63" s="98" t="str">
        <f>G49</f>
        <v>Base Cost</v>
      </c>
      <c r="H63" s="99" t="str">
        <f>H49</f>
        <v>Rate</v>
      </c>
      <c r="I63" s="100" t="s">
        <v>184</v>
      </c>
      <c r="J63" s="111"/>
      <c r="K63" s="98" t="str">
        <f>K49</f>
        <v>Base Cost</v>
      </c>
      <c r="L63" s="99" t="str">
        <f>L49</f>
        <v>Rate</v>
      </c>
      <c r="M63" s="100" t="s">
        <v>184</v>
      </c>
      <c r="N63" s="111"/>
      <c r="O63" s="98" t="str">
        <f>O49</f>
        <v>Base Cost</v>
      </c>
      <c r="P63" s="99" t="str">
        <f>P49</f>
        <v>Rate</v>
      </c>
      <c r="Q63" s="100" t="s">
        <v>184</v>
      </c>
    </row>
    <row r="64" spans="1:17" ht="33" customHeight="1" x14ac:dyDescent="0.25">
      <c r="A64" s="138"/>
      <c r="B64" s="240" t="s">
        <v>449</v>
      </c>
      <c r="C64" s="226"/>
      <c r="D64" s="226"/>
      <c r="E64" s="262">
        <f>'SUB CPIF TOTAL ODC'!E13</f>
        <v>0</v>
      </c>
      <c r="F64" s="229"/>
      <c r="G64" s="176"/>
      <c r="H64" s="226"/>
      <c r="I64" s="262">
        <f>'SUB CPIF TOTAL ODC'!G13</f>
        <v>0</v>
      </c>
      <c r="J64" s="229"/>
      <c r="K64" s="176"/>
      <c r="L64" s="226"/>
      <c r="M64" s="310">
        <f>'SUB CPIF TOTAL ODC'!I13</f>
        <v>0</v>
      </c>
      <c r="N64" s="229"/>
      <c r="O64" s="176"/>
      <c r="P64" s="226"/>
      <c r="Q64" s="310">
        <f>'SUB CPIF TOTAL ODC'!K13</f>
        <v>0</v>
      </c>
    </row>
    <row r="65" spans="1:17" ht="66" customHeight="1" x14ac:dyDescent="0.25">
      <c r="A65" s="138" t="s">
        <v>1</v>
      </c>
      <c r="B65" s="374" t="s">
        <v>450</v>
      </c>
      <c r="C65" s="314"/>
      <c r="D65" s="314"/>
      <c r="E65" s="313"/>
      <c r="F65" s="229"/>
      <c r="G65" s="315"/>
      <c r="H65" s="314"/>
      <c r="I65" s="313"/>
      <c r="J65" s="229"/>
      <c r="K65" s="315"/>
      <c r="L65" s="314"/>
      <c r="M65" s="310"/>
      <c r="N65" s="229"/>
      <c r="O65" s="315"/>
      <c r="P65" s="314"/>
      <c r="Q65" s="310"/>
    </row>
    <row r="66" spans="1:17" x14ac:dyDescent="0.25">
      <c r="A66" s="138"/>
      <c r="B66" s="228" t="str">
        <f>'SUB CPIF RATES (ALL)'!B61</f>
        <v>Indirect Category: [Overhead]</v>
      </c>
      <c r="C66" s="227">
        <f>+E64</f>
        <v>0</v>
      </c>
      <c r="D66" s="188">
        <f>'SUB CPIF RATES (ALL)'!C61</f>
        <v>0</v>
      </c>
      <c r="E66" s="113">
        <f>ROUND(C66*D66,2)</f>
        <v>0</v>
      </c>
      <c r="F66" s="123"/>
      <c r="G66" s="160">
        <f>+I64</f>
        <v>0</v>
      </c>
      <c r="H66" s="188">
        <f>'SUB CPIF RATES (ALL)'!D61</f>
        <v>0</v>
      </c>
      <c r="I66" s="113">
        <f>ROUND(G66*H66,2)</f>
        <v>0</v>
      </c>
      <c r="J66" s="123"/>
      <c r="K66" s="160">
        <f>+M64</f>
        <v>0</v>
      </c>
      <c r="L66" s="188">
        <f>'SUB CPIF RATES (ALL)'!E61</f>
        <v>0</v>
      </c>
      <c r="M66" s="113">
        <f>ROUND(K66*L66,2)</f>
        <v>0</v>
      </c>
      <c r="N66" s="123"/>
      <c r="O66" s="160">
        <f>+Q64</f>
        <v>0</v>
      </c>
      <c r="P66" s="188">
        <f>'SUB CPIF RATES (ALL)'!F61</f>
        <v>0</v>
      </c>
      <c r="Q66" s="113">
        <f>ROUND(O66*P66,2)</f>
        <v>0</v>
      </c>
    </row>
    <row r="67" spans="1:17" x14ac:dyDescent="0.25">
      <c r="A67" s="138"/>
      <c r="B67" s="228" t="str">
        <f>'SUB CPIF RATES (ALL)'!B62</f>
        <v>Indirect Category: [G&amp;A]</v>
      </c>
      <c r="C67" s="227">
        <f>+C66+E66</f>
        <v>0</v>
      </c>
      <c r="D67" s="188">
        <f>'SUB CPIF RATES (ALL)'!C62</f>
        <v>0</v>
      </c>
      <c r="E67" s="113">
        <f>ROUND(C67*D67,2)</f>
        <v>0</v>
      </c>
      <c r="F67" s="123"/>
      <c r="G67" s="160">
        <f>+G66+I66</f>
        <v>0</v>
      </c>
      <c r="H67" s="188">
        <f>'SUB CPIF RATES (ALL)'!D62</f>
        <v>0</v>
      </c>
      <c r="I67" s="113">
        <f>ROUND(G67*H67,2)</f>
        <v>0</v>
      </c>
      <c r="J67" s="123"/>
      <c r="K67" s="160">
        <f>+K66+M66</f>
        <v>0</v>
      </c>
      <c r="L67" s="188">
        <f>'SUB CPIF RATES (ALL)'!E62</f>
        <v>0</v>
      </c>
      <c r="M67" s="113">
        <f>ROUND(K67*L67,2)</f>
        <v>0</v>
      </c>
      <c r="N67" s="123"/>
      <c r="O67" s="160">
        <f>+O66+Q66</f>
        <v>0</v>
      </c>
      <c r="P67" s="188">
        <f>'SUB CPIF RATES (ALL)'!F62</f>
        <v>0</v>
      </c>
      <c r="Q67" s="113">
        <f>ROUND(O67*P67,2)</f>
        <v>0</v>
      </c>
    </row>
    <row r="68" spans="1:17" x14ac:dyDescent="0.25">
      <c r="A68" s="138"/>
      <c r="B68" s="228" t="str">
        <f>'SUB CPIF RATES (ALL)'!B63</f>
        <v xml:space="preserve">Indirect Category: [FCCOM] </v>
      </c>
      <c r="C68" s="227">
        <f>C67+E67</f>
        <v>0</v>
      </c>
      <c r="D68" s="188">
        <f>'SUB CPIF RATES (ALL)'!C63</f>
        <v>0</v>
      </c>
      <c r="E68" s="113">
        <f>ROUND(C68*D68,2)</f>
        <v>0</v>
      </c>
      <c r="F68" s="229"/>
      <c r="G68" s="227">
        <f>G67+I67</f>
        <v>0</v>
      </c>
      <c r="H68" s="188">
        <f>'SUB CPIF RATES (ALL)'!D63</f>
        <v>0</v>
      </c>
      <c r="I68" s="113">
        <f>ROUND(G68*H68,2)</f>
        <v>0</v>
      </c>
      <c r="J68" s="229"/>
      <c r="K68" s="227">
        <f>K67+M67</f>
        <v>0</v>
      </c>
      <c r="L68" s="188">
        <f>'SUB CPIF RATES (ALL)'!E63</f>
        <v>0</v>
      </c>
      <c r="M68" s="113">
        <f>ROUND(K68*L68,2)</f>
        <v>0</v>
      </c>
      <c r="N68" s="229"/>
      <c r="O68" s="227">
        <f>O67+Q67</f>
        <v>0</v>
      </c>
      <c r="P68" s="188">
        <f>'SUB CPIF RATES (ALL)'!F63</f>
        <v>0</v>
      </c>
      <c r="Q68" s="113">
        <f>ROUND(O68*P68,2)</f>
        <v>0</v>
      </c>
    </row>
    <row r="69" spans="1:17" x14ac:dyDescent="0.25">
      <c r="A69" s="138"/>
      <c r="B69" s="228" t="str">
        <f>'SUB CPIF RATES (ALL)'!B64</f>
        <v xml:space="preserve">Indirect Category: [Target Fee] </v>
      </c>
      <c r="C69" s="227">
        <f>+C67+E67</f>
        <v>0</v>
      </c>
      <c r="D69" s="188">
        <f>'SUB CPIF RATES (ALL)'!C64</f>
        <v>0</v>
      </c>
      <c r="E69" s="113">
        <f>ROUND(C69*D69,2)</f>
        <v>0</v>
      </c>
      <c r="F69" s="229"/>
      <c r="G69" s="160">
        <f>+G67+I67</f>
        <v>0</v>
      </c>
      <c r="H69" s="188">
        <f>'SUB CPIF RATES (ALL)'!D64</f>
        <v>0</v>
      </c>
      <c r="I69" s="113">
        <f>ROUND(G69*H69,2)</f>
        <v>0</v>
      </c>
      <c r="J69" s="229"/>
      <c r="K69" s="160">
        <f>+K67+M67</f>
        <v>0</v>
      </c>
      <c r="L69" s="188">
        <f>'SUB CPIF RATES (ALL)'!E64</f>
        <v>0</v>
      </c>
      <c r="M69" s="113">
        <f>ROUND(K69*L69,2)</f>
        <v>0</v>
      </c>
      <c r="N69" s="229"/>
      <c r="O69" s="160">
        <f>+O67+Q67</f>
        <v>0</v>
      </c>
      <c r="P69" s="188">
        <f>'SUB CPIF RATES (ALL)'!F64</f>
        <v>0</v>
      </c>
      <c r="Q69" s="113">
        <f>ROUND(O69*P69,2)</f>
        <v>0</v>
      </c>
    </row>
    <row r="70" spans="1:17" x14ac:dyDescent="0.25">
      <c r="A70" s="138"/>
      <c r="B70" s="186" t="s">
        <v>187</v>
      </c>
      <c r="C70" s="178"/>
      <c r="D70" s="179"/>
      <c r="E70" s="113">
        <f>ROUND(SUM(E64:E67),2)</f>
        <v>0</v>
      </c>
      <c r="F70" s="229"/>
      <c r="G70" s="178"/>
      <c r="H70" s="179"/>
      <c r="I70" s="113">
        <f>ROUND(SUM(I64:I67),2)</f>
        <v>0</v>
      </c>
      <c r="J70" s="229"/>
      <c r="K70" s="178"/>
      <c r="L70" s="179"/>
      <c r="M70" s="113">
        <f>ROUND(SUM(M64:M67),2)</f>
        <v>0</v>
      </c>
      <c r="N70" s="229"/>
      <c r="O70" s="178"/>
      <c r="P70" s="179"/>
      <c r="Q70" s="113">
        <f>ROUND(SUM(Q64:Q67),2)</f>
        <v>0</v>
      </c>
    </row>
    <row r="71" spans="1:17" x14ac:dyDescent="0.25">
      <c r="A71" s="138"/>
      <c r="B71" s="186" t="s">
        <v>204</v>
      </c>
      <c r="C71" s="176"/>
      <c r="D71" s="180"/>
      <c r="E71" s="113">
        <f>ROUND(E68,2)</f>
        <v>0</v>
      </c>
      <c r="F71" s="229"/>
      <c r="G71" s="176"/>
      <c r="H71" s="180"/>
      <c r="I71" s="113">
        <f>ROUND(I68,2)</f>
        <v>0</v>
      </c>
      <c r="J71" s="229"/>
      <c r="K71" s="176"/>
      <c r="L71" s="180"/>
      <c r="M71" s="113">
        <f>ROUND(M68,2)</f>
        <v>0</v>
      </c>
      <c r="N71" s="229"/>
      <c r="O71" s="176"/>
      <c r="P71" s="180"/>
      <c r="Q71" s="113">
        <f>ROUND(Q68,2)</f>
        <v>0</v>
      </c>
    </row>
    <row r="72" spans="1:17" ht="16.5" thickBot="1" x14ac:dyDescent="0.25">
      <c r="A72" s="131"/>
      <c r="B72" s="187" t="s">
        <v>71</v>
      </c>
      <c r="C72" s="181"/>
      <c r="D72" s="182"/>
      <c r="E72" s="376">
        <f>ROUND(E69,2)</f>
        <v>0</v>
      </c>
      <c r="F72" s="377"/>
      <c r="G72" s="181"/>
      <c r="H72" s="182"/>
      <c r="I72" s="376">
        <f>ROUND(I69,2)</f>
        <v>0</v>
      </c>
      <c r="J72" s="377"/>
      <c r="K72" s="181"/>
      <c r="L72" s="182"/>
      <c r="M72" s="376">
        <f>ROUND(M69,2)</f>
        <v>0</v>
      </c>
      <c r="N72" s="377"/>
      <c r="O72" s="181"/>
      <c r="P72" s="182"/>
      <c r="Q72" s="376">
        <f>ROUND(Q69,2)</f>
        <v>0</v>
      </c>
    </row>
    <row r="73" spans="1:17" ht="16.5" thickBot="1" x14ac:dyDescent="0.25">
      <c r="A73" s="131"/>
      <c r="B73" s="187" t="s">
        <v>174</v>
      </c>
      <c r="C73" s="181"/>
      <c r="D73" s="182"/>
      <c r="E73" s="375">
        <f>ROUND(SUM(E70:E72),2)</f>
        <v>0</v>
      </c>
      <c r="F73" s="106"/>
      <c r="G73" s="181"/>
      <c r="H73" s="182"/>
      <c r="I73" s="375">
        <f>ROUND(SUM(I70:I72),2)</f>
        <v>0</v>
      </c>
      <c r="J73" s="106"/>
      <c r="K73" s="181"/>
      <c r="L73" s="182"/>
      <c r="M73" s="375">
        <f>ROUND(SUM(M70:M72),2)</f>
        <v>0</v>
      </c>
      <c r="N73" s="106"/>
      <c r="O73" s="181"/>
      <c r="P73" s="182"/>
      <c r="Q73" s="375">
        <f>ROUND(SUM(Q70:Q72),2)</f>
        <v>0</v>
      </c>
    </row>
    <row r="74" spans="1:17" ht="21" customHeight="1" thickBot="1" x14ac:dyDescent="0.25">
      <c r="A74" s="131"/>
      <c r="B74" s="117"/>
      <c r="E74" s="194"/>
      <c r="F74" s="194"/>
      <c r="G74" s="194"/>
      <c r="H74" s="194"/>
      <c r="I74" s="194"/>
      <c r="J74" s="194"/>
      <c r="K74" s="194"/>
      <c r="N74" s="132"/>
      <c r="O74" s="194"/>
    </row>
    <row r="75" spans="1:17" ht="16.5" thickBot="1" x14ac:dyDescent="0.3">
      <c r="A75" s="131"/>
      <c r="B75" s="525" t="str">
        <f>B61</f>
        <v>CLIN 0001 (CPIF)                                                     TASK 1.01 DEVELOPMENT THROUGH PDR</v>
      </c>
      <c r="C75" s="517" t="s">
        <v>213</v>
      </c>
      <c r="D75" s="518"/>
      <c r="E75" s="519"/>
      <c r="F75" s="120"/>
      <c r="G75" s="517" t="s">
        <v>213</v>
      </c>
      <c r="H75" s="518"/>
      <c r="I75" s="519"/>
      <c r="J75" s="120"/>
      <c r="K75" s="517" t="s">
        <v>213</v>
      </c>
      <c r="L75" s="518"/>
      <c r="M75" s="519"/>
      <c r="N75" s="120"/>
      <c r="O75" s="517" t="s">
        <v>213</v>
      </c>
      <c r="P75" s="518"/>
      <c r="Q75" s="519"/>
    </row>
    <row r="76" spans="1:17" ht="16.5" thickBot="1" x14ac:dyDescent="0.3">
      <c r="A76" s="131"/>
      <c r="B76" s="526"/>
      <c r="C76" s="217"/>
      <c r="D76" s="218"/>
      <c r="E76" s="133" t="s">
        <v>200</v>
      </c>
      <c r="F76" s="134"/>
      <c r="G76" s="221"/>
      <c r="H76" s="222"/>
      <c r="I76" s="133" t="s">
        <v>201</v>
      </c>
      <c r="J76" s="134"/>
      <c r="K76" s="221"/>
      <c r="L76" s="222"/>
      <c r="M76" s="133" t="s">
        <v>203</v>
      </c>
      <c r="N76" s="134"/>
      <c r="O76" s="221"/>
      <c r="P76" s="222"/>
      <c r="Q76" s="133" t="s">
        <v>202</v>
      </c>
    </row>
    <row r="77" spans="1:17" x14ac:dyDescent="0.2">
      <c r="A77" s="131"/>
      <c r="B77" s="186" t="s">
        <v>188</v>
      </c>
      <c r="C77" s="219"/>
      <c r="D77" s="219"/>
      <c r="E77" s="135">
        <f>ROUND(E28+E42+E56+E70,2)</f>
        <v>0</v>
      </c>
      <c r="F77" s="110"/>
      <c r="G77" s="223"/>
      <c r="H77" s="223"/>
      <c r="I77" s="135">
        <f>ROUND(I28+I42+I56+I70,2)</f>
        <v>0</v>
      </c>
      <c r="J77" s="110"/>
      <c r="K77" s="223"/>
      <c r="L77" s="223"/>
      <c r="M77" s="135">
        <f>ROUND(M28+M42+M56+M70,2)</f>
        <v>0</v>
      </c>
      <c r="N77" s="110"/>
      <c r="O77" s="223"/>
      <c r="P77" s="223"/>
      <c r="Q77" s="135">
        <f>ROUND(Q28+Q42+Q56+Q70,2)</f>
        <v>0</v>
      </c>
    </row>
    <row r="78" spans="1:17" x14ac:dyDescent="0.2">
      <c r="A78" s="131"/>
      <c r="B78" s="186" t="s">
        <v>204</v>
      </c>
      <c r="C78" s="219"/>
      <c r="D78" s="219"/>
      <c r="E78" s="113">
        <f>ROUND(E29+E43+E57+E71,2)</f>
        <v>0</v>
      </c>
      <c r="F78" s="110"/>
      <c r="G78" s="223"/>
      <c r="H78" s="223"/>
      <c r="I78" s="113">
        <f>ROUND(I29+I43+I57+I71,2)</f>
        <v>0</v>
      </c>
      <c r="J78" s="110"/>
      <c r="K78" s="223"/>
      <c r="L78" s="223"/>
      <c r="M78" s="113">
        <f>ROUND(M29+M43+M57+M71,2)</f>
        <v>0</v>
      </c>
      <c r="N78" s="110"/>
      <c r="O78" s="223"/>
      <c r="P78" s="223"/>
      <c r="Q78" s="113">
        <f>ROUND(Q29+Q43+Q57+Q71,2)</f>
        <v>0</v>
      </c>
    </row>
    <row r="79" spans="1:17" x14ac:dyDescent="0.2">
      <c r="A79" s="131"/>
      <c r="B79" s="186" t="s">
        <v>71</v>
      </c>
      <c r="C79" s="219"/>
      <c r="D79" s="219"/>
      <c r="E79" s="114">
        <f>ROUND(E30+E44++E58+E72,2)</f>
        <v>0</v>
      </c>
      <c r="F79" s="115"/>
      <c r="G79" s="223"/>
      <c r="H79" s="223"/>
      <c r="I79" s="114">
        <f>ROUND(I30+I44++I58+I72,2)</f>
        <v>0</v>
      </c>
      <c r="J79" s="115"/>
      <c r="K79" s="223"/>
      <c r="L79" s="223"/>
      <c r="M79" s="114">
        <f>ROUND(M30+M44++M58+M72,2)</f>
        <v>0</v>
      </c>
      <c r="N79" s="115"/>
      <c r="O79" s="223"/>
      <c r="P79" s="223"/>
      <c r="Q79" s="114">
        <f>ROUND(Q30+Q44++Q58+Q72,2)</f>
        <v>0</v>
      </c>
    </row>
    <row r="80" spans="1:17" ht="32.25" thickBot="1" x14ac:dyDescent="0.3">
      <c r="A80" s="131"/>
      <c r="B80" s="209" t="s">
        <v>328</v>
      </c>
      <c r="C80" s="220"/>
      <c r="D80" s="220"/>
      <c r="E80" s="208">
        <f>E77+E78+E79</f>
        <v>0</v>
      </c>
      <c r="F80" s="116"/>
      <c r="G80" s="224"/>
      <c r="H80" s="224"/>
      <c r="I80" s="208">
        <f>I77+I78+I79</f>
        <v>0</v>
      </c>
      <c r="J80" s="116"/>
      <c r="K80" s="224"/>
      <c r="L80" s="224"/>
      <c r="M80" s="208">
        <f>M77+M78+M79</f>
        <v>0</v>
      </c>
      <c r="N80" s="116"/>
      <c r="O80" s="224"/>
      <c r="P80" s="224"/>
      <c r="Q80" s="208">
        <f>Q77+Q78+Q79</f>
        <v>0</v>
      </c>
    </row>
    <row r="81" spans="9:17" ht="16.5" thickBot="1" x14ac:dyDescent="0.3"/>
    <row r="82" spans="9:17" ht="31.5" x14ac:dyDescent="0.25">
      <c r="I82" s="355" t="s">
        <v>1</v>
      </c>
      <c r="M82" s="355" t="s">
        <v>1</v>
      </c>
      <c r="Q82" s="323" t="s">
        <v>329</v>
      </c>
    </row>
    <row r="83" spans="9:17" ht="16.5" thickBot="1" x14ac:dyDescent="0.3">
      <c r="Q83" s="322">
        <f>E80+I80+M80+Q80</f>
        <v>0</v>
      </c>
    </row>
    <row r="85" spans="9:17" x14ac:dyDescent="0.25">
      <c r="Q85" s="355" t="s">
        <v>1</v>
      </c>
    </row>
  </sheetData>
  <mergeCells count="46">
    <mergeCell ref="K51:M51"/>
    <mergeCell ref="O51:Q51"/>
    <mergeCell ref="K47:M47"/>
    <mergeCell ref="C48:E48"/>
    <mergeCell ref="G48:I48"/>
    <mergeCell ref="K48:M48"/>
    <mergeCell ref="B33:B34"/>
    <mergeCell ref="C33:E33"/>
    <mergeCell ref="G33:I33"/>
    <mergeCell ref="K33:M33"/>
    <mergeCell ref="C34:E34"/>
    <mergeCell ref="G34:I34"/>
    <mergeCell ref="K34:M34"/>
    <mergeCell ref="B47:B48"/>
    <mergeCell ref="C47:E47"/>
    <mergeCell ref="G47:I47"/>
    <mergeCell ref="B75:B76"/>
    <mergeCell ref="C75:E75"/>
    <mergeCell ref="G75:I75"/>
    <mergeCell ref="C51:E51"/>
    <mergeCell ref="G51:I51"/>
    <mergeCell ref="K75:M75"/>
    <mergeCell ref="B61:B62"/>
    <mergeCell ref="C61:E61"/>
    <mergeCell ref="G61:I61"/>
    <mergeCell ref="K61:M61"/>
    <mergeCell ref="C62:E62"/>
    <mergeCell ref="G62:I62"/>
    <mergeCell ref="K62:M62"/>
    <mergeCell ref="A6:C6"/>
    <mergeCell ref="C17:E17"/>
    <mergeCell ref="G17:I17"/>
    <mergeCell ref="K17:M17"/>
    <mergeCell ref="B16:B17"/>
    <mergeCell ref="C16:E16"/>
    <mergeCell ref="G16:I16"/>
    <mergeCell ref="K16:M16"/>
    <mergeCell ref="O75:Q75"/>
    <mergeCell ref="O16:Q16"/>
    <mergeCell ref="O17:Q17"/>
    <mergeCell ref="O33:Q33"/>
    <mergeCell ref="O34:Q34"/>
    <mergeCell ref="O61:Q61"/>
    <mergeCell ref="O47:Q47"/>
    <mergeCell ref="O48:Q48"/>
    <mergeCell ref="O62:Q62"/>
  </mergeCells>
  <phoneticPr fontId="29" type="noConversion"/>
  <pageMargins left="0.7" right="0.7" top="0.75" bottom="0.75" header="0.3" footer="0.3"/>
  <pageSetup orientation="portrait" horizontalDpi="1200" verticalDpi="120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16FC06-BB9E-48D0-81A0-58DA440B8933}">
  <sheetPr>
    <tabColor theme="0"/>
  </sheetPr>
  <dimension ref="A1:Q81"/>
  <sheetViews>
    <sheetView zoomScale="80" zoomScaleNormal="80" workbookViewId="0">
      <pane ySplit="12" topLeftCell="A67" activePane="bottomLeft" state="frozen"/>
      <selection pane="bottomLeft" activeCell="P66" sqref="P66:P67"/>
    </sheetView>
  </sheetViews>
  <sheetFormatPr defaultColWidth="15.85546875" defaultRowHeight="15.75" x14ac:dyDescent="0.25"/>
  <cols>
    <col min="1" max="1" width="3.42578125" style="136" customWidth="1"/>
    <col min="2" max="2" width="49.140625" style="119" customWidth="1"/>
    <col min="3" max="3" width="18.28515625" style="131" bestFit="1" customWidth="1"/>
    <col min="4" max="4" width="12.42578125" style="131" bestFit="1" customWidth="1"/>
    <col min="5" max="5" width="32" style="131" customWidth="1"/>
    <col min="6" max="6" width="1" style="131" customWidth="1"/>
    <col min="7" max="7" width="14.28515625" style="131" customWidth="1"/>
    <col min="8" max="8" width="14.5703125" style="131" customWidth="1"/>
    <col min="9" max="9" width="33.28515625" style="131" customWidth="1"/>
    <col min="10" max="10" width="1" style="131" customWidth="1"/>
    <col min="11" max="11" width="16.7109375" style="131" customWidth="1"/>
    <col min="12" max="12" width="16.28515625" style="131" customWidth="1"/>
    <col min="13" max="13" width="34" style="131" bestFit="1" customWidth="1"/>
    <col min="14" max="14" width="0.85546875" style="131" customWidth="1"/>
    <col min="15" max="15" width="23.42578125" style="131" customWidth="1"/>
    <col min="16" max="16" width="15.85546875" style="131"/>
    <col min="17" max="17" width="32.140625" style="131" bestFit="1" customWidth="1"/>
    <col min="18" max="16384" width="15.85546875" style="131"/>
  </cols>
  <sheetData>
    <row r="1" spans="1:17" ht="16.5" thickBot="1" x14ac:dyDescent="0.3">
      <c r="B1" s="321" t="s">
        <v>460</v>
      </c>
      <c r="C1" s="394" t="str">
        <f>'SUB CPIF RATES (ALL)'!C1</f>
        <v xml:space="preserve">NAME </v>
      </c>
      <c r="D1" s="393"/>
    </row>
    <row r="2" spans="1:17" ht="16.5" thickBot="1" x14ac:dyDescent="0.3">
      <c r="B2" s="395" t="s">
        <v>459</v>
      </c>
      <c r="C2" s="396" t="str">
        <f>'SUB CPIF RATES (ALL)'!C2</f>
        <v xml:space="preserve">NAME </v>
      </c>
    </row>
    <row r="3" spans="1:17" ht="16.5" thickBot="1" x14ac:dyDescent="0.3"/>
    <row r="4" spans="1:17" ht="39" customHeight="1" thickBot="1" x14ac:dyDescent="0.3">
      <c r="A4" s="466" t="s">
        <v>209</v>
      </c>
      <c r="B4" s="467"/>
      <c r="C4" s="468"/>
      <c r="I4" s="194" t="s">
        <v>84</v>
      </c>
    </row>
    <row r="6" spans="1:17" s="202" customFormat="1" ht="17.25" customHeight="1" x14ac:dyDescent="0.2">
      <c r="A6" s="203"/>
      <c r="B6" s="204" t="s">
        <v>65</v>
      </c>
    </row>
    <row r="7" spans="1:17" s="202" customFormat="1" x14ac:dyDescent="0.25">
      <c r="A7" s="201"/>
      <c r="B7" s="201" t="s">
        <v>441</v>
      </c>
    </row>
    <row r="8" spans="1:17" s="202" customFormat="1" x14ac:dyDescent="0.25">
      <c r="A8" s="201"/>
      <c r="B8" s="201" t="s">
        <v>281</v>
      </c>
    </row>
    <row r="9" spans="1:17" s="202" customFormat="1" x14ac:dyDescent="0.25">
      <c r="A9" s="201"/>
      <c r="B9" s="201" t="s">
        <v>442</v>
      </c>
    </row>
    <row r="10" spans="1:17" s="202" customFormat="1" x14ac:dyDescent="0.25">
      <c r="A10" s="201"/>
      <c r="B10" s="201" t="s">
        <v>463</v>
      </c>
    </row>
    <row r="11" spans="1:17" x14ac:dyDescent="0.25">
      <c r="A11" s="137"/>
      <c r="B11" s="201" t="s">
        <v>464</v>
      </c>
      <c r="C11" s="139"/>
    </row>
    <row r="12" spans="1:17" x14ac:dyDescent="0.25">
      <c r="A12" s="137"/>
      <c r="B12" s="201" t="s">
        <v>330</v>
      </c>
      <c r="C12" s="139"/>
    </row>
    <row r="13" spans="1:17" ht="16.5" thickBot="1" x14ac:dyDescent="0.3"/>
    <row r="14" spans="1:17" ht="16.5" thickBot="1" x14ac:dyDescent="0.3">
      <c r="A14" s="138"/>
      <c r="B14" s="523" t="s">
        <v>331</v>
      </c>
      <c r="C14" s="490" t="s">
        <v>69</v>
      </c>
      <c r="D14" s="491"/>
      <c r="E14" s="492"/>
      <c r="F14" s="96"/>
      <c r="G14" s="490" t="s">
        <v>69</v>
      </c>
      <c r="H14" s="491"/>
      <c r="I14" s="492"/>
      <c r="J14" s="96"/>
      <c r="K14" s="490" t="s">
        <v>69</v>
      </c>
      <c r="L14" s="491"/>
      <c r="M14" s="492"/>
      <c r="N14" s="96"/>
      <c r="O14" s="490" t="s">
        <v>69</v>
      </c>
      <c r="P14" s="491"/>
      <c r="Q14" s="492"/>
    </row>
    <row r="15" spans="1:17" ht="16.5" thickBot="1" x14ac:dyDescent="0.3">
      <c r="A15" s="138"/>
      <c r="B15" s="524"/>
      <c r="C15" s="520" t="s">
        <v>205</v>
      </c>
      <c r="D15" s="521"/>
      <c r="E15" s="522"/>
      <c r="F15" s="97"/>
      <c r="G15" s="520" t="s">
        <v>206</v>
      </c>
      <c r="H15" s="521"/>
      <c r="I15" s="522"/>
      <c r="J15" s="97"/>
      <c r="K15" s="520" t="s">
        <v>207</v>
      </c>
      <c r="L15" s="521"/>
      <c r="M15" s="522"/>
      <c r="N15" s="97"/>
      <c r="O15" s="520" t="s">
        <v>208</v>
      </c>
      <c r="P15" s="521"/>
      <c r="Q15" s="522"/>
    </row>
    <row r="16" spans="1:17" x14ac:dyDescent="0.25">
      <c r="A16" s="138"/>
      <c r="B16" s="98" t="s">
        <v>46</v>
      </c>
      <c r="C16" s="98" t="s">
        <v>29</v>
      </c>
      <c r="D16" s="99" t="s">
        <v>1</v>
      </c>
      <c r="E16" s="100" t="s">
        <v>74</v>
      </c>
      <c r="F16" s="101"/>
      <c r="G16" s="98" t="s">
        <v>29</v>
      </c>
      <c r="H16" s="99" t="s">
        <v>1</v>
      </c>
      <c r="I16" s="100" t="s">
        <v>74</v>
      </c>
      <c r="J16" s="101"/>
      <c r="K16" s="98" t="s">
        <v>29</v>
      </c>
      <c r="L16" s="99" t="s">
        <v>1</v>
      </c>
      <c r="M16" s="100" t="s">
        <v>74</v>
      </c>
      <c r="N16" s="101"/>
      <c r="O16" s="98" t="s">
        <v>29</v>
      </c>
      <c r="P16" s="99" t="s">
        <v>1</v>
      </c>
      <c r="Q16" s="100" t="s">
        <v>74</v>
      </c>
    </row>
    <row r="17" spans="1:17" ht="30" customHeight="1" thickBot="1" x14ac:dyDescent="0.3">
      <c r="A17" s="138"/>
      <c r="B17" s="148" t="s">
        <v>443</v>
      </c>
      <c r="C17" s="230"/>
      <c r="D17" s="231"/>
      <c r="E17" s="232"/>
      <c r="F17" s="101"/>
      <c r="G17" s="230"/>
      <c r="H17" s="231"/>
      <c r="I17" s="232"/>
      <c r="J17" s="101"/>
      <c r="K17" s="230"/>
      <c r="L17" s="231"/>
      <c r="M17" s="232"/>
      <c r="N17" s="101"/>
      <c r="O17" s="230"/>
      <c r="P17" s="231"/>
      <c r="Q17" s="232"/>
    </row>
    <row r="18" spans="1:17" ht="16.5" thickBot="1" x14ac:dyDescent="0.3">
      <c r="A18" s="138"/>
      <c r="B18" s="239" t="s">
        <v>87</v>
      </c>
      <c r="C18" s="108">
        <f>'SUB CPIF LABOR INPUTS'!D50</f>
        <v>0</v>
      </c>
      <c r="D18" s="150"/>
      <c r="E18" s="246">
        <f>'SUB CPIF LABOR INPUTS'!F50</f>
        <v>0</v>
      </c>
      <c r="F18" s="110"/>
      <c r="G18" s="108">
        <f>'SUB CPIF LABOR INPUTS'!H50</f>
        <v>0</v>
      </c>
      <c r="H18" s="150"/>
      <c r="I18" s="246">
        <f>'SUB CPIF LABOR INPUTS'!J50</f>
        <v>0</v>
      </c>
      <c r="J18" s="110"/>
      <c r="K18" s="108">
        <f>'SUB CPIF LABOR INPUTS'!L50</f>
        <v>0</v>
      </c>
      <c r="L18" s="150"/>
      <c r="M18" s="246">
        <f>'SUB CPIF LABOR INPUTS'!N50</f>
        <v>0</v>
      </c>
      <c r="N18" s="110"/>
      <c r="O18" s="108">
        <f>'SUB CPIF LABOR INPUTS'!P50</f>
        <v>0</v>
      </c>
      <c r="P18" s="150"/>
      <c r="Q18" s="246">
        <f>'SUB CPIF LABOR INPUTS'!R50</f>
        <v>0</v>
      </c>
    </row>
    <row r="19" spans="1:17" x14ac:dyDescent="0.25">
      <c r="A19" s="138"/>
      <c r="B19" s="149"/>
      <c r="C19" s="98" t="s">
        <v>289</v>
      </c>
      <c r="D19" s="99" t="s">
        <v>286</v>
      </c>
      <c r="E19" s="100" t="s">
        <v>290</v>
      </c>
      <c r="F19" s="111"/>
      <c r="G19" s="98" t="s">
        <v>289</v>
      </c>
      <c r="H19" s="99" t="s">
        <v>286</v>
      </c>
      <c r="I19" s="100" t="s">
        <v>290</v>
      </c>
      <c r="J19" s="111"/>
      <c r="K19" s="98" t="s">
        <v>289</v>
      </c>
      <c r="L19" s="99" t="s">
        <v>286</v>
      </c>
      <c r="M19" s="100" t="s">
        <v>290</v>
      </c>
      <c r="N19" s="111"/>
      <c r="O19" s="98" t="s">
        <v>289</v>
      </c>
      <c r="P19" s="99" t="s">
        <v>286</v>
      </c>
      <c r="Q19" s="100" t="s">
        <v>290</v>
      </c>
    </row>
    <row r="20" spans="1:17" ht="54" customHeight="1" x14ac:dyDescent="0.25">
      <c r="A20" s="138"/>
      <c r="B20" s="261" t="s">
        <v>279</v>
      </c>
      <c r="C20" s="230"/>
      <c r="D20" s="231"/>
      <c r="E20" s="232"/>
      <c r="F20" s="147"/>
      <c r="G20" s="230"/>
      <c r="H20" s="231"/>
      <c r="I20" s="232"/>
      <c r="J20" s="147"/>
      <c r="K20" s="230"/>
      <c r="L20" s="231"/>
      <c r="M20" s="232"/>
      <c r="N20" s="147"/>
      <c r="O20" s="230"/>
      <c r="P20" s="231"/>
      <c r="Q20" s="232"/>
    </row>
    <row r="21" spans="1:17" x14ac:dyDescent="0.25">
      <c r="A21" s="138"/>
      <c r="B21" s="112" t="str">
        <f>'SUB CPIF RATES (ALL)'!B36</f>
        <v>Indirect Labor Category:  [Labor Fringe]</v>
      </c>
      <c r="C21" s="160">
        <f>+E18</f>
        <v>0</v>
      </c>
      <c r="D21" s="188">
        <f>'SUB CPIF RATES (ALL)'!C36</f>
        <v>0</v>
      </c>
      <c r="E21" s="113">
        <f>ROUND(C21*D21,2)</f>
        <v>0</v>
      </c>
      <c r="F21" s="110"/>
      <c r="G21" s="160">
        <f>+I18</f>
        <v>0</v>
      </c>
      <c r="H21" s="188">
        <f>'SUB CPIF RATES (ALL)'!D36</f>
        <v>0</v>
      </c>
      <c r="I21" s="113">
        <f>ROUND(G21*H21,2)</f>
        <v>0</v>
      </c>
      <c r="J21" s="110"/>
      <c r="K21" s="160">
        <f>+M18</f>
        <v>0</v>
      </c>
      <c r="L21" s="188">
        <f>'SUB CPIF RATES (ALL)'!E36</f>
        <v>0</v>
      </c>
      <c r="M21" s="113">
        <f>ROUND(K21*L21,2)</f>
        <v>0</v>
      </c>
      <c r="N21" s="110"/>
      <c r="O21" s="160">
        <f>+Q18</f>
        <v>0</v>
      </c>
      <c r="P21" s="188">
        <f>'SUB CPIF RATES (ALL)'!F36</f>
        <v>0</v>
      </c>
      <c r="Q21" s="113">
        <f>ROUND(O21*P21,2)</f>
        <v>0</v>
      </c>
    </row>
    <row r="22" spans="1:17" x14ac:dyDescent="0.25">
      <c r="A22" s="138"/>
      <c r="B22" s="112" t="str">
        <f>'SUB CPIF RATES (ALL)'!B37</f>
        <v>Indirect Labor Category: [Labor Overhead]</v>
      </c>
      <c r="C22" s="160">
        <f>+C21+E21</f>
        <v>0</v>
      </c>
      <c r="D22" s="188">
        <f>'SUB CPIF RATES (ALL)'!C37</f>
        <v>0</v>
      </c>
      <c r="E22" s="113">
        <f>ROUND(C22*D22,2)</f>
        <v>0</v>
      </c>
      <c r="F22" s="110"/>
      <c r="G22" s="160">
        <f>+G21+I21</f>
        <v>0</v>
      </c>
      <c r="H22" s="188">
        <f>'SUB CPIF RATES (ALL)'!D37</f>
        <v>0</v>
      </c>
      <c r="I22" s="113">
        <f>ROUND(G22*H22,2)</f>
        <v>0</v>
      </c>
      <c r="J22" s="110"/>
      <c r="K22" s="160">
        <f>+K21+M21</f>
        <v>0</v>
      </c>
      <c r="L22" s="188">
        <f>'SUB CPIF RATES (ALL)'!E37</f>
        <v>0</v>
      </c>
      <c r="M22" s="113">
        <f>ROUND(K22*L22,2)</f>
        <v>0</v>
      </c>
      <c r="N22" s="110"/>
      <c r="O22" s="160">
        <f>+O21+Q21</f>
        <v>0</v>
      </c>
      <c r="P22" s="188">
        <f>'SUB CPIF RATES (ALL)'!F37</f>
        <v>0</v>
      </c>
      <c r="Q22" s="113">
        <f>ROUND(O22*P22,2)</f>
        <v>0</v>
      </c>
    </row>
    <row r="23" spans="1:17" x14ac:dyDescent="0.25">
      <c r="A23" s="138"/>
      <c r="B23" s="112" t="str">
        <f>'SUB CPIF RATES (ALL)'!B38</f>
        <v>Indirect Labor Category: [G&amp;A]</v>
      </c>
      <c r="C23" s="160">
        <f>+C22+E22</f>
        <v>0</v>
      </c>
      <c r="D23" s="188">
        <f>'SUB CPIF RATES (ALL)'!C38</f>
        <v>0</v>
      </c>
      <c r="E23" s="113">
        <f>ROUND(C23*D23,2)</f>
        <v>0</v>
      </c>
      <c r="F23" s="110"/>
      <c r="G23" s="160">
        <f>+G22+I22</f>
        <v>0</v>
      </c>
      <c r="H23" s="188">
        <f>'SUB CPIF RATES (ALL)'!D38</f>
        <v>0</v>
      </c>
      <c r="I23" s="113">
        <f>ROUND(G23*H23,2)</f>
        <v>0</v>
      </c>
      <c r="J23" s="110"/>
      <c r="K23" s="160">
        <f>+K22+M22</f>
        <v>0</v>
      </c>
      <c r="L23" s="188">
        <f>'SUB CPIF RATES (ALL)'!E38</f>
        <v>0</v>
      </c>
      <c r="M23" s="113">
        <f>ROUND(K23*L23,2)</f>
        <v>0</v>
      </c>
      <c r="N23" s="110"/>
      <c r="O23" s="160">
        <f>+O22+Q22</f>
        <v>0</v>
      </c>
      <c r="P23" s="188">
        <f>'SUB CPIF RATES (ALL)'!F38</f>
        <v>0</v>
      </c>
      <c r="Q23" s="113">
        <f>ROUND(O23*P23,2)</f>
        <v>0</v>
      </c>
    </row>
    <row r="24" spans="1:17" x14ac:dyDescent="0.25">
      <c r="A24" s="138"/>
      <c r="B24" s="112" t="str">
        <f>'SUB CPIF RATES (ALL)'!B39</f>
        <v>Indirect Labor Category: [FCCOM]</v>
      </c>
      <c r="C24" s="160">
        <f>C23+E23</f>
        <v>0</v>
      </c>
      <c r="D24" s="188">
        <f>'SUB CPIF RATES (ALL)'!C39</f>
        <v>0</v>
      </c>
      <c r="E24" s="113">
        <f>ROUND(C24*D24,2)</f>
        <v>0</v>
      </c>
      <c r="F24" s="110"/>
      <c r="G24" s="160">
        <f>G23+I23</f>
        <v>0</v>
      </c>
      <c r="H24" s="188">
        <f>'SUB CPIF RATES (ALL)'!D39</f>
        <v>0</v>
      </c>
      <c r="I24" s="113">
        <f>ROUND(G24*H24,2)</f>
        <v>0</v>
      </c>
      <c r="J24" s="110"/>
      <c r="K24" s="160">
        <f>K23+M23</f>
        <v>0</v>
      </c>
      <c r="L24" s="188">
        <f>'SUB CPIF RATES (ALL)'!E39</f>
        <v>0</v>
      </c>
      <c r="M24" s="113">
        <f>ROUND(K24*L24,2)</f>
        <v>0</v>
      </c>
      <c r="N24" s="110"/>
      <c r="O24" s="160">
        <f>O23+Q23</f>
        <v>0</v>
      </c>
      <c r="P24" s="188">
        <f>'SUB CPIF RATES (ALL)'!F39</f>
        <v>0</v>
      </c>
      <c r="Q24" s="113">
        <f>ROUND(O24*P24,2)</f>
        <v>0</v>
      </c>
    </row>
    <row r="25" spans="1:17" x14ac:dyDescent="0.25">
      <c r="A25" s="138"/>
      <c r="B25" s="112" t="str">
        <f>'SUB CPIF RATES (ALL)'!B40</f>
        <v>Indirect Labor Category: [Target Fee]</v>
      </c>
      <c r="C25" s="160">
        <f>+C23+E23</f>
        <v>0</v>
      </c>
      <c r="D25" s="188">
        <f>'SUB CPIF RATES (ALL)'!C40</f>
        <v>0</v>
      </c>
      <c r="E25" s="113">
        <f>ROUND(C25*D25,2)</f>
        <v>0</v>
      </c>
      <c r="F25" s="110"/>
      <c r="G25" s="160">
        <f>+G23+I23</f>
        <v>0</v>
      </c>
      <c r="H25" s="188">
        <f>'SUB CPIF RATES (ALL)'!D40</f>
        <v>0</v>
      </c>
      <c r="I25" s="113">
        <f>ROUND(G25*H25,2)</f>
        <v>0</v>
      </c>
      <c r="J25" s="110"/>
      <c r="K25" s="160">
        <f>+K23+M23</f>
        <v>0</v>
      </c>
      <c r="L25" s="188">
        <f>'SUB CPIF RATES (ALL)'!E40</f>
        <v>0</v>
      </c>
      <c r="M25" s="113">
        <f>ROUND(K25*L25,2)</f>
        <v>0</v>
      </c>
      <c r="N25" s="110"/>
      <c r="O25" s="160">
        <f>+O23+Q23</f>
        <v>0</v>
      </c>
      <c r="P25" s="188">
        <f>'SUB CPIF RATES (ALL)'!F40</f>
        <v>0</v>
      </c>
      <c r="Q25" s="113">
        <f>ROUND(O25*P25,2)</f>
        <v>0</v>
      </c>
    </row>
    <row r="26" spans="1:17" x14ac:dyDescent="0.25">
      <c r="A26" s="138"/>
      <c r="B26" s="205" t="s">
        <v>185</v>
      </c>
      <c r="C26" s="155"/>
      <c r="D26" s="156"/>
      <c r="E26" s="175">
        <f>ROUND(SUM(E18,E21,E22,E23),2)</f>
        <v>0</v>
      </c>
      <c r="F26" s="110"/>
      <c r="G26" s="151"/>
      <c r="H26" s="152"/>
      <c r="I26" s="175">
        <f>ROUND(SUM(I18,I21,I22,I23),2)</f>
        <v>0</v>
      </c>
      <c r="J26" s="110"/>
      <c r="K26" s="151"/>
      <c r="L26" s="152"/>
      <c r="M26" s="175">
        <f>ROUND(SUM(M18,M21,M22,M23),2)</f>
        <v>0</v>
      </c>
      <c r="N26" s="110"/>
      <c r="O26" s="151"/>
      <c r="P26" s="152"/>
      <c r="Q26" s="175">
        <f>ROUND(SUM(Q18,Q21,Q22,Q23),2)</f>
        <v>0</v>
      </c>
    </row>
    <row r="27" spans="1:17" x14ac:dyDescent="0.25">
      <c r="A27" s="138"/>
      <c r="B27" s="205" t="s">
        <v>72</v>
      </c>
      <c r="C27" s="155"/>
      <c r="D27" s="156"/>
      <c r="E27" s="175">
        <f>ROUND(E24,2)</f>
        <v>0</v>
      </c>
      <c r="F27" s="110"/>
      <c r="G27" s="151"/>
      <c r="H27" s="152"/>
      <c r="I27" s="175">
        <f>ROUND(I24,2)</f>
        <v>0</v>
      </c>
      <c r="J27" s="110"/>
      <c r="K27" s="151"/>
      <c r="L27" s="152"/>
      <c r="M27" s="175">
        <f>ROUND(M24,2)</f>
        <v>0</v>
      </c>
      <c r="N27" s="110"/>
      <c r="O27" s="151"/>
      <c r="P27" s="152"/>
      <c r="Q27" s="175">
        <f>ROUND(Q24,2)</f>
        <v>0</v>
      </c>
    </row>
    <row r="28" spans="1:17" x14ac:dyDescent="0.25">
      <c r="A28" s="138"/>
      <c r="B28" s="205" t="s">
        <v>71</v>
      </c>
      <c r="C28" s="155"/>
      <c r="D28" s="156"/>
      <c r="E28" s="190">
        <f>ROUND(E25,2)</f>
        <v>0</v>
      </c>
      <c r="F28" s="115"/>
      <c r="G28" s="151"/>
      <c r="H28" s="152"/>
      <c r="I28" s="190">
        <f>ROUND(I25,2)</f>
        <v>0</v>
      </c>
      <c r="J28" s="115"/>
      <c r="K28" s="151"/>
      <c r="L28" s="152"/>
      <c r="M28" s="190">
        <f>ROUND(M25,2)</f>
        <v>0</v>
      </c>
      <c r="N28" s="115"/>
      <c r="O28" s="151"/>
      <c r="P28" s="152"/>
      <c r="Q28" s="190">
        <f>ROUND(Q25,2)</f>
        <v>0</v>
      </c>
    </row>
    <row r="29" spans="1:17" ht="16.5" thickBot="1" x14ac:dyDescent="0.3">
      <c r="A29" s="138"/>
      <c r="B29" s="206" t="s">
        <v>73</v>
      </c>
      <c r="C29" s="157"/>
      <c r="D29" s="158"/>
      <c r="E29" s="191">
        <f>ROUND(SUM(E26:E28),2)</f>
        <v>0</v>
      </c>
      <c r="F29" s="116"/>
      <c r="G29" s="153"/>
      <c r="H29" s="154"/>
      <c r="I29" s="191">
        <f>ROUND(SUM(I26:I28),2)</f>
        <v>0</v>
      </c>
      <c r="J29" s="116"/>
      <c r="K29" s="153"/>
      <c r="L29" s="154"/>
      <c r="M29" s="191">
        <f>ROUND(SUM(M26:M28),2)</f>
        <v>0</v>
      </c>
      <c r="N29" s="116"/>
      <c r="O29" s="153"/>
      <c r="P29" s="154"/>
      <c r="Q29" s="191">
        <f>ROUND(SUM(Q26:Q28),2)</f>
        <v>0</v>
      </c>
    </row>
    <row r="30" spans="1:17" ht="16.5" thickBot="1" x14ac:dyDescent="0.3">
      <c r="A30" s="138"/>
      <c r="B30" s="117"/>
      <c r="C30" s="118"/>
      <c r="D30" s="118"/>
      <c r="E30" s="199"/>
      <c r="F30" s="199"/>
      <c r="G30" s="199"/>
      <c r="H30" s="199"/>
      <c r="I30" s="199"/>
      <c r="J30" s="199"/>
      <c r="K30" s="199"/>
      <c r="L30" s="118"/>
      <c r="M30" s="118"/>
      <c r="N30" s="110"/>
      <c r="O30" s="199"/>
      <c r="P30" s="118"/>
      <c r="Q30" s="118"/>
    </row>
    <row r="31" spans="1:17" ht="16.5" customHeight="1" thickBot="1" x14ac:dyDescent="0.3">
      <c r="A31" s="138"/>
      <c r="B31" s="523" t="str">
        <f>B14</f>
        <v>CLIN 0001 (CPIF)                                                    TASK 1.02 DEVELOPMENT FROM PDR TO CDR</v>
      </c>
      <c r="C31" s="490" t="s">
        <v>80</v>
      </c>
      <c r="D31" s="491"/>
      <c r="E31" s="492"/>
      <c r="F31" s="120"/>
      <c r="G31" s="490" t="s">
        <v>80</v>
      </c>
      <c r="H31" s="491"/>
      <c r="I31" s="492"/>
      <c r="J31" s="120"/>
      <c r="K31" s="490" t="s">
        <v>80</v>
      </c>
      <c r="L31" s="491"/>
      <c r="M31" s="492"/>
      <c r="N31" s="120"/>
      <c r="O31" s="490" t="s">
        <v>80</v>
      </c>
      <c r="P31" s="491"/>
      <c r="Q31" s="492"/>
    </row>
    <row r="32" spans="1:17" ht="16.5" thickBot="1" x14ac:dyDescent="0.3">
      <c r="A32" s="138"/>
      <c r="B32" s="524"/>
      <c r="C32" s="520" t="str">
        <f>C15</f>
        <v>CLIN 0001 - Basic Period (Year 1)</v>
      </c>
      <c r="D32" s="521"/>
      <c r="E32" s="522"/>
      <c r="F32" s="121"/>
      <c r="G32" s="520" t="str">
        <f>G15</f>
        <v>CLIN 0001 - Basic Period (Year 2)</v>
      </c>
      <c r="H32" s="521"/>
      <c r="I32" s="522"/>
      <c r="J32" s="121"/>
      <c r="K32" s="520" t="str">
        <f>K15</f>
        <v>CLIN 0001 - Basic Period (Year 3)</v>
      </c>
      <c r="L32" s="521"/>
      <c r="M32" s="522"/>
      <c r="N32" s="121"/>
      <c r="O32" s="520" t="str">
        <f>O15</f>
        <v>CLIN 0001 - Basic Period (Year 4)</v>
      </c>
      <c r="P32" s="521"/>
      <c r="Q32" s="522"/>
    </row>
    <row r="33" spans="1:17" x14ac:dyDescent="0.25">
      <c r="A33" s="138"/>
      <c r="B33" s="192"/>
      <c r="C33" s="98" t="str">
        <f>C19</f>
        <v>Base Cost</v>
      </c>
      <c r="D33" s="99" t="str">
        <f>D19</f>
        <v>Rate</v>
      </c>
      <c r="E33" s="100" t="s">
        <v>88</v>
      </c>
      <c r="F33" s="111"/>
      <c r="G33" s="98" t="str">
        <f>G19</f>
        <v>Base Cost</v>
      </c>
      <c r="H33" s="99" t="str">
        <f>H19</f>
        <v>Rate</v>
      </c>
      <c r="I33" s="100" t="s">
        <v>88</v>
      </c>
      <c r="J33" s="111"/>
      <c r="K33" s="98" t="str">
        <f>K19</f>
        <v>Base Cost</v>
      </c>
      <c r="L33" s="99" t="str">
        <f>L19</f>
        <v>Rate</v>
      </c>
      <c r="M33" s="100" t="s">
        <v>88</v>
      </c>
      <c r="N33" s="111"/>
      <c r="O33" s="98" t="str">
        <f>O19</f>
        <v>Base Cost</v>
      </c>
      <c r="P33" s="99" t="str">
        <f>P19</f>
        <v>Rate</v>
      </c>
      <c r="Q33" s="100" t="s">
        <v>88</v>
      </c>
    </row>
    <row r="34" spans="1:17" ht="51.75" x14ac:dyDescent="0.25">
      <c r="A34" s="138"/>
      <c r="B34" s="240" t="s">
        <v>445</v>
      </c>
      <c r="C34" s="176"/>
      <c r="D34" s="177"/>
      <c r="E34" s="310">
        <f>'SUB CPIF TOTAL MATERIAL'!E13</f>
        <v>0</v>
      </c>
      <c r="F34" s="110"/>
      <c r="G34" s="176"/>
      <c r="H34" s="177"/>
      <c r="I34" s="310">
        <f>'SUB CPIF TOTAL MATERIAL'!G13</f>
        <v>0</v>
      </c>
      <c r="J34" s="110"/>
      <c r="K34" s="176"/>
      <c r="L34" s="177"/>
      <c r="M34" s="310">
        <f>'SUB CPIF TOTAL MATERIAL'!I13</f>
        <v>0</v>
      </c>
      <c r="N34" s="110"/>
      <c r="O34" s="176"/>
      <c r="P34" s="177"/>
      <c r="Q34" s="310">
        <f>'SUB CPIF TOTAL MATERIAL'!K13</f>
        <v>0</v>
      </c>
    </row>
    <row r="35" spans="1:17" ht="67.5" customHeight="1" x14ac:dyDescent="0.25">
      <c r="A35" s="138"/>
      <c r="B35" s="261" t="s">
        <v>446</v>
      </c>
      <c r="C35" s="315"/>
      <c r="D35" s="316"/>
      <c r="E35" s="310"/>
      <c r="F35" s="110"/>
      <c r="G35" s="315"/>
      <c r="H35" s="316"/>
      <c r="I35" s="310"/>
      <c r="J35" s="110"/>
      <c r="K35" s="315"/>
      <c r="L35" s="316"/>
      <c r="M35" s="310"/>
      <c r="N35" s="110"/>
      <c r="O35" s="315"/>
      <c r="P35" s="316"/>
      <c r="Q35" s="310"/>
    </row>
    <row r="36" spans="1:17" x14ac:dyDescent="0.25">
      <c r="A36" s="138"/>
      <c r="B36" s="112" t="str">
        <f>'SUB CPIF RATES (ALL)'!B53</f>
        <v>Indirect Category: [Material Overhead]</v>
      </c>
      <c r="C36" s="160">
        <f>+E34</f>
        <v>0</v>
      </c>
      <c r="D36" s="188">
        <f>'SUB CPIF RATES (ALL)'!C53</f>
        <v>0</v>
      </c>
      <c r="E36" s="113">
        <f>ROUND(C36*D36,2)</f>
        <v>0</v>
      </c>
      <c r="F36" s="123"/>
      <c r="G36" s="160">
        <f>+I34</f>
        <v>0</v>
      </c>
      <c r="H36" s="188">
        <f>'SUB CPIF RATES (ALL)'!D53</f>
        <v>0</v>
      </c>
      <c r="I36" s="113">
        <f>ROUND(G36*H36,2)</f>
        <v>0</v>
      </c>
      <c r="J36" s="123"/>
      <c r="K36" s="160">
        <f>+M34</f>
        <v>0</v>
      </c>
      <c r="L36" s="188">
        <f>'SUB CPIF RATES (ALL)'!E53</f>
        <v>0</v>
      </c>
      <c r="M36" s="113">
        <f>ROUND(K36*L36,2)</f>
        <v>0</v>
      </c>
      <c r="N36" s="123"/>
      <c r="O36" s="160">
        <f>+Q34</f>
        <v>0</v>
      </c>
      <c r="P36" s="188">
        <f>'SUB CPIF RATES (ALL)'!F53</f>
        <v>0</v>
      </c>
      <c r="Q36" s="113">
        <f>ROUND(O36*P36,2)</f>
        <v>0</v>
      </c>
    </row>
    <row r="37" spans="1:17" x14ac:dyDescent="0.25">
      <c r="A37" s="138"/>
      <c r="B37" s="112" t="str">
        <f>'SUB CPIF RATES (ALL)'!B54</f>
        <v>Indirect Category: [G&amp;A]</v>
      </c>
      <c r="C37" s="160">
        <f>+C36+E36</f>
        <v>0</v>
      </c>
      <c r="D37" s="188">
        <f>'SUB CPIF RATES (ALL)'!C54</f>
        <v>0</v>
      </c>
      <c r="E37" s="113">
        <f>ROUND(C37*D37,2)</f>
        <v>0</v>
      </c>
      <c r="F37" s="123"/>
      <c r="G37" s="160">
        <f>+G36+I36</f>
        <v>0</v>
      </c>
      <c r="H37" s="188">
        <f>'SUB CPIF RATES (ALL)'!D54</f>
        <v>0</v>
      </c>
      <c r="I37" s="113">
        <f>ROUND(G37*H37,2)</f>
        <v>0</v>
      </c>
      <c r="J37" s="123"/>
      <c r="K37" s="160">
        <f>+K36+M36</f>
        <v>0</v>
      </c>
      <c r="L37" s="188">
        <f>'SUB CPIF RATES (ALL)'!E54</f>
        <v>0</v>
      </c>
      <c r="M37" s="113">
        <f>ROUND(K37*L37,2)</f>
        <v>0</v>
      </c>
      <c r="N37" s="123"/>
      <c r="O37" s="160">
        <f>+O36+Q36</f>
        <v>0</v>
      </c>
      <c r="P37" s="188">
        <f>'SUB CPIF RATES (ALL)'!F54</f>
        <v>0</v>
      </c>
      <c r="Q37" s="113">
        <f>ROUND(O37*P37,2)</f>
        <v>0</v>
      </c>
    </row>
    <row r="38" spans="1:17" x14ac:dyDescent="0.25">
      <c r="A38" s="138"/>
      <c r="B38" s="112" t="str">
        <f>'SUB CPIF RATES (ALL)'!B55</f>
        <v>Indirect Category: [FCCOM]</v>
      </c>
      <c r="C38" s="160">
        <f>C37+E37</f>
        <v>0</v>
      </c>
      <c r="D38" s="188">
        <f>'SUB CPIF RATES (ALL)'!C55</f>
        <v>0</v>
      </c>
      <c r="E38" s="113">
        <f>ROUND(C38*D38,2)</f>
        <v>0</v>
      </c>
      <c r="F38" s="110"/>
      <c r="G38" s="160">
        <f>G37+I37</f>
        <v>0</v>
      </c>
      <c r="H38" s="188">
        <f>'SUB CPIF RATES (ALL)'!D55</f>
        <v>0</v>
      </c>
      <c r="I38" s="113">
        <f>ROUND(G38*H38,2)</f>
        <v>0</v>
      </c>
      <c r="J38" s="110"/>
      <c r="K38" s="160">
        <f>K37+M37</f>
        <v>0</v>
      </c>
      <c r="L38" s="188">
        <f>'SUB CPIF RATES (ALL)'!E55</f>
        <v>0</v>
      </c>
      <c r="M38" s="113">
        <f>ROUND(K38*L38,2)</f>
        <v>0</v>
      </c>
      <c r="N38" s="110"/>
      <c r="O38" s="160">
        <f>O37+Q37</f>
        <v>0</v>
      </c>
      <c r="P38" s="188">
        <f>'SUB CPIF RATES (ALL)'!F55</f>
        <v>0</v>
      </c>
      <c r="Q38" s="113">
        <f>ROUND(O38*P38,2)</f>
        <v>0</v>
      </c>
    </row>
    <row r="39" spans="1:17" x14ac:dyDescent="0.25">
      <c r="A39" s="138"/>
      <c r="B39" s="112" t="str">
        <f>'SUB CPIF RATES (ALL)'!B56</f>
        <v>Indirect Category: [Target Fee]</v>
      </c>
      <c r="C39" s="160">
        <f>+C37+E37</f>
        <v>0</v>
      </c>
      <c r="D39" s="188">
        <f>'SUB CPIF RATES (ALL)'!C56</f>
        <v>0</v>
      </c>
      <c r="E39" s="113">
        <f>ROUND(C39*D39,2)</f>
        <v>0</v>
      </c>
      <c r="F39" s="110"/>
      <c r="G39" s="160">
        <f>+G37+I37</f>
        <v>0</v>
      </c>
      <c r="H39" s="188">
        <f>'SUB CPIF RATES (ALL)'!D56</f>
        <v>0</v>
      </c>
      <c r="I39" s="113">
        <f>ROUND(G39*H39,2)</f>
        <v>0</v>
      </c>
      <c r="J39" s="110"/>
      <c r="K39" s="160">
        <f>+K37+M37</f>
        <v>0</v>
      </c>
      <c r="L39" s="188">
        <f>'SUB CPIF RATES (ALL)'!E56</f>
        <v>0</v>
      </c>
      <c r="M39" s="113">
        <f>ROUND(K39*L39,2)</f>
        <v>0</v>
      </c>
      <c r="N39" s="110"/>
      <c r="O39" s="160">
        <f>+O37+Q37</f>
        <v>0</v>
      </c>
      <c r="P39" s="188">
        <f>'SUB CPIF RATES (ALL)'!F56</f>
        <v>0</v>
      </c>
      <c r="Q39" s="113">
        <f>ROUND(O39*P39,2)</f>
        <v>0</v>
      </c>
    </row>
    <row r="40" spans="1:17" x14ac:dyDescent="0.25">
      <c r="A40" s="138"/>
      <c r="B40" s="186" t="s">
        <v>186</v>
      </c>
      <c r="C40" s="178"/>
      <c r="D40" s="179"/>
      <c r="E40" s="113">
        <f>ROUND(SUM(E34:E37),2)</f>
        <v>0</v>
      </c>
      <c r="F40" s="110"/>
      <c r="G40" s="178"/>
      <c r="H40" s="179"/>
      <c r="I40" s="113">
        <f>ROUND(SUM(I34:I37),2)</f>
        <v>0</v>
      </c>
      <c r="J40" s="110"/>
      <c r="K40" s="178"/>
      <c r="L40" s="179"/>
      <c r="M40" s="113">
        <f>ROUND(SUM(M34:M37),2)</f>
        <v>0</v>
      </c>
      <c r="N40" s="110"/>
      <c r="O40" s="178"/>
      <c r="P40" s="179"/>
      <c r="Q40" s="113">
        <f>ROUND(SUM(Q34:Q37),2)</f>
        <v>0</v>
      </c>
    </row>
    <row r="41" spans="1:17" x14ac:dyDescent="0.25">
      <c r="A41" s="138"/>
      <c r="B41" s="186" t="s">
        <v>72</v>
      </c>
      <c r="C41" s="176"/>
      <c r="D41" s="180"/>
      <c r="E41" s="113">
        <f>ROUND(E38,2)</f>
        <v>0</v>
      </c>
      <c r="F41" s="110"/>
      <c r="G41" s="176"/>
      <c r="H41" s="180"/>
      <c r="I41" s="113">
        <f>ROUND(I38,2)</f>
        <v>0</v>
      </c>
      <c r="J41" s="110"/>
      <c r="K41" s="176"/>
      <c r="L41" s="180"/>
      <c r="M41" s="113">
        <f>ROUND(M38,2)</f>
        <v>0</v>
      </c>
      <c r="N41" s="110"/>
      <c r="O41" s="176"/>
      <c r="P41" s="180"/>
      <c r="Q41" s="113">
        <f>ROUND(Q38,2)</f>
        <v>0</v>
      </c>
    </row>
    <row r="42" spans="1:17" x14ac:dyDescent="0.2">
      <c r="B42" s="186" t="s">
        <v>71</v>
      </c>
      <c r="C42" s="176"/>
      <c r="D42" s="180"/>
      <c r="E42" s="127">
        <f>ROUND(E39,2)</f>
        <v>0</v>
      </c>
      <c r="F42" s="128"/>
      <c r="G42" s="176"/>
      <c r="H42" s="180"/>
      <c r="I42" s="127">
        <f>ROUND(I39,2)</f>
        <v>0</v>
      </c>
      <c r="J42" s="128"/>
      <c r="K42" s="176"/>
      <c r="L42" s="180"/>
      <c r="M42" s="127">
        <f>ROUND(M39,2)</f>
        <v>0</v>
      </c>
      <c r="N42" s="128"/>
      <c r="O42" s="176"/>
      <c r="P42" s="180"/>
      <c r="Q42" s="127">
        <f>ROUND(Q39,2)</f>
        <v>0</v>
      </c>
    </row>
    <row r="43" spans="1:17" ht="16.5" thickBot="1" x14ac:dyDescent="0.25">
      <c r="B43" s="187" t="s">
        <v>173</v>
      </c>
      <c r="C43" s="181"/>
      <c r="D43" s="182"/>
      <c r="E43" s="105">
        <f>SUM(E40:E42)</f>
        <v>0</v>
      </c>
      <c r="F43" s="106"/>
      <c r="G43" s="181"/>
      <c r="H43" s="182"/>
      <c r="I43" s="105">
        <f>SUM(I40:I42)</f>
        <v>0</v>
      </c>
      <c r="J43" s="106"/>
      <c r="K43" s="181"/>
      <c r="L43" s="182"/>
      <c r="M43" s="105">
        <f>SUM(M40:M42)</f>
        <v>0</v>
      </c>
      <c r="N43" s="106"/>
      <c r="O43" s="181"/>
      <c r="P43" s="182"/>
      <c r="Q43" s="105">
        <f>SUM(Q40:Q42)</f>
        <v>0</v>
      </c>
    </row>
    <row r="44" spans="1:17" ht="16.5" thickBot="1" x14ac:dyDescent="0.25">
      <c r="B44" s="117"/>
      <c r="E44" s="194"/>
      <c r="F44" s="194"/>
      <c r="G44" s="194"/>
      <c r="H44" s="194"/>
      <c r="I44" s="194"/>
      <c r="J44" s="194"/>
      <c r="K44" s="194"/>
      <c r="N44" s="132"/>
      <c r="O44" s="194"/>
    </row>
    <row r="45" spans="1:17" ht="16.5" thickBot="1" x14ac:dyDescent="0.3">
      <c r="B45" s="523" t="str">
        <f>B14</f>
        <v>CLIN 0001 (CPIF)                                                    TASK 1.02 DEVELOPMENT FROM PDR TO CDR</v>
      </c>
      <c r="C45" s="490" t="s">
        <v>212</v>
      </c>
      <c r="D45" s="491"/>
      <c r="E45" s="492"/>
      <c r="F45" s="120"/>
      <c r="G45" s="490" t="s">
        <v>212</v>
      </c>
      <c r="H45" s="491"/>
      <c r="I45" s="492"/>
      <c r="J45" s="120"/>
      <c r="K45" s="490" t="s">
        <v>212</v>
      </c>
      <c r="L45" s="491"/>
      <c r="M45" s="492"/>
      <c r="N45" s="120"/>
      <c r="O45" s="490" t="s">
        <v>212</v>
      </c>
      <c r="P45" s="491"/>
      <c r="Q45" s="492"/>
    </row>
    <row r="46" spans="1:17" ht="16.5" thickBot="1" x14ac:dyDescent="0.3">
      <c r="B46" s="524"/>
      <c r="C46" s="520" t="str">
        <f>C32</f>
        <v>CLIN 0001 - Basic Period (Year 1)</v>
      </c>
      <c r="D46" s="521"/>
      <c r="E46" s="522"/>
      <c r="F46" s="121"/>
      <c r="G46" s="520" t="str">
        <f>G32</f>
        <v>CLIN 0001 - Basic Period (Year 2)</v>
      </c>
      <c r="H46" s="521"/>
      <c r="I46" s="522"/>
      <c r="J46" s="121"/>
      <c r="K46" s="520" t="str">
        <f>K32</f>
        <v>CLIN 0001 - Basic Period (Year 3)</v>
      </c>
      <c r="L46" s="521"/>
      <c r="M46" s="522"/>
      <c r="N46" s="121"/>
      <c r="O46" s="520" t="str">
        <f>O32</f>
        <v>CLIN 0001 - Basic Period (Year 4)</v>
      </c>
      <c r="P46" s="521"/>
      <c r="Q46" s="522"/>
    </row>
    <row r="47" spans="1:17" x14ac:dyDescent="0.25">
      <c r="B47" s="193"/>
      <c r="C47" s="98" t="str">
        <f>C33</f>
        <v>Base Cost</v>
      </c>
      <c r="D47" s="99" t="str">
        <f>D33</f>
        <v>Rate</v>
      </c>
      <c r="E47" s="100" t="s">
        <v>287</v>
      </c>
      <c r="F47" s="111"/>
      <c r="G47" s="98" t="str">
        <f>G33</f>
        <v>Base Cost</v>
      </c>
      <c r="H47" s="99" t="str">
        <f>H33</f>
        <v>Rate</v>
      </c>
      <c r="I47" s="100" t="s">
        <v>287</v>
      </c>
      <c r="J47" s="111"/>
      <c r="K47" s="98" t="str">
        <f>K33</f>
        <v>Base Cost</v>
      </c>
      <c r="L47" s="99" t="str">
        <f>L33</f>
        <v>Rate</v>
      </c>
      <c r="M47" s="100" t="s">
        <v>287</v>
      </c>
      <c r="N47" s="111"/>
      <c r="O47" s="98" t="str">
        <f>O33</f>
        <v>Base Cost</v>
      </c>
      <c r="P47" s="99" t="str">
        <f>P33</f>
        <v>Rate</v>
      </c>
      <c r="Q47" s="100" t="s">
        <v>287</v>
      </c>
    </row>
    <row r="48" spans="1:17" ht="25.5" x14ac:dyDescent="0.2">
      <c r="B48" s="240" t="s">
        <v>447</v>
      </c>
      <c r="C48" s="226"/>
      <c r="D48" s="226"/>
      <c r="E48" s="262">
        <f>'SUB CPIF TOTAL SUB'!E13</f>
        <v>0</v>
      </c>
      <c r="F48" s="229"/>
      <c r="G48" s="176"/>
      <c r="H48" s="226"/>
      <c r="I48" s="262">
        <f>'SUB CPIF TOTAL SUB'!G13</f>
        <v>0</v>
      </c>
      <c r="J48" s="229"/>
      <c r="K48" s="176"/>
      <c r="L48" s="226"/>
      <c r="M48" s="262">
        <f>'SUB CPIF TOTAL SUB'!I13</f>
        <v>0</v>
      </c>
      <c r="N48" s="110"/>
      <c r="O48" s="176"/>
      <c r="P48" s="226"/>
      <c r="Q48" s="262">
        <f>'SUB CPIF TOTAL SUB'!K13</f>
        <v>0</v>
      </c>
    </row>
    <row r="49" spans="1:17" ht="76.5" x14ac:dyDescent="0.2">
      <c r="B49" s="261" t="s">
        <v>448</v>
      </c>
      <c r="C49" s="527" t="s">
        <v>1</v>
      </c>
      <c r="D49" s="528"/>
      <c r="E49" s="529"/>
      <c r="F49" s="123"/>
      <c r="G49" s="530"/>
      <c r="H49" s="528"/>
      <c r="I49" s="529"/>
      <c r="J49" s="123"/>
      <c r="K49" s="530"/>
      <c r="L49" s="528"/>
      <c r="M49" s="529"/>
      <c r="N49" s="123"/>
      <c r="O49" s="530"/>
      <c r="P49" s="528"/>
      <c r="Q49" s="529"/>
    </row>
    <row r="50" spans="1:17" x14ac:dyDescent="0.2">
      <c r="B50" s="228" t="str">
        <f>'SUB CPIF RATES (ALL)'!B45</f>
        <v>Indirect Category: [Overhead]</v>
      </c>
      <c r="C50" s="227">
        <f>E48</f>
        <v>0</v>
      </c>
      <c r="D50" s="188">
        <f>'SUB CPIF RATES (ALL)'!C45</f>
        <v>0</v>
      </c>
      <c r="E50" s="113">
        <f>ROUND(C50*D50,2)</f>
        <v>0</v>
      </c>
      <c r="F50" s="123"/>
      <c r="G50" s="160">
        <f>I48</f>
        <v>0</v>
      </c>
      <c r="H50" s="188">
        <f>'SUB CPIF RATES (ALL)'!D45</f>
        <v>0</v>
      </c>
      <c r="I50" s="113">
        <f>ROUND(G50*H50,2)</f>
        <v>0</v>
      </c>
      <c r="J50" s="123"/>
      <c r="K50" s="160">
        <f>M48</f>
        <v>0</v>
      </c>
      <c r="L50" s="188">
        <f>'SUB CPIF RATES (ALL)'!E45</f>
        <v>0</v>
      </c>
      <c r="M50" s="113">
        <f>ROUND(K50*L50,2)</f>
        <v>0</v>
      </c>
      <c r="N50" s="123"/>
      <c r="O50" s="160">
        <f>Q48</f>
        <v>0</v>
      </c>
      <c r="P50" s="188">
        <f>'SUB CPIF RATES (ALL)'!F45</f>
        <v>0</v>
      </c>
      <c r="Q50" s="113">
        <f>ROUND(O50*P50,2)</f>
        <v>0</v>
      </c>
    </row>
    <row r="51" spans="1:17" x14ac:dyDescent="0.2">
      <c r="B51" s="228" t="str">
        <f>'SUB CPIF RATES (ALL)'!B46</f>
        <v>Indirect Category: [G&amp;A]</v>
      </c>
      <c r="C51" s="227">
        <f>C50+E50</f>
        <v>0</v>
      </c>
      <c r="D51" s="188">
        <f>'SUB CPIF RATES (ALL)'!C46</f>
        <v>0</v>
      </c>
      <c r="E51" s="113">
        <f>ROUND(C51*D51,2)</f>
        <v>0</v>
      </c>
      <c r="F51" s="229"/>
      <c r="G51" s="227">
        <f>G50+I50</f>
        <v>0</v>
      </c>
      <c r="H51" s="188">
        <f>'SUB CPIF RATES (ALL)'!D46</f>
        <v>0</v>
      </c>
      <c r="I51" s="113">
        <f>ROUND(G51*H51,2)</f>
        <v>0</v>
      </c>
      <c r="J51" s="229"/>
      <c r="K51" s="227">
        <f>K50+M50</f>
        <v>0</v>
      </c>
      <c r="L51" s="188">
        <f>'SUB CPIF RATES (ALL)'!E46</f>
        <v>0</v>
      </c>
      <c r="M51" s="113">
        <f>ROUND(K51*L51,2)</f>
        <v>0</v>
      </c>
      <c r="N51" s="110"/>
      <c r="O51" s="227">
        <f>O50+Q50</f>
        <v>0</v>
      </c>
      <c r="P51" s="188">
        <f>'SUB CPIF RATES (ALL)'!F46</f>
        <v>0</v>
      </c>
      <c r="Q51" s="113">
        <f>ROUND(O51*P51,2)</f>
        <v>0</v>
      </c>
    </row>
    <row r="52" spans="1:17" x14ac:dyDescent="0.2">
      <c r="B52" s="266" t="str">
        <f>'SUB CPIF RATES (ALL)'!B47</f>
        <v>Indirect Category: [FCCOM]</v>
      </c>
      <c r="C52" s="159">
        <f>C51+E51</f>
        <v>0</v>
      </c>
      <c r="D52" s="188">
        <f>'SUB CPIF RATES (ALL)'!C47</f>
        <v>0</v>
      </c>
      <c r="E52" s="268">
        <f>ROUND(C52*D52,2)</f>
        <v>0</v>
      </c>
      <c r="F52" s="229"/>
      <c r="G52" s="159">
        <f>G51+I51</f>
        <v>0</v>
      </c>
      <c r="H52" s="188">
        <f>'SUB CPIF RATES (ALL)'!D47</f>
        <v>0</v>
      </c>
      <c r="I52" s="268">
        <f>ROUND(G52*H52,2)</f>
        <v>0</v>
      </c>
      <c r="J52" s="229"/>
      <c r="K52" s="159">
        <f>K51+M51</f>
        <v>0</v>
      </c>
      <c r="L52" s="188">
        <f>'SUB CPIF RATES (ALL)'!E47</f>
        <v>0</v>
      </c>
      <c r="M52" s="268">
        <f>ROUND(K52*L52,2)</f>
        <v>0</v>
      </c>
      <c r="N52" s="110"/>
      <c r="O52" s="159">
        <f>O51+Q51</f>
        <v>0</v>
      </c>
      <c r="P52" s="188">
        <f>'SUB CPIF RATES (ALL)'!F47</f>
        <v>0</v>
      </c>
      <c r="Q52" s="268">
        <f>ROUND(O52*P52,2)</f>
        <v>0</v>
      </c>
    </row>
    <row r="53" spans="1:17" x14ac:dyDescent="0.2">
      <c r="B53" s="112" t="str">
        <f>'SUB CPIF RATES (ALL)'!B48</f>
        <v>Indirect Category: [Target Fee]</v>
      </c>
      <c r="C53" s="159">
        <f>C51+E51</f>
        <v>0</v>
      </c>
      <c r="D53" s="188">
        <f>'SUB CPIF RATES (ALL)'!C48</f>
        <v>0</v>
      </c>
      <c r="E53" s="268">
        <f>ROUND(C53*D53,2)</f>
        <v>0</v>
      </c>
      <c r="F53" s="229"/>
      <c r="G53" s="159">
        <f>G51+I51</f>
        <v>0</v>
      </c>
      <c r="H53" s="188">
        <f>'SUB CPIF RATES (ALL)'!D48</f>
        <v>0</v>
      </c>
      <c r="I53" s="268">
        <f>ROUND(G53*H53,2)</f>
        <v>0</v>
      </c>
      <c r="J53" s="229"/>
      <c r="K53" s="159">
        <f>K51+M51</f>
        <v>0</v>
      </c>
      <c r="L53" s="188">
        <f>'SUB CPIF RATES (ALL)'!E48</f>
        <v>0</v>
      </c>
      <c r="M53" s="268">
        <f>ROUND(K53*L53,2)</f>
        <v>0</v>
      </c>
      <c r="N53" s="110"/>
      <c r="O53" s="159">
        <f>O51+Q51</f>
        <v>0</v>
      </c>
      <c r="P53" s="188">
        <f>'SUB CPIF RATES (ALL)'!F48</f>
        <v>0</v>
      </c>
      <c r="Q53" s="268">
        <f>ROUND(O53*P53,2)</f>
        <v>0</v>
      </c>
    </row>
    <row r="54" spans="1:17" x14ac:dyDescent="0.2">
      <c r="B54" s="186" t="s">
        <v>214</v>
      </c>
      <c r="C54" s="178"/>
      <c r="D54" s="179"/>
      <c r="E54" s="113">
        <f>ROUND(E48+E50+E51,2)</f>
        <v>0</v>
      </c>
      <c r="F54" s="229"/>
      <c r="G54" s="178"/>
      <c r="H54" s="179"/>
      <c r="I54" s="113">
        <f>ROUND(I48+I50+I51,2)</f>
        <v>0</v>
      </c>
      <c r="J54" s="229"/>
      <c r="K54" s="178"/>
      <c r="L54" s="179"/>
      <c r="M54" s="113">
        <f>ROUND(M48+M50+M51,2)</f>
        <v>0</v>
      </c>
      <c r="N54" s="110"/>
      <c r="O54" s="178"/>
      <c r="P54" s="179"/>
      <c r="Q54" s="113">
        <f>ROUND(Q48+Q50+Q51,2)</f>
        <v>0</v>
      </c>
    </row>
    <row r="55" spans="1:17" x14ac:dyDescent="0.2">
      <c r="B55" s="186" t="s">
        <v>204</v>
      </c>
      <c r="C55" s="176"/>
      <c r="D55" s="180"/>
      <c r="E55" s="113">
        <f>ROUND(E52,2)</f>
        <v>0</v>
      </c>
      <c r="F55" s="229"/>
      <c r="G55" s="176"/>
      <c r="H55" s="180"/>
      <c r="I55" s="113">
        <f>ROUND(I52,2)</f>
        <v>0</v>
      </c>
      <c r="J55" s="229"/>
      <c r="K55" s="176"/>
      <c r="L55" s="180"/>
      <c r="M55" s="113">
        <f>ROUND(M52,2)</f>
        <v>0</v>
      </c>
      <c r="N55" s="110"/>
      <c r="O55" s="176"/>
      <c r="P55" s="180"/>
      <c r="Q55" s="113">
        <f>ROUND(Q52,2)</f>
        <v>0</v>
      </c>
    </row>
    <row r="56" spans="1:17" x14ac:dyDescent="0.2">
      <c r="B56" s="186" t="s">
        <v>71</v>
      </c>
      <c r="C56" s="176"/>
      <c r="D56" s="180"/>
      <c r="E56" s="127">
        <f>ROUND(E53,2)</f>
        <v>0</v>
      </c>
      <c r="F56" s="128"/>
      <c r="G56" s="176"/>
      <c r="H56" s="180"/>
      <c r="I56" s="127">
        <f>ROUND(I53,2)</f>
        <v>0</v>
      </c>
      <c r="J56" s="128"/>
      <c r="K56" s="176"/>
      <c r="L56" s="180"/>
      <c r="M56" s="127">
        <f>ROUND(M53,2)</f>
        <v>0</v>
      </c>
      <c r="N56" s="128"/>
      <c r="O56" s="176"/>
      <c r="P56" s="180"/>
      <c r="Q56" s="127">
        <f>ROUND(Q53,2)</f>
        <v>0</v>
      </c>
    </row>
    <row r="57" spans="1:17" ht="16.5" thickBot="1" x14ac:dyDescent="0.25">
      <c r="B57" s="187" t="s">
        <v>215</v>
      </c>
      <c r="C57" s="181"/>
      <c r="D57" s="182"/>
      <c r="E57" s="105">
        <f>ROUND(SUM(E54:E56),2)</f>
        <v>0</v>
      </c>
      <c r="F57" s="106"/>
      <c r="G57" s="181"/>
      <c r="H57" s="182"/>
      <c r="I57" s="105">
        <f>ROUND(SUM(I54:I56),2)</f>
        <v>0</v>
      </c>
      <c r="J57" s="106"/>
      <c r="K57" s="181"/>
      <c r="L57" s="182"/>
      <c r="M57" s="105">
        <f>ROUND(SUM(M54:M56),2)</f>
        <v>0</v>
      </c>
      <c r="N57" s="106"/>
      <c r="O57" s="181"/>
      <c r="P57" s="182"/>
      <c r="Q57" s="105">
        <f>ROUND(SUM(Q54:Q56),2)</f>
        <v>0</v>
      </c>
    </row>
    <row r="58" spans="1:17" ht="16.5" thickBot="1" x14ac:dyDescent="0.25">
      <c r="B58" s="117"/>
      <c r="E58" s="194"/>
      <c r="F58" s="194"/>
      <c r="G58" s="194"/>
      <c r="H58" s="194"/>
      <c r="I58" s="194"/>
      <c r="J58" s="194"/>
      <c r="K58" s="194"/>
      <c r="N58" s="132"/>
      <c r="O58" s="194"/>
    </row>
    <row r="59" spans="1:17" ht="16.5" customHeight="1" thickBot="1" x14ac:dyDescent="0.3">
      <c r="A59" s="138"/>
      <c r="B59" s="523" t="str">
        <f>B31</f>
        <v>CLIN 0001 (CPIF)                                                    TASK 1.02 DEVELOPMENT FROM PDR TO CDR</v>
      </c>
      <c r="C59" s="490" t="s">
        <v>81</v>
      </c>
      <c r="D59" s="491"/>
      <c r="E59" s="492"/>
      <c r="F59" s="120"/>
      <c r="G59" s="490" t="s">
        <v>82</v>
      </c>
      <c r="H59" s="491"/>
      <c r="I59" s="492"/>
      <c r="J59" s="120"/>
      <c r="K59" s="490" t="s">
        <v>82</v>
      </c>
      <c r="L59" s="491"/>
      <c r="M59" s="492"/>
      <c r="N59" s="120"/>
      <c r="O59" s="490" t="s">
        <v>82</v>
      </c>
      <c r="P59" s="491"/>
      <c r="Q59" s="492"/>
    </row>
    <row r="60" spans="1:17" ht="16.5" thickBot="1" x14ac:dyDescent="0.3">
      <c r="A60" s="138"/>
      <c r="B60" s="524"/>
      <c r="C60" s="520" t="str">
        <f>C32</f>
        <v>CLIN 0001 - Basic Period (Year 1)</v>
      </c>
      <c r="D60" s="521"/>
      <c r="E60" s="522"/>
      <c r="F60" s="121"/>
      <c r="G60" s="520" t="str">
        <f>G32</f>
        <v>CLIN 0001 - Basic Period (Year 2)</v>
      </c>
      <c r="H60" s="521"/>
      <c r="I60" s="522"/>
      <c r="J60" s="121"/>
      <c r="K60" s="520" t="str">
        <f>K32</f>
        <v>CLIN 0001 - Basic Period (Year 3)</v>
      </c>
      <c r="L60" s="521"/>
      <c r="M60" s="522"/>
      <c r="N60" s="121"/>
      <c r="O60" s="520" t="str">
        <f>O32</f>
        <v>CLIN 0001 - Basic Period (Year 4)</v>
      </c>
      <c r="P60" s="521"/>
      <c r="Q60" s="522"/>
    </row>
    <row r="61" spans="1:17" x14ac:dyDescent="0.25">
      <c r="A61" s="138"/>
      <c r="B61" s="193"/>
      <c r="C61" s="98" t="str">
        <f>C47</f>
        <v>Base Cost</v>
      </c>
      <c r="D61" s="99" t="str">
        <f>D47</f>
        <v>Rate</v>
      </c>
      <c r="E61" s="100" t="s">
        <v>184</v>
      </c>
      <c r="F61" s="111"/>
      <c r="G61" s="98" t="s">
        <v>289</v>
      </c>
      <c r="H61" s="99" t="s">
        <v>286</v>
      </c>
      <c r="I61" s="100" t="s">
        <v>184</v>
      </c>
      <c r="J61" s="111"/>
      <c r="K61" s="98" t="str">
        <f>K47</f>
        <v>Base Cost</v>
      </c>
      <c r="L61" s="99" t="s">
        <v>286</v>
      </c>
      <c r="M61" s="100" t="s">
        <v>184</v>
      </c>
      <c r="N61" s="111"/>
      <c r="O61" s="98" t="str">
        <f>O47</f>
        <v>Base Cost</v>
      </c>
      <c r="P61" s="99" t="s">
        <v>286</v>
      </c>
      <c r="Q61" s="100" t="s">
        <v>184</v>
      </c>
    </row>
    <row r="62" spans="1:17" ht="26.25" x14ac:dyDescent="0.25">
      <c r="A62" s="138"/>
      <c r="B62" s="240" t="s">
        <v>449</v>
      </c>
      <c r="C62" s="176"/>
      <c r="D62" s="177"/>
      <c r="E62" s="262">
        <f>'SUB CPIF TOTAL ODC'!E14</f>
        <v>0</v>
      </c>
      <c r="F62" s="110"/>
      <c r="G62" s="176"/>
      <c r="H62" s="177"/>
      <c r="I62" s="262">
        <f>'SUB CPIF TOTAL ODC'!G14</f>
        <v>0</v>
      </c>
      <c r="J62" s="110"/>
      <c r="K62" s="176"/>
      <c r="L62" s="177"/>
      <c r="M62" s="310">
        <f>'SUB CPIF TOTAL ODC'!I14</f>
        <v>0</v>
      </c>
      <c r="N62" s="110"/>
      <c r="O62" s="176"/>
      <c r="P62" s="177"/>
      <c r="Q62" s="310">
        <f>'SUB CPIF TOTAL ODC'!K14</f>
        <v>0</v>
      </c>
    </row>
    <row r="63" spans="1:17" ht="66" customHeight="1" x14ac:dyDescent="0.25">
      <c r="A63" s="138" t="s">
        <v>285</v>
      </c>
      <c r="B63" s="317" t="s">
        <v>450</v>
      </c>
      <c r="C63" s="314"/>
      <c r="D63" s="314"/>
      <c r="E63" s="313"/>
      <c r="F63" s="229"/>
      <c r="G63" s="315"/>
      <c r="H63" s="314"/>
      <c r="I63" s="313"/>
      <c r="J63" s="229"/>
      <c r="K63" s="315"/>
      <c r="L63" s="314"/>
      <c r="M63" s="310"/>
      <c r="N63" s="110"/>
      <c r="O63" s="315"/>
      <c r="P63" s="314"/>
      <c r="Q63" s="310"/>
    </row>
    <row r="64" spans="1:17" x14ac:dyDescent="0.25">
      <c r="A64" s="138"/>
      <c r="B64" s="112" t="str">
        <f>'SUB CPIF RATES (ALL)'!B61</f>
        <v>Indirect Category: [Overhead]</v>
      </c>
      <c r="C64" s="160">
        <f>+E62</f>
        <v>0</v>
      </c>
      <c r="D64" s="188">
        <f>'SUB CPIF RATES (ALL)'!C61</f>
        <v>0</v>
      </c>
      <c r="E64" s="113">
        <f>ROUND(C64*D64,2)</f>
        <v>0</v>
      </c>
      <c r="F64" s="123"/>
      <c r="G64" s="160">
        <f>+I62</f>
        <v>0</v>
      </c>
      <c r="H64" s="188">
        <f>'SUB CPIF RATES (ALL)'!D61</f>
        <v>0</v>
      </c>
      <c r="I64" s="113">
        <f>ROUND(G64*H64,2)</f>
        <v>0</v>
      </c>
      <c r="J64" s="123"/>
      <c r="K64" s="160">
        <f>+M62</f>
        <v>0</v>
      </c>
      <c r="L64" s="188">
        <f>'SUB CPIF RATES (ALL)'!E61</f>
        <v>0</v>
      </c>
      <c r="M64" s="113">
        <f>ROUND(K64*L64,2)</f>
        <v>0</v>
      </c>
      <c r="N64" s="123"/>
      <c r="O64" s="160">
        <f>+Q62</f>
        <v>0</v>
      </c>
      <c r="P64" s="188">
        <f>'SUB CPIF RATES (ALL)'!F61</f>
        <v>0</v>
      </c>
      <c r="Q64" s="113">
        <f>ROUND(O64*P64,2)</f>
        <v>0</v>
      </c>
    </row>
    <row r="65" spans="1:17" x14ac:dyDescent="0.25">
      <c r="A65" s="138"/>
      <c r="B65" s="112" t="str">
        <f>'SUB CPIF RATES (ALL)'!B62</f>
        <v>Indirect Category: [G&amp;A]</v>
      </c>
      <c r="C65" s="160">
        <f>+C64+E64</f>
        <v>0</v>
      </c>
      <c r="D65" s="188">
        <f>'SUB CPIF RATES (ALL)'!C62</f>
        <v>0</v>
      </c>
      <c r="E65" s="113">
        <f>ROUND(C65*D65,2)</f>
        <v>0</v>
      </c>
      <c r="F65" s="123"/>
      <c r="G65" s="160">
        <f>+G64+I64</f>
        <v>0</v>
      </c>
      <c r="H65" s="188">
        <f>'SUB CPIF RATES (ALL)'!D62</f>
        <v>0</v>
      </c>
      <c r="I65" s="113">
        <f>ROUND(G65*H65,2)</f>
        <v>0</v>
      </c>
      <c r="J65" s="123"/>
      <c r="K65" s="160">
        <f>+K64+M64</f>
        <v>0</v>
      </c>
      <c r="L65" s="188">
        <f>'SUB CPIF RATES (ALL)'!E62</f>
        <v>0</v>
      </c>
      <c r="M65" s="113">
        <f>ROUND(K65*L65,2)</f>
        <v>0</v>
      </c>
      <c r="N65" s="123"/>
      <c r="O65" s="160">
        <f>+O64+Q64</f>
        <v>0</v>
      </c>
      <c r="P65" s="188">
        <f>'SUB CPIF RATES (ALL)'!F62</f>
        <v>0</v>
      </c>
      <c r="Q65" s="113">
        <f>ROUND(O65*P65,2)</f>
        <v>0</v>
      </c>
    </row>
    <row r="66" spans="1:17" x14ac:dyDescent="0.25">
      <c r="A66" s="138"/>
      <c r="B66" s="112" t="str">
        <f>'SUB CPIF RATES (ALL)'!B63</f>
        <v xml:space="preserve">Indirect Category: [FCCOM] </v>
      </c>
      <c r="C66" s="160">
        <f>C65+E65</f>
        <v>0</v>
      </c>
      <c r="D66" s="188">
        <f>'SUB CPIF RATES (ALL)'!C63</f>
        <v>0</v>
      </c>
      <c r="E66" s="113">
        <f>ROUND(C66*D66,2)</f>
        <v>0</v>
      </c>
      <c r="F66" s="110"/>
      <c r="G66" s="160">
        <f>G65+I65</f>
        <v>0</v>
      </c>
      <c r="H66" s="188">
        <f>'SUB CPIF RATES (ALL)'!D63</f>
        <v>0</v>
      </c>
      <c r="I66" s="113">
        <f>ROUND(G66*H66,2)</f>
        <v>0</v>
      </c>
      <c r="J66" s="110"/>
      <c r="K66" s="160">
        <f>K65+M65</f>
        <v>0</v>
      </c>
      <c r="L66" s="188">
        <f>'SUB CPIF RATES (ALL)'!E63</f>
        <v>0</v>
      </c>
      <c r="M66" s="113">
        <f>ROUND(K66*L66,2)</f>
        <v>0</v>
      </c>
      <c r="N66" s="110"/>
      <c r="O66" s="160">
        <f>O65+Q65</f>
        <v>0</v>
      </c>
      <c r="P66" s="188">
        <f>'SUB CPIF RATES (ALL)'!F63</f>
        <v>0</v>
      </c>
      <c r="Q66" s="113">
        <f>ROUND(O66*P66,2)</f>
        <v>0</v>
      </c>
    </row>
    <row r="67" spans="1:17" x14ac:dyDescent="0.25">
      <c r="A67" s="138"/>
      <c r="B67" s="112" t="str">
        <f>'SUB CPIF RATES (ALL)'!B64</f>
        <v xml:space="preserve">Indirect Category: [Target Fee] </v>
      </c>
      <c r="C67" s="160">
        <f>+C65+E65</f>
        <v>0</v>
      </c>
      <c r="D67" s="188">
        <f>'SUB CPIF RATES (ALL)'!C64</f>
        <v>0</v>
      </c>
      <c r="E67" s="113">
        <f>ROUND(C67*D67,2)</f>
        <v>0</v>
      </c>
      <c r="F67" s="110"/>
      <c r="G67" s="160">
        <f>+G65+I65</f>
        <v>0</v>
      </c>
      <c r="H67" s="188">
        <f>'SUB CPIF RATES (ALL)'!D64</f>
        <v>0</v>
      </c>
      <c r="I67" s="113">
        <f>ROUND(G67*H67,2)</f>
        <v>0</v>
      </c>
      <c r="J67" s="110"/>
      <c r="K67" s="160">
        <f>+K65+M65</f>
        <v>0</v>
      </c>
      <c r="L67" s="188">
        <f>'SUB CPIF RATES (ALL)'!E64</f>
        <v>0</v>
      </c>
      <c r="M67" s="113">
        <f>ROUND(K67*L67,2)</f>
        <v>0</v>
      </c>
      <c r="N67" s="110"/>
      <c r="O67" s="160">
        <f>+O65+Q65</f>
        <v>0</v>
      </c>
      <c r="P67" s="188">
        <f>'SUB CPIF RATES (ALL)'!F64</f>
        <v>0</v>
      </c>
      <c r="Q67" s="113">
        <f>ROUND(O67*P67,2)</f>
        <v>0</v>
      </c>
    </row>
    <row r="68" spans="1:17" x14ac:dyDescent="0.25">
      <c r="A68" s="138"/>
      <c r="B68" s="186" t="s">
        <v>187</v>
      </c>
      <c r="C68" s="178"/>
      <c r="D68" s="179"/>
      <c r="E68" s="113">
        <f>ROUND(SUM(E62:E65),2)</f>
        <v>0</v>
      </c>
      <c r="F68" s="110"/>
      <c r="G68" s="178"/>
      <c r="H68" s="179"/>
      <c r="I68" s="113">
        <f>ROUND(SUM(I62:I65),2)</f>
        <v>0</v>
      </c>
      <c r="J68" s="110"/>
      <c r="K68" s="178"/>
      <c r="L68" s="179"/>
      <c r="M68" s="113">
        <f>ROUND(SUM(M62:M65),2)</f>
        <v>0</v>
      </c>
      <c r="N68" s="110"/>
      <c r="O68" s="178"/>
      <c r="P68" s="179"/>
      <c r="Q68" s="113">
        <f>ROUND(SUM(Q62:Q65),2)</f>
        <v>0</v>
      </c>
    </row>
    <row r="69" spans="1:17" x14ac:dyDescent="0.25">
      <c r="A69" s="138"/>
      <c r="B69" s="186" t="s">
        <v>72</v>
      </c>
      <c r="C69" s="176"/>
      <c r="D69" s="180"/>
      <c r="E69" s="113">
        <f>ROUND(E66,2)</f>
        <v>0</v>
      </c>
      <c r="F69" s="110"/>
      <c r="G69" s="176"/>
      <c r="H69" s="180"/>
      <c r="I69" s="113">
        <f>ROUND(I66,2)</f>
        <v>0</v>
      </c>
      <c r="J69" s="110"/>
      <c r="K69" s="176"/>
      <c r="L69" s="180"/>
      <c r="M69" s="113">
        <f>ROUND(M66,2)</f>
        <v>0</v>
      </c>
      <c r="N69" s="110"/>
      <c r="O69" s="176"/>
      <c r="P69" s="180"/>
      <c r="Q69" s="113">
        <f>ROUND(Q66,2)</f>
        <v>0</v>
      </c>
    </row>
    <row r="70" spans="1:17" x14ac:dyDescent="0.2">
      <c r="A70" s="131"/>
      <c r="B70" s="186" t="s">
        <v>71</v>
      </c>
      <c r="C70" s="176"/>
      <c r="D70" s="180"/>
      <c r="E70" s="127">
        <f>ROUND(E67,2)</f>
        <v>0</v>
      </c>
      <c r="F70" s="128"/>
      <c r="G70" s="176"/>
      <c r="H70" s="180"/>
      <c r="I70" s="127">
        <f>ROUND(I67,2)</f>
        <v>0</v>
      </c>
      <c r="J70" s="128"/>
      <c r="K70" s="176"/>
      <c r="L70" s="180"/>
      <c r="M70" s="127">
        <f>ROUND(M67,2)</f>
        <v>0</v>
      </c>
      <c r="N70" s="128"/>
      <c r="O70" s="176"/>
      <c r="P70" s="180"/>
      <c r="Q70" s="127">
        <f>ROUND(Q67,2)</f>
        <v>0</v>
      </c>
    </row>
    <row r="71" spans="1:17" ht="16.5" thickBot="1" x14ac:dyDescent="0.25">
      <c r="A71" s="131"/>
      <c r="B71" s="187" t="s">
        <v>174</v>
      </c>
      <c r="C71" s="181"/>
      <c r="D71" s="182"/>
      <c r="E71" s="105">
        <f>ROUND(SUM(E68:E70),2)</f>
        <v>0</v>
      </c>
      <c r="F71" s="106"/>
      <c r="G71" s="181"/>
      <c r="H71" s="182"/>
      <c r="I71" s="105">
        <f>ROUND(SUM(I68:I70),2)</f>
        <v>0</v>
      </c>
      <c r="J71" s="106"/>
      <c r="K71" s="181"/>
      <c r="L71" s="182"/>
      <c r="M71" s="105">
        <f>ROUND(SUM(M68:M70),2)</f>
        <v>0</v>
      </c>
      <c r="N71" s="106"/>
      <c r="O71" s="181"/>
      <c r="P71" s="182"/>
      <c r="Q71" s="105">
        <f>ROUND(SUM(Q68:Q70),2)</f>
        <v>0</v>
      </c>
    </row>
    <row r="72" spans="1:17" ht="16.5" thickBot="1" x14ac:dyDescent="0.25">
      <c r="A72" s="131"/>
      <c r="B72" s="117"/>
      <c r="E72" s="194"/>
      <c r="F72" s="194"/>
      <c r="G72" s="194"/>
      <c r="H72" s="194"/>
      <c r="I72" s="194"/>
      <c r="J72" s="194"/>
      <c r="K72" s="194"/>
      <c r="N72" s="132"/>
      <c r="O72" s="194"/>
    </row>
    <row r="73" spans="1:17" ht="16.5" thickBot="1" x14ac:dyDescent="0.3">
      <c r="A73" s="131"/>
      <c r="B73" s="531" t="str">
        <f>B59</f>
        <v>CLIN 0001 (CPIF)                                                    TASK 1.02 DEVELOPMENT FROM PDR TO CDR</v>
      </c>
      <c r="C73" s="517" t="s">
        <v>213</v>
      </c>
      <c r="D73" s="518"/>
      <c r="E73" s="519"/>
      <c r="F73" s="120"/>
      <c r="G73" s="517" t="s">
        <v>213</v>
      </c>
      <c r="H73" s="518"/>
      <c r="I73" s="519"/>
      <c r="J73" s="120"/>
      <c r="K73" s="517" t="s">
        <v>213</v>
      </c>
      <c r="L73" s="518"/>
      <c r="M73" s="519"/>
      <c r="N73" s="120"/>
      <c r="O73" s="517" t="s">
        <v>213</v>
      </c>
      <c r="P73" s="518"/>
      <c r="Q73" s="519"/>
    </row>
    <row r="74" spans="1:17" ht="16.5" thickBot="1" x14ac:dyDescent="0.3">
      <c r="A74" s="131"/>
      <c r="B74" s="532"/>
      <c r="C74" s="221"/>
      <c r="D74" s="222"/>
      <c r="E74" s="133" t="s">
        <v>200</v>
      </c>
      <c r="F74" s="134"/>
      <c r="G74" s="221"/>
      <c r="H74" s="222"/>
      <c r="I74" s="133" t="s">
        <v>201</v>
      </c>
      <c r="J74" s="134"/>
      <c r="K74" s="221"/>
      <c r="L74" s="222"/>
      <c r="M74" s="133" t="s">
        <v>203</v>
      </c>
      <c r="N74" s="134"/>
      <c r="O74" s="221"/>
      <c r="P74" s="222"/>
      <c r="Q74" s="133" t="s">
        <v>202</v>
      </c>
    </row>
    <row r="75" spans="1:17" x14ac:dyDescent="0.2">
      <c r="A75" s="131"/>
      <c r="B75" s="112" t="s">
        <v>188</v>
      </c>
      <c r="C75" s="223"/>
      <c r="D75" s="223"/>
      <c r="E75" s="135">
        <f>+ROUND(E26+E40+E54+E68,2)</f>
        <v>0</v>
      </c>
      <c r="F75" s="110"/>
      <c r="G75" s="223"/>
      <c r="H75" s="223"/>
      <c r="I75" s="135">
        <f>+ROUND(I26+I40+I54+I68,2)</f>
        <v>0</v>
      </c>
      <c r="J75" s="110"/>
      <c r="K75" s="223"/>
      <c r="L75" s="223"/>
      <c r="M75" s="135">
        <f>+ROUND(M26+M40+M54+M68,2)</f>
        <v>0</v>
      </c>
      <c r="N75" s="110"/>
      <c r="O75" s="223"/>
      <c r="P75" s="223"/>
      <c r="Q75" s="135">
        <f>+ROUND(Q26+Q40+Q54+Q68,2)</f>
        <v>0</v>
      </c>
    </row>
    <row r="76" spans="1:17" x14ac:dyDescent="0.2">
      <c r="A76" s="131"/>
      <c r="B76" s="112" t="s">
        <v>72</v>
      </c>
      <c r="C76" s="223"/>
      <c r="D76" s="223"/>
      <c r="E76" s="113">
        <f>+ROUND(E27+E41+E55+E69,2)</f>
        <v>0</v>
      </c>
      <c r="F76" s="110"/>
      <c r="G76" s="223"/>
      <c r="H76" s="223"/>
      <c r="I76" s="113">
        <f>+ROUND(I27+I41+I55+I69,2)</f>
        <v>0</v>
      </c>
      <c r="J76" s="110"/>
      <c r="K76" s="223"/>
      <c r="L76" s="223"/>
      <c r="M76" s="113">
        <f>+ROUND(M27+M41+M55+M69,2)</f>
        <v>0</v>
      </c>
      <c r="N76" s="110"/>
      <c r="O76" s="223"/>
      <c r="P76" s="223"/>
      <c r="Q76" s="113">
        <f>+ROUND(Q27+Q41+Q55+Q69,2)</f>
        <v>0</v>
      </c>
    </row>
    <row r="77" spans="1:17" x14ac:dyDescent="0.2">
      <c r="A77" s="131"/>
      <c r="B77" s="112" t="s">
        <v>71</v>
      </c>
      <c r="C77" s="223"/>
      <c r="D77" s="223"/>
      <c r="E77" s="114">
        <f>+ROUND(E28+E42+E56+E70,2)</f>
        <v>0</v>
      </c>
      <c r="F77" s="115"/>
      <c r="G77" s="223"/>
      <c r="H77" s="223"/>
      <c r="I77" s="114">
        <f>+ROUND(I28+I42+I56+I70,2)</f>
        <v>0</v>
      </c>
      <c r="J77" s="115"/>
      <c r="K77" s="223"/>
      <c r="L77" s="223"/>
      <c r="M77" s="114">
        <f>+ROUND(M28+M42+M56+M70,2)</f>
        <v>0</v>
      </c>
      <c r="N77" s="115"/>
      <c r="O77" s="223"/>
      <c r="P77" s="223"/>
      <c r="Q77" s="114">
        <f>+ROUND(Q28+Q42+Q56+Q70,2)</f>
        <v>0</v>
      </c>
    </row>
    <row r="78" spans="1:17" ht="32.25" thickBot="1" x14ac:dyDescent="0.3">
      <c r="A78" s="131"/>
      <c r="B78" s="209" t="s">
        <v>332</v>
      </c>
      <c r="C78" s="224"/>
      <c r="D78" s="224"/>
      <c r="E78" s="208">
        <f>SUM(E75:E77)</f>
        <v>0</v>
      </c>
      <c r="F78" s="116"/>
      <c r="G78" s="224"/>
      <c r="H78" s="224"/>
      <c r="I78" s="208">
        <f>SUM(I75:I77)</f>
        <v>0</v>
      </c>
      <c r="J78" s="116"/>
      <c r="K78" s="224"/>
      <c r="L78" s="224"/>
      <c r="M78" s="208">
        <f>SUM(M75:M77)</f>
        <v>0</v>
      </c>
      <c r="N78" s="116"/>
      <c r="O78" s="224"/>
      <c r="P78" s="224"/>
      <c r="Q78" s="208">
        <f>SUM(Q75:Q77)</f>
        <v>0</v>
      </c>
    </row>
    <row r="79" spans="1:17" ht="16.5" thickBot="1" x14ac:dyDescent="0.3"/>
    <row r="80" spans="1:17" ht="31.5" x14ac:dyDescent="0.25">
      <c r="Q80" s="323" t="s">
        <v>333</v>
      </c>
    </row>
    <row r="81" spans="17:17" ht="16.5" thickBot="1" x14ac:dyDescent="0.3">
      <c r="Q81" s="322">
        <f>E78+I78+M78+Q78</f>
        <v>0</v>
      </c>
    </row>
  </sheetData>
  <mergeCells count="46">
    <mergeCell ref="C49:E49"/>
    <mergeCell ref="G49:I49"/>
    <mergeCell ref="K49:M49"/>
    <mergeCell ref="O49:Q49"/>
    <mergeCell ref="B45:B46"/>
    <mergeCell ref="C45:E45"/>
    <mergeCell ref="G45:I45"/>
    <mergeCell ref="K45:M45"/>
    <mergeCell ref="O45:Q45"/>
    <mergeCell ref="C46:E46"/>
    <mergeCell ref="G46:I46"/>
    <mergeCell ref="K46:M46"/>
    <mergeCell ref="O46:Q46"/>
    <mergeCell ref="A4:C4"/>
    <mergeCell ref="B14:B15"/>
    <mergeCell ref="C14:E14"/>
    <mergeCell ref="G14:I14"/>
    <mergeCell ref="K14:M14"/>
    <mergeCell ref="C15:E15"/>
    <mergeCell ref="G15:I15"/>
    <mergeCell ref="K15:M15"/>
    <mergeCell ref="B31:B32"/>
    <mergeCell ref="C31:E31"/>
    <mergeCell ref="G31:I31"/>
    <mergeCell ref="K31:M31"/>
    <mergeCell ref="C32:E32"/>
    <mergeCell ref="G32:I32"/>
    <mergeCell ref="K32:M32"/>
    <mergeCell ref="C60:E60"/>
    <mergeCell ref="G60:I60"/>
    <mergeCell ref="K60:M60"/>
    <mergeCell ref="B73:B74"/>
    <mergeCell ref="C73:E73"/>
    <mergeCell ref="G73:I73"/>
    <mergeCell ref="K73:M73"/>
    <mergeCell ref="B59:B60"/>
    <mergeCell ref="C59:E59"/>
    <mergeCell ref="G59:I59"/>
    <mergeCell ref="K59:M59"/>
    <mergeCell ref="O60:Q60"/>
    <mergeCell ref="O73:Q73"/>
    <mergeCell ref="O14:Q14"/>
    <mergeCell ref="O15:Q15"/>
    <mergeCell ref="O31:Q31"/>
    <mergeCell ref="O32:Q32"/>
    <mergeCell ref="O59:Q59"/>
  </mergeCells>
  <pageMargins left="0.7" right="0.7" top="0.75" bottom="0.75" header="0.3" footer="0.3"/>
  <pageSetup orientation="portrait" horizontalDpi="1200" verticalDpi="120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8A7FAB-364E-464C-84D0-5C41DFC974A9}">
  <sheetPr>
    <tabColor theme="0"/>
  </sheetPr>
  <dimension ref="A1:Q81"/>
  <sheetViews>
    <sheetView zoomScale="80" zoomScaleNormal="80" workbookViewId="0">
      <pane ySplit="12" topLeftCell="A61" activePane="bottomLeft" state="frozen"/>
      <selection pane="bottomLeft" activeCell="P66" sqref="P66:P67"/>
    </sheetView>
  </sheetViews>
  <sheetFormatPr defaultColWidth="15.85546875" defaultRowHeight="15.75" x14ac:dyDescent="0.25"/>
  <cols>
    <col min="1" max="1" width="3.42578125" style="136" customWidth="1"/>
    <col min="2" max="2" width="49.140625" style="119" customWidth="1"/>
    <col min="3" max="3" width="18.28515625" style="131" bestFit="1" customWidth="1"/>
    <col min="4" max="4" width="12.42578125" style="131" bestFit="1" customWidth="1"/>
    <col min="5" max="5" width="31.140625" style="131" customWidth="1"/>
    <col min="6" max="6" width="1" style="131" customWidth="1"/>
    <col min="7" max="7" width="14.28515625" style="131" customWidth="1"/>
    <col min="8" max="8" width="14.5703125" style="131" customWidth="1"/>
    <col min="9" max="9" width="33.28515625" style="131" customWidth="1"/>
    <col min="10" max="10" width="1" style="131" customWidth="1"/>
    <col min="11" max="11" width="16.7109375" style="131" customWidth="1"/>
    <col min="12" max="12" width="16.28515625" style="131" customWidth="1"/>
    <col min="13" max="13" width="34" style="131" bestFit="1" customWidth="1"/>
    <col min="14" max="14" width="0.85546875" style="131" customWidth="1"/>
    <col min="15" max="16" width="15.85546875" style="131"/>
    <col min="17" max="17" width="32.140625" style="131" bestFit="1" customWidth="1"/>
    <col min="18" max="16384" width="15.85546875" style="131"/>
  </cols>
  <sheetData>
    <row r="1" spans="1:17" ht="16.5" thickBot="1" x14ac:dyDescent="0.3">
      <c r="B1" s="321" t="s">
        <v>460</v>
      </c>
      <c r="C1" s="394" t="str">
        <f>'SUB CPIF RATES (ALL)'!C1</f>
        <v xml:space="preserve">NAME </v>
      </c>
      <c r="D1" s="393"/>
    </row>
    <row r="2" spans="1:17" ht="16.5" thickBot="1" x14ac:dyDescent="0.3">
      <c r="B2" s="395" t="s">
        <v>459</v>
      </c>
      <c r="C2" s="396" t="str">
        <f>'SUB CPIF RATES (ALL)'!C2</f>
        <v xml:space="preserve">NAME </v>
      </c>
    </row>
    <row r="3" spans="1:17" ht="16.5" thickBot="1" x14ac:dyDescent="0.3"/>
    <row r="4" spans="1:17" ht="52.5" customHeight="1" thickBot="1" x14ac:dyDescent="0.3">
      <c r="A4" s="466" t="s">
        <v>209</v>
      </c>
      <c r="B4" s="467"/>
      <c r="C4" s="468"/>
      <c r="I4" s="194" t="s">
        <v>84</v>
      </c>
    </row>
    <row r="6" spans="1:17" s="202" customFormat="1" ht="17.25" customHeight="1" x14ac:dyDescent="0.2">
      <c r="A6" s="203"/>
      <c r="B6" s="204" t="s">
        <v>65</v>
      </c>
    </row>
    <row r="7" spans="1:17" s="202" customFormat="1" x14ac:dyDescent="0.25">
      <c r="A7" s="201"/>
      <c r="B7" s="201" t="s">
        <v>441</v>
      </c>
    </row>
    <row r="8" spans="1:17" s="202" customFormat="1" x14ac:dyDescent="0.25">
      <c r="A8" s="201"/>
      <c r="B8" s="201" t="s">
        <v>281</v>
      </c>
    </row>
    <row r="9" spans="1:17" s="202" customFormat="1" x14ac:dyDescent="0.25">
      <c r="A9" s="201"/>
      <c r="B9" s="201" t="s">
        <v>442</v>
      </c>
    </row>
    <row r="10" spans="1:17" s="202" customFormat="1" x14ac:dyDescent="0.25">
      <c r="A10" s="201"/>
      <c r="B10" s="201" t="s">
        <v>463</v>
      </c>
    </row>
    <row r="11" spans="1:17" x14ac:dyDescent="0.25">
      <c r="A11" s="137"/>
      <c r="B11" s="201" t="s">
        <v>464</v>
      </c>
      <c r="C11" s="139"/>
    </row>
    <row r="12" spans="1:17" x14ac:dyDescent="0.25">
      <c r="A12" s="137"/>
      <c r="B12" s="201" t="s">
        <v>334</v>
      </c>
      <c r="C12" s="139"/>
    </row>
    <row r="13" spans="1:17" ht="16.5" thickBot="1" x14ac:dyDescent="0.3"/>
    <row r="14" spans="1:17" ht="16.5" thickBot="1" x14ac:dyDescent="0.3">
      <c r="A14" s="138"/>
      <c r="B14" s="523" t="s">
        <v>335</v>
      </c>
      <c r="C14" s="490" t="s">
        <v>69</v>
      </c>
      <c r="D14" s="491"/>
      <c r="E14" s="492"/>
      <c r="F14" s="96"/>
      <c r="G14" s="490" t="s">
        <v>69</v>
      </c>
      <c r="H14" s="491"/>
      <c r="I14" s="492"/>
      <c r="J14" s="96"/>
      <c r="K14" s="490" t="s">
        <v>69</v>
      </c>
      <c r="L14" s="491"/>
      <c r="M14" s="492"/>
      <c r="N14" s="96"/>
      <c r="O14" s="490" t="s">
        <v>69</v>
      </c>
      <c r="P14" s="491"/>
      <c r="Q14" s="492"/>
    </row>
    <row r="15" spans="1:17" ht="16.5" thickBot="1" x14ac:dyDescent="0.3">
      <c r="A15" s="138"/>
      <c r="B15" s="524"/>
      <c r="C15" s="520" t="s">
        <v>205</v>
      </c>
      <c r="D15" s="521"/>
      <c r="E15" s="522"/>
      <c r="F15" s="97"/>
      <c r="G15" s="520" t="s">
        <v>206</v>
      </c>
      <c r="H15" s="521"/>
      <c r="I15" s="522"/>
      <c r="J15" s="97"/>
      <c r="K15" s="520" t="s">
        <v>207</v>
      </c>
      <c r="L15" s="521"/>
      <c r="M15" s="522"/>
      <c r="N15" s="97"/>
      <c r="O15" s="520" t="s">
        <v>208</v>
      </c>
      <c r="P15" s="521"/>
      <c r="Q15" s="522"/>
    </row>
    <row r="16" spans="1:17" x14ac:dyDescent="0.25">
      <c r="A16" s="138"/>
      <c r="B16" s="98" t="s">
        <v>46</v>
      </c>
      <c r="C16" s="98" t="s">
        <v>29</v>
      </c>
      <c r="D16" s="99" t="s">
        <v>68</v>
      </c>
      <c r="E16" s="100" t="s">
        <v>74</v>
      </c>
      <c r="F16" s="101"/>
      <c r="G16" s="98" t="s">
        <v>29</v>
      </c>
      <c r="H16" s="99" t="s">
        <v>68</v>
      </c>
      <c r="I16" s="100" t="s">
        <v>74</v>
      </c>
      <c r="J16" s="101"/>
      <c r="K16" s="98" t="s">
        <v>29</v>
      </c>
      <c r="L16" s="99" t="s">
        <v>68</v>
      </c>
      <c r="M16" s="100" t="s">
        <v>74</v>
      </c>
      <c r="N16" s="101"/>
      <c r="O16" s="98" t="s">
        <v>29</v>
      </c>
      <c r="P16" s="99" t="s">
        <v>68</v>
      </c>
      <c r="Q16" s="100" t="s">
        <v>74</v>
      </c>
    </row>
    <row r="17" spans="1:17" ht="30" customHeight="1" thickBot="1" x14ac:dyDescent="0.3">
      <c r="A17" s="138"/>
      <c r="B17" s="148" t="s">
        <v>443</v>
      </c>
      <c r="C17" s="230"/>
      <c r="D17" s="231"/>
      <c r="E17" s="232"/>
      <c r="F17" s="101"/>
      <c r="G17" s="230"/>
      <c r="H17" s="231"/>
      <c r="I17" s="232"/>
      <c r="J17" s="101"/>
      <c r="K17" s="230"/>
      <c r="L17" s="231"/>
      <c r="M17" s="232"/>
      <c r="N17" s="101"/>
      <c r="O17" s="230"/>
      <c r="P17" s="231"/>
      <c r="Q17" s="232"/>
    </row>
    <row r="18" spans="1:17" ht="16.5" thickBot="1" x14ac:dyDescent="0.3">
      <c r="A18" s="138"/>
      <c r="B18" s="239" t="s">
        <v>87</v>
      </c>
      <c r="C18" s="108">
        <f>'SUB CPIF LABOR INPUTS'!D71</f>
        <v>0</v>
      </c>
      <c r="D18" s="150"/>
      <c r="E18" s="109">
        <f>'SUB CPIF LABOR INPUTS'!F71</f>
        <v>0</v>
      </c>
      <c r="F18" s="110"/>
      <c r="G18" s="108">
        <f>'SUB CPIF LABOR INPUTS'!H71</f>
        <v>0</v>
      </c>
      <c r="H18" s="150"/>
      <c r="I18" s="109">
        <f>'SUB CPIF LABOR INPUTS'!J71</f>
        <v>0</v>
      </c>
      <c r="J18" s="110"/>
      <c r="K18" s="108">
        <f>'SUB CPIF LABOR INPUTS'!L71</f>
        <v>0</v>
      </c>
      <c r="L18" s="150"/>
      <c r="M18" s="109">
        <f>'SUB CPIF LABOR INPUTS'!N71</f>
        <v>0</v>
      </c>
      <c r="N18" s="110"/>
      <c r="O18" s="108">
        <f>'SUB CPIF LABOR INPUTS'!P71</f>
        <v>0</v>
      </c>
      <c r="P18" s="150"/>
      <c r="Q18" s="109">
        <f>'SUB CPIF LABOR INPUTS'!R71</f>
        <v>0</v>
      </c>
    </row>
    <row r="19" spans="1:17" x14ac:dyDescent="0.25">
      <c r="A19" s="138"/>
      <c r="B19" s="149"/>
      <c r="C19" s="98" t="s">
        <v>289</v>
      </c>
      <c r="D19" s="99" t="s">
        <v>286</v>
      </c>
      <c r="E19" s="100" t="s">
        <v>288</v>
      </c>
      <c r="F19" s="111"/>
      <c r="G19" s="98" t="s">
        <v>289</v>
      </c>
      <c r="H19" s="99" t="s">
        <v>286</v>
      </c>
      <c r="I19" s="100" t="s">
        <v>288</v>
      </c>
      <c r="J19" s="111"/>
      <c r="K19" s="98" t="s">
        <v>289</v>
      </c>
      <c r="L19" s="99" t="s">
        <v>286</v>
      </c>
      <c r="M19" s="100" t="s">
        <v>288</v>
      </c>
      <c r="N19" s="111"/>
      <c r="O19" s="98" t="s">
        <v>289</v>
      </c>
      <c r="P19" s="99" t="s">
        <v>286</v>
      </c>
      <c r="Q19" s="100" t="s">
        <v>288</v>
      </c>
    </row>
    <row r="20" spans="1:17" ht="53.25" customHeight="1" x14ac:dyDescent="0.25">
      <c r="A20" s="138"/>
      <c r="B20" s="261" t="s">
        <v>279</v>
      </c>
      <c r="C20" s="230"/>
      <c r="D20" s="231"/>
      <c r="E20" s="232"/>
      <c r="F20" s="147"/>
      <c r="G20" s="230"/>
      <c r="H20" s="231"/>
      <c r="I20" s="232"/>
      <c r="J20" s="147"/>
      <c r="K20" s="230"/>
      <c r="L20" s="231"/>
      <c r="M20" s="232"/>
      <c r="N20" s="147"/>
      <c r="O20" s="230"/>
      <c r="P20" s="231"/>
      <c r="Q20" s="232"/>
    </row>
    <row r="21" spans="1:17" x14ac:dyDescent="0.25">
      <c r="A21" s="138"/>
      <c r="B21" s="112" t="str">
        <f>'SUB CPIF RATES (ALL)'!B36</f>
        <v>Indirect Labor Category:  [Labor Fringe]</v>
      </c>
      <c r="C21" s="160">
        <f>+E18</f>
        <v>0</v>
      </c>
      <c r="D21" s="188">
        <f>'SUB CPIF RATES (ALL)'!C36</f>
        <v>0</v>
      </c>
      <c r="E21" s="113">
        <f>ROUND(C21*D21,2)</f>
        <v>0</v>
      </c>
      <c r="F21" s="110"/>
      <c r="G21" s="160">
        <f>+I18</f>
        <v>0</v>
      </c>
      <c r="H21" s="188">
        <f>'SUB CPIF RATES (ALL)'!D36</f>
        <v>0</v>
      </c>
      <c r="I21" s="113">
        <f>ROUND(G21*H21,2)</f>
        <v>0</v>
      </c>
      <c r="J21" s="110"/>
      <c r="K21" s="160">
        <f>+M18</f>
        <v>0</v>
      </c>
      <c r="L21" s="188">
        <f>'SUB CPIF RATES (ALL)'!E36</f>
        <v>0</v>
      </c>
      <c r="M21" s="113">
        <f>ROUND(K21*L21,2)</f>
        <v>0</v>
      </c>
      <c r="N21" s="110"/>
      <c r="O21" s="160">
        <f>+Q18</f>
        <v>0</v>
      </c>
      <c r="P21" s="188">
        <f>'SUB CPIF RATES (ALL)'!F36</f>
        <v>0</v>
      </c>
      <c r="Q21" s="113">
        <f>ROUND(O21*P21,2)</f>
        <v>0</v>
      </c>
    </row>
    <row r="22" spans="1:17" x14ac:dyDescent="0.25">
      <c r="A22" s="138"/>
      <c r="B22" s="112" t="str">
        <f>'SUB CPIF RATES (ALL)'!B37</f>
        <v>Indirect Labor Category: [Labor Overhead]</v>
      </c>
      <c r="C22" s="160">
        <f>+C21+E21</f>
        <v>0</v>
      </c>
      <c r="D22" s="188">
        <f>'SUB CPIF RATES (ALL)'!C37</f>
        <v>0</v>
      </c>
      <c r="E22" s="113">
        <f>ROUND(C22*D22,2)</f>
        <v>0</v>
      </c>
      <c r="F22" s="110"/>
      <c r="G22" s="160">
        <f>+G21+I21</f>
        <v>0</v>
      </c>
      <c r="H22" s="188">
        <f>'SUB CPIF RATES (ALL)'!D37</f>
        <v>0</v>
      </c>
      <c r="I22" s="113">
        <f>ROUND(G22*H22,2)</f>
        <v>0</v>
      </c>
      <c r="J22" s="110"/>
      <c r="K22" s="160">
        <f>+K21+M21</f>
        <v>0</v>
      </c>
      <c r="L22" s="188">
        <f>'SUB CPIF RATES (ALL)'!E37</f>
        <v>0</v>
      </c>
      <c r="M22" s="113">
        <f>ROUND(K22*L22,2)</f>
        <v>0</v>
      </c>
      <c r="N22" s="110"/>
      <c r="O22" s="160">
        <f>+O21+Q21</f>
        <v>0</v>
      </c>
      <c r="P22" s="188">
        <f>'SUB CPIF RATES (ALL)'!F37</f>
        <v>0</v>
      </c>
      <c r="Q22" s="113">
        <f>ROUND(O22*P22,2)</f>
        <v>0</v>
      </c>
    </row>
    <row r="23" spans="1:17" x14ac:dyDescent="0.25">
      <c r="A23" s="138"/>
      <c r="B23" s="112" t="str">
        <f>'SUB CPIF RATES (ALL)'!B38</f>
        <v>Indirect Labor Category: [G&amp;A]</v>
      </c>
      <c r="C23" s="160">
        <f>+C22+E22</f>
        <v>0</v>
      </c>
      <c r="D23" s="188">
        <f>'SUB CPIF RATES (ALL)'!C38</f>
        <v>0</v>
      </c>
      <c r="E23" s="113">
        <f>ROUND(C23*D23,2)</f>
        <v>0</v>
      </c>
      <c r="F23" s="110"/>
      <c r="G23" s="160">
        <f>+G22+I22</f>
        <v>0</v>
      </c>
      <c r="H23" s="188">
        <f>'SUB CPIF RATES (ALL)'!D38</f>
        <v>0</v>
      </c>
      <c r="I23" s="113">
        <f>ROUND(G23*H23,2)</f>
        <v>0</v>
      </c>
      <c r="J23" s="110"/>
      <c r="K23" s="160">
        <f>+K22+M22</f>
        <v>0</v>
      </c>
      <c r="L23" s="188">
        <f>'SUB CPIF RATES (ALL)'!E38</f>
        <v>0</v>
      </c>
      <c r="M23" s="113">
        <f>ROUND(K23*L23,2)</f>
        <v>0</v>
      </c>
      <c r="N23" s="110"/>
      <c r="O23" s="160">
        <f>+O22+Q22</f>
        <v>0</v>
      </c>
      <c r="P23" s="188">
        <f>'SUB CPIF RATES (ALL)'!F38</f>
        <v>0</v>
      </c>
      <c r="Q23" s="113">
        <f>ROUND(O23*P23,2)</f>
        <v>0</v>
      </c>
    </row>
    <row r="24" spans="1:17" x14ac:dyDescent="0.25">
      <c r="A24" s="138"/>
      <c r="B24" s="112" t="str">
        <f>'SUB CPIF RATES (ALL)'!B39</f>
        <v>Indirect Labor Category: [FCCOM]</v>
      </c>
      <c r="C24" s="160">
        <f>C23+E23</f>
        <v>0</v>
      </c>
      <c r="D24" s="188">
        <f>'SUB CPIF RATES (ALL)'!C39</f>
        <v>0</v>
      </c>
      <c r="E24" s="113">
        <f>ROUND(C24*D24,2)</f>
        <v>0</v>
      </c>
      <c r="F24" s="110"/>
      <c r="G24" s="160">
        <f>G23+I23</f>
        <v>0</v>
      </c>
      <c r="H24" s="188">
        <f>'SUB CPIF RATES (ALL)'!D39</f>
        <v>0</v>
      </c>
      <c r="I24" s="113">
        <f>ROUND(G24*H24,2)</f>
        <v>0</v>
      </c>
      <c r="J24" s="110"/>
      <c r="K24" s="160">
        <f>K23+M23</f>
        <v>0</v>
      </c>
      <c r="L24" s="188">
        <f>'SUB CPIF RATES (ALL)'!E39</f>
        <v>0</v>
      </c>
      <c r="M24" s="113">
        <f>ROUND(K24*L24,2)</f>
        <v>0</v>
      </c>
      <c r="N24" s="110"/>
      <c r="O24" s="160">
        <f>O23+Q23</f>
        <v>0</v>
      </c>
      <c r="P24" s="188">
        <f>'SUB CPIF RATES (ALL)'!F39</f>
        <v>0</v>
      </c>
      <c r="Q24" s="113">
        <f>ROUND(O24*P24,2)</f>
        <v>0</v>
      </c>
    </row>
    <row r="25" spans="1:17" x14ac:dyDescent="0.25">
      <c r="A25" s="138"/>
      <c r="B25" s="112" t="str">
        <f>'SUB CPIF RATES (ALL)'!B40</f>
        <v>Indirect Labor Category: [Target Fee]</v>
      </c>
      <c r="C25" s="160">
        <f>+C23+E23</f>
        <v>0</v>
      </c>
      <c r="D25" s="188">
        <f>'SUB CPIF RATES (ALL)'!C40</f>
        <v>0</v>
      </c>
      <c r="E25" s="113">
        <f>ROUND(C25*D25,2)</f>
        <v>0</v>
      </c>
      <c r="F25" s="110"/>
      <c r="G25" s="160">
        <f>+G23+I23</f>
        <v>0</v>
      </c>
      <c r="H25" s="188">
        <f>'SUB CPIF RATES (ALL)'!D40</f>
        <v>0</v>
      </c>
      <c r="I25" s="113">
        <f>ROUND(G25*H25,2)</f>
        <v>0</v>
      </c>
      <c r="J25" s="110"/>
      <c r="K25" s="160">
        <f>+K23+M23</f>
        <v>0</v>
      </c>
      <c r="L25" s="188">
        <f>'SUB CPIF RATES (ALL)'!E40</f>
        <v>0</v>
      </c>
      <c r="M25" s="113">
        <f>ROUND(K25*L25,2)</f>
        <v>0</v>
      </c>
      <c r="N25" s="110"/>
      <c r="O25" s="160">
        <f>+O23+Q23</f>
        <v>0</v>
      </c>
      <c r="P25" s="188">
        <f>'SUB CPIF RATES (ALL)'!F40</f>
        <v>0</v>
      </c>
      <c r="Q25" s="113">
        <f>ROUND(O25*P25,2)</f>
        <v>0</v>
      </c>
    </row>
    <row r="26" spans="1:17" x14ac:dyDescent="0.25">
      <c r="A26" s="138"/>
      <c r="B26" s="205" t="s">
        <v>185</v>
      </c>
      <c r="C26" s="155"/>
      <c r="D26" s="156"/>
      <c r="E26" s="175">
        <f>ROUND(SUM(E18,E21,E22,E23),2)</f>
        <v>0</v>
      </c>
      <c r="F26" s="110"/>
      <c r="G26" s="151"/>
      <c r="H26" s="152"/>
      <c r="I26" s="175">
        <f>ROUND(SUM(I18,I21,I22,I23),2)</f>
        <v>0</v>
      </c>
      <c r="J26" s="110"/>
      <c r="K26" s="151"/>
      <c r="L26" s="152"/>
      <c r="M26" s="175">
        <f>ROUND(SUM(M18,M21,M22,M23),2)</f>
        <v>0</v>
      </c>
      <c r="N26" s="110"/>
      <c r="O26" s="151"/>
      <c r="P26" s="152"/>
      <c r="Q26" s="175">
        <f>ROUND(SUM(Q18,Q21,Q22,Q23),2)</f>
        <v>0</v>
      </c>
    </row>
    <row r="27" spans="1:17" x14ac:dyDescent="0.25">
      <c r="A27" s="138"/>
      <c r="B27" s="205" t="s">
        <v>72</v>
      </c>
      <c r="C27" s="155"/>
      <c r="D27" s="156"/>
      <c r="E27" s="175">
        <f>ROUND(E24,2)</f>
        <v>0</v>
      </c>
      <c r="F27" s="110"/>
      <c r="G27" s="151"/>
      <c r="H27" s="152"/>
      <c r="I27" s="175">
        <f>ROUND(I24,2)</f>
        <v>0</v>
      </c>
      <c r="J27" s="110"/>
      <c r="K27" s="151"/>
      <c r="L27" s="152"/>
      <c r="M27" s="175">
        <f>ROUND(M24,2)</f>
        <v>0</v>
      </c>
      <c r="N27" s="110"/>
      <c r="O27" s="151"/>
      <c r="P27" s="152"/>
      <c r="Q27" s="175">
        <f>ROUND(Q24,2)</f>
        <v>0</v>
      </c>
    </row>
    <row r="28" spans="1:17" x14ac:dyDescent="0.25">
      <c r="A28" s="138"/>
      <c r="B28" s="205" t="s">
        <v>71</v>
      </c>
      <c r="C28" s="155"/>
      <c r="D28" s="156"/>
      <c r="E28" s="190">
        <f>ROUND(E25,2)</f>
        <v>0</v>
      </c>
      <c r="F28" s="115"/>
      <c r="G28" s="151"/>
      <c r="H28" s="152"/>
      <c r="I28" s="190">
        <f>ROUND(I25,2)</f>
        <v>0</v>
      </c>
      <c r="J28" s="115"/>
      <c r="K28" s="151"/>
      <c r="L28" s="152"/>
      <c r="M28" s="190">
        <f>ROUND(M25,2)</f>
        <v>0</v>
      </c>
      <c r="N28" s="115"/>
      <c r="O28" s="151"/>
      <c r="P28" s="152"/>
      <c r="Q28" s="190">
        <f>ROUND(Q25,2)</f>
        <v>0</v>
      </c>
    </row>
    <row r="29" spans="1:17" ht="16.5" thickBot="1" x14ac:dyDescent="0.3">
      <c r="A29" s="138"/>
      <c r="B29" s="206" t="s">
        <v>73</v>
      </c>
      <c r="C29" s="157"/>
      <c r="D29" s="158"/>
      <c r="E29" s="191">
        <f>ROUND(SUM(E26:E28),2)</f>
        <v>0</v>
      </c>
      <c r="F29" s="116"/>
      <c r="G29" s="153"/>
      <c r="H29" s="154"/>
      <c r="I29" s="191">
        <f>ROUND(SUM(I26:I28),2)</f>
        <v>0</v>
      </c>
      <c r="J29" s="116"/>
      <c r="K29" s="153"/>
      <c r="L29" s="154"/>
      <c r="M29" s="191">
        <f>ROUND(SUM(M26:M28),2)</f>
        <v>0</v>
      </c>
      <c r="N29" s="116"/>
      <c r="O29" s="153"/>
      <c r="P29" s="154"/>
      <c r="Q29" s="191">
        <f>ROUND(SUM(Q26:Q28),2)</f>
        <v>0</v>
      </c>
    </row>
    <row r="30" spans="1:17" ht="16.5" thickBot="1" x14ac:dyDescent="0.3">
      <c r="A30" s="138"/>
      <c r="B30" s="117"/>
      <c r="C30" s="118"/>
      <c r="D30" s="118"/>
      <c r="E30" s="118"/>
      <c r="F30" s="199"/>
      <c r="G30" s="118"/>
      <c r="H30" s="118"/>
      <c r="I30" s="118"/>
      <c r="J30" s="199"/>
      <c r="K30" s="118"/>
      <c r="L30" s="118"/>
      <c r="M30" s="118"/>
      <c r="N30" s="110"/>
      <c r="O30" s="118"/>
      <c r="P30" s="118"/>
      <c r="Q30" s="118"/>
    </row>
    <row r="31" spans="1:17" ht="16.5" customHeight="1" thickBot="1" x14ac:dyDescent="0.3">
      <c r="A31" s="138"/>
      <c r="B31" s="523" t="str">
        <f>B14</f>
        <v>CLIN 0001 (CPIF)                                                    TASK 1.03 SYSTEM TEST AND EVALUATION</v>
      </c>
      <c r="C31" s="490" t="s">
        <v>80</v>
      </c>
      <c r="D31" s="491"/>
      <c r="E31" s="492"/>
      <c r="F31" s="120"/>
      <c r="G31" s="490" t="s">
        <v>80</v>
      </c>
      <c r="H31" s="491"/>
      <c r="I31" s="492"/>
      <c r="J31" s="120"/>
      <c r="K31" s="490" t="s">
        <v>80</v>
      </c>
      <c r="L31" s="491"/>
      <c r="M31" s="492"/>
      <c r="N31" s="120"/>
      <c r="O31" s="490" t="s">
        <v>80</v>
      </c>
      <c r="P31" s="491"/>
      <c r="Q31" s="492"/>
    </row>
    <row r="32" spans="1:17" ht="16.5" thickBot="1" x14ac:dyDescent="0.3">
      <c r="A32" s="138"/>
      <c r="B32" s="524"/>
      <c r="C32" s="520" t="str">
        <f>C15</f>
        <v>CLIN 0001 - Basic Period (Year 1)</v>
      </c>
      <c r="D32" s="521"/>
      <c r="E32" s="522"/>
      <c r="F32" s="121"/>
      <c r="G32" s="520" t="str">
        <f>G15</f>
        <v>CLIN 0001 - Basic Period (Year 2)</v>
      </c>
      <c r="H32" s="521"/>
      <c r="I32" s="522"/>
      <c r="J32" s="121"/>
      <c r="K32" s="520" t="str">
        <f>K15</f>
        <v>CLIN 0001 - Basic Period (Year 3)</v>
      </c>
      <c r="L32" s="521"/>
      <c r="M32" s="522"/>
      <c r="N32" s="121"/>
      <c r="O32" s="520" t="str">
        <f>O15</f>
        <v>CLIN 0001 - Basic Period (Year 4)</v>
      </c>
      <c r="P32" s="521"/>
      <c r="Q32" s="522"/>
    </row>
    <row r="33" spans="1:17" x14ac:dyDescent="0.25">
      <c r="A33" s="138"/>
      <c r="B33" s="192"/>
      <c r="C33" s="98" t="s">
        <v>289</v>
      </c>
      <c r="D33" s="99" t="s">
        <v>286</v>
      </c>
      <c r="E33" s="100" t="s">
        <v>88</v>
      </c>
      <c r="F33" s="111"/>
      <c r="G33" s="98" t="s">
        <v>289</v>
      </c>
      <c r="H33" s="99" t="s">
        <v>286</v>
      </c>
      <c r="I33" s="100" t="s">
        <v>88</v>
      </c>
      <c r="J33" s="111"/>
      <c r="K33" s="98" t="str">
        <f>K19</f>
        <v>Base Cost</v>
      </c>
      <c r="L33" s="99" t="s">
        <v>286</v>
      </c>
      <c r="M33" s="100" t="s">
        <v>88</v>
      </c>
      <c r="N33" s="111"/>
      <c r="O33" s="98" t="s">
        <v>289</v>
      </c>
      <c r="P33" s="99" t="s">
        <v>286</v>
      </c>
      <c r="Q33" s="100" t="s">
        <v>88</v>
      </c>
    </row>
    <row r="34" spans="1:17" ht="51.75" x14ac:dyDescent="0.25">
      <c r="A34" s="138"/>
      <c r="B34" s="240" t="s">
        <v>445</v>
      </c>
      <c r="C34" s="176"/>
      <c r="D34" s="177"/>
      <c r="E34" s="310">
        <f>'SUB CPIF TOTAL MATERIAL'!E14</f>
        <v>0</v>
      </c>
      <c r="F34" s="110"/>
      <c r="G34" s="176"/>
      <c r="H34" s="177"/>
      <c r="I34" s="310">
        <f>'SUB CPIF TOTAL MATERIAL'!G14</f>
        <v>0</v>
      </c>
      <c r="J34" s="110"/>
      <c r="K34" s="176"/>
      <c r="L34" s="177"/>
      <c r="M34" s="310">
        <f>'SUB CPIF TOTAL MATERIAL'!I14</f>
        <v>0</v>
      </c>
      <c r="N34" s="110"/>
      <c r="O34" s="176"/>
      <c r="P34" s="177"/>
      <c r="Q34" s="310">
        <f>'SUB CPIF TOTAL MATERIAL'!K14</f>
        <v>0</v>
      </c>
    </row>
    <row r="35" spans="1:17" ht="67.5" customHeight="1" x14ac:dyDescent="0.25">
      <c r="A35" s="138"/>
      <c r="B35" s="261" t="s">
        <v>446</v>
      </c>
      <c r="C35" s="315"/>
      <c r="D35" s="316"/>
      <c r="E35" s="310"/>
      <c r="F35" s="110"/>
      <c r="G35" s="315"/>
      <c r="H35" s="316"/>
      <c r="I35" s="310"/>
      <c r="J35" s="110"/>
      <c r="K35" s="315"/>
      <c r="L35" s="316"/>
      <c r="M35" s="310"/>
      <c r="N35" s="110"/>
      <c r="O35" s="315"/>
      <c r="P35" s="316"/>
      <c r="Q35" s="310"/>
    </row>
    <row r="36" spans="1:17" x14ac:dyDescent="0.25">
      <c r="A36" s="138"/>
      <c r="B36" s="112" t="str">
        <f>'SUB CPIF RATES (ALL)'!B53</f>
        <v>Indirect Category: [Material Overhead]</v>
      </c>
      <c r="C36" s="160">
        <f>+E34</f>
        <v>0</v>
      </c>
      <c r="D36" s="188">
        <f>'SUB CPIF RATES (ALL)'!C53</f>
        <v>0</v>
      </c>
      <c r="E36" s="113">
        <f>ROUND(C36*D36,2)</f>
        <v>0</v>
      </c>
      <c r="F36" s="123"/>
      <c r="G36" s="160">
        <f>+I34</f>
        <v>0</v>
      </c>
      <c r="H36" s="188">
        <f>'SUB CPIF RATES (ALL)'!D53</f>
        <v>0</v>
      </c>
      <c r="I36" s="113">
        <f>ROUND(G36*H36,2)</f>
        <v>0</v>
      </c>
      <c r="J36" s="123"/>
      <c r="K36" s="160">
        <f>+M34</f>
        <v>0</v>
      </c>
      <c r="L36" s="188">
        <f>'SUB CPIF RATES (ALL)'!E53</f>
        <v>0</v>
      </c>
      <c r="M36" s="113">
        <f>ROUND(K36*L36,2)</f>
        <v>0</v>
      </c>
      <c r="N36" s="123"/>
      <c r="O36" s="160">
        <f>+Q34</f>
        <v>0</v>
      </c>
      <c r="P36" s="188">
        <f>'SUB CPIF RATES (ALL)'!F53</f>
        <v>0</v>
      </c>
      <c r="Q36" s="113">
        <f>ROUND(O36*P36,2)</f>
        <v>0</v>
      </c>
    </row>
    <row r="37" spans="1:17" x14ac:dyDescent="0.25">
      <c r="A37" s="138"/>
      <c r="B37" s="112" t="str">
        <f>'SUB CPIF RATES (ALL)'!B54</f>
        <v>Indirect Category: [G&amp;A]</v>
      </c>
      <c r="C37" s="160">
        <f>+C36+E36</f>
        <v>0</v>
      </c>
      <c r="D37" s="188">
        <f>'SUB CPIF RATES (ALL)'!C54</f>
        <v>0</v>
      </c>
      <c r="E37" s="113">
        <f>ROUND(C37*D37,2)</f>
        <v>0</v>
      </c>
      <c r="F37" s="123"/>
      <c r="G37" s="160">
        <f>+G36+I36</f>
        <v>0</v>
      </c>
      <c r="H37" s="188">
        <f>'SUB CPIF RATES (ALL)'!D54</f>
        <v>0</v>
      </c>
      <c r="I37" s="113">
        <f>ROUND(G37*H37,2)</f>
        <v>0</v>
      </c>
      <c r="J37" s="123"/>
      <c r="K37" s="160">
        <f>+K36+M36</f>
        <v>0</v>
      </c>
      <c r="L37" s="188">
        <f>'SUB CPIF RATES (ALL)'!E54</f>
        <v>0</v>
      </c>
      <c r="M37" s="113">
        <f>ROUND(K37*L37,2)</f>
        <v>0</v>
      </c>
      <c r="N37" s="123"/>
      <c r="O37" s="160">
        <f>+O36+Q36</f>
        <v>0</v>
      </c>
      <c r="P37" s="188">
        <f>'SUB CPIF RATES (ALL)'!F54</f>
        <v>0</v>
      </c>
      <c r="Q37" s="113">
        <f>ROUND(O37*P37,2)</f>
        <v>0</v>
      </c>
    </row>
    <row r="38" spans="1:17" x14ac:dyDescent="0.25">
      <c r="A38" s="138"/>
      <c r="B38" s="112" t="str">
        <f>'SUB CPIF RATES (ALL)'!B55</f>
        <v>Indirect Category: [FCCOM]</v>
      </c>
      <c r="C38" s="160">
        <f>C37+E37</f>
        <v>0</v>
      </c>
      <c r="D38" s="188">
        <f>'SUB CPIF RATES (ALL)'!C55</f>
        <v>0</v>
      </c>
      <c r="E38" s="113">
        <f>ROUND(C38*D38,2)</f>
        <v>0</v>
      </c>
      <c r="F38" s="110"/>
      <c r="G38" s="160">
        <f>G37+I37</f>
        <v>0</v>
      </c>
      <c r="H38" s="188">
        <f>'SUB CPIF RATES (ALL)'!D55</f>
        <v>0</v>
      </c>
      <c r="I38" s="113">
        <f>ROUND(G38*H38,2)</f>
        <v>0</v>
      </c>
      <c r="J38" s="110"/>
      <c r="K38" s="160">
        <f>K37+M37</f>
        <v>0</v>
      </c>
      <c r="L38" s="188">
        <f>'SUB CPIF RATES (ALL)'!E55</f>
        <v>0</v>
      </c>
      <c r="M38" s="113">
        <f>ROUND(K38*L38,2)</f>
        <v>0</v>
      </c>
      <c r="N38" s="110"/>
      <c r="O38" s="160">
        <f>O37+Q37</f>
        <v>0</v>
      </c>
      <c r="P38" s="188">
        <f>'SUB CPIF RATES (ALL)'!F55</f>
        <v>0</v>
      </c>
      <c r="Q38" s="113">
        <f>ROUND(O38*P38,2)</f>
        <v>0</v>
      </c>
    </row>
    <row r="39" spans="1:17" x14ac:dyDescent="0.25">
      <c r="A39" s="138"/>
      <c r="B39" s="112" t="str">
        <f>'SUB CPIF RATES (ALL)'!B56</f>
        <v>Indirect Category: [Target Fee]</v>
      </c>
      <c r="C39" s="160">
        <f>+C37+E37</f>
        <v>0</v>
      </c>
      <c r="D39" s="188">
        <f>'SUB CPIF RATES (ALL)'!C56</f>
        <v>0</v>
      </c>
      <c r="E39" s="113">
        <f>ROUND(C39*D39,2)</f>
        <v>0</v>
      </c>
      <c r="F39" s="110"/>
      <c r="G39" s="160">
        <f>+G37+I37</f>
        <v>0</v>
      </c>
      <c r="H39" s="188">
        <f>'SUB CPIF RATES (ALL)'!D56</f>
        <v>0</v>
      </c>
      <c r="I39" s="113">
        <f>ROUND(G39*H39,2)</f>
        <v>0</v>
      </c>
      <c r="J39" s="110"/>
      <c r="K39" s="160">
        <f>+K37+M37</f>
        <v>0</v>
      </c>
      <c r="L39" s="188">
        <f>'SUB CPIF RATES (ALL)'!E56</f>
        <v>0</v>
      </c>
      <c r="M39" s="113">
        <f>ROUND(K39*L39,2)</f>
        <v>0</v>
      </c>
      <c r="N39" s="110"/>
      <c r="O39" s="160">
        <f>+O37+Q37</f>
        <v>0</v>
      </c>
      <c r="P39" s="188">
        <f>'SUB CPIF RATES (ALL)'!F56</f>
        <v>0</v>
      </c>
      <c r="Q39" s="113">
        <f>ROUND(O39*P39,2)</f>
        <v>0</v>
      </c>
    </row>
    <row r="40" spans="1:17" x14ac:dyDescent="0.25">
      <c r="A40" s="138"/>
      <c r="B40" s="186" t="s">
        <v>186</v>
      </c>
      <c r="C40" s="178"/>
      <c r="D40" s="179"/>
      <c r="E40" s="113">
        <f>ROUND(SUM(E34:E37),2)</f>
        <v>0</v>
      </c>
      <c r="F40" s="110"/>
      <c r="G40" s="178"/>
      <c r="H40" s="179"/>
      <c r="I40" s="113">
        <f>ROUND(SUM(I34:I37),2)</f>
        <v>0</v>
      </c>
      <c r="J40" s="110"/>
      <c r="K40" s="178"/>
      <c r="L40" s="179"/>
      <c r="M40" s="113">
        <f>ROUND(SUM(M34:M37),2)</f>
        <v>0</v>
      </c>
      <c r="N40" s="110"/>
      <c r="O40" s="178"/>
      <c r="P40" s="179"/>
      <c r="Q40" s="113">
        <f>ROUND(SUM(Q34:Q37),2)</f>
        <v>0</v>
      </c>
    </row>
    <row r="41" spans="1:17" x14ac:dyDescent="0.25">
      <c r="A41" s="138"/>
      <c r="B41" s="186" t="s">
        <v>72</v>
      </c>
      <c r="C41" s="176"/>
      <c r="D41" s="180"/>
      <c r="E41" s="113">
        <f>ROUND(E38,2)</f>
        <v>0</v>
      </c>
      <c r="F41" s="110"/>
      <c r="G41" s="176"/>
      <c r="H41" s="180"/>
      <c r="I41" s="113">
        <f>ROUND(I38,2)</f>
        <v>0</v>
      </c>
      <c r="J41" s="110"/>
      <c r="K41" s="176"/>
      <c r="L41" s="180"/>
      <c r="M41" s="113">
        <f>ROUND(M38,2)</f>
        <v>0</v>
      </c>
      <c r="N41" s="110"/>
      <c r="O41" s="176"/>
      <c r="P41" s="180"/>
      <c r="Q41" s="113">
        <f>ROUND(Q38,2)</f>
        <v>0</v>
      </c>
    </row>
    <row r="42" spans="1:17" x14ac:dyDescent="0.2">
      <c r="B42" s="186" t="s">
        <v>71</v>
      </c>
      <c r="C42" s="176"/>
      <c r="D42" s="180"/>
      <c r="E42" s="127">
        <f>ROUND(E39,2)</f>
        <v>0</v>
      </c>
      <c r="F42" s="128"/>
      <c r="G42" s="176"/>
      <c r="H42" s="180"/>
      <c r="I42" s="127">
        <f>ROUND(I39,2)</f>
        <v>0</v>
      </c>
      <c r="J42" s="128"/>
      <c r="K42" s="176"/>
      <c r="L42" s="180"/>
      <c r="M42" s="127">
        <f>ROUND(M39,2)</f>
        <v>0</v>
      </c>
      <c r="N42" s="128"/>
      <c r="O42" s="176"/>
      <c r="P42" s="180"/>
      <c r="Q42" s="127">
        <f>ROUND(Q39,2)</f>
        <v>0</v>
      </c>
    </row>
    <row r="43" spans="1:17" ht="16.5" thickBot="1" x14ac:dyDescent="0.25">
      <c r="B43" s="187" t="s">
        <v>173</v>
      </c>
      <c r="C43" s="181"/>
      <c r="D43" s="182"/>
      <c r="E43" s="105">
        <f>SUM(E40:E42)</f>
        <v>0</v>
      </c>
      <c r="F43" s="106"/>
      <c r="G43" s="181"/>
      <c r="H43" s="182"/>
      <c r="I43" s="105">
        <f>SUM(I40:I42)</f>
        <v>0</v>
      </c>
      <c r="J43" s="106"/>
      <c r="K43" s="181"/>
      <c r="L43" s="182"/>
      <c r="M43" s="105">
        <f>SUM(M40:M42)</f>
        <v>0</v>
      </c>
      <c r="N43" s="106"/>
      <c r="O43" s="181"/>
      <c r="P43" s="182"/>
      <c r="Q43" s="105">
        <f>SUM(Q40:Q42)</f>
        <v>0</v>
      </c>
    </row>
    <row r="44" spans="1:17" ht="16.5" thickBot="1" x14ac:dyDescent="0.25">
      <c r="B44" s="117"/>
      <c r="F44" s="194"/>
      <c r="J44" s="194"/>
      <c r="N44" s="132"/>
    </row>
    <row r="45" spans="1:17" ht="16.5" thickBot="1" x14ac:dyDescent="0.3">
      <c r="B45" s="523" t="str">
        <f>B14</f>
        <v>CLIN 0001 (CPIF)                                                    TASK 1.03 SYSTEM TEST AND EVALUATION</v>
      </c>
      <c r="C45" s="490" t="s">
        <v>212</v>
      </c>
      <c r="D45" s="491"/>
      <c r="E45" s="492"/>
      <c r="F45" s="120"/>
      <c r="G45" s="490" t="s">
        <v>212</v>
      </c>
      <c r="H45" s="491"/>
      <c r="I45" s="492"/>
      <c r="J45" s="120"/>
      <c r="K45" s="490" t="s">
        <v>212</v>
      </c>
      <c r="L45" s="491"/>
      <c r="M45" s="492"/>
      <c r="N45" s="120"/>
      <c r="O45" s="490" t="s">
        <v>212</v>
      </c>
      <c r="P45" s="491"/>
      <c r="Q45" s="492"/>
    </row>
    <row r="46" spans="1:17" ht="16.5" thickBot="1" x14ac:dyDescent="0.3">
      <c r="B46" s="524"/>
      <c r="C46" s="520" t="str">
        <f>C32</f>
        <v>CLIN 0001 - Basic Period (Year 1)</v>
      </c>
      <c r="D46" s="521"/>
      <c r="E46" s="522"/>
      <c r="F46" s="121"/>
      <c r="G46" s="520" t="str">
        <f>G32</f>
        <v>CLIN 0001 - Basic Period (Year 2)</v>
      </c>
      <c r="H46" s="521"/>
      <c r="I46" s="522"/>
      <c r="J46" s="121"/>
      <c r="K46" s="520" t="str">
        <f>K32</f>
        <v>CLIN 0001 - Basic Period (Year 3)</v>
      </c>
      <c r="L46" s="521"/>
      <c r="M46" s="522"/>
      <c r="N46" s="121"/>
      <c r="O46" s="520" t="str">
        <f>O32</f>
        <v>CLIN 0001 - Basic Period (Year 4)</v>
      </c>
      <c r="P46" s="521"/>
      <c r="Q46" s="522"/>
    </row>
    <row r="47" spans="1:17" x14ac:dyDescent="0.25">
      <c r="B47" s="193"/>
      <c r="C47" s="98" t="str">
        <f>C33</f>
        <v>Base Cost</v>
      </c>
      <c r="D47" s="99" t="s">
        <v>286</v>
      </c>
      <c r="E47" s="100" t="s">
        <v>287</v>
      </c>
      <c r="F47" s="111"/>
      <c r="G47" s="98" t="str">
        <f>G33</f>
        <v>Base Cost</v>
      </c>
      <c r="H47" s="99" t="s">
        <v>286</v>
      </c>
      <c r="I47" s="100" t="s">
        <v>287</v>
      </c>
      <c r="J47" s="111"/>
      <c r="K47" s="98" t="str">
        <f>K33</f>
        <v>Base Cost</v>
      </c>
      <c r="L47" s="99" t="s">
        <v>286</v>
      </c>
      <c r="M47" s="100" t="s">
        <v>287</v>
      </c>
      <c r="N47" s="111"/>
      <c r="O47" s="98" t="str">
        <f>O33</f>
        <v>Base Cost</v>
      </c>
      <c r="P47" s="99" t="s">
        <v>286</v>
      </c>
      <c r="Q47" s="100" t="s">
        <v>287</v>
      </c>
    </row>
    <row r="48" spans="1:17" ht="26.25" thickBot="1" x14ac:dyDescent="0.25">
      <c r="B48" s="240" t="s">
        <v>447</v>
      </c>
      <c r="C48" s="226"/>
      <c r="D48" s="226"/>
      <c r="E48" s="348">
        <f>'SUB CPIF TOTAL SUB'!E14</f>
        <v>0</v>
      </c>
      <c r="F48" s="229"/>
      <c r="G48" s="176"/>
      <c r="H48" s="226"/>
      <c r="I48" s="262">
        <f>'SUB CPIF TOTAL SUB'!G14</f>
        <v>0</v>
      </c>
      <c r="J48" s="229"/>
      <c r="K48" s="176"/>
      <c r="L48" s="226"/>
      <c r="M48" s="262">
        <f>'SUB CPIF TOTAL SUB'!I14</f>
        <v>0</v>
      </c>
      <c r="N48" s="110"/>
      <c r="O48" s="176"/>
      <c r="P48" s="226"/>
      <c r="Q48" s="262">
        <f>'SUB CPIF TOTAL SUB'!K14</f>
        <v>0</v>
      </c>
    </row>
    <row r="49" spans="1:17" ht="77.25" thickBot="1" x14ac:dyDescent="0.25">
      <c r="B49" s="261" t="s">
        <v>448</v>
      </c>
      <c r="C49" s="533" t="s">
        <v>1</v>
      </c>
      <c r="D49" s="534"/>
      <c r="E49" s="535"/>
      <c r="F49" s="123"/>
      <c r="G49" s="530"/>
      <c r="H49" s="528"/>
      <c r="I49" s="529"/>
      <c r="J49" s="123"/>
      <c r="K49" s="530"/>
      <c r="L49" s="528"/>
      <c r="M49" s="529"/>
      <c r="N49" s="123"/>
      <c r="O49" s="530"/>
      <c r="P49" s="528"/>
      <c r="Q49" s="529"/>
    </row>
    <row r="50" spans="1:17" x14ac:dyDescent="0.2">
      <c r="B50" s="228" t="str">
        <f>'SUB CPIF RATES (ALL)'!B45</f>
        <v>Indirect Category: [Overhead]</v>
      </c>
      <c r="C50" s="243">
        <f>E48</f>
        <v>0</v>
      </c>
      <c r="D50" s="349">
        <f>'SUB CPIF RATES (ALL)'!C45</f>
        <v>0</v>
      </c>
      <c r="E50" s="113">
        <f>ROUND(C50*D50,2)</f>
        <v>0</v>
      </c>
      <c r="F50" s="123"/>
      <c r="G50" s="160">
        <f>I48</f>
        <v>0</v>
      </c>
      <c r="H50" s="188">
        <f>'SUB CPIF RATES (ALL)'!D45</f>
        <v>0</v>
      </c>
      <c r="I50" s="113">
        <f>ROUND(G50*H50,2)</f>
        <v>0</v>
      </c>
      <c r="J50" s="123"/>
      <c r="K50" s="160">
        <f>M48</f>
        <v>0</v>
      </c>
      <c r="L50" s="188">
        <f>'SUB CPIF RATES (ALL)'!E45</f>
        <v>0</v>
      </c>
      <c r="M50" s="113">
        <f>ROUND(K50*L50,2)</f>
        <v>0</v>
      </c>
      <c r="N50" s="123"/>
      <c r="O50" s="160">
        <f>Q48</f>
        <v>0</v>
      </c>
      <c r="P50" s="188">
        <f>'SUB CPIF RATES (ALL)'!F45</f>
        <v>0</v>
      </c>
      <c r="Q50" s="113">
        <f>ROUND(O50*P50,2)</f>
        <v>0</v>
      </c>
    </row>
    <row r="51" spans="1:17" x14ac:dyDescent="0.2">
      <c r="B51" s="228" t="str">
        <f>'SUB CPIF RATES (ALL)'!B46</f>
        <v>Indirect Category: [G&amp;A]</v>
      </c>
      <c r="C51" s="160">
        <f>C50+E50</f>
        <v>0</v>
      </c>
      <c r="D51" s="188">
        <f>'SUB CPIF RATES (ALL)'!C46</f>
        <v>0</v>
      </c>
      <c r="E51" s="113">
        <f>ROUND(C51*D51,2)</f>
        <v>0</v>
      </c>
      <c r="F51" s="229"/>
      <c r="G51" s="160">
        <f>G50+I50</f>
        <v>0</v>
      </c>
      <c r="H51" s="188">
        <f>'SUB CPIF RATES (ALL)'!D46</f>
        <v>0</v>
      </c>
      <c r="I51" s="113">
        <f>ROUND(G51*H51,2)</f>
        <v>0</v>
      </c>
      <c r="J51" s="229"/>
      <c r="K51" s="160">
        <f>K50+M50</f>
        <v>0</v>
      </c>
      <c r="L51" s="188">
        <f>'SUB CPIF RATES (ALL)'!E46</f>
        <v>0</v>
      </c>
      <c r="M51" s="113">
        <f>ROUND(K51*L51,2)</f>
        <v>0</v>
      </c>
      <c r="N51" s="110"/>
      <c r="O51" s="160">
        <f>O50+Q50</f>
        <v>0</v>
      </c>
      <c r="P51" s="188">
        <f>'SUB CPIF RATES (ALL)'!F46</f>
        <v>0</v>
      </c>
      <c r="Q51" s="113">
        <f>ROUND(O51*P51,2)</f>
        <v>0</v>
      </c>
    </row>
    <row r="52" spans="1:17" x14ac:dyDescent="0.2">
      <c r="B52" s="266" t="str">
        <f>'SUB CPIF RATES (ALL)'!B47</f>
        <v>Indirect Category: [FCCOM]</v>
      </c>
      <c r="C52" s="160">
        <f>C51+E51</f>
        <v>0</v>
      </c>
      <c r="D52" s="188">
        <f>'SUB CPIF RATES (ALL)'!C47</f>
        <v>0</v>
      </c>
      <c r="E52" s="268">
        <f>ROUND(C52*D52,2)</f>
        <v>0</v>
      </c>
      <c r="F52" s="229"/>
      <c r="G52" s="159">
        <f>G51+I51</f>
        <v>0</v>
      </c>
      <c r="H52" s="188">
        <f>'SUB CPIF RATES (ALL)'!D47</f>
        <v>0</v>
      </c>
      <c r="I52" s="268">
        <f>ROUND(G52*H52,2)</f>
        <v>0</v>
      </c>
      <c r="J52" s="229"/>
      <c r="K52" s="159">
        <f>K51+M51</f>
        <v>0</v>
      </c>
      <c r="L52" s="188">
        <f>'SUB CPIF RATES (ALL)'!E47</f>
        <v>0</v>
      </c>
      <c r="M52" s="268">
        <f>ROUND(K52*L52,2)</f>
        <v>0</v>
      </c>
      <c r="N52" s="110"/>
      <c r="O52" s="159">
        <f>O51+Q51</f>
        <v>0</v>
      </c>
      <c r="P52" s="188">
        <f>'SUB CPIF RATES (ALL)'!F47</f>
        <v>0</v>
      </c>
      <c r="Q52" s="268">
        <f>ROUND(O52*P52,2)</f>
        <v>0</v>
      </c>
    </row>
    <row r="53" spans="1:17" x14ac:dyDescent="0.2">
      <c r="B53" s="112" t="str">
        <f>'SUB CPIF RATES (ALL)'!B48</f>
        <v>Indirect Category: [Target Fee]</v>
      </c>
      <c r="C53" s="160">
        <f>C51+E51</f>
        <v>0</v>
      </c>
      <c r="D53" s="188">
        <f>'SUB CPIF RATES (ALL)'!C48</f>
        <v>0</v>
      </c>
      <c r="E53" s="268">
        <f>ROUND(C53*D53,2)</f>
        <v>0</v>
      </c>
      <c r="F53" s="229"/>
      <c r="G53" s="159">
        <f>G51+I51</f>
        <v>0</v>
      </c>
      <c r="H53" s="269">
        <f>'SUB CPIF RATES (ALL)'!D48</f>
        <v>0</v>
      </c>
      <c r="I53" s="268">
        <f>ROUND(G53*H53,2)</f>
        <v>0</v>
      </c>
      <c r="J53" s="229"/>
      <c r="K53" s="159">
        <f>K51+M51</f>
        <v>0</v>
      </c>
      <c r="L53" s="188">
        <f>'SUB CPIF RATES (ALL)'!E48</f>
        <v>0</v>
      </c>
      <c r="M53" s="268">
        <f>ROUND(K53*L53,2)</f>
        <v>0</v>
      </c>
      <c r="N53" s="110"/>
      <c r="O53" s="159">
        <f>O51+Q51</f>
        <v>0</v>
      </c>
      <c r="P53" s="188">
        <f>'SUB CPIF RATES (ALL)'!F48</f>
        <v>0</v>
      </c>
      <c r="Q53" s="268">
        <f>ROUND(O53*P53,2)</f>
        <v>0</v>
      </c>
    </row>
    <row r="54" spans="1:17" x14ac:dyDescent="0.2">
      <c r="B54" s="186" t="s">
        <v>214</v>
      </c>
      <c r="C54" s="178"/>
      <c r="D54" s="179"/>
      <c r="E54" s="113">
        <f>ROUND(E48+E50+E51,2)</f>
        <v>0</v>
      </c>
      <c r="F54" s="229"/>
      <c r="G54" s="178"/>
      <c r="H54" s="179"/>
      <c r="I54" s="113">
        <f>ROUND(I48+I50+I51,2)</f>
        <v>0</v>
      </c>
      <c r="J54" s="229"/>
      <c r="K54" s="178"/>
      <c r="L54" s="179"/>
      <c r="M54" s="113">
        <f>ROUND(M48+M50+M51,2)</f>
        <v>0</v>
      </c>
      <c r="N54" s="110"/>
      <c r="O54" s="178"/>
      <c r="P54" s="179"/>
      <c r="Q54" s="113">
        <f>ROUND(Q48+Q50+Q51,2)</f>
        <v>0</v>
      </c>
    </row>
    <row r="55" spans="1:17" x14ac:dyDescent="0.2">
      <c r="B55" s="186" t="s">
        <v>204</v>
      </c>
      <c r="C55" s="176"/>
      <c r="D55" s="180"/>
      <c r="E55" s="113">
        <f>ROUND(E52,2)</f>
        <v>0</v>
      </c>
      <c r="F55" s="229"/>
      <c r="G55" s="176"/>
      <c r="H55" s="180"/>
      <c r="I55" s="113">
        <f>ROUND(I52,2)</f>
        <v>0</v>
      </c>
      <c r="J55" s="229"/>
      <c r="K55" s="176"/>
      <c r="L55" s="180"/>
      <c r="M55" s="113">
        <f>ROUND(M52,2)</f>
        <v>0</v>
      </c>
      <c r="N55" s="110"/>
      <c r="O55" s="176"/>
      <c r="P55" s="180"/>
      <c r="Q55" s="113">
        <f>ROUND(Q52,2)</f>
        <v>0</v>
      </c>
    </row>
    <row r="56" spans="1:17" x14ac:dyDescent="0.2">
      <c r="B56" s="186" t="s">
        <v>71</v>
      </c>
      <c r="C56" s="176"/>
      <c r="D56" s="180"/>
      <c r="E56" s="127">
        <f>ROUND(E53,2)</f>
        <v>0</v>
      </c>
      <c r="F56" s="128"/>
      <c r="G56" s="176"/>
      <c r="H56" s="180"/>
      <c r="I56" s="127">
        <f>ROUND(I53,2)</f>
        <v>0</v>
      </c>
      <c r="J56" s="128"/>
      <c r="K56" s="176"/>
      <c r="L56" s="180"/>
      <c r="M56" s="127">
        <f>ROUND(M53,2)</f>
        <v>0</v>
      </c>
      <c r="N56" s="128"/>
      <c r="O56" s="176"/>
      <c r="P56" s="180"/>
      <c r="Q56" s="127">
        <f>ROUND(Q53,2)</f>
        <v>0</v>
      </c>
    </row>
    <row r="57" spans="1:17" ht="16.5" thickBot="1" x14ac:dyDescent="0.25">
      <c r="B57" s="187" t="s">
        <v>215</v>
      </c>
      <c r="C57" s="181"/>
      <c r="D57" s="182"/>
      <c r="E57" s="105">
        <f>ROUND(SUM(E54:E56),2)</f>
        <v>0</v>
      </c>
      <c r="F57" s="106"/>
      <c r="G57" s="181"/>
      <c r="H57" s="182"/>
      <c r="I57" s="105">
        <f>ROUND(SUM(I54:I56),2)</f>
        <v>0</v>
      </c>
      <c r="J57" s="106"/>
      <c r="K57" s="181"/>
      <c r="L57" s="182"/>
      <c r="M57" s="105">
        <f>ROUND(SUM(M54:M56),2)</f>
        <v>0</v>
      </c>
      <c r="N57" s="106"/>
      <c r="O57" s="181"/>
      <c r="P57" s="182"/>
      <c r="Q57" s="105">
        <f>ROUND(SUM(Q54:Q56),2)</f>
        <v>0</v>
      </c>
    </row>
    <row r="58" spans="1:17" ht="16.5" thickBot="1" x14ac:dyDescent="0.25">
      <c r="B58" s="117"/>
      <c r="F58" s="194"/>
      <c r="J58" s="194"/>
      <c r="N58" s="132"/>
    </row>
    <row r="59" spans="1:17" ht="16.5" customHeight="1" thickBot="1" x14ac:dyDescent="0.3">
      <c r="A59" s="138"/>
      <c r="B59" s="523" t="str">
        <f>B31</f>
        <v>CLIN 0001 (CPIF)                                                    TASK 1.03 SYSTEM TEST AND EVALUATION</v>
      </c>
      <c r="C59" s="490" t="s">
        <v>81</v>
      </c>
      <c r="D59" s="491"/>
      <c r="E59" s="492"/>
      <c r="F59" s="120"/>
      <c r="G59" s="490" t="s">
        <v>82</v>
      </c>
      <c r="H59" s="491"/>
      <c r="I59" s="492"/>
      <c r="J59" s="120"/>
      <c r="K59" s="490" t="s">
        <v>82</v>
      </c>
      <c r="L59" s="491"/>
      <c r="M59" s="492"/>
      <c r="N59" s="120"/>
      <c r="O59" s="490" t="s">
        <v>82</v>
      </c>
      <c r="P59" s="491"/>
      <c r="Q59" s="492"/>
    </row>
    <row r="60" spans="1:17" ht="16.5" thickBot="1" x14ac:dyDescent="0.3">
      <c r="A60" s="138"/>
      <c r="B60" s="524"/>
      <c r="C60" s="520" t="str">
        <f>C32</f>
        <v>CLIN 0001 - Basic Period (Year 1)</v>
      </c>
      <c r="D60" s="521"/>
      <c r="E60" s="522"/>
      <c r="F60" s="121"/>
      <c r="G60" s="520" t="str">
        <f>G32</f>
        <v>CLIN 0001 - Basic Period (Year 2)</v>
      </c>
      <c r="H60" s="521"/>
      <c r="I60" s="522"/>
      <c r="J60" s="121"/>
      <c r="K60" s="520" t="str">
        <f>K32</f>
        <v>CLIN 0001 - Basic Period (Year 3)</v>
      </c>
      <c r="L60" s="521"/>
      <c r="M60" s="522"/>
      <c r="N60" s="121"/>
      <c r="O60" s="520" t="str">
        <f>O32</f>
        <v>CLIN 0001 - Basic Period (Year 4)</v>
      </c>
      <c r="P60" s="521"/>
      <c r="Q60" s="522"/>
    </row>
    <row r="61" spans="1:17" x14ac:dyDescent="0.25">
      <c r="A61" s="138"/>
      <c r="B61" s="193"/>
      <c r="C61" s="98" t="str">
        <f>C47</f>
        <v>Base Cost</v>
      </c>
      <c r="D61" s="242" t="s">
        <v>286</v>
      </c>
      <c r="E61" s="100" t="s">
        <v>89</v>
      </c>
      <c r="F61" s="111"/>
      <c r="G61" s="241" t="str">
        <f>G47</f>
        <v>Base Cost</v>
      </c>
      <c r="H61" s="242" t="s">
        <v>286</v>
      </c>
      <c r="I61" s="100" t="s">
        <v>89</v>
      </c>
      <c r="J61" s="111"/>
      <c r="K61" s="241" t="str">
        <f>K47</f>
        <v>Base Cost</v>
      </c>
      <c r="L61" s="242" t="s">
        <v>286</v>
      </c>
      <c r="M61" s="100" t="s">
        <v>89</v>
      </c>
      <c r="N61" s="111"/>
      <c r="O61" s="241" t="str">
        <f>O47</f>
        <v>Base Cost</v>
      </c>
      <c r="P61" s="242" t="s">
        <v>286</v>
      </c>
      <c r="Q61" s="100" t="s">
        <v>89</v>
      </c>
    </row>
    <row r="62" spans="1:17" ht="26.25" x14ac:dyDescent="0.25">
      <c r="A62" s="138"/>
      <c r="B62" s="240" t="s">
        <v>449</v>
      </c>
      <c r="C62" s="226"/>
      <c r="D62" s="226"/>
      <c r="E62" s="311">
        <f>'SUB CPIF TOTAL ODC'!E15</f>
        <v>0</v>
      </c>
      <c r="F62" s="229"/>
      <c r="G62" s="226"/>
      <c r="H62" s="226"/>
      <c r="I62" s="311">
        <f>'SUB CPIF TOTAL ODC'!G15</f>
        <v>0</v>
      </c>
      <c r="J62" s="229"/>
      <c r="K62" s="226"/>
      <c r="L62" s="226"/>
      <c r="M62" s="310">
        <f>'SUB CPIF TOTAL ODC'!I15</f>
        <v>0</v>
      </c>
      <c r="N62" s="229"/>
      <c r="O62" s="226"/>
      <c r="P62" s="226"/>
      <c r="Q62" s="310">
        <f>'SUB CPIF TOTAL ODC'!K15</f>
        <v>0</v>
      </c>
    </row>
    <row r="63" spans="1:17" ht="66" customHeight="1" x14ac:dyDescent="0.25">
      <c r="A63" s="138" t="s">
        <v>1</v>
      </c>
      <c r="B63" s="374" t="s">
        <v>450</v>
      </c>
      <c r="C63" s="314"/>
      <c r="D63" s="314"/>
      <c r="E63" s="313"/>
      <c r="F63" s="229"/>
      <c r="G63" s="315"/>
      <c r="H63" s="314"/>
      <c r="I63" s="313"/>
      <c r="J63" s="229"/>
      <c r="K63" s="315"/>
      <c r="L63" s="314"/>
      <c r="M63" s="310"/>
      <c r="N63" s="229"/>
      <c r="O63" s="315"/>
      <c r="P63" s="314"/>
      <c r="Q63" s="310"/>
    </row>
    <row r="64" spans="1:17" x14ac:dyDescent="0.25">
      <c r="A64" s="138"/>
      <c r="B64" s="112" t="s">
        <v>60</v>
      </c>
      <c r="C64" s="160">
        <f>+E62</f>
        <v>0</v>
      </c>
      <c r="D64" s="188">
        <f>'SUB CPIF RATES (ALL)'!C61</f>
        <v>0</v>
      </c>
      <c r="E64" s="113">
        <f>ROUND(C64*D64,2)</f>
        <v>0</v>
      </c>
      <c r="F64" s="123"/>
      <c r="G64" s="227">
        <f>+I62</f>
        <v>0</v>
      </c>
      <c r="H64" s="188">
        <f>'SUB CPIF RATES (ALL)'!D61</f>
        <v>0</v>
      </c>
      <c r="I64" s="113">
        <f>ROUND(G64*H64,2)</f>
        <v>0</v>
      </c>
      <c r="J64" s="123"/>
      <c r="K64" s="227">
        <f>+M62</f>
        <v>0</v>
      </c>
      <c r="L64" s="188">
        <f>'SUB CPIF RATES (ALL)'!E61</f>
        <v>0</v>
      </c>
      <c r="M64" s="113">
        <f>ROUND(K64*L64,2)</f>
        <v>0</v>
      </c>
      <c r="N64" s="123"/>
      <c r="O64" s="227">
        <f>+Q62</f>
        <v>0</v>
      </c>
      <c r="P64" s="188">
        <f>'SUB CPIF RATES (ALL)'!F61</f>
        <v>0</v>
      </c>
      <c r="Q64" s="113">
        <f>ROUND(O64*P64,2)</f>
        <v>0</v>
      </c>
    </row>
    <row r="65" spans="1:17" x14ac:dyDescent="0.25">
      <c r="A65" s="138"/>
      <c r="B65" s="112" t="s">
        <v>61</v>
      </c>
      <c r="C65" s="160">
        <f>+C64+E64</f>
        <v>0</v>
      </c>
      <c r="D65" s="188">
        <f>'SUB CPIF RATES (ALL)'!C62</f>
        <v>0</v>
      </c>
      <c r="E65" s="113">
        <f>ROUND(C65*D65,2)</f>
        <v>0</v>
      </c>
      <c r="F65" s="123"/>
      <c r="G65" s="160">
        <f>+G64+I64</f>
        <v>0</v>
      </c>
      <c r="H65" s="188">
        <f>'SUB CPIF RATES (ALL)'!D62</f>
        <v>0</v>
      </c>
      <c r="I65" s="113">
        <f>ROUND(G65*H65,2)</f>
        <v>0</v>
      </c>
      <c r="J65" s="123"/>
      <c r="K65" s="160">
        <f>+K64+M64</f>
        <v>0</v>
      </c>
      <c r="L65" s="188">
        <f>'SUB CPIF RATES (ALL)'!E62</f>
        <v>0</v>
      </c>
      <c r="M65" s="113">
        <f>ROUND(K65*L65,2)</f>
        <v>0</v>
      </c>
      <c r="N65" s="123"/>
      <c r="O65" s="160">
        <f>+O64+Q64</f>
        <v>0</v>
      </c>
      <c r="P65" s="188">
        <f>'SUB CPIF RATES (ALL)'!F62</f>
        <v>0</v>
      </c>
      <c r="Q65" s="113">
        <f>ROUND(O65*P65,2)</f>
        <v>0</v>
      </c>
    </row>
    <row r="66" spans="1:17" x14ac:dyDescent="0.25">
      <c r="A66" s="138"/>
      <c r="B66" s="112" t="s">
        <v>411</v>
      </c>
      <c r="C66" s="160">
        <f>C65+E65</f>
        <v>0</v>
      </c>
      <c r="D66" s="188">
        <f>'SUB CPIF RATES (ALL)'!C63</f>
        <v>0</v>
      </c>
      <c r="E66" s="113">
        <f>ROUND(C66*D66,2)</f>
        <v>0</v>
      </c>
      <c r="F66" s="229"/>
      <c r="G66" s="160">
        <f>G65+I65</f>
        <v>0</v>
      </c>
      <c r="H66" s="188">
        <f>'SUB CPIF RATES (ALL)'!D63</f>
        <v>0</v>
      </c>
      <c r="I66" s="113">
        <f>ROUND(G66*H66,2)</f>
        <v>0</v>
      </c>
      <c r="J66" s="229"/>
      <c r="K66" s="160">
        <f>K65+M65</f>
        <v>0</v>
      </c>
      <c r="L66" s="188">
        <f>'SUB CPIF RATES (ALL)'!E63</f>
        <v>0</v>
      </c>
      <c r="M66" s="113">
        <f>ROUND(K66*L66,2)</f>
        <v>0</v>
      </c>
      <c r="N66" s="229"/>
      <c r="O66" s="160">
        <f>O65+Q65</f>
        <v>0</v>
      </c>
      <c r="P66" s="188">
        <f>'SUB CPIF RATES (ALL)'!F63</f>
        <v>0</v>
      </c>
      <c r="Q66" s="113">
        <f>ROUND(O66*P66,2)</f>
        <v>0</v>
      </c>
    </row>
    <row r="67" spans="1:17" x14ac:dyDescent="0.25">
      <c r="A67" s="138"/>
      <c r="B67" s="112" t="s">
        <v>62</v>
      </c>
      <c r="C67" s="160">
        <f>+C65+E65</f>
        <v>0</v>
      </c>
      <c r="D67" s="188">
        <f>'SUB CPIF RATES (ALL)'!C64</f>
        <v>0</v>
      </c>
      <c r="E67" s="113">
        <f>ROUND(C67*D67,2)</f>
        <v>0</v>
      </c>
      <c r="F67" s="229"/>
      <c r="G67" s="160">
        <f>+G65+I65</f>
        <v>0</v>
      </c>
      <c r="H67" s="188">
        <f>'SUB CPIF RATES (ALL)'!D64</f>
        <v>0</v>
      </c>
      <c r="I67" s="113">
        <f>ROUND(G67*H67,2)</f>
        <v>0</v>
      </c>
      <c r="J67" s="229"/>
      <c r="K67" s="160">
        <f>+K65+M65</f>
        <v>0</v>
      </c>
      <c r="L67" s="188">
        <f>'SUB CPIF RATES (ALL)'!E64</f>
        <v>0</v>
      </c>
      <c r="M67" s="113">
        <f>ROUND(K67*L67,2)</f>
        <v>0</v>
      </c>
      <c r="N67" s="229"/>
      <c r="O67" s="160">
        <f>+O65+Q65</f>
        <v>0</v>
      </c>
      <c r="P67" s="188">
        <f>'SUB CPIF RATES (ALL)'!F64</f>
        <v>0</v>
      </c>
      <c r="Q67" s="113">
        <f>ROUND(O67*P67,2)</f>
        <v>0</v>
      </c>
    </row>
    <row r="68" spans="1:17" x14ac:dyDescent="0.25">
      <c r="A68" s="138"/>
      <c r="B68" s="186" t="s">
        <v>187</v>
      </c>
      <c r="C68" s="178"/>
      <c r="D68" s="179"/>
      <c r="E68" s="113">
        <f>ROUND(SUM(E62:E65),2)</f>
        <v>0</v>
      </c>
      <c r="F68" s="229"/>
      <c r="G68" s="178"/>
      <c r="H68" s="179"/>
      <c r="I68" s="113">
        <f>ROUND(SUM(I62:I65),2)</f>
        <v>0</v>
      </c>
      <c r="J68" s="229"/>
      <c r="K68" s="178"/>
      <c r="L68" s="179"/>
      <c r="M68" s="113">
        <f>ROUND(SUM(M62:M65),2)</f>
        <v>0</v>
      </c>
      <c r="N68" s="229"/>
      <c r="O68" s="178"/>
      <c r="P68" s="179"/>
      <c r="Q68" s="113">
        <f>ROUND(SUM(Q62:Q65),2)</f>
        <v>0</v>
      </c>
    </row>
    <row r="69" spans="1:17" x14ac:dyDescent="0.25">
      <c r="A69" s="138"/>
      <c r="B69" s="186" t="s">
        <v>72</v>
      </c>
      <c r="C69" s="176"/>
      <c r="D69" s="180"/>
      <c r="E69" s="113">
        <f>ROUND(E66,2)</f>
        <v>0</v>
      </c>
      <c r="F69" s="229"/>
      <c r="G69" s="176"/>
      <c r="H69" s="180"/>
      <c r="I69" s="113">
        <f>ROUND(I66,2)</f>
        <v>0</v>
      </c>
      <c r="J69" s="229"/>
      <c r="K69" s="176"/>
      <c r="L69" s="180"/>
      <c r="M69" s="113">
        <f>ROUND(M66,2)</f>
        <v>0</v>
      </c>
      <c r="N69" s="229"/>
      <c r="O69" s="176"/>
      <c r="P69" s="180"/>
      <c r="Q69" s="113">
        <f>ROUND(Q66,2)</f>
        <v>0</v>
      </c>
    </row>
    <row r="70" spans="1:17" x14ac:dyDescent="0.2">
      <c r="A70" s="131"/>
      <c r="B70" s="186" t="s">
        <v>71</v>
      </c>
      <c r="C70" s="176"/>
      <c r="D70" s="180"/>
      <c r="E70" s="127">
        <f>ROUND(E67,2)</f>
        <v>0</v>
      </c>
      <c r="F70" s="128"/>
      <c r="G70" s="176"/>
      <c r="H70" s="180"/>
      <c r="I70" s="127">
        <f>ROUND(I67,2)</f>
        <v>0</v>
      </c>
      <c r="J70" s="128"/>
      <c r="K70" s="176"/>
      <c r="L70" s="180"/>
      <c r="M70" s="127">
        <f>ROUND(M67,2)</f>
        <v>0</v>
      </c>
      <c r="N70" s="128"/>
      <c r="O70" s="176"/>
      <c r="P70" s="180"/>
      <c r="Q70" s="127">
        <f>ROUND(Q67,2)</f>
        <v>0</v>
      </c>
    </row>
    <row r="71" spans="1:17" ht="16.5" thickBot="1" x14ac:dyDescent="0.25">
      <c r="A71" s="131"/>
      <c r="B71" s="187" t="s">
        <v>174</v>
      </c>
      <c r="C71" s="181"/>
      <c r="D71" s="182"/>
      <c r="E71" s="105">
        <f>ROUND(SUM(E68:E70),2)</f>
        <v>0</v>
      </c>
      <c r="F71" s="106"/>
      <c r="G71" s="181"/>
      <c r="H71" s="182"/>
      <c r="I71" s="105">
        <f>ROUND(SUM(I68:I70),2)</f>
        <v>0</v>
      </c>
      <c r="J71" s="106"/>
      <c r="K71" s="181"/>
      <c r="L71" s="182"/>
      <c r="M71" s="105">
        <f>ROUND(SUM(M68:M70),2)</f>
        <v>0</v>
      </c>
      <c r="N71" s="106"/>
      <c r="O71" s="181"/>
      <c r="P71" s="182"/>
      <c r="Q71" s="105">
        <f>ROUND(SUM(Q68:Q70),2)</f>
        <v>0</v>
      </c>
    </row>
    <row r="72" spans="1:17" ht="16.5" thickBot="1" x14ac:dyDescent="0.25">
      <c r="A72" s="131"/>
      <c r="B72" s="117"/>
      <c r="F72" s="194"/>
      <c r="G72" s="194"/>
      <c r="J72" s="194"/>
      <c r="N72" s="132"/>
    </row>
    <row r="73" spans="1:17" ht="16.5" thickBot="1" x14ac:dyDescent="0.3">
      <c r="A73" s="131"/>
      <c r="B73" s="531" t="str">
        <f>B59</f>
        <v>CLIN 0001 (CPIF)                                                    TASK 1.03 SYSTEM TEST AND EVALUATION</v>
      </c>
      <c r="C73" s="517" t="s">
        <v>213</v>
      </c>
      <c r="D73" s="518"/>
      <c r="E73" s="519"/>
      <c r="F73" s="120"/>
      <c r="G73" s="517" t="s">
        <v>213</v>
      </c>
      <c r="H73" s="518"/>
      <c r="I73" s="519"/>
      <c r="J73" s="120"/>
      <c r="K73" s="517" t="s">
        <v>213</v>
      </c>
      <c r="L73" s="518"/>
      <c r="M73" s="519"/>
      <c r="N73" s="120"/>
      <c r="O73" s="517" t="s">
        <v>213</v>
      </c>
      <c r="P73" s="518"/>
      <c r="Q73" s="519"/>
    </row>
    <row r="74" spans="1:17" ht="16.5" thickBot="1" x14ac:dyDescent="0.3">
      <c r="A74" s="131"/>
      <c r="B74" s="532"/>
      <c r="C74" s="221"/>
      <c r="D74" s="222"/>
      <c r="E74" s="133" t="s">
        <v>200</v>
      </c>
      <c r="F74" s="134"/>
      <c r="G74" s="221"/>
      <c r="H74" s="222"/>
      <c r="I74" s="133" t="s">
        <v>201</v>
      </c>
      <c r="J74" s="134"/>
      <c r="K74" s="221"/>
      <c r="L74" s="222"/>
      <c r="M74" s="133" t="s">
        <v>203</v>
      </c>
      <c r="N74" s="134"/>
      <c r="O74" s="221"/>
      <c r="P74" s="222"/>
      <c r="Q74" s="133" t="s">
        <v>202</v>
      </c>
    </row>
    <row r="75" spans="1:17" x14ac:dyDescent="0.2">
      <c r="A75" s="131"/>
      <c r="B75" s="112" t="s">
        <v>188</v>
      </c>
      <c r="C75" s="223"/>
      <c r="D75" s="223"/>
      <c r="E75" s="135">
        <f>+ROUND(E26+E40+E54+E68,2)</f>
        <v>0</v>
      </c>
      <c r="F75" s="110"/>
      <c r="G75" s="223"/>
      <c r="H75" s="223"/>
      <c r="I75" s="135">
        <f>+ROUND(I26+I40+I54+I68,2)</f>
        <v>0</v>
      </c>
      <c r="J75" s="110"/>
      <c r="K75" s="223"/>
      <c r="L75" s="223"/>
      <c r="M75" s="135">
        <f>+ROUND(M26+M40+M54+M68,2)</f>
        <v>0</v>
      </c>
      <c r="N75" s="110"/>
      <c r="O75" s="223"/>
      <c r="P75" s="223"/>
      <c r="Q75" s="135">
        <f>+ROUND(Q26+Q40+Q54+Q68,2)</f>
        <v>0</v>
      </c>
    </row>
    <row r="76" spans="1:17" x14ac:dyDescent="0.2">
      <c r="A76" s="131"/>
      <c r="B76" s="112" t="s">
        <v>72</v>
      </c>
      <c r="C76" s="223"/>
      <c r="D76" s="223"/>
      <c r="E76" s="113">
        <f>+ROUND(E27+E41+E55+E69,2)</f>
        <v>0</v>
      </c>
      <c r="F76" s="110"/>
      <c r="G76" s="223"/>
      <c r="H76" s="223"/>
      <c r="I76" s="113">
        <f>+ROUND(I27+I41+I55+I69,2)</f>
        <v>0</v>
      </c>
      <c r="J76" s="110"/>
      <c r="K76" s="223"/>
      <c r="L76" s="223"/>
      <c r="M76" s="113">
        <f>+ROUND(M27+M41+M55+M69,2)</f>
        <v>0</v>
      </c>
      <c r="N76" s="110"/>
      <c r="O76" s="223"/>
      <c r="P76" s="223"/>
      <c r="Q76" s="113">
        <f>+ROUND(Q27+Q41+Q55+Q69,2)</f>
        <v>0</v>
      </c>
    </row>
    <row r="77" spans="1:17" x14ac:dyDescent="0.2">
      <c r="A77" s="131"/>
      <c r="B77" s="112" t="s">
        <v>71</v>
      </c>
      <c r="C77" s="223"/>
      <c r="D77" s="223"/>
      <c r="E77" s="114">
        <f>+ROUND(E28+E42+E56+E70,2)</f>
        <v>0</v>
      </c>
      <c r="F77" s="115"/>
      <c r="G77" s="223"/>
      <c r="H77" s="223"/>
      <c r="I77" s="114">
        <f>+ROUND(I28+I42+I56+I70,2)</f>
        <v>0</v>
      </c>
      <c r="J77" s="115"/>
      <c r="K77" s="223"/>
      <c r="L77" s="223"/>
      <c r="M77" s="114">
        <f>+ROUND(M28+M42+M56+M70,2)</f>
        <v>0</v>
      </c>
      <c r="N77" s="115"/>
      <c r="O77" s="223"/>
      <c r="P77" s="223"/>
      <c r="Q77" s="114">
        <f>+ROUND(Q28+Q42+Q56+Q70,2)</f>
        <v>0</v>
      </c>
    </row>
    <row r="78" spans="1:17" ht="32.25" thickBot="1" x14ac:dyDescent="0.3">
      <c r="A78" s="131"/>
      <c r="B78" s="209" t="s">
        <v>336</v>
      </c>
      <c r="C78" s="224"/>
      <c r="D78" s="224"/>
      <c r="E78" s="208">
        <f>SUM(E75:E77)</f>
        <v>0</v>
      </c>
      <c r="F78" s="116"/>
      <c r="G78" s="224"/>
      <c r="H78" s="224"/>
      <c r="I78" s="208">
        <f>SUM(I75:I77)</f>
        <v>0</v>
      </c>
      <c r="J78" s="116"/>
      <c r="K78" s="224"/>
      <c r="L78" s="224"/>
      <c r="M78" s="208">
        <f>SUM(M75:M77)</f>
        <v>0</v>
      </c>
      <c r="N78" s="116"/>
      <c r="O78" s="224"/>
      <c r="P78" s="224"/>
      <c r="Q78" s="208">
        <f>SUM(Q75:Q77)</f>
        <v>0</v>
      </c>
    </row>
    <row r="79" spans="1:17" ht="16.5" thickBot="1" x14ac:dyDescent="0.3"/>
    <row r="80" spans="1:17" ht="31.5" x14ac:dyDescent="0.25">
      <c r="Q80" s="323" t="s">
        <v>337</v>
      </c>
    </row>
    <row r="81" spans="17:17" ht="16.5" thickBot="1" x14ac:dyDescent="0.3">
      <c r="Q81" s="322">
        <f>E78+I78+M78+Q78</f>
        <v>0</v>
      </c>
    </row>
  </sheetData>
  <mergeCells count="46">
    <mergeCell ref="C49:E49"/>
    <mergeCell ref="G49:I49"/>
    <mergeCell ref="K49:M49"/>
    <mergeCell ref="O49:Q49"/>
    <mergeCell ref="B45:B46"/>
    <mergeCell ref="C45:E45"/>
    <mergeCell ref="G45:I45"/>
    <mergeCell ref="K45:M45"/>
    <mergeCell ref="O45:Q45"/>
    <mergeCell ref="C46:E46"/>
    <mergeCell ref="G46:I46"/>
    <mergeCell ref="K46:M46"/>
    <mergeCell ref="O46:Q46"/>
    <mergeCell ref="A4:C4"/>
    <mergeCell ref="B14:B15"/>
    <mergeCell ref="C14:E14"/>
    <mergeCell ref="G14:I14"/>
    <mergeCell ref="K14:M14"/>
    <mergeCell ref="C15:E15"/>
    <mergeCell ref="G15:I15"/>
    <mergeCell ref="K15:M15"/>
    <mergeCell ref="B31:B32"/>
    <mergeCell ref="C31:E31"/>
    <mergeCell ref="G31:I31"/>
    <mergeCell ref="K31:M31"/>
    <mergeCell ref="C32:E32"/>
    <mergeCell ref="G32:I32"/>
    <mergeCell ref="K32:M32"/>
    <mergeCell ref="C60:E60"/>
    <mergeCell ref="G60:I60"/>
    <mergeCell ref="K60:M60"/>
    <mergeCell ref="B73:B74"/>
    <mergeCell ref="C73:E73"/>
    <mergeCell ref="G73:I73"/>
    <mergeCell ref="K73:M73"/>
    <mergeCell ref="B59:B60"/>
    <mergeCell ref="C59:E59"/>
    <mergeCell ref="G59:I59"/>
    <mergeCell ref="K59:M59"/>
    <mergeCell ref="O60:Q60"/>
    <mergeCell ref="O73:Q73"/>
    <mergeCell ref="O14:Q14"/>
    <mergeCell ref="O15:Q15"/>
    <mergeCell ref="O31:Q31"/>
    <mergeCell ref="O32:Q32"/>
    <mergeCell ref="O59:Q59"/>
  </mergeCells>
  <pageMargins left="0.7" right="0.7" top="0.75" bottom="0.75" header="0.3" footer="0.3"/>
  <pageSetup orientation="portrait" horizontalDpi="1200" verticalDpi="120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680B5B-13E5-4F75-A28A-FA0CCCBCC4B1}">
  <sheetPr>
    <tabColor theme="0"/>
  </sheetPr>
  <dimension ref="A1:Q81"/>
  <sheetViews>
    <sheetView zoomScale="80" zoomScaleNormal="80" workbookViewId="0">
      <pane ySplit="12" topLeftCell="A63" activePane="bottomLeft" state="frozen"/>
      <selection pane="bottomLeft" activeCell="P66" sqref="P66:P67"/>
    </sheetView>
  </sheetViews>
  <sheetFormatPr defaultColWidth="15.85546875" defaultRowHeight="15.75" x14ac:dyDescent="0.25"/>
  <cols>
    <col min="1" max="1" width="3.42578125" style="136" customWidth="1"/>
    <col min="2" max="2" width="49.140625" style="119" customWidth="1"/>
    <col min="3" max="3" width="18.28515625" style="131" bestFit="1" customWidth="1"/>
    <col min="4" max="4" width="12.42578125" style="131" bestFit="1" customWidth="1"/>
    <col min="5" max="5" width="32.140625" style="131" bestFit="1" customWidth="1"/>
    <col min="6" max="6" width="1" style="131" customWidth="1"/>
    <col min="7" max="7" width="14.28515625" style="131" customWidth="1"/>
    <col min="8" max="8" width="14.5703125" style="131" customWidth="1"/>
    <col min="9" max="9" width="33.28515625" style="131" customWidth="1"/>
    <col min="10" max="10" width="1" style="131" customWidth="1"/>
    <col min="11" max="11" width="16.7109375" style="131" customWidth="1"/>
    <col min="12" max="12" width="16.28515625" style="131" customWidth="1"/>
    <col min="13" max="13" width="34" style="131" bestFit="1" customWidth="1"/>
    <col min="14" max="14" width="0.85546875" style="131" customWidth="1"/>
    <col min="15" max="15" width="12.85546875" style="131" bestFit="1" customWidth="1"/>
    <col min="16" max="16" width="12.42578125" style="131" bestFit="1" customWidth="1"/>
    <col min="17" max="17" width="34" style="131" bestFit="1" customWidth="1"/>
    <col min="18" max="16384" width="15.85546875" style="131"/>
  </cols>
  <sheetData>
    <row r="1" spans="1:17" ht="16.5" thickBot="1" x14ac:dyDescent="0.3">
      <c r="B1" s="321" t="s">
        <v>460</v>
      </c>
      <c r="C1" s="394" t="str">
        <f>'SUB CPIF RATES (ALL)'!C1</f>
        <v xml:space="preserve">NAME </v>
      </c>
      <c r="D1" s="393"/>
    </row>
    <row r="2" spans="1:17" ht="16.5" thickBot="1" x14ac:dyDescent="0.3">
      <c r="B2" s="395" t="s">
        <v>459</v>
      </c>
      <c r="C2" s="396" t="str">
        <f>'SUB CPIF RATES (ALL)'!C2</f>
        <v xml:space="preserve">NAME </v>
      </c>
    </row>
    <row r="3" spans="1:17" ht="16.5" thickBot="1" x14ac:dyDescent="0.3"/>
    <row r="4" spans="1:17" ht="52.5" customHeight="1" thickBot="1" x14ac:dyDescent="0.3">
      <c r="A4" s="466" t="s">
        <v>209</v>
      </c>
      <c r="B4" s="467"/>
      <c r="C4" s="468"/>
      <c r="I4" s="194" t="s">
        <v>84</v>
      </c>
    </row>
    <row r="6" spans="1:17" s="202" customFormat="1" ht="17.25" customHeight="1" x14ac:dyDescent="0.2">
      <c r="A6" s="203"/>
      <c r="B6" s="204" t="s">
        <v>65</v>
      </c>
    </row>
    <row r="7" spans="1:17" s="202" customFormat="1" x14ac:dyDescent="0.25">
      <c r="A7" s="201"/>
      <c r="B7" s="201" t="s">
        <v>441</v>
      </c>
    </row>
    <row r="8" spans="1:17" s="202" customFormat="1" x14ac:dyDescent="0.25">
      <c r="A8" s="201"/>
      <c r="B8" s="201" t="s">
        <v>281</v>
      </c>
    </row>
    <row r="9" spans="1:17" s="202" customFormat="1" x14ac:dyDescent="0.25">
      <c r="A9" s="201"/>
      <c r="B9" s="201" t="s">
        <v>442</v>
      </c>
    </row>
    <row r="10" spans="1:17" s="202" customFormat="1" x14ac:dyDescent="0.25">
      <c r="A10" s="201"/>
      <c r="B10" s="201" t="s">
        <v>463</v>
      </c>
    </row>
    <row r="11" spans="1:17" x14ac:dyDescent="0.25">
      <c r="A11" s="137"/>
      <c r="B11" s="201" t="s">
        <v>464</v>
      </c>
      <c r="C11" s="139"/>
    </row>
    <row r="12" spans="1:17" x14ac:dyDescent="0.25">
      <c r="A12" s="137"/>
      <c r="B12" s="201" t="s">
        <v>338</v>
      </c>
      <c r="C12" s="139"/>
    </row>
    <row r="13" spans="1:17" ht="16.5" thickBot="1" x14ac:dyDescent="0.3"/>
    <row r="14" spans="1:17" ht="16.5" thickBot="1" x14ac:dyDescent="0.3">
      <c r="A14" s="138"/>
      <c r="B14" s="523" t="s">
        <v>339</v>
      </c>
      <c r="C14" s="490" t="s">
        <v>69</v>
      </c>
      <c r="D14" s="491"/>
      <c r="E14" s="492"/>
      <c r="F14" s="96"/>
      <c r="G14" s="490" t="s">
        <v>69</v>
      </c>
      <c r="H14" s="491"/>
      <c r="I14" s="492"/>
      <c r="J14" s="96"/>
      <c r="K14" s="490" t="s">
        <v>69</v>
      </c>
      <c r="L14" s="491"/>
      <c r="M14" s="492"/>
      <c r="N14" s="96"/>
      <c r="O14" s="490" t="s">
        <v>69</v>
      </c>
      <c r="P14" s="491"/>
      <c r="Q14" s="492"/>
    </row>
    <row r="15" spans="1:17" ht="32.25" customHeight="1" thickBot="1" x14ac:dyDescent="0.3">
      <c r="A15" s="138"/>
      <c r="B15" s="524"/>
      <c r="C15" s="520" t="s">
        <v>205</v>
      </c>
      <c r="D15" s="521"/>
      <c r="E15" s="522"/>
      <c r="F15" s="97"/>
      <c r="G15" s="520" t="s">
        <v>206</v>
      </c>
      <c r="H15" s="521"/>
      <c r="I15" s="522"/>
      <c r="J15" s="97"/>
      <c r="K15" s="520" t="s">
        <v>207</v>
      </c>
      <c r="L15" s="521"/>
      <c r="M15" s="522"/>
      <c r="N15" s="97"/>
      <c r="O15" s="520" t="s">
        <v>208</v>
      </c>
      <c r="P15" s="521"/>
      <c r="Q15" s="522"/>
    </row>
    <row r="16" spans="1:17" x14ac:dyDescent="0.25">
      <c r="A16" s="138"/>
      <c r="B16" s="98" t="s">
        <v>46</v>
      </c>
      <c r="C16" s="98" t="s">
        <v>29</v>
      </c>
      <c r="D16" s="99" t="s">
        <v>68</v>
      </c>
      <c r="E16" s="100" t="s">
        <v>74</v>
      </c>
      <c r="F16" s="101"/>
      <c r="G16" s="98" t="s">
        <v>29</v>
      </c>
      <c r="H16" s="99" t="s">
        <v>68</v>
      </c>
      <c r="I16" s="100" t="s">
        <v>74</v>
      </c>
      <c r="J16" s="101"/>
      <c r="K16" s="98" t="s">
        <v>29</v>
      </c>
      <c r="L16" s="99" t="s">
        <v>68</v>
      </c>
      <c r="M16" s="100" t="s">
        <v>74</v>
      </c>
      <c r="N16" s="101"/>
      <c r="O16" s="98" t="s">
        <v>29</v>
      </c>
      <c r="P16" s="99" t="s">
        <v>68</v>
      </c>
      <c r="Q16" s="100" t="s">
        <v>74</v>
      </c>
    </row>
    <row r="17" spans="1:17" ht="30" customHeight="1" thickBot="1" x14ac:dyDescent="0.3">
      <c r="A17" s="138"/>
      <c r="B17" s="148" t="s">
        <v>443</v>
      </c>
      <c r="C17" s="230"/>
      <c r="D17" s="231"/>
      <c r="E17" s="232"/>
      <c r="F17" s="101"/>
      <c r="G17" s="230"/>
      <c r="H17" s="231"/>
      <c r="I17" s="232"/>
      <c r="J17" s="101"/>
      <c r="K17" s="230"/>
      <c r="L17" s="231"/>
      <c r="M17" s="232"/>
      <c r="N17" s="101"/>
      <c r="O17" s="230"/>
      <c r="P17" s="231"/>
      <c r="Q17" s="232"/>
    </row>
    <row r="18" spans="1:17" ht="16.5" thickBot="1" x14ac:dyDescent="0.3">
      <c r="A18" s="138"/>
      <c r="B18" s="239" t="s">
        <v>87</v>
      </c>
      <c r="C18" s="108">
        <f>'SUB CPIF LABOR INPUTS'!D92</f>
        <v>0</v>
      </c>
      <c r="D18" s="150"/>
      <c r="E18" s="109">
        <f>'SUB CPIF LABOR INPUTS'!F92</f>
        <v>0</v>
      </c>
      <c r="F18" s="110"/>
      <c r="G18" s="108">
        <f>'SUB CPIF LABOR INPUTS'!H92</f>
        <v>0</v>
      </c>
      <c r="H18" s="150"/>
      <c r="I18" s="109">
        <f>'SUB CPIF LABOR INPUTS'!J92</f>
        <v>0</v>
      </c>
      <c r="J18" s="110"/>
      <c r="K18" s="108">
        <f>'SUB CPIF LABOR INPUTS'!L92</f>
        <v>0</v>
      </c>
      <c r="L18" s="150"/>
      <c r="M18" s="109">
        <f>'SUB CPIF LABOR INPUTS'!N92</f>
        <v>0</v>
      </c>
      <c r="N18" s="110"/>
      <c r="O18" s="108">
        <f>'SUB CPIF LABOR INPUTS'!AP92</f>
        <v>0</v>
      </c>
      <c r="P18" s="150"/>
      <c r="Q18" s="109">
        <f>'SUB CPIF LABOR INPUTS'!R92</f>
        <v>0</v>
      </c>
    </row>
    <row r="19" spans="1:17" x14ac:dyDescent="0.25">
      <c r="A19" s="138"/>
      <c r="B19" s="149"/>
      <c r="C19" s="98" t="s">
        <v>289</v>
      </c>
      <c r="D19" s="99" t="s">
        <v>286</v>
      </c>
      <c r="E19" s="100" t="s">
        <v>288</v>
      </c>
      <c r="F19" s="111"/>
      <c r="G19" s="98" t="s">
        <v>289</v>
      </c>
      <c r="H19" s="99" t="s">
        <v>286</v>
      </c>
      <c r="I19" s="100" t="s">
        <v>288</v>
      </c>
      <c r="J19" s="111"/>
      <c r="K19" s="98" t="s">
        <v>289</v>
      </c>
      <c r="L19" s="99" t="s">
        <v>286</v>
      </c>
      <c r="M19" s="100" t="s">
        <v>288</v>
      </c>
      <c r="N19" s="111"/>
      <c r="O19" s="98" t="s">
        <v>289</v>
      </c>
      <c r="P19" s="99" t="s">
        <v>286</v>
      </c>
      <c r="Q19" s="100" t="s">
        <v>288</v>
      </c>
    </row>
    <row r="20" spans="1:17" ht="54.75" customHeight="1" x14ac:dyDescent="0.25">
      <c r="A20" s="138"/>
      <c r="B20" s="261" t="s">
        <v>279</v>
      </c>
      <c r="C20" s="230"/>
      <c r="D20" s="231"/>
      <c r="E20" s="232"/>
      <c r="F20" s="147"/>
      <c r="G20" s="230"/>
      <c r="H20" s="231"/>
      <c r="I20" s="232"/>
      <c r="J20" s="147"/>
      <c r="K20" s="230"/>
      <c r="L20" s="231"/>
      <c r="M20" s="232"/>
      <c r="N20" s="147"/>
      <c r="O20" s="230"/>
      <c r="P20" s="231"/>
      <c r="Q20" s="232"/>
    </row>
    <row r="21" spans="1:17" x14ac:dyDescent="0.25">
      <c r="A21" s="138"/>
      <c r="B21" s="112" t="str">
        <f>'SUB CPIF RATES (ALL)'!B36</f>
        <v>Indirect Labor Category:  [Labor Fringe]</v>
      </c>
      <c r="C21" s="160">
        <f>+E18</f>
        <v>0</v>
      </c>
      <c r="D21" s="188">
        <f>'SUB CPIF RATES (ALL)'!C36</f>
        <v>0</v>
      </c>
      <c r="E21" s="113">
        <f>ROUND(C21*D21,2)</f>
        <v>0</v>
      </c>
      <c r="F21" s="110"/>
      <c r="G21" s="160">
        <f>+I18</f>
        <v>0</v>
      </c>
      <c r="H21" s="188">
        <f>'SUB CPIF RATES (ALL)'!D36</f>
        <v>0</v>
      </c>
      <c r="I21" s="113">
        <f>ROUND(G21*H21,2)</f>
        <v>0</v>
      </c>
      <c r="J21" s="110"/>
      <c r="K21" s="160">
        <f>+M18</f>
        <v>0</v>
      </c>
      <c r="L21" s="188">
        <f>'SUB CPIF RATES (ALL)'!E36</f>
        <v>0</v>
      </c>
      <c r="M21" s="113">
        <f>ROUND(K21*L21,2)</f>
        <v>0</v>
      </c>
      <c r="N21" s="110"/>
      <c r="O21" s="160">
        <f>+Q18</f>
        <v>0</v>
      </c>
      <c r="P21" s="188">
        <f>'SUB CPIF RATES (ALL)'!F36</f>
        <v>0</v>
      </c>
      <c r="Q21" s="113">
        <f>ROUND(O21*P21,2)</f>
        <v>0</v>
      </c>
    </row>
    <row r="22" spans="1:17" x14ac:dyDescent="0.25">
      <c r="A22" s="138"/>
      <c r="B22" s="112" t="str">
        <f>'SUB CPIF RATES (ALL)'!B37</f>
        <v>Indirect Labor Category: [Labor Overhead]</v>
      </c>
      <c r="C22" s="160">
        <f>+C21+E21</f>
        <v>0</v>
      </c>
      <c r="D22" s="188">
        <f>'SUB CPIF RATES (ALL)'!C37</f>
        <v>0</v>
      </c>
      <c r="E22" s="113">
        <f>ROUND(C22*D22,2)</f>
        <v>0</v>
      </c>
      <c r="F22" s="110"/>
      <c r="G22" s="160">
        <f>+G21+I21</f>
        <v>0</v>
      </c>
      <c r="H22" s="188">
        <f>'SUB CPIF RATES (ALL)'!D37</f>
        <v>0</v>
      </c>
      <c r="I22" s="113">
        <f>ROUND(G22*H22,2)</f>
        <v>0</v>
      </c>
      <c r="J22" s="110"/>
      <c r="K22" s="160">
        <f>+K21+M21</f>
        <v>0</v>
      </c>
      <c r="L22" s="188">
        <f>'SUB CPIF RATES (ALL)'!E37</f>
        <v>0</v>
      </c>
      <c r="M22" s="113">
        <f>ROUND(K22*L22,2)</f>
        <v>0</v>
      </c>
      <c r="N22" s="110"/>
      <c r="O22" s="160">
        <f>+O21+Q21</f>
        <v>0</v>
      </c>
      <c r="P22" s="188">
        <f>'SUB CPIF RATES (ALL)'!F37</f>
        <v>0</v>
      </c>
      <c r="Q22" s="113">
        <f>ROUND(O22*P22,2)</f>
        <v>0</v>
      </c>
    </row>
    <row r="23" spans="1:17" x14ac:dyDescent="0.25">
      <c r="A23" s="138"/>
      <c r="B23" s="112" t="str">
        <f>'SUB CPIF RATES (ALL)'!B38</f>
        <v>Indirect Labor Category: [G&amp;A]</v>
      </c>
      <c r="C23" s="160">
        <f>+C22+E22</f>
        <v>0</v>
      </c>
      <c r="D23" s="188">
        <f>'SUB CPIF RATES (ALL)'!C38</f>
        <v>0</v>
      </c>
      <c r="E23" s="113">
        <f>ROUND(C23*D23,2)</f>
        <v>0</v>
      </c>
      <c r="F23" s="110"/>
      <c r="G23" s="160">
        <f>+G22+I22</f>
        <v>0</v>
      </c>
      <c r="H23" s="188">
        <f>'SUB CPIF RATES (ALL)'!D38</f>
        <v>0</v>
      </c>
      <c r="I23" s="113">
        <f>ROUND(G23*H23,2)</f>
        <v>0</v>
      </c>
      <c r="J23" s="110"/>
      <c r="K23" s="160">
        <f>+K22+M22</f>
        <v>0</v>
      </c>
      <c r="L23" s="188">
        <f>'SUB CPIF RATES (ALL)'!E38</f>
        <v>0</v>
      </c>
      <c r="M23" s="113">
        <f>ROUND(K23*L23,2)</f>
        <v>0</v>
      </c>
      <c r="N23" s="110"/>
      <c r="O23" s="160">
        <f>+O22+Q22</f>
        <v>0</v>
      </c>
      <c r="P23" s="188">
        <f>'SUB CPIF RATES (ALL)'!F38</f>
        <v>0</v>
      </c>
      <c r="Q23" s="113">
        <f>ROUND(O23*P23,2)</f>
        <v>0</v>
      </c>
    </row>
    <row r="24" spans="1:17" x14ac:dyDescent="0.25">
      <c r="A24" s="138"/>
      <c r="B24" s="112" t="str">
        <f>'SUB CPIF RATES (ALL)'!B39</f>
        <v>Indirect Labor Category: [FCCOM]</v>
      </c>
      <c r="C24" s="160">
        <f>C23+E23</f>
        <v>0</v>
      </c>
      <c r="D24" s="188">
        <f>'SUB CPIF RATES (ALL)'!C39</f>
        <v>0</v>
      </c>
      <c r="E24" s="113">
        <f>ROUND(C24*D24,2)</f>
        <v>0</v>
      </c>
      <c r="F24" s="110"/>
      <c r="G24" s="160">
        <f>G23+I23</f>
        <v>0</v>
      </c>
      <c r="H24" s="188">
        <f>'SUB CPIF RATES (ALL)'!D39</f>
        <v>0</v>
      </c>
      <c r="I24" s="113">
        <f>ROUND(G24*H24,2)</f>
        <v>0</v>
      </c>
      <c r="J24" s="110"/>
      <c r="K24" s="160">
        <f>K23+M23</f>
        <v>0</v>
      </c>
      <c r="L24" s="188">
        <f>'SUB CPIF RATES (ALL)'!E39</f>
        <v>0</v>
      </c>
      <c r="M24" s="113">
        <f>ROUND(K24*L24,2)</f>
        <v>0</v>
      </c>
      <c r="N24" s="110"/>
      <c r="O24" s="160">
        <f>O23+Q23</f>
        <v>0</v>
      </c>
      <c r="P24" s="188">
        <f>'SUB CPIF RATES (ALL)'!F39</f>
        <v>0</v>
      </c>
      <c r="Q24" s="113">
        <f>ROUND(O24*P24,2)</f>
        <v>0</v>
      </c>
    </row>
    <row r="25" spans="1:17" x14ac:dyDescent="0.25">
      <c r="A25" s="138"/>
      <c r="B25" s="112" t="str">
        <f>'SUB CPIF RATES (ALL)'!B40</f>
        <v>Indirect Labor Category: [Target Fee]</v>
      </c>
      <c r="C25" s="160">
        <f>+C23+E23</f>
        <v>0</v>
      </c>
      <c r="D25" s="188">
        <f>'SUB CPIF RATES (ALL)'!C40</f>
        <v>0</v>
      </c>
      <c r="E25" s="113">
        <f>ROUND(C25*D25,2)</f>
        <v>0</v>
      </c>
      <c r="F25" s="110"/>
      <c r="G25" s="160">
        <f>+G23+I23</f>
        <v>0</v>
      </c>
      <c r="H25" s="188">
        <f>'SUB CPIF RATES (ALL)'!D40</f>
        <v>0</v>
      </c>
      <c r="I25" s="113">
        <f>ROUND(G25*H25,2)</f>
        <v>0</v>
      </c>
      <c r="J25" s="110"/>
      <c r="K25" s="188">
        <f>+K23+M23</f>
        <v>0</v>
      </c>
      <c r="L25" s="188">
        <f>'SUB CPIF RATES (ALL)'!E40</f>
        <v>0</v>
      </c>
      <c r="M25" s="113">
        <f>ROUND(K25*L25,2)</f>
        <v>0</v>
      </c>
      <c r="N25" s="110"/>
      <c r="O25" s="160">
        <f>+O23+Q23</f>
        <v>0</v>
      </c>
      <c r="P25" s="188">
        <f>'SUB CPIF RATES (ALL)'!F40</f>
        <v>0</v>
      </c>
      <c r="Q25" s="113">
        <f>ROUND(O25*P25,2)</f>
        <v>0</v>
      </c>
    </row>
    <row r="26" spans="1:17" x14ac:dyDescent="0.25">
      <c r="A26" s="138"/>
      <c r="B26" s="205" t="s">
        <v>185</v>
      </c>
      <c r="C26" s="155"/>
      <c r="D26" s="156"/>
      <c r="E26" s="175">
        <f>ROUND(SUM(E18,E21,E22,E23),2)</f>
        <v>0</v>
      </c>
      <c r="F26" s="110"/>
      <c r="G26" s="151"/>
      <c r="H26" s="152"/>
      <c r="I26" s="175">
        <f>ROUND(SUM(I18,I21,I22,I23),2)</f>
        <v>0</v>
      </c>
      <c r="J26" s="110"/>
      <c r="K26" s="188"/>
      <c r="L26" s="152"/>
      <c r="M26" s="175">
        <f>ROUND(SUM(M18,M21,M22,M23),2)</f>
        <v>0</v>
      </c>
      <c r="N26" s="110"/>
      <c r="O26" s="151"/>
      <c r="P26" s="152"/>
      <c r="Q26" s="175">
        <f>ROUND(SUM(Q18,Q21,Q22,Q23),2)</f>
        <v>0</v>
      </c>
    </row>
    <row r="27" spans="1:17" x14ac:dyDescent="0.25">
      <c r="A27" s="138"/>
      <c r="B27" s="205" t="s">
        <v>72</v>
      </c>
      <c r="C27" s="155"/>
      <c r="D27" s="156"/>
      <c r="E27" s="175">
        <f>ROUND(E24,2)</f>
        <v>0</v>
      </c>
      <c r="F27" s="110"/>
      <c r="G27" s="151"/>
      <c r="H27" s="152"/>
      <c r="I27" s="175">
        <f>ROUND(I24,2)</f>
        <v>0</v>
      </c>
      <c r="J27" s="110"/>
      <c r="K27" s="188"/>
      <c r="L27" s="152"/>
      <c r="M27" s="175">
        <f>ROUND(M24,2)</f>
        <v>0</v>
      </c>
      <c r="N27" s="110"/>
      <c r="O27" s="151"/>
      <c r="P27" s="152"/>
      <c r="Q27" s="175">
        <f>ROUND(Q24,2)</f>
        <v>0</v>
      </c>
    </row>
    <row r="28" spans="1:17" x14ac:dyDescent="0.25">
      <c r="A28" s="138"/>
      <c r="B28" s="205" t="s">
        <v>71</v>
      </c>
      <c r="C28" s="155"/>
      <c r="D28" s="156"/>
      <c r="E28" s="190">
        <f>ROUND(E25,2)</f>
        <v>0</v>
      </c>
      <c r="F28" s="115"/>
      <c r="G28" s="151"/>
      <c r="H28" s="152"/>
      <c r="I28" s="190">
        <f>ROUND(I25,2)</f>
        <v>0</v>
      </c>
      <c r="J28" s="115"/>
      <c r="K28" s="358"/>
      <c r="L28" s="152"/>
      <c r="M28" s="190">
        <f>ROUND(M25,2)</f>
        <v>0</v>
      </c>
      <c r="N28" s="115"/>
      <c r="O28" s="151"/>
      <c r="P28" s="152"/>
      <c r="Q28" s="190">
        <f>ROUND(Q25,2)</f>
        <v>0</v>
      </c>
    </row>
    <row r="29" spans="1:17" ht="16.5" thickBot="1" x14ac:dyDescent="0.3">
      <c r="A29" s="138"/>
      <c r="B29" s="206" t="s">
        <v>73</v>
      </c>
      <c r="C29" s="157"/>
      <c r="D29" s="158"/>
      <c r="E29" s="191">
        <f>ROUND(SUM(E26:E28),2)</f>
        <v>0</v>
      </c>
      <c r="F29" s="116"/>
      <c r="G29" s="153"/>
      <c r="H29" s="154"/>
      <c r="I29" s="191">
        <f>ROUND(SUM(I26:I28),2)</f>
        <v>0</v>
      </c>
      <c r="J29" s="116"/>
      <c r="K29" s="188"/>
      <c r="L29" s="154"/>
      <c r="M29" s="191">
        <f>ROUND(SUM(M26:M28),2)</f>
        <v>0</v>
      </c>
      <c r="N29" s="116"/>
      <c r="O29" s="153"/>
      <c r="P29" s="154"/>
      <c r="Q29" s="191">
        <f>ROUND(SUM(Q26:Q28),2)</f>
        <v>0</v>
      </c>
    </row>
    <row r="30" spans="1:17" ht="16.5" thickBot="1" x14ac:dyDescent="0.3">
      <c r="A30" s="138"/>
      <c r="B30" s="117"/>
      <c r="C30" s="118"/>
      <c r="D30" s="118"/>
      <c r="E30" s="199"/>
      <c r="F30" s="199"/>
      <c r="G30" s="199"/>
      <c r="H30" s="199"/>
      <c r="I30" s="199"/>
      <c r="J30" s="199"/>
      <c r="K30" s="199"/>
      <c r="L30" s="118"/>
      <c r="M30" s="118"/>
      <c r="N30" s="110"/>
      <c r="O30" s="199"/>
      <c r="P30" s="118"/>
      <c r="Q30" s="118"/>
    </row>
    <row r="31" spans="1:17" ht="16.5" customHeight="1" thickBot="1" x14ac:dyDescent="0.3">
      <c r="A31" s="138"/>
      <c r="B31" s="523" t="str">
        <f>B14</f>
        <v>CLIN 0001 (CPIF)                                                    TASK 1.04 MATERIAL - DEVELOPMENT KITS (COTS AND DEVELOPMENTAL)</v>
      </c>
      <c r="C31" s="490" t="s">
        <v>80</v>
      </c>
      <c r="D31" s="491"/>
      <c r="E31" s="492"/>
      <c r="F31" s="120"/>
      <c r="G31" s="490" t="s">
        <v>80</v>
      </c>
      <c r="H31" s="491"/>
      <c r="I31" s="492"/>
      <c r="J31" s="120"/>
      <c r="K31" s="490" t="s">
        <v>80</v>
      </c>
      <c r="L31" s="491"/>
      <c r="M31" s="492"/>
      <c r="N31" s="120"/>
      <c r="O31" s="490" t="s">
        <v>80</v>
      </c>
      <c r="P31" s="491"/>
      <c r="Q31" s="492"/>
    </row>
    <row r="32" spans="1:17" ht="32.25" customHeight="1" thickBot="1" x14ac:dyDescent="0.3">
      <c r="A32" s="138"/>
      <c r="B32" s="524"/>
      <c r="C32" s="520" t="str">
        <f>C15</f>
        <v>CLIN 0001 - Basic Period (Year 1)</v>
      </c>
      <c r="D32" s="521"/>
      <c r="E32" s="522"/>
      <c r="F32" s="121"/>
      <c r="G32" s="520" t="str">
        <f>G15</f>
        <v>CLIN 0001 - Basic Period (Year 2)</v>
      </c>
      <c r="H32" s="521"/>
      <c r="I32" s="522"/>
      <c r="J32" s="121"/>
      <c r="K32" s="520" t="str">
        <f>K15</f>
        <v>CLIN 0001 - Basic Period (Year 3)</v>
      </c>
      <c r="L32" s="521"/>
      <c r="M32" s="522"/>
      <c r="N32" s="121"/>
      <c r="O32" s="520" t="str">
        <f>O15</f>
        <v>CLIN 0001 - Basic Period (Year 4)</v>
      </c>
      <c r="P32" s="521"/>
      <c r="Q32" s="522"/>
    </row>
    <row r="33" spans="1:17" x14ac:dyDescent="0.25">
      <c r="A33" s="138"/>
      <c r="B33" s="192"/>
      <c r="C33" s="98" t="str">
        <f>C19</f>
        <v>Base Cost</v>
      </c>
      <c r="D33" s="99" t="str">
        <f>D19</f>
        <v>Rate</v>
      </c>
      <c r="E33" s="100" t="s">
        <v>88</v>
      </c>
      <c r="F33" s="111"/>
      <c r="G33" s="98" t="str">
        <f>G19</f>
        <v>Base Cost</v>
      </c>
      <c r="H33" s="99" t="str">
        <f>H19</f>
        <v>Rate</v>
      </c>
      <c r="I33" s="100" t="s">
        <v>88</v>
      </c>
      <c r="J33" s="111"/>
      <c r="K33" s="98" t="str">
        <f>K19</f>
        <v>Base Cost</v>
      </c>
      <c r="L33" s="99" t="str">
        <f>L19</f>
        <v>Rate</v>
      </c>
      <c r="M33" s="100" t="s">
        <v>88</v>
      </c>
      <c r="N33" s="111"/>
      <c r="O33" s="98" t="str">
        <f>O19</f>
        <v>Base Cost</v>
      </c>
      <c r="P33" s="99" t="str">
        <f>P19</f>
        <v>Rate</v>
      </c>
      <c r="Q33" s="100" t="s">
        <v>88</v>
      </c>
    </row>
    <row r="34" spans="1:17" ht="51.75" x14ac:dyDescent="0.25">
      <c r="A34" s="138"/>
      <c r="B34" s="240" t="s">
        <v>445</v>
      </c>
      <c r="C34" s="176"/>
      <c r="D34" s="177"/>
      <c r="E34" s="310">
        <f>'SUB CPIF TOTAL MATERIAL'!E15</f>
        <v>0</v>
      </c>
      <c r="F34" s="110"/>
      <c r="G34" s="176"/>
      <c r="H34" s="177"/>
      <c r="I34" s="310">
        <f>'SUB CPIF TOTAL MATERIAL'!G15</f>
        <v>0</v>
      </c>
      <c r="J34" s="110"/>
      <c r="K34" s="176"/>
      <c r="L34" s="177"/>
      <c r="M34" s="310">
        <f>'SUB CPIF TOTAL MATERIAL'!I15</f>
        <v>0</v>
      </c>
      <c r="N34" s="110"/>
      <c r="O34" s="176"/>
      <c r="P34" s="177"/>
      <c r="Q34" s="310">
        <f>'SUB CPIF TOTAL MATERIAL'!K15</f>
        <v>0</v>
      </c>
    </row>
    <row r="35" spans="1:17" ht="67.5" customHeight="1" x14ac:dyDescent="0.25">
      <c r="A35" s="138"/>
      <c r="B35" s="261" t="s">
        <v>446</v>
      </c>
      <c r="C35" s="315"/>
      <c r="D35" s="316"/>
      <c r="E35" s="310"/>
      <c r="F35" s="110"/>
      <c r="G35" s="315"/>
      <c r="H35" s="316"/>
      <c r="I35" s="310"/>
      <c r="J35" s="110"/>
      <c r="K35" s="315"/>
      <c r="L35" s="316"/>
      <c r="M35" s="310"/>
      <c r="N35" s="110"/>
      <c r="O35" s="315"/>
      <c r="P35" s="316"/>
      <c r="Q35" s="310"/>
    </row>
    <row r="36" spans="1:17" x14ac:dyDescent="0.25">
      <c r="A36" s="138"/>
      <c r="B36" s="112" t="str">
        <f>'SUB CPIF RATES (ALL)'!B53</f>
        <v>Indirect Category: [Material Overhead]</v>
      </c>
      <c r="C36" s="160">
        <f>+E34</f>
        <v>0</v>
      </c>
      <c r="D36" s="188">
        <f>'SUB CPIF RATES (ALL)'!C53</f>
        <v>0</v>
      </c>
      <c r="E36" s="113">
        <f>ROUND(C36*D36,2)</f>
        <v>0</v>
      </c>
      <c r="F36" s="123"/>
      <c r="G36" s="160">
        <f>+I34</f>
        <v>0</v>
      </c>
      <c r="H36" s="188">
        <f>'SUB CPIF RATES (ALL)'!D53</f>
        <v>0</v>
      </c>
      <c r="I36" s="113">
        <f>ROUND(G36*H36,2)</f>
        <v>0</v>
      </c>
      <c r="J36" s="123"/>
      <c r="K36" s="160">
        <f>+M34</f>
        <v>0</v>
      </c>
      <c r="L36" s="188">
        <f>'SUB CPIF RATES (ALL)'!E53</f>
        <v>0</v>
      </c>
      <c r="M36" s="113">
        <f>ROUND(K36*L36,2)</f>
        <v>0</v>
      </c>
      <c r="N36" s="123"/>
      <c r="O36" s="160">
        <f>+Q34</f>
        <v>0</v>
      </c>
      <c r="P36" s="188">
        <f>'SUB CPIF RATES (ALL)'!F53</f>
        <v>0</v>
      </c>
      <c r="Q36" s="113">
        <f>ROUND(O36*P36,2)</f>
        <v>0</v>
      </c>
    </row>
    <row r="37" spans="1:17" x14ac:dyDescent="0.25">
      <c r="A37" s="138"/>
      <c r="B37" s="112" t="str">
        <f>'SUB CPIF RATES (ALL)'!B54</f>
        <v>Indirect Category: [G&amp;A]</v>
      </c>
      <c r="C37" s="160">
        <f>+C36+E36</f>
        <v>0</v>
      </c>
      <c r="D37" s="188">
        <f>'SUB CPIF RATES (ALL)'!C54</f>
        <v>0</v>
      </c>
      <c r="E37" s="113">
        <f>ROUND(C37*D37,2)</f>
        <v>0</v>
      </c>
      <c r="F37" s="123"/>
      <c r="G37" s="160">
        <f>+G36+I36</f>
        <v>0</v>
      </c>
      <c r="H37" s="188">
        <f>'SUB CPIF RATES (ALL)'!D54</f>
        <v>0</v>
      </c>
      <c r="I37" s="113">
        <f>ROUND(G37*H37,2)</f>
        <v>0</v>
      </c>
      <c r="J37" s="123"/>
      <c r="K37" s="160">
        <f>+K36+M36</f>
        <v>0</v>
      </c>
      <c r="L37" s="188">
        <f>'SUB CPIF RATES (ALL)'!E54</f>
        <v>0</v>
      </c>
      <c r="M37" s="113">
        <f>ROUND(K37*L37,2)</f>
        <v>0</v>
      </c>
      <c r="N37" s="123"/>
      <c r="O37" s="160">
        <f>+O36+Q36</f>
        <v>0</v>
      </c>
      <c r="P37" s="188">
        <f>'SUB CPIF RATES (ALL)'!F54</f>
        <v>0</v>
      </c>
      <c r="Q37" s="113">
        <f>ROUND(O37*P37,2)</f>
        <v>0</v>
      </c>
    </row>
    <row r="38" spans="1:17" x14ac:dyDescent="0.25">
      <c r="A38" s="138"/>
      <c r="B38" s="112" t="str">
        <f>'SUB CPIF RATES (ALL)'!B55</f>
        <v>Indirect Category: [FCCOM]</v>
      </c>
      <c r="C38" s="160">
        <f>C37+E37</f>
        <v>0</v>
      </c>
      <c r="D38" s="188">
        <f>'SUB CPIF RATES (ALL)'!C55</f>
        <v>0</v>
      </c>
      <c r="E38" s="113">
        <f>ROUND(C38*D38,2)</f>
        <v>0</v>
      </c>
      <c r="F38" s="110"/>
      <c r="G38" s="160">
        <f>G37+I37</f>
        <v>0</v>
      </c>
      <c r="H38" s="188">
        <f>'SUB CPIF RATES (ALL)'!D55</f>
        <v>0</v>
      </c>
      <c r="I38" s="113">
        <f>ROUND(G38*H38,2)</f>
        <v>0</v>
      </c>
      <c r="J38" s="110"/>
      <c r="K38" s="160">
        <f>K37+M37</f>
        <v>0</v>
      </c>
      <c r="L38" s="188">
        <f>'SUB CPIF RATES (ALL)'!E55</f>
        <v>0</v>
      </c>
      <c r="M38" s="113">
        <f>ROUND(K38*L38,2)</f>
        <v>0</v>
      </c>
      <c r="N38" s="110"/>
      <c r="O38" s="160">
        <f>O37+Q37</f>
        <v>0</v>
      </c>
      <c r="P38" s="188">
        <f>'SUB CPIF RATES (ALL)'!F55</f>
        <v>0</v>
      </c>
      <c r="Q38" s="113">
        <f>ROUND(O38*P38,2)</f>
        <v>0</v>
      </c>
    </row>
    <row r="39" spans="1:17" x14ac:dyDescent="0.25">
      <c r="A39" s="138"/>
      <c r="B39" s="112" t="str">
        <f>'SUB CPIF RATES (ALL)'!B56</f>
        <v>Indirect Category: [Target Fee]</v>
      </c>
      <c r="C39" s="160">
        <f>+C37+E37</f>
        <v>0</v>
      </c>
      <c r="D39" s="188">
        <f>'SUB CPIF RATES (ALL)'!C56</f>
        <v>0</v>
      </c>
      <c r="E39" s="113">
        <f>ROUND(C39*D39,2)</f>
        <v>0</v>
      </c>
      <c r="F39" s="110"/>
      <c r="G39" s="160">
        <f>+G37+I37</f>
        <v>0</v>
      </c>
      <c r="H39" s="188">
        <f>'SUB CPIF RATES (ALL)'!D56</f>
        <v>0</v>
      </c>
      <c r="I39" s="113">
        <f>ROUND(G39*H39,2)</f>
        <v>0</v>
      </c>
      <c r="J39" s="110"/>
      <c r="K39" s="160">
        <f>+K37+M37</f>
        <v>0</v>
      </c>
      <c r="L39" s="188">
        <f>'SUB CPIF RATES (ALL)'!E56</f>
        <v>0</v>
      </c>
      <c r="M39" s="113">
        <f>ROUND(K39*L39,2)</f>
        <v>0</v>
      </c>
      <c r="N39" s="110"/>
      <c r="O39" s="160">
        <f>+O37+Q37</f>
        <v>0</v>
      </c>
      <c r="P39" s="188">
        <f>'SUB CPIF RATES (ALL)'!F56</f>
        <v>0</v>
      </c>
      <c r="Q39" s="113">
        <f>ROUND(O39*P39,2)</f>
        <v>0</v>
      </c>
    </row>
    <row r="40" spans="1:17" x14ac:dyDescent="0.25">
      <c r="A40" s="138"/>
      <c r="B40" s="186" t="s">
        <v>186</v>
      </c>
      <c r="C40" s="178"/>
      <c r="D40" s="179"/>
      <c r="E40" s="113">
        <f>ROUND(SUM(E34:E37),2)</f>
        <v>0</v>
      </c>
      <c r="F40" s="110"/>
      <c r="G40" s="178"/>
      <c r="H40" s="179"/>
      <c r="I40" s="113">
        <f>ROUND(SUM(I34:I37),2)</f>
        <v>0</v>
      </c>
      <c r="J40" s="110"/>
      <c r="K40" s="178"/>
      <c r="L40" s="179"/>
      <c r="M40" s="113">
        <f>ROUND(SUM(M34:M37),2)</f>
        <v>0</v>
      </c>
      <c r="N40" s="110"/>
      <c r="O40" s="178"/>
      <c r="P40" s="179"/>
      <c r="Q40" s="113">
        <f>ROUND(SUM(Q34:Q37),2)</f>
        <v>0</v>
      </c>
    </row>
    <row r="41" spans="1:17" x14ac:dyDescent="0.25">
      <c r="A41" s="138"/>
      <c r="B41" s="186" t="s">
        <v>72</v>
      </c>
      <c r="C41" s="176"/>
      <c r="D41" s="180"/>
      <c r="E41" s="113">
        <f>ROUND(E38,2)</f>
        <v>0</v>
      </c>
      <c r="F41" s="110"/>
      <c r="G41" s="176"/>
      <c r="H41" s="180"/>
      <c r="I41" s="113">
        <f>ROUND(I38,2)</f>
        <v>0</v>
      </c>
      <c r="J41" s="110"/>
      <c r="K41" s="176"/>
      <c r="L41" s="180"/>
      <c r="M41" s="113">
        <f>ROUND(M38,2)</f>
        <v>0</v>
      </c>
      <c r="N41" s="110"/>
      <c r="O41" s="176"/>
      <c r="P41" s="180"/>
      <c r="Q41" s="113">
        <f>ROUND(Q38,2)</f>
        <v>0</v>
      </c>
    </row>
    <row r="42" spans="1:17" x14ac:dyDescent="0.2">
      <c r="B42" s="186" t="s">
        <v>71</v>
      </c>
      <c r="C42" s="176"/>
      <c r="D42" s="180"/>
      <c r="E42" s="127">
        <f>ROUND(E39,2)</f>
        <v>0</v>
      </c>
      <c r="F42" s="128"/>
      <c r="G42" s="176"/>
      <c r="H42" s="180"/>
      <c r="I42" s="127">
        <f>ROUND(I39,2)</f>
        <v>0</v>
      </c>
      <c r="J42" s="128"/>
      <c r="K42" s="176"/>
      <c r="L42" s="180"/>
      <c r="M42" s="127">
        <f>ROUND(M39,2)</f>
        <v>0</v>
      </c>
      <c r="N42" s="128"/>
      <c r="O42" s="176"/>
      <c r="P42" s="180"/>
      <c r="Q42" s="127">
        <f>ROUND(Q39,2)</f>
        <v>0</v>
      </c>
    </row>
    <row r="43" spans="1:17" ht="16.5" thickBot="1" x14ac:dyDescent="0.25">
      <c r="B43" s="187" t="s">
        <v>173</v>
      </c>
      <c r="C43" s="181"/>
      <c r="D43" s="182"/>
      <c r="E43" s="105">
        <f>SUM(E40:E42)</f>
        <v>0</v>
      </c>
      <c r="F43" s="106"/>
      <c r="G43" s="181"/>
      <c r="H43" s="182"/>
      <c r="I43" s="105">
        <f>SUM(I40:I42)</f>
        <v>0</v>
      </c>
      <c r="J43" s="106"/>
      <c r="K43" s="181"/>
      <c r="L43" s="182"/>
      <c r="M43" s="105">
        <f>SUM(M40:M42)</f>
        <v>0</v>
      </c>
      <c r="N43" s="106"/>
      <c r="O43" s="181"/>
      <c r="P43" s="182"/>
      <c r="Q43" s="105">
        <f>SUM(Q40:Q42)</f>
        <v>0</v>
      </c>
    </row>
    <row r="44" spans="1:17" ht="16.5" thickBot="1" x14ac:dyDescent="0.25">
      <c r="B44" s="117"/>
      <c r="F44" s="194"/>
      <c r="G44" s="194"/>
      <c r="H44" s="194"/>
      <c r="I44" s="194"/>
      <c r="J44" s="194"/>
      <c r="K44" s="194"/>
      <c r="N44" s="132"/>
      <c r="O44" s="194"/>
    </row>
    <row r="45" spans="1:17" ht="16.5" thickBot="1" x14ac:dyDescent="0.3">
      <c r="B45" s="523" t="str">
        <f>B14</f>
        <v>CLIN 0001 (CPIF)                                                    TASK 1.04 MATERIAL - DEVELOPMENT KITS (COTS AND DEVELOPMENTAL)</v>
      </c>
      <c r="C45" s="490" t="s">
        <v>212</v>
      </c>
      <c r="D45" s="491"/>
      <c r="E45" s="492"/>
      <c r="F45" s="120"/>
      <c r="G45" s="490" t="s">
        <v>212</v>
      </c>
      <c r="H45" s="491"/>
      <c r="I45" s="492"/>
      <c r="J45" s="120"/>
      <c r="K45" s="490" t="s">
        <v>212</v>
      </c>
      <c r="L45" s="491"/>
      <c r="M45" s="492"/>
      <c r="N45" s="120"/>
      <c r="O45" s="490" t="s">
        <v>212</v>
      </c>
      <c r="P45" s="491"/>
      <c r="Q45" s="492"/>
    </row>
    <row r="46" spans="1:17" ht="27.75" customHeight="1" thickBot="1" x14ac:dyDescent="0.3">
      <c r="B46" s="524"/>
      <c r="C46" s="520" t="str">
        <f>C32</f>
        <v>CLIN 0001 - Basic Period (Year 1)</v>
      </c>
      <c r="D46" s="521"/>
      <c r="E46" s="522"/>
      <c r="F46" s="121"/>
      <c r="G46" s="520" t="str">
        <f>G32</f>
        <v>CLIN 0001 - Basic Period (Year 2)</v>
      </c>
      <c r="H46" s="521"/>
      <c r="I46" s="522"/>
      <c r="J46" s="121"/>
      <c r="K46" s="520" t="str">
        <f>K32</f>
        <v>CLIN 0001 - Basic Period (Year 3)</v>
      </c>
      <c r="L46" s="521"/>
      <c r="M46" s="522"/>
      <c r="N46" s="121"/>
      <c r="O46" s="520" t="str">
        <f>O32</f>
        <v>CLIN 0001 - Basic Period (Year 4)</v>
      </c>
      <c r="P46" s="521"/>
      <c r="Q46" s="522"/>
    </row>
    <row r="47" spans="1:17" x14ac:dyDescent="0.25">
      <c r="B47" s="193"/>
      <c r="C47" s="98" t="str">
        <f>C33</f>
        <v>Base Cost</v>
      </c>
      <c r="D47" s="99" t="str">
        <f>D33</f>
        <v>Rate</v>
      </c>
      <c r="E47" s="100" t="s">
        <v>287</v>
      </c>
      <c r="F47" s="111"/>
      <c r="G47" s="98" t="str">
        <f>G33</f>
        <v>Base Cost</v>
      </c>
      <c r="H47" s="99" t="str">
        <f>H33</f>
        <v>Rate</v>
      </c>
      <c r="I47" s="100" t="s">
        <v>287</v>
      </c>
      <c r="J47" s="111"/>
      <c r="K47" s="98" t="str">
        <f>K33</f>
        <v>Base Cost</v>
      </c>
      <c r="L47" s="99" t="str">
        <f>L33</f>
        <v>Rate</v>
      </c>
      <c r="M47" s="100" t="s">
        <v>287</v>
      </c>
      <c r="N47" s="111"/>
      <c r="O47" s="98" t="str">
        <f>O33</f>
        <v>Base Cost</v>
      </c>
      <c r="P47" s="99" t="str">
        <f>P33</f>
        <v>Rate</v>
      </c>
      <c r="Q47" s="100" t="s">
        <v>287</v>
      </c>
    </row>
    <row r="48" spans="1:17" ht="25.5" x14ac:dyDescent="0.2">
      <c r="B48" s="240" t="s">
        <v>447</v>
      </c>
      <c r="C48" s="226"/>
      <c r="D48" s="226"/>
      <c r="E48" s="262">
        <f>'SUB CPIF TOTAL SUB'!E15</f>
        <v>0</v>
      </c>
      <c r="F48" s="229"/>
      <c r="G48" s="176"/>
      <c r="H48" s="226"/>
      <c r="I48" s="262">
        <f>'SUB CPIF TOTAL SUB'!G15</f>
        <v>0</v>
      </c>
      <c r="J48" s="229"/>
      <c r="K48" s="176"/>
      <c r="L48" s="226"/>
      <c r="M48" s="262">
        <f>'SUB CPIF TOTAL SUB'!I15</f>
        <v>0</v>
      </c>
      <c r="N48" s="110"/>
      <c r="O48" s="176"/>
      <c r="P48" s="226"/>
      <c r="Q48" s="262">
        <f>'SUB CPIF TOTAL SUB'!K15</f>
        <v>0</v>
      </c>
    </row>
    <row r="49" spans="1:17" ht="76.5" x14ac:dyDescent="0.2">
      <c r="B49" s="261" t="s">
        <v>448</v>
      </c>
      <c r="C49" s="527" t="s">
        <v>1</v>
      </c>
      <c r="D49" s="528"/>
      <c r="E49" s="529"/>
      <c r="F49" s="123"/>
      <c r="G49" s="530"/>
      <c r="H49" s="528"/>
      <c r="I49" s="529"/>
      <c r="J49" s="123"/>
      <c r="K49" s="530"/>
      <c r="L49" s="528"/>
      <c r="M49" s="529"/>
      <c r="N49" s="123"/>
      <c r="O49" s="530"/>
      <c r="P49" s="528"/>
      <c r="Q49" s="529"/>
    </row>
    <row r="50" spans="1:17" x14ac:dyDescent="0.2">
      <c r="B50" s="228" t="str">
        <f>'SUB CPIF RATES (ALL)'!B45</f>
        <v>Indirect Category: [Overhead]</v>
      </c>
      <c r="C50" s="227">
        <f>E48</f>
        <v>0</v>
      </c>
      <c r="D50" s="188">
        <f>'SUB CPIF RATES (ALL)'!C45</f>
        <v>0</v>
      </c>
      <c r="E50" s="113">
        <f>ROUND(C50*D50,2)</f>
        <v>0</v>
      </c>
      <c r="F50" s="123"/>
      <c r="G50" s="160">
        <f>I48</f>
        <v>0</v>
      </c>
      <c r="H50" s="188">
        <f>'SUB CPIF RATES (ALL)'!D45</f>
        <v>0</v>
      </c>
      <c r="I50" s="113">
        <f>ROUND(G50*H50,2)</f>
        <v>0</v>
      </c>
      <c r="J50" s="123"/>
      <c r="K50" s="160">
        <f>M48</f>
        <v>0</v>
      </c>
      <c r="L50" s="188">
        <f>'SUB CPIF RATES (ALL)'!E45</f>
        <v>0</v>
      </c>
      <c r="M50" s="113">
        <f>ROUND(K50*L50,2)</f>
        <v>0</v>
      </c>
      <c r="N50" s="123"/>
      <c r="O50" s="160">
        <f>Q48</f>
        <v>0</v>
      </c>
      <c r="P50" s="188">
        <f>'SUB CPIF RATES (ALL)'!F45</f>
        <v>0</v>
      </c>
      <c r="Q50" s="113">
        <f>ROUND(O50*P50,2)</f>
        <v>0</v>
      </c>
    </row>
    <row r="51" spans="1:17" x14ac:dyDescent="0.2">
      <c r="B51" s="228" t="str">
        <f>'SUB CPIF RATES (ALL)'!B46</f>
        <v>Indirect Category: [G&amp;A]</v>
      </c>
      <c r="C51" s="227">
        <f>C50+E50</f>
        <v>0</v>
      </c>
      <c r="D51" s="188">
        <f>'SUB CPIF RATES (ALL)'!C46</f>
        <v>0</v>
      </c>
      <c r="E51" s="113">
        <f>ROUND(C51*D51,2)</f>
        <v>0</v>
      </c>
      <c r="F51" s="229"/>
      <c r="G51" s="227">
        <f>G50+I50</f>
        <v>0</v>
      </c>
      <c r="H51" s="188">
        <f>'SUB CPIF RATES (ALL)'!D46</f>
        <v>0</v>
      </c>
      <c r="I51" s="113">
        <f>ROUND(G51*H51,2)</f>
        <v>0</v>
      </c>
      <c r="J51" s="229"/>
      <c r="K51" s="227">
        <f>K50+M50</f>
        <v>0</v>
      </c>
      <c r="L51" s="188">
        <f>'SUB CPIF RATES (ALL)'!E46</f>
        <v>0</v>
      </c>
      <c r="M51" s="113">
        <f>ROUND(K51*L51,2)</f>
        <v>0</v>
      </c>
      <c r="N51" s="110"/>
      <c r="O51" s="227">
        <f>O50+Q50</f>
        <v>0</v>
      </c>
      <c r="P51" s="188">
        <f>'SUB CPIF RATES (ALL)'!F46</f>
        <v>0</v>
      </c>
      <c r="Q51" s="113">
        <f>ROUND(O51*P51,2)</f>
        <v>0</v>
      </c>
    </row>
    <row r="52" spans="1:17" x14ac:dyDescent="0.2">
      <c r="B52" s="266" t="str">
        <f>'SUB CPIF RATES (ALL)'!B47</f>
        <v>Indirect Category: [FCCOM]</v>
      </c>
      <c r="C52" s="159">
        <f>C51+E51</f>
        <v>0</v>
      </c>
      <c r="D52" s="188">
        <f>'SUB CPIF RATES (ALL)'!C47</f>
        <v>0</v>
      </c>
      <c r="E52" s="268">
        <f>ROUND(C52*D52,2)</f>
        <v>0</v>
      </c>
      <c r="F52" s="229"/>
      <c r="G52" s="159">
        <f>G51+I51</f>
        <v>0</v>
      </c>
      <c r="H52" s="188">
        <f>'SUB CPIF RATES (ALL)'!D47</f>
        <v>0</v>
      </c>
      <c r="I52" s="268">
        <f>ROUND(G52*H52,2)</f>
        <v>0</v>
      </c>
      <c r="J52" s="229"/>
      <c r="K52" s="159">
        <f>K51+M51</f>
        <v>0</v>
      </c>
      <c r="L52" s="188">
        <f>'SUB CPIF RATES (ALL)'!E47</f>
        <v>0</v>
      </c>
      <c r="M52" s="268">
        <f>ROUND(K52*L52,2)</f>
        <v>0</v>
      </c>
      <c r="N52" s="110"/>
      <c r="O52" s="159">
        <f>O51+Q51</f>
        <v>0</v>
      </c>
      <c r="P52" s="188">
        <f>'SUB CPIF RATES (ALL)'!F47</f>
        <v>0</v>
      </c>
      <c r="Q52" s="268">
        <f>ROUND(O52*P52,2)</f>
        <v>0</v>
      </c>
    </row>
    <row r="53" spans="1:17" x14ac:dyDescent="0.2">
      <c r="B53" s="112" t="str">
        <f>'SUB CPIF RATES (ALL)'!B48</f>
        <v>Indirect Category: [Target Fee]</v>
      </c>
      <c r="C53" s="159">
        <f>C51+E51</f>
        <v>0</v>
      </c>
      <c r="D53" s="188">
        <f>'SUB CPIF RATES (ALL)'!C48</f>
        <v>0</v>
      </c>
      <c r="E53" s="268">
        <f>ROUND(C53*D53,2)</f>
        <v>0</v>
      </c>
      <c r="F53" s="229"/>
      <c r="G53" s="159">
        <f>G51+I51</f>
        <v>0</v>
      </c>
      <c r="H53" s="188">
        <f>'SUB CPIF RATES (ALL)'!D48</f>
        <v>0</v>
      </c>
      <c r="I53" s="268">
        <f>ROUND(G53*H53,2)</f>
        <v>0</v>
      </c>
      <c r="J53" s="229"/>
      <c r="K53" s="159">
        <f>K51+M51</f>
        <v>0</v>
      </c>
      <c r="L53" s="188">
        <f>'SUB CPIF RATES (ALL)'!E48</f>
        <v>0</v>
      </c>
      <c r="M53" s="268">
        <f>ROUND(K53*L53,2)</f>
        <v>0</v>
      </c>
      <c r="N53" s="110"/>
      <c r="O53" s="159">
        <f>O51+Q51</f>
        <v>0</v>
      </c>
      <c r="P53" s="188">
        <f>'SUB CPIF RATES (ALL)'!F48</f>
        <v>0</v>
      </c>
      <c r="Q53" s="268">
        <f>ROUND(O53*P53,2)</f>
        <v>0</v>
      </c>
    </row>
    <row r="54" spans="1:17" x14ac:dyDescent="0.2">
      <c r="B54" s="186" t="s">
        <v>214</v>
      </c>
      <c r="C54" s="178"/>
      <c r="D54" s="179"/>
      <c r="E54" s="113">
        <f>ROUND(E48+E50+E51,2)</f>
        <v>0</v>
      </c>
      <c r="F54" s="229"/>
      <c r="G54" s="178"/>
      <c r="H54" s="179"/>
      <c r="I54" s="113">
        <f>ROUND(I48+I50+I51,2)</f>
        <v>0</v>
      </c>
      <c r="J54" s="229"/>
      <c r="K54" s="178"/>
      <c r="L54" s="179"/>
      <c r="M54" s="113">
        <f>ROUND(M48+M50+M51,2)</f>
        <v>0</v>
      </c>
      <c r="N54" s="110"/>
      <c r="O54" s="178"/>
      <c r="P54" s="179"/>
      <c r="Q54" s="113">
        <f>ROUND(Q48+Q50+Q51,2)</f>
        <v>0</v>
      </c>
    </row>
    <row r="55" spans="1:17" x14ac:dyDescent="0.2">
      <c r="B55" s="186" t="s">
        <v>204</v>
      </c>
      <c r="C55" s="176"/>
      <c r="D55" s="180"/>
      <c r="E55" s="113">
        <f>ROUND(E52,2)</f>
        <v>0</v>
      </c>
      <c r="F55" s="229"/>
      <c r="G55" s="176"/>
      <c r="H55" s="180"/>
      <c r="I55" s="113">
        <f>ROUND(I52,2)</f>
        <v>0</v>
      </c>
      <c r="J55" s="229"/>
      <c r="K55" s="176"/>
      <c r="L55" s="180"/>
      <c r="M55" s="113">
        <f>ROUND(M52,2)</f>
        <v>0</v>
      </c>
      <c r="N55" s="110"/>
      <c r="O55" s="176"/>
      <c r="P55" s="180"/>
      <c r="Q55" s="113">
        <f>ROUND(Q52,2)</f>
        <v>0</v>
      </c>
    </row>
    <row r="56" spans="1:17" x14ac:dyDescent="0.2">
      <c r="B56" s="186" t="s">
        <v>71</v>
      </c>
      <c r="C56" s="176"/>
      <c r="D56" s="180"/>
      <c r="E56" s="127">
        <f>ROUND(E53,2)</f>
        <v>0</v>
      </c>
      <c r="F56" s="128"/>
      <c r="G56" s="176"/>
      <c r="H56" s="180"/>
      <c r="I56" s="127">
        <f>ROUND(I53,2)</f>
        <v>0</v>
      </c>
      <c r="J56" s="128"/>
      <c r="K56" s="176"/>
      <c r="L56" s="180"/>
      <c r="M56" s="127">
        <f>ROUND(M53,2)</f>
        <v>0</v>
      </c>
      <c r="N56" s="128"/>
      <c r="O56" s="176"/>
      <c r="P56" s="180"/>
      <c r="Q56" s="127">
        <f>ROUND(Q53,2)</f>
        <v>0</v>
      </c>
    </row>
    <row r="57" spans="1:17" ht="16.5" thickBot="1" x14ac:dyDescent="0.25">
      <c r="B57" s="187" t="s">
        <v>215</v>
      </c>
      <c r="C57" s="181"/>
      <c r="D57" s="182"/>
      <c r="E57" s="105">
        <f>ROUND(SUM(E54:E56),2)</f>
        <v>0</v>
      </c>
      <c r="F57" s="106"/>
      <c r="G57" s="181"/>
      <c r="H57" s="182"/>
      <c r="I57" s="105">
        <f>ROUND(SUM(I54:I56),2)</f>
        <v>0</v>
      </c>
      <c r="J57" s="106"/>
      <c r="K57" s="181"/>
      <c r="L57" s="182"/>
      <c r="M57" s="105">
        <f>ROUND(SUM(M54:M56),2)</f>
        <v>0</v>
      </c>
      <c r="N57" s="106"/>
      <c r="O57" s="181"/>
      <c r="P57" s="182"/>
      <c r="Q57" s="105">
        <f>ROUND(SUM(Q54:Q56),2)</f>
        <v>0</v>
      </c>
    </row>
    <row r="58" spans="1:17" ht="16.5" thickBot="1" x14ac:dyDescent="0.25">
      <c r="B58" s="117"/>
      <c r="F58" s="194"/>
      <c r="G58" s="194"/>
      <c r="H58" s="194"/>
      <c r="I58" s="194"/>
      <c r="J58" s="194"/>
      <c r="K58" s="194"/>
      <c r="N58" s="132"/>
      <c r="O58" s="194"/>
    </row>
    <row r="59" spans="1:17" ht="16.5" customHeight="1" thickBot="1" x14ac:dyDescent="0.3">
      <c r="A59" s="138"/>
      <c r="B59" s="523" t="str">
        <f>B31</f>
        <v>CLIN 0001 (CPIF)                                                    TASK 1.04 MATERIAL - DEVELOPMENT KITS (COTS AND DEVELOPMENTAL)</v>
      </c>
      <c r="C59" s="490" t="s">
        <v>81</v>
      </c>
      <c r="D59" s="491"/>
      <c r="E59" s="492"/>
      <c r="F59" s="120"/>
      <c r="G59" s="490" t="s">
        <v>82</v>
      </c>
      <c r="H59" s="491"/>
      <c r="I59" s="492"/>
      <c r="J59" s="120"/>
      <c r="K59" s="490" t="s">
        <v>82</v>
      </c>
      <c r="L59" s="491"/>
      <c r="M59" s="492"/>
      <c r="N59" s="120"/>
      <c r="O59" s="490" t="s">
        <v>82</v>
      </c>
      <c r="P59" s="491"/>
      <c r="Q59" s="492"/>
    </row>
    <row r="60" spans="1:17" ht="33.75" customHeight="1" thickBot="1" x14ac:dyDescent="0.3">
      <c r="A60" s="138"/>
      <c r="B60" s="524"/>
      <c r="C60" s="520" t="str">
        <f>C32</f>
        <v>CLIN 0001 - Basic Period (Year 1)</v>
      </c>
      <c r="D60" s="521"/>
      <c r="E60" s="522"/>
      <c r="F60" s="121"/>
      <c r="G60" s="520" t="str">
        <f>G32</f>
        <v>CLIN 0001 - Basic Period (Year 2)</v>
      </c>
      <c r="H60" s="521"/>
      <c r="I60" s="522"/>
      <c r="J60" s="121"/>
      <c r="K60" s="520" t="str">
        <f>K32</f>
        <v>CLIN 0001 - Basic Period (Year 3)</v>
      </c>
      <c r="L60" s="521"/>
      <c r="M60" s="522"/>
      <c r="N60" s="121"/>
      <c r="O60" s="520" t="str">
        <f>O32</f>
        <v>CLIN 0001 - Basic Period (Year 4)</v>
      </c>
      <c r="P60" s="521"/>
      <c r="Q60" s="522"/>
    </row>
    <row r="61" spans="1:17" x14ac:dyDescent="0.25">
      <c r="A61" s="138"/>
      <c r="B61" s="193"/>
      <c r="C61" s="98" t="s">
        <v>59</v>
      </c>
      <c r="D61" s="99" t="s">
        <v>57</v>
      </c>
      <c r="E61" s="100" t="s">
        <v>89</v>
      </c>
      <c r="F61" s="111"/>
      <c r="G61" s="98" t="str">
        <f>G47</f>
        <v>Base Cost</v>
      </c>
      <c r="H61" s="99" t="str">
        <f>H47</f>
        <v>Rate</v>
      </c>
      <c r="I61" s="100" t="s">
        <v>89</v>
      </c>
      <c r="J61" s="111"/>
      <c r="K61" s="98" t="str">
        <f>K47</f>
        <v>Base Cost</v>
      </c>
      <c r="L61" s="99" t="str">
        <f>L47</f>
        <v>Rate</v>
      </c>
      <c r="M61" s="100" t="s">
        <v>89</v>
      </c>
      <c r="N61" s="111"/>
      <c r="O61" s="98" t="str">
        <f>O47</f>
        <v>Base Cost</v>
      </c>
      <c r="P61" s="99" t="str">
        <f>P47</f>
        <v>Rate</v>
      </c>
      <c r="Q61" s="100" t="s">
        <v>89</v>
      </c>
    </row>
    <row r="62" spans="1:17" ht="26.25" x14ac:dyDescent="0.25">
      <c r="A62" s="138"/>
      <c r="B62" s="240" t="s">
        <v>449</v>
      </c>
      <c r="C62" s="176"/>
      <c r="D62" s="226"/>
      <c r="E62" s="262">
        <f>'SUB CPIF TOTAL ODC'!E16</f>
        <v>0</v>
      </c>
      <c r="F62" s="229"/>
      <c r="G62" s="176"/>
      <c r="H62" s="226"/>
      <c r="I62" s="262">
        <f>'SUB CPIF TOTAL ODC'!G16</f>
        <v>0</v>
      </c>
      <c r="J62" s="229"/>
      <c r="K62" s="176"/>
      <c r="L62" s="226"/>
      <c r="M62" s="310">
        <f>'SUB CPIF TOTAL ODC'!I16</f>
        <v>0</v>
      </c>
      <c r="N62" s="229"/>
      <c r="O62" s="176"/>
      <c r="P62" s="226"/>
      <c r="Q62" s="310">
        <f>'SUB CPIF TOTAL ODC'!K16</f>
        <v>0</v>
      </c>
    </row>
    <row r="63" spans="1:17" ht="66" customHeight="1" x14ac:dyDescent="0.25">
      <c r="A63" s="138"/>
      <c r="B63" s="374" t="s">
        <v>450</v>
      </c>
      <c r="C63" s="314"/>
      <c r="D63" s="314"/>
      <c r="E63" s="313"/>
      <c r="F63" s="229"/>
      <c r="G63" s="315"/>
      <c r="H63" s="314"/>
      <c r="I63" s="313"/>
      <c r="J63" s="229"/>
      <c r="K63" s="315"/>
      <c r="L63" s="314"/>
      <c r="M63" s="310"/>
      <c r="N63" s="229"/>
      <c r="O63" s="315"/>
      <c r="P63" s="314"/>
      <c r="Q63" s="310"/>
    </row>
    <row r="64" spans="1:17" x14ac:dyDescent="0.25">
      <c r="A64" s="138"/>
      <c r="B64" s="112" t="s">
        <v>60</v>
      </c>
      <c r="C64" s="160">
        <f>+E62</f>
        <v>0</v>
      </c>
      <c r="D64" s="188">
        <f>'SUB CPIF RATES (ALL)'!C61</f>
        <v>0</v>
      </c>
      <c r="E64" s="113">
        <f>ROUND(C64*D64,2)</f>
        <v>0</v>
      </c>
      <c r="F64" s="123"/>
      <c r="G64" s="160">
        <f>+I62</f>
        <v>0</v>
      </c>
      <c r="H64" s="188">
        <f>'SUB CPIF RATES (ALL)'!D61</f>
        <v>0</v>
      </c>
      <c r="I64" s="113">
        <f>ROUND(G64*H64,2)</f>
        <v>0</v>
      </c>
      <c r="J64" s="123"/>
      <c r="K64" s="160">
        <f>+M62</f>
        <v>0</v>
      </c>
      <c r="L64" s="188">
        <f>'SUB CPIF RATES (ALL)'!E61</f>
        <v>0</v>
      </c>
      <c r="M64" s="113">
        <f>ROUND(K64*L64,2)</f>
        <v>0</v>
      </c>
      <c r="N64" s="123"/>
      <c r="O64" s="160">
        <f>+Q62</f>
        <v>0</v>
      </c>
      <c r="P64" s="188">
        <f>'SUB CPIF RATES (ALL)'!F61</f>
        <v>0</v>
      </c>
      <c r="Q64" s="113">
        <f>ROUND(O64*P64,2)</f>
        <v>0</v>
      </c>
    </row>
    <row r="65" spans="1:17" x14ac:dyDescent="0.25">
      <c r="A65" s="138"/>
      <c r="B65" s="112" t="s">
        <v>61</v>
      </c>
      <c r="C65" s="160">
        <f>+C64+E64</f>
        <v>0</v>
      </c>
      <c r="D65" s="188">
        <f>'SUB CPIF RATES (ALL)'!C62</f>
        <v>0</v>
      </c>
      <c r="E65" s="113">
        <f>ROUND(C65*D65,2)</f>
        <v>0</v>
      </c>
      <c r="F65" s="123"/>
      <c r="G65" s="160">
        <f>+G64+I64</f>
        <v>0</v>
      </c>
      <c r="H65" s="188">
        <f>'SUB CPIF RATES (ALL)'!D62</f>
        <v>0</v>
      </c>
      <c r="I65" s="113">
        <f>ROUND(G65*H65,2)</f>
        <v>0</v>
      </c>
      <c r="J65" s="123"/>
      <c r="K65" s="160">
        <f>+K64+M64</f>
        <v>0</v>
      </c>
      <c r="L65" s="188">
        <f>'SUB CPIF RATES (ALL)'!E62</f>
        <v>0</v>
      </c>
      <c r="M65" s="113">
        <f>ROUND(K65*L65,2)</f>
        <v>0</v>
      </c>
      <c r="N65" s="123"/>
      <c r="O65" s="160">
        <f>+O64+Q64</f>
        <v>0</v>
      </c>
      <c r="P65" s="188">
        <f>'SUB CPIF RATES (ALL)'!F62</f>
        <v>0</v>
      </c>
      <c r="Q65" s="113">
        <f>ROUND(O65*P65,2)</f>
        <v>0</v>
      </c>
    </row>
    <row r="66" spans="1:17" x14ac:dyDescent="0.25">
      <c r="A66" s="138"/>
      <c r="B66" s="112" t="s">
        <v>411</v>
      </c>
      <c r="C66" s="160">
        <f>C65+E65</f>
        <v>0</v>
      </c>
      <c r="D66" s="188">
        <f>'SUB CPIF RATES (ALL)'!C63</f>
        <v>0</v>
      </c>
      <c r="E66" s="113">
        <f>ROUND(C66*D66,2)</f>
        <v>0</v>
      </c>
      <c r="F66" s="229"/>
      <c r="G66" s="160">
        <f>G65+I65</f>
        <v>0</v>
      </c>
      <c r="H66" s="188">
        <f>'SUB CPIF RATES (ALL)'!D63</f>
        <v>0</v>
      </c>
      <c r="I66" s="113">
        <f>ROUND(G66*H66,2)</f>
        <v>0</v>
      </c>
      <c r="J66" s="229"/>
      <c r="K66" s="160">
        <f>K65+M65</f>
        <v>0</v>
      </c>
      <c r="L66" s="188">
        <f>'SUB CPIF RATES (ALL)'!E63</f>
        <v>0</v>
      </c>
      <c r="M66" s="113">
        <f>ROUND(K66*L66,2)</f>
        <v>0</v>
      </c>
      <c r="N66" s="229"/>
      <c r="O66" s="160">
        <f>O65+Q65</f>
        <v>0</v>
      </c>
      <c r="P66" s="188">
        <f>'SUB CPIF RATES (ALL)'!F63</f>
        <v>0</v>
      </c>
      <c r="Q66" s="113">
        <f>ROUND(O66*P66,2)</f>
        <v>0</v>
      </c>
    </row>
    <row r="67" spans="1:17" x14ac:dyDescent="0.25">
      <c r="A67" s="138"/>
      <c r="B67" s="112" t="s">
        <v>62</v>
      </c>
      <c r="C67" s="160">
        <f>+C65+E65</f>
        <v>0</v>
      </c>
      <c r="D67" s="188">
        <f>'SUB CPIF RATES (ALL)'!C64</f>
        <v>0</v>
      </c>
      <c r="E67" s="113">
        <f>ROUND(C67*D67,2)</f>
        <v>0</v>
      </c>
      <c r="F67" s="229"/>
      <c r="G67" s="160">
        <f>+G65+I65</f>
        <v>0</v>
      </c>
      <c r="H67" s="188">
        <f>'SUB CPIF RATES (ALL)'!D64</f>
        <v>0</v>
      </c>
      <c r="I67" s="113">
        <f>ROUND(G67*H67,2)</f>
        <v>0</v>
      </c>
      <c r="J67" s="229"/>
      <c r="K67" s="306">
        <f>+K65+M65</f>
        <v>0</v>
      </c>
      <c r="L67" s="188">
        <f>'SUB CPIF RATES (ALL)'!E64</f>
        <v>0</v>
      </c>
      <c r="M67" s="113">
        <f>ROUND(K67*L67,2)</f>
        <v>0</v>
      </c>
      <c r="N67" s="229"/>
      <c r="O67" s="306">
        <f>+O65+Q65</f>
        <v>0</v>
      </c>
      <c r="P67" s="188">
        <f>'SUB CPIF RATES (ALL)'!F64</f>
        <v>0</v>
      </c>
      <c r="Q67" s="113">
        <f>ROUND(O67*P67,2)</f>
        <v>0</v>
      </c>
    </row>
    <row r="68" spans="1:17" x14ac:dyDescent="0.25">
      <c r="A68" s="138"/>
      <c r="B68" s="186" t="s">
        <v>187</v>
      </c>
      <c r="C68" s="178"/>
      <c r="D68" s="179"/>
      <c r="E68" s="113">
        <f>ROUND(SUM(E62:E65),2)</f>
        <v>0</v>
      </c>
      <c r="F68" s="229"/>
      <c r="G68" s="178"/>
      <c r="H68" s="179"/>
      <c r="I68" s="113">
        <f>ROUND(SUM(I62:I65),2)</f>
        <v>0</v>
      </c>
      <c r="J68" s="229"/>
      <c r="K68" s="178"/>
      <c r="L68" s="179"/>
      <c r="M68" s="113">
        <f>ROUND(SUM(M62:M65),2)</f>
        <v>0</v>
      </c>
      <c r="N68" s="229"/>
      <c r="O68" s="178"/>
      <c r="P68" s="179"/>
      <c r="Q68" s="113">
        <f>ROUND(SUM(Q62:Q65),2)</f>
        <v>0</v>
      </c>
    </row>
    <row r="69" spans="1:17" x14ac:dyDescent="0.25">
      <c r="A69" s="138"/>
      <c r="B69" s="186" t="s">
        <v>72</v>
      </c>
      <c r="C69" s="176"/>
      <c r="D69" s="180"/>
      <c r="E69" s="113">
        <f>ROUND(E66,2)</f>
        <v>0</v>
      </c>
      <c r="F69" s="229"/>
      <c r="G69" s="176"/>
      <c r="H69" s="180"/>
      <c r="I69" s="113">
        <f>ROUND(I66,2)</f>
        <v>0</v>
      </c>
      <c r="J69" s="229"/>
      <c r="K69" s="176"/>
      <c r="L69" s="180"/>
      <c r="M69" s="113">
        <f>ROUND(M66,2)</f>
        <v>0</v>
      </c>
      <c r="N69" s="229"/>
      <c r="O69" s="176"/>
      <c r="P69" s="180"/>
      <c r="Q69" s="113">
        <f>ROUND(Q66,2)</f>
        <v>0</v>
      </c>
    </row>
    <row r="70" spans="1:17" x14ac:dyDescent="0.2">
      <c r="A70" s="131"/>
      <c r="B70" s="186" t="s">
        <v>71</v>
      </c>
      <c r="C70" s="176"/>
      <c r="D70" s="180"/>
      <c r="E70" s="127">
        <f>ROUND(E67,2)</f>
        <v>0</v>
      </c>
      <c r="F70" s="128"/>
      <c r="G70" s="176"/>
      <c r="H70" s="180"/>
      <c r="I70" s="127">
        <f>ROUND(I67,2)</f>
        <v>0</v>
      </c>
      <c r="J70" s="128"/>
      <c r="K70" s="176"/>
      <c r="L70" s="180"/>
      <c r="M70" s="127">
        <f>ROUND(M67,2)</f>
        <v>0</v>
      </c>
      <c r="N70" s="128"/>
      <c r="O70" s="176"/>
      <c r="P70" s="180"/>
      <c r="Q70" s="127">
        <f>ROUND(Q67,2)</f>
        <v>0</v>
      </c>
    </row>
    <row r="71" spans="1:17" ht="16.5" thickBot="1" x14ac:dyDescent="0.25">
      <c r="A71" s="131"/>
      <c r="B71" s="187" t="s">
        <v>174</v>
      </c>
      <c r="C71" s="181"/>
      <c r="D71" s="182"/>
      <c r="E71" s="105">
        <f>ROUND(SUM(E68:E70),2)</f>
        <v>0</v>
      </c>
      <c r="F71" s="106"/>
      <c r="G71" s="181"/>
      <c r="H71" s="182"/>
      <c r="I71" s="105">
        <f>ROUND(SUM(I68:I70),2)</f>
        <v>0</v>
      </c>
      <c r="J71" s="106"/>
      <c r="K71" s="181"/>
      <c r="L71" s="182"/>
      <c r="M71" s="105">
        <f>ROUND(SUM(M68:M70),2)</f>
        <v>0</v>
      </c>
      <c r="N71" s="106"/>
      <c r="O71" s="181"/>
      <c r="P71" s="182"/>
      <c r="Q71" s="105">
        <f>ROUND(SUM(Q68:Q70),2)</f>
        <v>0</v>
      </c>
    </row>
    <row r="72" spans="1:17" ht="16.5" thickBot="1" x14ac:dyDescent="0.25">
      <c r="A72" s="131"/>
      <c r="B72" s="117"/>
      <c r="F72" s="194"/>
      <c r="G72" s="194"/>
      <c r="H72" s="194"/>
      <c r="I72" s="194"/>
      <c r="J72" s="194"/>
      <c r="K72" s="194"/>
      <c r="N72" s="132"/>
      <c r="O72" s="194"/>
    </row>
    <row r="73" spans="1:17" ht="16.5" thickBot="1" x14ac:dyDescent="0.3">
      <c r="A73" s="131"/>
      <c r="B73" s="531" t="str">
        <f>B59</f>
        <v>CLIN 0001 (CPIF)                                                    TASK 1.04 MATERIAL - DEVELOPMENT KITS (COTS AND DEVELOPMENTAL)</v>
      </c>
      <c r="C73" s="517" t="s">
        <v>213</v>
      </c>
      <c r="D73" s="518"/>
      <c r="E73" s="519"/>
      <c r="F73" s="120"/>
      <c r="G73" s="517" t="s">
        <v>213</v>
      </c>
      <c r="H73" s="518"/>
      <c r="I73" s="519"/>
      <c r="J73" s="120"/>
      <c r="K73" s="517" t="s">
        <v>213</v>
      </c>
      <c r="L73" s="518"/>
      <c r="M73" s="519"/>
      <c r="N73" s="120"/>
      <c r="O73" s="517" t="s">
        <v>213</v>
      </c>
      <c r="P73" s="518"/>
      <c r="Q73" s="519"/>
    </row>
    <row r="74" spans="1:17" ht="36" customHeight="1" thickBot="1" x14ac:dyDescent="0.3">
      <c r="A74" s="131"/>
      <c r="B74" s="532"/>
      <c r="C74" s="221"/>
      <c r="D74" s="222"/>
      <c r="E74" s="133" t="s">
        <v>200</v>
      </c>
      <c r="F74" s="134"/>
      <c r="G74" s="221"/>
      <c r="H74" s="222"/>
      <c r="I74" s="133" t="s">
        <v>201</v>
      </c>
      <c r="J74" s="134"/>
      <c r="K74" s="221"/>
      <c r="L74" s="222"/>
      <c r="M74" s="133" t="s">
        <v>203</v>
      </c>
      <c r="N74" s="134"/>
      <c r="O74" s="221"/>
      <c r="P74" s="222"/>
      <c r="Q74" s="133" t="s">
        <v>202</v>
      </c>
    </row>
    <row r="75" spans="1:17" x14ac:dyDescent="0.2">
      <c r="A75" s="131"/>
      <c r="B75" s="112" t="s">
        <v>188</v>
      </c>
      <c r="C75" s="223"/>
      <c r="D75" s="223"/>
      <c r="E75" s="135">
        <f>+ROUND(E26+E40+E54+E68,2)</f>
        <v>0</v>
      </c>
      <c r="F75" s="110"/>
      <c r="G75" s="223"/>
      <c r="H75" s="223"/>
      <c r="I75" s="135">
        <f>+ROUND(I26+I40+I54+I68,2)</f>
        <v>0</v>
      </c>
      <c r="J75" s="110"/>
      <c r="K75" s="223"/>
      <c r="L75" s="223"/>
      <c r="M75" s="135">
        <f>+ROUND(M26+M40+M54+M68,2)</f>
        <v>0</v>
      </c>
      <c r="N75" s="110"/>
      <c r="O75" s="223"/>
      <c r="P75" s="223"/>
      <c r="Q75" s="135">
        <f>+ROUND(Q26+Q40+Q54+Q68,2)</f>
        <v>0</v>
      </c>
    </row>
    <row r="76" spans="1:17" x14ac:dyDescent="0.2">
      <c r="A76" s="131"/>
      <c r="B76" s="112" t="s">
        <v>72</v>
      </c>
      <c r="C76" s="223"/>
      <c r="D76" s="223"/>
      <c r="E76" s="113">
        <f>+ROUND(E27+E41+E55+E69,2)</f>
        <v>0</v>
      </c>
      <c r="F76" s="110"/>
      <c r="G76" s="223"/>
      <c r="H76" s="223"/>
      <c r="I76" s="113">
        <f>+ROUND(I27+I41+I55+I69,2)</f>
        <v>0</v>
      </c>
      <c r="J76" s="110"/>
      <c r="K76" s="223"/>
      <c r="L76" s="223"/>
      <c r="M76" s="113">
        <f>+ROUND(M27+M41+M55+M69,2)</f>
        <v>0</v>
      </c>
      <c r="N76" s="110"/>
      <c r="O76" s="223"/>
      <c r="P76" s="223"/>
      <c r="Q76" s="113">
        <f>+ROUND(Q27+Q41+Q55+Q69,2)</f>
        <v>0</v>
      </c>
    </row>
    <row r="77" spans="1:17" x14ac:dyDescent="0.2">
      <c r="A77" s="131"/>
      <c r="B77" s="112" t="s">
        <v>71</v>
      </c>
      <c r="C77" s="223"/>
      <c r="D77" s="223"/>
      <c r="E77" s="114">
        <f>+ROUND(E28+E42+E56+E70,2)</f>
        <v>0</v>
      </c>
      <c r="F77" s="115"/>
      <c r="G77" s="223"/>
      <c r="H77" s="223"/>
      <c r="I77" s="114">
        <f>+ROUND(I28+I42+I56+I70,2)</f>
        <v>0</v>
      </c>
      <c r="J77" s="115"/>
      <c r="K77" s="223"/>
      <c r="L77" s="223"/>
      <c r="M77" s="114">
        <f>+ROUND(M28+M42+M56+M70,2)</f>
        <v>0</v>
      </c>
      <c r="N77" s="115"/>
      <c r="O77" s="223"/>
      <c r="P77" s="223"/>
      <c r="Q77" s="114">
        <f>+ROUND(Q28+Q42+Q56+Q70,2)</f>
        <v>0</v>
      </c>
    </row>
    <row r="78" spans="1:17" ht="32.25" thickBot="1" x14ac:dyDescent="0.3">
      <c r="A78" s="131"/>
      <c r="B78" s="209" t="s">
        <v>340</v>
      </c>
      <c r="C78" s="224"/>
      <c r="D78" s="224"/>
      <c r="E78" s="208">
        <f>SUM(E75:E77)</f>
        <v>0</v>
      </c>
      <c r="F78" s="116"/>
      <c r="G78" s="224"/>
      <c r="H78" s="224"/>
      <c r="I78" s="208">
        <f>SUM(I75:I77)</f>
        <v>0</v>
      </c>
      <c r="J78" s="116"/>
      <c r="K78" s="224"/>
      <c r="L78" s="224"/>
      <c r="M78" s="208">
        <f>SUM(M75:M77)</f>
        <v>0</v>
      </c>
      <c r="N78" s="116"/>
      <c r="O78" s="224"/>
      <c r="P78" s="224"/>
      <c r="Q78" s="208">
        <f>SUM(Q75:Q77)</f>
        <v>0</v>
      </c>
    </row>
    <row r="79" spans="1:17" ht="16.5" thickBot="1" x14ac:dyDescent="0.3"/>
    <row r="80" spans="1:17" ht="31.5" x14ac:dyDescent="0.25">
      <c r="Q80" s="323" t="s">
        <v>341</v>
      </c>
    </row>
    <row r="81" spans="17:17" ht="16.5" thickBot="1" x14ac:dyDescent="0.3">
      <c r="Q81" s="322">
        <f>E78+I78+M78+Q78</f>
        <v>0</v>
      </c>
    </row>
  </sheetData>
  <mergeCells count="46">
    <mergeCell ref="C49:E49"/>
    <mergeCell ref="G49:I49"/>
    <mergeCell ref="K49:M49"/>
    <mergeCell ref="O49:Q49"/>
    <mergeCell ref="B45:B46"/>
    <mergeCell ref="C45:E45"/>
    <mergeCell ref="G45:I45"/>
    <mergeCell ref="K45:M45"/>
    <mergeCell ref="O45:Q45"/>
    <mergeCell ref="C46:E46"/>
    <mergeCell ref="G46:I46"/>
    <mergeCell ref="K46:M46"/>
    <mergeCell ref="O46:Q46"/>
    <mergeCell ref="A4:C4"/>
    <mergeCell ref="B14:B15"/>
    <mergeCell ref="C14:E14"/>
    <mergeCell ref="G14:I14"/>
    <mergeCell ref="K14:M14"/>
    <mergeCell ref="C15:E15"/>
    <mergeCell ref="G15:I15"/>
    <mergeCell ref="K15:M15"/>
    <mergeCell ref="B31:B32"/>
    <mergeCell ref="C31:E31"/>
    <mergeCell ref="G31:I31"/>
    <mergeCell ref="K31:M31"/>
    <mergeCell ref="C32:E32"/>
    <mergeCell ref="G32:I32"/>
    <mergeCell ref="K32:M32"/>
    <mergeCell ref="C60:E60"/>
    <mergeCell ref="G60:I60"/>
    <mergeCell ref="K60:M60"/>
    <mergeCell ref="B73:B74"/>
    <mergeCell ref="C73:E73"/>
    <mergeCell ref="G73:I73"/>
    <mergeCell ref="K73:M73"/>
    <mergeCell ref="B59:B60"/>
    <mergeCell ref="C59:E59"/>
    <mergeCell ref="G59:I59"/>
    <mergeCell ref="K59:M59"/>
    <mergeCell ref="O60:Q60"/>
    <mergeCell ref="O73:Q73"/>
    <mergeCell ref="O14:Q14"/>
    <mergeCell ref="O15:Q15"/>
    <mergeCell ref="O31:Q31"/>
    <mergeCell ref="O32:Q32"/>
    <mergeCell ref="O59:Q59"/>
  </mergeCells>
  <pageMargins left="0.7" right="0.7" top="0.75" bottom="0.75" header="0.3" footer="0.3"/>
  <pageSetup orientation="portrait" horizontalDpi="1200" verticalDpi="120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E112E-C420-425F-94F0-009D693F5DEE}">
  <sheetPr>
    <tabColor theme="0"/>
  </sheetPr>
  <dimension ref="A1:Q81"/>
  <sheetViews>
    <sheetView zoomScale="80" zoomScaleNormal="80" workbookViewId="0">
      <pane ySplit="12" topLeftCell="A70" activePane="bottomLeft" state="frozen"/>
      <selection pane="bottomLeft" activeCell="P66" sqref="P66"/>
    </sheetView>
  </sheetViews>
  <sheetFormatPr defaultColWidth="15.85546875" defaultRowHeight="15.75" x14ac:dyDescent="0.25"/>
  <cols>
    <col min="1" max="1" width="3.42578125" style="136" customWidth="1"/>
    <col min="2" max="2" width="49.140625" style="119" customWidth="1"/>
    <col min="3" max="3" width="18.28515625" style="131" bestFit="1" customWidth="1"/>
    <col min="4" max="4" width="12.42578125" style="131" bestFit="1" customWidth="1"/>
    <col min="5" max="5" width="32.140625" style="131" bestFit="1" customWidth="1"/>
    <col min="6" max="6" width="1" style="131" customWidth="1"/>
    <col min="7" max="7" width="14.28515625" style="131" customWidth="1"/>
    <col min="8" max="8" width="14.5703125" style="131" customWidth="1"/>
    <col min="9" max="9" width="33.28515625" style="131" customWidth="1"/>
    <col min="10" max="10" width="1" style="131" customWidth="1"/>
    <col min="11" max="11" width="16.7109375" style="131" customWidth="1"/>
    <col min="12" max="12" width="16.28515625" style="131" customWidth="1"/>
    <col min="13" max="13" width="34.42578125" style="131" bestFit="1" customWidth="1"/>
    <col min="14" max="14" width="0.85546875" style="131" customWidth="1"/>
    <col min="15" max="16" width="15.85546875" style="131"/>
    <col min="17" max="17" width="34" style="131" bestFit="1" customWidth="1"/>
    <col min="18" max="16384" width="15.85546875" style="131"/>
  </cols>
  <sheetData>
    <row r="1" spans="1:17" ht="16.5" thickBot="1" x14ac:dyDescent="0.3">
      <c r="B1" s="321" t="s">
        <v>460</v>
      </c>
      <c r="C1" s="394" t="str">
        <f>'SUB CPIF RATES (ALL)'!C1</f>
        <v xml:space="preserve">NAME </v>
      </c>
      <c r="D1" s="393"/>
    </row>
    <row r="2" spans="1:17" ht="16.5" thickBot="1" x14ac:dyDescent="0.3">
      <c r="B2" s="395" t="s">
        <v>459</v>
      </c>
      <c r="C2" s="396" t="str">
        <f>'SUB CPIF RATES (ALL)'!C2</f>
        <v xml:space="preserve">NAME </v>
      </c>
    </row>
    <row r="3" spans="1:17" ht="16.5" thickBot="1" x14ac:dyDescent="0.3"/>
    <row r="4" spans="1:17" ht="52.5" customHeight="1" thickBot="1" x14ac:dyDescent="0.3">
      <c r="A4" s="466" t="s">
        <v>209</v>
      </c>
      <c r="B4" s="467"/>
      <c r="C4" s="468"/>
      <c r="I4" s="194" t="s">
        <v>84</v>
      </c>
    </row>
    <row r="6" spans="1:17" s="202" customFormat="1" ht="17.25" customHeight="1" x14ac:dyDescent="0.2">
      <c r="A6" s="203"/>
      <c r="B6" s="204" t="s">
        <v>65</v>
      </c>
    </row>
    <row r="7" spans="1:17" s="202" customFormat="1" x14ac:dyDescent="0.25">
      <c r="A7" s="201"/>
      <c r="B7" s="201" t="s">
        <v>441</v>
      </c>
    </row>
    <row r="8" spans="1:17" s="202" customFormat="1" x14ac:dyDescent="0.25">
      <c r="A8" s="201"/>
      <c r="B8" s="201" t="s">
        <v>281</v>
      </c>
    </row>
    <row r="9" spans="1:17" s="202" customFormat="1" x14ac:dyDescent="0.25">
      <c r="A9" s="201"/>
      <c r="B9" s="201" t="s">
        <v>442</v>
      </c>
    </row>
    <row r="10" spans="1:17" s="202" customFormat="1" x14ac:dyDescent="0.25">
      <c r="A10" s="201"/>
      <c r="B10" s="201" t="s">
        <v>463</v>
      </c>
    </row>
    <row r="11" spans="1:17" x14ac:dyDescent="0.25">
      <c r="A11" s="137"/>
      <c r="B11" s="201" t="s">
        <v>464</v>
      </c>
      <c r="C11" s="139"/>
    </row>
    <row r="12" spans="1:17" x14ac:dyDescent="0.25">
      <c r="A12" s="137"/>
      <c r="B12" s="201" t="s">
        <v>342</v>
      </c>
      <c r="C12" s="139"/>
    </row>
    <row r="13" spans="1:17" ht="16.5" thickBot="1" x14ac:dyDescent="0.3"/>
    <row r="14" spans="1:17" ht="16.5" thickBot="1" x14ac:dyDescent="0.3">
      <c r="A14" s="138"/>
      <c r="B14" s="523" t="s">
        <v>343</v>
      </c>
      <c r="C14" s="490" t="s">
        <v>69</v>
      </c>
      <c r="D14" s="491"/>
      <c r="E14" s="492"/>
      <c r="F14" s="96"/>
      <c r="G14" s="490" t="s">
        <v>69</v>
      </c>
      <c r="H14" s="491"/>
      <c r="I14" s="492"/>
      <c r="J14" s="96"/>
      <c r="K14" s="490" t="s">
        <v>69</v>
      </c>
      <c r="L14" s="491"/>
      <c r="M14" s="492"/>
      <c r="N14" s="96"/>
      <c r="O14" s="490" t="s">
        <v>69</v>
      </c>
      <c r="P14" s="491"/>
      <c r="Q14" s="492"/>
    </row>
    <row r="15" spans="1:17" ht="32.25" customHeight="1" thickBot="1" x14ac:dyDescent="0.3">
      <c r="A15" s="138"/>
      <c r="B15" s="524"/>
      <c r="C15" s="520" t="s">
        <v>205</v>
      </c>
      <c r="D15" s="521"/>
      <c r="E15" s="522"/>
      <c r="F15" s="97"/>
      <c r="G15" s="520" t="s">
        <v>206</v>
      </c>
      <c r="H15" s="521"/>
      <c r="I15" s="522"/>
      <c r="J15" s="97"/>
      <c r="K15" s="520" t="s">
        <v>207</v>
      </c>
      <c r="L15" s="521"/>
      <c r="M15" s="522"/>
      <c r="N15" s="97"/>
      <c r="O15" s="520" t="s">
        <v>208</v>
      </c>
      <c r="P15" s="521"/>
      <c r="Q15" s="522"/>
    </row>
    <row r="16" spans="1:17" x14ac:dyDescent="0.25">
      <c r="A16" s="138"/>
      <c r="B16" s="98" t="s">
        <v>46</v>
      </c>
      <c r="C16" s="98" t="s">
        <v>29</v>
      </c>
      <c r="D16" s="99" t="s">
        <v>68</v>
      </c>
      <c r="E16" s="100" t="s">
        <v>74</v>
      </c>
      <c r="F16" s="101"/>
      <c r="G16" s="98" t="s">
        <v>29</v>
      </c>
      <c r="H16" s="99" t="s">
        <v>68</v>
      </c>
      <c r="I16" s="100" t="s">
        <v>74</v>
      </c>
      <c r="J16" s="101"/>
      <c r="K16" s="98" t="s">
        <v>29</v>
      </c>
      <c r="L16" s="99" t="s">
        <v>68</v>
      </c>
      <c r="M16" s="100" t="s">
        <v>74</v>
      </c>
      <c r="N16" s="101"/>
      <c r="O16" s="98" t="s">
        <v>29</v>
      </c>
      <c r="P16" s="99" t="s">
        <v>68</v>
      </c>
      <c r="Q16" s="100" t="s">
        <v>74</v>
      </c>
    </row>
    <row r="17" spans="1:17" ht="30" customHeight="1" thickBot="1" x14ac:dyDescent="0.3">
      <c r="A17" s="138"/>
      <c r="B17" s="148" t="s">
        <v>443</v>
      </c>
      <c r="C17" s="230"/>
      <c r="D17" s="231"/>
      <c r="E17" s="232"/>
      <c r="F17" s="101"/>
      <c r="G17" s="230"/>
      <c r="H17" s="231"/>
      <c r="I17" s="232"/>
      <c r="J17" s="101"/>
      <c r="K17" s="230"/>
      <c r="L17" s="231"/>
      <c r="M17" s="232"/>
      <c r="N17" s="101"/>
      <c r="O17" s="230"/>
      <c r="P17" s="231"/>
      <c r="Q17" s="232"/>
    </row>
    <row r="18" spans="1:17" ht="16.5" thickBot="1" x14ac:dyDescent="0.3">
      <c r="A18" s="138"/>
      <c r="B18" s="239" t="s">
        <v>87</v>
      </c>
      <c r="C18" s="108">
        <f>'SUB CPIF LABOR INPUTS'!D113</f>
        <v>0</v>
      </c>
      <c r="D18" s="150"/>
      <c r="E18" s="109">
        <f>'SUB CPIF LABOR INPUTS'!F113</f>
        <v>0</v>
      </c>
      <c r="F18" s="110"/>
      <c r="G18" s="108">
        <f>'SUB CPIF LABOR INPUTS'!H113</f>
        <v>0</v>
      </c>
      <c r="H18" s="150"/>
      <c r="I18" s="109">
        <f>'SUB CPIF LABOR INPUTS'!J113</f>
        <v>0</v>
      </c>
      <c r="J18" s="110"/>
      <c r="K18" s="108">
        <f>'SUB CPIF LABOR INPUTS'!L113</f>
        <v>0</v>
      </c>
      <c r="L18" s="150"/>
      <c r="M18" s="109">
        <f>'SUB CPIF LABOR INPUTS'!N113</f>
        <v>0</v>
      </c>
      <c r="N18" s="110"/>
      <c r="O18" s="108">
        <f>'SUB CPIF LABOR INPUTS'!P113</f>
        <v>0</v>
      </c>
      <c r="P18" s="150"/>
      <c r="Q18" s="109">
        <f>'SUB CPIF LABOR INPUTS'!R113</f>
        <v>0</v>
      </c>
    </row>
    <row r="19" spans="1:17" x14ac:dyDescent="0.25">
      <c r="A19" s="138"/>
      <c r="B19" s="149"/>
      <c r="C19" s="98" t="s">
        <v>289</v>
      </c>
      <c r="D19" s="99" t="s">
        <v>286</v>
      </c>
      <c r="E19" s="100" t="s">
        <v>288</v>
      </c>
      <c r="F19" s="111"/>
      <c r="G19" s="98" t="s">
        <v>289</v>
      </c>
      <c r="H19" s="99" t="s">
        <v>286</v>
      </c>
      <c r="I19" s="100" t="s">
        <v>288</v>
      </c>
      <c r="J19" s="111"/>
      <c r="K19" s="98" t="s">
        <v>289</v>
      </c>
      <c r="L19" s="99" t="s">
        <v>286</v>
      </c>
      <c r="M19" s="100" t="s">
        <v>288</v>
      </c>
      <c r="N19" s="111"/>
      <c r="O19" s="98" t="s">
        <v>289</v>
      </c>
      <c r="P19" s="99" t="s">
        <v>286</v>
      </c>
      <c r="Q19" s="100" t="s">
        <v>288</v>
      </c>
    </row>
    <row r="20" spans="1:17" ht="39" customHeight="1" x14ac:dyDescent="0.25">
      <c r="A20" s="138"/>
      <c r="B20" s="261" t="s">
        <v>279</v>
      </c>
      <c r="C20" s="230"/>
      <c r="D20" s="231"/>
      <c r="E20" s="232"/>
      <c r="F20" s="147"/>
      <c r="G20" s="230"/>
      <c r="H20" s="231"/>
      <c r="I20" s="232"/>
      <c r="J20" s="147"/>
      <c r="K20" s="230"/>
      <c r="L20" s="231"/>
      <c r="M20" s="232"/>
      <c r="N20" s="147"/>
      <c r="O20" s="230"/>
      <c r="P20" s="231"/>
      <c r="Q20" s="232"/>
    </row>
    <row r="21" spans="1:17" x14ac:dyDescent="0.25">
      <c r="A21" s="138"/>
      <c r="B21" s="112" t="str">
        <f>'SUB CPIF RATES (ALL)'!B36</f>
        <v>Indirect Labor Category:  [Labor Fringe]</v>
      </c>
      <c r="C21" s="160">
        <f>+E18</f>
        <v>0</v>
      </c>
      <c r="D21" s="188">
        <f>'SUB CPIF RATES (ALL)'!C36</f>
        <v>0</v>
      </c>
      <c r="E21" s="113">
        <f>ROUND(C21*D21,2)</f>
        <v>0</v>
      </c>
      <c r="F21" s="110"/>
      <c r="G21" s="160">
        <f>+I18</f>
        <v>0</v>
      </c>
      <c r="H21" s="188">
        <f>'SUB CPIF RATES (ALL)'!D36</f>
        <v>0</v>
      </c>
      <c r="I21" s="113">
        <f>ROUND(G21*H21,2)</f>
        <v>0</v>
      </c>
      <c r="J21" s="110"/>
      <c r="K21" s="160">
        <f>+M18</f>
        <v>0</v>
      </c>
      <c r="L21" s="188">
        <f>'SUB CPIF RATES (ALL)'!E36</f>
        <v>0</v>
      </c>
      <c r="M21" s="113">
        <f>ROUND(K21*L21,2)</f>
        <v>0</v>
      </c>
      <c r="N21" s="110"/>
      <c r="O21" s="160">
        <f>+Q18</f>
        <v>0</v>
      </c>
      <c r="P21" s="188">
        <f>'SUB CPIF RATES (ALL)'!F36</f>
        <v>0</v>
      </c>
      <c r="Q21" s="113">
        <f>ROUND(O21*P21,2)</f>
        <v>0</v>
      </c>
    </row>
    <row r="22" spans="1:17" x14ac:dyDescent="0.25">
      <c r="A22" s="138"/>
      <c r="B22" s="112" t="str">
        <f>'SUB CPIF RATES (ALL)'!B37</f>
        <v>Indirect Labor Category: [Labor Overhead]</v>
      </c>
      <c r="C22" s="160">
        <f>+C21+E21</f>
        <v>0</v>
      </c>
      <c r="D22" s="188">
        <f>'SUB CPIF RATES (ALL)'!C37</f>
        <v>0</v>
      </c>
      <c r="E22" s="113">
        <f>ROUND(C22*D22,2)</f>
        <v>0</v>
      </c>
      <c r="F22" s="110"/>
      <c r="G22" s="160">
        <f>+G21+I21</f>
        <v>0</v>
      </c>
      <c r="H22" s="188">
        <f>'SUB CPIF RATES (ALL)'!D37</f>
        <v>0</v>
      </c>
      <c r="I22" s="113">
        <f>ROUND(G22*H22,2)</f>
        <v>0</v>
      </c>
      <c r="J22" s="110"/>
      <c r="K22" s="160">
        <f>+K21+M21</f>
        <v>0</v>
      </c>
      <c r="L22" s="188">
        <f>'SUB CPIF RATES (ALL)'!E37</f>
        <v>0</v>
      </c>
      <c r="M22" s="113">
        <f>ROUND(K22*L22,2)</f>
        <v>0</v>
      </c>
      <c r="N22" s="110"/>
      <c r="O22" s="160">
        <f>+O21+Q21</f>
        <v>0</v>
      </c>
      <c r="P22" s="188">
        <f>'SUB CPIF RATES (ALL)'!F37</f>
        <v>0</v>
      </c>
      <c r="Q22" s="113">
        <f>ROUND(O22*P22,2)</f>
        <v>0</v>
      </c>
    </row>
    <row r="23" spans="1:17" x14ac:dyDescent="0.25">
      <c r="A23" s="138"/>
      <c r="B23" s="112" t="str">
        <f>'SUB CPIF RATES (ALL)'!B38</f>
        <v>Indirect Labor Category: [G&amp;A]</v>
      </c>
      <c r="C23" s="160">
        <f>+C22+E22</f>
        <v>0</v>
      </c>
      <c r="D23" s="188">
        <f>'SUB CPIF RATES (ALL)'!C38</f>
        <v>0</v>
      </c>
      <c r="E23" s="113">
        <f>ROUND(C23*D23,2)</f>
        <v>0</v>
      </c>
      <c r="F23" s="110"/>
      <c r="G23" s="160">
        <f>+G22+I22</f>
        <v>0</v>
      </c>
      <c r="H23" s="188">
        <f>'SUB CPIF RATES (ALL)'!D38</f>
        <v>0</v>
      </c>
      <c r="I23" s="113">
        <f>ROUND(G23*H23,2)</f>
        <v>0</v>
      </c>
      <c r="J23" s="110"/>
      <c r="K23" s="160">
        <f>+K22+M22</f>
        <v>0</v>
      </c>
      <c r="L23" s="188">
        <f>'SUB CPIF RATES (ALL)'!E38</f>
        <v>0</v>
      </c>
      <c r="M23" s="113">
        <f>ROUND(K23*L23,2)</f>
        <v>0</v>
      </c>
      <c r="N23" s="110"/>
      <c r="O23" s="160">
        <f>+O22+Q22</f>
        <v>0</v>
      </c>
      <c r="P23" s="188">
        <f>'SUB CPIF RATES (ALL)'!F38</f>
        <v>0</v>
      </c>
      <c r="Q23" s="113">
        <f>ROUND(O23*P23,2)</f>
        <v>0</v>
      </c>
    </row>
    <row r="24" spans="1:17" x14ac:dyDescent="0.25">
      <c r="A24" s="138"/>
      <c r="B24" s="112" t="str">
        <f>'SUB CPIF RATES (ALL)'!B39</f>
        <v>Indirect Labor Category: [FCCOM]</v>
      </c>
      <c r="C24" s="160">
        <f>C23+E23</f>
        <v>0</v>
      </c>
      <c r="D24" s="188">
        <f>'SUB CPIF RATES (ALL)'!C39</f>
        <v>0</v>
      </c>
      <c r="E24" s="113">
        <f>ROUND(C24*D24,2)</f>
        <v>0</v>
      </c>
      <c r="F24" s="110"/>
      <c r="G24" s="160">
        <f>G23+I23</f>
        <v>0</v>
      </c>
      <c r="H24" s="188">
        <f>'SUB CPIF RATES (ALL)'!D39</f>
        <v>0</v>
      </c>
      <c r="I24" s="113">
        <f>ROUND(G24*H24,2)</f>
        <v>0</v>
      </c>
      <c r="J24" s="110"/>
      <c r="K24" s="160">
        <f>K23+M23</f>
        <v>0</v>
      </c>
      <c r="L24" s="188">
        <f>'SUB CPIF RATES (ALL)'!E39</f>
        <v>0</v>
      </c>
      <c r="M24" s="113">
        <f>ROUND(K24*L24,2)</f>
        <v>0</v>
      </c>
      <c r="N24" s="110"/>
      <c r="O24" s="160">
        <f>O23+Q23</f>
        <v>0</v>
      </c>
      <c r="P24" s="188">
        <f>'SUB CPIF RATES (ALL)'!F39</f>
        <v>0</v>
      </c>
      <c r="Q24" s="113">
        <f>ROUND(O24*P24,2)</f>
        <v>0</v>
      </c>
    </row>
    <row r="25" spans="1:17" x14ac:dyDescent="0.25">
      <c r="A25" s="138"/>
      <c r="B25" s="112" t="str">
        <f>'SUB CPIF RATES (ALL)'!B40</f>
        <v>Indirect Labor Category: [Target Fee]</v>
      </c>
      <c r="C25" s="160">
        <f>+C23+E23</f>
        <v>0</v>
      </c>
      <c r="D25" s="188">
        <f>'SUB CPIF RATES (ALL)'!C40</f>
        <v>0</v>
      </c>
      <c r="E25" s="113">
        <f>ROUND(C25*D25,2)</f>
        <v>0</v>
      </c>
      <c r="F25" s="110"/>
      <c r="G25" s="160">
        <f>+G23+I23</f>
        <v>0</v>
      </c>
      <c r="H25" s="188">
        <f>'SUB CPIF RATES (ALL)'!D40</f>
        <v>0</v>
      </c>
      <c r="I25" s="113">
        <f>ROUND(G25*H25,2)</f>
        <v>0</v>
      </c>
      <c r="J25" s="110"/>
      <c r="K25" s="160">
        <f>+K23+M23</f>
        <v>0</v>
      </c>
      <c r="L25" s="188">
        <f>'SUB CPIF RATES (ALL)'!E40</f>
        <v>0</v>
      </c>
      <c r="M25" s="113">
        <f>ROUND(K25*L25,2)</f>
        <v>0</v>
      </c>
      <c r="N25" s="110"/>
      <c r="O25" s="160">
        <f>+O23+Q23</f>
        <v>0</v>
      </c>
      <c r="P25" s="188">
        <f>'SUB CPIF RATES (ALL)'!F40</f>
        <v>0</v>
      </c>
      <c r="Q25" s="113">
        <f>ROUND(O25*P25,2)</f>
        <v>0</v>
      </c>
    </row>
    <row r="26" spans="1:17" x14ac:dyDescent="0.25">
      <c r="A26" s="138"/>
      <c r="B26" s="205" t="s">
        <v>185</v>
      </c>
      <c r="C26" s="155"/>
      <c r="D26" s="156"/>
      <c r="E26" s="175">
        <f>ROUND(SUM(E18,E21,E22,E23),2)</f>
        <v>0</v>
      </c>
      <c r="F26" s="110"/>
      <c r="G26" s="151"/>
      <c r="H26" s="152"/>
      <c r="I26" s="175">
        <f>ROUND(SUM(I18,I21,I22,I23),2)</f>
        <v>0</v>
      </c>
      <c r="J26" s="110"/>
      <c r="K26" s="151"/>
      <c r="L26" s="152"/>
      <c r="M26" s="175">
        <f>ROUND(SUM(M18,M21,M22,M23),2)</f>
        <v>0</v>
      </c>
      <c r="N26" s="110"/>
      <c r="O26" s="151"/>
      <c r="P26" s="152"/>
      <c r="Q26" s="175">
        <f>ROUND(SUM(Q18,Q21,Q22,Q23),2)</f>
        <v>0</v>
      </c>
    </row>
    <row r="27" spans="1:17" x14ac:dyDescent="0.25">
      <c r="A27" s="138"/>
      <c r="B27" s="205" t="s">
        <v>72</v>
      </c>
      <c r="C27" s="155"/>
      <c r="D27" s="156"/>
      <c r="E27" s="175">
        <f>ROUND(E24,2)</f>
        <v>0</v>
      </c>
      <c r="F27" s="110"/>
      <c r="G27" s="151"/>
      <c r="H27" s="152"/>
      <c r="I27" s="175">
        <f>ROUND(I24,2)</f>
        <v>0</v>
      </c>
      <c r="J27" s="110"/>
      <c r="K27" s="151"/>
      <c r="L27" s="152"/>
      <c r="M27" s="175">
        <f>ROUND(M24,2)</f>
        <v>0</v>
      </c>
      <c r="N27" s="110"/>
      <c r="O27" s="151"/>
      <c r="P27" s="152"/>
      <c r="Q27" s="175">
        <f>ROUND(Q24,2)</f>
        <v>0</v>
      </c>
    </row>
    <row r="28" spans="1:17" x14ac:dyDescent="0.25">
      <c r="A28" s="138"/>
      <c r="B28" s="205" t="s">
        <v>71</v>
      </c>
      <c r="C28" s="155"/>
      <c r="D28" s="156"/>
      <c r="E28" s="190">
        <f>ROUND(E25,2)</f>
        <v>0</v>
      </c>
      <c r="F28" s="115"/>
      <c r="G28" s="151"/>
      <c r="H28" s="152"/>
      <c r="I28" s="190">
        <f>ROUND(I25,2)</f>
        <v>0</v>
      </c>
      <c r="J28" s="115"/>
      <c r="K28" s="151"/>
      <c r="L28" s="152"/>
      <c r="M28" s="190">
        <f>ROUND(M25,2)</f>
        <v>0</v>
      </c>
      <c r="N28" s="115"/>
      <c r="O28" s="151"/>
      <c r="P28" s="152"/>
      <c r="Q28" s="190">
        <f>ROUND(Q25,2)</f>
        <v>0</v>
      </c>
    </row>
    <row r="29" spans="1:17" ht="16.5" thickBot="1" x14ac:dyDescent="0.3">
      <c r="A29" s="138"/>
      <c r="B29" s="206" t="s">
        <v>73</v>
      </c>
      <c r="C29" s="157"/>
      <c r="D29" s="158"/>
      <c r="E29" s="191">
        <f>ROUND(SUM(E26:E28),2)</f>
        <v>0</v>
      </c>
      <c r="F29" s="116"/>
      <c r="G29" s="153"/>
      <c r="H29" s="154"/>
      <c r="I29" s="191">
        <f>ROUND(SUM(I26:I28),2)</f>
        <v>0</v>
      </c>
      <c r="J29" s="116"/>
      <c r="K29" s="153"/>
      <c r="L29" s="154"/>
      <c r="M29" s="191">
        <f>ROUND(SUM(M26:M28),2)</f>
        <v>0</v>
      </c>
      <c r="N29" s="116"/>
      <c r="O29" s="153"/>
      <c r="P29" s="154"/>
      <c r="Q29" s="191">
        <f>ROUND(SUM(Q26:Q28),2)</f>
        <v>0</v>
      </c>
    </row>
    <row r="30" spans="1:17" ht="16.5" thickBot="1" x14ac:dyDescent="0.3">
      <c r="A30" s="138"/>
      <c r="B30" s="117"/>
      <c r="C30" s="118"/>
      <c r="D30" s="118"/>
      <c r="E30" s="199"/>
      <c r="F30" s="199"/>
      <c r="G30" s="199"/>
      <c r="H30" s="199"/>
      <c r="I30" s="199"/>
      <c r="J30" s="199"/>
      <c r="K30" s="199"/>
      <c r="L30" s="118"/>
      <c r="M30" s="118"/>
      <c r="N30" s="110"/>
      <c r="O30" s="199"/>
      <c r="P30" s="118"/>
      <c r="Q30" s="118"/>
    </row>
    <row r="31" spans="1:17" ht="16.5" customHeight="1" thickBot="1" x14ac:dyDescent="0.3">
      <c r="A31" s="138"/>
      <c r="B31" s="523" t="str">
        <f>B14</f>
        <v>CLIN 0001 (CPIF)                                                    TASK 1.05 PROTOTYPE SUPPORT, INSTALLATION, AND CHECKOUT</v>
      </c>
      <c r="C31" s="490" t="s">
        <v>80</v>
      </c>
      <c r="D31" s="491"/>
      <c r="E31" s="492"/>
      <c r="F31" s="120"/>
      <c r="G31" s="490" t="s">
        <v>80</v>
      </c>
      <c r="H31" s="491"/>
      <c r="I31" s="492"/>
      <c r="J31" s="120"/>
      <c r="K31" s="490" t="s">
        <v>80</v>
      </c>
      <c r="L31" s="491"/>
      <c r="M31" s="492"/>
      <c r="N31" s="120"/>
      <c r="O31" s="490" t="s">
        <v>80</v>
      </c>
      <c r="P31" s="491"/>
      <c r="Q31" s="492"/>
    </row>
    <row r="32" spans="1:17" ht="32.25" customHeight="1" thickBot="1" x14ac:dyDescent="0.3">
      <c r="A32" s="138"/>
      <c r="B32" s="524"/>
      <c r="C32" s="520" t="str">
        <f>C15</f>
        <v>CLIN 0001 - Basic Period (Year 1)</v>
      </c>
      <c r="D32" s="521"/>
      <c r="E32" s="522"/>
      <c r="F32" s="121"/>
      <c r="G32" s="520" t="str">
        <f>G15</f>
        <v>CLIN 0001 - Basic Period (Year 2)</v>
      </c>
      <c r="H32" s="521"/>
      <c r="I32" s="522"/>
      <c r="J32" s="121"/>
      <c r="K32" s="520" t="str">
        <f>K15</f>
        <v>CLIN 0001 - Basic Period (Year 3)</v>
      </c>
      <c r="L32" s="521"/>
      <c r="M32" s="522"/>
      <c r="N32" s="121"/>
      <c r="O32" s="520" t="str">
        <f>O15</f>
        <v>CLIN 0001 - Basic Period (Year 4)</v>
      </c>
      <c r="P32" s="521"/>
      <c r="Q32" s="522"/>
    </row>
    <row r="33" spans="1:17" x14ac:dyDescent="0.25">
      <c r="A33" s="138"/>
      <c r="B33" s="192"/>
      <c r="C33" s="98" t="s">
        <v>289</v>
      </c>
      <c r="D33" s="99" t="s">
        <v>286</v>
      </c>
      <c r="E33" s="100" t="s">
        <v>88</v>
      </c>
      <c r="F33" s="111"/>
      <c r="G33" s="98" t="s">
        <v>289</v>
      </c>
      <c r="H33" s="99" t="s">
        <v>286</v>
      </c>
      <c r="I33" s="100" t="s">
        <v>88</v>
      </c>
      <c r="J33" s="111"/>
      <c r="K33" s="98" t="s">
        <v>289</v>
      </c>
      <c r="L33" s="99" t="s">
        <v>286</v>
      </c>
      <c r="M33" s="100" t="s">
        <v>88</v>
      </c>
      <c r="N33" s="111"/>
      <c r="O33" s="98" t="s">
        <v>289</v>
      </c>
      <c r="P33" s="99" t="s">
        <v>286</v>
      </c>
      <c r="Q33" s="100" t="s">
        <v>88</v>
      </c>
    </row>
    <row r="34" spans="1:17" ht="51.75" x14ac:dyDescent="0.25">
      <c r="A34" s="138"/>
      <c r="B34" s="240" t="s">
        <v>445</v>
      </c>
      <c r="C34" s="176"/>
      <c r="D34" s="177"/>
      <c r="E34" s="310">
        <f>'SUB CPIF TOTAL MATERIAL'!E16</f>
        <v>0</v>
      </c>
      <c r="F34" s="110"/>
      <c r="G34" s="176"/>
      <c r="H34" s="177"/>
      <c r="I34" s="310">
        <f>'SUB CPIF TOTAL MATERIAL'!G16</f>
        <v>0</v>
      </c>
      <c r="J34" s="110"/>
      <c r="K34" s="176"/>
      <c r="L34" s="177"/>
      <c r="M34" s="310">
        <f>'SUB CPIF TOTAL MATERIAL'!I16</f>
        <v>0</v>
      </c>
      <c r="N34" s="110"/>
      <c r="O34" s="176"/>
      <c r="P34" s="177"/>
      <c r="Q34" s="310">
        <f>'SUB CPIF TOTAL MATERIAL'!K16</f>
        <v>0</v>
      </c>
    </row>
    <row r="35" spans="1:17" ht="67.5" customHeight="1" x14ac:dyDescent="0.25">
      <c r="A35" s="138"/>
      <c r="B35" s="261" t="s">
        <v>446</v>
      </c>
      <c r="C35" s="315"/>
      <c r="D35" s="316"/>
      <c r="E35" s="310"/>
      <c r="F35" s="110"/>
      <c r="G35" s="315"/>
      <c r="H35" s="316"/>
      <c r="I35" s="310"/>
      <c r="J35" s="110"/>
      <c r="K35" s="315"/>
      <c r="L35" s="316"/>
      <c r="M35" s="310"/>
      <c r="N35" s="110"/>
      <c r="O35" s="315"/>
      <c r="P35" s="316"/>
      <c r="Q35" s="310"/>
    </row>
    <row r="36" spans="1:17" x14ac:dyDescent="0.25">
      <c r="A36" s="138"/>
      <c r="B36" s="112" t="str">
        <f>'SUB CPIF RATES (ALL)'!B53</f>
        <v>Indirect Category: [Material Overhead]</v>
      </c>
      <c r="C36" s="160">
        <f>+E34</f>
        <v>0</v>
      </c>
      <c r="D36" s="188">
        <f>'SUB CPIF RATES (ALL)'!C53</f>
        <v>0</v>
      </c>
      <c r="E36" s="113">
        <f>ROUND(C36*D36,2)</f>
        <v>0</v>
      </c>
      <c r="F36" s="123"/>
      <c r="G36" s="160">
        <f>+I34</f>
        <v>0</v>
      </c>
      <c r="H36" s="188">
        <f>'SUB CPIF RATES (ALL)'!D53</f>
        <v>0</v>
      </c>
      <c r="I36" s="113">
        <f>ROUND(G36*H36,2)</f>
        <v>0</v>
      </c>
      <c r="J36" s="123"/>
      <c r="K36" s="160">
        <f>+M34</f>
        <v>0</v>
      </c>
      <c r="L36" s="188">
        <f>'SUB CPIF RATES (ALL)'!E53</f>
        <v>0</v>
      </c>
      <c r="M36" s="113">
        <f>ROUND(K36*L36,2)</f>
        <v>0</v>
      </c>
      <c r="N36" s="123"/>
      <c r="O36" s="160">
        <f>+Q34</f>
        <v>0</v>
      </c>
      <c r="P36" s="188">
        <f>'SUB CPIF RATES (ALL)'!F53</f>
        <v>0</v>
      </c>
      <c r="Q36" s="113">
        <f>ROUND(O36*P36,2)</f>
        <v>0</v>
      </c>
    </row>
    <row r="37" spans="1:17" x14ac:dyDescent="0.25">
      <c r="A37" s="138"/>
      <c r="B37" s="112" t="str">
        <f>'SUB CPIF RATES (ALL)'!B54</f>
        <v>Indirect Category: [G&amp;A]</v>
      </c>
      <c r="C37" s="160">
        <f>+C36+E36</f>
        <v>0</v>
      </c>
      <c r="D37" s="188">
        <f>'SUB CPIF RATES (ALL)'!C54</f>
        <v>0</v>
      </c>
      <c r="E37" s="113">
        <f>ROUND(C37*D37,2)</f>
        <v>0</v>
      </c>
      <c r="F37" s="123"/>
      <c r="G37" s="160">
        <f>+G36+I36</f>
        <v>0</v>
      </c>
      <c r="H37" s="188">
        <f>'SUB CPIF RATES (ALL)'!D54</f>
        <v>0</v>
      </c>
      <c r="I37" s="113">
        <f>ROUND(G37*H37,2)</f>
        <v>0</v>
      </c>
      <c r="J37" s="123"/>
      <c r="K37" s="160">
        <f>+K36+M36</f>
        <v>0</v>
      </c>
      <c r="L37" s="188">
        <f>'SUB CPIF RATES (ALL)'!E54</f>
        <v>0</v>
      </c>
      <c r="M37" s="113">
        <f>ROUND(K37*L37,2)</f>
        <v>0</v>
      </c>
      <c r="N37" s="123"/>
      <c r="O37" s="160">
        <f>+O36+Q36</f>
        <v>0</v>
      </c>
      <c r="P37" s="188">
        <f>'SUB CPIF RATES (ALL)'!F54</f>
        <v>0</v>
      </c>
      <c r="Q37" s="113">
        <f>ROUND(O37*P37,2)</f>
        <v>0</v>
      </c>
    </row>
    <row r="38" spans="1:17" x14ac:dyDescent="0.25">
      <c r="A38" s="138"/>
      <c r="B38" s="112" t="str">
        <f>'SUB CPIF RATES (ALL)'!B55</f>
        <v>Indirect Category: [FCCOM]</v>
      </c>
      <c r="C38" s="160">
        <f>C37+E37</f>
        <v>0</v>
      </c>
      <c r="D38" s="188">
        <f>'SUB CPIF RATES (ALL)'!C55</f>
        <v>0</v>
      </c>
      <c r="E38" s="113">
        <f>ROUND(C38*D38,2)</f>
        <v>0</v>
      </c>
      <c r="F38" s="110"/>
      <c r="G38" s="160">
        <f>G37+I37</f>
        <v>0</v>
      </c>
      <c r="H38" s="188">
        <f>'SUB CPIF RATES (ALL)'!D55</f>
        <v>0</v>
      </c>
      <c r="I38" s="113">
        <f>ROUND(G38*H38,2)</f>
        <v>0</v>
      </c>
      <c r="J38" s="110"/>
      <c r="K38" s="160">
        <f>K37+M37</f>
        <v>0</v>
      </c>
      <c r="L38" s="188">
        <f>'SUB CPIF RATES (ALL)'!E55</f>
        <v>0</v>
      </c>
      <c r="M38" s="113">
        <f>ROUND(K38*L38,2)</f>
        <v>0</v>
      </c>
      <c r="N38" s="110"/>
      <c r="O38" s="160">
        <f>O37+Q37</f>
        <v>0</v>
      </c>
      <c r="P38" s="188">
        <f>'SUB CPIF RATES (ALL)'!F55</f>
        <v>0</v>
      </c>
      <c r="Q38" s="113">
        <f>ROUND(O38*P38,2)</f>
        <v>0</v>
      </c>
    </row>
    <row r="39" spans="1:17" x14ac:dyDescent="0.25">
      <c r="A39" s="138"/>
      <c r="B39" s="112" t="str">
        <f>'SUB CPIF RATES (ALL)'!B56</f>
        <v>Indirect Category: [Target Fee]</v>
      </c>
      <c r="C39" s="160">
        <f>+C37+E37</f>
        <v>0</v>
      </c>
      <c r="D39" s="188">
        <f>'SUB CPIF RATES (ALL)'!C56</f>
        <v>0</v>
      </c>
      <c r="E39" s="113">
        <f>ROUND(C39*D39,2)</f>
        <v>0</v>
      </c>
      <c r="F39" s="110"/>
      <c r="G39" s="160">
        <f>+G37+I37</f>
        <v>0</v>
      </c>
      <c r="H39" s="188">
        <f>'SUB CPIF RATES (ALL)'!D56</f>
        <v>0</v>
      </c>
      <c r="I39" s="113">
        <f>ROUND(G39*H39,2)</f>
        <v>0</v>
      </c>
      <c r="J39" s="110"/>
      <c r="K39" s="160">
        <f>+K37+M37</f>
        <v>0</v>
      </c>
      <c r="L39" s="188">
        <f>'SUB CPIF RATES (ALL)'!E56</f>
        <v>0</v>
      </c>
      <c r="M39" s="113">
        <f>ROUND(K39*L39,2)</f>
        <v>0</v>
      </c>
      <c r="N39" s="110"/>
      <c r="O39" s="160">
        <f>+O37+Q37</f>
        <v>0</v>
      </c>
      <c r="P39" s="188">
        <f>'SUB CPIF RATES (ALL)'!F56</f>
        <v>0</v>
      </c>
      <c r="Q39" s="113">
        <f>ROUND(O39*P39,2)</f>
        <v>0</v>
      </c>
    </row>
    <row r="40" spans="1:17" x14ac:dyDescent="0.25">
      <c r="A40" s="138"/>
      <c r="B40" s="186" t="s">
        <v>186</v>
      </c>
      <c r="C40" s="178"/>
      <c r="D40" s="179"/>
      <c r="E40" s="113">
        <f>ROUND(SUM(E34:E37),2)</f>
        <v>0</v>
      </c>
      <c r="F40" s="110"/>
      <c r="G40" s="178"/>
      <c r="H40" s="179"/>
      <c r="I40" s="113">
        <f>ROUND(SUM(I34:I37),2)</f>
        <v>0</v>
      </c>
      <c r="J40" s="110"/>
      <c r="K40" s="178"/>
      <c r="L40" s="179"/>
      <c r="M40" s="113">
        <f>ROUND(SUM(M34:M37),2)</f>
        <v>0</v>
      </c>
      <c r="N40" s="110"/>
      <c r="O40" s="178"/>
      <c r="P40" s="179"/>
      <c r="Q40" s="113">
        <f>ROUND(SUM(Q34:Q37),2)</f>
        <v>0</v>
      </c>
    </row>
    <row r="41" spans="1:17" x14ac:dyDescent="0.25">
      <c r="A41" s="138"/>
      <c r="B41" s="186" t="s">
        <v>72</v>
      </c>
      <c r="C41" s="176"/>
      <c r="D41" s="180"/>
      <c r="E41" s="113">
        <f>ROUND(E38,2)</f>
        <v>0</v>
      </c>
      <c r="F41" s="110"/>
      <c r="G41" s="176"/>
      <c r="H41" s="180"/>
      <c r="I41" s="113">
        <f>ROUND(I38,2)</f>
        <v>0</v>
      </c>
      <c r="J41" s="110"/>
      <c r="K41" s="176"/>
      <c r="L41" s="180"/>
      <c r="M41" s="113">
        <f>ROUND(M38,2)</f>
        <v>0</v>
      </c>
      <c r="N41" s="110"/>
      <c r="O41" s="176"/>
      <c r="P41" s="180"/>
      <c r="Q41" s="113">
        <f>ROUND(Q38,2)</f>
        <v>0</v>
      </c>
    </row>
    <row r="42" spans="1:17" x14ac:dyDescent="0.2">
      <c r="B42" s="186" t="s">
        <v>71</v>
      </c>
      <c r="C42" s="176"/>
      <c r="D42" s="180"/>
      <c r="E42" s="127">
        <f>ROUND(E39,2)</f>
        <v>0</v>
      </c>
      <c r="F42" s="128"/>
      <c r="G42" s="176"/>
      <c r="H42" s="180"/>
      <c r="I42" s="127">
        <f>ROUND(I39,2)</f>
        <v>0</v>
      </c>
      <c r="J42" s="128"/>
      <c r="K42" s="176"/>
      <c r="L42" s="180"/>
      <c r="M42" s="127">
        <f>ROUND(M39,2)</f>
        <v>0</v>
      </c>
      <c r="N42" s="128"/>
      <c r="O42" s="176"/>
      <c r="P42" s="180"/>
      <c r="Q42" s="127">
        <f>ROUND(Q39,2)</f>
        <v>0</v>
      </c>
    </row>
    <row r="43" spans="1:17" ht="16.5" thickBot="1" x14ac:dyDescent="0.25">
      <c r="B43" s="187" t="s">
        <v>173</v>
      </c>
      <c r="C43" s="181"/>
      <c r="D43" s="182"/>
      <c r="E43" s="105">
        <f>SUM(E40:E42)</f>
        <v>0</v>
      </c>
      <c r="F43" s="106"/>
      <c r="G43" s="181"/>
      <c r="H43" s="182"/>
      <c r="I43" s="105">
        <f>SUM(I40:I42)</f>
        <v>0</v>
      </c>
      <c r="J43" s="106"/>
      <c r="K43" s="181"/>
      <c r="L43" s="182"/>
      <c r="M43" s="105">
        <f>SUM(M40:M42)</f>
        <v>0</v>
      </c>
      <c r="N43" s="106"/>
      <c r="O43" s="181"/>
      <c r="P43" s="182"/>
      <c r="Q43" s="105">
        <f>SUM(Q40:Q42)</f>
        <v>0</v>
      </c>
    </row>
    <row r="44" spans="1:17" ht="16.5" thickBot="1" x14ac:dyDescent="0.25">
      <c r="B44" s="117"/>
      <c r="E44" s="194"/>
      <c r="F44" s="194"/>
      <c r="G44" s="194"/>
      <c r="H44" s="194"/>
      <c r="I44" s="194"/>
      <c r="J44" s="194"/>
      <c r="K44" s="194"/>
      <c r="N44" s="132"/>
      <c r="O44" s="194"/>
    </row>
    <row r="45" spans="1:17" ht="16.5" thickBot="1" x14ac:dyDescent="0.3">
      <c r="B45" s="523" t="str">
        <f>B14</f>
        <v>CLIN 0001 (CPIF)                                                    TASK 1.05 PROTOTYPE SUPPORT, INSTALLATION, AND CHECKOUT</v>
      </c>
      <c r="C45" s="490" t="s">
        <v>212</v>
      </c>
      <c r="D45" s="491"/>
      <c r="E45" s="492"/>
      <c r="F45" s="120"/>
      <c r="G45" s="490" t="s">
        <v>212</v>
      </c>
      <c r="H45" s="491"/>
      <c r="I45" s="492"/>
      <c r="J45" s="120"/>
      <c r="K45" s="490" t="s">
        <v>212</v>
      </c>
      <c r="L45" s="491"/>
      <c r="M45" s="492"/>
      <c r="N45" s="120"/>
      <c r="O45" s="490" t="s">
        <v>212</v>
      </c>
      <c r="P45" s="491"/>
      <c r="Q45" s="492"/>
    </row>
    <row r="46" spans="1:17" ht="27.75" customHeight="1" thickBot="1" x14ac:dyDescent="0.3">
      <c r="B46" s="524"/>
      <c r="C46" s="520" t="str">
        <f>C32</f>
        <v>CLIN 0001 - Basic Period (Year 1)</v>
      </c>
      <c r="D46" s="521"/>
      <c r="E46" s="522"/>
      <c r="F46" s="121"/>
      <c r="G46" s="520" t="str">
        <f>G32</f>
        <v>CLIN 0001 - Basic Period (Year 2)</v>
      </c>
      <c r="H46" s="521"/>
      <c r="I46" s="522"/>
      <c r="J46" s="121"/>
      <c r="K46" s="520" t="str">
        <f>K32</f>
        <v>CLIN 0001 - Basic Period (Year 3)</v>
      </c>
      <c r="L46" s="521"/>
      <c r="M46" s="522"/>
      <c r="N46" s="121"/>
      <c r="O46" s="520" t="str">
        <f>O32</f>
        <v>CLIN 0001 - Basic Period (Year 4)</v>
      </c>
      <c r="P46" s="521"/>
      <c r="Q46" s="522"/>
    </row>
    <row r="47" spans="1:17" x14ac:dyDescent="0.25">
      <c r="B47" s="193"/>
      <c r="C47" s="98" t="s">
        <v>289</v>
      </c>
      <c r="D47" s="99" t="s">
        <v>286</v>
      </c>
      <c r="E47" s="100" t="s">
        <v>287</v>
      </c>
      <c r="F47" s="111"/>
      <c r="G47" s="98" t="s">
        <v>289</v>
      </c>
      <c r="H47" s="99" t="s">
        <v>286</v>
      </c>
      <c r="I47" s="100" t="s">
        <v>287</v>
      </c>
      <c r="J47" s="111"/>
      <c r="K47" s="98" t="s">
        <v>289</v>
      </c>
      <c r="L47" s="99" t="s">
        <v>286</v>
      </c>
      <c r="M47" s="100" t="s">
        <v>287</v>
      </c>
      <c r="N47" s="111"/>
      <c r="O47" s="98" t="s">
        <v>289</v>
      </c>
      <c r="P47" s="99" t="s">
        <v>286</v>
      </c>
      <c r="Q47" s="100" t="s">
        <v>287</v>
      </c>
    </row>
    <row r="48" spans="1:17" ht="25.5" x14ac:dyDescent="0.2">
      <c r="B48" s="240" t="s">
        <v>447</v>
      </c>
      <c r="C48" s="226"/>
      <c r="D48" s="226"/>
      <c r="E48" s="262">
        <f>'SUB CPIF TOTAL SUB'!E16</f>
        <v>0</v>
      </c>
      <c r="F48" s="229"/>
      <c r="G48" s="176"/>
      <c r="H48" s="226"/>
      <c r="I48" s="262">
        <f>'SUB CPIF TOTAL SUB'!G16</f>
        <v>0</v>
      </c>
      <c r="J48" s="229"/>
      <c r="K48" s="176"/>
      <c r="L48" s="226"/>
      <c r="M48" s="262">
        <f>'SUB CPIF TOTAL SUB'!I16</f>
        <v>0</v>
      </c>
      <c r="N48" s="110"/>
      <c r="O48" s="176"/>
      <c r="P48" s="226"/>
      <c r="Q48" s="262">
        <f>'SUB CPIF TOTAL SUB'!K16</f>
        <v>0</v>
      </c>
    </row>
    <row r="49" spans="1:17" ht="76.5" x14ac:dyDescent="0.2">
      <c r="B49" s="261" t="s">
        <v>448</v>
      </c>
      <c r="C49" s="527" t="s">
        <v>1</v>
      </c>
      <c r="D49" s="528"/>
      <c r="E49" s="529"/>
      <c r="F49" s="123"/>
      <c r="G49" s="530"/>
      <c r="H49" s="528"/>
      <c r="I49" s="529"/>
      <c r="J49" s="123"/>
      <c r="K49" s="530"/>
      <c r="L49" s="528"/>
      <c r="M49" s="529"/>
      <c r="N49" s="123"/>
      <c r="O49" s="530"/>
      <c r="P49" s="528"/>
      <c r="Q49" s="529"/>
    </row>
    <row r="50" spans="1:17" x14ac:dyDescent="0.2">
      <c r="B50" s="228" t="str">
        <f>'SUB CPIF RATES (ALL)'!B45</f>
        <v>Indirect Category: [Overhead]</v>
      </c>
      <c r="C50" s="227">
        <f>E48</f>
        <v>0</v>
      </c>
      <c r="D50" s="188">
        <f>'SUB CPIF RATES (ALL)'!C45</f>
        <v>0</v>
      </c>
      <c r="E50" s="113">
        <f>ROUND(C50*D50,2)</f>
        <v>0</v>
      </c>
      <c r="F50" s="123"/>
      <c r="G50" s="160">
        <f>I48</f>
        <v>0</v>
      </c>
      <c r="H50" s="188">
        <f>'SUB CPIF RATES (ALL)'!D45</f>
        <v>0</v>
      </c>
      <c r="I50" s="113">
        <f>ROUND(G50*H50,2)</f>
        <v>0</v>
      </c>
      <c r="J50" s="123"/>
      <c r="K50" s="160">
        <f>M48</f>
        <v>0</v>
      </c>
      <c r="L50" s="188">
        <f>'SUB CPIF RATES (ALL)'!E45</f>
        <v>0</v>
      </c>
      <c r="M50" s="113">
        <f>ROUND(K50*L50,2)</f>
        <v>0</v>
      </c>
      <c r="N50" s="123"/>
      <c r="O50" s="160">
        <f>Q48</f>
        <v>0</v>
      </c>
      <c r="P50" s="188">
        <f>'SUB CPIF RATES (ALL)'!F45</f>
        <v>0</v>
      </c>
      <c r="Q50" s="113">
        <f>ROUND(O50*P50,2)</f>
        <v>0</v>
      </c>
    </row>
    <row r="51" spans="1:17" x14ac:dyDescent="0.2">
      <c r="B51" s="228" t="str">
        <f>'SUB CPIF RATES (ALL)'!B46</f>
        <v>Indirect Category: [G&amp;A]</v>
      </c>
      <c r="C51" s="227">
        <f>C50+E50</f>
        <v>0</v>
      </c>
      <c r="D51" s="188">
        <f>'SUB CPIF RATES (ALL)'!C46</f>
        <v>0</v>
      </c>
      <c r="E51" s="113">
        <f>ROUND(C51*D51,2)</f>
        <v>0</v>
      </c>
      <c r="F51" s="229"/>
      <c r="G51" s="227">
        <f>G50+I50</f>
        <v>0</v>
      </c>
      <c r="H51" s="188">
        <f>'SUB CPIF RATES (ALL)'!D46</f>
        <v>0</v>
      </c>
      <c r="I51" s="113">
        <f>ROUND(G51*H51,2)</f>
        <v>0</v>
      </c>
      <c r="J51" s="229"/>
      <c r="K51" s="227">
        <f>K50+M50</f>
        <v>0</v>
      </c>
      <c r="L51" s="188">
        <f>'SUB CPIF RATES (ALL)'!E46</f>
        <v>0</v>
      </c>
      <c r="M51" s="113">
        <f>ROUND(K51*L51,2)</f>
        <v>0</v>
      </c>
      <c r="N51" s="110"/>
      <c r="O51" s="227">
        <f>O50+Q50</f>
        <v>0</v>
      </c>
      <c r="P51" s="188">
        <f>'SUB CPIF RATES (ALL)'!F46</f>
        <v>0</v>
      </c>
      <c r="Q51" s="113">
        <f>ROUND(O51*P51,2)</f>
        <v>0</v>
      </c>
    </row>
    <row r="52" spans="1:17" x14ac:dyDescent="0.2">
      <c r="B52" s="266" t="str">
        <f>'SUB CPIF RATES (ALL)'!B47</f>
        <v>Indirect Category: [FCCOM]</v>
      </c>
      <c r="C52" s="159">
        <f>C51+E51</f>
        <v>0</v>
      </c>
      <c r="D52" s="188">
        <f>'SUB CPIF RATES (ALL)'!C47</f>
        <v>0</v>
      </c>
      <c r="E52" s="268">
        <f>ROUND(C52*D52,2)</f>
        <v>0</v>
      </c>
      <c r="F52" s="229"/>
      <c r="G52" s="159">
        <f>G51+I51</f>
        <v>0</v>
      </c>
      <c r="H52" s="188">
        <f>'SUB CPIF RATES (ALL)'!D47</f>
        <v>0</v>
      </c>
      <c r="I52" s="268">
        <f>ROUND(G52*H52,2)</f>
        <v>0</v>
      </c>
      <c r="J52" s="229"/>
      <c r="K52" s="159">
        <f>K51+M51</f>
        <v>0</v>
      </c>
      <c r="L52" s="188">
        <f>'SUB CPIF RATES (ALL)'!E47</f>
        <v>0</v>
      </c>
      <c r="M52" s="268">
        <f>ROUND(K52*L52,2)</f>
        <v>0</v>
      </c>
      <c r="N52" s="110"/>
      <c r="O52" s="159">
        <f>O51+Q51</f>
        <v>0</v>
      </c>
      <c r="P52" s="188">
        <f>'SUB CPIF RATES (ALL)'!F47</f>
        <v>0</v>
      </c>
      <c r="Q52" s="268">
        <f>ROUND(O52*P52,2)</f>
        <v>0</v>
      </c>
    </row>
    <row r="53" spans="1:17" x14ac:dyDescent="0.2">
      <c r="B53" s="112" t="str">
        <f>'SUB CPIF RATES (ALL)'!B48</f>
        <v>Indirect Category: [Target Fee]</v>
      </c>
      <c r="C53" s="159">
        <f>C51+E51</f>
        <v>0</v>
      </c>
      <c r="D53" s="188">
        <f>'SUB CPIF RATES (ALL)'!C48</f>
        <v>0</v>
      </c>
      <c r="E53" s="268">
        <f>ROUND(C53*D53,2)</f>
        <v>0</v>
      </c>
      <c r="F53" s="229"/>
      <c r="G53" s="159">
        <f>G51+I51</f>
        <v>0</v>
      </c>
      <c r="H53" s="188">
        <f>'SUB CPIF RATES (ALL)'!D48</f>
        <v>0</v>
      </c>
      <c r="I53" s="268">
        <f>ROUND(G53*H53,2)</f>
        <v>0</v>
      </c>
      <c r="J53" s="229"/>
      <c r="K53" s="159">
        <f>K51+M51</f>
        <v>0</v>
      </c>
      <c r="L53" s="188">
        <f>'SUB CPIF RATES (ALL)'!E48</f>
        <v>0</v>
      </c>
      <c r="M53" s="268">
        <f>ROUND(K53*L53,2)</f>
        <v>0</v>
      </c>
      <c r="N53" s="110"/>
      <c r="O53" s="159">
        <f>O51+Q51</f>
        <v>0</v>
      </c>
      <c r="P53" s="269">
        <f>'SUB CPIF RATES (ALL)'!F48</f>
        <v>0</v>
      </c>
      <c r="Q53" s="268">
        <f>ROUND(O53*P53,2)</f>
        <v>0</v>
      </c>
    </row>
    <row r="54" spans="1:17" x14ac:dyDescent="0.2">
      <c r="B54" s="186" t="s">
        <v>214</v>
      </c>
      <c r="C54" s="178"/>
      <c r="D54" s="179"/>
      <c r="E54" s="113">
        <f>ROUND(E48+E50+E51,2)</f>
        <v>0</v>
      </c>
      <c r="F54" s="229"/>
      <c r="G54" s="178"/>
      <c r="H54" s="179"/>
      <c r="I54" s="113">
        <f>ROUND(I48+I50+I51,2)</f>
        <v>0</v>
      </c>
      <c r="J54" s="229"/>
      <c r="K54" s="178"/>
      <c r="L54" s="179"/>
      <c r="M54" s="113">
        <f>ROUND(M48+M50+M51,2)</f>
        <v>0</v>
      </c>
      <c r="N54" s="110"/>
      <c r="O54" s="178"/>
      <c r="P54" s="179"/>
      <c r="Q54" s="113">
        <f>ROUND(Q48+Q50+Q51,2)</f>
        <v>0</v>
      </c>
    </row>
    <row r="55" spans="1:17" x14ac:dyDescent="0.2">
      <c r="B55" s="186" t="s">
        <v>204</v>
      </c>
      <c r="C55" s="176"/>
      <c r="D55" s="180"/>
      <c r="E55" s="113">
        <f>ROUND(E52,2)</f>
        <v>0</v>
      </c>
      <c r="F55" s="229"/>
      <c r="G55" s="176"/>
      <c r="H55" s="180"/>
      <c r="I55" s="113">
        <f>ROUND(I52,2)</f>
        <v>0</v>
      </c>
      <c r="J55" s="229"/>
      <c r="K55" s="176"/>
      <c r="L55" s="180"/>
      <c r="M55" s="113">
        <f>ROUND(M52,2)</f>
        <v>0</v>
      </c>
      <c r="N55" s="110"/>
      <c r="O55" s="176"/>
      <c r="P55" s="180"/>
      <c r="Q55" s="113">
        <f>ROUND(Q52,2)</f>
        <v>0</v>
      </c>
    </row>
    <row r="56" spans="1:17" x14ac:dyDescent="0.2">
      <c r="B56" s="186" t="s">
        <v>71</v>
      </c>
      <c r="C56" s="176"/>
      <c r="D56" s="180"/>
      <c r="E56" s="127">
        <f>ROUND(E53,2)</f>
        <v>0</v>
      </c>
      <c r="F56" s="128"/>
      <c r="G56" s="176"/>
      <c r="H56" s="180"/>
      <c r="I56" s="127">
        <f>ROUND(I53,2)</f>
        <v>0</v>
      </c>
      <c r="J56" s="128"/>
      <c r="K56" s="176"/>
      <c r="L56" s="180"/>
      <c r="M56" s="127">
        <f>ROUND(M53,2)</f>
        <v>0</v>
      </c>
      <c r="N56" s="128"/>
      <c r="O56" s="176"/>
      <c r="P56" s="180"/>
      <c r="Q56" s="127">
        <f>ROUND(Q53,2)</f>
        <v>0</v>
      </c>
    </row>
    <row r="57" spans="1:17" ht="16.5" thickBot="1" x14ac:dyDescent="0.25">
      <c r="B57" s="187" t="s">
        <v>215</v>
      </c>
      <c r="C57" s="181"/>
      <c r="D57" s="182"/>
      <c r="E57" s="105">
        <f>ROUND(SUM(E54:E56),2)</f>
        <v>0</v>
      </c>
      <c r="F57" s="106"/>
      <c r="G57" s="181"/>
      <c r="H57" s="182"/>
      <c r="I57" s="105">
        <f>ROUND(SUM(I54:I56),2)</f>
        <v>0</v>
      </c>
      <c r="J57" s="106"/>
      <c r="K57" s="181"/>
      <c r="L57" s="182"/>
      <c r="M57" s="105">
        <f>ROUND(SUM(M54:M56),2)</f>
        <v>0</v>
      </c>
      <c r="N57" s="106"/>
      <c r="O57" s="181"/>
      <c r="P57" s="182"/>
      <c r="Q57" s="105">
        <f>ROUND(SUM(Q54:Q56),2)</f>
        <v>0</v>
      </c>
    </row>
    <row r="58" spans="1:17" ht="16.5" thickBot="1" x14ac:dyDescent="0.25">
      <c r="B58" s="117"/>
      <c r="E58" s="194"/>
      <c r="F58" s="194"/>
      <c r="G58" s="194"/>
      <c r="H58" s="194"/>
      <c r="I58" s="194"/>
      <c r="J58" s="194"/>
      <c r="K58" s="194"/>
      <c r="N58" s="132"/>
      <c r="O58" s="194"/>
    </row>
    <row r="59" spans="1:17" ht="16.5" customHeight="1" thickBot="1" x14ac:dyDescent="0.3">
      <c r="A59" s="138"/>
      <c r="B59" s="523" t="str">
        <f>B31</f>
        <v>CLIN 0001 (CPIF)                                                    TASK 1.05 PROTOTYPE SUPPORT, INSTALLATION, AND CHECKOUT</v>
      </c>
      <c r="C59" s="490" t="s">
        <v>81</v>
      </c>
      <c r="D59" s="491"/>
      <c r="E59" s="492"/>
      <c r="F59" s="120"/>
      <c r="G59" s="490" t="s">
        <v>82</v>
      </c>
      <c r="H59" s="491"/>
      <c r="I59" s="492"/>
      <c r="J59" s="120"/>
      <c r="K59" s="490" t="s">
        <v>82</v>
      </c>
      <c r="L59" s="491"/>
      <c r="M59" s="492"/>
      <c r="N59" s="120"/>
      <c r="O59" s="490" t="s">
        <v>82</v>
      </c>
      <c r="P59" s="491"/>
      <c r="Q59" s="492"/>
    </row>
    <row r="60" spans="1:17" ht="33.75" customHeight="1" thickBot="1" x14ac:dyDescent="0.3">
      <c r="A60" s="138"/>
      <c r="B60" s="524"/>
      <c r="C60" s="520" t="str">
        <f>C32</f>
        <v>CLIN 0001 - Basic Period (Year 1)</v>
      </c>
      <c r="D60" s="521"/>
      <c r="E60" s="522"/>
      <c r="F60" s="121"/>
      <c r="G60" s="520" t="str">
        <f>G32</f>
        <v>CLIN 0001 - Basic Period (Year 2)</v>
      </c>
      <c r="H60" s="521"/>
      <c r="I60" s="522"/>
      <c r="J60" s="121"/>
      <c r="K60" s="520" t="str">
        <f>K32</f>
        <v>CLIN 0001 - Basic Period (Year 3)</v>
      </c>
      <c r="L60" s="521"/>
      <c r="M60" s="522"/>
      <c r="N60" s="121"/>
      <c r="O60" s="520" t="str">
        <f>O32</f>
        <v>CLIN 0001 - Basic Period (Year 4)</v>
      </c>
      <c r="P60" s="521"/>
      <c r="Q60" s="522"/>
    </row>
    <row r="61" spans="1:17" x14ac:dyDescent="0.25">
      <c r="A61" s="138"/>
      <c r="B61" s="193"/>
      <c r="C61" s="98" t="s">
        <v>289</v>
      </c>
      <c r="D61" s="99" t="s">
        <v>286</v>
      </c>
      <c r="E61" s="100" t="s">
        <v>89</v>
      </c>
      <c r="F61" s="111"/>
      <c r="G61" s="98" t="s">
        <v>289</v>
      </c>
      <c r="H61" s="99" t="s">
        <v>286</v>
      </c>
      <c r="I61" s="100" t="s">
        <v>89</v>
      </c>
      <c r="J61" s="111"/>
      <c r="K61" s="98" t="s">
        <v>289</v>
      </c>
      <c r="L61" s="99" t="s">
        <v>286</v>
      </c>
      <c r="M61" s="100" t="s">
        <v>89</v>
      </c>
      <c r="N61" s="111"/>
      <c r="O61" s="98" t="s">
        <v>59</v>
      </c>
      <c r="P61" s="99" t="s">
        <v>57</v>
      </c>
      <c r="Q61" s="100" t="s">
        <v>89</v>
      </c>
    </row>
    <row r="62" spans="1:17" ht="26.25" x14ac:dyDescent="0.25">
      <c r="A62" s="138"/>
      <c r="B62" s="240" t="s">
        <v>449</v>
      </c>
      <c r="C62" s="176"/>
      <c r="D62" s="226"/>
      <c r="E62" s="262">
        <f>'SUB CPIF TOTAL ODC'!E17</f>
        <v>0</v>
      </c>
      <c r="F62" s="229"/>
      <c r="G62" s="176"/>
      <c r="H62" s="226"/>
      <c r="I62" s="262">
        <f>'SUB CPIF TOTAL ODC'!G17</f>
        <v>0</v>
      </c>
      <c r="J62" s="229"/>
      <c r="K62" s="176"/>
      <c r="L62" s="226"/>
      <c r="M62" s="310">
        <f>'SUB CPIF TOTAL ODC'!I17</f>
        <v>0</v>
      </c>
      <c r="N62" s="229"/>
      <c r="O62" s="176"/>
      <c r="P62" s="226"/>
      <c r="Q62" s="310">
        <f>'SUB CPIF TOTAL ODC'!K17</f>
        <v>0</v>
      </c>
    </row>
    <row r="63" spans="1:17" ht="66" customHeight="1" x14ac:dyDescent="0.25">
      <c r="A63" s="138"/>
      <c r="B63" s="374" t="s">
        <v>450</v>
      </c>
      <c r="C63" s="314"/>
      <c r="D63" s="314"/>
      <c r="E63" s="313"/>
      <c r="F63" s="229"/>
      <c r="G63" s="315"/>
      <c r="H63" s="314"/>
      <c r="I63" s="313"/>
      <c r="J63" s="229"/>
      <c r="K63" s="315"/>
      <c r="L63" s="314"/>
      <c r="M63" s="310"/>
      <c r="N63" s="229"/>
      <c r="O63" s="315"/>
      <c r="P63" s="314"/>
      <c r="Q63" s="310"/>
    </row>
    <row r="64" spans="1:17" x14ac:dyDescent="0.25">
      <c r="A64" s="138"/>
      <c r="B64" s="112" t="s">
        <v>60</v>
      </c>
      <c r="C64" s="160">
        <f>+E62</f>
        <v>0</v>
      </c>
      <c r="D64" s="188">
        <f>'SUB CPIF RATES (ALL)'!C61</f>
        <v>0</v>
      </c>
      <c r="E64" s="113">
        <f>ROUND(C64*D64,2)</f>
        <v>0</v>
      </c>
      <c r="F64" s="123"/>
      <c r="G64" s="160">
        <f>+I62</f>
        <v>0</v>
      </c>
      <c r="H64" s="188">
        <f>'SUB CPIF RATES (ALL)'!D61</f>
        <v>0</v>
      </c>
      <c r="I64" s="113">
        <f>ROUND(G64*H64,2)</f>
        <v>0</v>
      </c>
      <c r="J64" s="123"/>
      <c r="K64" s="160">
        <f>+M62</f>
        <v>0</v>
      </c>
      <c r="L64" s="188">
        <f>'SUB CPIF RATES (ALL)'!E61</f>
        <v>0</v>
      </c>
      <c r="M64" s="113">
        <f>ROUND(K64*L64,2)</f>
        <v>0</v>
      </c>
      <c r="N64" s="123"/>
      <c r="O64" s="160">
        <f>+Q62</f>
        <v>0</v>
      </c>
      <c r="P64" s="188">
        <f>'SUB CPIF RATES (ALL)'!F61</f>
        <v>0</v>
      </c>
      <c r="Q64" s="113">
        <f>ROUND(O64*P64,2)</f>
        <v>0</v>
      </c>
    </row>
    <row r="65" spans="1:17" x14ac:dyDescent="0.25">
      <c r="A65" s="138"/>
      <c r="B65" s="112" t="s">
        <v>61</v>
      </c>
      <c r="C65" s="160">
        <f>+C64+E64</f>
        <v>0</v>
      </c>
      <c r="D65" s="188">
        <f>'SUB CPIF RATES (ALL)'!C62</f>
        <v>0</v>
      </c>
      <c r="E65" s="113">
        <f>ROUND(C65*D65,2)</f>
        <v>0</v>
      </c>
      <c r="F65" s="123"/>
      <c r="G65" s="160">
        <f>+G64+I64</f>
        <v>0</v>
      </c>
      <c r="H65" s="188">
        <f>'SUB CPIF RATES (ALL)'!D62</f>
        <v>0</v>
      </c>
      <c r="I65" s="113">
        <f>ROUND(G65*H65,2)</f>
        <v>0</v>
      </c>
      <c r="J65" s="123"/>
      <c r="K65" s="160">
        <f>+K64+M64</f>
        <v>0</v>
      </c>
      <c r="L65" s="188">
        <f>'SUB CPIF RATES (ALL)'!E62</f>
        <v>0</v>
      </c>
      <c r="M65" s="113">
        <f>ROUND(K65*L65,2)</f>
        <v>0</v>
      </c>
      <c r="N65" s="123"/>
      <c r="O65" s="160">
        <f>+O64+Q64</f>
        <v>0</v>
      </c>
      <c r="P65" s="188">
        <f>'SUB CPIF RATES (ALL)'!F62</f>
        <v>0</v>
      </c>
      <c r="Q65" s="113">
        <f>ROUND(O65*P65,2)</f>
        <v>0</v>
      </c>
    </row>
    <row r="66" spans="1:17" x14ac:dyDescent="0.25">
      <c r="A66" s="138"/>
      <c r="B66" s="112" t="s">
        <v>411</v>
      </c>
      <c r="C66" s="160">
        <f>C65+E65</f>
        <v>0</v>
      </c>
      <c r="D66" s="188">
        <f>'SUB CPIF RATES (ALL)'!C63</f>
        <v>0</v>
      </c>
      <c r="E66" s="113">
        <f>ROUND(C66*D66,2)</f>
        <v>0</v>
      </c>
      <c r="F66" s="229"/>
      <c r="G66" s="160">
        <f>G65+I65</f>
        <v>0</v>
      </c>
      <c r="H66" s="188">
        <f>'SUB CPIF RATES (ALL)'!D63</f>
        <v>0</v>
      </c>
      <c r="I66" s="113">
        <f>ROUND(G66*H66,2)</f>
        <v>0</v>
      </c>
      <c r="J66" s="229"/>
      <c r="K66" s="160">
        <f>K65+M65</f>
        <v>0</v>
      </c>
      <c r="L66" s="188">
        <f>'SUB CPIF RATES (ALL)'!E63</f>
        <v>0</v>
      </c>
      <c r="M66" s="113">
        <f>ROUND(K66*L66,2)</f>
        <v>0</v>
      </c>
      <c r="N66" s="229"/>
      <c r="O66" s="160">
        <f>O65+Q65</f>
        <v>0</v>
      </c>
      <c r="P66" s="188">
        <f>'SUB CPIF RATES (ALL)'!F63</f>
        <v>0</v>
      </c>
      <c r="Q66" s="113">
        <f>ROUND(O66*P66,2)</f>
        <v>0</v>
      </c>
    </row>
    <row r="67" spans="1:17" x14ac:dyDescent="0.25">
      <c r="A67" s="138"/>
      <c r="B67" s="112" t="s">
        <v>62</v>
      </c>
      <c r="C67" s="160">
        <f>+C65+E65</f>
        <v>0</v>
      </c>
      <c r="D67" s="269">
        <f>'SUB CPIF RATES (ALL)'!C64</f>
        <v>0</v>
      </c>
      <c r="E67" s="113">
        <f>ROUND(C67*D67,2)</f>
        <v>0</v>
      </c>
      <c r="F67" s="229"/>
      <c r="G67" s="160">
        <f>+G65+I65</f>
        <v>0</v>
      </c>
      <c r="H67" s="269">
        <f>'SUB CPIF RATES (ALL)'!D64</f>
        <v>0</v>
      </c>
      <c r="I67" s="113">
        <f>ROUND(G67*H67,2)</f>
        <v>0</v>
      </c>
      <c r="J67" s="229"/>
      <c r="K67" s="160">
        <f>+K65+M65</f>
        <v>0</v>
      </c>
      <c r="L67" s="269">
        <f>'SUB CPIF RATES (ALL)'!E64</f>
        <v>0</v>
      </c>
      <c r="M67" s="113">
        <f>ROUND(K67*L67,2)</f>
        <v>0</v>
      </c>
      <c r="N67" s="229"/>
      <c r="O67" s="160">
        <f>+O65+Q65</f>
        <v>0</v>
      </c>
      <c r="P67" s="269">
        <f>'SUB CPIF RATES (ALL)'!F64</f>
        <v>0</v>
      </c>
      <c r="Q67" s="113">
        <f>ROUND(O67*P67,2)</f>
        <v>0</v>
      </c>
    </row>
    <row r="68" spans="1:17" x14ac:dyDescent="0.25">
      <c r="A68" s="138"/>
      <c r="B68" s="186" t="s">
        <v>187</v>
      </c>
      <c r="C68" s="178"/>
      <c r="D68" s="179"/>
      <c r="E68" s="113">
        <f>ROUND(SUM(E62:E65),2)</f>
        <v>0</v>
      </c>
      <c r="F68" s="229"/>
      <c r="G68" s="178"/>
      <c r="H68" s="179"/>
      <c r="I68" s="113">
        <f>ROUND(SUM(I62:I65),2)</f>
        <v>0</v>
      </c>
      <c r="J68" s="229"/>
      <c r="K68" s="178"/>
      <c r="L68" s="179"/>
      <c r="M68" s="113">
        <f>ROUND(SUM(M62:M65),2)</f>
        <v>0</v>
      </c>
      <c r="N68" s="229"/>
      <c r="O68" s="178"/>
      <c r="P68" s="179"/>
      <c r="Q68" s="113">
        <f>ROUND(SUM(Q62:Q65),2)</f>
        <v>0</v>
      </c>
    </row>
    <row r="69" spans="1:17" x14ac:dyDescent="0.25">
      <c r="A69" s="138"/>
      <c r="B69" s="186" t="s">
        <v>72</v>
      </c>
      <c r="C69" s="176"/>
      <c r="D69" s="180"/>
      <c r="E69" s="113">
        <f>ROUND(E66,2)</f>
        <v>0</v>
      </c>
      <c r="F69" s="229"/>
      <c r="G69" s="176"/>
      <c r="H69" s="180"/>
      <c r="I69" s="113">
        <f>ROUND(I66,2)</f>
        <v>0</v>
      </c>
      <c r="J69" s="229"/>
      <c r="K69" s="176"/>
      <c r="L69" s="180"/>
      <c r="M69" s="113">
        <f>ROUND(M66,2)</f>
        <v>0</v>
      </c>
      <c r="N69" s="229"/>
      <c r="O69" s="176"/>
      <c r="P69" s="180"/>
      <c r="Q69" s="113">
        <f>ROUND(Q66,2)</f>
        <v>0</v>
      </c>
    </row>
    <row r="70" spans="1:17" x14ac:dyDescent="0.2">
      <c r="A70" s="131"/>
      <c r="B70" s="186" t="s">
        <v>71</v>
      </c>
      <c r="C70" s="176"/>
      <c r="D70" s="180"/>
      <c r="E70" s="127">
        <f>ROUND(E67,2)</f>
        <v>0</v>
      </c>
      <c r="F70" s="128"/>
      <c r="G70" s="176"/>
      <c r="H70" s="180"/>
      <c r="I70" s="127">
        <f>ROUND(I67,2)</f>
        <v>0</v>
      </c>
      <c r="J70" s="128"/>
      <c r="K70" s="176"/>
      <c r="L70" s="180"/>
      <c r="M70" s="127">
        <f>ROUND(M67,2)</f>
        <v>0</v>
      </c>
      <c r="N70" s="128"/>
      <c r="O70" s="176"/>
      <c r="P70" s="180"/>
      <c r="Q70" s="127">
        <f>ROUND(Q67,2)</f>
        <v>0</v>
      </c>
    </row>
    <row r="71" spans="1:17" ht="16.5" thickBot="1" x14ac:dyDescent="0.25">
      <c r="A71" s="131"/>
      <c r="B71" s="187" t="s">
        <v>174</v>
      </c>
      <c r="C71" s="181"/>
      <c r="D71" s="182"/>
      <c r="E71" s="105">
        <f>ROUND(SUM(E68:E70),2)</f>
        <v>0</v>
      </c>
      <c r="F71" s="106"/>
      <c r="G71" s="181"/>
      <c r="H71" s="182"/>
      <c r="I71" s="105">
        <f>ROUND(SUM(I68:I70),2)</f>
        <v>0</v>
      </c>
      <c r="J71" s="106"/>
      <c r="K71" s="181"/>
      <c r="L71" s="182"/>
      <c r="M71" s="105">
        <f>ROUND(SUM(M68:M70),2)</f>
        <v>0</v>
      </c>
      <c r="N71" s="106"/>
      <c r="O71" s="181"/>
      <c r="P71" s="182"/>
      <c r="Q71" s="105">
        <f>ROUND(SUM(Q68:Q70),2)</f>
        <v>0</v>
      </c>
    </row>
    <row r="72" spans="1:17" ht="16.5" thickBot="1" x14ac:dyDescent="0.25">
      <c r="A72" s="131"/>
      <c r="B72" s="117"/>
      <c r="E72" s="194"/>
      <c r="F72" s="194"/>
      <c r="G72" s="194"/>
      <c r="H72" s="194"/>
      <c r="I72" s="194"/>
      <c r="J72" s="194"/>
      <c r="K72" s="194"/>
      <c r="N72" s="132"/>
      <c r="O72" s="194"/>
    </row>
    <row r="73" spans="1:17" ht="16.5" thickBot="1" x14ac:dyDescent="0.3">
      <c r="A73" s="131"/>
      <c r="B73" s="531" t="str">
        <f>B59</f>
        <v>CLIN 0001 (CPIF)                                                    TASK 1.05 PROTOTYPE SUPPORT, INSTALLATION, AND CHECKOUT</v>
      </c>
      <c r="C73" s="517" t="s">
        <v>213</v>
      </c>
      <c r="D73" s="518"/>
      <c r="E73" s="519"/>
      <c r="F73" s="120"/>
      <c r="G73" s="517" t="s">
        <v>64</v>
      </c>
      <c r="H73" s="518"/>
      <c r="I73" s="519"/>
      <c r="J73" s="120"/>
      <c r="K73" s="517" t="s">
        <v>64</v>
      </c>
      <c r="L73" s="518"/>
      <c r="M73" s="519"/>
      <c r="N73" s="120"/>
      <c r="O73" s="517" t="s">
        <v>64</v>
      </c>
      <c r="P73" s="518"/>
      <c r="Q73" s="519"/>
    </row>
    <row r="74" spans="1:17" ht="33.75" customHeight="1" thickBot="1" x14ac:dyDescent="0.3">
      <c r="A74" s="131"/>
      <c r="B74" s="532"/>
      <c r="C74" s="221"/>
      <c r="D74" s="222"/>
      <c r="E74" s="133" t="s">
        <v>200</v>
      </c>
      <c r="F74" s="134"/>
      <c r="G74" s="221"/>
      <c r="H74" s="222"/>
      <c r="I74" s="133" t="s">
        <v>201</v>
      </c>
      <c r="J74" s="134"/>
      <c r="K74" s="221"/>
      <c r="L74" s="222"/>
      <c r="M74" s="133" t="s">
        <v>203</v>
      </c>
      <c r="N74" s="134"/>
      <c r="O74" s="221"/>
      <c r="P74" s="222"/>
      <c r="Q74" s="133" t="s">
        <v>202</v>
      </c>
    </row>
    <row r="75" spans="1:17" x14ac:dyDescent="0.2">
      <c r="A75" s="131"/>
      <c r="B75" s="112" t="s">
        <v>188</v>
      </c>
      <c r="C75" s="223"/>
      <c r="D75" s="223"/>
      <c r="E75" s="135">
        <f>+ROUND(E26+E40+E54+E68,2)</f>
        <v>0</v>
      </c>
      <c r="F75" s="110"/>
      <c r="G75" s="223"/>
      <c r="H75" s="223"/>
      <c r="I75" s="135">
        <f>+ROUND(I26+I40+I54+I68,2)</f>
        <v>0</v>
      </c>
      <c r="J75" s="110"/>
      <c r="K75" s="223"/>
      <c r="L75" s="223"/>
      <c r="M75" s="135">
        <f>+ROUND(M26+M40+M54+M68,2)</f>
        <v>0</v>
      </c>
      <c r="N75" s="110"/>
      <c r="O75" s="223"/>
      <c r="P75" s="223"/>
      <c r="Q75" s="135">
        <f>+ROUND(Q26+Q40+Q54+Q68,2)</f>
        <v>0</v>
      </c>
    </row>
    <row r="76" spans="1:17" x14ac:dyDescent="0.2">
      <c r="A76" s="131"/>
      <c r="B76" s="112" t="s">
        <v>72</v>
      </c>
      <c r="C76" s="223"/>
      <c r="D76" s="223"/>
      <c r="E76" s="113">
        <f>+ROUND(E27+E41+E55+E69,2)</f>
        <v>0</v>
      </c>
      <c r="F76" s="110"/>
      <c r="G76" s="223"/>
      <c r="H76" s="223"/>
      <c r="I76" s="113">
        <f>+ROUND(I27+I41+I55+I69,2)</f>
        <v>0</v>
      </c>
      <c r="J76" s="110"/>
      <c r="K76" s="223"/>
      <c r="L76" s="223"/>
      <c r="M76" s="113">
        <f>+ROUND(M27+M41+M55+M69,2)</f>
        <v>0</v>
      </c>
      <c r="N76" s="110"/>
      <c r="O76" s="223"/>
      <c r="P76" s="223"/>
      <c r="Q76" s="113">
        <f>+ROUND(Q27+Q41+Q55+Q69,2)</f>
        <v>0</v>
      </c>
    </row>
    <row r="77" spans="1:17" x14ac:dyDescent="0.2">
      <c r="A77" s="131"/>
      <c r="B77" s="112" t="s">
        <v>71</v>
      </c>
      <c r="C77" s="223"/>
      <c r="D77" s="223"/>
      <c r="E77" s="114">
        <f>+ROUND(E28+E42+E56+E70,2)</f>
        <v>0</v>
      </c>
      <c r="F77" s="115"/>
      <c r="G77" s="223"/>
      <c r="H77" s="223"/>
      <c r="I77" s="114">
        <f>+ROUND(I28+I42+I56+I70,2)</f>
        <v>0</v>
      </c>
      <c r="J77" s="115"/>
      <c r="K77" s="223"/>
      <c r="L77" s="223"/>
      <c r="M77" s="114">
        <f>+ROUND(M28+M42+M56+M70,2)</f>
        <v>0</v>
      </c>
      <c r="N77" s="115"/>
      <c r="O77" s="223"/>
      <c r="P77" s="223"/>
      <c r="Q77" s="114">
        <f>+ROUND(Q28+Q42+Q56+Q70,2)</f>
        <v>0</v>
      </c>
    </row>
    <row r="78" spans="1:17" ht="32.25" thickBot="1" x14ac:dyDescent="0.3">
      <c r="A78" s="131"/>
      <c r="B78" s="209" t="s">
        <v>344</v>
      </c>
      <c r="C78" s="224"/>
      <c r="D78" s="224"/>
      <c r="E78" s="208">
        <f>SUM(E75:E77)</f>
        <v>0</v>
      </c>
      <c r="F78" s="116"/>
      <c r="G78" s="224"/>
      <c r="H78" s="224"/>
      <c r="I78" s="208">
        <f>SUM(I75:I77)</f>
        <v>0</v>
      </c>
      <c r="J78" s="116"/>
      <c r="K78" s="224"/>
      <c r="L78" s="224"/>
      <c r="M78" s="208">
        <f>SUM(M75:M77)</f>
        <v>0</v>
      </c>
      <c r="N78" s="116"/>
      <c r="O78" s="224"/>
      <c r="P78" s="224"/>
      <c r="Q78" s="208">
        <f>SUM(Q75:Q77)</f>
        <v>0</v>
      </c>
    </row>
    <row r="79" spans="1:17" ht="16.5" thickBot="1" x14ac:dyDescent="0.3"/>
    <row r="80" spans="1:17" ht="31.5" x14ac:dyDescent="0.25">
      <c r="Q80" s="323" t="s">
        <v>345</v>
      </c>
    </row>
    <row r="81" spans="17:17" ht="16.5" thickBot="1" x14ac:dyDescent="0.3">
      <c r="Q81" s="322">
        <f>E78+I78+M78+Q78</f>
        <v>0</v>
      </c>
    </row>
  </sheetData>
  <mergeCells count="46">
    <mergeCell ref="C49:E49"/>
    <mergeCell ref="G49:I49"/>
    <mergeCell ref="K49:M49"/>
    <mergeCell ref="O49:Q49"/>
    <mergeCell ref="B45:B46"/>
    <mergeCell ref="C45:E45"/>
    <mergeCell ref="G45:I45"/>
    <mergeCell ref="K45:M45"/>
    <mergeCell ref="O45:Q45"/>
    <mergeCell ref="C46:E46"/>
    <mergeCell ref="G46:I46"/>
    <mergeCell ref="K46:M46"/>
    <mergeCell ref="O46:Q46"/>
    <mergeCell ref="O60:Q60"/>
    <mergeCell ref="O73:Q73"/>
    <mergeCell ref="O14:Q14"/>
    <mergeCell ref="O15:Q15"/>
    <mergeCell ref="O31:Q31"/>
    <mergeCell ref="O32:Q32"/>
    <mergeCell ref="O59:Q59"/>
    <mergeCell ref="C15:E15"/>
    <mergeCell ref="G15:I15"/>
    <mergeCell ref="K15:M15"/>
    <mergeCell ref="A4:C4"/>
    <mergeCell ref="B14:B15"/>
    <mergeCell ref="C14:E14"/>
    <mergeCell ref="G14:I14"/>
    <mergeCell ref="K14:M14"/>
    <mergeCell ref="B31:B32"/>
    <mergeCell ref="C31:E31"/>
    <mergeCell ref="G31:I31"/>
    <mergeCell ref="K31:M31"/>
    <mergeCell ref="C32:E32"/>
    <mergeCell ref="G32:I32"/>
    <mergeCell ref="K32:M32"/>
    <mergeCell ref="B59:B60"/>
    <mergeCell ref="C59:E59"/>
    <mergeCell ref="G59:I59"/>
    <mergeCell ref="K59:M59"/>
    <mergeCell ref="B73:B74"/>
    <mergeCell ref="C73:E73"/>
    <mergeCell ref="G73:I73"/>
    <mergeCell ref="K73:M73"/>
    <mergeCell ref="C60:E60"/>
    <mergeCell ref="G60:I60"/>
    <mergeCell ref="K60:M60"/>
  </mergeCells>
  <pageMargins left="0.7" right="0.7" top="0.75" bottom="0.75" header="0.3" footer="0.3"/>
  <pageSetup orientation="portrait" horizontalDpi="1200" verticalDpi="120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FBCE45-7AAA-4A9D-B849-EB61CF0C650E}">
  <sheetPr>
    <tabColor theme="0"/>
  </sheetPr>
  <dimension ref="A1:Q81"/>
  <sheetViews>
    <sheetView zoomScale="80" zoomScaleNormal="80" workbookViewId="0">
      <pane ySplit="12" topLeftCell="A55" activePane="bottomLeft" state="frozen"/>
      <selection pane="bottomLeft" activeCell="P66" sqref="P66"/>
    </sheetView>
  </sheetViews>
  <sheetFormatPr defaultColWidth="15.85546875" defaultRowHeight="15.75" x14ac:dyDescent="0.25"/>
  <cols>
    <col min="1" max="1" width="3.42578125" style="136" customWidth="1"/>
    <col min="2" max="2" width="49.140625" style="119" customWidth="1"/>
    <col min="3" max="3" width="18.28515625" style="131" bestFit="1" customWidth="1"/>
    <col min="4" max="4" width="12.42578125" style="131" bestFit="1" customWidth="1"/>
    <col min="5" max="5" width="32.140625" style="131" bestFit="1" customWidth="1"/>
    <col min="6" max="6" width="1" style="131" customWidth="1"/>
    <col min="7" max="7" width="14.28515625" style="131" customWidth="1"/>
    <col min="8" max="8" width="14.5703125" style="131" customWidth="1"/>
    <col min="9" max="9" width="35.42578125" style="131" bestFit="1" customWidth="1"/>
    <col min="10" max="10" width="1" style="131" customWidth="1"/>
    <col min="11" max="11" width="16.7109375" style="131" customWidth="1"/>
    <col min="12" max="12" width="16.28515625" style="131" customWidth="1"/>
    <col min="13" max="13" width="34.42578125" style="131" bestFit="1" customWidth="1"/>
    <col min="14" max="14" width="0.85546875" style="131" customWidth="1"/>
    <col min="15" max="16" width="15.85546875" style="131"/>
    <col min="17" max="17" width="34" style="131" bestFit="1" customWidth="1"/>
    <col min="18" max="16384" width="15.85546875" style="131"/>
  </cols>
  <sheetData>
    <row r="1" spans="1:17" ht="16.5" thickBot="1" x14ac:dyDescent="0.3">
      <c r="B1" s="321" t="s">
        <v>460</v>
      </c>
      <c r="C1" s="394" t="str">
        <f>'SUB CPIF RATES (ALL)'!C1</f>
        <v xml:space="preserve">NAME </v>
      </c>
      <c r="D1" s="393"/>
    </row>
    <row r="2" spans="1:17" ht="16.5" thickBot="1" x14ac:dyDescent="0.3">
      <c r="B2" s="395" t="s">
        <v>459</v>
      </c>
      <c r="C2" s="396" t="str">
        <f>'SUB CPIF RATES (ALL)'!C2</f>
        <v xml:space="preserve">NAME </v>
      </c>
    </row>
    <row r="3" spans="1:17" ht="16.5" thickBot="1" x14ac:dyDescent="0.3"/>
    <row r="4" spans="1:17" ht="52.5" customHeight="1" thickBot="1" x14ac:dyDescent="0.3">
      <c r="A4" s="466" t="s">
        <v>209</v>
      </c>
      <c r="B4" s="467"/>
      <c r="C4" s="468"/>
      <c r="I4" s="194" t="s">
        <v>84</v>
      </c>
    </row>
    <row r="6" spans="1:17" s="202" customFormat="1" ht="17.25" customHeight="1" x14ac:dyDescent="0.2">
      <c r="A6" s="203"/>
      <c r="B6" s="204" t="s">
        <v>65</v>
      </c>
    </row>
    <row r="7" spans="1:17" s="202" customFormat="1" x14ac:dyDescent="0.25">
      <c r="A7" s="201"/>
      <c r="B7" s="201" t="s">
        <v>441</v>
      </c>
    </row>
    <row r="8" spans="1:17" s="202" customFormat="1" x14ac:dyDescent="0.25">
      <c r="A8" s="201"/>
      <c r="B8" s="201" t="s">
        <v>281</v>
      </c>
    </row>
    <row r="9" spans="1:17" s="202" customFormat="1" x14ac:dyDescent="0.25">
      <c r="A9" s="201"/>
      <c r="B9" s="201" t="s">
        <v>442</v>
      </c>
    </row>
    <row r="10" spans="1:17" s="202" customFormat="1" x14ac:dyDescent="0.25">
      <c r="A10" s="201"/>
      <c r="B10" s="201" t="s">
        <v>463</v>
      </c>
    </row>
    <row r="11" spans="1:17" x14ac:dyDescent="0.25">
      <c r="A11" s="137"/>
      <c r="B11" s="201" t="s">
        <v>464</v>
      </c>
      <c r="C11" s="139"/>
    </row>
    <row r="12" spans="1:17" x14ac:dyDescent="0.25">
      <c r="A12" s="137"/>
      <c r="B12" s="201" t="s">
        <v>346</v>
      </c>
      <c r="C12" s="139"/>
    </row>
    <row r="13" spans="1:17" ht="16.5" thickBot="1" x14ac:dyDescent="0.3"/>
    <row r="14" spans="1:17" ht="16.5" thickBot="1" x14ac:dyDescent="0.3">
      <c r="A14" s="138"/>
      <c r="B14" s="523" t="s">
        <v>347</v>
      </c>
      <c r="C14" s="490" t="s">
        <v>69</v>
      </c>
      <c r="D14" s="491"/>
      <c r="E14" s="492"/>
      <c r="F14" s="96"/>
      <c r="G14" s="490" t="s">
        <v>69</v>
      </c>
      <c r="H14" s="491"/>
      <c r="I14" s="492"/>
      <c r="J14" s="96"/>
      <c r="K14" s="490" t="s">
        <v>69</v>
      </c>
      <c r="L14" s="491"/>
      <c r="M14" s="492"/>
      <c r="N14" s="96"/>
      <c r="O14" s="490" t="s">
        <v>69</v>
      </c>
      <c r="P14" s="491"/>
      <c r="Q14" s="492"/>
    </row>
    <row r="15" spans="1:17" ht="32.25" customHeight="1" thickBot="1" x14ac:dyDescent="0.3">
      <c r="A15" s="138"/>
      <c r="B15" s="524"/>
      <c r="C15" s="520" t="s">
        <v>205</v>
      </c>
      <c r="D15" s="521"/>
      <c r="E15" s="522"/>
      <c r="F15" s="97"/>
      <c r="G15" s="520" t="s">
        <v>206</v>
      </c>
      <c r="H15" s="521"/>
      <c r="I15" s="522"/>
      <c r="J15" s="97"/>
      <c r="K15" s="520" t="s">
        <v>207</v>
      </c>
      <c r="L15" s="521"/>
      <c r="M15" s="522"/>
      <c r="N15" s="97"/>
      <c r="O15" s="520" t="s">
        <v>208</v>
      </c>
      <c r="P15" s="521"/>
      <c r="Q15" s="522"/>
    </row>
    <row r="16" spans="1:17" x14ac:dyDescent="0.25">
      <c r="A16" s="138"/>
      <c r="B16" s="98" t="s">
        <v>46</v>
      </c>
      <c r="C16" s="98" t="s">
        <v>29</v>
      </c>
      <c r="D16" s="99" t="s">
        <v>68</v>
      </c>
      <c r="E16" s="100" t="s">
        <v>74</v>
      </c>
      <c r="F16" s="101"/>
      <c r="G16" s="98" t="s">
        <v>29</v>
      </c>
      <c r="H16" s="99" t="s">
        <v>68</v>
      </c>
      <c r="I16" s="100" t="s">
        <v>74</v>
      </c>
      <c r="J16" s="101"/>
      <c r="K16" s="98" t="s">
        <v>29</v>
      </c>
      <c r="L16" s="99" t="s">
        <v>68</v>
      </c>
      <c r="M16" s="100" t="s">
        <v>74</v>
      </c>
      <c r="N16" s="101"/>
      <c r="O16" s="98" t="s">
        <v>29</v>
      </c>
      <c r="P16" s="99" t="s">
        <v>68</v>
      </c>
      <c r="Q16" s="100" t="s">
        <v>74</v>
      </c>
    </row>
    <row r="17" spans="1:17" ht="30" customHeight="1" thickBot="1" x14ac:dyDescent="0.3">
      <c r="A17" s="138"/>
      <c r="B17" s="148" t="s">
        <v>443</v>
      </c>
      <c r="C17" s="230"/>
      <c r="D17" s="231"/>
      <c r="E17" s="232"/>
      <c r="F17" s="101"/>
      <c r="G17" s="230"/>
      <c r="H17" s="231"/>
      <c r="I17" s="232"/>
      <c r="J17" s="101"/>
      <c r="K17" s="230"/>
      <c r="L17" s="231"/>
      <c r="M17" s="232"/>
      <c r="N17" s="101"/>
      <c r="O17" s="230"/>
      <c r="P17" s="231"/>
      <c r="Q17" s="232"/>
    </row>
    <row r="18" spans="1:17" ht="16.5" thickBot="1" x14ac:dyDescent="0.3">
      <c r="A18" s="138"/>
      <c r="B18" s="239" t="s">
        <v>87</v>
      </c>
      <c r="C18" s="108">
        <f>'SUB CPIF LABOR INPUTS'!D134</f>
        <v>0</v>
      </c>
      <c r="D18" s="150"/>
      <c r="E18" s="109">
        <f>'SUB CPIF LABOR INPUTS'!F134</f>
        <v>0</v>
      </c>
      <c r="F18" s="110"/>
      <c r="G18" s="108">
        <f>'SUB CPIF LABOR INPUTS'!H134</f>
        <v>0</v>
      </c>
      <c r="H18" s="150"/>
      <c r="I18" s="109">
        <f>'SUB CPIF LABOR INPUTS'!J134</f>
        <v>0</v>
      </c>
      <c r="J18" s="110"/>
      <c r="K18" s="108">
        <f>'SUB CPIF LABOR INPUTS'!L134</f>
        <v>0</v>
      </c>
      <c r="L18" s="150"/>
      <c r="M18" s="109">
        <f>'SUB CPIF LABOR INPUTS'!N134</f>
        <v>0</v>
      </c>
      <c r="N18" s="110"/>
      <c r="O18" s="108">
        <f>'SUB CPIF LABOR INPUTS'!P134</f>
        <v>0</v>
      </c>
      <c r="P18" s="150"/>
      <c r="Q18" s="109">
        <f>'SUB CPIF LABOR INPUTS'!R134</f>
        <v>0</v>
      </c>
    </row>
    <row r="19" spans="1:17" x14ac:dyDescent="0.25">
      <c r="A19" s="138"/>
      <c r="B19" s="149"/>
      <c r="C19" s="98" t="s">
        <v>289</v>
      </c>
      <c r="D19" s="99" t="s">
        <v>286</v>
      </c>
      <c r="E19" s="100" t="s">
        <v>288</v>
      </c>
      <c r="F19" s="111"/>
      <c r="G19" s="98" t="s">
        <v>289</v>
      </c>
      <c r="H19" s="99" t="s">
        <v>286</v>
      </c>
      <c r="I19" s="100" t="s">
        <v>288</v>
      </c>
      <c r="J19" s="111"/>
      <c r="K19" s="98" t="s">
        <v>289</v>
      </c>
      <c r="L19" s="99" t="s">
        <v>286</v>
      </c>
      <c r="M19" s="100" t="s">
        <v>288</v>
      </c>
      <c r="N19" s="111"/>
      <c r="O19" s="98" t="s">
        <v>289</v>
      </c>
      <c r="P19" s="99" t="s">
        <v>286</v>
      </c>
      <c r="Q19" s="100" t="s">
        <v>288</v>
      </c>
    </row>
    <row r="20" spans="1:17" ht="64.5" customHeight="1" x14ac:dyDescent="0.25">
      <c r="A20" s="138"/>
      <c r="B20" s="261" t="s">
        <v>279</v>
      </c>
      <c r="C20" s="230"/>
      <c r="D20" s="231"/>
      <c r="E20" s="232"/>
      <c r="F20" s="147"/>
      <c r="G20" s="230"/>
      <c r="H20" s="231"/>
      <c r="I20" s="232"/>
      <c r="J20" s="147"/>
      <c r="K20" s="230"/>
      <c r="L20" s="231"/>
      <c r="M20" s="232"/>
      <c r="N20" s="147"/>
      <c r="O20" s="230"/>
      <c r="P20" s="231"/>
      <c r="Q20" s="232"/>
    </row>
    <row r="21" spans="1:17" x14ac:dyDescent="0.25">
      <c r="A21" s="138"/>
      <c r="B21" s="112" t="str">
        <f>'SUB CPIF RATES (ALL)'!B36</f>
        <v>Indirect Labor Category:  [Labor Fringe]</v>
      </c>
      <c r="C21" s="160">
        <f>+E18</f>
        <v>0</v>
      </c>
      <c r="D21" s="188">
        <f>'SUB CPIF RATES (ALL)'!C36</f>
        <v>0</v>
      </c>
      <c r="E21" s="113">
        <f>ROUND(C21*D21,2)</f>
        <v>0</v>
      </c>
      <c r="F21" s="110"/>
      <c r="G21" s="160">
        <f>+I18</f>
        <v>0</v>
      </c>
      <c r="H21" s="188">
        <f>'SUB CPIF RATES (ALL)'!D36</f>
        <v>0</v>
      </c>
      <c r="I21" s="113">
        <f>ROUND(G21*H21,2)</f>
        <v>0</v>
      </c>
      <c r="J21" s="110"/>
      <c r="K21" s="160">
        <f>+M18</f>
        <v>0</v>
      </c>
      <c r="L21" s="188">
        <f>'SUB CPIF RATES (ALL)'!E36</f>
        <v>0</v>
      </c>
      <c r="M21" s="113">
        <f>ROUND(K21*L21,2)</f>
        <v>0</v>
      </c>
      <c r="N21" s="110"/>
      <c r="O21" s="160">
        <f>+Q18</f>
        <v>0</v>
      </c>
      <c r="P21" s="188">
        <f>'SUB CPIF RATES (ALL)'!F36</f>
        <v>0</v>
      </c>
      <c r="Q21" s="113">
        <f>ROUND(O21*P21,2)</f>
        <v>0</v>
      </c>
    </row>
    <row r="22" spans="1:17" x14ac:dyDescent="0.25">
      <c r="A22" s="138"/>
      <c r="B22" s="112" t="str">
        <f>'SUB CPIF RATES (ALL)'!B37</f>
        <v>Indirect Labor Category: [Labor Overhead]</v>
      </c>
      <c r="C22" s="160">
        <f>+C21+E21</f>
        <v>0</v>
      </c>
      <c r="D22" s="188">
        <f>'SUB CPIF RATES (ALL)'!C37</f>
        <v>0</v>
      </c>
      <c r="E22" s="113">
        <f>ROUND(C22*D22,2)</f>
        <v>0</v>
      </c>
      <c r="F22" s="110"/>
      <c r="G22" s="160">
        <f>+G21+I21</f>
        <v>0</v>
      </c>
      <c r="H22" s="188">
        <f>'SUB CPIF RATES (ALL)'!D37</f>
        <v>0</v>
      </c>
      <c r="I22" s="113">
        <f>ROUND(G22*H22,2)</f>
        <v>0</v>
      </c>
      <c r="J22" s="110"/>
      <c r="K22" s="160">
        <f>+K21+M21</f>
        <v>0</v>
      </c>
      <c r="L22" s="188">
        <f>'SUB CPIF RATES (ALL)'!E37</f>
        <v>0</v>
      </c>
      <c r="M22" s="113">
        <f>ROUND(K22*L22,2)</f>
        <v>0</v>
      </c>
      <c r="N22" s="110"/>
      <c r="O22" s="160">
        <f>+O21+Q21</f>
        <v>0</v>
      </c>
      <c r="P22" s="188">
        <f>'SUB CPIF RATES (ALL)'!F37</f>
        <v>0</v>
      </c>
      <c r="Q22" s="113">
        <f>ROUND(O22*P22,2)</f>
        <v>0</v>
      </c>
    </row>
    <row r="23" spans="1:17" x14ac:dyDescent="0.25">
      <c r="A23" s="138"/>
      <c r="B23" s="112" t="str">
        <f>'SUB CPIF RATES (ALL)'!B38</f>
        <v>Indirect Labor Category: [G&amp;A]</v>
      </c>
      <c r="C23" s="160">
        <f>+C22+E22</f>
        <v>0</v>
      </c>
      <c r="D23" s="188">
        <f>'SUB CPIF RATES (ALL)'!C38</f>
        <v>0</v>
      </c>
      <c r="E23" s="113">
        <f>ROUND(C23*D23,2)</f>
        <v>0</v>
      </c>
      <c r="F23" s="110"/>
      <c r="G23" s="160">
        <f>+G22+I22</f>
        <v>0</v>
      </c>
      <c r="H23" s="188">
        <f>'SUB CPIF RATES (ALL)'!D38</f>
        <v>0</v>
      </c>
      <c r="I23" s="113">
        <f>ROUND(G23*H23,2)</f>
        <v>0</v>
      </c>
      <c r="J23" s="110"/>
      <c r="K23" s="160">
        <f>+K22+M22</f>
        <v>0</v>
      </c>
      <c r="L23" s="188">
        <f>'SUB CPIF RATES (ALL)'!E38</f>
        <v>0</v>
      </c>
      <c r="M23" s="113">
        <f>ROUND(K23*L23,2)</f>
        <v>0</v>
      </c>
      <c r="N23" s="110"/>
      <c r="O23" s="160">
        <f>+O22+Q22</f>
        <v>0</v>
      </c>
      <c r="P23" s="188">
        <f>'SUB CPIF RATES (ALL)'!F38</f>
        <v>0</v>
      </c>
      <c r="Q23" s="113">
        <f>ROUND(O23*P23,2)</f>
        <v>0</v>
      </c>
    </row>
    <row r="24" spans="1:17" x14ac:dyDescent="0.25">
      <c r="A24" s="138"/>
      <c r="B24" s="112" t="str">
        <f>'SUB CPIF RATES (ALL)'!B39</f>
        <v>Indirect Labor Category: [FCCOM]</v>
      </c>
      <c r="C24" s="160">
        <f>C23+E23</f>
        <v>0</v>
      </c>
      <c r="D24" s="188">
        <f>'SUB CPIF RATES (ALL)'!C39</f>
        <v>0</v>
      </c>
      <c r="E24" s="113">
        <f>ROUND(C24*D24,2)</f>
        <v>0</v>
      </c>
      <c r="F24" s="110"/>
      <c r="G24" s="160">
        <f>G23+I23</f>
        <v>0</v>
      </c>
      <c r="H24" s="188">
        <f>'SUB CPIF RATES (ALL)'!D39</f>
        <v>0</v>
      </c>
      <c r="I24" s="113">
        <f>ROUND(G24*H24,2)</f>
        <v>0</v>
      </c>
      <c r="J24" s="110"/>
      <c r="K24" s="160">
        <f>K23+M23</f>
        <v>0</v>
      </c>
      <c r="L24" s="188">
        <f>'SUB CPIF RATES (ALL)'!E39</f>
        <v>0</v>
      </c>
      <c r="M24" s="113">
        <f>ROUND(K24*L24,2)</f>
        <v>0</v>
      </c>
      <c r="N24" s="110"/>
      <c r="O24" s="160">
        <f>O23+Q23</f>
        <v>0</v>
      </c>
      <c r="P24" s="188">
        <f>'SUB CPIF RATES (ALL)'!F39</f>
        <v>0</v>
      </c>
      <c r="Q24" s="113">
        <f>ROUND(O24*P24,2)</f>
        <v>0</v>
      </c>
    </row>
    <row r="25" spans="1:17" x14ac:dyDescent="0.25">
      <c r="A25" s="138"/>
      <c r="B25" s="112" t="str">
        <f>'SUB CPIF RATES (ALL)'!B40</f>
        <v>Indirect Labor Category: [Target Fee]</v>
      </c>
      <c r="C25" s="160">
        <f>+C23+E23</f>
        <v>0</v>
      </c>
      <c r="D25" s="188">
        <f>'SUB CPIF RATES (ALL)'!C40</f>
        <v>0</v>
      </c>
      <c r="E25" s="113">
        <f>ROUND(C25*D25,2)</f>
        <v>0</v>
      </c>
      <c r="F25" s="110"/>
      <c r="G25" s="160">
        <f>+G23+I23</f>
        <v>0</v>
      </c>
      <c r="H25" s="188">
        <f>'SUB CPIF RATES (ALL)'!D40</f>
        <v>0</v>
      </c>
      <c r="I25" s="113">
        <f>ROUND(G25*H25,2)</f>
        <v>0</v>
      </c>
      <c r="J25" s="110"/>
      <c r="K25" s="160">
        <f>+K23+M23</f>
        <v>0</v>
      </c>
      <c r="L25" s="188">
        <f>'SUB CPIF RATES (ALL)'!E40</f>
        <v>0</v>
      </c>
      <c r="M25" s="113">
        <f>ROUND(K25*L25,2)</f>
        <v>0</v>
      </c>
      <c r="N25" s="110"/>
      <c r="O25" s="160">
        <f>+O23+Q23</f>
        <v>0</v>
      </c>
      <c r="P25" s="188">
        <f>'SUB CPIF RATES (ALL)'!F40</f>
        <v>0</v>
      </c>
      <c r="Q25" s="113">
        <f>ROUND(O25*P25,2)</f>
        <v>0</v>
      </c>
    </row>
    <row r="26" spans="1:17" x14ac:dyDescent="0.25">
      <c r="A26" s="138"/>
      <c r="B26" s="205" t="s">
        <v>185</v>
      </c>
      <c r="C26" s="155"/>
      <c r="D26" s="156"/>
      <c r="E26" s="175">
        <f>ROUND(SUM(E18,E21,E22,E23),2)</f>
        <v>0</v>
      </c>
      <c r="F26" s="110"/>
      <c r="G26" s="151"/>
      <c r="H26" s="152"/>
      <c r="I26" s="175">
        <f>ROUND(SUM(I18,I21,I22,I23),2)</f>
        <v>0</v>
      </c>
      <c r="J26" s="110"/>
      <c r="K26" s="151"/>
      <c r="L26" s="152"/>
      <c r="M26" s="175">
        <f>ROUND(SUM(M18,M21,M22,M23),2)</f>
        <v>0</v>
      </c>
      <c r="N26" s="110"/>
      <c r="O26" s="151"/>
      <c r="P26" s="152"/>
      <c r="Q26" s="175">
        <f>ROUND(SUM(Q18,Q21,Q22,Q23),2)</f>
        <v>0</v>
      </c>
    </row>
    <row r="27" spans="1:17" x14ac:dyDescent="0.25">
      <c r="A27" s="138"/>
      <c r="B27" s="205" t="s">
        <v>72</v>
      </c>
      <c r="C27" s="155"/>
      <c r="D27" s="156"/>
      <c r="E27" s="175">
        <f>ROUND(E24,2)</f>
        <v>0</v>
      </c>
      <c r="F27" s="110"/>
      <c r="G27" s="151"/>
      <c r="H27" s="152"/>
      <c r="I27" s="175">
        <f>ROUND(I24,2)</f>
        <v>0</v>
      </c>
      <c r="J27" s="110"/>
      <c r="K27" s="151"/>
      <c r="L27" s="152"/>
      <c r="M27" s="175">
        <f>ROUND(M24,2)</f>
        <v>0</v>
      </c>
      <c r="N27" s="110"/>
      <c r="O27" s="151"/>
      <c r="P27" s="152"/>
      <c r="Q27" s="175">
        <f>ROUND(Q24,2)</f>
        <v>0</v>
      </c>
    </row>
    <row r="28" spans="1:17" x14ac:dyDescent="0.25">
      <c r="A28" s="138"/>
      <c r="B28" s="205" t="s">
        <v>71</v>
      </c>
      <c r="C28" s="155"/>
      <c r="D28" s="156"/>
      <c r="E28" s="190">
        <f>ROUND(E25,2)</f>
        <v>0</v>
      </c>
      <c r="F28" s="115"/>
      <c r="G28" s="151"/>
      <c r="H28" s="152"/>
      <c r="I28" s="190">
        <f>ROUND(I25,2)</f>
        <v>0</v>
      </c>
      <c r="J28" s="115"/>
      <c r="K28" s="151"/>
      <c r="L28" s="152"/>
      <c r="M28" s="190">
        <f>ROUND(M25,2)</f>
        <v>0</v>
      </c>
      <c r="N28" s="115"/>
      <c r="O28" s="151"/>
      <c r="P28" s="152"/>
      <c r="Q28" s="190">
        <f>ROUND(Q25,2)</f>
        <v>0</v>
      </c>
    </row>
    <row r="29" spans="1:17" ht="16.5" thickBot="1" x14ac:dyDescent="0.3">
      <c r="A29" s="138"/>
      <c r="B29" s="206" t="s">
        <v>73</v>
      </c>
      <c r="C29" s="157"/>
      <c r="D29" s="158"/>
      <c r="E29" s="191">
        <f>ROUND(SUM(E26:E28),2)</f>
        <v>0</v>
      </c>
      <c r="F29" s="116"/>
      <c r="G29" s="153"/>
      <c r="H29" s="154"/>
      <c r="I29" s="191">
        <f>ROUND(SUM(I26:I28),2)</f>
        <v>0</v>
      </c>
      <c r="J29" s="116"/>
      <c r="K29" s="153"/>
      <c r="L29" s="154"/>
      <c r="M29" s="191">
        <f>ROUND(SUM(M26:M28),2)</f>
        <v>0</v>
      </c>
      <c r="N29" s="116"/>
      <c r="O29" s="153"/>
      <c r="P29" s="154"/>
      <c r="Q29" s="191">
        <f>ROUND(SUM(Q26:Q28),2)</f>
        <v>0</v>
      </c>
    </row>
    <row r="30" spans="1:17" ht="16.5" thickBot="1" x14ac:dyDescent="0.3">
      <c r="A30" s="138"/>
      <c r="B30" s="117"/>
      <c r="C30" s="118"/>
      <c r="D30" s="118"/>
      <c r="E30" s="199"/>
      <c r="F30" s="199"/>
      <c r="G30" s="199"/>
      <c r="H30" s="199"/>
      <c r="I30" s="199"/>
      <c r="J30" s="199"/>
      <c r="K30" s="199"/>
      <c r="L30" s="118"/>
      <c r="M30" s="118"/>
      <c r="N30" s="110"/>
      <c r="O30" s="199"/>
      <c r="P30" s="118"/>
      <c r="Q30" s="118"/>
    </row>
    <row r="31" spans="1:17" ht="16.5" customHeight="1" thickBot="1" x14ac:dyDescent="0.3">
      <c r="A31" s="138"/>
      <c r="B31" s="523" t="str">
        <f>B14</f>
        <v>CLIN 0001 (CPIF)                                                    TASK 1.06 QUALIFICATION, DEVELOPMENTAL, AND OPERATIONAL TESTING</v>
      </c>
      <c r="C31" s="490" t="s">
        <v>80</v>
      </c>
      <c r="D31" s="491"/>
      <c r="E31" s="492"/>
      <c r="F31" s="120"/>
      <c r="G31" s="490" t="s">
        <v>80</v>
      </c>
      <c r="H31" s="491"/>
      <c r="I31" s="492"/>
      <c r="J31" s="120"/>
      <c r="K31" s="490" t="s">
        <v>80</v>
      </c>
      <c r="L31" s="491"/>
      <c r="M31" s="492"/>
      <c r="N31" s="120"/>
      <c r="O31" s="490" t="s">
        <v>80</v>
      </c>
      <c r="P31" s="491"/>
      <c r="Q31" s="492"/>
    </row>
    <row r="32" spans="1:17" ht="32.25" customHeight="1" thickBot="1" x14ac:dyDescent="0.3">
      <c r="A32" s="138"/>
      <c r="B32" s="524"/>
      <c r="C32" s="520" t="str">
        <f>C15</f>
        <v>CLIN 0001 - Basic Period (Year 1)</v>
      </c>
      <c r="D32" s="521"/>
      <c r="E32" s="522"/>
      <c r="F32" s="121"/>
      <c r="G32" s="520" t="str">
        <f>G15</f>
        <v>CLIN 0001 - Basic Period (Year 2)</v>
      </c>
      <c r="H32" s="521"/>
      <c r="I32" s="522"/>
      <c r="J32" s="121"/>
      <c r="K32" s="520" t="str">
        <f>K15</f>
        <v>CLIN 0001 - Basic Period (Year 3)</v>
      </c>
      <c r="L32" s="521"/>
      <c r="M32" s="522"/>
      <c r="N32" s="121"/>
      <c r="O32" s="520" t="str">
        <f>O15</f>
        <v>CLIN 0001 - Basic Period (Year 4)</v>
      </c>
      <c r="P32" s="521"/>
      <c r="Q32" s="522"/>
    </row>
    <row r="33" spans="1:17" x14ac:dyDescent="0.25">
      <c r="A33" s="138"/>
      <c r="B33" s="192"/>
      <c r="C33" s="98" t="s">
        <v>289</v>
      </c>
      <c r="D33" s="99" t="s">
        <v>286</v>
      </c>
      <c r="E33" s="100" t="s">
        <v>88</v>
      </c>
      <c r="F33" s="111"/>
      <c r="G33" s="98" t="s">
        <v>289</v>
      </c>
      <c r="H33" s="99" t="s">
        <v>286</v>
      </c>
      <c r="I33" s="100" t="s">
        <v>88</v>
      </c>
      <c r="J33" s="111"/>
      <c r="K33" s="98" t="s">
        <v>289</v>
      </c>
      <c r="L33" s="99" t="s">
        <v>286</v>
      </c>
      <c r="M33" s="100" t="s">
        <v>88</v>
      </c>
      <c r="N33" s="111"/>
      <c r="O33" s="98" t="s">
        <v>289</v>
      </c>
      <c r="P33" s="99" t="s">
        <v>286</v>
      </c>
      <c r="Q33" s="100" t="s">
        <v>88</v>
      </c>
    </row>
    <row r="34" spans="1:17" ht="51.75" x14ac:dyDescent="0.25">
      <c r="A34" s="138"/>
      <c r="B34" s="240" t="s">
        <v>445</v>
      </c>
      <c r="C34" s="176"/>
      <c r="D34" s="177"/>
      <c r="E34" s="310">
        <f>'SUB CPIF TOTAL MATERIAL'!E17</f>
        <v>0</v>
      </c>
      <c r="F34" s="110"/>
      <c r="G34" s="176"/>
      <c r="H34" s="177"/>
      <c r="I34" s="310">
        <f>'SUB CPIF TOTAL MATERIAL'!G17</f>
        <v>0</v>
      </c>
      <c r="J34" s="110"/>
      <c r="K34" s="176"/>
      <c r="L34" s="177"/>
      <c r="M34" s="310">
        <f>'SUB CPIF TOTAL MATERIAL'!I17</f>
        <v>0</v>
      </c>
      <c r="N34" s="110"/>
      <c r="O34" s="176"/>
      <c r="P34" s="132"/>
      <c r="Q34" s="310">
        <f>'SUB CPIF TOTAL MATERIAL'!K17</f>
        <v>0</v>
      </c>
    </row>
    <row r="35" spans="1:17" ht="67.5" customHeight="1" x14ac:dyDescent="0.25">
      <c r="A35" s="138"/>
      <c r="B35" s="261" t="s">
        <v>446</v>
      </c>
      <c r="C35" s="315"/>
      <c r="D35" s="316"/>
      <c r="E35" s="310"/>
      <c r="F35" s="110"/>
      <c r="G35" s="315"/>
      <c r="H35" s="316"/>
      <c r="I35" s="310"/>
      <c r="J35" s="110"/>
      <c r="K35" s="315"/>
      <c r="L35" s="316"/>
      <c r="M35" s="310"/>
      <c r="N35" s="110"/>
      <c r="O35" s="315"/>
      <c r="P35" s="316"/>
      <c r="Q35" s="310"/>
    </row>
    <row r="36" spans="1:17" x14ac:dyDescent="0.25">
      <c r="A36" s="138"/>
      <c r="B36" s="112" t="str">
        <f>'SUB CPIF RATES (ALL)'!B53</f>
        <v>Indirect Category: [Material Overhead]</v>
      </c>
      <c r="C36" s="160">
        <f>+E34</f>
        <v>0</v>
      </c>
      <c r="D36" s="188">
        <f>'SUB CPIF RATES (ALL)'!C53</f>
        <v>0</v>
      </c>
      <c r="E36" s="113">
        <f>ROUND(C36*D36,2)</f>
        <v>0</v>
      </c>
      <c r="F36" s="123"/>
      <c r="G36" s="160">
        <f>+I34</f>
        <v>0</v>
      </c>
      <c r="H36" s="188">
        <f>'SUB CPIF RATES (ALL)'!D53</f>
        <v>0</v>
      </c>
      <c r="I36" s="113">
        <f>ROUND(G36*H36,2)</f>
        <v>0</v>
      </c>
      <c r="J36" s="123"/>
      <c r="K36" s="160">
        <f>+M34</f>
        <v>0</v>
      </c>
      <c r="L36" s="188">
        <f>'SUB CPIF RATES (ALL)'!E53</f>
        <v>0</v>
      </c>
      <c r="M36" s="113">
        <f>ROUND(K36*L36,2)</f>
        <v>0</v>
      </c>
      <c r="N36" s="123"/>
      <c r="O36" s="160">
        <f>+Q34</f>
        <v>0</v>
      </c>
      <c r="P36" s="188">
        <f>'SUB CPIF RATES (ALL)'!F53</f>
        <v>0</v>
      </c>
      <c r="Q36" s="113">
        <f>ROUND(O36*P36,2)</f>
        <v>0</v>
      </c>
    </row>
    <row r="37" spans="1:17" x14ac:dyDescent="0.25">
      <c r="A37" s="138"/>
      <c r="B37" s="112" t="str">
        <f>'SUB CPIF RATES (ALL)'!B54</f>
        <v>Indirect Category: [G&amp;A]</v>
      </c>
      <c r="C37" s="160">
        <f>+C36+E36</f>
        <v>0</v>
      </c>
      <c r="D37" s="188">
        <f>'SUB CPIF RATES (ALL)'!C54</f>
        <v>0</v>
      </c>
      <c r="E37" s="113">
        <f>ROUND(C37*D37,2)</f>
        <v>0</v>
      </c>
      <c r="F37" s="123"/>
      <c r="G37" s="160">
        <f>+G36+I36</f>
        <v>0</v>
      </c>
      <c r="H37" s="188">
        <f>'SUB CPIF RATES (ALL)'!D54</f>
        <v>0</v>
      </c>
      <c r="I37" s="113">
        <f>ROUND(G37*H37,2)</f>
        <v>0</v>
      </c>
      <c r="J37" s="123"/>
      <c r="K37" s="160">
        <f>+K36+M36</f>
        <v>0</v>
      </c>
      <c r="L37" s="188">
        <f>'SUB CPIF RATES (ALL)'!E54</f>
        <v>0</v>
      </c>
      <c r="M37" s="113">
        <f>ROUND(K37*L37,2)</f>
        <v>0</v>
      </c>
      <c r="N37" s="123"/>
      <c r="O37" s="160">
        <f>+O36+Q36</f>
        <v>0</v>
      </c>
      <c r="P37" s="188">
        <f>'SUB CPIF RATES (ALL)'!F54</f>
        <v>0</v>
      </c>
      <c r="Q37" s="113">
        <f>ROUND(O37*P37,2)</f>
        <v>0</v>
      </c>
    </row>
    <row r="38" spans="1:17" x14ac:dyDescent="0.25">
      <c r="A38" s="138"/>
      <c r="B38" s="112" t="str">
        <f>'SUB CPIF RATES (ALL)'!B55</f>
        <v>Indirect Category: [FCCOM]</v>
      </c>
      <c r="C38" s="160">
        <f>C37+E37</f>
        <v>0</v>
      </c>
      <c r="D38" s="188">
        <f>'SUB CPIF RATES (ALL)'!C55</f>
        <v>0</v>
      </c>
      <c r="E38" s="113">
        <f>ROUND(C38*D38,2)</f>
        <v>0</v>
      </c>
      <c r="F38" s="110"/>
      <c r="G38" s="160">
        <f>G37+I37</f>
        <v>0</v>
      </c>
      <c r="H38" s="188">
        <f>'SUB CPIF RATES (ALL)'!D55</f>
        <v>0</v>
      </c>
      <c r="I38" s="113">
        <f>ROUND(G38*H38,2)</f>
        <v>0</v>
      </c>
      <c r="J38" s="110"/>
      <c r="K38" s="160">
        <f>K37+M37</f>
        <v>0</v>
      </c>
      <c r="L38" s="188">
        <f>'SUB CPIF RATES (ALL)'!E55</f>
        <v>0</v>
      </c>
      <c r="M38" s="113">
        <f>ROUND(K38*L38,2)</f>
        <v>0</v>
      </c>
      <c r="N38" s="110"/>
      <c r="O38" s="160">
        <f>O37+Q37</f>
        <v>0</v>
      </c>
      <c r="P38" s="188">
        <f>'SUB CPIF RATES (ALL)'!F55</f>
        <v>0</v>
      </c>
      <c r="Q38" s="113">
        <f>ROUND(O38*P38,2)</f>
        <v>0</v>
      </c>
    </row>
    <row r="39" spans="1:17" x14ac:dyDescent="0.25">
      <c r="A39" s="138"/>
      <c r="B39" s="112" t="str">
        <f>'SUB CPIF RATES (ALL)'!B56</f>
        <v>Indirect Category: [Target Fee]</v>
      </c>
      <c r="C39" s="160">
        <f>+C37+E37</f>
        <v>0</v>
      </c>
      <c r="D39" s="188">
        <f>'SUB CPIF RATES (ALL)'!C56</f>
        <v>0</v>
      </c>
      <c r="E39" s="113">
        <f>ROUND(C39*D39,2)</f>
        <v>0</v>
      </c>
      <c r="F39" s="110"/>
      <c r="G39" s="160">
        <f>+G37+I37</f>
        <v>0</v>
      </c>
      <c r="H39" s="188">
        <f>'SUB CPIF RATES (ALL)'!D56</f>
        <v>0</v>
      </c>
      <c r="I39" s="113">
        <f>ROUND(G39*H39,2)</f>
        <v>0</v>
      </c>
      <c r="J39" s="110"/>
      <c r="K39" s="160">
        <f>+K37+M37</f>
        <v>0</v>
      </c>
      <c r="L39" s="188">
        <f>'SUB CPIF RATES (ALL)'!E56</f>
        <v>0</v>
      </c>
      <c r="M39" s="113">
        <f>ROUND(K39*L39,2)</f>
        <v>0</v>
      </c>
      <c r="N39" s="110"/>
      <c r="O39" s="160">
        <f>+O37+Q37</f>
        <v>0</v>
      </c>
      <c r="P39" s="188">
        <f>'SUB CPIF RATES (ALL)'!F56</f>
        <v>0</v>
      </c>
      <c r="Q39" s="113">
        <f>ROUND(O39*P39,2)</f>
        <v>0</v>
      </c>
    </row>
    <row r="40" spans="1:17" x14ac:dyDescent="0.25">
      <c r="A40" s="138"/>
      <c r="B40" s="186" t="s">
        <v>186</v>
      </c>
      <c r="C40" s="178"/>
      <c r="D40" s="179"/>
      <c r="E40" s="113">
        <f>ROUND(SUM(E34:E37),2)</f>
        <v>0</v>
      </c>
      <c r="F40" s="110"/>
      <c r="G40" s="178"/>
      <c r="H40" s="179"/>
      <c r="I40" s="113">
        <f>ROUND(SUM(I34:I37),2)</f>
        <v>0</v>
      </c>
      <c r="J40" s="110"/>
      <c r="K40" s="178"/>
      <c r="L40" s="179"/>
      <c r="M40" s="113">
        <f>ROUND(SUM(M34:M37),2)</f>
        <v>0</v>
      </c>
      <c r="N40" s="110"/>
      <c r="O40" s="178"/>
      <c r="P40" s="179"/>
      <c r="Q40" s="113">
        <f>ROUND(SUM(Q34:Q37),2)</f>
        <v>0</v>
      </c>
    </row>
    <row r="41" spans="1:17" x14ac:dyDescent="0.25">
      <c r="A41" s="138"/>
      <c r="B41" s="186" t="s">
        <v>72</v>
      </c>
      <c r="C41" s="176"/>
      <c r="D41" s="180"/>
      <c r="E41" s="113">
        <f>ROUND(E38,2)</f>
        <v>0</v>
      </c>
      <c r="F41" s="110"/>
      <c r="G41" s="176"/>
      <c r="H41" s="180"/>
      <c r="I41" s="113">
        <f>ROUND(I38,2)</f>
        <v>0</v>
      </c>
      <c r="J41" s="110"/>
      <c r="K41" s="176"/>
      <c r="L41" s="180"/>
      <c r="M41" s="113">
        <f>ROUND(M38,2)</f>
        <v>0</v>
      </c>
      <c r="N41" s="110"/>
      <c r="O41" s="176"/>
      <c r="P41" s="180"/>
      <c r="Q41" s="113">
        <f>ROUND(Q38,2)</f>
        <v>0</v>
      </c>
    </row>
    <row r="42" spans="1:17" x14ac:dyDescent="0.2">
      <c r="B42" s="186" t="s">
        <v>71</v>
      </c>
      <c r="C42" s="176"/>
      <c r="D42" s="180"/>
      <c r="E42" s="127">
        <f>ROUND(E39,2)</f>
        <v>0</v>
      </c>
      <c r="F42" s="128"/>
      <c r="G42" s="176"/>
      <c r="H42" s="180"/>
      <c r="I42" s="127">
        <f>ROUND(I39,2)</f>
        <v>0</v>
      </c>
      <c r="J42" s="128"/>
      <c r="K42" s="176"/>
      <c r="L42" s="180"/>
      <c r="M42" s="127">
        <f>ROUND(M39,2)</f>
        <v>0</v>
      </c>
      <c r="N42" s="128"/>
      <c r="O42" s="176"/>
      <c r="P42" s="180"/>
      <c r="Q42" s="127">
        <f>ROUND(Q39,2)</f>
        <v>0</v>
      </c>
    </row>
    <row r="43" spans="1:17" ht="16.5" thickBot="1" x14ac:dyDescent="0.25">
      <c r="B43" s="187" t="s">
        <v>173</v>
      </c>
      <c r="C43" s="181"/>
      <c r="D43" s="182"/>
      <c r="E43" s="105">
        <f>SUM(E40:E42)</f>
        <v>0</v>
      </c>
      <c r="F43" s="106"/>
      <c r="G43" s="181"/>
      <c r="H43" s="182"/>
      <c r="I43" s="105">
        <f>SUM(I40:I42)</f>
        <v>0</v>
      </c>
      <c r="J43" s="106"/>
      <c r="K43" s="181"/>
      <c r="L43" s="182"/>
      <c r="M43" s="105">
        <f>SUM(M40:M42)</f>
        <v>0</v>
      </c>
      <c r="N43" s="106"/>
      <c r="O43" s="181"/>
      <c r="P43" s="182"/>
      <c r="Q43" s="105">
        <f>SUM(Q40:Q42)</f>
        <v>0</v>
      </c>
    </row>
    <row r="44" spans="1:17" ht="16.5" thickBot="1" x14ac:dyDescent="0.25">
      <c r="B44" s="117"/>
      <c r="E44" s="194"/>
      <c r="F44" s="194"/>
      <c r="G44" s="194"/>
      <c r="H44" s="194"/>
      <c r="I44" s="194"/>
      <c r="J44" s="194"/>
      <c r="K44" s="194"/>
      <c r="N44" s="132"/>
      <c r="O44" s="194"/>
    </row>
    <row r="45" spans="1:17" ht="16.5" thickBot="1" x14ac:dyDescent="0.3">
      <c r="B45" s="523" t="str">
        <f>B14</f>
        <v>CLIN 0001 (CPIF)                                                    TASK 1.06 QUALIFICATION, DEVELOPMENTAL, AND OPERATIONAL TESTING</v>
      </c>
      <c r="C45" s="490" t="s">
        <v>212</v>
      </c>
      <c r="D45" s="491"/>
      <c r="E45" s="492"/>
      <c r="F45" s="120"/>
      <c r="G45" s="490" t="s">
        <v>212</v>
      </c>
      <c r="H45" s="491"/>
      <c r="I45" s="492"/>
      <c r="J45" s="120"/>
      <c r="K45" s="490" t="s">
        <v>212</v>
      </c>
      <c r="L45" s="491"/>
      <c r="M45" s="492"/>
      <c r="N45" s="120"/>
      <c r="O45" s="490" t="s">
        <v>212</v>
      </c>
      <c r="P45" s="491"/>
      <c r="Q45" s="492"/>
    </row>
    <row r="46" spans="1:17" ht="27.75" customHeight="1" thickBot="1" x14ac:dyDescent="0.3">
      <c r="B46" s="524"/>
      <c r="C46" s="520" t="str">
        <f>C32</f>
        <v>CLIN 0001 - Basic Period (Year 1)</v>
      </c>
      <c r="D46" s="521"/>
      <c r="E46" s="522"/>
      <c r="F46" s="121"/>
      <c r="G46" s="520" t="str">
        <f>G32</f>
        <v>CLIN 0001 - Basic Period (Year 2)</v>
      </c>
      <c r="H46" s="521"/>
      <c r="I46" s="522"/>
      <c r="J46" s="121"/>
      <c r="K46" s="520" t="str">
        <f>K32</f>
        <v>CLIN 0001 - Basic Period (Year 3)</v>
      </c>
      <c r="L46" s="521"/>
      <c r="M46" s="522"/>
      <c r="N46" s="121"/>
      <c r="O46" s="520" t="str">
        <f>O32</f>
        <v>CLIN 0001 - Basic Period (Year 4)</v>
      </c>
      <c r="P46" s="521"/>
      <c r="Q46" s="522"/>
    </row>
    <row r="47" spans="1:17" x14ac:dyDescent="0.25">
      <c r="B47" s="193"/>
      <c r="C47" s="98" t="s">
        <v>289</v>
      </c>
      <c r="D47" s="99" t="s">
        <v>286</v>
      </c>
      <c r="E47" s="100" t="s">
        <v>287</v>
      </c>
      <c r="F47" s="111"/>
      <c r="G47" s="98" t="s">
        <v>289</v>
      </c>
      <c r="H47" s="99" t="s">
        <v>286</v>
      </c>
      <c r="I47" s="100" t="s">
        <v>287</v>
      </c>
      <c r="J47" s="111"/>
      <c r="K47" s="98" t="s">
        <v>289</v>
      </c>
      <c r="L47" s="99" t="s">
        <v>286</v>
      </c>
      <c r="M47" s="100" t="s">
        <v>287</v>
      </c>
      <c r="N47" s="111"/>
      <c r="O47" s="98" t="s">
        <v>289</v>
      </c>
      <c r="P47" s="99" t="s">
        <v>286</v>
      </c>
      <c r="Q47" s="100" t="s">
        <v>287</v>
      </c>
    </row>
    <row r="48" spans="1:17" ht="25.5" x14ac:dyDescent="0.2">
      <c r="B48" s="240" t="s">
        <v>447</v>
      </c>
      <c r="C48" s="226"/>
      <c r="D48" s="226"/>
      <c r="E48" s="262">
        <f>'SUB CPIF TOTAL SUB'!E17</f>
        <v>0</v>
      </c>
      <c r="F48" s="229"/>
      <c r="G48" s="176"/>
      <c r="H48" s="226"/>
      <c r="I48" s="262">
        <f>'SUB CPIF TOTAL SUB'!G17</f>
        <v>0</v>
      </c>
      <c r="J48" s="229"/>
      <c r="K48" s="176"/>
      <c r="L48" s="226"/>
      <c r="M48" s="262">
        <f>'SUB CPIF TOTAL SUB'!I17</f>
        <v>0</v>
      </c>
      <c r="N48" s="110"/>
      <c r="O48" s="176"/>
      <c r="P48" s="226"/>
      <c r="Q48" s="262">
        <f>'SUB CPIF TOTAL SUB'!K17</f>
        <v>0</v>
      </c>
    </row>
    <row r="49" spans="1:17" ht="76.5" x14ac:dyDescent="0.2">
      <c r="B49" s="261" t="s">
        <v>448</v>
      </c>
      <c r="C49" s="315" t="s">
        <v>1</v>
      </c>
      <c r="D49" s="316"/>
      <c r="E49" s="310"/>
      <c r="F49" s="123"/>
      <c r="G49" s="530"/>
      <c r="H49" s="528"/>
      <c r="I49" s="529"/>
      <c r="J49" s="123"/>
      <c r="K49" s="530"/>
      <c r="L49" s="528"/>
      <c r="M49" s="529"/>
      <c r="N49" s="123"/>
      <c r="O49" s="530"/>
      <c r="P49" s="528"/>
      <c r="Q49" s="529"/>
    </row>
    <row r="50" spans="1:17" x14ac:dyDescent="0.2">
      <c r="B50" s="228" t="str">
        <f>'SUB CPIF RATES (ALL)'!B45</f>
        <v>Indirect Category: [Overhead]</v>
      </c>
      <c r="C50" s="160">
        <f>E48</f>
        <v>0</v>
      </c>
      <c r="D50" s="188">
        <f>'SUB CPIF RATES (ALL)'!C45</f>
        <v>0</v>
      </c>
      <c r="E50" s="113">
        <f>ROUND(C50*D50,2)</f>
        <v>0</v>
      </c>
      <c r="F50" s="123"/>
      <c r="G50" s="160">
        <f>I48</f>
        <v>0</v>
      </c>
      <c r="H50" s="188">
        <f>'SUB CPIF RATES (ALL)'!D45</f>
        <v>0</v>
      </c>
      <c r="I50" s="113">
        <f>ROUND(G50*H50,2)</f>
        <v>0</v>
      </c>
      <c r="J50" s="123"/>
      <c r="K50" s="160">
        <f>M48</f>
        <v>0</v>
      </c>
      <c r="L50" s="188">
        <f>'SUB CPIF RATES (ALL)'!E45</f>
        <v>0</v>
      </c>
      <c r="M50" s="113">
        <f>ROUND(K50*L50,2)</f>
        <v>0</v>
      </c>
      <c r="N50" s="123"/>
      <c r="O50" s="160">
        <f>Q48</f>
        <v>0</v>
      </c>
      <c r="P50" s="188">
        <f>'SUB CPIF RATES (ALL)'!F45</f>
        <v>0</v>
      </c>
      <c r="Q50" s="113">
        <f>ROUND(O50*P50,2)</f>
        <v>0</v>
      </c>
    </row>
    <row r="51" spans="1:17" x14ac:dyDescent="0.2">
      <c r="B51" s="228" t="str">
        <f>'SUB CPIF RATES (ALL)'!B46</f>
        <v>Indirect Category: [G&amp;A]</v>
      </c>
      <c r="C51" s="227">
        <f>C50+E50</f>
        <v>0</v>
      </c>
      <c r="D51" s="188">
        <f>'SUB CPIF RATES (ALL)'!C46</f>
        <v>0</v>
      </c>
      <c r="E51" s="113">
        <f>ROUND(C51*D51,2)</f>
        <v>0</v>
      </c>
      <c r="F51" s="229"/>
      <c r="G51" s="227">
        <f>G50+I50</f>
        <v>0</v>
      </c>
      <c r="H51" s="188">
        <f>'SUB CPIF RATES (ALL)'!D46</f>
        <v>0</v>
      </c>
      <c r="I51" s="113">
        <f>ROUND(G51*H51,2)</f>
        <v>0</v>
      </c>
      <c r="J51" s="229"/>
      <c r="K51" s="227">
        <f>K50+M50</f>
        <v>0</v>
      </c>
      <c r="L51" s="188">
        <f>'SUB CPIF RATES (ALL)'!E46</f>
        <v>0</v>
      </c>
      <c r="M51" s="113">
        <f>ROUND(K51*L51,2)</f>
        <v>0</v>
      </c>
      <c r="N51" s="110"/>
      <c r="O51" s="227">
        <f>O50+Q50</f>
        <v>0</v>
      </c>
      <c r="P51" s="188">
        <f>'SUB CPIF RATES (ALL)'!F46</f>
        <v>0</v>
      </c>
      <c r="Q51" s="113">
        <f>ROUND(O51*P51,2)</f>
        <v>0</v>
      </c>
    </row>
    <row r="52" spans="1:17" x14ac:dyDescent="0.2">
      <c r="B52" s="266" t="str">
        <f>'SUB CPIF RATES (ALL)'!B47</f>
        <v>Indirect Category: [FCCOM]</v>
      </c>
      <c r="C52" s="160">
        <f>C51+E51</f>
        <v>0</v>
      </c>
      <c r="D52" s="188">
        <f>'SUB CPIF RATES (ALL)'!C47</f>
        <v>0</v>
      </c>
      <c r="E52" s="268">
        <f>ROUND(C52*D52,2)</f>
        <v>0</v>
      </c>
      <c r="F52" s="229"/>
      <c r="G52" s="160">
        <f>G51+I51</f>
        <v>0</v>
      </c>
      <c r="H52" s="188">
        <f>'SUB CPIF RATES (ALL)'!D47</f>
        <v>0</v>
      </c>
      <c r="I52" s="268">
        <f>ROUND(G52*H52,2)</f>
        <v>0</v>
      </c>
      <c r="J52" s="229"/>
      <c r="K52" s="160">
        <f>K51+M51</f>
        <v>0</v>
      </c>
      <c r="L52" s="188">
        <f>'SUB CPIF RATES (ALL)'!E47</f>
        <v>0</v>
      </c>
      <c r="M52" s="268">
        <f>ROUND(K52*L52,2)</f>
        <v>0</v>
      </c>
      <c r="N52" s="110"/>
      <c r="O52" s="160">
        <f>O51+Q51</f>
        <v>0</v>
      </c>
      <c r="P52" s="188">
        <f>'SUB CPIF RATES (ALL)'!F47</f>
        <v>0</v>
      </c>
      <c r="Q52" s="268">
        <f>ROUND(O52*P52,2)</f>
        <v>0</v>
      </c>
    </row>
    <row r="53" spans="1:17" x14ac:dyDescent="0.2">
      <c r="B53" s="112" t="str">
        <f>'SUB CPIF RATES (ALL)'!B48</f>
        <v>Indirect Category: [Target Fee]</v>
      </c>
      <c r="C53" s="159">
        <f>C51+E51</f>
        <v>0</v>
      </c>
      <c r="D53" s="269">
        <f>'SUB CPIF RATES (ALL)'!C48</f>
        <v>0</v>
      </c>
      <c r="E53" s="268">
        <f>ROUND(C53*D53,2)</f>
        <v>0</v>
      </c>
      <c r="F53" s="229"/>
      <c r="G53" s="159">
        <f>G51+I51</f>
        <v>0</v>
      </c>
      <c r="H53" s="269">
        <f>'SUB CPIF RATES (ALL)'!D48</f>
        <v>0</v>
      </c>
      <c r="I53" s="268">
        <f>ROUND(G53*H53,2)</f>
        <v>0</v>
      </c>
      <c r="J53" s="229"/>
      <c r="K53" s="159">
        <f>K51+M51</f>
        <v>0</v>
      </c>
      <c r="L53" s="269">
        <f>'SUB CPIF RATES (ALL)'!E48</f>
        <v>0</v>
      </c>
      <c r="M53" s="268">
        <f>ROUND(K53*L53,2)</f>
        <v>0</v>
      </c>
      <c r="N53" s="110"/>
      <c r="O53" s="159">
        <f>O51+Q51</f>
        <v>0</v>
      </c>
      <c r="P53" s="269">
        <f>'SUB CPIF RATES (ALL)'!F48</f>
        <v>0</v>
      </c>
      <c r="Q53" s="268">
        <f>ROUND(O53*P53,2)</f>
        <v>0</v>
      </c>
    </row>
    <row r="54" spans="1:17" x14ac:dyDescent="0.2">
      <c r="B54" s="186" t="s">
        <v>214</v>
      </c>
      <c r="C54" s="178"/>
      <c r="D54" s="179"/>
      <c r="E54" s="113">
        <f>ROUND(E48+E50+E51,2)</f>
        <v>0</v>
      </c>
      <c r="F54" s="229"/>
      <c r="G54" s="178"/>
      <c r="H54" s="179"/>
      <c r="I54" s="113">
        <f>ROUND(I48+I50+I51,2)</f>
        <v>0</v>
      </c>
      <c r="J54" s="229"/>
      <c r="K54" s="178"/>
      <c r="L54" s="179"/>
      <c r="M54" s="113">
        <f>ROUND(M48+M50+M51,2)</f>
        <v>0</v>
      </c>
      <c r="N54" s="110"/>
      <c r="O54" s="178"/>
      <c r="P54" s="179"/>
      <c r="Q54" s="113">
        <f>ROUND(Q48+Q50+Q51,2)</f>
        <v>0</v>
      </c>
    </row>
    <row r="55" spans="1:17" x14ac:dyDescent="0.2">
      <c r="B55" s="186" t="s">
        <v>204</v>
      </c>
      <c r="C55" s="176"/>
      <c r="D55" s="180"/>
      <c r="E55" s="113">
        <f>ROUND(E52,2)</f>
        <v>0</v>
      </c>
      <c r="F55" s="229"/>
      <c r="G55" s="176"/>
      <c r="H55" s="180"/>
      <c r="I55" s="113">
        <f>ROUND(I52,2)</f>
        <v>0</v>
      </c>
      <c r="J55" s="229"/>
      <c r="K55" s="176"/>
      <c r="L55" s="180"/>
      <c r="M55" s="113">
        <f>ROUND(M52,2)</f>
        <v>0</v>
      </c>
      <c r="N55" s="110"/>
      <c r="O55" s="176"/>
      <c r="P55" s="180"/>
      <c r="Q55" s="113">
        <f>ROUND(Q52,2)</f>
        <v>0</v>
      </c>
    </row>
    <row r="56" spans="1:17" x14ac:dyDescent="0.2">
      <c r="B56" s="186" t="s">
        <v>71</v>
      </c>
      <c r="C56" s="176"/>
      <c r="D56" s="180"/>
      <c r="E56" s="127">
        <f>ROUND(E53,2)</f>
        <v>0</v>
      </c>
      <c r="F56" s="128"/>
      <c r="G56" s="176"/>
      <c r="H56" s="180"/>
      <c r="I56" s="127">
        <f>ROUND(I53,2)</f>
        <v>0</v>
      </c>
      <c r="J56" s="128"/>
      <c r="K56" s="176"/>
      <c r="L56" s="180"/>
      <c r="M56" s="127">
        <f>ROUND(M53,2)</f>
        <v>0</v>
      </c>
      <c r="N56" s="128"/>
      <c r="O56" s="176"/>
      <c r="P56" s="180"/>
      <c r="Q56" s="127">
        <f>ROUND(Q53,2)</f>
        <v>0</v>
      </c>
    </row>
    <row r="57" spans="1:17" ht="16.5" thickBot="1" x14ac:dyDescent="0.25">
      <c r="B57" s="187" t="s">
        <v>215</v>
      </c>
      <c r="C57" s="181"/>
      <c r="D57" s="182"/>
      <c r="E57" s="105">
        <f>ROUND(SUM(E54:E56),2)</f>
        <v>0</v>
      </c>
      <c r="F57" s="106"/>
      <c r="G57" s="181"/>
      <c r="H57" s="182"/>
      <c r="I57" s="105">
        <f>ROUND(SUM(I54:I56),2)</f>
        <v>0</v>
      </c>
      <c r="J57" s="106"/>
      <c r="K57" s="181"/>
      <c r="L57" s="182"/>
      <c r="M57" s="105">
        <f>ROUND(SUM(M54:M56),2)</f>
        <v>0</v>
      </c>
      <c r="N57" s="106"/>
      <c r="O57" s="181"/>
      <c r="P57" s="182"/>
      <c r="Q57" s="105">
        <f>ROUND(SUM(Q54:Q56),2)</f>
        <v>0</v>
      </c>
    </row>
    <row r="58" spans="1:17" ht="16.5" thickBot="1" x14ac:dyDescent="0.25">
      <c r="B58" s="117"/>
      <c r="E58" s="194"/>
      <c r="F58" s="194"/>
      <c r="G58" s="194"/>
      <c r="H58" s="194"/>
      <c r="I58" s="194"/>
      <c r="J58" s="194"/>
      <c r="K58" s="194"/>
      <c r="N58" s="132"/>
      <c r="O58" s="194"/>
    </row>
    <row r="59" spans="1:17" ht="16.5" customHeight="1" thickBot="1" x14ac:dyDescent="0.3">
      <c r="A59" s="138"/>
      <c r="B59" s="523" t="str">
        <f>B31</f>
        <v>CLIN 0001 (CPIF)                                                    TASK 1.06 QUALIFICATION, DEVELOPMENTAL, AND OPERATIONAL TESTING</v>
      </c>
      <c r="C59" s="490" t="s">
        <v>81</v>
      </c>
      <c r="D59" s="491"/>
      <c r="E59" s="492"/>
      <c r="F59" s="120"/>
      <c r="G59" s="490" t="s">
        <v>82</v>
      </c>
      <c r="H59" s="491"/>
      <c r="I59" s="492"/>
      <c r="J59" s="120"/>
      <c r="K59" s="490" t="s">
        <v>82</v>
      </c>
      <c r="L59" s="491"/>
      <c r="M59" s="492"/>
      <c r="N59" s="120"/>
      <c r="O59" s="490" t="s">
        <v>82</v>
      </c>
      <c r="P59" s="491"/>
      <c r="Q59" s="492"/>
    </row>
    <row r="60" spans="1:17" ht="33.75" customHeight="1" thickBot="1" x14ac:dyDescent="0.3">
      <c r="A60" s="138"/>
      <c r="B60" s="524"/>
      <c r="C60" s="520" t="str">
        <f>C32</f>
        <v>CLIN 0001 - Basic Period (Year 1)</v>
      </c>
      <c r="D60" s="521"/>
      <c r="E60" s="522"/>
      <c r="F60" s="121"/>
      <c r="G60" s="520" t="str">
        <f>G32</f>
        <v>CLIN 0001 - Basic Period (Year 2)</v>
      </c>
      <c r="H60" s="521"/>
      <c r="I60" s="522"/>
      <c r="J60" s="121"/>
      <c r="K60" s="520" t="str">
        <f>K32</f>
        <v>CLIN 0001 - Basic Period (Year 3)</v>
      </c>
      <c r="L60" s="521"/>
      <c r="M60" s="522"/>
      <c r="N60" s="121"/>
      <c r="O60" s="520" t="str">
        <f>O32</f>
        <v>CLIN 0001 - Basic Period (Year 4)</v>
      </c>
      <c r="P60" s="521"/>
      <c r="Q60" s="522"/>
    </row>
    <row r="61" spans="1:17" x14ac:dyDescent="0.25">
      <c r="A61" s="138"/>
      <c r="B61" s="193"/>
      <c r="C61" s="98" t="s">
        <v>289</v>
      </c>
      <c r="D61" s="99" t="s">
        <v>286</v>
      </c>
      <c r="E61" s="100" t="s">
        <v>89</v>
      </c>
      <c r="F61" s="111"/>
      <c r="G61" s="98" t="s">
        <v>289</v>
      </c>
      <c r="H61" s="99" t="s">
        <v>286</v>
      </c>
      <c r="I61" s="100" t="s">
        <v>89</v>
      </c>
      <c r="J61" s="111"/>
      <c r="K61" s="98" t="s">
        <v>289</v>
      </c>
      <c r="L61" s="99" t="s">
        <v>286</v>
      </c>
      <c r="M61" s="100" t="s">
        <v>89</v>
      </c>
      <c r="N61" s="111"/>
      <c r="O61" s="98" t="s">
        <v>289</v>
      </c>
      <c r="P61" s="99" t="s">
        <v>286</v>
      </c>
      <c r="Q61" s="100" t="s">
        <v>89</v>
      </c>
    </row>
    <row r="62" spans="1:17" ht="26.25" x14ac:dyDescent="0.25">
      <c r="A62" s="138"/>
      <c r="B62" s="240" t="s">
        <v>449</v>
      </c>
      <c r="C62" s="226"/>
      <c r="D62" s="226"/>
      <c r="E62" s="311">
        <f>'SUB CPIF TOTAL ODC'!E18</f>
        <v>0</v>
      </c>
      <c r="F62" s="229"/>
      <c r="G62" s="226"/>
      <c r="H62" s="226"/>
      <c r="I62" s="311">
        <f>'SUB CPIF TOTAL ODC'!G18</f>
        <v>0</v>
      </c>
      <c r="J62" s="229"/>
      <c r="K62" s="226"/>
      <c r="L62" s="226"/>
      <c r="M62" s="310">
        <f>'SUB CPIF TOTAL ODC'!I18</f>
        <v>0</v>
      </c>
      <c r="N62" s="229"/>
      <c r="O62" s="226"/>
      <c r="P62" s="226"/>
      <c r="Q62" s="310">
        <f>'SUB CPIF TOTAL ODC'!K18</f>
        <v>0</v>
      </c>
    </row>
    <row r="63" spans="1:17" ht="66" customHeight="1" x14ac:dyDescent="0.25">
      <c r="A63" s="138"/>
      <c r="B63" s="374" t="s">
        <v>450</v>
      </c>
      <c r="C63" s="315"/>
      <c r="D63" s="314"/>
      <c r="E63" s="310"/>
      <c r="F63" s="229"/>
      <c r="G63" s="315"/>
      <c r="H63" s="314"/>
      <c r="I63" s="310"/>
      <c r="J63" s="229"/>
      <c r="K63" s="315"/>
      <c r="L63" s="314"/>
      <c r="M63" s="310"/>
      <c r="N63" s="229"/>
      <c r="O63" s="315"/>
      <c r="P63" s="314"/>
      <c r="Q63" s="310"/>
    </row>
    <row r="64" spans="1:17" x14ac:dyDescent="0.25">
      <c r="A64" s="138"/>
      <c r="B64" s="112" t="s">
        <v>60</v>
      </c>
      <c r="C64" s="160">
        <f>+E62</f>
        <v>0</v>
      </c>
      <c r="D64" s="188">
        <f>'SUB CPIF RATES (ALL)'!C61</f>
        <v>0</v>
      </c>
      <c r="E64" s="113">
        <f>ROUND(C64*D64,2)</f>
        <v>0</v>
      </c>
      <c r="F64" s="123"/>
      <c r="G64" s="159">
        <f>+I62</f>
        <v>0</v>
      </c>
      <c r="H64" s="188">
        <f>'SUB CPIF RATES (ALL)'!D61</f>
        <v>0</v>
      </c>
      <c r="I64" s="113">
        <f>ROUND(G64*H64,2)</f>
        <v>0</v>
      </c>
      <c r="J64" s="123"/>
      <c r="K64" s="159">
        <f>+M62</f>
        <v>0</v>
      </c>
      <c r="L64" s="188">
        <f>'SUB CPIF RATES (ALL)'!E61</f>
        <v>0</v>
      </c>
      <c r="M64" s="113">
        <f>ROUND(K64*L64,2)</f>
        <v>0</v>
      </c>
      <c r="N64" s="123"/>
      <c r="O64" s="159">
        <f>+Q62</f>
        <v>0</v>
      </c>
      <c r="P64" s="188">
        <f>'SUB CPIF RATES (ALL)'!F61</f>
        <v>0</v>
      </c>
      <c r="Q64" s="113">
        <f>ROUND(O64*P64,2)</f>
        <v>0</v>
      </c>
    </row>
    <row r="65" spans="1:17" x14ac:dyDescent="0.25">
      <c r="A65" s="138"/>
      <c r="B65" s="112" t="s">
        <v>61</v>
      </c>
      <c r="C65" s="160">
        <f>+C64+E64</f>
        <v>0</v>
      </c>
      <c r="D65" s="188">
        <f>'SUB CPIF RATES (ALL)'!C62</f>
        <v>0</v>
      </c>
      <c r="E65" s="113">
        <f>ROUND(C65*D65,2)</f>
        <v>0</v>
      </c>
      <c r="F65" s="123"/>
      <c r="G65" s="160">
        <f>+G64+I64</f>
        <v>0</v>
      </c>
      <c r="H65" s="188">
        <f>'SUB CPIF RATES (ALL)'!D62</f>
        <v>0</v>
      </c>
      <c r="I65" s="113">
        <f>ROUND(G65*H65,2)</f>
        <v>0</v>
      </c>
      <c r="J65" s="123"/>
      <c r="K65" s="160">
        <f>+K64+M64</f>
        <v>0</v>
      </c>
      <c r="L65" s="188">
        <f>'SUB CPIF RATES (ALL)'!E62</f>
        <v>0</v>
      </c>
      <c r="M65" s="113">
        <f>ROUND(K65*L65,2)</f>
        <v>0</v>
      </c>
      <c r="N65" s="123"/>
      <c r="O65" s="160">
        <f>+O64+Q64</f>
        <v>0</v>
      </c>
      <c r="P65" s="188">
        <f>'SUB CPIF RATES (ALL)'!F62</f>
        <v>0</v>
      </c>
      <c r="Q65" s="113">
        <f>ROUND(O65*P65,2)</f>
        <v>0</v>
      </c>
    </row>
    <row r="66" spans="1:17" x14ac:dyDescent="0.25">
      <c r="A66" s="138"/>
      <c r="B66" s="112" t="s">
        <v>411</v>
      </c>
      <c r="C66" s="160">
        <f>C65+E65</f>
        <v>0</v>
      </c>
      <c r="D66" s="188">
        <f>'SUB CPIF RATES (ALL)'!C63</f>
        <v>0</v>
      </c>
      <c r="E66" s="113">
        <f>ROUND(C66*D66,2)</f>
        <v>0</v>
      </c>
      <c r="F66" s="229"/>
      <c r="G66" s="160">
        <f>G65+I65</f>
        <v>0</v>
      </c>
      <c r="H66" s="188">
        <f>'SUB CPIF RATES (ALL)'!D63</f>
        <v>0</v>
      </c>
      <c r="I66" s="113">
        <f>ROUND(G66*H66,2)</f>
        <v>0</v>
      </c>
      <c r="J66" s="229"/>
      <c r="K66" s="160">
        <f>K65+M65</f>
        <v>0</v>
      </c>
      <c r="L66" s="188">
        <f>'SUB CPIF RATES (ALL)'!E63</f>
        <v>0</v>
      </c>
      <c r="M66" s="113">
        <f>ROUND(K66*L66,2)</f>
        <v>0</v>
      </c>
      <c r="N66" s="229"/>
      <c r="O66" s="160">
        <f>O65+Q65</f>
        <v>0</v>
      </c>
      <c r="P66" s="188">
        <f>'SUB CPIF RATES (ALL)'!F63</f>
        <v>0</v>
      </c>
      <c r="Q66" s="113">
        <f>ROUND(O66*P66,2)</f>
        <v>0</v>
      </c>
    </row>
    <row r="67" spans="1:17" x14ac:dyDescent="0.25">
      <c r="A67" s="138"/>
      <c r="B67" s="112" t="s">
        <v>62</v>
      </c>
      <c r="C67" s="160">
        <f>+C65+E65</f>
        <v>0</v>
      </c>
      <c r="D67" s="269">
        <f>'SUB CPIF RATES (ALL)'!C64</f>
        <v>0</v>
      </c>
      <c r="E67" s="113">
        <f>ROUND(C67*D67,2)</f>
        <v>0</v>
      </c>
      <c r="F67" s="229"/>
      <c r="G67" s="160">
        <f>+G65+I65</f>
        <v>0</v>
      </c>
      <c r="H67" s="269">
        <f>'SUB CPIF RATES (ALL)'!D64</f>
        <v>0</v>
      </c>
      <c r="I67" s="113">
        <f>ROUND(G67*H67,2)</f>
        <v>0</v>
      </c>
      <c r="J67" s="229"/>
      <c r="K67" s="160">
        <f>+K65+M65</f>
        <v>0</v>
      </c>
      <c r="L67" s="269">
        <f>'SUB CPIF RATES (ALL)'!E64</f>
        <v>0</v>
      </c>
      <c r="M67" s="113">
        <f>ROUND(K67*L67,2)</f>
        <v>0</v>
      </c>
      <c r="N67" s="229"/>
      <c r="O67" s="160">
        <f>+O65+Q65</f>
        <v>0</v>
      </c>
      <c r="P67" s="269">
        <f>'SUB CPIF RATES (ALL)'!F64</f>
        <v>0</v>
      </c>
      <c r="Q67" s="113">
        <f>ROUND(O67*P67,2)</f>
        <v>0</v>
      </c>
    </row>
    <row r="68" spans="1:17" x14ac:dyDescent="0.25">
      <c r="A68" s="138"/>
      <c r="B68" s="186" t="s">
        <v>187</v>
      </c>
      <c r="C68" s="178"/>
      <c r="D68" s="179"/>
      <c r="E68" s="113">
        <f>ROUND(SUM(E62:E65),2)</f>
        <v>0</v>
      </c>
      <c r="F68" s="229"/>
      <c r="G68" s="178"/>
      <c r="H68" s="179"/>
      <c r="I68" s="113">
        <f>ROUND(SUM(I62:I65),2)</f>
        <v>0</v>
      </c>
      <c r="J68" s="229"/>
      <c r="K68" s="178"/>
      <c r="L68" s="179"/>
      <c r="M68" s="113">
        <f>ROUND(SUM(M62:M65),2)</f>
        <v>0</v>
      </c>
      <c r="N68" s="229"/>
      <c r="O68" s="178"/>
      <c r="P68" s="179"/>
      <c r="Q68" s="113">
        <f>ROUND(SUM(Q62:Q65),2)</f>
        <v>0</v>
      </c>
    </row>
    <row r="69" spans="1:17" x14ac:dyDescent="0.25">
      <c r="A69" s="138"/>
      <c r="B69" s="186" t="s">
        <v>72</v>
      </c>
      <c r="C69" s="176"/>
      <c r="D69" s="180"/>
      <c r="E69" s="113">
        <f>ROUND(E66,2)</f>
        <v>0</v>
      </c>
      <c r="F69" s="229"/>
      <c r="G69" s="176"/>
      <c r="H69" s="180"/>
      <c r="I69" s="113">
        <f>ROUND(I66,2)</f>
        <v>0</v>
      </c>
      <c r="J69" s="229"/>
      <c r="K69" s="176"/>
      <c r="L69" s="180"/>
      <c r="M69" s="113">
        <f>ROUND(M66,2)</f>
        <v>0</v>
      </c>
      <c r="N69" s="229"/>
      <c r="O69" s="176"/>
      <c r="P69" s="180"/>
      <c r="Q69" s="113">
        <f>ROUND(Q66,2)</f>
        <v>0</v>
      </c>
    </row>
    <row r="70" spans="1:17" x14ac:dyDescent="0.2">
      <c r="A70" s="131"/>
      <c r="B70" s="186" t="s">
        <v>71</v>
      </c>
      <c r="C70" s="176"/>
      <c r="D70" s="180"/>
      <c r="E70" s="127">
        <f>ROUND(E67,2)</f>
        <v>0</v>
      </c>
      <c r="F70" s="128"/>
      <c r="G70" s="176"/>
      <c r="H70" s="180"/>
      <c r="I70" s="127">
        <f>ROUND(I67,2)</f>
        <v>0</v>
      </c>
      <c r="J70" s="128"/>
      <c r="K70" s="176"/>
      <c r="L70" s="180"/>
      <c r="M70" s="127">
        <f>ROUND(M67,2)</f>
        <v>0</v>
      </c>
      <c r="N70" s="128"/>
      <c r="O70" s="176"/>
      <c r="P70" s="180"/>
      <c r="Q70" s="127">
        <f>ROUND(Q67,2)</f>
        <v>0</v>
      </c>
    </row>
    <row r="71" spans="1:17" ht="16.5" thickBot="1" x14ac:dyDescent="0.25">
      <c r="A71" s="131"/>
      <c r="B71" s="187" t="s">
        <v>174</v>
      </c>
      <c r="C71" s="181"/>
      <c r="D71" s="182"/>
      <c r="E71" s="105">
        <f>ROUND(SUM(E68:E70),2)</f>
        <v>0</v>
      </c>
      <c r="F71" s="106"/>
      <c r="G71" s="181"/>
      <c r="H71" s="182"/>
      <c r="I71" s="105">
        <f>ROUND(SUM(I68:I70),2)</f>
        <v>0</v>
      </c>
      <c r="J71" s="106"/>
      <c r="K71" s="181"/>
      <c r="L71" s="182"/>
      <c r="M71" s="105">
        <f>ROUND(SUM(M68:M70),2)</f>
        <v>0</v>
      </c>
      <c r="N71" s="106"/>
      <c r="O71" s="181"/>
      <c r="P71" s="182"/>
      <c r="Q71" s="105">
        <f>ROUND(SUM(Q68:Q70),2)</f>
        <v>0</v>
      </c>
    </row>
    <row r="72" spans="1:17" ht="16.5" thickBot="1" x14ac:dyDescent="0.25">
      <c r="A72" s="131"/>
      <c r="B72" s="117"/>
      <c r="E72" s="194"/>
      <c r="F72" s="194"/>
      <c r="G72" s="194"/>
      <c r="H72" s="194"/>
      <c r="I72" s="194"/>
      <c r="J72" s="194"/>
      <c r="K72" s="194"/>
      <c r="N72" s="132"/>
      <c r="O72" s="194"/>
    </row>
    <row r="73" spans="1:17" ht="16.5" thickBot="1" x14ac:dyDescent="0.3">
      <c r="A73" s="131"/>
      <c r="B73" s="531" t="str">
        <f>B59</f>
        <v>CLIN 0001 (CPIF)                                                    TASK 1.06 QUALIFICATION, DEVELOPMENTAL, AND OPERATIONAL TESTING</v>
      </c>
      <c r="C73" s="517" t="s">
        <v>64</v>
      </c>
      <c r="D73" s="518"/>
      <c r="E73" s="519"/>
      <c r="F73" s="120"/>
      <c r="G73" s="517" t="s">
        <v>213</v>
      </c>
      <c r="H73" s="518"/>
      <c r="I73" s="519"/>
      <c r="J73" s="120"/>
      <c r="K73" s="517" t="s">
        <v>213</v>
      </c>
      <c r="L73" s="518"/>
      <c r="M73" s="519"/>
      <c r="N73" s="120"/>
      <c r="O73" s="517" t="s">
        <v>213</v>
      </c>
      <c r="P73" s="518"/>
      <c r="Q73" s="519"/>
    </row>
    <row r="74" spans="1:17" ht="33.75" customHeight="1" thickBot="1" x14ac:dyDescent="0.3">
      <c r="A74" s="131"/>
      <c r="B74" s="532"/>
      <c r="C74" s="221"/>
      <c r="D74" s="222"/>
      <c r="E74" s="133" t="s">
        <v>200</v>
      </c>
      <c r="F74" s="134"/>
      <c r="G74" s="221"/>
      <c r="H74" s="222"/>
      <c r="I74" s="133" t="s">
        <v>201</v>
      </c>
      <c r="J74" s="134"/>
      <c r="K74" s="221"/>
      <c r="L74" s="222"/>
      <c r="M74" s="133" t="s">
        <v>203</v>
      </c>
      <c r="N74" s="134"/>
      <c r="O74" s="221"/>
      <c r="P74" s="222"/>
      <c r="Q74" s="133" t="s">
        <v>202</v>
      </c>
    </row>
    <row r="75" spans="1:17" x14ac:dyDescent="0.2">
      <c r="A75" s="131"/>
      <c r="B75" s="112" t="s">
        <v>188</v>
      </c>
      <c r="C75" s="223"/>
      <c r="D75" s="223"/>
      <c r="E75" s="135">
        <f>+ROUND(E26+E40+E54+E68,2)</f>
        <v>0</v>
      </c>
      <c r="F75" s="110"/>
      <c r="G75" s="223"/>
      <c r="H75" s="223"/>
      <c r="I75" s="135">
        <f>+ROUND(I26+I40+I54+I68,2)</f>
        <v>0</v>
      </c>
      <c r="J75" s="110"/>
      <c r="K75" s="223"/>
      <c r="L75" s="223"/>
      <c r="M75" s="135">
        <f>+ROUND(M26+M40+M54+M68,2)</f>
        <v>0</v>
      </c>
      <c r="N75" s="110"/>
      <c r="O75" s="223"/>
      <c r="P75" s="223"/>
      <c r="Q75" s="135">
        <f>+ROUND(Q26+Q40+Q54+Q68,2)</f>
        <v>0</v>
      </c>
    </row>
    <row r="76" spans="1:17" x14ac:dyDescent="0.2">
      <c r="A76" s="131"/>
      <c r="B76" s="112" t="s">
        <v>72</v>
      </c>
      <c r="C76" s="223"/>
      <c r="D76" s="223"/>
      <c r="E76" s="113">
        <f>+ROUND(E27+E41+E55+E69,2)</f>
        <v>0</v>
      </c>
      <c r="F76" s="110"/>
      <c r="G76" s="223"/>
      <c r="H76" s="223"/>
      <c r="I76" s="113">
        <f>+ROUND(I27+I41+I55+I69,2)</f>
        <v>0</v>
      </c>
      <c r="J76" s="110"/>
      <c r="K76" s="223"/>
      <c r="L76" s="223"/>
      <c r="M76" s="113">
        <f>+ROUND(M27+M41+M55+M69,2)</f>
        <v>0</v>
      </c>
      <c r="N76" s="110"/>
      <c r="O76" s="223"/>
      <c r="P76" s="223"/>
      <c r="Q76" s="113">
        <f>+ROUND(Q27+Q41+Q55+Q69,2)</f>
        <v>0</v>
      </c>
    </row>
    <row r="77" spans="1:17" x14ac:dyDescent="0.2">
      <c r="A77" s="131"/>
      <c r="B77" s="112" t="s">
        <v>71</v>
      </c>
      <c r="C77" s="223"/>
      <c r="D77" s="223"/>
      <c r="E77" s="114">
        <f>+ROUND(E28+E42+E56+E70,2)</f>
        <v>0</v>
      </c>
      <c r="F77" s="115"/>
      <c r="G77" s="223"/>
      <c r="H77" s="223"/>
      <c r="I77" s="114">
        <f>+ROUND(I28+I42+I56+I70,2)</f>
        <v>0</v>
      </c>
      <c r="J77" s="115"/>
      <c r="K77" s="223"/>
      <c r="L77" s="223"/>
      <c r="M77" s="114">
        <f>+ROUND(M28+M42+M56+M70,2)</f>
        <v>0</v>
      </c>
      <c r="N77" s="115"/>
      <c r="O77" s="223"/>
      <c r="P77" s="223"/>
      <c r="Q77" s="114">
        <f>+ROUND(Q28+Q42+Q56+Q70,2)</f>
        <v>0</v>
      </c>
    </row>
    <row r="78" spans="1:17" ht="32.25" thickBot="1" x14ac:dyDescent="0.3">
      <c r="A78" s="131"/>
      <c r="B78" s="209" t="s">
        <v>348</v>
      </c>
      <c r="C78" s="224"/>
      <c r="D78" s="224"/>
      <c r="E78" s="208">
        <f>SUM(E75:E77)</f>
        <v>0</v>
      </c>
      <c r="F78" s="116"/>
      <c r="G78" s="224"/>
      <c r="H78" s="224"/>
      <c r="I78" s="208">
        <f>SUM(I75:I77)</f>
        <v>0</v>
      </c>
      <c r="J78" s="116"/>
      <c r="K78" s="224"/>
      <c r="L78" s="224"/>
      <c r="M78" s="208">
        <f>SUM(M75:M77)</f>
        <v>0</v>
      </c>
      <c r="N78" s="116"/>
      <c r="O78" s="224"/>
      <c r="P78" s="224"/>
      <c r="Q78" s="208">
        <f>SUM(Q75:Q77)</f>
        <v>0</v>
      </c>
    </row>
    <row r="79" spans="1:17" ht="16.5" thickBot="1" x14ac:dyDescent="0.3"/>
    <row r="80" spans="1:17" ht="31.5" x14ac:dyDescent="0.25">
      <c r="Q80" s="323" t="s">
        <v>349</v>
      </c>
    </row>
    <row r="81" spans="17:17" ht="16.5" thickBot="1" x14ac:dyDescent="0.3">
      <c r="Q81" s="322">
        <f>E78+I78+M78+Q78</f>
        <v>0</v>
      </c>
    </row>
  </sheetData>
  <mergeCells count="45">
    <mergeCell ref="G49:I49"/>
    <mergeCell ref="K49:M49"/>
    <mergeCell ref="O49:Q49"/>
    <mergeCell ref="B45:B46"/>
    <mergeCell ref="C45:E45"/>
    <mergeCell ref="G45:I45"/>
    <mergeCell ref="K45:M45"/>
    <mergeCell ref="O45:Q45"/>
    <mergeCell ref="C46:E46"/>
    <mergeCell ref="G46:I46"/>
    <mergeCell ref="K46:M46"/>
    <mergeCell ref="O46:Q46"/>
    <mergeCell ref="A4:C4"/>
    <mergeCell ref="B14:B15"/>
    <mergeCell ref="C14:E14"/>
    <mergeCell ref="G14:I14"/>
    <mergeCell ref="K14:M14"/>
    <mergeCell ref="C15:E15"/>
    <mergeCell ref="G15:I15"/>
    <mergeCell ref="K15:M15"/>
    <mergeCell ref="B31:B32"/>
    <mergeCell ref="C31:E31"/>
    <mergeCell ref="G31:I31"/>
    <mergeCell ref="K31:M31"/>
    <mergeCell ref="C32:E32"/>
    <mergeCell ref="G32:I32"/>
    <mergeCell ref="K32:M32"/>
    <mergeCell ref="C60:E60"/>
    <mergeCell ref="G60:I60"/>
    <mergeCell ref="K60:M60"/>
    <mergeCell ref="B73:B74"/>
    <mergeCell ref="C73:E73"/>
    <mergeCell ref="G73:I73"/>
    <mergeCell ref="K73:M73"/>
    <mergeCell ref="B59:B60"/>
    <mergeCell ref="C59:E59"/>
    <mergeCell ref="G59:I59"/>
    <mergeCell ref="K59:M59"/>
    <mergeCell ref="O60:Q60"/>
    <mergeCell ref="O73:Q73"/>
    <mergeCell ref="O14:Q14"/>
    <mergeCell ref="O15:Q15"/>
    <mergeCell ref="O31:Q31"/>
    <mergeCell ref="O32:Q32"/>
    <mergeCell ref="O59:Q59"/>
  </mergeCells>
  <pageMargins left="0.7" right="0.7" top="0.75" bottom="0.75" header="0.3" footer="0.3"/>
  <pageSetup orientation="portrait" horizontalDpi="1200" verticalDpi="120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FC9F92-6299-403D-9121-1BA24BACD4E2}">
  <sheetPr>
    <tabColor theme="0"/>
  </sheetPr>
  <dimension ref="A1:Q81"/>
  <sheetViews>
    <sheetView zoomScale="80" zoomScaleNormal="80" workbookViewId="0">
      <pane ySplit="12" topLeftCell="A53" activePane="bottomLeft" state="frozen"/>
      <selection pane="bottomLeft" activeCell="P66" sqref="P66"/>
    </sheetView>
  </sheetViews>
  <sheetFormatPr defaultColWidth="15.85546875" defaultRowHeight="15.75" x14ac:dyDescent="0.25"/>
  <cols>
    <col min="1" max="1" width="3.42578125" style="136" customWidth="1"/>
    <col min="2" max="2" width="49.140625" style="119" customWidth="1"/>
    <col min="3" max="3" width="18.28515625" style="131" bestFit="1" customWidth="1"/>
    <col min="4" max="4" width="12.42578125" style="131" bestFit="1" customWidth="1"/>
    <col min="5" max="5" width="32.140625" style="131" bestFit="1" customWidth="1"/>
    <col min="6" max="6" width="1" style="131" customWidth="1"/>
    <col min="7" max="7" width="14.28515625" style="131" customWidth="1"/>
    <col min="8" max="8" width="14.5703125" style="131" customWidth="1"/>
    <col min="9" max="9" width="33.28515625" style="131" customWidth="1"/>
    <col min="10" max="10" width="1" style="131" customWidth="1"/>
    <col min="11" max="11" width="16.7109375" style="131" customWidth="1"/>
    <col min="12" max="12" width="16.28515625" style="131" customWidth="1"/>
    <col min="13" max="13" width="34" style="131" bestFit="1" customWidth="1"/>
    <col min="14" max="14" width="0.85546875" style="131" customWidth="1"/>
    <col min="15" max="15" width="12.85546875" style="131" bestFit="1" customWidth="1"/>
    <col min="16" max="16" width="12.42578125" style="131" bestFit="1" customWidth="1"/>
    <col min="17" max="17" width="34" style="131" bestFit="1" customWidth="1"/>
    <col min="18" max="16384" width="15.85546875" style="131"/>
  </cols>
  <sheetData>
    <row r="1" spans="1:17" ht="16.5" thickBot="1" x14ac:dyDescent="0.3">
      <c r="B1" s="321" t="s">
        <v>460</v>
      </c>
      <c r="C1" s="394" t="str">
        <f>'SUB CPIF RATES (ALL)'!C1</f>
        <v xml:space="preserve">NAME </v>
      </c>
    </row>
    <row r="2" spans="1:17" ht="16.5" thickBot="1" x14ac:dyDescent="0.3">
      <c r="B2" s="395" t="s">
        <v>459</v>
      </c>
      <c r="C2" s="396" t="str">
        <f>'SUB CPIF RATES (ALL)'!C2</f>
        <v xml:space="preserve">NAME </v>
      </c>
    </row>
    <row r="3" spans="1:17" ht="16.5" thickBot="1" x14ac:dyDescent="0.3"/>
    <row r="4" spans="1:17" ht="52.5" customHeight="1" thickBot="1" x14ac:dyDescent="0.3">
      <c r="A4" s="466" t="s">
        <v>209</v>
      </c>
      <c r="B4" s="467"/>
      <c r="C4" s="468"/>
      <c r="I4" s="194" t="s">
        <v>84</v>
      </c>
    </row>
    <row r="6" spans="1:17" s="202" customFormat="1" ht="17.25" customHeight="1" x14ac:dyDescent="0.2">
      <c r="A6" s="203"/>
      <c r="B6" s="204" t="s">
        <v>65</v>
      </c>
    </row>
    <row r="7" spans="1:17" s="202" customFormat="1" x14ac:dyDescent="0.25">
      <c r="A7" s="201"/>
      <c r="B7" s="201" t="s">
        <v>441</v>
      </c>
    </row>
    <row r="8" spans="1:17" s="202" customFormat="1" x14ac:dyDescent="0.25">
      <c r="A8" s="201"/>
      <c r="B8" s="201" t="s">
        <v>281</v>
      </c>
    </row>
    <row r="9" spans="1:17" s="202" customFormat="1" x14ac:dyDescent="0.25">
      <c r="A9" s="201"/>
      <c r="B9" s="201" t="s">
        <v>442</v>
      </c>
    </row>
    <row r="10" spans="1:17" s="202" customFormat="1" x14ac:dyDescent="0.25">
      <c r="A10" s="201"/>
      <c r="B10" s="201" t="s">
        <v>463</v>
      </c>
    </row>
    <row r="11" spans="1:17" x14ac:dyDescent="0.25">
      <c r="A11" s="137"/>
      <c r="B11" s="201" t="s">
        <v>464</v>
      </c>
      <c r="C11" s="139"/>
    </row>
    <row r="12" spans="1:17" x14ac:dyDescent="0.25">
      <c r="A12" s="137"/>
      <c r="B12" s="201" t="s">
        <v>350</v>
      </c>
      <c r="C12" s="139"/>
    </row>
    <row r="13" spans="1:17" ht="16.5" thickBot="1" x14ac:dyDescent="0.3"/>
    <row r="14" spans="1:17" ht="16.5" thickBot="1" x14ac:dyDescent="0.3">
      <c r="A14" s="138"/>
      <c r="B14" s="523" t="s">
        <v>351</v>
      </c>
      <c r="C14" s="490" t="s">
        <v>69</v>
      </c>
      <c r="D14" s="491"/>
      <c r="E14" s="492"/>
      <c r="F14" s="96"/>
      <c r="G14" s="490" t="s">
        <v>69</v>
      </c>
      <c r="H14" s="491"/>
      <c r="I14" s="492"/>
      <c r="J14" s="96"/>
      <c r="K14" s="490" t="s">
        <v>69</v>
      </c>
      <c r="L14" s="491"/>
      <c r="M14" s="492"/>
      <c r="N14" s="96"/>
      <c r="O14" s="490" t="s">
        <v>69</v>
      </c>
      <c r="P14" s="491"/>
      <c r="Q14" s="492"/>
    </row>
    <row r="15" spans="1:17" ht="32.25" customHeight="1" thickBot="1" x14ac:dyDescent="0.3">
      <c r="A15" s="138"/>
      <c r="B15" s="524"/>
      <c r="C15" s="520" t="s">
        <v>205</v>
      </c>
      <c r="D15" s="521"/>
      <c r="E15" s="522"/>
      <c r="F15" s="97"/>
      <c r="G15" s="520" t="s">
        <v>206</v>
      </c>
      <c r="H15" s="521"/>
      <c r="I15" s="522"/>
      <c r="J15" s="97"/>
      <c r="K15" s="520" t="s">
        <v>207</v>
      </c>
      <c r="L15" s="521"/>
      <c r="M15" s="522"/>
      <c r="N15" s="97"/>
      <c r="O15" s="520" t="s">
        <v>208</v>
      </c>
      <c r="P15" s="521"/>
      <c r="Q15" s="522"/>
    </row>
    <row r="16" spans="1:17" x14ac:dyDescent="0.25">
      <c r="A16" s="138"/>
      <c r="B16" s="98" t="s">
        <v>46</v>
      </c>
      <c r="C16" s="98" t="s">
        <v>29</v>
      </c>
      <c r="D16" s="99" t="s">
        <v>68</v>
      </c>
      <c r="E16" s="100" t="s">
        <v>74</v>
      </c>
      <c r="F16" s="101"/>
      <c r="G16" s="98" t="s">
        <v>29</v>
      </c>
      <c r="H16" s="99" t="s">
        <v>68</v>
      </c>
      <c r="I16" s="100" t="s">
        <v>74</v>
      </c>
      <c r="J16" s="101"/>
      <c r="K16" s="98" t="s">
        <v>29</v>
      </c>
      <c r="L16" s="99" t="s">
        <v>68</v>
      </c>
      <c r="M16" s="100" t="s">
        <v>74</v>
      </c>
      <c r="N16" s="101"/>
      <c r="O16" s="98" t="s">
        <v>29</v>
      </c>
      <c r="P16" s="99" t="s">
        <v>68</v>
      </c>
      <c r="Q16" s="100" t="s">
        <v>74</v>
      </c>
    </row>
    <row r="17" spans="1:17" ht="30" customHeight="1" thickBot="1" x14ac:dyDescent="0.3">
      <c r="A17" s="138"/>
      <c r="B17" s="148" t="s">
        <v>443</v>
      </c>
      <c r="C17" s="230"/>
      <c r="D17" s="231"/>
      <c r="E17" s="232"/>
      <c r="F17" s="101"/>
      <c r="G17" s="230"/>
      <c r="H17" s="231"/>
      <c r="I17" s="232"/>
      <c r="J17" s="101"/>
      <c r="K17" s="230"/>
      <c r="L17" s="231"/>
      <c r="M17" s="232"/>
      <c r="N17" s="101"/>
      <c r="O17" s="230"/>
      <c r="P17" s="231"/>
      <c r="Q17" s="232"/>
    </row>
    <row r="18" spans="1:17" ht="16.5" thickBot="1" x14ac:dyDescent="0.3">
      <c r="A18" s="138"/>
      <c r="B18" s="239" t="s">
        <v>87</v>
      </c>
      <c r="C18" s="108">
        <f>'SUB CPIF LABOR INPUTS'!D155</f>
        <v>0</v>
      </c>
      <c r="D18" s="150"/>
      <c r="E18" s="109">
        <f>'SUB CPIF LABOR INPUTS'!F155</f>
        <v>0</v>
      </c>
      <c r="F18" s="110"/>
      <c r="G18" s="108">
        <f>'SUB CPIF LABOR INPUTS'!H155</f>
        <v>0</v>
      </c>
      <c r="H18" s="150"/>
      <c r="I18" s="109">
        <f>'SUB CPIF LABOR INPUTS'!J155</f>
        <v>0</v>
      </c>
      <c r="J18" s="110"/>
      <c r="K18" s="108">
        <f>'SUB CPIF LABOR INPUTS'!L155</f>
        <v>0</v>
      </c>
      <c r="L18" s="150"/>
      <c r="M18" s="109">
        <f>'SUB CPIF LABOR INPUTS'!N155</f>
        <v>0</v>
      </c>
      <c r="N18" s="110"/>
      <c r="O18" s="108">
        <f>'SUB CPIF LABOR INPUTS'!P155</f>
        <v>0</v>
      </c>
      <c r="P18" s="150"/>
      <c r="Q18" s="109">
        <f>'SUB CPIF LABOR INPUTS'!R155</f>
        <v>0</v>
      </c>
    </row>
    <row r="19" spans="1:17" x14ac:dyDescent="0.25">
      <c r="A19" s="138"/>
      <c r="B19" s="149"/>
      <c r="C19" s="98" t="s">
        <v>289</v>
      </c>
      <c r="D19" s="99" t="s">
        <v>286</v>
      </c>
      <c r="E19" s="100" t="s">
        <v>288</v>
      </c>
      <c r="F19" s="111"/>
      <c r="G19" s="98" t="s">
        <v>289</v>
      </c>
      <c r="H19" s="99" t="s">
        <v>286</v>
      </c>
      <c r="I19" s="100" t="s">
        <v>288</v>
      </c>
      <c r="J19" s="111"/>
      <c r="K19" s="98" t="s">
        <v>289</v>
      </c>
      <c r="L19" s="99" t="s">
        <v>286</v>
      </c>
      <c r="M19" s="100" t="s">
        <v>288</v>
      </c>
      <c r="N19" s="111"/>
      <c r="O19" s="98" t="s">
        <v>289</v>
      </c>
      <c r="P19" s="99" t="s">
        <v>286</v>
      </c>
      <c r="Q19" s="100" t="s">
        <v>288</v>
      </c>
    </row>
    <row r="20" spans="1:17" ht="63" customHeight="1" x14ac:dyDescent="0.25">
      <c r="A20" s="138"/>
      <c r="B20" s="261" t="s">
        <v>279</v>
      </c>
      <c r="C20" s="230"/>
      <c r="D20" s="231"/>
      <c r="E20" s="232"/>
      <c r="F20" s="147"/>
      <c r="G20" s="230"/>
      <c r="H20" s="231"/>
      <c r="I20" s="232"/>
      <c r="J20" s="147"/>
      <c r="K20" s="230"/>
      <c r="L20" s="231"/>
      <c r="M20" s="232"/>
      <c r="N20" s="147"/>
      <c r="O20" s="230"/>
      <c r="P20" s="231"/>
      <c r="Q20" s="232"/>
    </row>
    <row r="21" spans="1:17" x14ac:dyDescent="0.25">
      <c r="A21" s="138"/>
      <c r="B21" s="112" t="str">
        <f>'SUB CPIF RATES (ALL)'!B36</f>
        <v>Indirect Labor Category:  [Labor Fringe]</v>
      </c>
      <c r="C21" s="160">
        <f>+E18</f>
        <v>0</v>
      </c>
      <c r="D21" s="188">
        <f>'SUB CPIF RATES (ALL)'!C36</f>
        <v>0</v>
      </c>
      <c r="E21" s="113">
        <f>ROUND(C21*D21,2)</f>
        <v>0</v>
      </c>
      <c r="F21" s="110"/>
      <c r="G21" s="160">
        <f>+I18</f>
        <v>0</v>
      </c>
      <c r="H21" s="188">
        <f>'SUB CPIF RATES (ALL)'!D36</f>
        <v>0</v>
      </c>
      <c r="I21" s="113">
        <f>ROUND(G21*H21,2)</f>
        <v>0</v>
      </c>
      <c r="J21" s="110"/>
      <c r="K21" s="160">
        <f>+M18</f>
        <v>0</v>
      </c>
      <c r="L21" s="188">
        <f>'SUB CPIF RATES (ALL)'!E36</f>
        <v>0</v>
      </c>
      <c r="M21" s="113">
        <f>ROUND(K21*L21,2)</f>
        <v>0</v>
      </c>
      <c r="N21" s="110"/>
      <c r="O21" s="160">
        <f>+Q18</f>
        <v>0</v>
      </c>
      <c r="P21" s="188">
        <f>'SUB CPIF RATES (ALL)'!F36</f>
        <v>0</v>
      </c>
      <c r="Q21" s="113">
        <f>ROUND(O21*P21,2)</f>
        <v>0</v>
      </c>
    </row>
    <row r="22" spans="1:17" x14ac:dyDescent="0.25">
      <c r="A22" s="138"/>
      <c r="B22" s="112" t="str">
        <f>'SUB CPIF RATES (ALL)'!B37</f>
        <v>Indirect Labor Category: [Labor Overhead]</v>
      </c>
      <c r="C22" s="160">
        <f>+C21+E21</f>
        <v>0</v>
      </c>
      <c r="D22" s="188">
        <f>'SUB CPIF RATES (ALL)'!C37</f>
        <v>0</v>
      </c>
      <c r="E22" s="113">
        <f>ROUND(C22*D22,2)</f>
        <v>0</v>
      </c>
      <c r="F22" s="110"/>
      <c r="G22" s="160">
        <f>+G21+I21</f>
        <v>0</v>
      </c>
      <c r="H22" s="188">
        <f>'SUB CPIF RATES (ALL)'!D37</f>
        <v>0</v>
      </c>
      <c r="I22" s="113">
        <f>ROUND(G22*H22,2)</f>
        <v>0</v>
      </c>
      <c r="J22" s="110"/>
      <c r="K22" s="160">
        <f>+K21+M21</f>
        <v>0</v>
      </c>
      <c r="L22" s="188">
        <f>'SUB CPIF RATES (ALL)'!E37</f>
        <v>0</v>
      </c>
      <c r="M22" s="113">
        <f>ROUND(K22*L22,2)</f>
        <v>0</v>
      </c>
      <c r="N22" s="110"/>
      <c r="O22" s="160">
        <f>+O21+Q21</f>
        <v>0</v>
      </c>
      <c r="P22" s="188">
        <f>'SUB CPIF RATES (ALL)'!F37</f>
        <v>0</v>
      </c>
      <c r="Q22" s="113">
        <f>ROUND(O22*P22,2)</f>
        <v>0</v>
      </c>
    </row>
    <row r="23" spans="1:17" x14ac:dyDescent="0.25">
      <c r="A23" s="138"/>
      <c r="B23" s="112" t="str">
        <f>'SUB CPIF RATES (ALL)'!B38</f>
        <v>Indirect Labor Category: [G&amp;A]</v>
      </c>
      <c r="C23" s="160">
        <f>+C22+E22</f>
        <v>0</v>
      </c>
      <c r="D23" s="188">
        <f>'SUB CPIF RATES (ALL)'!C38</f>
        <v>0</v>
      </c>
      <c r="E23" s="113">
        <f>ROUND(C23*D23,2)</f>
        <v>0</v>
      </c>
      <c r="F23" s="110"/>
      <c r="G23" s="160">
        <f>+G22+I22</f>
        <v>0</v>
      </c>
      <c r="H23" s="188">
        <f>'SUB CPIF RATES (ALL)'!D38</f>
        <v>0</v>
      </c>
      <c r="I23" s="113">
        <f>ROUND(G23*H23,2)</f>
        <v>0</v>
      </c>
      <c r="J23" s="110"/>
      <c r="K23" s="160">
        <f>+K22+M22</f>
        <v>0</v>
      </c>
      <c r="L23" s="188">
        <f>'SUB CPIF RATES (ALL)'!E38</f>
        <v>0</v>
      </c>
      <c r="M23" s="113">
        <f>ROUND(K23*L23,2)</f>
        <v>0</v>
      </c>
      <c r="N23" s="110"/>
      <c r="O23" s="160">
        <f>+O22+Q22</f>
        <v>0</v>
      </c>
      <c r="P23" s="188">
        <f>'SUB CPIF RATES (ALL)'!F38</f>
        <v>0</v>
      </c>
      <c r="Q23" s="113">
        <f>ROUND(O23*P23,2)</f>
        <v>0</v>
      </c>
    </row>
    <row r="24" spans="1:17" x14ac:dyDescent="0.25">
      <c r="A24" s="138"/>
      <c r="B24" s="112" t="str">
        <f>'SUB CPIF RATES (ALL)'!B39</f>
        <v>Indirect Labor Category: [FCCOM]</v>
      </c>
      <c r="C24" s="160">
        <f>C23+E23</f>
        <v>0</v>
      </c>
      <c r="D24" s="188">
        <f>'SUB CPIF RATES (ALL)'!C39</f>
        <v>0</v>
      </c>
      <c r="E24" s="113">
        <f>ROUND(C24*D24,2)</f>
        <v>0</v>
      </c>
      <c r="F24" s="110"/>
      <c r="G24" s="160">
        <f>G23+I23</f>
        <v>0</v>
      </c>
      <c r="H24" s="188">
        <f>'SUB CPIF RATES (ALL)'!D39</f>
        <v>0</v>
      </c>
      <c r="I24" s="113">
        <f>ROUND(G24*H24,2)</f>
        <v>0</v>
      </c>
      <c r="J24" s="110"/>
      <c r="K24" s="160">
        <f>K23+M23</f>
        <v>0</v>
      </c>
      <c r="L24" s="188">
        <f>'SUB CPIF RATES (ALL)'!E39</f>
        <v>0</v>
      </c>
      <c r="M24" s="113">
        <f>ROUND(K24*L24,2)</f>
        <v>0</v>
      </c>
      <c r="N24" s="110"/>
      <c r="O24" s="160">
        <f>O23+Q23</f>
        <v>0</v>
      </c>
      <c r="P24" s="188">
        <f>'SUB CPIF RATES (ALL)'!F39</f>
        <v>0</v>
      </c>
      <c r="Q24" s="113">
        <f>ROUND(O24*P24,2)</f>
        <v>0</v>
      </c>
    </row>
    <row r="25" spans="1:17" x14ac:dyDescent="0.25">
      <c r="A25" s="138"/>
      <c r="B25" s="112" t="str">
        <f>'SUB CPIF RATES (ALL)'!B40</f>
        <v>Indirect Labor Category: [Target Fee]</v>
      </c>
      <c r="C25" s="160">
        <f>+C23+E23</f>
        <v>0</v>
      </c>
      <c r="D25" s="188">
        <f>'SUB CPIF RATES (ALL)'!C40</f>
        <v>0</v>
      </c>
      <c r="E25" s="113">
        <f>ROUND(C25*D25,2)</f>
        <v>0</v>
      </c>
      <c r="F25" s="110"/>
      <c r="G25" s="160">
        <f>+G23+I23</f>
        <v>0</v>
      </c>
      <c r="H25" s="188">
        <f>'SUB CPIF RATES (ALL)'!D40</f>
        <v>0</v>
      </c>
      <c r="I25" s="113">
        <f>ROUND(G25*H25,2)</f>
        <v>0</v>
      </c>
      <c r="J25" s="110"/>
      <c r="K25" s="160">
        <f>+K23+M23</f>
        <v>0</v>
      </c>
      <c r="L25" s="188">
        <f>'SUB CPIF RATES (ALL)'!E40</f>
        <v>0</v>
      </c>
      <c r="M25" s="113">
        <f>ROUND(K25*L25,2)</f>
        <v>0</v>
      </c>
      <c r="N25" s="110"/>
      <c r="O25" s="160">
        <f>+O23+Q23</f>
        <v>0</v>
      </c>
      <c r="P25" s="188">
        <f>'SUB CPIF RATES (ALL)'!F40</f>
        <v>0</v>
      </c>
      <c r="Q25" s="113">
        <f>ROUND(O25*P25,2)</f>
        <v>0</v>
      </c>
    </row>
    <row r="26" spans="1:17" x14ac:dyDescent="0.25">
      <c r="A26" s="138"/>
      <c r="B26" s="205" t="s">
        <v>185</v>
      </c>
      <c r="C26" s="155"/>
      <c r="D26" s="156"/>
      <c r="E26" s="175">
        <f>ROUND(SUM(E18,E21,E22,E23),2)</f>
        <v>0</v>
      </c>
      <c r="F26" s="110"/>
      <c r="G26" s="151"/>
      <c r="H26" s="152"/>
      <c r="I26" s="175">
        <f>ROUND(SUM(I18,I21,I22,I23),2)</f>
        <v>0</v>
      </c>
      <c r="J26" s="110"/>
      <c r="K26" s="151"/>
      <c r="L26" s="152"/>
      <c r="M26" s="175">
        <f>ROUND(SUM(M18,M21,M22,M23),2)</f>
        <v>0</v>
      </c>
      <c r="N26" s="110"/>
      <c r="O26" s="151"/>
      <c r="P26" s="152"/>
      <c r="Q26" s="175">
        <f>ROUND(SUM(Q18,Q21,Q22,Q23),2)</f>
        <v>0</v>
      </c>
    </row>
    <row r="27" spans="1:17" x14ac:dyDescent="0.25">
      <c r="A27" s="138"/>
      <c r="B27" s="205" t="s">
        <v>72</v>
      </c>
      <c r="C27" s="155"/>
      <c r="D27" s="156"/>
      <c r="E27" s="175">
        <f>ROUND(E24,2)</f>
        <v>0</v>
      </c>
      <c r="F27" s="110"/>
      <c r="G27" s="151"/>
      <c r="H27" s="152"/>
      <c r="I27" s="175">
        <f>ROUND(I24,2)</f>
        <v>0</v>
      </c>
      <c r="J27" s="110"/>
      <c r="K27" s="151"/>
      <c r="L27" s="152"/>
      <c r="M27" s="175">
        <f>ROUND(M24,2)</f>
        <v>0</v>
      </c>
      <c r="N27" s="110"/>
      <c r="O27" s="151"/>
      <c r="P27" s="152"/>
      <c r="Q27" s="175">
        <f>ROUND(Q24,2)</f>
        <v>0</v>
      </c>
    </row>
    <row r="28" spans="1:17" x14ac:dyDescent="0.25">
      <c r="A28" s="138"/>
      <c r="B28" s="205" t="s">
        <v>71</v>
      </c>
      <c r="C28" s="155"/>
      <c r="D28" s="156"/>
      <c r="E28" s="190">
        <f>ROUND(E25,2)</f>
        <v>0</v>
      </c>
      <c r="F28" s="115"/>
      <c r="G28" s="151"/>
      <c r="H28" s="152"/>
      <c r="I28" s="190">
        <f>ROUND(I25,2)</f>
        <v>0</v>
      </c>
      <c r="J28" s="115"/>
      <c r="K28" s="151"/>
      <c r="L28" s="152"/>
      <c r="M28" s="190">
        <f>ROUND(M25,2)</f>
        <v>0</v>
      </c>
      <c r="N28" s="115"/>
      <c r="O28" s="151"/>
      <c r="P28" s="152"/>
      <c r="Q28" s="190">
        <f>ROUND(Q25,2)</f>
        <v>0</v>
      </c>
    </row>
    <row r="29" spans="1:17" ht="16.5" thickBot="1" x14ac:dyDescent="0.3">
      <c r="A29" s="138"/>
      <c r="B29" s="206" t="s">
        <v>73</v>
      </c>
      <c r="C29" s="157"/>
      <c r="D29" s="158"/>
      <c r="E29" s="191">
        <f>ROUND(SUM(E26:E28),2)</f>
        <v>0</v>
      </c>
      <c r="F29" s="116"/>
      <c r="G29" s="153"/>
      <c r="H29" s="154"/>
      <c r="I29" s="191">
        <f>ROUND(SUM(I26:I28),2)</f>
        <v>0</v>
      </c>
      <c r="J29" s="116"/>
      <c r="K29" s="153"/>
      <c r="L29" s="154"/>
      <c r="M29" s="191">
        <f>ROUND(SUM(M26:M28),2)</f>
        <v>0</v>
      </c>
      <c r="N29" s="116"/>
      <c r="O29" s="153"/>
      <c r="P29" s="154"/>
      <c r="Q29" s="191">
        <f>ROUND(SUM(Q26:Q28),2)</f>
        <v>0</v>
      </c>
    </row>
    <row r="30" spans="1:17" ht="16.5" thickBot="1" x14ac:dyDescent="0.3">
      <c r="A30" s="138"/>
      <c r="B30" s="117"/>
      <c r="C30" s="118"/>
      <c r="D30" s="118"/>
      <c r="E30" s="118"/>
      <c r="F30" s="199"/>
      <c r="G30" s="199"/>
      <c r="H30" s="199"/>
      <c r="I30" s="199"/>
      <c r="J30" s="199"/>
      <c r="K30" s="199"/>
      <c r="L30" s="118"/>
      <c r="M30" s="118"/>
      <c r="N30" s="110"/>
      <c r="O30" s="199"/>
      <c r="P30" s="118"/>
      <c r="Q30" s="118"/>
    </row>
    <row r="31" spans="1:17" ht="16.5" customHeight="1" thickBot="1" x14ac:dyDescent="0.3">
      <c r="A31" s="138"/>
      <c r="B31" s="523" t="str">
        <f>B14</f>
        <v>CLIN 0001 (CPIF)                                                    TASK 1.07 MATERIAL - DEVELOPMENTAL SPARES</v>
      </c>
      <c r="C31" s="490" t="s">
        <v>80</v>
      </c>
      <c r="D31" s="491"/>
      <c r="E31" s="492"/>
      <c r="F31" s="120"/>
      <c r="G31" s="490" t="s">
        <v>80</v>
      </c>
      <c r="H31" s="491"/>
      <c r="I31" s="492"/>
      <c r="J31" s="120"/>
      <c r="K31" s="490" t="s">
        <v>80</v>
      </c>
      <c r="L31" s="491"/>
      <c r="M31" s="492"/>
      <c r="N31" s="120"/>
      <c r="O31" s="490" t="s">
        <v>80</v>
      </c>
      <c r="P31" s="491"/>
      <c r="Q31" s="492"/>
    </row>
    <row r="32" spans="1:17" ht="32.25" customHeight="1" thickBot="1" x14ac:dyDescent="0.3">
      <c r="A32" s="138"/>
      <c r="B32" s="524"/>
      <c r="C32" s="520" t="str">
        <f>C15</f>
        <v>CLIN 0001 - Basic Period (Year 1)</v>
      </c>
      <c r="D32" s="521"/>
      <c r="E32" s="522"/>
      <c r="F32" s="121"/>
      <c r="G32" s="520" t="str">
        <f>G15</f>
        <v>CLIN 0001 - Basic Period (Year 2)</v>
      </c>
      <c r="H32" s="521"/>
      <c r="I32" s="522"/>
      <c r="J32" s="121"/>
      <c r="K32" s="520" t="str">
        <f>K15</f>
        <v>CLIN 0001 - Basic Period (Year 3)</v>
      </c>
      <c r="L32" s="521"/>
      <c r="M32" s="522"/>
      <c r="N32" s="121"/>
      <c r="O32" s="520" t="str">
        <f>O15</f>
        <v>CLIN 0001 - Basic Period (Year 4)</v>
      </c>
      <c r="P32" s="521"/>
      <c r="Q32" s="522"/>
    </row>
    <row r="33" spans="1:17" x14ac:dyDescent="0.25">
      <c r="A33" s="138"/>
      <c r="B33" s="192"/>
      <c r="C33" s="98" t="s">
        <v>289</v>
      </c>
      <c r="D33" s="99" t="s">
        <v>286</v>
      </c>
      <c r="E33" s="100" t="s">
        <v>88</v>
      </c>
      <c r="F33" s="111"/>
      <c r="G33" s="98" t="s">
        <v>289</v>
      </c>
      <c r="H33" s="99" t="s">
        <v>286</v>
      </c>
      <c r="I33" s="100" t="s">
        <v>88</v>
      </c>
      <c r="J33" s="111"/>
      <c r="K33" s="98" t="s">
        <v>289</v>
      </c>
      <c r="L33" s="99" t="s">
        <v>286</v>
      </c>
      <c r="M33" s="100" t="s">
        <v>88</v>
      </c>
      <c r="N33" s="111"/>
      <c r="O33" s="98" t="s">
        <v>289</v>
      </c>
      <c r="P33" s="99" t="s">
        <v>286</v>
      </c>
      <c r="Q33" s="100" t="s">
        <v>88</v>
      </c>
    </row>
    <row r="34" spans="1:17" ht="51.75" x14ac:dyDescent="0.25">
      <c r="A34" s="138"/>
      <c r="B34" s="240" t="s">
        <v>445</v>
      </c>
      <c r="C34" s="176"/>
      <c r="D34" s="177"/>
      <c r="E34" s="310">
        <f>'SUB CPIF TOTAL MATERIAL'!E18</f>
        <v>0</v>
      </c>
      <c r="F34" s="110"/>
      <c r="G34" s="176"/>
      <c r="H34" s="177"/>
      <c r="I34" s="310">
        <f>'SUB CPIF TOTAL MATERIAL'!G18</f>
        <v>0</v>
      </c>
      <c r="J34" s="110"/>
      <c r="K34" s="176"/>
      <c r="L34" s="177"/>
      <c r="M34" s="310">
        <f>'SUB CPIF TOTAL MATERIAL'!I18</f>
        <v>0</v>
      </c>
      <c r="N34" s="110"/>
      <c r="O34" s="176"/>
      <c r="P34" s="177"/>
      <c r="Q34" s="310">
        <f>'SUB CPIF TOTAL MATERIAL'!K18</f>
        <v>0</v>
      </c>
    </row>
    <row r="35" spans="1:17" ht="67.5" customHeight="1" x14ac:dyDescent="0.25">
      <c r="A35" s="138"/>
      <c r="B35" s="261" t="s">
        <v>446</v>
      </c>
      <c r="C35" s="315"/>
      <c r="D35" s="316"/>
      <c r="E35" s="310"/>
      <c r="F35" s="110"/>
      <c r="G35" s="315"/>
      <c r="H35" s="316"/>
      <c r="I35" s="310"/>
      <c r="J35" s="110"/>
      <c r="K35" s="315"/>
      <c r="L35" s="316"/>
      <c r="M35" s="310"/>
      <c r="N35" s="110"/>
      <c r="O35" s="315"/>
      <c r="P35" s="316"/>
      <c r="Q35" s="310"/>
    </row>
    <row r="36" spans="1:17" x14ac:dyDescent="0.25">
      <c r="A36" s="138"/>
      <c r="B36" s="112" t="str">
        <f>'SUB CPIF RATES (ALL)'!B53</f>
        <v>Indirect Category: [Material Overhead]</v>
      </c>
      <c r="C36" s="160">
        <f>+E34</f>
        <v>0</v>
      </c>
      <c r="D36" s="188">
        <f>'SUB CPIF RATES (ALL)'!C53</f>
        <v>0</v>
      </c>
      <c r="E36" s="113">
        <f>ROUND(C36*D36,2)</f>
        <v>0</v>
      </c>
      <c r="F36" s="123"/>
      <c r="G36" s="160">
        <f>+I34</f>
        <v>0</v>
      </c>
      <c r="H36" s="188">
        <f>'SUB CPIF RATES (ALL)'!D53</f>
        <v>0</v>
      </c>
      <c r="I36" s="113">
        <f>ROUND(G36*H36,2)</f>
        <v>0</v>
      </c>
      <c r="J36" s="123"/>
      <c r="K36" s="160">
        <f>+M34</f>
        <v>0</v>
      </c>
      <c r="L36" s="188">
        <f>'SUB CPIF RATES (ALL)'!E53</f>
        <v>0</v>
      </c>
      <c r="M36" s="113">
        <f>ROUND(K36*L36,2)</f>
        <v>0</v>
      </c>
      <c r="N36" s="123"/>
      <c r="O36" s="160">
        <f>+Q34</f>
        <v>0</v>
      </c>
      <c r="P36" s="188">
        <f>'SUB CPIF RATES (ALL)'!F53</f>
        <v>0</v>
      </c>
      <c r="Q36" s="113">
        <f>ROUND(O36*P36,2)</f>
        <v>0</v>
      </c>
    </row>
    <row r="37" spans="1:17" x14ac:dyDescent="0.25">
      <c r="A37" s="138"/>
      <c r="B37" s="112" t="str">
        <f>'SUB CPIF RATES (ALL)'!B54</f>
        <v>Indirect Category: [G&amp;A]</v>
      </c>
      <c r="C37" s="160">
        <f>+C36+E36</f>
        <v>0</v>
      </c>
      <c r="D37" s="188">
        <f>'SUB CPIF RATES (ALL)'!C54</f>
        <v>0</v>
      </c>
      <c r="E37" s="113">
        <f>ROUND(C37*D37,2)</f>
        <v>0</v>
      </c>
      <c r="F37" s="123"/>
      <c r="G37" s="160">
        <f>+G36+I36</f>
        <v>0</v>
      </c>
      <c r="H37" s="188">
        <f>'SUB CPIF RATES (ALL)'!D54</f>
        <v>0</v>
      </c>
      <c r="I37" s="113">
        <f>ROUND(G37*H37,2)</f>
        <v>0</v>
      </c>
      <c r="J37" s="123"/>
      <c r="K37" s="160">
        <f>+K36+M36</f>
        <v>0</v>
      </c>
      <c r="L37" s="188">
        <f>'SUB CPIF RATES (ALL)'!E54</f>
        <v>0</v>
      </c>
      <c r="M37" s="113">
        <f>ROUND(K37*L37,2)</f>
        <v>0</v>
      </c>
      <c r="N37" s="123"/>
      <c r="O37" s="160">
        <f>+O36+Q36</f>
        <v>0</v>
      </c>
      <c r="P37" s="188">
        <f>'SUB CPIF RATES (ALL)'!F54</f>
        <v>0</v>
      </c>
      <c r="Q37" s="113">
        <f>ROUND(O37*P37,2)</f>
        <v>0</v>
      </c>
    </row>
    <row r="38" spans="1:17" x14ac:dyDescent="0.25">
      <c r="A38" s="138"/>
      <c r="B38" s="112" t="str">
        <f>'SUB CPIF RATES (ALL)'!B55</f>
        <v>Indirect Category: [FCCOM]</v>
      </c>
      <c r="C38" s="160">
        <f>C37+E37</f>
        <v>0</v>
      </c>
      <c r="D38" s="188">
        <f>'SUB CPIF RATES (ALL)'!C55</f>
        <v>0</v>
      </c>
      <c r="E38" s="113">
        <f>ROUND(C38*D38,2)</f>
        <v>0</v>
      </c>
      <c r="F38" s="110"/>
      <c r="G38" s="160">
        <f>G37+I37</f>
        <v>0</v>
      </c>
      <c r="H38" s="188">
        <f>'SUB CPIF RATES (ALL)'!D55</f>
        <v>0</v>
      </c>
      <c r="I38" s="113">
        <f>ROUND(G38*H38,2)</f>
        <v>0</v>
      </c>
      <c r="J38" s="110"/>
      <c r="K38" s="160">
        <f>K37+M37</f>
        <v>0</v>
      </c>
      <c r="L38" s="188">
        <f>'SUB CPIF RATES (ALL)'!E55</f>
        <v>0</v>
      </c>
      <c r="M38" s="113">
        <f>ROUND(K38*L38,2)</f>
        <v>0</v>
      </c>
      <c r="N38" s="110"/>
      <c r="O38" s="160">
        <f>O37+Q37</f>
        <v>0</v>
      </c>
      <c r="P38" s="188">
        <f>'SUB CPIF RATES (ALL)'!F55</f>
        <v>0</v>
      </c>
      <c r="Q38" s="113">
        <f>ROUND(O38*P38,2)</f>
        <v>0</v>
      </c>
    </row>
    <row r="39" spans="1:17" x14ac:dyDescent="0.25">
      <c r="A39" s="138"/>
      <c r="B39" s="112" t="str">
        <f>'SUB CPIF RATES (ALL)'!B56</f>
        <v>Indirect Category: [Target Fee]</v>
      </c>
      <c r="C39" s="160">
        <f>+C37+E37</f>
        <v>0</v>
      </c>
      <c r="D39" s="188">
        <f>'SUB CPIF RATES (ALL)'!C56</f>
        <v>0</v>
      </c>
      <c r="E39" s="113">
        <f>ROUND(C39*D39,2)</f>
        <v>0</v>
      </c>
      <c r="F39" s="110"/>
      <c r="G39" s="160">
        <f>+G37+I37</f>
        <v>0</v>
      </c>
      <c r="H39" s="188">
        <f>'SUB CPIF RATES (ALL)'!D56</f>
        <v>0</v>
      </c>
      <c r="I39" s="113">
        <f>ROUND(G39*H39,2)</f>
        <v>0</v>
      </c>
      <c r="J39" s="110"/>
      <c r="K39" s="160">
        <f>+K37+M37</f>
        <v>0</v>
      </c>
      <c r="L39" s="188">
        <f>'SUB CPIF RATES (ALL)'!E56</f>
        <v>0</v>
      </c>
      <c r="M39" s="113">
        <f>ROUND(K39*L39,2)</f>
        <v>0</v>
      </c>
      <c r="N39" s="110"/>
      <c r="O39" s="160">
        <f>+O37+Q37</f>
        <v>0</v>
      </c>
      <c r="P39" s="188">
        <f>'SUB CPIF RATES (ALL)'!F56</f>
        <v>0</v>
      </c>
      <c r="Q39" s="113">
        <f>ROUND(O39*P39,2)</f>
        <v>0</v>
      </c>
    </row>
    <row r="40" spans="1:17" x14ac:dyDescent="0.25">
      <c r="A40" s="138"/>
      <c r="B40" s="186" t="s">
        <v>186</v>
      </c>
      <c r="C40" s="178"/>
      <c r="D40" s="179"/>
      <c r="E40" s="113">
        <f>ROUND(SUM(E34:E37),2)</f>
        <v>0</v>
      </c>
      <c r="F40" s="110"/>
      <c r="G40" s="178"/>
      <c r="H40" s="179"/>
      <c r="I40" s="113">
        <f>ROUND(SUM(I34:I37),2)</f>
        <v>0</v>
      </c>
      <c r="J40" s="110"/>
      <c r="K40" s="178"/>
      <c r="L40" s="179"/>
      <c r="M40" s="113">
        <f>ROUND(SUM(M34:M37),2)</f>
        <v>0</v>
      </c>
      <c r="N40" s="110"/>
      <c r="O40" s="178"/>
      <c r="P40" s="179"/>
      <c r="Q40" s="113">
        <f>ROUND(SUM(Q34:Q37),2)</f>
        <v>0</v>
      </c>
    </row>
    <row r="41" spans="1:17" x14ac:dyDescent="0.25">
      <c r="A41" s="138"/>
      <c r="B41" s="186" t="s">
        <v>72</v>
      </c>
      <c r="C41" s="176"/>
      <c r="D41" s="180"/>
      <c r="E41" s="113">
        <f>ROUND(E38,2)</f>
        <v>0</v>
      </c>
      <c r="F41" s="110"/>
      <c r="G41" s="176"/>
      <c r="H41" s="180"/>
      <c r="I41" s="113">
        <f>ROUND(I38,2)</f>
        <v>0</v>
      </c>
      <c r="J41" s="110"/>
      <c r="K41" s="176"/>
      <c r="L41" s="180"/>
      <c r="M41" s="113">
        <f>ROUND(M38,2)</f>
        <v>0</v>
      </c>
      <c r="N41" s="110"/>
      <c r="O41" s="176"/>
      <c r="P41" s="180"/>
      <c r="Q41" s="113">
        <f>ROUND(Q38,2)</f>
        <v>0</v>
      </c>
    </row>
    <row r="42" spans="1:17" x14ac:dyDescent="0.2">
      <c r="B42" s="186" t="s">
        <v>71</v>
      </c>
      <c r="C42" s="176"/>
      <c r="D42" s="180"/>
      <c r="E42" s="127">
        <f>ROUND(E39,2)</f>
        <v>0</v>
      </c>
      <c r="F42" s="128"/>
      <c r="G42" s="176"/>
      <c r="H42" s="180"/>
      <c r="I42" s="127">
        <f>ROUND(I39,2)</f>
        <v>0</v>
      </c>
      <c r="J42" s="128"/>
      <c r="K42" s="176"/>
      <c r="L42" s="180"/>
      <c r="M42" s="127">
        <f>ROUND(M39,2)</f>
        <v>0</v>
      </c>
      <c r="N42" s="128"/>
      <c r="O42" s="176"/>
      <c r="P42" s="180"/>
      <c r="Q42" s="127">
        <f>ROUND(Q39,2)</f>
        <v>0</v>
      </c>
    </row>
    <row r="43" spans="1:17" ht="16.5" thickBot="1" x14ac:dyDescent="0.25">
      <c r="B43" s="187" t="s">
        <v>173</v>
      </c>
      <c r="C43" s="181"/>
      <c r="D43" s="182"/>
      <c r="E43" s="105">
        <f>SUM(E40:E42)</f>
        <v>0</v>
      </c>
      <c r="F43" s="106"/>
      <c r="G43" s="181"/>
      <c r="H43" s="182"/>
      <c r="I43" s="105">
        <f>SUM(I40:I42)</f>
        <v>0</v>
      </c>
      <c r="J43" s="106"/>
      <c r="K43" s="181"/>
      <c r="L43" s="182"/>
      <c r="M43" s="105">
        <f>SUM(M40:M42)</f>
        <v>0</v>
      </c>
      <c r="N43" s="106"/>
      <c r="O43" s="181"/>
      <c r="P43" s="182"/>
      <c r="Q43" s="105">
        <f>SUM(Q40:Q42)</f>
        <v>0</v>
      </c>
    </row>
    <row r="44" spans="1:17" ht="16.5" thickBot="1" x14ac:dyDescent="0.25">
      <c r="B44" s="117"/>
      <c r="E44" s="194"/>
      <c r="F44" s="194"/>
      <c r="G44" s="194"/>
      <c r="H44" s="194"/>
      <c r="I44" s="194"/>
      <c r="J44" s="194"/>
      <c r="K44" s="194"/>
      <c r="N44" s="132"/>
      <c r="O44" s="194"/>
    </row>
    <row r="45" spans="1:17" ht="16.5" thickBot="1" x14ac:dyDescent="0.3">
      <c r="B45" s="523" t="str">
        <f>B14</f>
        <v>CLIN 0001 (CPIF)                                                    TASK 1.07 MATERIAL - DEVELOPMENTAL SPARES</v>
      </c>
      <c r="C45" s="490" t="s">
        <v>212</v>
      </c>
      <c r="D45" s="491"/>
      <c r="E45" s="492"/>
      <c r="F45" s="120"/>
      <c r="G45" s="490" t="s">
        <v>212</v>
      </c>
      <c r="H45" s="491"/>
      <c r="I45" s="492"/>
      <c r="J45" s="120"/>
      <c r="K45" s="490" t="s">
        <v>212</v>
      </c>
      <c r="L45" s="491"/>
      <c r="M45" s="492"/>
      <c r="N45" s="120"/>
      <c r="O45" s="490" t="s">
        <v>212</v>
      </c>
      <c r="P45" s="491"/>
      <c r="Q45" s="492"/>
    </row>
    <row r="46" spans="1:17" ht="27.75" customHeight="1" thickBot="1" x14ac:dyDescent="0.3">
      <c r="B46" s="524"/>
      <c r="C46" s="520" t="str">
        <f>C32</f>
        <v>CLIN 0001 - Basic Period (Year 1)</v>
      </c>
      <c r="D46" s="521"/>
      <c r="E46" s="522"/>
      <c r="F46" s="121"/>
      <c r="G46" s="520" t="str">
        <f>G32</f>
        <v>CLIN 0001 - Basic Period (Year 2)</v>
      </c>
      <c r="H46" s="521"/>
      <c r="I46" s="522"/>
      <c r="J46" s="121"/>
      <c r="K46" s="520" t="str">
        <f>K32</f>
        <v>CLIN 0001 - Basic Period (Year 3)</v>
      </c>
      <c r="L46" s="521"/>
      <c r="M46" s="522"/>
      <c r="N46" s="121"/>
      <c r="O46" s="520" t="str">
        <f>O32</f>
        <v>CLIN 0001 - Basic Period (Year 4)</v>
      </c>
      <c r="P46" s="521"/>
      <c r="Q46" s="522"/>
    </row>
    <row r="47" spans="1:17" x14ac:dyDescent="0.25">
      <c r="B47" s="193"/>
      <c r="C47" s="98" t="s">
        <v>289</v>
      </c>
      <c r="D47" s="99" t="s">
        <v>286</v>
      </c>
      <c r="E47" s="100" t="s">
        <v>287</v>
      </c>
      <c r="F47" s="111"/>
      <c r="G47" s="98" t="s">
        <v>289</v>
      </c>
      <c r="H47" s="99" t="s">
        <v>286</v>
      </c>
      <c r="I47" s="100" t="s">
        <v>287</v>
      </c>
      <c r="J47" s="111"/>
      <c r="K47" s="98" t="s">
        <v>289</v>
      </c>
      <c r="L47" s="99" t="s">
        <v>286</v>
      </c>
      <c r="M47" s="100" t="s">
        <v>287</v>
      </c>
      <c r="N47" s="111"/>
      <c r="O47" s="98" t="s">
        <v>289</v>
      </c>
      <c r="P47" s="99" t="s">
        <v>286</v>
      </c>
      <c r="Q47" s="100" t="s">
        <v>287</v>
      </c>
    </row>
    <row r="48" spans="1:17" ht="25.5" x14ac:dyDescent="0.2">
      <c r="B48" s="240" t="s">
        <v>447</v>
      </c>
      <c r="C48" s="226"/>
      <c r="D48" s="226"/>
      <c r="E48" s="262">
        <f>'SUB CPIF TOTAL SUB'!E18</f>
        <v>0</v>
      </c>
      <c r="F48" s="229"/>
      <c r="G48" s="176"/>
      <c r="H48" s="226"/>
      <c r="I48" s="262">
        <f>'SUB CPIF TOTAL SUB'!G18</f>
        <v>0</v>
      </c>
      <c r="J48" s="229"/>
      <c r="K48" s="176"/>
      <c r="L48" s="226"/>
      <c r="M48" s="262">
        <f>'SUB CPIF TOTAL SUB'!I18</f>
        <v>0</v>
      </c>
      <c r="N48" s="110"/>
      <c r="O48" s="176"/>
      <c r="P48" s="226"/>
      <c r="Q48" s="262">
        <f>'SUB CPIF TOTAL SUB'!K18</f>
        <v>0</v>
      </c>
    </row>
    <row r="49" spans="1:17" ht="76.5" x14ac:dyDescent="0.2">
      <c r="B49" s="261" t="s">
        <v>448</v>
      </c>
      <c r="C49" s="527" t="s">
        <v>1</v>
      </c>
      <c r="D49" s="528"/>
      <c r="E49" s="529"/>
      <c r="F49" s="123"/>
      <c r="G49" s="530"/>
      <c r="H49" s="528"/>
      <c r="I49" s="529"/>
      <c r="J49" s="123"/>
      <c r="K49" s="530"/>
      <c r="L49" s="528"/>
      <c r="M49" s="529"/>
      <c r="N49" s="123"/>
      <c r="O49" s="530"/>
      <c r="P49" s="528"/>
      <c r="Q49" s="529"/>
    </row>
    <row r="50" spans="1:17" x14ac:dyDescent="0.2">
      <c r="B50" s="228" t="str">
        <f>'SUB CPIF RATES (ALL)'!B45</f>
        <v>Indirect Category: [Overhead]</v>
      </c>
      <c r="C50" s="227">
        <f>E48</f>
        <v>0</v>
      </c>
      <c r="D50" s="188">
        <f>'SUB CPIF RATES (ALL)'!C45</f>
        <v>0</v>
      </c>
      <c r="E50" s="113">
        <f>ROUND(C50*D50,2)</f>
        <v>0</v>
      </c>
      <c r="F50" s="123"/>
      <c r="G50" s="160">
        <f>I48</f>
        <v>0</v>
      </c>
      <c r="H50" s="188">
        <f>'SUB CPIF RATES (ALL)'!D45</f>
        <v>0</v>
      </c>
      <c r="I50" s="113">
        <f>ROUND(G50*H50,2)</f>
        <v>0</v>
      </c>
      <c r="J50" s="123"/>
      <c r="K50" s="160">
        <f>M48</f>
        <v>0</v>
      </c>
      <c r="L50" s="188">
        <f>'SUB CPIF RATES (ALL)'!E45</f>
        <v>0</v>
      </c>
      <c r="M50" s="113">
        <f>ROUND(K50*L50,2)</f>
        <v>0</v>
      </c>
      <c r="N50" s="123"/>
      <c r="O50" s="160">
        <f>Q48</f>
        <v>0</v>
      </c>
      <c r="P50" s="188">
        <f>'SUB CPIF RATES (ALL)'!F45</f>
        <v>0</v>
      </c>
      <c r="Q50" s="113">
        <f>ROUND(O50*P50,2)</f>
        <v>0</v>
      </c>
    </row>
    <row r="51" spans="1:17" x14ac:dyDescent="0.2">
      <c r="B51" s="228" t="str">
        <f>'SUB CPIF RATES (ALL)'!B46</f>
        <v>Indirect Category: [G&amp;A]</v>
      </c>
      <c r="C51" s="227">
        <f>C50+E50</f>
        <v>0</v>
      </c>
      <c r="D51" s="188">
        <f>'SUB CPIF RATES (ALL)'!C46</f>
        <v>0</v>
      </c>
      <c r="E51" s="113">
        <f>ROUND(C51*D51,2)</f>
        <v>0</v>
      </c>
      <c r="F51" s="229"/>
      <c r="G51" s="227">
        <f>G50+I50</f>
        <v>0</v>
      </c>
      <c r="H51" s="188">
        <f>'SUB CPIF RATES (ALL)'!D46</f>
        <v>0</v>
      </c>
      <c r="I51" s="113">
        <f>ROUND(G51*H51,2)</f>
        <v>0</v>
      </c>
      <c r="J51" s="229"/>
      <c r="K51" s="227">
        <f>K50+M50</f>
        <v>0</v>
      </c>
      <c r="L51" s="188">
        <f>'SUB CPIF RATES (ALL)'!E46</f>
        <v>0</v>
      </c>
      <c r="M51" s="113">
        <f>ROUND(K51*L51,2)</f>
        <v>0</v>
      </c>
      <c r="N51" s="110"/>
      <c r="O51" s="227">
        <f>O50+Q50</f>
        <v>0</v>
      </c>
      <c r="P51" s="188">
        <f>'SUB CPIF RATES (ALL)'!F46</f>
        <v>0</v>
      </c>
      <c r="Q51" s="113">
        <f>ROUND(O51*P51,2)</f>
        <v>0</v>
      </c>
    </row>
    <row r="52" spans="1:17" x14ac:dyDescent="0.2">
      <c r="B52" s="266" t="str">
        <f>'SUB CPIF RATES (ALL)'!B47</f>
        <v>Indirect Category: [FCCOM]</v>
      </c>
      <c r="C52" s="160">
        <f>C51+E51</f>
        <v>0</v>
      </c>
      <c r="D52" s="188">
        <f>'SUB CPIF RATES (ALL)'!C47</f>
        <v>0</v>
      </c>
      <c r="E52" s="268">
        <f>ROUND(C52*D52,2)</f>
        <v>0</v>
      </c>
      <c r="F52" s="229"/>
      <c r="G52" s="160">
        <f>G51+I51</f>
        <v>0</v>
      </c>
      <c r="H52" s="188">
        <f>'SUB CPIF RATES (ALL)'!D47</f>
        <v>0</v>
      </c>
      <c r="I52" s="268">
        <f>ROUND(G52*H52,2)</f>
        <v>0</v>
      </c>
      <c r="J52" s="229"/>
      <c r="K52" s="160">
        <f>K51+M51</f>
        <v>0</v>
      </c>
      <c r="L52" s="188">
        <f>'SUB CPIF RATES (ALL)'!E47</f>
        <v>0</v>
      </c>
      <c r="M52" s="268">
        <f>ROUND(K52*L52,2)</f>
        <v>0</v>
      </c>
      <c r="N52" s="110"/>
      <c r="O52" s="160">
        <f>O51+Q51</f>
        <v>0</v>
      </c>
      <c r="P52" s="188">
        <f>'SUB CPIF RATES (ALL)'!F47</f>
        <v>0</v>
      </c>
      <c r="Q52" s="268">
        <f>ROUND(O52*P52,2)</f>
        <v>0</v>
      </c>
    </row>
    <row r="53" spans="1:17" x14ac:dyDescent="0.2">
      <c r="B53" s="112" t="str">
        <f>'SUB CPIF RATES (ALL)'!B48</f>
        <v>Indirect Category: [Target Fee]</v>
      </c>
      <c r="C53" s="159">
        <f>C51+E51</f>
        <v>0</v>
      </c>
      <c r="D53" s="269">
        <f>'SUB CPIF RATES (ALL)'!C48</f>
        <v>0</v>
      </c>
      <c r="E53" s="268">
        <f>ROUND(C53*D53,2)</f>
        <v>0</v>
      </c>
      <c r="F53" s="229"/>
      <c r="G53" s="159">
        <f>G51+I51</f>
        <v>0</v>
      </c>
      <c r="H53" s="269">
        <f>'SUB CPIF RATES (ALL)'!D48</f>
        <v>0</v>
      </c>
      <c r="I53" s="268">
        <f>ROUND(G53*H53,2)</f>
        <v>0</v>
      </c>
      <c r="J53" s="229"/>
      <c r="K53" s="159">
        <f>K51+M51</f>
        <v>0</v>
      </c>
      <c r="L53" s="269">
        <f>'SUB CPIF RATES (ALL)'!E48</f>
        <v>0</v>
      </c>
      <c r="M53" s="268">
        <f>ROUND(K53*L53,2)</f>
        <v>0</v>
      </c>
      <c r="N53" s="110"/>
      <c r="O53" s="159">
        <f>O51+Q51</f>
        <v>0</v>
      </c>
      <c r="P53" s="269">
        <f>'SUB CPIF RATES (ALL)'!F48</f>
        <v>0</v>
      </c>
      <c r="Q53" s="268">
        <f>ROUND(O53*P53,2)</f>
        <v>0</v>
      </c>
    </row>
    <row r="54" spans="1:17" x14ac:dyDescent="0.2">
      <c r="B54" s="186" t="s">
        <v>214</v>
      </c>
      <c r="C54" s="178"/>
      <c r="D54" s="179"/>
      <c r="E54" s="113">
        <f>ROUND(E48+E50+E51,2)</f>
        <v>0</v>
      </c>
      <c r="F54" s="229"/>
      <c r="G54" s="178"/>
      <c r="H54" s="179"/>
      <c r="I54" s="113">
        <f>ROUND(I48+I50+I51,2)</f>
        <v>0</v>
      </c>
      <c r="J54" s="229"/>
      <c r="K54" s="178"/>
      <c r="L54" s="179"/>
      <c r="M54" s="113">
        <f>ROUND(M48+M50+M51,2)</f>
        <v>0</v>
      </c>
      <c r="N54" s="110"/>
      <c r="O54" s="178"/>
      <c r="P54" s="179"/>
      <c r="Q54" s="113">
        <f>ROUND(Q48+Q50+Q51,2)</f>
        <v>0</v>
      </c>
    </row>
    <row r="55" spans="1:17" x14ac:dyDescent="0.2">
      <c r="B55" s="186" t="s">
        <v>204</v>
      </c>
      <c r="C55" s="176"/>
      <c r="D55" s="180"/>
      <c r="E55" s="113">
        <f>ROUND(E52,2)</f>
        <v>0</v>
      </c>
      <c r="F55" s="229"/>
      <c r="G55" s="176"/>
      <c r="H55" s="180"/>
      <c r="I55" s="113">
        <f>ROUND(I52,2)</f>
        <v>0</v>
      </c>
      <c r="J55" s="229"/>
      <c r="K55" s="176"/>
      <c r="L55" s="180"/>
      <c r="M55" s="113">
        <f>ROUND(M52,2)</f>
        <v>0</v>
      </c>
      <c r="N55" s="110"/>
      <c r="O55" s="176"/>
      <c r="P55" s="180"/>
      <c r="Q55" s="113">
        <f>ROUND(Q52,2)</f>
        <v>0</v>
      </c>
    </row>
    <row r="56" spans="1:17" x14ac:dyDescent="0.2">
      <c r="B56" s="186" t="s">
        <v>71</v>
      </c>
      <c r="C56" s="176"/>
      <c r="D56" s="180"/>
      <c r="E56" s="127">
        <f>ROUND(E53,2)</f>
        <v>0</v>
      </c>
      <c r="F56" s="128"/>
      <c r="G56" s="176"/>
      <c r="H56" s="180"/>
      <c r="I56" s="127">
        <f>ROUND(I53,2)</f>
        <v>0</v>
      </c>
      <c r="J56" s="128"/>
      <c r="K56" s="176"/>
      <c r="L56" s="180"/>
      <c r="M56" s="127">
        <f>ROUND(M53,2)</f>
        <v>0</v>
      </c>
      <c r="N56" s="128"/>
      <c r="O56" s="176"/>
      <c r="P56" s="180"/>
      <c r="Q56" s="127">
        <f>ROUND(Q53,2)</f>
        <v>0</v>
      </c>
    </row>
    <row r="57" spans="1:17" ht="16.5" thickBot="1" x14ac:dyDescent="0.25">
      <c r="B57" s="187" t="s">
        <v>215</v>
      </c>
      <c r="C57" s="181"/>
      <c r="D57" s="182"/>
      <c r="E57" s="105">
        <f>ROUND(SUM(E54:E56),2)</f>
        <v>0</v>
      </c>
      <c r="F57" s="106"/>
      <c r="G57" s="181"/>
      <c r="H57" s="182"/>
      <c r="I57" s="105">
        <f>ROUND(SUM(I54:I56),2)</f>
        <v>0</v>
      </c>
      <c r="J57" s="106"/>
      <c r="K57" s="181"/>
      <c r="L57" s="182"/>
      <c r="M57" s="105">
        <f>ROUND(SUM(M54:M56),2)</f>
        <v>0</v>
      </c>
      <c r="N57" s="106"/>
      <c r="O57" s="181"/>
      <c r="P57" s="182"/>
      <c r="Q57" s="105">
        <f>ROUND(SUM(Q54:Q56),2)</f>
        <v>0</v>
      </c>
    </row>
    <row r="58" spans="1:17" ht="16.5" thickBot="1" x14ac:dyDescent="0.25">
      <c r="B58" s="117"/>
      <c r="E58" s="194"/>
      <c r="F58" s="194"/>
      <c r="G58" s="194"/>
      <c r="H58" s="194"/>
      <c r="I58" s="194"/>
      <c r="J58" s="194"/>
      <c r="K58" s="194"/>
      <c r="N58" s="132"/>
      <c r="O58" s="194"/>
    </row>
    <row r="59" spans="1:17" ht="16.5" customHeight="1" thickBot="1" x14ac:dyDescent="0.3">
      <c r="A59" s="138"/>
      <c r="B59" s="523" t="str">
        <f>B31</f>
        <v>CLIN 0001 (CPIF)                                                    TASK 1.07 MATERIAL - DEVELOPMENTAL SPARES</v>
      </c>
      <c r="C59" s="490" t="s">
        <v>81</v>
      </c>
      <c r="D59" s="491"/>
      <c r="E59" s="492"/>
      <c r="F59" s="120"/>
      <c r="G59" s="490" t="s">
        <v>82</v>
      </c>
      <c r="H59" s="491"/>
      <c r="I59" s="492"/>
      <c r="J59" s="120"/>
      <c r="K59" s="490" t="s">
        <v>82</v>
      </c>
      <c r="L59" s="491"/>
      <c r="M59" s="492"/>
      <c r="N59" s="120"/>
      <c r="O59" s="490" t="s">
        <v>82</v>
      </c>
      <c r="P59" s="491"/>
      <c r="Q59" s="492"/>
    </row>
    <row r="60" spans="1:17" ht="33.75" customHeight="1" thickBot="1" x14ac:dyDescent="0.3">
      <c r="A60" s="138"/>
      <c r="B60" s="524"/>
      <c r="C60" s="520" t="str">
        <f>C32</f>
        <v>CLIN 0001 - Basic Period (Year 1)</v>
      </c>
      <c r="D60" s="521"/>
      <c r="E60" s="522"/>
      <c r="F60" s="121"/>
      <c r="G60" s="520" t="str">
        <f>G32</f>
        <v>CLIN 0001 - Basic Period (Year 2)</v>
      </c>
      <c r="H60" s="521"/>
      <c r="I60" s="522"/>
      <c r="J60" s="121"/>
      <c r="K60" s="520" t="str">
        <f>K32</f>
        <v>CLIN 0001 - Basic Period (Year 3)</v>
      </c>
      <c r="L60" s="521"/>
      <c r="M60" s="522"/>
      <c r="N60" s="121"/>
      <c r="O60" s="520" t="str">
        <f>O32</f>
        <v>CLIN 0001 - Basic Period (Year 4)</v>
      </c>
      <c r="P60" s="521"/>
      <c r="Q60" s="522"/>
    </row>
    <row r="61" spans="1:17" x14ac:dyDescent="0.25">
      <c r="A61" s="138"/>
      <c r="B61" s="193"/>
      <c r="C61" s="98" t="s">
        <v>289</v>
      </c>
      <c r="D61" s="99" t="s">
        <v>286</v>
      </c>
      <c r="E61" s="100" t="s">
        <v>89</v>
      </c>
      <c r="F61" s="111"/>
      <c r="G61" s="98" t="s">
        <v>289</v>
      </c>
      <c r="H61" s="99" t="s">
        <v>286</v>
      </c>
      <c r="I61" s="100" t="s">
        <v>89</v>
      </c>
      <c r="J61" s="111"/>
      <c r="K61" s="98" t="s">
        <v>289</v>
      </c>
      <c r="L61" s="99" t="s">
        <v>286</v>
      </c>
      <c r="M61" s="100" t="s">
        <v>89</v>
      </c>
      <c r="N61" s="111"/>
      <c r="O61" s="98" t="s">
        <v>289</v>
      </c>
      <c r="P61" s="99" t="s">
        <v>286</v>
      </c>
      <c r="Q61" s="100" t="s">
        <v>89</v>
      </c>
    </row>
    <row r="62" spans="1:17" ht="26.25" x14ac:dyDescent="0.25">
      <c r="A62" s="138"/>
      <c r="B62" s="240" t="s">
        <v>449</v>
      </c>
      <c r="C62" s="176"/>
      <c r="D62" s="226"/>
      <c r="E62" s="262">
        <f>'SUB CPIF TOTAL ODC'!E19</f>
        <v>0</v>
      </c>
      <c r="F62" s="229"/>
      <c r="G62" s="176"/>
      <c r="H62" s="226"/>
      <c r="I62" s="262">
        <f>'SUB CPIF TOTAL ODC'!G19</f>
        <v>0</v>
      </c>
      <c r="J62" s="229"/>
      <c r="K62" s="176"/>
      <c r="L62" s="226"/>
      <c r="M62" s="310">
        <f>'SUB CPIF TOTAL ODC'!I19</f>
        <v>0</v>
      </c>
      <c r="N62" s="229"/>
      <c r="O62" s="176"/>
      <c r="P62" s="226"/>
      <c r="Q62" s="310">
        <f>'SUB CPIF TOTAL ODC'!K19</f>
        <v>0</v>
      </c>
    </row>
    <row r="63" spans="1:17" ht="66" customHeight="1" x14ac:dyDescent="0.25">
      <c r="A63" s="138"/>
      <c r="B63" s="374" t="s">
        <v>450</v>
      </c>
      <c r="C63" s="314"/>
      <c r="D63" s="314"/>
      <c r="E63" s="313"/>
      <c r="F63" s="229"/>
      <c r="G63" s="315"/>
      <c r="H63" s="314"/>
      <c r="I63" s="313"/>
      <c r="J63" s="229"/>
      <c r="K63" s="315"/>
      <c r="L63" s="314"/>
      <c r="M63" s="310"/>
      <c r="N63" s="229"/>
      <c r="O63" s="315"/>
      <c r="P63" s="314"/>
      <c r="Q63" s="310"/>
    </row>
    <row r="64" spans="1:17" x14ac:dyDescent="0.25">
      <c r="A64" s="138"/>
      <c r="B64" s="112" t="s">
        <v>60</v>
      </c>
      <c r="C64" s="160">
        <f>+E62</f>
        <v>0</v>
      </c>
      <c r="D64" s="188">
        <f>'SUB CPIF RATES (ALL)'!C61</f>
        <v>0</v>
      </c>
      <c r="E64" s="113">
        <f>ROUND(C64*D64,2)</f>
        <v>0</v>
      </c>
      <c r="F64" s="123"/>
      <c r="G64" s="160">
        <f>+I62</f>
        <v>0</v>
      </c>
      <c r="H64" s="188">
        <f>'SUB CPIF RATES (ALL)'!D61</f>
        <v>0</v>
      </c>
      <c r="I64" s="113">
        <f>ROUND(G64*H64,2)</f>
        <v>0</v>
      </c>
      <c r="J64" s="123"/>
      <c r="K64" s="160">
        <f>+M62</f>
        <v>0</v>
      </c>
      <c r="L64" s="188">
        <f>'SUB CPIF RATES (ALL)'!E61</f>
        <v>0</v>
      </c>
      <c r="M64" s="113">
        <f>ROUND(K64*L64,2)</f>
        <v>0</v>
      </c>
      <c r="N64" s="123"/>
      <c r="O64" s="160">
        <f>+Q62</f>
        <v>0</v>
      </c>
      <c r="P64" s="188">
        <f>'SUB CPIF RATES (ALL)'!F61</f>
        <v>0</v>
      </c>
      <c r="Q64" s="113">
        <f>ROUND(O64*P64,2)</f>
        <v>0</v>
      </c>
    </row>
    <row r="65" spans="1:17" x14ac:dyDescent="0.25">
      <c r="A65" s="138"/>
      <c r="B65" s="112" t="s">
        <v>61</v>
      </c>
      <c r="C65" s="160">
        <f>+C64+E64</f>
        <v>0</v>
      </c>
      <c r="D65" s="188">
        <f>'SUB CPIF RATES (ALL)'!C62</f>
        <v>0</v>
      </c>
      <c r="E65" s="113">
        <f>ROUND(C65*D65,2)</f>
        <v>0</v>
      </c>
      <c r="F65" s="123"/>
      <c r="G65" s="160">
        <f>+G64+I64</f>
        <v>0</v>
      </c>
      <c r="H65" s="188">
        <f>'SUB CPIF RATES (ALL)'!D62</f>
        <v>0</v>
      </c>
      <c r="I65" s="113">
        <f>ROUND(G65*H65,2)</f>
        <v>0</v>
      </c>
      <c r="J65" s="123"/>
      <c r="K65" s="160">
        <f>+K64+M64</f>
        <v>0</v>
      </c>
      <c r="L65" s="188">
        <f>'SUB CPIF RATES (ALL)'!E62</f>
        <v>0</v>
      </c>
      <c r="M65" s="113">
        <f>ROUND(K65*L65,2)</f>
        <v>0</v>
      </c>
      <c r="N65" s="123"/>
      <c r="O65" s="160">
        <f>+O64+Q64</f>
        <v>0</v>
      </c>
      <c r="P65" s="188">
        <f>'SUB CPIF RATES (ALL)'!F62</f>
        <v>0</v>
      </c>
      <c r="Q65" s="113">
        <f>ROUND(O65*P65,2)</f>
        <v>0</v>
      </c>
    </row>
    <row r="66" spans="1:17" x14ac:dyDescent="0.25">
      <c r="A66" s="138"/>
      <c r="B66" s="112" t="s">
        <v>411</v>
      </c>
      <c r="C66" s="160">
        <f>C65+E65</f>
        <v>0</v>
      </c>
      <c r="D66" s="188">
        <f>'SUB CPIF RATES (ALL)'!C63</f>
        <v>0</v>
      </c>
      <c r="E66" s="113">
        <f>ROUND(C66*D66,2)</f>
        <v>0</v>
      </c>
      <c r="F66" s="229"/>
      <c r="G66" s="160">
        <f>G65+I65</f>
        <v>0</v>
      </c>
      <c r="H66" s="188">
        <f>'SUB CPIF RATES (ALL)'!D63</f>
        <v>0</v>
      </c>
      <c r="I66" s="113">
        <f>ROUND(G66*H66,2)</f>
        <v>0</v>
      </c>
      <c r="J66" s="229"/>
      <c r="K66" s="160">
        <f>K65+M65</f>
        <v>0</v>
      </c>
      <c r="L66" s="188">
        <f>'SUB CPIF RATES (ALL)'!E63</f>
        <v>0</v>
      </c>
      <c r="M66" s="113">
        <f>ROUND(K66*L66,2)</f>
        <v>0</v>
      </c>
      <c r="N66" s="229"/>
      <c r="O66" s="160">
        <f>O65+Q65</f>
        <v>0</v>
      </c>
      <c r="P66" s="188">
        <f>'SUB CPIF RATES (ALL)'!F63</f>
        <v>0</v>
      </c>
      <c r="Q66" s="113">
        <f>ROUND(O66*P66,2)</f>
        <v>0</v>
      </c>
    </row>
    <row r="67" spans="1:17" x14ac:dyDescent="0.25">
      <c r="A67" s="138"/>
      <c r="B67" s="112" t="s">
        <v>62</v>
      </c>
      <c r="C67" s="160">
        <f>+C65+E65</f>
        <v>0</v>
      </c>
      <c r="D67" s="269">
        <f>'SUB CPIF RATES (ALL)'!C64</f>
        <v>0</v>
      </c>
      <c r="E67" s="113">
        <f>ROUND(C67*D67,2)</f>
        <v>0</v>
      </c>
      <c r="F67" s="229"/>
      <c r="G67" s="160">
        <f>+G65+I65</f>
        <v>0</v>
      </c>
      <c r="H67" s="269">
        <f>'SUB CPIF RATES (ALL)'!D64</f>
        <v>0</v>
      </c>
      <c r="I67" s="113">
        <f>ROUND(G67*H67,2)</f>
        <v>0</v>
      </c>
      <c r="J67" s="229"/>
      <c r="K67" s="160">
        <f>+K65+M65</f>
        <v>0</v>
      </c>
      <c r="L67" s="269">
        <f>'SUB CPIF RATES (ALL)'!E64</f>
        <v>0</v>
      </c>
      <c r="M67" s="113">
        <f>ROUND(K67*L67,2)</f>
        <v>0</v>
      </c>
      <c r="N67" s="229"/>
      <c r="O67" s="160">
        <f>+O65+Q65</f>
        <v>0</v>
      </c>
      <c r="P67" s="269">
        <f>'SUB CPIF RATES (ALL)'!F64</f>
        <v>0</v>
      </c>
      <c r="Q67" s="113">
        <f>ROUND(O67*P67,2)</f>
        <v>0</v>
      </c>
    </row>
    <row r="68" spans="1:17" x14ac:dyDescent="0.25">
      <c r="A68" s="138"/>
      <c r="B68" s="186" t="s">
        <v>187</v>
      </c>
      <c r="C68" s="178"/>
      <c r="D68" s="179"/>
      <c r="E68" s="113">
        <f>ROUND(SUM(E62:E65),2)</f>
        <v>0</v>
      </c>
      <c r="F68" s="229"/>
      <c r="G68" s="178"/>
      <c r="H68" s="179"/>
      <c r="I68" s="113">
        <f>ROUND(SUM(I62:I65),2)</f>
        <v>0</v>
      </c>
      <c r="J68" s="229"/>
      <c r="K68" s="178"/>
      <c r="L68" s="179"/>
      <c r="M68" s="113">
        <f>ROUND(SUM(M62:M65),2)</f>
        <v>0</v>
      </c>
      <c r="N68" s="229"/>
      <c r="O68" s="178"/>
      <c r="P68" s="179"/>
      <c r="Q68" s="113">
        <f>ROUND(SUM(Q62:Q65),2)</f>
        <v>0</v>
      </c>
    </row>
    <row r="69" spans="1:17" x14ac:dyDescent="0.25">
      <c r="A69" s="138"/>
      <c r="B69" s="186" t="s">
        <v>72</v>
      </c>
      <c r="C69" s="176"/>
      <c r="D69" s="180"/>
      <c r="E69" s="113">
        <f>ROUND(E66,2)</f>
        <v>0</v>
      </c>
      <c r="F69" s="229"/>
      <c r="G69" s="176"/>
      <c r="H69" s="180"/>
      <c r="I69" s="113">
        <f>ROUND(I66,2)</f>
        <v>0</v>
      </c>
      <c r="J69" s="229"/>
      <c r="K69" s="176"/>
      <c r="L69" s="180"/>
      <c r="M69" s="113">
        <f>ROUND(M66,2)</f>
        <v>0</v>
      </c>
      <c r="N69" s="229"/>
      <c r="O69" s="176"/>
      <c r="P69" s="180"/>
      <c r="Q69" s="113">
        <f>ROUND(Q66,2)</f>
        <v>0</v>
      </c>
    </row>
    <row r="70" spans="1:17" x14ac:dyDescent="0.2">
      <c r="A70" s="131"/>
      <c r="B70" s="186" t="s">
        <v>71</v>
      </c>
      <c r="C70" s="176"/>
      <c r="D70" s="180"/>
      <c r="E70" s="127">
        <f>ROUND(E67,2)</f>
        <v>0</v>
      </c>
      <c r="F70" s="128"/>
      <c r="G70" s="176"/>
      <c r="H70" s="180"/>
      <c r="I70" s="127">
        <f>ROUND(I67,2)</f>
        <v>0</v>
      </c>
      <c r="J70" s="128"/>
      <c r="K70" s="176"/>
      <c r="L70" s="180"/>
      <c r="M70" s="127">
        <f>ROUND(M67,2)</f>
        <v>0</v>
      </c>
      <c r="N70" s="128"/>
      <c r="O70" s="176"/>
      <c r="P70" s="180"/>
      <c r="Q70" s="127">
        <f>ROUND(Q67,2)</f>
        <v>0</v>
      </c>
    </row>
    <row r="71" spans="1:17" ht="16.5" thickBot="1" x14ac:dyDescent="0.25">
      <c r="A71" s="131"/>
      <c r="B71" s="187" t="s">
        <v>174</v>
      </c>
      <c r="C71" s="181"/>
      <c r="D71" s="182"/>
      <c r="E71" s="105">
        <f>ROUND(SUM(E68:E70),2)</f>
        <v>0</v>
      </c>
      <c r="F71" s="106"/>
      <c r="G71" s="181"/>
      <c r="H71" s="182"/>
      <c r="I71" s="105">
        <f>ROUND(SUM(I68:I70),2)</f>
        <v>0</v>
      </c>
      <c r="J71" s="106"/>
      <c r="K71" s="181"/>
      <c r="L71" s="182"/>
      <c r="M71" s="105">
        <f>ROUND(SUM(M68:M70),2)</f>
        <v>0</v>
      </c>
      <c r="N71" s="106"/>
      <c r="O71" s="181"/>
      <c r="P71" s="182"/>
      <c r="Q71" s="105">
        <f>ROUND(SUM(Q68:Q70),2)</f>
        <v>0</v>
      </c>
    </row>
    <row r="72" spans="1:17" ht="16.5" thickBot="1" x14ac:dyDescent="0.25">
      <c r="A72" s="131"/>
      <c r="B72" s="117"/>
      <c r="E72" s="194"/>
      <c r="F72" s="194"/>
      <c r="G72" s="194"/>
      <c r="H72" s="194"/>
      <c r="I72" s="194"/>
      <c r="J72" s="194"/>
      <c r="K72" s="194"/>
      <c r="N72" s="132"/>
      <c r="O72" s="194"/>
    </row>
    <row r="73" spans="1:17" ht="16.5" thickBot="1" x14ac:dyDescent="0.3">
      <c r="A73" s="131"/>
      <c r="B73" s="531" t="str">
        <f>B59</f>
        <v>CLIN 0001 (CPIF)                                                    TASK 1.07 MATERIAL - DEVELOPMENTAL SPARES</v>
      </c>
      <c r="C73" s="517" t="s">
        <v>213</v>
      </c>
      <c r="D73" s="518"/>
      <c r="E73" s="519"/>
      <c r="F73" s="120"/>
      <c r="G73" s="517" t="s">
        <v>213</v>
      </c>
      <c r="H73" s="518"/>
      <c r="I73" s="519"/>
      <c r="J73" s="120"/>
      <c r="K73" s="517" t="s">
        <v>213</v>
      </c>
      <c r="L73" s="518"/>
      <c r="M73" s="519"/>
      <c r="N73" s="120"/>
      <c r="O73" s="517" t="s">
        <v>213</v>
      </c>
      <c r="P73" s="518"/>
      <c r="Q73" s="519"/>
    </row>
    <row r="74" spans="1:17" ht="33.75" customHeight="1" thickBot="1" x14ac:dyDescent="0.3">
      <c r="A74" s="131"/>
      <c r="B74" s="532"/>
      <c r="C74" s="221"/>
      <c r="D74" s="222"/>
      <c r="E74" s="133" t="s">
        <v>200</v>
      </c>
      <c r="F74" s="134"/>
      <c r="G74" s="221"/>
      <c r="H74" s="222"/>
      <c r="I74" s="133" t="s">
        <v>201</v>
      </c>
      <c r="J74" s="134"/>
      <c r="K74" s="221"/>
      <c r="L74" s="222"/>
      <c r="M74" s="133" t="s">
        <v>203</v>
      </c>
      <c r="N74" s="134"/>
      <c r="O74" s="221"/>
      <c r="P74" s="222"/>
      <c r="Q74" s="133" t="s">
        <v>202</v>
      </c>
    </row>
    <row r="75" spans="1:17" x14ac:dyDescent="0.2">
      <c r="A75" s="131"/>
      <c r="B75" s="112" t="s">
        <v>188</v>
      </c>
      <c r="C75" s="223"/>
      <c r="D75" s="223"/>
      <c r="E75" s="135">
        <f>+ROUND(E26+E40+E54+E68,2)</f>
        <v>0</v>
      </c>
      <c r="F75" s="110"/>
      <c r="G75" s="223"/>
      <c r="H75" s="223"/>
      <c r="I75" s="135">
        <f>+ROUND(I26+I40+I54+I68,2)</f>
        <v>0</v>
      </c>
      <c r="J75" s="110"/>
      <c r="K75" s="223"/>
      <c r="L75" s="223"/>
      <c r="M75" s="135">
        <f>+ROUND(M26+M40+M54+M68,2)</f>
        <v>0</v>
      </c>
      <c r="N75" s="110"/>
      <c r="O75" s="223"/>
      <c r="P75" s="223"/>
      <c r="Q75" s="135">
        <f>+ROUND(Q26+Q40+Q54+Q68,2)</f>
        <v>0</v>
      </c>
    </row>
    <row r="76" spans="1:17" x14ac:dyDescent="0.2">
      <c r="A76" s="131"/>
      <c r="B76" s="112" t="s">
        <v>72</v>
      </c>
      <c r="C76" s="223"/>
      <c r="D76" s="223"/>
      <c r="E76" s="113">
        <f>+ROUND(E27+E41+E55+E69,2)</f>
        <v>0</v>
      </c>
      <c r="F76" s="110"/>
      <c r="G76" s="223"/>
      <c r="H76" s="223"/>
      <c r="I76" s="113">
        <f>+ROUND(I27+I41+I55+I69,2)</f>
        <v>0</v>
      </c>
      <c r="J76" s="110"/>
      <c r="K76" s="223"/>
      <c r="L76" s="223"/>
      <c r="M76" s="113">
        <f>+ROUND(M27+M41+M55+M69,2)</f>
        <v>0</v>
      </c>
      <c r="N76" s="110"/>
      <c r="O76" s="223"/>
      <c r="P76" s="223"/>
      <c r="Q76" s="113">
        <f>+ROUND(Q27+Q41+Q55+Q69,2)</f>
        <v>0</v>
      </c>
    </row>
    <row r="77" spans="1:17" x14ac:dyDescent="0.2">
      <c r="A77" s="131"/>
      <c r="B77" s="112" t="s">
        <v>71</v>
      </c>
      <c r="C77" s="223"/>
      <c r="D77" s="223"/>
      <c r="E77" s="114">
        <f>+ROUND(E28+E42+E56+E70,2)</f>
        <v>0</v>
      </c>
      <c r="F77" s="115"/>
      <c r="G77" s="223"/>
      <c r="H77" s="223"/>
      <c r="I77" s="114">
        <f>+ROUND(I28+I42+I56+I70,2)</f>
        <v>0</v>
      </c>
      <c r="J77" s="115"/>
      <c r="K77" s="223"/>
      <c r="L77" s="223"/>
      <c r="M77" s="114">
        <f>+ROUND(M28+M42+M56+M70,2)</f>
        <v>0</v>
      </c>
      <c r="N77" s="115"/>
      <c r="O77" s="223"/>
      <c r="P77" s="223"/>
      <c r="Q77" s="114">
        <f>+ROUND(Q28+Q42+Q56+Q70,2)</f>
        <v>0</v>
      </c>
    </row>
    <row r="78" spans="1:17" ht="32.25" thickBot="1" x14ac:dyDescent="0.3">
      <c r="A78" s="131"/>
      <c r="B78" s="209" t="s">
        <v>352</v>
      </c>
      <c r="C78" s="224"/>
      <c r="D78" s="224"/>
      <c r="E78" s="208">
        <f>SUM(E75:E77)</f>
        <v>0</v>
      </c>
      <c r="F78" s="116"/>
      <c r="G78" s="224"/>
      <c r="H78" s="224"/>
      <c r="I78" s="208">
        <f>SUM(I75:I77)</f>
        <v>0</v>
      </c>
      <c r="J78" s="116"/>
      <c r="K78" s="224"/>
      <c r="L78" s="224"/>
      <c r="M78" s="208">
        <f>SUM(M75:M77)</f>
        <v>0</v>
      </c>
      <c r="N78" s="116"/>
      <c r="O78" s="224"/>
      <c r="P78" s="224"/>
      <c r="Q78" s="208">
        <f>SUM(Q75:Q77)</f>
        <v>0</v>
      </c>
    </row>
    <row r="79" spans="1:17" ht="16.5" thickBot="1" x14ac:dyDescent="0.3"/>
    <row r="80" spans="1:17" ht="31.5" x14ac:dyDescent="0.25">
      <c r="Q80" s="323" t="s">
        <v>353</v>
      </c>
    </row>
    <row r="81" spans="17:17" ht="16.5" thickBot="1" x14ac:dyDescent="0.3">
      <c r="Q81" s="322">
        <f>E78+I78+M78+Q78</f>
        <v>0</v>
      </c>
    </row>
  </sheetData>
  <mergeCells count="46">
    <mergeCell ref="C49:E49"/>
    <mergeCell ref="G49:I49"/>
    <mergeCell ref="K49:M49"/>
    <mergeCell ref="O49:Q49"/>
    <mergeCell ref="B45:B46"/>
    <mergeCell ref="C45:E45"/>
    <mergeCell ref="G45:I45"/>
    <mergeCell ref="K45:M45"/>
    <mergeCell ref="O45:Q45"/>
    <mergeCell ref="C46:E46"/>
    <mergeCell ref="G46:I46"/>
    <mergeCell ref="K46:M46"/>
    <mergeCell ref="O46:Q46"/>
    <mergeCell ref="O60:Q60"/>
    <mergeCell ref="O73:Q73"/>
    <mergeCell ref="O14:Q14"/>
    <mergeCell ref="O15:Q15"/>
    <mergeCell ref="O31:Q31"/>
    <mergeCell ref="O32:Q32"/>
    <mergeCell ref="O59:Q59"/>
    <mergeCell ref="C15:E15"/>
    <mergeCell ref="G15:I15"/>
    <mergeCell ref="K15:M15"/>
    <mergeCell ref="A4:C4"/>
    <mergeCell ref="B14:B15"/>
    <mergeCell ref="C14:E14"/>
    <mergeCell ref="G14:I14"/>
    <mergeCell ref="K14:M14"/>
    <mergeCell ref="B31:B32"/>
    <mergeCell ref="C31:E31"/>
    <mergeCell ref="G31:I31"/>
    <mergeCell ref="K31:M31"/>
    <mergeCell ref="C32:E32"/>
    <mergeCell ref="G32:I32"/>
    <mergeCell ref="K32:M32"/>
    <mergeCell ref="B59:B60"/>
    <mergeCell ref="C59:E59"/>
    <mergeCell ref="G59:I59"/>
    <mergeCell ref="K59:M59"/>
    <mergeCell ref="B73:B74"/>
    <mergeCell ref="C73:E73"/>
    <mergeCell ref="G73:I73"/>
    <mergeCell ref="K73:M73"/>
    <mergeCell ref="C60:E60"/>
    <mergeCell ref="G60:I60"/>
    <mergeCell ref="K60:M60"/>
  </mergeCells>
  <pageMargins left="0.7" right="0.7" top="0.75" bottom="0.75" header="0.3" footer="0.3"/>
  <pageSetup orientation="portrait" horizontalDpi="1200" verticalDpi="120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2936F9-E236-4A70-9E5D-BD9BB648AC23}">
  <sheetPr>
    <tabColor theme="0"/>
  </sheetPr>
  <dimension ref="A1:Q81"/>
  <sheetViews>
    <sheetView zoomScale="80" zoomScaleNormal="80" workbookViewId="0">
      <pane ySplit="12" topLeftCell="A55" activePane="bottomLeft" state="frozen"/>
      <selection pane="bottomLeft" activeCell="P66" sqref="P66"/>
    </sheetView>
  </sheetViews>
  <sheetFormatPr defaultColWidth="15.85546875" defaultRowHeight="15.75" x14ac:dyDescent="0.25"/>
  <cols>
    <col min="1" max="1" width="3.42578125" style="136" customWidth="1"/>
    <col min="2" max="2" width="49.140625" style="119" customWidth="1"/>
    <col min="3" max="3" width="18.28515625" style="131" bestFit="1" customWidth="1"/>
    <col min="4" max="4" width="12.42578125" style="131" bestFit="1" customWidth="1"/>
    <col min="5" max="5" width="32.140625" style="131" bestFit="1" customWidth="1"/>
    <col min="6" max="6" width="1" style="131" customWidth="1"/>
    <col min="7" max="7" width="14.28515625" style="131" customWidth="1"/>
    <col min="8" max="8" width="14.5703125" style="131" customWidth="1"/>
    <col min="9" max="9" width="33.28515625" style="131" customWidth="1"/>
    <col min="10" max="10" width="1" style="131" customWidth="1"/>
    <col min="11" max="11" width="16.7109375" style="131" customWidth="1"/>
    <col min="12" max="12" width="16.28515625" style="131" customWidth="1"/>
    <col min="13" max="13" width="34.5703125" style="131" customWidth="1"/>
    <col min="14" max="14" width="0.85546875" style="131" customWidth="1"/>
    <col min="15" max="15" width="12.85546875" style="131" bestFit="1" customWidth="1"/>
    <col min="16" max="16" width="12.42578125" style="131" bestFit="1" customWidth="1"/>
    <col min="17" max="17" width="34" style="131" bestFit="1" customWidth="1"/>
    <col min="18" max="16384" width="15.85546875" style="131"/>
  </cols>
  <sheetData>
    <row r="1" spans="1:17" ht="16.5" thickBot="1" x14ac:dyDescent="0.3">
      <c r="B1" s="321" t="s">
        <v>460</v>
      </c>
      <c r="C1" s="394" t="str">
        <f>'SUB CPIF RATES (ALL)'!C1</f>
        <v xml:space="preserve">NAME </v>
      </c>
      <c r="D1" s="393"/>
    </row>
    <row r="2" spans="1:17" ht="16.5" thickBot="1" x14ac:dyDescent="0.3">
      <c r="B2" s="395" t="s">
        <v>459</v>
      </c>
      <c r="C2" s="396" t="str">
        <f>'SUB CPIF RATES (ALL)'!C2</f>
        <v xml:space="preserve">NAME </v>
      </c>
    </row>
    <row r="3" spans="1:17" ht="16.5" thickBot="1" x14ac:dyDescent="0.3"/>
    <row r="4" spans="1:17" ht="52.5" customHeight="1" thickBot="1" x14ac:dyDescent="0.3">
      <c r="A4" s="466" t="s">
        <v>209</v>
      </c>
      <c r="B4" s="467"/>
      <c r="C4" s="468"/>
      <c r="I4" s="194" t="s">
        <v>84</v>
      </c>
    </row>
    <row r="6" spans="1:17" s="202" customFormat="1" ht="17.25" customHeight="1" x14ac:dyDescent="0.2">
      <c r="A6" s="203"/>
      <c r="B6" s="204" t="s">
        <v>65</v>
      </c>
    </row>
    <row r="7" spans="1:17" s="202" customFormat="1" x14ac:dyDescent="0.25">
      <c r="A7" s="201"/>
      <c r="B7" s="201" t="s">
        <v>441</v>
      </c>
    </row>
    <row r="8" spans="1:17" s="202" customFormat="1" x14ac:dyDescent="0.25">
      <c r="A8" s="201"/>
      <c r="B8" s="201" t="s">
        <v>281</v>
      </c>
    </row>
    <row r="9" spans="1:17" s="202" customFormat="1" x14ac:dyDescent="0.25">
      <c r="A9" s="201"/>
      <c r="B9" s="201" t="s">
        <v>442</v>
      </c>
    </row>
    <row r="10" spans="1:17" s="202" customFormat="1" x14ac:dyDescent="0.25">
      <c r="A10" s="201"/>
      <c r="B10" s="201" t="s">
        <v>463</v>
      </c>
    </row>
    <row r="11" spans="1:17" x14ac:dyDescent="0.25">
      <c r="A11" s="137"/>
      <c r="B11" s="201" t="s">
        <v>464</v>
      </c>
      <c r="C11" s="139"/>
    </row>
    <row r="12" spans="1:17" x14ac:dyDescent="0.25">
      <c r="A12" s="137"/>
      <c r="B12" s="201" t="s">
        <v>354</v>
      </c>
      <c r="C12" s="139"/>
    </row>
    <row r="13" spans="1:17" ht="16.5" thickBot="1" x14ac:dyDescent="0.3"/>
    <row r="14" spans="1:17" ht="16.5" thickBot="1" x14ac:dyDescent="0.3">
      <c r="A14" s="138"/>
      <c r="B14" s="523" t="s">
        <v>355</v>
      </c>
      <c r="C14" s="490" t="s">
        <v>69</v>
      </c>
      <c r="D14" s="491"/>
      <c r="E14" s="492"/>
      <c r="F14" s="96"/>
      <c r="G14" s="490" t="s">
        <v>69</v>
      </c>
      <c r="H14" s="491"/>
      <c r="I14" s="492"/>
      <c r="J14" s="96"/>
      <c r="K14" s="490" t="s">
        <v>69</v>
      </c>
      <c r="L14" s="491"/>
      <c r="M14" s="492"/>
      <c r="N14" s="96"/>
      <c r="O14" s="490" t="s">
        <v>69</v>
      </c>
      <c r="P14" s="491"/>
      <c r="Q14" s="492"/>
    </row>
    <row r="15" spans="1:17" ht="32.25" customHeight="1" thickBot="1" x14ac:dyDescent="0.3">
      <c r="A15" s="138"/>
      <c r="B15" s="524"/>
      <c r="C15" s="520" t="s">
        <v>205</v>
      </c>
      <c r="D15" s="521"/>
      <c r="E15" s="522"/>
      <c r="F15" s="97"/>
      <c r="G15" s="520" t="s">
        <v>206</v>
      </c>
      <c r="H15" s="521"/>
      <c r="I15" s="522"/>
      <c r="J15" s="97"/>
      <c r="K15" s="520" t="s">
        <v>207</v>
      </c>
      <c r="L15" s="521"/>
      <c r="M15" s="522"/>
      <c r="N15" s="97"/>
      <c r="O15" s="520" t="s">
        <v>208</v>
      </c>
      <c r="P15" s="521"/>
      <c r="Q15" s="522"/>
    </row>
    <row r="16" spans="1:17" x14ac:dyDescent="0.25">
      <c r="A16" s="138"/>
      <c r="B16" s="98" t="s">
        <v>46</v>
      </c>
      <c r="C16" s="98" t="s">
        <v>29</v>
      </c>
      <c r="D16" s="99" t="s">
        <v>68</v>
      </c>
      <c r="E16" s="100" t="s">
        <v>74</v>
      </c>
      <c r="F16" s="101"/>
      <c r="G16" s="98" t="s">
        <v>29</v>
      </c>
      <c r="H16" s="99" t="s">
        <v>68</v>
      </c>
      <c r="I16" s="100" t="s">
        <v>74</v>
      </c>
      <c r="J16" s="101"/>
      <c r="K16" s="98" t="s">
        <v>29</v>
      </c>
      <c r="L16" s="99" t="s">
        <v>68</v>
      </c>
      <c r="M16" s="100" t="s">
        <v>74</v>
      </c>
      <c r="N16" s="101"/>
      <c r="O16" s="98" t="s">
        <v>29</v>
      </c>
      <c r="P16" s="99" t="s">
        <v>68</v>
      </c>
      <c r="Q16" s="100" t="s">
        <v>74</v>
      </c>
    </row>
    <row r="17" spans="1:17" ht="30" customHeight="1" thickBot="1" x14ac:dyDescent="0.3">
      <c r="A17" s="138"/>
      <c r="B17" s="148" t="s">
        <v>443</v>
      </c>
      <c r="C17" s="230"/>
      <c r="D17" s="231"/>
      <c r="E17" s="232"/>
      <c r="F17" s="101"/>
      <c r="G17" s="230"/>
      <c r="H17" s="231"/>
      <c r="I17" s="232"/>
      <c r="J17" s="101"/>
      <c r="K17" s="230"/>
      <c r="L17" s="231"/>
      <c r="M17" s="232"/>
      <c r="N17" s="101"/>
      <c r="O17" s="230"/>
      <c r="P17" s="231"/>
      <c r="Q17" s="232"/>
    </row>
    <row r="18" spans="1:17" ht="16.5" thickBot="1" x14ac:dyDescent="0.3">
      <c r="A18" s="138"/>
      <c r="B18" s="239" t="s">
        <v>87</v>
      </c>
      <c r="C18" s="108">
        <f>'SUB CPIF LABOR INPUTS'!D176</f>
        <v>0</v>
      </c>
      <c r="D18" s="150"/>
      <c r="E18" s="109">
        <f>'SUB CPIF LABOR INPUTS'!F176</f>
        <v>0</v>
      </c>
      <c r="F18" s="110"/>
      <c r="G18" s="108">
        <f>'SUB CPIF LABOR INPUTS'!H176</f>
        <v>0</v>
      </c>
      <c r="H18" s="150"/>
      <c r="I18" s="109">
        <f>'SUB CPIF LABOR INPUTS'!J176</f>
        <v>0</v>
      </c>
      <c r="J18" s="110"/>
      <c r="K18" s="108">
        <f>'SUB CPIF LABOR INPUTS'!L176</f>
        <v>0</v>
      </c>
      <c r="L18" s="150"/>
      <c r="M18" s="109">
        <f>'SUB CPIF LABOR INPUTS'!N176</f>
        <v>0</v>
      </c>
      <c r="N18" s="110"/>
      <c r="O18" s="108">
        <f>'SUB CPIF LABOR INPUTS'!P176</f>
        <v>0</v>
      </c>
      <c r="P18" s="150"/>
      <c r="Q18" s="109">
        <f>'SUB CPIF LABOR INPUTS'!R176</f>
        <v>0</v>
      </c>
    </row>
    <row r="19" spans="1:17" x14ac:dyDescent="0.25">
      <c r="A19" s="138"/>
      <c r="B19" s="149"/>
      <c r="C19" s="98" t="s">
        <v>289</v>
      </c>
      <c r="D19" s="99" t="s">
        <v>286</v>
      </c>
      <c r="E19" s="100" t="s">
        <v>288</v>
      </c>
      <c r="F19" s="111"/>
      <c r="G19" s="98" t="s">
        <v>289</v>
      </c>
      <c r="H19" s="99" t="s">
        <v>286</v>
      </c>
      <c r="I19" s="100" t="s">
        <v>288</v>
      </c>
      <c r="J19" s="111"/>
      <c r="K19" s="98" t="s">
        <v>289</v>
      </c>
      <c r="L19" s="99" t="s">
        <v>286</v>
      </c>
      <c r="M19" s="100" t="s">
        <v>288</v>
      </c>
      <c r="N19" s="111"/>
      <c r="O19" s="98" t="s">
        <v>289</v>
      </c>
      <c r="P19" s="99" t="s">
        <v>286</v>
      </c>
      <c r="Q19" s="100" t="s">
        <v>288</v>
      </c>
    </row>
    <row r="20" spans="1:17" ht="69" customHeight="1" x14ac:dyDescent="0.25">
      <c r="A20" s="138"/>
      <c r="B20" s="261" t="s">
        <v>279</v>
      </c>
      <c r="C20" s="230"/>
      <c r="D20" s="231"/>
      <c r="E20" s="232"/>
      <c r="F20" s="147"/>
      <c r="G20" s="230"/>
      <c r="H20" s="231"/>
      <c r="I20" s="232"/>
      <c r="J20" s="147"/>
      <c r="K20" s="230"/>
      <c r="L20" s="231"/>
      <c r="M20" s="232"/>
      <c r="N20" s="147"/>
      <c r="O20" s="230"/>
      <c r="P20" s="231"/>
      <c r="Q20" s="232"/>
    </row>
    <row r="21" spans="1:17" x14ac:dyDescent="0.25">
      <c r="A21" s="138"/>
      <c r="B21" s="112" t="str">
        <f>'SUB CPIF RATES (ALL)'!B36</f>
        <v>Indirect Labor Category:  [Labor Fringe]</v>
      </c>
      <c r="C21" s="160">
        <f>+E18</f>
        <v>0</v>
      </c>
      <c r="D21" s="188">
        <f>'SUB CPIF RATES (ALL)'!C36</f>
        <v>0</v>
      </c>
      <c r="E21" s="113">
        <f>ROUND(C21*D21,2)</f>
        <v>0</v>
      </c>
      <c r="F21" s="110"/>
      <c r="G21" s="160">
        <f>+I18</f>
        <v>0</v>
      </c>
      <c r="H21" s="188">
        <f>'SUB CPIF RATES (ALL)'!D36</f>
        <v>0</v>
      </c>
      <c r="I21" s="113">
        <f>ROUND(G21*H21,2)</f>
        <v>0</v>
      </c>
      <c r="J21" s="110"/>
      <c r="K21" s="160">
        <f>+M18</f>
        <v>0</v>
      </c>
      <c r="L21" s="188">
        <f>'SUB CPIF RATES (ALL)'!E36</f>
        <v>0</v>
      </c>
      <c r="M21" s="113">
        <f>ROUND(K21*L21,2)</f>
        <v>0</v>
      </c>
      <c r="N21" s="110"/>
      <c r="O21" s="160">
        <f>+Q18</f>
        <v>0</v>
      </c>
      <c r="P21" s="188">
        <f>'SUB CPIF RATES (ALL)'!F36</f>
        <v>0</v>
      </c>
      <c r="Q21" s="113">
        <f>ROUND(O21*P21,2)</f>
        <v>0</v>
      </c>
    </row>
    <row r="22" spans="1:17" x14ac:dyDescent="0.25">
      <c r="A22" s="138"/>
      <c r="B22" s="112" t="str">
        <f>'SUB CPIF RATES (ALL)'!B37</f>
        <v>Indirect Labor Category: [Labor Overhead]</v>
      </c>
      <c r="C22" s="160">
        <f>+C21+E21</f>
        <v>0</v>
      </c>
      <c r="D22" s="188">
        <f>'SUB CPIF RATES (ALL)'!C37</f>
        <v>0</v>
      </c>
      <c r="E22" s="113">
        <f>ROUND(C22*D22,2)</f>
        <v>0</v>
      </c>
      <c r="F22" s="110"/>
      <c r="G22" s="160">
        <f>+G21+I21</f>
        <v>0</v>
      </c>
      <c r="H22" s="188">
        <f>'SUB CPIF RATES (ALL)'!D37</f>
        <v>0</v>
      </c>
      <c r="I22" s="113">
        <f>ROUND(G22*H22,2)</f>
        <v>0</v>
      </c>
      <c r="J22" s="110"/>
      <c r="K22" s="160">
        <f>+K21+M21</f>
        <v>0</v>
      </c>
      <c r="L22" s="188">
        <f>'SUB CPIF RATES (ALL)'!E37</f>
        <v>0</v>
      </c>
      <c r="M22" s="113">
        <f>ROUND(K22*L22,2)</f>
        <v>0</v>
      </c>
      <c r="N22" s="110"/>
      <c r="O22" s="160">
        <f>+O21+Q21</f>
        <v>0</v>
      </c>
      <c r="P22" s="188">
        <f>'SUB CPIF RATES (ALL)'!F37</f>
        <v>0</v>
      </c>
      <c r="Q22" s="113">
        <f>ROUND(O22*P22,2)</f>
        <v>0</v>
      </c>
    </row>
    <row r="23" spans="1:17" x14ac:dyDescent="0.25">
      <c r="A23" s="138"/>
      <c r="B23" s="112" t="str">
        <f>'SUB CPIF RATES (ALL)'!B38</f>
        <v>Indirect Labor Category: [G&amp;A]</v>
      </c>
      <c r="C23" s="160">
        <f>+C22+E22</f>
        <v>0</v>
      </c>
      <c r="D23" s="188">
        <f>'SUB CPIF RATES (ALL)'!C38</f>
        <v>0</v>
      </c>
      <c r="E23" s="113">
        <f>ROUND(C23*D23,2)</f>
        <v>0</v>
      </c>
      <c r="F23" s="110"/>
      <c r="G23" s="160">
        <f>+G22+I22</f>
        <v>0</v>
      </c>
      <c r="H23" s="188">
        <f>'SUB CPIF RATES (ALL)'!D38</f>
        <v>0</v>
      </c>
      <c r="I23" s="113">
        <f>ROUND(G23*H23,2)</f>
        <v>0</v>
      </c>
      <c r="J23" s="110"/>
      <c r="K23" s="160">
        <f>+K22+M22</f>
        <v>0</v>
      </c>
      <c r="L23" s="188">
        <f>'SUB CPIF RATES (ALL)'!E38</f>
        <v>0</v>
      </c>
      <c r="M23" s="113">
        <f>ROUND(K23*L23,2)</f>
        <v>0</v>
      </c>
      <c r="N23" s="110"/>
      <c r="O23" s="160">
        <f>+O22+Q22</f>
        <v>0</v>
      </c>
      <c r="P23" s="188">
        <f>'SUB CPIF RATES (ALL)'!F38</f>
        <v>0</v>
      </c>
      <c r="Q23" s="113">
        <f>ROUND(O23*P23,2)</f>
        <v>0</v>
      </c>
    </row>
    <row r="24" spans="1:17" x14ac:dyDescent="0.25">
      <c r="A24" s="138"/>
      <c r="B24" s="112" t="str">
        <f>'SUB CPIF RATES (ALL)'!B39</f>
        <v>Indirect Labor Category: [FCCOM]</v>
      </c>
      <c r="C24" s="160">
        <f>C23+E23</f>
        <v>0</v>
      </c>
      <c r="D24" s="188">
        <f>'SUB CPIF RATES (ALL)'!C39</f>
        <v>0</v>
      </c>
      <c r="E24" s="113">
        <f>ROUND(C24*D24,2)</f>
        <v>0</v>
      </c>
      <c r="F24" s="110"/>
      <c r="G24" s="160">
        <f>G23+I23</f>
        <v>0</v>
      </c>
      <c r="H24" s="188">
        <f>'SUB CPIF RATES (ALL)'!D39</f>
        <v>0</v>
      </c>
      <c r="I24" s="113">
        <f>ROUND(G24*H24,2)</f>
        <v>0</v>
      </c>
      <c r="J24" s="110"/>
      <c r="K24" s="160">
        <f>K23+M23</f>
        <v>0</v>
      </c>
      <c r="L24" s="188">
        <f>'SUB CPIF RATES (ALL)'!E39</f>
        <v>0</v>
      </c>
      <c r="M24" s="113">
        <f>ROUND(K24*L24,2)</f>
        <v>0</v>
      </c>
      <c r="N24" s="110"/>
      <c r="O24" s="160">
        <f>O23+Q23</f>
        <v>0</v>
      </c>
      <c r="P24" s="188">
        <f>'SUB CPIF RATES (ALL)'!F39</f>
        <v>0</v>
      </c>
      <c r="Q24" s="113">
        <f>ROUND(O24*P24,2)</f>
        <v>0</v>
      </c>
    </row>
    <row r="25" spans="1:17" x14ac:dyDescent="0.25">
      <c r="A25" s="138"/>
      <c r="B25" s="112" t="str">
        <f>'SUB CPIF RATES (ALL)'!B40</f>
        <v>Indirect Labor Category: [Target Fee]</v>
      </c>
      <c r="C25" s="160">
        <f>+C23+E23</f>
        <v>0</v>
      </c>
      <c r="D25" s="188">
        <f>'SUB CPIF RATES (ALL)'!C40</f>
        <v>0</v>
      </c>
      <c r="E25" s="113">
        <f>ROUND(C25*D25,2)</f>
        <v>0</v>
      </c>
      <c r="F25" s="110"/>
      <c r="G25" s="160">
        <f>+G23+I23</f>
        <v>0</v>
      </c>
      <c r="H25" s="188">
        <f>'SUB CPIF RATES (ALL)'!D40</f>
        <v>0</v>
      </c>
      <c r="I25" s="113">
        <f>ROUND(G25*H25,2)</f>
        <v>0</v>
      </c>
      <c r="J25" s="110"/>
      <c r="K25" s="160">
        <f>+K23+M23</f>
        <v>0</v>
      </c>
      <c r="L25" s="188">
        <f>'SUB CPIF RATES (ALL)'!E40</f>
        <v>0</v>
      </c>
      <c r="M25" s="113">
        <f>ROUND(K25*L25,2)</f>
        <v>0</v>
      </c>
      <c r="N25" s="110"/>
      <c r="O25" s="160">
        <f>+O23+Q23</f>
        <v>0</v>
      </c>
      <c r="P25" s="188">
        <f>'SUB CPIF RATES (ALL)'!F40</f>
        <v>0</v>
      </c>
      <c r="Q25" s="113">
        <f>ROUND(O25*P25,2)</f>
        <v>0</v>
      </c>
    </row>
    <row r="26" spans="1:17" x14ac:dyDescent="0.25">
      <c r="A26" s="138"/>
      <c r="B26" s="205" t="s">
        <v>185</v>
      </c>
      <c r="C26" s="155"/>
      <c r="D26" s="156"/>
      <c r="E26" s="175">
        <f>ROUND(SUM(E18,E21,E22,E23),2)</f>
        <v>0</v>
      </c>
      <c r="F26" s="110"/>
      <c r="G26" s="151"/>
      <c r="H26" s="152"/>
      <c r="I26" s="175">
        <f>ROUND(SUM(I18,I21,I22,I23),2)</f>
        <v>0</v>
      </c>
      <c r="J26" s="110"/>
      <c r="K26" s="151"/>
      <c r="L26" s="152"/>
      <c r="M26" s="175">
        <f>ROUND(SUM(M18,M21,M22,M23),2)</f>
        <v>0</v>
      </c>
      <c r="N26" s="110"/>
      <c r="O26" s="151"/>
      <c r="P26" s="152"/>
      <c r="Q26" s="175">
        <f>ROUND(SUM(Q18,Q21,Q22,Q23),2)</f>
        <v>0</v>
      </c>
    </row>
    <row r="27" spans="1:17" x14ac:dyDescent="0.25">
      <c r="A27" s="138"/>
      <c r="B27" s="205" t="s">
        <v>72</v>
      </c>
      <c r="C27" s="155"/>
      <c r="D27" s="156"/>
      <c r="E27" s="175">
        <f>ROUND(E24,2)</f>
        <v>0</v>
      </c>
      <c r="F27" s="110"/>
      <c r="G27" s="151"/>
      <c r="H27" s="152"/>
      <c r="I27" s="175">
        <f>ROUND(I24,2)</f>
        <v>0</v>
      </c>
      <c r="J27" s="110"/>
      <c r="K27" s="151"/>
      <c r="L27" s="152"/>
      <c r="M27" s="175">
        <f>ROUND(M24,2)</f>
        <v>0</v>
      </c>
      <c r="N27" s="110"/>
      <c r="O27" s="151"/>
      <c r="P27" s="152"/>
      <c r="Q27" s="175">
        <f>ROUND(Q24,2)</f>
        <v>0</v>
      </c>
    </row>
    <row r="28" spans="1:17" x14ac:dyDescent="0.25">
      <c r="A28" s="138"/>
      <c r="B28" s="205" t="s">
        <v>71</v>
      </c>
      <c r="C28" s="155"/>
      <c r="D28" s="156"/>
      <c r="E28" s="190">
        <f>ROUND(E25,2)</f>
        <v>0</v>
      </c>
      <c r="F28" s="115"/>
      <c r="G28" s="151"/>
      <c r="H28" s="152"/>
      <c r="I28" s="190">
        <f>ROUND(I25,2)</f>
        <v>0</v>
      </c>
      <c r="J28" s="115"/>
      <c r="K28" s="151"/>
      <c r="L28" s="152"/>
      <c r="M28" s="190">
        <f>ROUND(M25,2)</f>
        <v>0</v>
      </c>
      <c r="N28" s="115"/>
      <c r="O28" s="151"/>
      <c r="P28" s="152"/>
      <c r="Q28" s="190">
        <f>ROUND(Q25,2)</f>
        <v>0</v>
      </c>
    </row>
    <row r="29" spans="1:17" ht="16.5" thickBot="1" x14ac:dyDescent="0.3">
      <c r="A29" s="138"/>
      <c r="B29" s="206" t="s">
        <v>73</v>
      </c>
      <c r="C29" s="157"/>
      <c r="D29" s="158"/>
      <c r="E29" s="191">
        <f>ROUND(SUM(E26:E28),2)</f>
        <v>0</v>
      </c>
      <c r="F29" s="116"/>
      <c r="G29" s="153"/>
      <c r="H29" s="154"/>
      <c r="I29" s="191">
        <f>ROUND(SUM(I26:I28),2)</f>
        <v>0</v>
      </c>
      <c r="J29" s="116"/>
      <c r="K29" s="153"/>
      <c r="L29" s="154"/>
      <c r="M29" s="191">
        <f>ROUND(SUM(M26:M28),2)</f>
        <v>0</v>
      </c>
      <c r="N29" s="116"/>
      <c r="O29" s="153"/>
      <c r="P29" s="154"/>
      <c r="Q29" s="191">
        <f>ROUND(SUM(Q26:Q28),2)</f>
        <v>0</v>
      </c>
    </row>
    <row r="30" spans="1:17" ht="16.5" thickBot="1" x14ac:dyDescent="0.3">
      <c r="A30" s="138"/>
      <c r="B30" s="117"/>
      <c r="C30" s="118"/>
      <c r="D30" s="118"/>
      <c r="E30" s="199"/>
      <c r="F30" s="199"/>
      <c r="G30" s="199"/>
      <c r="H30" s="199"/>
      <c r="I30" s="199"/>
      <c r="J30" s="199"/>
      <c r="K30" s="199"/>
      <c r="L30" s="118"/>
      <c r="M30" s="118"/>
      <c r="N30" s="110"/>
      <c r="O30" s="199"/>
      <c r="P30" s="118"/>
      <c r="Q30" s="118"/>
    </row>
    <row r="31" spans="1:17" ht="16.5" customHeight="1" thickBot="1" x14ac:dyDescent="0.3">
      <c r="A31" s="138"/>
      <c r="B31" s="523" t="str">
        <f>B14</f>
        <v>CLIN 0001 (CPIF)                                                    TASK 1.08 BLACK LABEL HARDWARE &amp; SOFTWARE CERTIFICATION</v>
      </c>
      <c r="C31" s="490" t="s">
        <v>80</v>
      </c>
      <c r="D31" s="491"/>
      <c r="E31" s="492"/>
      <c r="F31" s="120"/>
      <c r="G31" s="490" t="s">
        <v>80</v>
      </c>
      <c r="H31" s="491"/>
      <c r="I31" s="492"/>
      <c r="J31" s="120"/>
      <c r="K31" s="490" t="s">
        <v>80</v>
      </c>
      <c r="L31" s="491"/>
      <c r="M31" s="492"/>
      <c r="N31" s="120"/>
      <c r="O31" s="490" t="s">
        <v>80</v>
      </c>
      <c r="P31" s="491"/>
      <c r="Q31" s="492"/>
    </row>
    <row r="32" spans="1:17" ht="32.25" customHeight="1" thickBot="1" x14ac:dyDescent="0.3">
      <c r="A32" s="138"/>
      <c r="B32" s="524"/>
      <c r="C32" s="520" t="str">
        <f>C15</f>
        <v>CLIN 0001 - Basic Period (Year 1)</v>
      </c>
      <c r="D32" s="521"/>
      <c r="E32" s="522"/>
      <c r="F32" s="121"/>
      <c r="G32" s="520" t="str">
        <f>G15</f>
        <v>CLIN 0001 - Basic Period (Year 2)</v>
      </c>
      <c r="H32" s="521"/>
      <c r="I32" s="522"/>
      <c r="J32" s="121"/>
      <c r="K32" s="520" t="str">
        <f>K15</f>
        <v>CLIN 0001 - Basic Period (Year 3)</v>
      </c>
      <c r="L32" s="521"/>
      <c r="M32" s="522"/>
      <c r="N32" s="121"/>
      <c r="O32" s="520" t="str">
        <f>O15</f>
        <v>CLIN 0001 - Basic Period (Year 4)</v>
      </c>
      <c r="P32" s="521"/>
      <c r="Q32" s="522"/>
    </row>
    <row r="33" spans="1:17" x14ac:dyDescent="0.25">
      <c r="A33" s="138"/>
      <c r="B33" s="192"/>
      <c r="C33" s="98" t="s">
        <v>289</v>
      </c>
      <c r="D33" s="99" t="s">
        <v>286</v>
      </c>
      <c r="E33" s="100" t="s">
        <v>88</v>
      </c>
      <c r="F33" s="111"/>
      <c r="G33" s="98" t="s">
        <v>289</v>
      </c>
      <c r="H33" s="99" t="s">
        <v>286</v>
      </c>
      <c r="I33" s="100" t="s">
        <v>88</v>
      </c>
      <c r="J33" s="111"/>
      <c r="K33" s="98" t="s">
        <v>289</v>
      </c>
      <c r="L33" s="99" t="s">
        <v>286</v>
      </c>
      <c r="M33" s="100" t="s">
        <v>88</v>
      </c>
      <c r="N33" s="111"/>
      <c r="O33" s="98" t="s">
        <v>289</v>
      </c>
      <c r="P33" s="99" t="s">
        <v>286</v>
      </c>
      <c r="Q33" s="100" t="s">
        <v>88</v>
      </c>
    </row>
    <row r="34" spans="1:17" ht="51.75" x14ac:dyDescent="0.25">
      <c r="A34" s="138"/>
      <c r="B34" s="240" t="s">
        <v>445</v>
      </c>
      <c r="C34" s="176"/>
      <c r="D34" s="177"/>
      <c r="E34" s="310">
        <f>'SUB CPIF TOTAL MATERIAL'!E19</f>
        <v>0</v>
      </c>
      <c r="F34" s="110"/>
      <c r="G34" s="176"/>
      <c r="H34" s="177"/>
      <c r="I34" s="310">
        <f>'SUB CPIF TOTAL MATERIAL'!G19</f>
        <v>0</v>
      </c>
      <c r="J34" s="110"/>
      <c r="K34" s="176"/>
      <c r="L34" s="177"/>
      <c r="M34" s="310">
        <f>'SUB CPIF TOTAL MATERIAL'!I19</f>
        <v>0</v>
      </c>
      <c r="N34" s="110"/>
      <c r="O34" s="176"/>
      <c r="P34" s="177"/>
      <c r="Q34" s="310">
        <f>'SUB CPIF TOTAL MATERIAL'!K19</f>
        <v>0</v>
      </c>
    </row>
    <row r="35" spans="1:17" ht="67.5" customHeight="1" x14ac:dyDescent="0.25">
      <c r="A35" s="138"/>
      <c r="B35" s="261" t="s">
        <v>446</v>
      </c>
      <c r="C35" s="315"/>
      <c r="D35" s="316"/>
      <c r="E35" s="310"/>
      <c r="F35" s="110"/>
      <c r="G35" s="315"/>
      <c r="H35" s="316"/>
      <c r="I35" s="310"/>
      <c r="J35" s="110"/>
      <c r="K35" s="315"/>
      <c r="L35" s="316"/>
      <c r="M35" s="310"/>
      <c r="N35" s="110"/>
      <c r="O35" s="315"/>
      <c r="P35" s="316"/>
      <c r="Q35" s="310"/>
    </row>
    <row r="36" spans="1:17" x14ac:dyDescent="0.25">
      <c r="A36" s="138"/>
      <c r="B36" s="112" t="str">
        <f>'SUB CPIF RATES (ALL)'!B53</f>
        <v>Indirect Category: [Material Overhead]</v>
      </c>
      <c r="C36" s="160">
        <f>+E34</f>
        <v>0</v>
      </c>
      <c r="D36" s="188">
        <f>'SUB CPIF RATES (ALL)'!C53</f>
        <v>0</v>
      </c>
      <c r="E36" s="113">
        <f>ROUND(C36*D36,2)</f>
        <v>0</v>
      </c>
      <c r="F36" s="123"/>
      <c r="G36" s="160">
        <f>+I34</f>
        <v>0</v>
      </c>
      <c r="H36" s="188">
        <f>'SUB CPIF RATES (ALL)'!D53</f>
        <v>0</v>
      </c>
      <c r="I36" s="113">
        <f>ROUND(G36*H36,2)</f>
        <v>0</v>
      </c>
      <c r="J36" s="123"/>
      <c r="K36" s="160">
        <f>+M34</f>
        <v>0</v>
      </c>
      <c r="L36" s="188">
        <f>'SUB CPIF RATES (ALL)'!E53</f>
        <v>0</v>
      </c>
      <c r="M36" s="113">
        <f>ROUND(K36*L36,2)</f>
        <v>0</v>
      </c>
      <c r="N36" s="123"/>
      <c r="O36" s="160">
        <f>+Q34</f>
        <v>0</v>
      </c>
      <c r="P36" s="188">
        <f>'SUB CPIF RATES (ALL)'!F53</f>
        <v>0</v>
      </c>
      <c r="Q36" s="113">
        <f>ROUND(O36*P36,2)</f>
        <v>0</v>
      </c>
    </row>
    <row r="37" spans="1:17" x14ac:dyDescent="0.25">
      <c r="A37" s="138"/>
      <c r="B37" s="112" t="str">
        <f>'SUB CPIF RATES (ALL)'!B54</f>
        <v>Indirect Category: [G&amp;A]</v>
      </c>
      <c r="C37" s="160">
        <f>+C36+E36</f>
        <v>0</v>
      </c>
      <c r="D37" s="188">
        <f>'SUB CPIF RATES (ALL)'!C54</f>
        <v>0</v>
      </c>
      <c r="E37" s="113">
        <f>ROUND(C37*D37,2)</f>
        <v>0</v>
      </c>
      <c r="F37" s="123"/>
      <c r="G37" s="160">
        <f>+G36+I36</f>
        <v>0</v>
      </c>
      <c r="H37" s="188">
        <f>'SUB CPIF RATES (ALL)'!D54</f>
        <v>0</v>
      </c>
      <c r="I37" s="113">
        <f>ROUND(G37*H37,2)</f>
        <v>0</v>
      </c>
      <c r="J37" s="123"/>
      <c r="K37" s="160">
        <f>+K36+M36</f>
        <v>0</v>
      </c>
      <c r="L37" s="188">
        <f>'SUB CPIF RATES (ALL)'!E54</f>
        <v>0</v>
      </c>
      <c r="M37" s="113">
        <f>ROUND(K37*L37,2)</f>
        <v>0</v>
      </c>
      <c r="N37" s="123"/>
      <c r="O37" s="160">
        <f>+O36+Q36</f>
        <v>0</v>
      </c>
      <c r="P37" s="188">
        <f>'SUB CPIF RATES (ALL)'!F54</f>
        <v>0</v>
      </c>
      <c r="Q37" s="113">
        <f>ROUND(O37*P37,2)</f>
        <v>0</v>
      </c>
    </row>
    <row r="38" spans="1:17" x14ac:dyDescent="0.25">
      <c r="A38" s="138"/>
      <c r="B38" s="112" t="str">
        <f>'SUB CPIF RATES (ALL)'!B55</f>
        <v>Indirect Category: [FCCOM]</v>
      </c>
      <c r="C38" s="160">
        <f>C37+E37</f>
        <v>0</v>
      </c>
      <c r="D38" s="188">
        <f>'SUB CPIF RATES (ALL)'!C55</f>
        <v>0</v>
      </c>
      <c r="E38" s="113">
        <f>ROUND(C38*D38,2)</f>
        <v>0</v>
      </c>
      <c r="F38" s="110"/>
      <c r="G38" s="160">
        <f>G37+I37</f>
        <v>0</v>
      </c>
      <c r="H38" s="188">
        <f>'SUB CPIF RATES (ALL)'!D55</f>
        <v>0</v>
      </c>
      <c r="I38" s="113">
        <f>ROUND(G38*H38,2)</f>
        <v>0</v>
      </c>
      <c r="J38" s="110"/>
      <c r="K38" s="160">
        <f>K37+M37</f>
        <v>0</v>
      </c>
      <c r="L38" s="188">
        <f>'SUB CPIF RATES (ALL)'!E55</f>
        <v>0</v>
      </c>
      <c r="M38" s="113">
        <f>ROUND(K38*L38,2)</f>
        <v>0</v>
      </c>
      <c r="N38" s="110"/>
      <c r="O38" s="160">
        <f>O37+Q37</f>
        <v>0</v>
      </c>
      <c r="P38" s="188">
        <f>'SUB CPIF RATES (ALL)'!F55</f>
        <v>0</v>
      </c>
      <c r="Q38" s="113">
        <f>ROUND(O38*P38,2)</f>
        <v>0</v>
      </c>
    </row>
    <row r="39" spans="1:17" x14ac:dyDescent="0.25">
      <c r="A39" s="138"/>
      <c r="B39" s="112" t="str">
        <f>'SUB CPIF RATES (ALL)'!B56</f>
        <v>Indirect Category: [Target Fee]</v>
      </c>
      <c r="C39" s="160">
        <f>+C37+E37</f>
        <v>0</v>
      </c>
      <c r="D39" s="188">
        <f>'SUB CPIF RATES (ALL)'!C56</f>
        <v>0</v>
      </c>
      <c r="E39" s="113">
        <f>ROUND(C39*D39,2)</f>
        <v>0</v>
      </c>
      <c r="F39" s="110"/>
      <c r="G39" s="160">
        <f>+G37+I37</f>
        <v>0</v>
      </c>
      <c r="H39" s="188">
        <f>'SUB CPIF RATES (ALL)'!D56</f>
        <v>0</v>
      </c>
      <c r="I39" s="113">
        <f>ROUND(G39*H39,2)</f>
        <v>0</v>
      </c>
      <c r="J39" s="110"/>
      <c r="K39" s="160">
        <f>+K37+M37</f>
        <v>0</v>
      </c>
      <c r="L39" s="188">
        <f>'SUB CPIF RATES (ALL)'!E56</f>
        <v>0</v>
      </c>
      <c r="M39" s="113">
        <f>ROUND(K39*L39,2)</f>
        <v>0</v>
      </c>
      <c r="N39" s="110"/>
      <c r="O39" s="160">
        <f>+O37+Q37</f>
        <v>0</v>
      </c>
      <c r="P39" s="188">
        <f>'SUB CPIF RATES (ALL)'!F56</f>
        <v>0</v>
      </c>
      <c r="Q39" s="113">
        <f>ROUND(O39*P39,2)</f>
        <v>0</v>
      </c>
    </row>
    <row r="40" spans="1:17" x14ac:dyDescent="0.25">
      <c r="A40" s="138"/>
      <c r="B40" s="186" t="s">
        <v>186</v>
      </c>
      <c r="C40" s="178"/>
      <c r="D40" s="179"/>
      <c r="E40" s="113">
        <f>ROUND(SUM(E34:E37),2)</f>
        <v>0</v>
      </c>
      <c r="F40" s="110"/>
      <c r="G40" s="178"/>
      <c r="H40" s="179"/>
      <c r="I40" s="113">
        <f>ROUND(SUM(I34:I37),2)</f>
        <v>0</v>
      </c>
      <c r="J40" s="110"/>
      <c r="K40" s="178"/>
      <c r="L40" s="179"/>
      <c r="M40" s="113">
        <f>ROUND(SUM(M34:M37),2)</f>
        <v>0</v>
      </c>
      <c r="N40" s="110"/>
      <c r="O40" s="178"/>
      <c r="P40" s="179"/>
      <c r="Q40" s="113">
        <f>ROUND(SUM(Q34:Q37),2)</f>
        <v>0</v>
      </c>
    </row>
    <row r="41" spans="1:17" x14ac:dyDescent="0.25">
      <c r="A41" s="138"/>
      <c r="B41" s="186" t="s">
        <v>72</v>
      </c>
      <c r="C41" s="176"/>
      <c r="D41" s="180"/>
      <c r="E41" s="113">
        <f>ROUND(E38,2)</f>
        <v>0</v>
      </c>
      <c r="F41" s="110"/>
      <c r="G41" s="176"/>
      <c r="H41" s="180"/>
      <c r="I41" s="113">
        <f>ROUND(I38,2)</f>
        <v>0</v>
      </c>
      <c r="J41" s="110"/>
      <c r="K41" s="176"/>
      <c r="L41" s="180"/>
      <c r="M41" s="113">
        <f>ROUND(M38,2)</f>
        <v>0</v>
      </c>
      <c r="N41" s="110"/>
      <c r="O41" s="176"/>
      <c r="P41" s="180"/>
      <c r="Q41" s="113">
        <f>ROUND(Q38,2)</f>
        <v>0</v>
      </c>
    </row>
    <row r="42" spans="1:17" x14ac:dyDescent="0.2">
      <c r="B42" s="186" t="s">
        <v>71</v>
      </c>
      <c r="C42" s="176"/>
      <c r="D42" s="180"/>
      <c r="E42" s="127">
        <f>ROUND(E39,2)</f>
        <v>0</v>
      </c>
      <c r="F42" s="128"/>
      <c r="G42" s="176"/>
      <c r="H42" s="180"/>
      <c r="I42" s="127">
        <f>ROUND(I39,2)</f>
        <v>0</v>
      </c>
      <c r="J42" s="128"/>
      <c r="K42" s="176"/>
      <c r="L42" s="180"/>
      <c r="M42" s="127">
        <f>ROUND(M39,2)</f>
        <v>0</v>
      </c>
      <c r="N42" s="128"/>
      <c r="O42" s="176"/>
      <c r="P42" s="180"/>
      <c r="Q42" s="127">
        <f>ROUND(Q39,2)</f>
        <v>0</v>
      </c>
    </row>
    <row r="43" spans="1:17" ht="16.5" thickBot="1" x14ac:dyDescent="0.25">
      <c r="B43" s="187" t="s">
        <v>173</v>
      </c>
      <c r="C43" s="181"/>
      <c r="D43" s="182"/>
      <c r="E43" s="105">
        <f>SUM(E40:E42)</f>
        <v>0</v>
      </c>
      <c r="F43" s="106"/>
      <c r="G43" s="181"/>
      <c r="H43" s="182"/>
      <c r="I43" s="105">
        <f>SUM(I40:I42)</f>
        <v>0</v>
      </c>
      <c r="J43" s="106"/>
      <c r="K43" s="181"/>
      <c r="L43" s="182"/>
      <c r="M43" s="105">
        <f>SUM(M40:M42)</f>
        <v>0</v>
      </c>
      <c r="N43" s="106"/>
      <c r="O43" s="181"/>
      <c r="P43" s="182"/>
      <c r="Q43" s="105">
        <f>SUM(Q40:Q42)</f>
        <v>0</v>
      </c>
    </row>
    <row r="44" spans="1:17" ht="16.5" thickBot="1" x14ac:dyDescent="0.25">
      <c r="B44" s="117"/>
      <c r="E44" s="194"/>
      <c r="F44" s="194"/>
      <c r="G44" s="194"/>
      <c r="H44" s="194"/>
      <c r="I44" s="194"/>
      <c r="J44" s="194"/>
      <c r="K44" s="194"/>
      <c r="N44" s="132"/>
      <c r="O44" s="194"/>
    </row>
    <row r="45" spans="1:17" ht="16.5" thickBot="1" x14ac:dyDescent="0.3">
      <c r="B45" s="523" t="str">
        <f>B14</f>
        <v>CLIN 0001 (CPIF)                                                    TASK 1.08 BLACK LABEL HARDWARE &amp; SOFTWARE CERTIFICATION</v>
      </c>
      <c r="C45" s="490" t="s">
        <v>212</v>
      </c>
      <c r="D45" s="491"/>
      <c r="E45" s="492"/>
      <c r="F45" s="120"/>
      <c r="G45" s="490" t="s">
        <v>212</v>
      </c>
      <c r="H45" s="491"/>
      <c r="I45" s="492"/>
      <c r="J45" s="120"/>
      <c r="K45" s="490" t="s">
        <v>212</v>
      </c>
      <c r="L45" s="491"/>
      <c r="M45" s="492"/>
      <c r="N45" s="120"/>
      <c r="O45" s="490" t="s">
        <v>212</v>
      </c>
      <c r="P45" s="491"/>
      <c r="Q45" s="492"/>
    </row>
    <row r="46" spans="1:17" ht="27.75" customHeight="1" thickBot="1" x14ac:dyDescent="0.3">
      <c r="B46" s="524"/>
      <c r="C46" s="520" t="str">
        <f>C32</f>
        <v>CLIN 0001 - Basic Period (Year 1)</v>
      </c>
      <c r="D46" s="521"/>
      <c r="E46" s="522"/>
      <c r="F46" s="121"/>
      <c r="G46" s="520" t="str">
        <f>G32</f>
        <v>CLIN 0001 - Basic Period (Year 2)</v>
      </c>
      <c r="H46" s="521"/>
      <c r="I46" s="522"/>
      <c r="J46" s="121"/>
      <c r="K46" s="520" t="str">
        <f>K32</f>
        <v>CLIN 0001 - Basic Period (Year 3)</v>
      </c>
      <c r="L46" s="521"/>
      <c r="M46" s="522"/>
      <c r="N46" s="121"/>
      <c r="O46" s="520" t="str">
        <f>O32</f>
        <v>CLIN 0001 - Basic Period (Year 4)</v>
      </c>
      <c r="P46" s="521"/>
      <c r="Q46" s="522"/>
    </row>
    <row r="47" spans="1:17" x14ac:dyDescent="0.25">
      <c r="B47" s="193"/>
      <c r="C47" s="98" t="s">
        <v>289</v>
      </c>
      <c r="D47" s="99" t="s">
        <v>286</v>
      </c>
      <c r="E47" s="100" t="s">
        <v>287</v>
      </c>
      <c r="F47" s="111"/>
      <c r="G47" s="98" t="s">
        <v>289</v>
      </c>
      <c r="H47" s="99" t="s">
        <v>286</v>
      </c>
      <c r="I47" s="100" t="s">
        <v>287</v>
      </c>
      <c r="J47" s="111"/>
      <c r="K47" s="98" t="s">
        <v>289</v>
      </c>
      <c r="L47" s="99" t="s">
        <v>286</v>
      </c>
      <c r="M47" s="100" t="s">
        <v>287</v>
      </c>
      <c r="N47" s="111"/>
      <c r="O47" s="98" t="s">
        <v>289</v>
      </c>
      <c r="P47" s="99" t="s">
        <v>286</v>
      </c>
      <c r="Q47" s="100" t="s">
        <v>287</v>
      </c>
    </row>
    <row r="48" spans="1:17" ht="25.5" x14ac:dyDescent="0.2">
      <c r="B48" s="240" t="s">
        <v>447</v>
      </c>
      <c r="C48" s="226"/>
      <c r="D48" s="226"/>
      <c r="E48" s="262">
        <f>'SUB CPIF TOTAL SUB'!E19</f>
        <v>0</v>
      </c>
      <c r="F48" s="229"/>
      <c r="G48" s="176"/>
      <c r="H48" s="226"/>
      <c r="I48" s="262">
        <f>'SUB CPIF TOTAL SUB'!G19</f>
        <v>0</v>
      </c>
      <c r="J48" s="229"/>
      <c r="K48" s="176"/>
      <c r="L48" s="226"/>
      <c r="M48" s="262">
        <f>'SUB CPIF TOTAL SUB'!I19</f>
        <v>0</v>
      </c>
      <c r="N48" s="110"/>
      <c r="O48" s="176"/>
      <c r="P48" s="226"/>
      <c r="Q48" s="262">
        <f>'SUB CPIF TOTAL SUB'!K19</f>
        <v>0</v>
      </c>
    </row>
    <row r="49" spans="1:17" ht="76.5" x14ac:dyDescent="0.2">
      <c r="B49" s="261" t="s">
        <v>448</v>
      </c>
      <c r="C49" s="527" t="s">
        <v>1</v>
      </c>
      <c r="D49" s="528"/>
      <c r="E49" s="529"/>
      <c r="F49" s="123"/>
      <c r="G49" s="530"/>
      <c r="H49" s="528"/>
      <c r="I49" s="529"/>
      <c r="J49" s="123"/>
      <c r="K49" s="530"/>
      <c r="L49" s="528"/>
      <c r="M49" s="529"/>
      <c r="N49" s="123"/>
      <c r="O49" s="530"/>
      <c r="P49" s="528"/>
      <c r="Q49" s="529"/>
    </row>
    <row r="50" spans="1:17" x14ac:dyDescent="0.2">
      <c r="B50" s="228" t="str">
        <f>'SUB CPIF RATES (ALL)'!B45</f>
        <v>Indirect Category: [Overhead]</v>
      </c>
      <c r="C50" s="227">
        <f>E48</f>
        <v>0</v>
      </c>
      <c r="D50" s="188">
        <f>'SUB CPIF RATES (ALL)'!C45</f>
        <v>0</v>
      </c>
      <c r="E50" s="113">
        <f>ROUND(C50*D50,2)</f>
        <v>0</v>
      </c>
      <c r="F50" s="123"/>
      <c r="G50" s="160">
        <f>I48</f>
        <v>0</v>
      </c>
      <c r="H50" s="188">
        <f>'SUB CPIF RATES (ALL)'!D45</f>
        <v>0</v>
      </c>
      <c r="I50" s="113">
        <f>ROUND(G50*H50,2)</f>
        <v>0</v>
      </c>
      <c r="J50" s="123"/>
      <c r="K50" s="160">
        <f>M48</f>
        <v>0</v>
      </c>
      <c r="L50" s="188">
        <f>'SUB CPIF RATES (ALL)'!E45</f>
        <v>0</v>
      </c>
      <c r="M50" s="113">
        <f>ROUND(K50*L50,2)</f>
        <v>0</v>
      </c>
      <c r="N50" s="123"/>
      <c r="O50" s="160">
        <f>Q48</f>
        <v>0</v>
      </c>
      <c r="P50" s="188">
        <f>'SUB CPIF RATES (ALL)'!F45</f>
        <v>0</v>
      </c>
      <c r="Q50" s="113">
        <f>ROUND(O50*P50,2)</f>
        <v>0</v>
      </c>
    </row>
    <row r="51" spans="1:17" x14ac:dyDescent="0.2">
      <c r="B51" s="228" t="str">
        <f>'SUB CPIF RATES (ALL)'!B46</f>
        <v>Indirect Category: [G&amp;A]</v>
      </c>
      <c r="C51" s="227">
        <f>C50+E50</f>
        <v>0</v>
      </c>
      <c r="D51" s="188">
        <f>'SUB CPIF RATES (ALL)'!C46</f>
        <v>0</v>
      </c>
      <c r="E51" s="113">
        <f>ROUND(C51*D51,2)</f>
        <v>0</v>
      </c>
      <c r="F51" s="229"/>
      <c r="G51" s="227">
        <f>G50+I50</f>
        <v>0</v>
      </c>
      <c r="H51" s="188">
        <f>'SUB CPIF RATES (ALL)'!D46</f>
        <v>0</v>
      </c>
      <c r="I51" s="113">
        <f>ROUND(G51*H51,2)</f>
        <v>0</v>
      </c>
      <c r="J51" s="229"/>
      <c r="K51" s="227">
        <f>K50+M50</f>
        <v>0</v>
      </c>
      <c r="L51" s="188">
        <f>'SUB CPIF RATES (ALL)'!E46</f>
        <v>0</v>
      </c>
      <c r="M51" s="113">
        <f>ROUND(K51*L51,2)</f>
        <v>0</v>
      </c>
      <c r="N51" s="110"/>
      <c r="O51" s="227">
        <f>O50+Q50</f>
        <v>0</v>
      </c>
      <c r="P51" s="188">
        <f>'SUB CPIF RATES (ALL)'!F46</f>
        <v>0</v>
      </c>
      <c r="Q51" s="113">
        <f>ROUND(O51*P51,2)</f>
        <v>0</v>
      </c>
    </row>
    <row r="52" spans="1:17" x14ac:dyDescent="0.2">
      <c r="B52" s="266" t="str">
        <f>'SUB CPIF RATES (ALL)'!B47</f>
        <v>Indirect Category: [FCCOM]</v>
      </c>
      <c r="C52" s="160">
        <f>C51+E51</f>
        <v>0</v>
      </c>
      <c r="D52" s="188">
        <f>'SUB CPIF RATES (ALL)'!C47</f>
        <v>0</v>
      </c>
      <c r="E52" s="268">
        <f>ROUND(C52*D52,2)</f>
        <v>0</v>
      </c>
      <c r="F52" s="229"/>
      <c r="G52" s="160">
        <f>G51+I51</f>
        <v>0</v>
      </c>
      <c r="H52" s="188">
        <f>'SUB CPIF RATES (ALL)'!D47</f>
        <v>0</v>
      </c>
      <c r="I52" s="268">
        <f>ROUND(G52*H52,2)</f>
        <v>0</v>
      </c>
      <c r="J52" s="229"/>
      <c r="K52" s="160">
        <f>K51+M51</f>
        <v>0</v>
      </c>
      <c r="L52" s="188">
        <f>'SUB CPIF RATES (ALL)'!E47</f>
        <v>0</v>
      </c>
      <c r="M52" s="268">
        <f>ROUND(K52*L52,2)</f>
        <v>0</v>
      </c>
      <c r="N52" s="110"/>
      <c r="O52" s="160">
        <f>O51+Q51</f>
        <v>0</v>
      </c>
      <c r="P52" s="188">
        <f>'SUB CPIF RATES (ALL)'!F47</f>
        <v>0</v>
      </c>
      <c r="Q52" s="268">
        <f>ROUND(O52*P52,2)</f>
        <v>0</v>
      </c>
    </row>
    <row r="53" spans="1:17" x14ac:dyDescent="0.2">
      <c r="B53" s="112" t="str">
        <f>'SUB CPIF RATES (ALL)'!B48</f>
        <v>Indirect Category: [Target Fee]</v>
      </c>
      <c r="C53" s="159">
        <f>C51+E51</f>
        <v>0</v>
      </c>
      <c r="D53" s="269">
        <f>'SUB CPIF RATES (ALL)'!C48</f>
        <v>0</v>
      </c>
      <c r="E53" s="268">
        <f>ROUND(C53*D53,2)</f>
        <v>0</v>
      </c>
      <c r="F53" s="229"/>
      <c r="G53" s="159">
        <f>G51+I51</f>
        <v>0</v>
      </c>
      <c r="H53" s="269">
        <f>'SUB CPIF RATES (ALL)'!D48</f>
        <v>0</v>
      </c>
      <c r="I53" s="268">
        <f>ROUND(G53*H53,2)</f>
        <v>0</v>
      </c>
      <c r="J53" s="229"/>
      <c r="K53" s="159">
        <f>K51+M51</f>
        <v>0</v>
      </c>
      <c r="L53" s="269">
        <f>'SUB CPIF RATES (ALL)'!E48</f>
        <v>0</v>
      </c>
      <c r="M53" s="268">
        <f>ROUND(K53*L53,2)</f>
        <v>0</v>
      </c>
      <c r="N53" s="110"/>
      <c r="O53" s="159">
        <f>O51+Q51</f>
        <v>0</v>
      </c>
      <c r="P53" s="269">
        <f>'SUB CPIF RATES (ALL)'!F48</f>
        <v>0</v>
      </c>
      <c r="Q53" s="268">
        <f>ROUND(O53*P53,2)</f>
        <v>0</v>
      </c>
    </row>
    <row r="54" spans="1:17" x14ac:dyDescent="0.2">
      <c r="B54" s="186" t="s">
        <v>214</v>
      </c>
      <c r="C54" s="178"/>
      <c r="D54" s="179"/>
      <c r="E54" s="113">
        <f>ROUND(E48+E50+E51,2)</f>
        <v>0</v>
      </c>
      <c r="F54" s="229"/>
      <c r="G54" s="178"/>
      <c r="H54" s="179"/>
      <c r="I54" s="113">
        <f>ROUND(I48+I50+I51,2)</f>
        <v>0</v>
      </c>
      <c r="J54" s="229"/>
      <c r="K54" s="178"/>
      <c r="L54" s="179"/>
      <c r="M54" s="113">
        <f>ROUND(M48+M50+M51,2)</f>
        <v>0</v>
      </c>
      <c r="N54" s="110"/>
      <c r="O54" s="178"/>
      <c r="P54" s="179"/>
      <c r="Q54" s="113">
        <f>ROUND(Q48+Q50+Q51,2)</f>
        <v>0</v>
      </c>
    </row>
    <row r="55" spans="1:17" x14ac:dyDescent="0.2">
      <c r="B55" s="186" t="s">
        <v>204</v>
      </c>
      <c r="C55" s="176"/>
      <c r="D55" s="180"/>
      <c r="E55" s="113">
        <f>ROUND(E52,2)</f>
        <v>0</v>
      </c>
      <c r="F55" s="229"/>
      <c r="G55" s="176"/>
      <c r="H55" s="180"/>
      <c r="I55" s="113">
        <f>ROUND(I52,2)</f>
        <v>0</v>
      </c>
      <c r="J55" s="229"/>
      <c r="K55" s="176"/>
      <c r="L55" s="180"/>
      <c r="M55" s="113">
        <f>ROUND(M52,2)</f>
        <v>0</v>
      </c>
      <c r="N55" s="110"/>
      <c r="O55" s="176"/>
      <c r="P55" s="180"/>
      <c r="Q55" s="113">
        <f>ROUND(Q52,2)</f>
        <v>0</v>
      </c>
    </row>
    <row r="56" spans="1:17" x14ac:dyDescent="0.2">
      <c r="B56" s="186" t="s">
        <v>71</v>
      </c>
      <c r="C56" s="176"/>
      <c r="D56" s="180"/>
      <c r="E56" s="127">
        <f>ROUND(E53,2)</f>
        <v>0</v>
      </c>
      <c r="F56" s="128"/>
      <c r="G56" s="176"/>
      <c r="H56" s="180"/>
      <c r="I56" s="127">
        <f>ROUND(I53,2)</f>
        <v>0</v>
      </c>
      <c r="J56" s="128"/>
      <c r="K56" s="176"/>
      <c r="L56" s="180"/>
      <c r="M56" s="127">
        <f>ROUND(M53,2)</f>
        <v>0</v>
      </c>
      <c r="N56" s="128"/>
      <c r="O56" s="176"/>
      <c r="P56" s="180"/>
      <c r="Q56" s="127">
        <f>ROUND(Q53,2)</f>
        <v>0</v>
      </c>
    </row>
    <row r="57" spans="1:17" ht="16.5" thickBot="1" x14ac:dyDescent="0.25">
      <c r="B57" s="187" t="s">
        <v>215</v>
      </c>
      <c r="C57" s="181"/>
      <c r="D57" s="182"/>
      <c r="E57" s="105">
        <f>ROUND(SUM(E54:E56),2)</f>
        <v>0</v>
      </c>
      <c r="F57" s="106"/>
      <c r="G57" s="181"/>
      <c r="H57" s="182"/>
      <c r="I57" s="105">
        <f>ROUND(SUM(I54:I56),2)</f>
        <v>0</v>
      </c>
      <c r="J57" s="106"/>
      <c r="K57" s="181"/>
      <c r="L57" s="182"/>
      <c r="M57" s="105">
        <f>ROUND(SUM(M54:M56),2)</f>
        <v>0</v>
      </c>
      <c r="N57" s="106"/>
      <c r="O57" s="181"/>
      <c r="P57" s="182"/>
      <c r="Q57" s="105">
        <f>ROUND(SUM(Q54:Q56),2)</f>
        <v>0</v>
      </c>
    </row>
    <row r="58" spans="1:17" ht="16.5" thickBot="1" x14ac:dyDescent="0.25">
      <c r="B58" s="117"/>
      <c r="E58" s="194"/>
      <c r="F58" s="194"/>
      <c r="G58" s="194"/>
      <c r="H58" s="194"/>
      <c r="I58" s="194"/>
      <c r="J58" s="194"/>
      <c r="K58" s="194"/>
      <c r="N58" s="132"/>
      <c r="O58" s="194"/>
    </row>
    <row r="59" spans="1:17" ht="16.5" customHeight="1" thickBot="1" x14ac:dyDescent="0.3">
      <c r="A59" s="138"/>
      <c r="B59" s="523" t="str">
        <f>B31</f>
        <v>CLIN 0001 (CPIF)                                                    TASK 1.08 BLACK LABEL HARDWARE &amp; SOFTWARE CERTIFICATION</v>
      </c>
      <c r="C59" s="490" t="s">
        <v>81</v>
      </c>
      <c r="D59" s="491"/>
      <c r="E59" s="492"/>
      <c r="F59" s="120"/>
      <c r="G59" s="490" t="s">
        <v>82</v>
      </c>
      <c r="H59" s="491"/>
      <c r="I59" s="492"/>
      <c r="J59" s="120"/>
      <c r="K59" s="490" t="s">
        <v>82</v>
      </c>
      <c r="L59" s="491"/>
      <c r="M59" s="492"/>
      <c r="N59" s="120"/>
      <c r="O59" s="490" t="s">
        <v>82</v>
      </c>
      <c r="P59" s="491"/>
      <c r="Q59" s="492"/>
    </row>
    <row r="60" spans="1:17" ht="33.75" customHeight="1" thickBot="1" x14ac:dyDescent="0.3">
      <c r="A60" s="138"/>
      <c r="B60" s="524"/>
      <c r="C60" s="520" t="str">
        <f>C32</f>
        <v>CLIN 0001 - Basic Period (Year 1)</v>
      </c>
      <c r="D60" s="521"/>
      <c r="E60" s="522"/>
      <c r="F60" s="121"/>
      <c r="G60" s="520" t="str">
        <f>G32</f>
        <v>CLIN 0001 - Basic Period (Year 2)</v>
      </c>
      <c r="H60" s="521"/>
      <c r="I60" s="522"/>
      <c r="J60" s="121"/>
      <c r="K60" s="520" t="str">
        <f>K32</f>
        <v>CLIN 0001 - Basic Period (Year 3)</v>
      </c>
      <c r="L60" s="521"/>
      <c r="M60" s="522"/>
      <c r="N60" s="121"/>
      <c r="O60" s="520" t="str">
        <f>O32</f>
        <v>CLIN 0001 - Basic Period (Year 4)</v>
      </c>
      <c r="P60" s="521"/>
      <c r="Q60" s="522"/>
    </row>
    <row r="61" spans="1:17" x14ac:dyDescent="0.25">
      <c r="A61" s="138"/>
      <c r="B61" s="193"/>
      <c r="C61" s="98" t="s">
        <v>289</v>
      </c>
      <c r="D61" s="99" t="s">
        <v>286</v>
      </c>
      <c r="E61" s="100" t="s">
        <v>89</v>
      </c>
      <c r="F61" s="111"/>
      <c r="G61" s="98" t="s">
        <v>289</v>
      </c>
      <c r="H61" s="99" t="s">
        <v>286</v>
      </c>
      <c r="I61" s="100" t="s">
        <v>89</v>
      </c>
      <c r="J61" s="111"/>
      <c r="K61" s="98" t="s">
        <v>289</v>
      </c>
      <c r="L61" s="99" t="s">
        <v>286</v>
      </c>
      <c r="M61" s="100" t="s">
        <v>89</v>
      </c>
      <c r="N61" s="111"/>
      <c r="O61" s="98" t="s">
        <v>289</v>
      </c>
      <c r="P61" s="99" t="s">
        <v>286</v>
      </c>
      <c r="Q61" s="100" t="s">
        <v>89</v>
      </c>
    </row>
    <row r="62" spans="1:17" ht="26.25" x14ac:dyDescent="0.25">
      <c r="A62" s="138"/>
      <c r="B62" s="240" t="s">
        <v>449</v>
      </c>
      <c r="C62" s="176"/>
      <c r="D62" s="226"/>
      <c r="E62" s="262">
        <f>'SUB CPIF TOTAL ODC'!E20</f>
        <v>0</v>
      </c>
      <c r="F62" s="229"/>
      <c r="G62" s="176"/>
      <c r="H62" s="226"/>
      <c r="I62" s="262">
        <f>'SUB CPIF TOTAL ODC'!G20</f>
        <v>0</v>
      </c>
      <c r="J62" s="229"/>
      <c r="K62" s="176"/>
      <c r="L62" s="226"/>
      <c r="M62" s="310">
        <f>'SUB CPIF TOTAL ODC'!I20</f>
        <v>0</v>
      </c>
      <c r="N62" s="229"/>
      <c r="O62" s="176"/>
      <c r="P62" s="226"/>
      <c r="Q62" s="310">
        <f>'SUB CPIF TOTAL ODC'!K20</f>
        <v>0</v>
      </c>
    </row>
    <row r="63" spans="1:17" ht="66" customHeight="1" x14ac:dyDescent="0.25">
      <c r="A63" s="138"/>
      <c r="B63" s="374" t="s">
        <v>450</v>
      </c>
      <c r="C63" s="314"/>
      <c r="D63" s="314"/>
      <c r="E63" s="313"/>
      <c r="F63" s="229"/>
      <c r="G63" s="315"/>
      <c r="H63" s="314"/>
      <c r="I63" s="313"/>
      <c r="J63" s="229"/>
      <c r="K63" s="315"/>
      <c r="L63" s="314"/>
      <c r="M63" s="310"/>
      <c r="N63" s="229"/>
      <c r="O63" s="315"/>
      <c r="P63" s="314"/>
      <c r="Q63" s="310"/>
    </row>
    <row r="64" spans="1:17" x14ac:dyDescent="0.25">
      <c r="A64" s="138"/>
      <c r="B64" s="112" t="s">
        <v>60</v>
      </c>
      <c r="C64" s="160">
        <f>+E62</f>
        <v>0</v>
      </c>
      <c r="D64" s="188">
        <f>'SUB CPIF RATES (ALL)'!C61</f>
        <v>0</v>
      </c>
      <c r="E64" s="113">
        <f>ROUND(C64*D64,2)</f>
        <v>0</v>
      </c>
      <c r="F64" s="123"/>
      <c r="G64" s="160">
        <f>+I62</f>
        <v>0</v>
      </c>
      <c r="H64" s="188">
        <f>'SUB CPIF RATES (ALL)'!D61</f>
        <v>0</v>
      </c>
      <c r="I64" s="113">
        <f>ROUND(G64*H64,2)</f>
        <v>0</v>
      </c>
      <c r="J64" s="123"/>
      <c r="K64" s="160">
        <f>+M62</f>
        <v>0</v>
      </c>
      <c r="L64" s="188">
        <f>'SUB CPIF RATES (ALL)'!E61</f>
        <v>0</v>
      </c>
      <c r="M64" s="113">
        <f>ROUND(K64*L64,2)</f>
        <v>0</v>
      </c>
      <c r="N64" s="123"/>
      <c r="O64" s="160">
        <f>+Q62</f>
        <v>0</v>
      </c>
      <c r="P64" s="188">
        <f>'SUB CPIF RATES (ALL)'!F61</f>
        <v>0</v>
      </c>
      <c r="Q64" s="113">
        <f>ROUND(O64*P64,2)</f>
        <v>0</v>
      </c>
    </row>
    <row r="65" spans="1:17" x14ac:dyDescent="0.25">
      <c r="A65" s="138"/>
      <c r="B65" s="112" t="s">
        <v>61</v>
      </c>
      <c r="C65" s="160">
        <f>+C64+E64</f>
        <v>0</v>
      </c>
      <c r="D65" s="188">
        <f>'SUB CPIF RATES (ALL)'!C62</f>
        <v>0</v>
      </c>
      <c r="E65" s="113">
        <f>ROUND(C65*D65,2)</f>
        <v>0</v>
      </c>
      <c r="F65" s="123"/>
      <c r="G65" s="160">
        <f>+G64+I64</f>
        <v>0</v>
      </c>
      <c r="H65" s="188">
        <f>'SUB CPIF RATES (ALL)'!D62</f>
        <v>0</v>
      </c>
      <c r="I65" s="113">
        <f>ROUND(G65*H65,2)</f>
        <v>0</v>
      </c>
      <c r="J65" s="123"/>
      <c r="K65" s="160">
        <f>+K64+M64</f>
        <v>0</v>
      </c>
      <c r="L65" s="188">
        <f>'SUB CPIF RATES (ALL)'!E62</f>
        <v>0</v>
      </c>
      <c r="M65" s="113">
        <f>ROUND(K65*L65,2)</f>
        <v>0</v>
      </c>
      <c r="N65" s="123"/>
      <c r="O65" s="160">
        <f>+O64+Q64</f>
        <v>0</v>
      </c>
      <c r="P65" s="188">
        <f>'SUB CPIF RATES (ALL)'!F62</f>
        <v>0</v>
      </c>
      <c r="Q65" s="113">
        <f>ROUND(O65*P65,2)</f>
        <v>0</v>
      </c>
    </row>
    <row r="66" spans="1:17" x14ac:dyDescent="0.25">
      <c r="A66" s="138"/>
      <c r="B66" s="112" t="s">
        <v>411</v>
      </c>
      <c r="C66" s="160">
        <f>C65+E65</f>
        <v>0</v>
      </c>
      <c r="D66" s="188">
        <f>'SUB CPIF RATES (ALL)'!C63</f>
        <v>0</v>
      </c>
      <c r="E66" s="113">
        <f>ROUND(C66*D66,2)</f>
        <v>0</v>
      </c>
      <c r="F66" s="229"/>
      <c r="G66" s="160">
        <f>G65+I65</f>
        <v>0</v>
      </c>
      <c r="H66" s="188">
        <f>'SUB CPIF RATES (ALL)'!D63</f>
        <v>0</v>
      </c>
      <c r="I66" s="113">
        <f>ROUND(G66*H66,2)</f>
        <v>0</v>
      </c>
      <c r="J66" s="229"/>
      <c r="K66" s="160">
        <f>K65+M65</f>
        <v>0</v>
      </c>
      <c r="L66" s="188">
        <f>'SUB CPIF RATES (ALL)'!E63</f>
        <v>0</v>
      </c>
      <c r="M66" s="113">
        <f>ROUND(K66*L66,2)</f>
        <v>0</v>
      </c>
      <c r="N66" s="229"/>
      <c r="O66" s="160">
        <f>O65+Q65</f>
        <v>0</v>
      </c>
      <c r="P66" s="188">
        <f>'SUB CPIF RATES (ALL)'!F63</f>
        <v>0</v>
      </c>
      <c r="Q66" s="113">
        <f>ROUND(O66*P66,2)</f>
        <v>0</v>
      </c>
    </row>
    <row r="67" spans="1:17" x14ac:dyDescent="0.25">
      <c r="A67" s="138"/>
      <c r="B67" s="112" t="s">
        <v>62</v>
      </c>
      <c r="C67" s="160">
        <f>+C65+E65</f>
        <v>0</v>
      </c>
      <c r="D67" s="269">
        <f>'SUB CPIF RATES (ALL)'!C64</f>
        <v>0</v>
      </c>
      <c r="E67" s="113">
        <f>ROUND(C67*D67,2)</f>
        <v>0</v>
      </c>
      <c r="F67" s="229"/>
      <c r="G67" s="160">
        <f>+G65+I65</f>
        <v>0</v>
      </c>
      <c r="H67" s="269">
        <f>'SUB CPIF RATES (ALL)'!D64</f>
        <v>0</v>
      </c>
      <c r="I67" s="113">
        <f>ROUND(G67*H67,2)</f>
        <v>0</v>
      </c>
      <c r="J67" s="229"/>
      <c r="K67" s="160">
        <f>+K65+M65</f>
        <v>0</v>
      </c>
      <c r="L67" s="269">
        <f>'SUB CPIF RATES (ALL)'!E64</f>
        <v>0</v>
      </c>
      <c r="M67" s="113">
        <f>ROUND(K67*L67,2)</f>
        <v>0</v>
      </c>
      <c r="N67" s="229"/>
      <c r="O67" s="160">
        <f>+O65+Q65</f>
        <v>0</v>
      </c>
      <c r="P67" s="269">
        <f>'SUB CPIF RATES (ALL)'!F64</f>
        <v>0</v>
      </c>
      <c r="Q67" s="113">
        <f>ROUND(O67*P67,2)</f>
        <v>0</v>
      </c>
    </row>
    <row r="68" spans="1:17" x14ac:dyDescent="0.25">
      <c r="A68" s="138"/>
      <c r="B68" s="186" t="s">
        <v>187</v>
      </c>
      <c r="C68" s="178"/>
      <c r="D68" s="179"/>
      <c r="E68" s="113">
        <f>ROUND(SUM(E62:E65),2)</f>
        <v>0</v>
      </c>
      <c r="F68" s="229"/>
      <c r="G68" s="178"/>
      <c r="H68" s="179"/>
      <c r="I68" s="113">
        <f>ROUND(SUM(I62:I65),2)</f>
        <v>0</v>
      </c>
      <c r="J68" s="229"/>
      <c r="K68" s="178"/>
      <c r="L68" s="179"/>
      <c r="M68" s="113">
        <f>ROUND(SUM(M62:M65),2)</f>
        <v>0</v>
      </c>
      <c r="N68" s="229"/>
      <c r="O68" s="178"/>
      <c r="P68" s="179"/>
      <c r="Q68" s="113">
        <f>ROUND(SUM(Q62:Q65),2)</f>
        <v>0</v>
      </c>
    </row>
    <row r="69" spans="1:17" x14ac:dyDescent="0.25">
      <c r="A69" s="138"/>
      <c r="B69" s="186" t="s">
        <v>72</v>
      </c>
      <c r="C69" s="176"/>
      <c r="D69" s="180"/>
      <c r="E69" s="113">
        <f>ROUND(E66,2)</f>
        <v>0</v>
      </c>
      <c r="F69" s="229"/>
      <c r="G69" s="176"/>
      <c r="H69" s="180"/>
      <c r="I69" s="113">
        <f>ROUND(I66,2)</f>
        <v>0</v>
      </c>
      <c r="J69" s="229"/>
      <c r="K69" s="176"/>
      <c r="L69" s="180"/>
      <c r="M69" s="113">
        <f>ROUND(M66,2)</f>
        <v>0</v>
      </c>
      <c r="N69" s="229"/>
      <c r="O69" s="176"/>
      <c r="P69" s="180"/>
      <c r="Q69" s="113">
        <f>ROUND(Q66,2)</f>
        <v>0</v>
      </c>
    </row>
    <row r="70" spans="1:17" x14ac:dyDescent="0.2">
      <c r="A70" s="131"/>
      <c r="B70" s="186" t="s">
        <v>71</v>
      </c>
      <c r="C70" s="176"/>
      <c r="D70" s="180"/>
      <c r="E70" s="127">
        <f>ROUND(E67,2)</f>
        <v>0</v>
      </c>
      <c r="F70" s="128"/>
      <c r="G70" s="176"/>
      <c r="H70" s="180"/>
      <c r="I70" s="127">
        <f>ROUND(I67,2)</f>
        <v>0</v>
      </c>
      <c r="J70" s="128"/>
      <c r="K70" s="176"/>
      <c r="L70" s="180"/>
      <c r="M70" s="127">
        <f>ROUND(M67,2)</f>
        <v>0</v>
      </c>
      <c r="N70" s="128"/>
      <c r="O70" s="176"/>
      <c r="P70" s="180"/>
      <c r="Q70" s="127">
        <f>ROUND(Q67,2)</f>
        <v>0</v>
      </c>
    </row>
    <row r="71" spans="1:17" ht="16.5" thickBot="1" x14ac:dyDescent="0.25">
      <c r="A71" s="131"/>
      <c r="B71" s="187" t="s">
        <v>174</v>
      </c>
      <c r="C71" s="181"/>
      <c r="D71" s="182"/>
      <c r="E71" s="105">
        <f>ROUND(SUM(E68:E70),2)</f>
        <v>0</v>
      </c>
      <c r="F71" s="106"/>
      <c r="G71" s="181"/>
      <c r="H71" s="182"/>
      <c r="I71" s="105">
        <f>ROUND(SUM(I68:I70),2)</f>
        <v>0</v>
      </c>
      <c r="J71" s="106"/>
      <c r="K71" s="181"/>
      <c r="L71" s="182"/>
      <c r="M71" s="105">
        <f>ROUND(SUM(M68:M70),2)</f>
        <v>0</v>
      </c>
      <c r="N71" s="106"/>
      <c r="O71" s="181"/>
      <c r="P71" s="182"/>
      <c r="Q71" s="105">
        <f>ROUND(SUM(Q68:Q70),2)</f>
        <v>0</v>
      </c>
    </row>
    <row r="72" spans="1:17" ht="16.5" thickBot="1" x14ac:dyDescent="0.25">
      <c r="A72" s="131"/>
      <c r="B72" s="117"/>
      <c r="E72" s="194"/>
      <c r="F72" s="194"/>
      <c r="G72" s="194"/>
      <c r="H72" s="194"/>
      <c r="I72" s="194"/>
      <c r="J72" s="194"/>
      <c r="K72" s="194"/>
      <c r="L72" s="194"/>
      <c r="N72" s="132"/>
      <c r="O72" s="194"/>
      <c r="P72" s="194"/>
    </row>
    <row r="73" spans="1:17" ht="16.5" thickBot="1" x14ac:dyDescent="0.3">
      <c r="A73" s="131"/>
      <c r="B73" s="531" t="str">
        <f>B59</f>
        <v>CLIN 0001 (CPIF)                                                    TASK 1.08 BLACK LABEL HARDWARE &amp; SOFTWARE CERTIFICATION</v>
      </c>
      <c r="C73" s="517" t="s">
        <v>213</v>
      </c>
      <c r="D73" s="518"/>
      <c r="E73" s="519"/>
      <c r="F73" s="120"/>
      <c r="G73" s="517" t="s">
        <v>213</v>
      </c>
      <c r="H73" s="518"/>
      <c r="I73" s="519"/>
      <c r="J73" s="120"/>
      <c r="K73" s="517" t="s">
        <v>213</v>
      </c>
      <c r="L73" s="518"/>
      <c r="M73" s="519"/>
      <c r="N73" s="120"/>
      <c r="O73" s="517" t="s">
        <v>213</v>
      </c>
      <c r="P73" s="518"/>
      <c r="Q73" s="519"/>
    </row>
    <row r="74" spans="1:17" ht="33.75" customHeight="1" thickBot="1" x14ac:dyDescent="0.3">
      <c r="A74" s="131"/>
      <c r="B74" s="532"/>
      <c r="C74" s="221"/>
      <c r="D74" s="222"/>
      <c r="E74" s="133" t="s">
        <v>200</v>
      </c>
      <c r="F74" s="134"/>
      <c r="G74" s="221"/>
      <c r="H74" s="222"/>
      <c r="I74" s="133" t="s">
        <v>201</v>
      </c>
      <c r="J74" s="134"/>
      <c r="K74" s="221"/>
      <c r="L74" s="222"/>
      <c r="M74" s="133" t="s">
        <v>203</v>
      </c>
      <c r="N74" s="134"/>
      <c r="O74" s="221"/>
      <c r="P74" s="222"/>
      <c r="Q74" s="133" t="s">
        <v>210</v>
      </c>
    </row>
    <row r="75" spans="1:17" x14ac:dyDescent="0.2">
      <c r="A75" s="131"/>
      <c r="B75" s="112" t="s">
        <v>188</v>
      </c>
      <c r="C75" s="223"/>
      <c r="D75" s="223"/>
      <c r="E75" s="135">
        <f>+ROUND(E26+E40+E54+E68,2)</f>
        <v>0</v>
      </c>
      <c r="F75" s="110"/>
      <c r="G75" s="223"/>
      <c r="H75" s="223"/>
      <c r="I75" s="135">
        <f>+ROUND(I26+I40+I54+I68,2)</f>
        <v>0</v>
      </c>
      <c r="J75" s="110"/>
      <c r="K75" s="223"/>
      <c r="L75" s="223"/>
      <c r="M75" s="135">
        <f>+ROUND(M26+M40+M54+M68,2)</f>
        <v>0</v>
      </c>
      <c r="N75" s="110"/>
      <c r="O75" s="223"/>
      <c r="P75" s="223"/>
      <c r="Q75" s="135">
        <f>+ROUND(Q26+Q40+Q54+Q68,2)</f>
        <v>0</v>
      </c>
    </row>
    <row r="76" spans="1:17" x14ac:dyDescent="0.2">
      <c r="A76" s="131"/>
      <c r="B76" s="112" t="s">
        <v>72</v>
      </c>
      <c r="C76" s="223"/>
      <c r="D76" s="223"/>
      <c r="E76" s="113">
        <f>+ROUND(E27+E41+E55+E69,2)</f>
        <v>0</v>
      </c>
      <c r="F76" s="110"/>
      <c r="G76" s="223"/>
      <c r="H76" s="223"/>
      <c r="I76" s="113">
        <f>+ROUND(I27+I41+I55+I69,2)</f>
        <v>0</v>
      </c>
      <c r="J76" s="110"/>
      <c r="K76" s="223"/>
      <c r="L76" s="223"/>
      <c r="M76" s="113">
        <f>+ROUND(M27+M41+M55+M69,2)</f>
        <v>0</v>
      </c>
      <c r="N76" s="110"/>
      <c r="O76" s="223"/>
      <c r="P76" s="223"/>
      <c r="Q76" s="113">
        <f>+ROUND(Q27+Q41+Q55+Q69,2)</f>
        <v>0</v>
      </c>
    </row>
    <row r="77" spans="1:17" x14ac:dyDescent="0.2">
      <c r="A77" s="131"/>
      <c r="B77" s="112" t="s">
        <v>71</v>
      </c>
      <c r="C77" s="223"/>
      <c r="D77" s="223"/>
      <c r="E77" s="114">
        <f>+ROUND(E28+E42+E56+E70,2)</f>
        <v>0</v>
      </c>
      <c r="F77" s="115"/>
      <c r="G77" s="223"/>
      <c r="H77" s="223"/>
      <c r="I77" s="114">
        <f>+ROUND(I28+I42+I56+I70,2)</f>
        <v>0</v>
      </c>
      <c r="J77" s="115"/>
      <c r="K77" s="223"/>
      <c r="L77" s="223"/>
      <c r="M77" s="114">
        <f>+ROUND(M28+M42+M56+M70,2)</f>
        <v>0</v>
      </c>
      <c r="N77" s="115"/>
      <c r="O77" s="223"/>
      <c r="P77" s="223"/>
      <c r="Q77" s="114">
        <f>+ROUND(Q28+Q42+Q56+Q70,2)</f>
        <v>0</v>
      </c>
    </row>
    <row r="78" spans="1:17" ht="32.25" thickBot="1" x14ac:dyDescent="0.3">
      <c r="A78" s="131"/>
      <c r="B78" s="209" t="s">
        <v>356</v>
      </c>
      <c r="C78" s="224"/>
      <c r="D78" s="224"/>
      <c r="E78" s="208">
        <f>SUM(E75:E77)</f>
        <v>0</v>
      </c>
      <c r="F78" s="116"/>
      <c r="G78" s="224"/>
      <c r="H78" s="224"/>
      <c r="I78" s="208">
        <f>SUM(I75:I77)</f>
        <v>0</v>
      </c>
      <c r="J78" s="116"/>
      <c r="K78" s="224"/>
      <c r="L78" s="224"/>
      <c r="M78" s="208">
        <f>SUM(M75:M77)</f>
        <v>0</v>
      </c>
      <c r="N78" s="116"/>
      <c r="O78" s="224"/>
      <c r="P78" s="224"/>
      <c r="Q78" s="208">
        <f>SUM(Q75:Q77)</f>
        <v>0</v>
      </c>
    </row>
    <row r="79" spans="1:17" ht="16.5" thickBot="1" x14ac:dyDescent="0.3"/>
    <row r="80" spans="1:17" ht="31.5" x14ac:dyDescent="0.25">
      <c r="Q80" s="323" t="s">
        <v>357</v>
      </c>
    </row>
    <row r="81" spans="17:17" ht="16.5" thickBot="1" x14ac:dyDescent="0.3">
      <c r="Q81" s="322">
        <f>E78+I78+M78+Q78</f>
        <v>0</v>
      </c>
    </row>
  </sheetData>
  <mergeCells count="46">
    <mergeCell ref="C49:E49"/>
    <mergeCell ref="G49:I49"/>
    <mergeCell ref="K49:M49"/>
    <mergeCell ref="O49:Q49"/>
    <mergeCell ref="B45:B46"/>
    <mergeCell ref="C45:E45"/>
    <mergeCell ref="G45:I45"/>
    <mergeCell ref="K45:M45"/>
    <mergeCell ref="O45:Q45"/>
    <mergeCell ref="C46:E46"/>
    <mergeCell ref="G46:I46"/>
    <mergeCell ref="K46:M46"/>
    <mergeCell ref="O46:Q46"/>
    <mergeCell ref="O60:Q60"/>
    <mergeCell ref="O73:Q73"/>
    <mergeCell ref="O14:Q14"/>
    <mergeCell ref="O15:Q15"/>
    <mergeCell ref="O31:Q31"/>
    <mergeCell ref="O32:Q32"/>
    <mergeCell ref="O59:Q59"/>
    <mergeCell ref="C15:E15"/>
    <mergeCell ref="G15:I15"/>
    <mergeCell ref="K15:M15"/>
    <mergeCell ref="A4:C4"/>
    <mergeCell ref="B14:B15"/>
    <mergeCell ref="C14:E14"/>
    <mergeCell ref="G14:I14"/>
    <mergeCell ref="K14:M14"/>
    <mergeCell ref="B31:B32"/>
    <mergeCell ref="C31:E31"/>
    <mergeCell ref="G31:I31"/>
    <mergeCell ref="K31:M31"/>
    <mergeCell ref="C32:E32"/>
    <mergeCell ref="G32:I32"/>
    <mergeCell ref="K32:M32"/>
    <mergeCell ref="B59:B60"/>
    <mergeCell ref="C59:E59"/>
    <mergeCell ref="G59:I59"/>
    <mergeCell ref="K59:M59"/>
    <mergeCell ref="B73:B74"/>
    <mergeCell ref="C73:E73"/>
    <mergeCell ref="G73:I73"/>
    <mergeCell ref="K73:M73"/>
    <mergeCell ref="C60:E60"/>
    <mergeCell ref="G60:I60"/>
    <mergeCell ref="K60:M60"/>
  </mergeCells>
  <pageMargins left="0.7" right="0.7" top="0.75" bottom="0.75" header="0.3" footer="0.3"/>
  <pageSetup orientation="portrait" horizontalDpi="1200" verticalDpi="1200"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D66EE6-C460-4853-8840-D5A9BFA47E52}">
  <sheetPr>
    <tabColor theme="0"/>
  </sheetPr>
  <dimension ref="A1:Q81"/>
  <sheetViews>
    <sheetView zoomScale="80" zoomScaleNormal="80" workbookViewId="0">
      <pane ySplit="12" topLeftCell="A68" activePane="bottomLeft" state="frozen"/>
      <selection pane="bottomLeft" activeCell="P66" sqref="P66"/>
    </sheetView>
  </sheetViews>
  <sheetFormatPr defaultColWidth="15.85546875" defaultRowHeight="15.75" x14ac:dyDescent="0.25"/>
  <cols>
    <col min="1" max="1" width="3.42578125" style="136" customWidth="1"/>
    <col min="2" max="2" width="49.140625" style="119" customWidth="1"/>
    <col min="3" max="3" width="18.28515625" style="131" bestFit="1" customWidth="1"/>
    <col min="4" max="4" width="12.42578125" style="131" bestFit="1" customWidth="1"/>
    <col min="5" max="5" width="32.140625" style="131" bestFit="1" customWidth="1"/>
    <col min="6" max="6" width="1" style="131" customWidth="1"/>
    <col min="7" max="7" width="14.28515625" style="131" customWidth="1"/>
    <col min="8" max="8" width="14.5703125" style="131" customWidth="1"/>
    <col min="9" max="9" width="33.28515625" style="131" customWidth="1"/>
    <col min="10" max="10" width="1" style="131" customWidth="1"/>
    <col min="11" max="11" width="16.7109375" style="131" customWidth="1"/>
    <col min="12" max="12" width="16.28515625" style="131" customWidth="1"/>
    <col min="13" max="13" width="34" style="131" bestFit="1" customWidth="1"/>
    <col min="14" max="14" width="0.85546875" style="131" customWidth="1"/>
    <col min="15" max="15" width="12.85546875" style="131" bestFit="1" customWidth="1"/>
    <col min="16" max="16" width="12.42578125" style="131" bestFit="1" customWidth="1"/>
    <col min="17" max="17" width="34" style="131" bestFit="1" customWidth="1"/>
    <col min="18" max="16384" width="15.85546875" style="131"/>
  </cols>
  <sheetData>
    <row r="1" spans="1:17" ht="16.5" thickBot="1" x14ac:dyDescent="0.3">
      <c r="B1" s="321" t="s">
        <v>460</v>
      </c>
      <c r="C1" s="394" t="str">
        <f>'SUB CPIF RATES (ALL)'!C1</f>
        <v xml:space="preserve">NAME </v>
      </c>
      <c r="D1" s="393"/>
    </row>
    <row r="2" spans="1:17" ht="16.5" thickBot="1" x14ac:dyDescent="0.3">
      <c r="B2" s="395" t="s">
        <v>459</v>
      </c>
      <c r="C2" s="396" t="str">
        <f>'SUB CPIF RATES (ALL)'!C2</f>
        <v xml:space="preserve">NAME </v>
      </c>
    </row>
    <row r="3" spans="1:17" ht="16.5" thickBot="1" x14ac:dyDescent="0.3"/>
    <row r="4" spans="1:17" ht="52.5" customHeight="1" thickBot="1" x14ac:dyDescent="0.3">
      <c r="A4" s="466" t="s">
        <v>209</v>
      </c>
      <c r="B4" s="467"/>
      <c r="C4" s="468"/>
      <c r="I4" s="194" t="s">
        <v>84</v>
      </c>
    </row>
    <row r="6" spans="1:17" s="202" customFormat="1" ht="17.25" customHeight="1" x14ac:dyDescent="0.2">
      <c r="A6" s="203"/>
      <c r="B6" s="204" t="s">
        <v>65</v>
      </c>
    </row>
    <row r="7" spans="1:17" s="202" customFormat="1" x14ac:dyDescent="0.25">
      <c r="A7" s="201"/>
      <c r="B7" s="201" t="s">
        <v>441</v>
      </c>
    </row>
    <row r="8" spans="1:17" s="202" customFormat="1" x14ac:dyDescent="0.25">
      <c r="A8" s="201"/>
      <c r="B8" s="201" t="s">
        <v>281</v>
      </c>
    </row>
    <row r="9" spans="1:17" s="202" customFormat="1" x14ac:dyDescent="0.25">
      <c r="A9" s="201"/>
      <c r="B9" s="201" t="s">
        <v>442</v>
      </c>
    </row>
    <row r="10" spans="1:17" s="202" customFormat="1" x14ac:dyDescent="0.25">
      <c r="A10" s="201"/>
      <c r="B10" s="201" t="s">
        <v>463</v>
      </c>
    </row>
    <row r="11" spans="1:17" x14ac:dyDescent="0.25">
      <c r="A11" s="137"/>
      <c r="B11" s="201" t="s">
        <v>464</v>
      </c>
      <c r="C11" s="139"/>
    </row>
    <row r="12" spans="1:17" x14ac:dyDescent="0.25">
      <c r="A12" s="137"/>
      <c r="B12" s="201" t="s">
        <v>358</v>
      </c>
      <c r="C12" s="139"/>
    </row>
    <row r="13" spans="1:17" ht="16.5" thickBot="1" x14ac:dyDescent="0.3"/>
    <row r="14" spans="1:17" ht="16.5" thickBot="1" x14ac:dyDescent="0.3">
      <c r="A14" s="138"/>
      <c r="B14" s="523" t="s">
        <v>359</v>
      </c>
      <c r="C14" s="490" t="s">
        <v>69</v>
      </c>
      <c r="D14" s="491"/>
      <c r="E14" s="492"/>
      <c r="F14" s="96"/>
      <c r="G14" s="490" t="s">
        <v>69</v>
      </c>
      <c r="H14" s="491"/>
      <c r="I14" s="492"/>
      <c r="J14" s="96"/>
      <c r="K14" s="490" t="s">
        <v>69</v>
      </c>
      <c r="L14" s="491"/>
      <c r="M14" s="492"/>
      <c r="N14" s="96"/>
      <c r="O14" s="490" t="s">
        <v>69</v>
      </c>
      <c r="P14" s="491"/>
      <c r="Q14" s="492"/>
    </row>
    <row r="15" spans="1:17" ht="32.25" customHeight="1" thickBot="1" x14ac:dyDescent="0.3">
      <c r="A15" s="138"/>
      <c r="B15" s="524"/>
      <c r="C15" s="520" t="s">
        <v>205</v>
      </c>
      <c r="D15" s="521"/>
      <c r="E15" s="522"/>
      <c r="F15" s="97"/>
      <c r="G15" s="520" t="s">
        <v>206</v>
      </c>
      <c r="H15" s="521"/>
      <c r="I15" s="522"/>
      <c r="J15" s="97"/>
      <c r="K15" s="520" t="s">
        <v>207</v>
      </c>
      <c r="L15" s="521"/>
      <c r="M15" s="522"/>
      <c r="N15" s="97"/>
      <c r="O15" s="520" t="s">
        <v>208</v>
      </c>
      <c r="P15" s="521"/>
      <c r="Q15" s="522"/>
    </row>
    <row r="16" spans="1:17" x14ac:dyDescent="0.25">
      <c r="A16" s="138"/>
      <c r="B16" s="98" t="s">
        <v>46</v>
      </c>
      <c r="C16" s="98" t="s">
        <v>29</v>
      </c>
      <c r="D16" s="99" t="s">
        <v>68</v>
      </c>
      <c r="E16" s="100" t="s">
        <v>74</v>
      </c>
      <c r="F16" s="101"/>
      <c r="G16" s="98" t="s">
        <v>29</v>
      </c>
      <c r="H16" s="99" t="s">
        <v>68</v>
      </c>
      <c r="I16" s="100" t="s">
        <v>74</v>
      </c>
      <c r="J16" s="101"/>
      <c r="K16" s="98" t="s">
        <v>29</v>
      </c>
      <c r="L16" s="99" t="s">
        <v>68</v>
      </c>
      <c r="M16" s="100" t="s">
        <v>74</v>
      </c>
      <c r="N16" s="101"/>
      <c r="O16" s="98" t="s">
        <v>29</v>
      </c>
      <c r="P16" s="99" t="s">
        <v>68</v>
      </c>
      <c r="Q16" s="100" t="s">
        <v>74</v>
      </c>
    </row>
    <row r="17" spans="1:17" ht="30" customHeight="1" thickBot="1" x14ac:dyDescent="0.3">
      <c r="A17" s="138"/>
      <c r="B17" s="148" t="s">
        <v>443</v>
      </c>
      <c r="C17" s="230"/>
      <c r="D17" s="231"/>
      <c r="E17" s="232"/>
      <c r="F17" s="101"/>
      <c r="G17" s="230"/>
      <c r="H17" s="231"/>
      <c r="I17" s="232"/>
      <c r="J17" s="101"/>
      <c r="K17" s="230"/>
      <c r="L17" s="231"/>
      <c r="M17" s="232"/>
      <c r="N17" s="101"/>
      <c r="O17" s="230"/>
      <c r="P17" s="231"/>
      <c r="Q17" s="232"/>
    </row>
    <row r="18" spans="1:17" ht="16.5" thickBot="1" x14ac:dyDescent="0.3">
      <c r="A18" s="138"/>
      <c r="B18" s="239" t="s">
        <v>87</v>
      </c>
      <c r="C18" s="108">
        <f>'SUB CPIF LABOR INPUTS'!D197</f>
        <v>0</v>
      </c>
      <c r="D18" s="150"/>
      <c r="E18" s="109">
        <f>'SUB CPIF LABOR INPUTS'!F197</f>
        <v>0</v>
      </c>
      <c r="F18" s="110"/>
      <c r="G18" s="108">
        <f>'SUB CPIF LABOR INPUTS'!H197</f>
        <v>0</v>
      </c>
      <c r="H18" s="150"/>
      <c r="I18" s="109">
        <f>'SUB CPIF LABOR INPUTS'!J197</f>
        <v>0</v>
      </c>
      <c r="J18" s="110"/>
      <c r="K18" s="108">
        <f>'SUB CPIF LABOR INPUTS'!L197</f>
        <v>0</v>
      </c>
      <c r="L18" s="150"/>
      <c r="M18" s="109">
        <f>'SUB CPIF LABOR INPUTS'!N197</f>
        <v>0</v>
      </c>
      <c r="N18" s="110"/>
      <c r="O18" s="108">
        <f>'SUB CPIF LABOR INPUTS'!P197</f>
        <v>0</v>
      </c>
      <c r="P18" s="150"/>
      <c r="Q18" s="109">
        <f>'SUB CPIF LABOR INPUTS'!R197</f>
        <v>0</v>
      </c>
    </row>
    <row r="19" spans="1:17" x14ac:dyDescent="0.25">
      <c r="A19" s="138"/>
      <c r="B19" s="149"/>
      <c r="C19" s="98" t="s">
        <v>289</v>
      </c>
      <c r="D19" s="99" t="s">
        <v>286</v>
      </c>
      <c r="E19" s="100" t="s">
        <v>288</v>
      </c>
      <c r="F19" s="111"/>
      <c r="G19" s="98" t="s">
        <v>289</v>
      </c>
      <c r="H19" s="99" t="s">
        <v>286</v>
      </c>
      <c r="I19" s="100" t="s">
        <v>288</v>
      </c>
      <c r="J19" s="111"/>
      <c r="K19" s="98" t="s">
        <v>289</v>
      </c>
      <c r="L19" s="99" t="s">
        <v>286</v>
      </c>
      <c r="M19" s="100" t="s">
        <v>288</v>
      </c>
      <c r="N19" s="111"/>
      <c r="O19" s="98" t="s">
        <v>289</v>
      </c>
      <c r="P19" s="99" t="s">
        <v>286</v>
      </c>
      <c r="Q19" s="100" t="s">
        <v>288</v>
      </c>
    </row>
    <row r="20" spans="1:17" ht="64.5" customHeight="1" x14ac:dyDescent="0.25">
      <c r="A20" s="138"/>
      <c r="B20" s="261" t="s">
        <v>279</v>
      </c>
      <c r="C20" s="144"/>
      <c r="D20" s="145"/>
      <c r="E20" s="146"/>
      <c r="F20" s="147"/>
      <c r="G20" s="144"/>
      <c r="H20" s="145"/>
      <c r="I20" s="146"/>
      <c r="J20" s="147"/>
      <c r="K20" s="144"/>
      <c r="L20" s="145"/>
      <c r="M20" s="146"/>
      <c r="N20" s="147"/>
      <c r="O20" s="144"/>
      <c r="P20" s="145"/>
      <c r="Q20" s="146"/>
    </row>
    <row r="21" spans="1:17" x14ac:dyDescent="0.25">
      <c r="A21" s="138"/>
      <c r="B21" s="112" t="str">
        <f>'SUB CPIF RATES (ALL)'!B36</f>
        <v>Indirect Labor Category:  [Labor Fringe]</v>
      </c>
      <c r="C21" s="160">
        <f>+E18</f>
        <v>0</v>
      </c>
      <c r="D21" s="188">
        <f>'SUB CPIF RATES (ALL)'!C36</f>
        <v>0</v>
      </c>
      <c r="E21" s="113">
        <f>ROUND(C21*D21,2)</f>
        <v>0</v>
      </c>
      <c r="F21" s="110"/>
      <c r="G21" s="160">
        <f>+I18</f>
        <v>0</v>
      </c>
      <c r="H21" s="188">
        <f>'SUB CPIF RATES (ALL)'!D36</f>
        <v>0</v>
      </c>
      <c r="I21" s="113">
        <f>ROUND(G21*H21,2)</f>
        <v>0</v>
      </c>
      <c r="J21" s="110"/>
      <c r="K21" s="160">
        <f>+M18</f>
        <v>0</v>
      </c>
      <c r="L21" s="188">
        <f>'SUB CPIF RATES (ALL)'!E36</f>
        <v>0</v>
      </c>
      <c r="M21" s="113">
        <f>ROUND(K21*L21,2)</f>
        <v>0</v>
      </c>
      <c r="N21" s="110"/>
      <c r="O21" s="160">
        <f>+Q18</f>
        <v>0</v>
      </c>
      <c r="P21" s="188">
        <f>'SUB CPIF RATES (ALL)'!F36</f>
        <v>0</v>
      </c>
      <c r="Q21" s="113">
        <f>ROUND(O21*P21,2)</f>
        <v>0</v>
      </c>
    </row>
    <row r="22" spans="1:17" x14ac:dyDescent="0.25">
      <c r="A22" s="138"/>
      <c r="B22" s="112" t="str">
        <f>'SUB CPIF RATES (ALL)'!B37</f>
        <v>Indirect Labor Category: [Labor Overhead]</v>
      </c>
      <c r="C22" s="160">
        <f>+C21+E21</f>
        <v>0</v>
      </c>
      <c r="D22" s="188">
        <f>'SUB CPIF RATES (ALL)'!C37</f>
        <v>0</v>
      </c>
      <c r="E22" s="113">
        <f>ROUND(C22*D22,2)</f>
        <v>0</v>
      </c>
      <c r="F22" s="110"/>
      <c r="G22" s="160">
        <f>+G21+I21</f>
        <v>0</v>
      </c>
      <c r="H22" s="188">
        <f>'SUB CPIF RATES (ALL)'!D37</f>
        <v>0</v>
      </c>
      <c r="I22" s="113">
        <f>ROUND(G22*H22,2)</f>
        <v>0</v>
      </c>
      <c r="J22" s="110"/>
      <c r="K22" s="160">
        <f>+K21+M21</f>
        <v>0</v>
      </c>
      <c r="L22" s="188">
        <f>'SUB CPIF RATES (ALL)'!E37</f>
        <v>0</v>
      </c>
      <c r="M22" s="113">
        <f>ROUND(K22*L22,2)</f>
        <v>0</v>
      </c>
      <c r="N22" s="110"/>
      <c r="O22" s="160">
        <f>+O21+Q21</f>
        <v>0</v>
      </c>
      <c r="P22" s="188">
        <f>'SUB CPIF RATES (ALL)'!F37</f>
        <v>0</v>
      </c>
      <c r="Q22" s="113">
        <f>ROUND(O22*P22,2)</f>
        <v>0</v>
      </c>
    </row>
    <row r="23" spans="1:17" x14ac:dyDescent="0.25">
      <c r="A23" s="138"/>
      <c r="B23" s="112" t="str">
        <f>'SUB CPIF RATES (ALL)'!B38</f>
        <v>Indirect Labor Category: [G&amp;A]</v>
      </c>
      <c r="C23" s="160">
        <f>+C22+E22</f>
        <v>0</v>
      </c>
      <c r="D23" s="188">
        <f>'SUB CPIF RATES (ALL)'!C38</f>
        <v>0</v>
      </c>
      <c r="E23" s="113">
        <f>ROUND(C23*D23,2)</f>
        <v>0</v>
      </c>
      <c r="F23" s="110"/>
      <c r="G23" s="160">
        <f>+G22+I22</f>
        <v>0</v>
      </c>
      <c r="H23" s="188">
        <f>'SUB CPIF RATES (ALL)'!D38</f>
        <v>0</v>
      </c>
      <c r="I23" s="113">
        <f>ROUND(G23*H23,2)</f>
        <v>0</v>
      </c>
      <c r="J23" s="110"/>
      <c r="K23" s="160">
        <f>+K22+M22</f>
        <v>0</v>
      </c>
      <c r="L23" s="188">
        <f>'SUB CPIF RATES (ALL)'!E38</f>
        <v>0</v>
      </c>
      <c r="M23" s="113">
        <f>ROUND(K23*L23,2)</f>
        <v>0</v>
      </c>
      <c r="N23" s="110"/>
      <c r="O23" s="160">
        <f>+O22+Q22</f>
        <v>0</v>
      </c>
      <c r="P23" s="188">
        <f>'SUB CPIF RATES (ALL)'!F38</f>
        <v>0</v>
      </c>
      <c r="Q23" s="113">
        <f>ROUND(O23*P23,2)</f>
        <v>0</v>
      </c>
    </row>
    <row r="24" spans="1:17" x14ac:dyDescent="0.25">
      <c r="A24" s="138"/>
      <c r="B24" s="112" t="str">
        <f>'SUB CPIF RATES (ALL)'!B39</f>
        <v>Indirect Labor Category: [FCCOM]</v>
      </c>
      <c r="C24" s="160">
        <f>C23+E23</f>
        <v>0</v>
      </c>
      <c r="D24" s="188">
        <f>'SUB CPIF RATES (ALL)'!C39</f>
        <v>0</v>
      </c>
      <c r="E24" s="113">
        <f>ROUND(C24*D24,2)</f>
        <v>0</v>
      </c>
      <c r="F24" s="110"/>
      <c r="G24" s="160">
        <f>G23+I23</f>
        <v>0</v>
      </c>
      <c r="H24" s="188">
        <f>'SUB CPIF RATES (ALL)'!D39</f>
        <v>0</v>
      </c>
      <c r="I24" s="113">
        <f>ROUND(G24*H24,2)</f>
        <v>0</v>
      </c>
      <c r="J24" s="110"/>
      <c r="K24" s="160">
        <f>K23+M23</f>
        <v>0</v>
      </c>
      <c r="L24" s="188">
        <f>'SUB CPIF RATES (ALL)'!E39</f>
        <v>0</v>
      </c>
      <c r="M24" s="113">
        <f>ROUND(K24*L24,2)</f>
        <v>0</v>
      </c>
      <c r="N24" s="110"/>
      <c r="O24" s="160">
        <f>O23+Q23</f>
        <v>0</v>
      </c>
      <c r="P24" s="188">
        <f>'SUB CPIF RATES (ALL)'!F39</f>
        <v>0</v>
      </c>
      <c r="Q24" s="113">
        <f>ROUND(O24*P24,2)</f>
        <v>0</v>
      </c>
    </row>
    <row r="25" spans="1:17" x14ac:dyDescent="0.25">
      <c r="A25" s="138"/>
      <c r="B25" s="112" t="str">
        <f>'SUB CPIF RATES (ALL)'!B40</f>
        <v>Indirect Labor Category: [Target Fee]</v>
      </c>
      <c r="C25" s="160">
        <f>+C23+E23</f>
        <v>0</v>
      </c>
      <c r="D25" s="188">
        <f>'SUB CPIF RATES (ALL)'!C40</f>
        <v>0</v>
      </c>
      <c r="E25" s="113">
        <f>ROUND(C25*D25,2)</f>
        <v>0</v>
      </c>
      <c r="F25" s="110"/>
      <c r="G25" s="160">
        <f>+G23+I23</f>
        <v>0</v>
      </c>
      <c r="H25" s="188">
        <f>'SUB CPIF RATES (ALL)'!D40</f>
        <v>0</v>
      </c>
      <c r="I25" s="113">
        <f>ROUND(G25*H25,2)</f>
        <v>0</v>
      </c>
      <c r="J25" s="110"/>
      <c r="K25" s="160">
        <f>+K23+M23</f>
        <v>0</v>
      </c>
      <c r="L25" s="188">
        <f>'SUB CPIF RATES (ALL)'!E40</f>
        <v>0</v>
      </c>
      <c r="M25" s="113">
        <f>ROUND(K25*L25,2)</f>
        <v>0</v>
      </c>
      <c r="N25" s="110"/>
      <c r="O25" s="160">
        <f>+O23+Q23</f>
        <v>0</v>
      </c>
      <c r="P25" s="188">
        <f>'SUB CPIF RATES (ALL)'!F40</f>
        <v>0</v>
      </c>
      <c r="Q25" s="113">
        <f>ROUND(O25*P25,2)</f>
        <v>0</v>
      </c>
    </row>
    <row r="26" spans="1:17" x14ac:dyDescent="0.25">
      <c r="A26" s="138"/>
      <c r="B26" s="205" t="s">
        <v>185</v>
      </c>
      <c r="C26" s="155"/>
      <c r="D26" s="156"/>
      <c r="E26" s="175">
        <f>ROUND(SUM(E18,E21,E22,E23),2)</f>
        <v>0</v>
      </c>
      <c r="F26" s="110"/>
      <c r="G26" s="151"/>
      <c r="H26" s="152"/>
      <c r="I26" s="175">
        <f>ROUND(SUM(I18,I21,I22,I23),2)</f>
        <v>0</v>
      </c>
      <c r="J26" s="110"/>
      <c r="K26" s="151"/>
      <c r="L26" s="152"/>
      <c r="M26" s="175">
        <f>ROUND(SUM(M18,M21,M22,M23),2)</f>
        <v>0</v>
      </c>
      <c r="N26" s="110"/>
      <c r="O26" s="151"/>
      <c r="P26" s="152"/>
      <c r="Q26" s="175">
        <f>ROUND(SUM(Q18,Q21,Q22,Q23),2)</f>
        <v>0</v>
      </c>
    </row>
    <row r="27" spans="1:17" x14ac:dyDescent="0.25">
      <c r="A27" s="138"/>
      <c r="B27" s="205" t="s">
        <v>72</v>
      </c>
      <c r="C27" s="155"/>
      <c r="D27" s="156"/>
      <c r="E27" s="175">
        <f>ROUND(E24,2)</f>
        <v>0</v>
      </c>
      <c r="F27" s="110"/>
      <c r="G27" s="151"/>
      <c r="H27" s="152"/>
      <c r="I27" s="175">
        <f>ROUND(I24,2)</f>
        <v>0</v>
      </c>
      <c r="J27" s="110"/>
      <c r="K27" s="151"/>
      <c r="L27" s="152"/>
      <c r="M27" s="175">
        <f>ROUND(M24,2)</f>
        <v>0</v>
      </c>
      <c r="N27" s="110"/>
      <c r="O27" s="151"/>
      <c r="P27" s="152"/>
      <c r="Q27" s="175">
        <f>ROUND(Q24,2)</f>
        <v>0</v>
      </c>
    </row>
    <row r="28" spans="1:17" x14ac:dyDescent="0.25">
      <c r="A28" s="138"/>
      <c r="B28" s="205" t="s">
        <v>71</v>
      </c>
      <c r="C28" s="155"/>
      <c r="D28" s="156"/>
      <c r="E28" s="190">
        <f>ROUND(E25,2)</f>
        <v>0</v>
      </c>
      <c r="F28" s="115"/>
      <c r="G28" s="151"/>
      <c r="H28" s="152"/>
      <c r="I28" s="190">
        <f>ROUND(I25,2)</f>
        <v>0</v>
      </c>
      <c r="J28" s="115"/>
      <c r="K28" s="151"/>
      <c r="L28" s="152"/>
      <c r="M28" s="190">
        <f>ROUND(M25,2)</f>
        <v>0</v>
      </c>
      <c r="N28" s="115"/>
      <c r="O28" s="151"/>
      <c r="P28" s="152"/>
      <c r="Q28" s="190">
        <f>ROUND(Q25,2)</f>
        <v>0</v>
      </c>
    </row>
    <row r="29" spans="1:17" ht="16.5" thickBot="1" x14ac:dyDescent="0.3">
      <c r="A29" s="138"/>
      <c r="B29" s="206" t="s">
        <v>73</v>
      </c>
      <c r="C29" s="157"/>
      <c r="D29" s="158"/>
      <c r="E29" s="191">
        <f>ROUND(SUM(E26:E28),2)</f>
        <v>0</v>
      </c>
      <c r="F29" s="116"/>
      <c r="G29" s="153"/>
      <c r="H29" s="154"/>
      <c r="I29" s="191">
        <f>ROUND(SUM(I26:I28),2)</f>
        <v>0</v>
      </c>
      <c r="J29" s="116"/>
      <c r="K29" s="153"/>
      <c r="L29" s="154"/>
      <c r="M29" s="191">
        <f>ROUND(SUM(M26:M28),2)</f>
        <v>0</v>
      </c>
      <c r="N29" s="116"/>
      <c r="O29" s="153"/>
      <c r="P29" s="154"/>
      <c r="Q29" s="191">
        <f>ROUND(SUM(Q26:Q28),2)</f>
        <v>0</v>
      </c>
    </row>
    <row r="30" spans="1:17" ht="16.5" thickBot="1" x14ac:dyDescent="0.3">
      <c r="A30" s="138"/>
      <c r="B30" s="117"/>
      <c r="C30" s="118"/>
      <c r="D30" s="118"/>
      <c r="E30" s="199"/>
      <c r="F30" s="199"/>
      <c r="G30" s="199"/>
      <c r="H30" s="199"/>
      <c r="I30" s="199"/>
      <c r="J30" s="199"/>
      <c r="K30" s="199"/>
      <c r="L30" s="118"/>
      <c r="M30" s="118"/>
      <c r="N30" s="199"/>
      <c r="O30" s="199"/>
      <c r="P30" s="118"/>
      <c r="Q30" s="118"/>
    </row>
    <row r="31" spans="1:17" ht="16.5" customHeight="1" thickBot="1" x14ac:dyDescent="0.3">
      <c r="A31" s="138"/>
      <c r="B31" s="523" t="str">
        <f>B14</f>
        <v>CLIN 0001 (CPIF)                                                    TASK 1.09 SYSTEMS ENGINEERING AND PROGRAM MANAGEMENT</v>
      </c>
      <c r="C31" s="490" t="s">
        <v>80</v>
      </c>
      <c r="D31" s="491"/>
      <c r="E31" s="492"/>
      <c r="F31" s="120"/>
      <c r="G31" s="490" t="s">
        <v>80</v>
      </c>
      <c r="H31" s="491"/>
      <c r="I31" s="492"/>
      <c r="J31" s="120"/>
      <c r="K31" s="490" t="s">
        <v>80</v>
      </c>
      <c r="L31" s="491"/>
      <c r="M31" s="492"/>
      <c r="N31" s="120"/>
      <c r="O31" s="490" t="s">
        <v>80</v>
      </c>
      <c r="P31" s="491"/>
      <c r="Q31" s="492"/>
    </row>
    <row r="32" spans="1:17" ht="32.25" customHeight="1" thickBot="1" x14ac:dyDescent="0.3">
      <c r="A32" s="138"/>
      <c r="B32" s="524"/>
      <c r="C32" s="520" t="str">
        <f>C15</f>
        <v>CLIN 0001 - Basic Period (Year 1)</v>
      </c>
      <c r="D32" s="521"/>
      <c r="E32" s="522"/>
      <c r="F32" s="121"/>
      <c r="G32" s="520" t="str">
        <f>G15</f>
        <v>CLIN 0001 - Basic Period (Year 2)</v>
      </c>
      <c r="H32" s="521"/>
      <c r="I32" s="522"/>
      <c r="J32" s="121"/>
      <c r="K32" s="520" t="str">
        <f>K15</f>
        <v>CLIN 0001 - Basic Period (Year 3)</v>
      </c>
      <c r="L32" s="521"/>
      <c r="M32" s="522"/>
      <c r="N32" s="121"/>
      <c r="O32" s="520" t="str">
        <f>O15</f>
        <v>CLIN 0001 - Basic Period (Year 4)</v>
      </c>
      <c r="P32" s="521"/>
      <c r="Q32" s="522"/>
    </row>
    <row r="33" spans="1:17" x14ac:dyDescent="0.25">
      <c r="A33" s="138"/>
      <c r="B33" s="192"/>
      <c r="C33" s="98" t="s">
        <v>289</v>
      </c>
      <c r="D33" s="99" t="s">
        <v>286</v>
      </c>
      <c r="E33" s="100" t="s">
        <v>88</v>
      </c>
      <c r="F33" s="111"/>
      <c r="G33" s="98" t="s">
        <v>289</v>
      </c>
      <c r="H33" s="99" t="s">
        <v>286</v>
      </c>
      <c r="I33" s="100" t="s">
        <v>88</v>
      </c>
      <c r="J33" s="111"/>
      <c r="K33" s="98" t="s">
        <v>289</v>
      </c>
      <c r="L33" s="99" t="s">
        <v>286</v>
      </c>
      <c r="M33" s="100" t="s">
        <v>88</v>
      </c>
      <c r="N33" s="111"/>
      <c r="O33" s="98" t="s">
        <v>289</v>
      </c>
      <c r="P33" s="99" t="s">
        <v>286</v>
      </c>
      <c r="Q33" s="100" t="s">
        <v>88</v>
      </c>
    </row>
    <row r="34" spans="1:17" ht="51.75" x14ac:dyDescent="0.25">
      <c r="A34" s="138"/>
      <c r="B34" s="240" t="s">
        <v>445</v>
      </c>
      <c r="C34" s="176"/>
      <c r="D34" s="177"/>
      <c r="E34" s="161">
        <f>'SUB CPIF TOTAL MATERIAL'!E20</f>
        <v>0</v>
      </c>
      <c r="F34" s="110"/>
      <c r="G34" s="176"/>
      <c r="H34" s="177"/>
      <c r="I34" s="161">
        <f>'SUB CPIF TOTAL MATERIAL'!G20</f>
        <v>0</v>
      </c>
      <c r="J34" s="110"/>
      <c r="K34" s="176"/>
      <c r="L34" s="177"/>
      <c r="M34" s="161">
        <f>'SUB CPIF TOTAL MATERIAL'!I20</f>
        <v>0</v>
      </c>
      <c r="N34" s="110"/>
      <c r="O34" s="176"/>
      <c r="P34" s="177"/>
      <c r="Q34" s="161">
        <f>'SUB CPIF TOTAL MATERIAL'!K20</f>
        <v>0</v>
      </c>
    </row>
    <row r="35" spans="1:17" ht="67.5" customHeight="1" x14ac:dyDescent="0.25">
      <c r="A35" s="138" t="s">
        <v>285</v>
      </c>
      <c r="B35" s="261" t="s">
        <v>446</v>
      </c>
      <c r="C35" s="315"/>
      <c r="D35" s="316"/>
      <c r="E35" s="310"/>
      <c r="F35" s="110"/>
      <c r="G35" s="315"/>
      <c r="H35" s="316"/>
      <c r="I35" s="310"/>
      <c r="J35" s="110"/>
      <c r="K35" s="315"/>
      <c r="L35" s="316"/>
      <c r="M35" s="310"/>
      <c r="N35" s="110"/>
      <c r="O35" s="315"/>
      <c r="P35" s="316"/>
      <c r="Q35" s="310"/>
    </row>
    <row r="36" spans="1:17" x14ac:dyDescent="0.25">
      <c r="A36" s="138"/>
      <c r="B36" s="112" t="str">
        <f>'SUB CPIF RATES (ALL)'!B53</f>
        <v>Indirect Category: [Material Overhead]</v>
      </c>
      <c r="C36" s="160">
        <f>+E34</f>
        <v>0</v>
      </c>
      <c r="D36" s="188">
        <f>'SUB CPIF RATES (ALL)'!C53</f>
        <v>0</v>
      </c>
      <c r="E36" s="113">
        <f>ROUND(C36*D36,2)</f>
        <v>0</v>
      </c>
      <c r="F36" s="123"/>
      <c r="G36" s="160">
        <f>+I34</f>
        <v>0</v>
      </c>
      <c r="H36" s="188">
        <f>'SUB CPIF RATES (ALL)'!D53</f>
        <v>0</v>
      </c>
      <c r="I36" s="113">
        <f>ROUND(G36*H36,2)</f>
        <v>0</v>
      </c>
      <c r="J36" s="123"/>
      <c r="K36" s="160">
        <f>+M34</f>
        <v>0</v>
      </c>
      <c r="L36" s="188">
        <f>'SUB CPIF RATES (ALL)'!E53</f>
        <v>0</v>
      </c>
      <c r="M36" s="113">
        <f>ROUND(K36*L36,2)</f>
        <v>0</v>
      </c>
      <c r="N36" s="123"/>
      <c r="O36" s="160">
        <f>+Q34</f>
        <v>0</v>
      </c>
      <c r="P36" s="188">
        <f>'SUB CPIF RATES (ALL)'!F53</f>
        <v>0</v>
      </c>
      <c r="Q36" s="113">
        <f>ROUND(O36*P36,2)</f>
        <v>0</v>
      </c>
    </row>
    <row r="37" spans="1:17" x14ac:dyDescent="0.25">
      <c r="A37" s="138"/>
      <c r="B37" s="112" t="str">
        <f>'SUB CPIF RATES (ALL)'!B54</f>
        <v>Indirect Category: [G&amp;A]</v>
      </c>
      <c r="C37" s="160">
        <f>+C36+E36</f>
        <v>0</v>
      </c>
      <c r="D37" s="188">
        <f>'SUB CPIF RATES (ALL)'!C54</f>
        <v>0</v>
      </c>
      <c r="E37" s="113">
        <f>ROUND(C37*D37,2)</f>
        <v>0</v>
      </c>
      <c r="F37" s="123"/>
      <c r="G37" s="160">
        <f>+G36+I36</f>
        <v>0</v>
      </c>
      <c r="H37" s="188">
        <f>'SUB CPIF RATES (ALL)'!D54</f>
        <v>0</v>
      </c>
      <c r="I37" s="113">
        <f>ROUND(G37*H37,2)</f>
        <v>0</v>
      </c>
      <c r="J37" s="123"/>
      <c r="K37" s="160">
        <f>+K36+M36</f>
        <v>0</v>
      </c>
      <c r="L37" s="188">
        <f>'SUB CPIF RATES (ALL)'!E54</f>
        <v>0</v>
      </c>
      <c r="M37" s="113">
        <f>ROUND(K37*L37,2)</f>
        <v>0</v>
      </c>
      <c r="N37" s="123"/>
      <c r="O37" s="160">
        <f>+O36+Q36</f>
        <v>0</v>
      </c>
      <c r="P37" s="188">
        <f>'SUB CPIF RATES (ALL)'!F54</f>
        <v>0</v>
      </c>
      <c r="Q37" s="113">
        <f>ROUND(O37*P37,2)</f>
        <v>0</v>
      </c>
    </row>
    <row r="38" spans="1:17" x14ac:dyDescent="0.25">
      <c r="A38" s="138"/>
      <c r="B38" s="112" t="str">
        <f>'SUB CPIF RATES (ALL)'!B55</f>
        <v>Indirect Category: [FCCOM]</v>
      </c>
      <c r="C38" s="160">
        <f>C37+E37</f>
        <v>0</v>
      </c>
      <c r="D38" s="188">
        <f>'SUB CPIF RATES (ALL)'!C55</f>
        <v>0</v>
      </c>
      <c r="E38" s="113">
        <f>ROUND(C38*D38,2)</f>
        <v>0</v>
      </c>
      <c r="F38" s="110"/>
      <c r="G38" s="160">
        <f>G37+I37</f>
        <v>0</v>
      </c>
      <c r="H38" s="188">
        <f>'SUB CPIF RATES (ALL)'!D55</f>
        <v>0</v>
      </c>
      <c r="I38" s="113">
        <f>ROUND(G38*H38,2)</f>
        <v>0</v>
      </c>
      <c r="J38" s="110"/>
      <c r="K38" s="160">
        <f>K37+M37</f>
        <v>0</v>
      </c>
      <c r="L38" s="188">
        <f>'SUB CPIF RATES (ALL)'!E55</f>
        <v>0</v>
      </c>
      <c r="M38" s="113">
        <f>ROUND(K38*L38,2)</f>
        <v>0</v>
      </c>
      <c r="N38" s="110"/>
      <c r="O38" s="160">
        <f>O37+Q37</f>
        <v>0</v>
      </c>
      <c r="P38" s="188">
        <f>'SUB CPIF RATES (ALL)'!F55</f>
        <v>0</v>
      </c>
      <c r="Q38" s="113">
        <f>ROUND(O38*P38,2)</f>
        <v>0</v>
      </c>
    </row>
    <row r="39" spans="1:17" x14ac:dyDescent="0.25">
      <c r="A39" s="138"/>
      <c r="B39" s="112" t="str">
        <f>'SUB CPIF RATES (ALL)'!B56</f>
        <v>Indirect Category: [Target Fee]</v>
      </c>
      <c r="C39" s="160">
        <f>+C37+E37</f>
        <v>0</v>
      </c>
      <c r="D39" s="188">
        <f>'SUB CPIF RATES (ALL)'!C56</f>
        <v>0</v>
      </c>
      <c r="E39" s="113">
        <f>ROUND(C39*D39,2)</f>
        <v>0</v>
      </c>
      <c r="F39" s="110"/>
      <c r="G39" s="160">
        <f>+G37+I37</f>
        <v>0</v>
      </c>
      <c r="H39" s="188">
        <f>'SUB CPIF RATES (ALL)'!D56</f>
        <v>0</v>
      </c>
      <c r="I39" s="113">
        <f>ROUND(G39*H39,2)</f>
        <v>0</v>
      </c>
      <c r="J39" s="110"/>
      <c r="K39" s="160">
        <f>+K37+M37</f>
        <v>0</v>
      </c>
      <c r="L39" s="188">
        <f>'SUB CPIF RATES (ALL)'!E56</f>
        <v>0</v>
      </c>
      <c r="M39" s="113">
        <f>ROUND(K39*L39,2)</f>
        <v>0</v>
      </c>
      <c r="N39" s="110"/>
      <c r="O39" s="160">
        <f>+O37+Q37</f>
        <v>0</v>
      </c>
      <c r="P39" s="188">
        <f>'SUB CPIF RATES (ALL)'!F56</f>
        <v>0</v>
      </c>
      <c r="Q39" s="113">
        <f>ROUND(O39*P39,2)</f>
        <v>0</v>
      </c>
    </row>
    <row r="40" spans="1:17" x14ac:dyDescent="0.25">
      <c r="A40" s="138"/>
      <c r="B40" s="186" t="s">
        <v>186</v>
      </c>
      <c r="C40" s="178"/>
      <c r="D40" s="179"/>
      <c r="E40" s="113">
        <f>ROUND(SUM(E34:E37),2)</f>
        <v>0</v>
      </c>
      <c r="F40" s="110"/>
      <c r="G40" s="178"/>
      <c r="H40" s="179"/>
      <c r="I40" s="113">
        <f>ROUND(SUM(I34:I37),2)</f>
        <v>0</v>
      </c>
      <c r="J40" s="110"/>
      <c r="K40" s="178"/>
      <c r="L40" s="179"/>
      <c r="M40" s="113">
        <f>ROUND(SUM(M34:M37),2)</f>
        <v>0</v>
      </c>
      <c r="N40" s="110"/>
      <c r="O40" s="178"/>
      <c r="P40" s="179"/>
      <c r="Q40" s="113">
        <f>ROUND(SUM(Q34:Q37),2)</f>
        <v>0</v>
      </c>
    </row>
    <row r="41" spans="1:17" x14ac:dyDescent="0.25">
      <c r="A41" s="138"/>
      <c r="B41" s="186" t="s">
        <v>72</v>
      </c>
      <c r="C41" s="176"/>
      <c r="D41" s="180"/>
      <c r="E41" s="113">
        <f>ROUND(E38,2)</f>
        <v>0</v>
      </c>
      <c r="F41" s="110"/>
      <c r="G41" s="176"/>
      <c r="H41" s="180"/>
      <c r="I41" s="113">
        <f>ROUND(I38,2)</f>
        <v>0</v>
      </c>
      <c r="J41" s="110"/>
      <c r="K41" s="176"/>
      <c r="L41" s="180"/>
      <c r="M41" s="113">
        <f>ROUND(M38,2)</f>
        <v>0</v>
      </c>
      <c r="N41" s="110"/>
      <c r="O41" s="176"/>
      <c r="P41" s="180"/>
      <c r="Q41" s="113">
        <f>ROUND(Q38,2)</f>
        <v>0</v>
      </c>
    </row>
    <row r="42" spans="1:17" x14ac:dyDescent="0.2">
      <c r="B42" s="186" t="s">
        <v>71</v>
      </c>
      <c r="C42" s="176"/>
      <c r="D42" s="180"/>
      <c r="E42" s="127">
        <f>ROUND(E39,2)</f>
        <v>0</v>
      </c>
      <c r="F42" s="128"/>
      <c r="G42" s="176"/>
      <c r="H42" s="180"/>
      <c r="I42" s="127">
        <f>ROUND(I39,2)</f>
        <v>0</v>
      </c>
      <c r="J42" s="128"/>
      <c r="K42" s="176"/>
      <c r="L42" s="180"/>
      <c r="M42" s="127">
        <f>ROUND(M39,2)</f>
        <v>0</v>
      </c>
      <c r="N42" s="128"/>
      <c r="O42" s="176"/>
      <c r="P42" s="180"/>
      <c r="Q42" s="127">
        <f>ROUND(Q39,2)</f>
        <v>0</v>
      </c>
    </row>
    <row r="43" spans="1:17" ht="16.5" thickBot="1" x14ac:dyDescent="0.25">
      <c r="B43" s="187" t="s">
        <v>173</v>
      </c>
      <c r="C43" s="181"/>
      <c r="D43" s="182"/>
      <c r="E43" s="105">
        <f>SUM(E40:E42)</f>
        <v>0</v>
      </c>
      <c r="F43" s="106"/>
      <c r="G43" s="181"/>
      <c r="H43" s="182"/>
      <c r="I43" s="105">
        <f>SUM(I40:I42)</f>
        <v>0</v>
      </c>
      <c r="J43" s="106"/>
      <c r="K43" s="181"/>
      <c r="L43" s="182"/>
      <c r="M43" s="105">
        <f>SUM(M40:M42)</f>
        <v>0</v>
      </c>
      <c r="N43" s="106"/>
      <c r="O43" s="181"/>
      <c r="P43" s="182"/>
      <c r="Q43" s="105">
        <f>SUM(Q40:Q42)</f>
        <v>0</v>
      </c>
    </row>
    <row r="44" spans="1:17" ht="16.5" thickBot="1" x14ac:dyDescent="0.25">
      <c r="B44" s="117"/>
      <c r="E44" s="194"/>
      <c r="F44" s="194"/>
      <c r="G44" s="194"/>
      <c r="H44" s="194"/>
      <c r="I44" s="194"/>
      <c r="J44" s="194"/>
      <c r="K44" s="194"/>
      <c r="N44" s="194"/>
      <c r="O44" s="194"/>
    </row>
    <row r="45" spans="1:17" ht="16.5" thickBot="1" x14ac:dyDescent="0.3">
      <c r="B45" s="523" t="str">
        <f>B14</f>
        <v>CLIN 0001 (CPIF)                                                    TASK 1.09 SYSTEMS ENGINEERING AND PROGRAM MANAGEMENT</v>
      </c>
      <c r="C45" s="490" t="s">
        <v>212</v>
      </c>
      <c r="D45" s="491"/>
      <c r="E45" s="492"/>
      <c r="F45" s="120"/>
      <c r="G45" s="490" t="s">
        <v>212</v>
      </c>
      <c r="H45" s="491"/>
      <c r="I45" s="492"/>
      <c r="J45" s="120"/>
      <c r="K45" s="490" t="s">
        <v>212</v>
      </c>
      <c r="L45" s="491"/>
      <c r="M45" s="492"/>
      <c r="N45" s="120"/>
      <c r="O45" s="490" t="s">
        <v>212</v>
      </c>
      <c r="P45" s="491"/>
      <c r="Q45" s="492"/>
    </row>
    <row r="46" spans="1:17" ht="27.75" customHeight="1" thickBot="1" x14ac:dyDescent="0.3">
      <c r="B46" s="524"/>
      <c r="C46" s="520" t="str">
        <f>C32</f>
        <v>CLIN 0001 - Basic Period (Year 1)</v>
      </c>
      <c r="D46" s="521"/>
      <c r="E46" s="522"/>
      <c r="F46" s="121"/>
      <c r="G46" s="520" t="str">
        <f>G32</f>
        <v>CLIN 0001 - Basic Period (Year 2)</v>
      </c>
      <c r="H46" s="521"/>
      <c r="I46" s="522"/>
      <c r="J46" s="121"/>
      <c r="K46" s="520" t="str">
        <f>K32</f>
        <v>CLIN 0001 - Basic Period (Year 3)</v>
      </c>
      <c r="L46" s="521"/>
      <c r="M46" s="522"/>
      <c r="N46" s="121"/>
      <c r="O46" s="520" t="str">
        <f>O32</f>
        <v>CLIN 0001 - Basic Period (Year 4)</v>
      </c>
      <c r="P46" s="521"/>
      <c r="Q46" s="522"/>
    </row>
    <row r="47" spans="1:17" x14ac:dyDescent="0.25">
      <c r="B47" s="193"/>
      <c r="C47" s="98" t="s">
        <v>289</v>
      </c>
      <c r="D47" s="99" t="s">
        <v>286</v>
      </c>
      <c r="E47" s="100" t="s">
        <v>287</v>
      </c>
      <c r="F47" s="111"/>
      <c r="G47" s="98" t="s">
        <v>289</v>
      </c>
      <c r="H47" s="99" t="s">
        <v>286</v>
      </c>
      <c r="I47" s="100" t="s">
        <v>287</v>
      </c>
      <c r="J47" s="111"/>
      <c r="K47" s="98" t="s">
        <v>289</v>
      </c>
      <c r="L47" s="99" t="s">
        <v>286</v>
      </c>
      <c r="M47" s="100" t="s">
        <v>287</v>
      </c>
      <c r="N47" s="111"/>
      <c r="O47" s="98" t="s">
        <v>289</v>
      </c>
      <c r="P47" s="99" t="s">
        <v>286</v>
      </c>
      <c r="Q47" s="100" t="s">
        <v>287</v>
      </c>
    </row>
    <row r="48" spans="1:17" ht="25.5" x14ac:dyDescent="0.2">
      <c r="B48" s="240" t="s">
        <v>447</v>
      </c>
      <c r="C48" s="226"/>
      <c r="D48" s="226"/>
      <c r="E48" s="262">
        <f>'SUB CPIF TOTAL SUB'!E20</f>
        <v>0</v>
      </c>
      <c r="F48" s="229"/>
      <c r="G48" s="176"/>
      <c r="H48" s="226"/>
      <c r="I48" s="262">
        <f>'SUB CPIF TOTAL SUB'!G20</f>
        <v>0</v>
      </c>
      <c r="J48" s="229"/>
      <c r="K48" s="176"/>
      <c r="L48" s="226"/>
      <c r="M48" s="262">
        <f>'SUB CPIF TOTAL SUB'!I20</f>
        <v>0</v>
      </c>
      <c r="N48" s="110"/>
      <c r="O48" s="176"/>
      <c r="P48" s="226"/>
      <c r="Q48" s="262">
        <f>'SUB CPIF TOTAL SUB'!K20</f>
        <v>0</v>
      </c>
    </row>
    <row r="49" spans="1:17" ht="77.25" thickBot="1" x14ac:dyDescent="0.25">
      <c r="B49" s="261" t="s">
        <v>448</v>
      </c>
      <c r="C49" s="315" t="s">
        <v>1</v>
      </c>
      <c r="D49" s="316"/>
      <c r="E49" s="350"/>
      <c r="F49" s="123"/>
      <c r="G49" s="530"/>
      <c r="H49" s="528"/>
      <c r="I49" s="529"/>
      <c r="J49" s="123"/>
      <c r="K49" s="530"/>
      <c r="L49" s="528"/>
      <c r="M49" s="529"/>
      <c r="N49" s="123"/>
      <c r="O49" s="530"/>
      <c r="P49" s="528"/>
      <c r="Q49" s="529"/>
    </row>
    <row r="50" spans="1:17" x14ac:dyDescent="0.2">
      <c r="B50" s="266" t="str">
        <f>'SUB CPIF RATES (ALL)'!B45</f>
        <v>Indirect Category: [Overhead]</v>
      </c>
      <c r="C50" s="351">
        <f>E48</f>
        <v>0</v>
      </c>
      <c r="D50" s="352">
        <f>'SUB CPIF RATES (ALL)'!C45</f>
        <v>0</v>
      </c>
      <c r="E50" s="113">
        <f>ROUND(C50*D50,2)</f>
        <v>0</v>
      </c>
      <c r="F50" s="123"/>
      <c r="G50" s="160">
        <f>I48</f>
        <v>0</v>
      </c>
      <c r="H50" s="188">
        <f>'SUB CPIF RATES (ALL)'!D45</f>
        <v>0</v>
      </c>
      <c r="I50" s="113">
        <f>ROUND(G50*H50,2)</f>
        <v>0</v>
      </c>
      <c r="J50" s="123"/>
      <c r="K50" s="160">
        <f>M48</f>
        <v>0</v>
      </c>
      <c r="L50" s="188">
        <f>'SUB CPIF RATES (ALL)'!E45</f>
        <v>0</v>
      </c>
      <c r="M50" s="113">
        <f>ROUND(K50*L50,2)</f>
        <v>0</v>
      </c>
      <c r="N50" s="123"/>
      <c r="O50" s="160">
        <f>Q48</f>
        <v>0</v>
      </c>
      <c r="P50" s="188">
        <f>'SUB CPIF RATES (ALL)'!F45</f>
        <v>0</v>
      </c>
      <c r="Q50" s="113">
        <f>ROUND(O50*P50,2)</f>
        <v>0</v>
      </c>
    </row>
    <row r="51" spans="1:17" x14ac:dyDescent="0.2">
      <c r="B51" s="266" t="str">
        <f>'SUB CPIF RATES (ALL)'!B46</f>
        <v>Indirect Category: [G&amp;A]</v>
      </c>
      <c r="C51" s="160">
        <f>C50+E50</f>
        <v>0</v>
      </c>
      <c r="D51" s="188">
        <f>'SUB CPIF RATES (ALL)'!C46</f>
        <v>0</v>
      </c>
      <c r="E51" s="113">
        <f>ROUND(C51*D51,2)</f>
        <v>0</v>
      </c>
      <c r="F51" s="229"/>
      <c r="G51" s="160">
        <f>G50+I50</f>
        <v>0</v>
      </c>
      <c r="H51" s="188">
        <f>'SUB CPIF RATES (ALL)'!D46</f>
        <v>0</v>
      </c>
      <c r="I51" s="113">
        <f>ROUND(G51*H51,2)</f>
        <v>0</v>
      </c>
      <c r="J51" s="229"/>
      <c r="K51" s="160">
        <f>K50+M50</f>
        <v>0</v>
      </c>
      <c r="L51" s="188">
        <f>'SUB CPIF RATES (ALL)'!E46</f>
        <v>0</v>
      </c>
      <c r="M51" s="113">
        <f>ROUND(K51*L51,2)</f>
        <v>0</v>
      </c>
      <c r="N51" s="110"/>
      <c r="O51" s="160">
        <f>O50+Q50</f>
        <v>0</v>
      </c>
      <c r="P51" s="188">
        <f>'SUB CPIF RATES (ALL)'!F46</f>
        <v>0</v>
      </c>
      <c r="Q51" s="113">
        <f>ROUND(O51*P51,2)</f>
        <v>0</v>
      </c>
    </row>
    <row r="52" spans="1:17" x14ac:dyDescent="0.2">
      <c r="B52" s="266" t="str">
        <f>'SUB CPIF RATES (ALL)'!B47</f>
        <v>Indirect Category: [FCCOM]</v>
      </c>
      <c r="C52" s="160">
        <f>C51+E51</f>
        <v>0</v>
      </c>
      <c r="D52" s="188">
        <f>'SUB CPIF RATES (ALL)'!C47</f>
        <v>0</v>
      </c>
      <c r="E52" s="268">
        <f>ROUND(C52*D52,2)</f>
        <v>0</v>
      </c>
      <c r="F52" s="229"/>
      <c r="G52" s="160">
        <f>G51+I51</f>
        <v>0</v>
      </c>
      <c r="H52" s="188">
        <f>'SUB CPIF RATES (ALL)'!D47</f>
        <v>0</v>
      </c>
      <c r="I52" s="268">
        <f>ROUND(G52*H52,2)</f>
        <v>0</v>
      </c>
      <c r="J52" s="229"/>
      <c r="K52" s="160">
        <f>K51+M51</f>
        <v>0</v>
      </c>
      <c r="L52" s="188">
        <f>'SUB CPIF RATES (ALL)'!E47</f>
        <v>0</v>
      </c>
      <c r="M52" s="268">
        <f>ROUND(K52*L52,2)</f>
        <v>0</v>
      </c>
      <c r="N52" s="110"/>
      <c r="O52" s="160">
        <f>O51+Q51</f>
        <v>0</v>
      </c>
      <c r="P52" s="188">
        <f>'SUB CPIF RATES (ALL)'!F47</f>
        <v>0</v>
      </c>
      <c r="Q52" s="268">
        <f>ROUND(O52*P52,2)</f>
        <v>0</v>
      </c>
    </row>
    <row r="53" spans="1:17" ht="16.5" thickBot="1" x14ac:dyDescent="0.25">
      <c r="B53" s="112" t="str">
        <f>'SUB CPIF RATES (ALL)'!B48</f>
        <v>Indirect Category: [Target Fee]</v>
      </c>
      <c r="C53" s="353">
        <f>C51+E51</f>
        <v>0</v>
      </c>
      <c r="D53" s="354">
        <f>'SUB CPIF RATES (ALL)'!C48</f>
        <v>0</v>
      </c>
      <c r="E53" s="268">
        <f>ROUND(C53*D53,2)</f>
        <v>0</v>
      </c>
      <c r="F53" s="229"/>
      <c r="G53" s="159">
        <f>G51+I51</f>
        <v>0</v>
      </c>
      <c r="H53" s="269">
        <f>'SUB CPIF RATES (ALL)'!D48</f>
        <v>0</v>
      </c>
      <c r="I53" s="268">
        <f>ROUND(G53*H53,2)</f>
        <v>0</v>
      </c>
      <c r="J53" s="229"/>
      <c r="K53" s="159">
        <f>K51+M51</f>
        <v>0</v>
      </c>
      <c r="L53" s="269">
        <f>'SUB CPIF RATES (ALL)'!E48</f>
        <v>0</v>
      </c>
      <c r="M53" s="268">
        <f>ROUND(K53*L53,2)</f>
        <v>0</v>
      </c>
      <c r="N53" s="110"/>
      <c r="O53" s="159">
        <f>O51+Q51</f>
        <v>0</v>
      </c>
      <c r="P53" s="269">
        <f>'SUB CPIF RATES (ALL)'!F48</f>
        <v>0</v>
      </c>
      <c r="Q53" s="268">
        <f>ROUND(O53*P53,2)</f>
        <v>0</v>
      </c>
    </row>
    <row r="54" spans="1:17" x14ac:dyDescent="0.2">
      <c r="B54" s="186" t="s">
        <v>214</v>
      </c>
      <c r="C54" s="176"/>
      <c r="D54" s="180"/>
      <c r="E54" s="113">
        <f>ROUND(E48+E50+E51,2)</f>
        <v>0</v>
      </c>
      <c r="F54" s="229"/>
      <c r="G54" s="178"/>
      <c r="H54" s="179"/>
      <c r="I54" s="113">
        <f>ROUND(I48+I50+I51,2)</f>
        <v>0</v>
      </c>
      <c r="J54" s="229"/>
      <c r="K54" s="178"/>
      <c r="L54" s="179"/>
      <c r="M54" s="113">
        <f>ROUND(M48+M50+M51,2)</f>
        <v>0</v>
      </c>
      <c r="N54" s="110"/>
      <c r="O54" s="178"/>
      <c r="P54" s="179"/>
      <c r="Q54" s="113">
        <f>ROUND(Q48+Q50+Q51,2)</f>
        <v>0</v>
      </c>
    </row>
    <row r="55" spans="1:17" x14ac:dyDescent="0.2">
      <c r="B55" s="186" t="s">
        <v>204</v>
      </c>
      <c r="C55" s="176"/>
      <c r="D55" s="180"/>
      <c r="E55" s="113">
        <f>ROUND(E52,2)</f>
        <v>0</v>
      </c>
      <c r="F55" s="229"/>
      <c r="G55" s="176"/>
      <c r="H55" s="180"/>
      <c r="I55" s="113">
        <f>ROUND(I52,2)</f>
        <v>0</v>
      </c>
      <c r="J55" s="229"/>
      <c r="K55" s="176"/>
      <c r="L55" s="180"/>
      <c r="M55" s="113">
        <f>ROUND(M52,2)</f>
        <v>0</v>
      </c>
      <c r="N55" s="110"/>
      <c r="O55" s="176"/>
      <c r="P55" s="180"/>
      <c r="Q55" s="113">
        <f>ROUND(Q52,2)</f>
        <v>0</v>
      </c>
    </row>
    <row r="56" spans="1:17" x14ac:dyDescent="0.2">
      <c r="B56" s="186" t="s">
        <v>71</v>
      </c>
      <c r="C56" s="176"/>
      <c r="D56" s="180"/>
      <c r="E56" s="127">
        <f>ROUND(E53,2)</f>
        <v>0</v>
      </c>
      <c r="F56" s="128"/>
      <c r="G56" s="176"/>
      <c r="H56" s="180"/>
      <c r="I56" s="127">
        <f>ROUND(I53,2)</f>
        <v>0</v>
      </c>
      <c r="J56" s="128"/>
      <c r="K56" s="176"/>
      <c r="L56" s="180"/>
      <c r="M56" s="127">
        <f>ROUND(M53,2)</f>
        <v>0</v>
      </c>
      <c r="N56" s="128"/>
      <c r="O56" s="176"/>
      <c r="P56" s="180"/>
      <c r="Q56" s="127">
        <f>ROUND(Q53,2)</f>
        <v>0</v>
      </c>
    </row>
    <row r="57" spans="1:17" ht="16.5" thickBot="1" x14ac:dyDescent="0.25">
      <c r="B57" s="187" t="s">
        <v>215</v>
      </c>
      <c r="C57" s="181"/>
      <c r="D57" s="182"/>
      <c r="E57" s="105">
        <f>ROUND(SUM(E54:E56),2)</f>
        <v>0</v>
      </c>
      <c r="F57" s="106"/>
      <c r="G57" s="181"/>
      <c r="H57" s="182"/>
      <c r="I57" s="105">
        <f>ROUND(SUM(I54:I56),2)</f>
        <v>0</v>
      </c>
      <c r="J57" s="106"/>
      <c r="K57" s="181"/>
      <c r="L57" s="182"/>
      <c r="M57" s="105">
        <f>ROUND(SUM(M54:M56),2)</f>
        <v>0</v>
      </c>
      <c r="N57" s="106"/>
      <c r="O57" s="181"/>
      <c r="P57" s="182"/>
      <c r="Q57" s="105">
        <f>ROUND(SUM(Q54:Q56),2)</f>
        <v>0</v>
      </c>
    </row>
    <row r="58" spans="1:17" ht="16.5" thickBot="1" x14ac:dyDescent="0.25">
      <c r="B58" s="117"/>
      <c r="E58" s="194"/>
      <c r="F58" s="194"/>
      <c r="G58" s="194"/>
      <c r="H58" s="194"/>
      <c r="I58" s="194"/>
      <c r="J58" s="194"/>
      <c r="K58" s="194"/>
      <c r="N58" s="194"/>
      <c r="O58" s="194"/>
    </row>
    <row r="59" spans="1:17" ht="16.5" customHeight="1" thickBot="1" x14ac:dyDescent="0.3">
      <c r="A59" s="138"/>
      <c r="B59" s="523" t="str">
        <f>B31</f>
        <v>CLIN 0001 (CPIF)                                                    TASK 1.09 SYSTEMS ENGINEERING AND PROGRAM MANAGEMENT</v>
      </c>
      <c r="C59" s="490" t="s">
        <v>81</v>
      </c>
      <c r="D59" s="491"/>
      <c r="E59" s="492"/>
      <c r="F59" s="120"/>
      <c r="G59" s="490" t="s">
        <v>82</v>
      </c>
      <c r="H59" s="491"/>
      <c r="I59" s="492"/>
      <c r="J59" s="120"/>
      <c r="K59" s="490" t="s">
        <v>82</v>
      </c>
      <c r="L59" s="491"/>
      <c r="M59" s="492"/>
      <c r="N59" s="120"/>
      <c r="O59" s="490" t="s">
        <v>82</v>
      </c>
      <c r="P59" s="491"/>
      <c r="Q59" s="492"/>
    </row>
    <row r="60" spans="1:17" ht="33.75" customHeight="1" thickBot="1" x14ac:dyDescent="0.3">
      <c r="A60" s="138"/>
      <c r="B60" s="524"/>
      <c r="C60" s="520" t="str">
        <f>C32</f>
        <v>CLIN 0001 - Basic Period (Year 1)</v>
      </c>
      <c r="D60" s="521"/>
      <c r="E60" s="522"/>
      <c r="F60" s="121"/>
      <c r="G60" s="520" t="str">
        <f>G32</f>
        <v>CLIN 0001 - Basic Period (Year 2)</v>
      </c>
      <c r="H60" s="521"/>
      <c r="I60" s="522"/>
      <c r="J60" s="121"/>
      <c r="K60" s="520" t="str">
        <f>K32</f>
        <v>CLIN 0001 - Basic Period (Year 3)</v>
      </c>
      <c r="L60" s="521"/>
      <c r="M60" s="522"/>
      <c r="N60" s="121"/>
      <c r="O60" s="520" t="str">
        <f>O32</f>
        <v>CLIN 0001 - Basic Period (Year 4)</v>
      </c>
      <c r="P60" s="521"/>
      <c r="Q60" s="522"/>
    </row>
    <row r="61" spans="1:17" x14ac:dyDescent="0.25">
      <c r="A61" s="138"/>
      <c r="B61" s="193"/>
      <c r="C61" s="98" t="s">
        <v>289</v>
      </c>
      <c r="D61" s="99" t="s">
        <v>286</v>
      </c>
      <c r="E61" s="100" t="s">
        <v>89</v>
      </c>
      <c r="F61" s="111"/>
      <c r="G61" s="98" t="s">
        <v>289</v>
      </c>
      <c r="H61" s="99" t="s">
        <v>286</v>
      </c>
      <c r="I61" s="100" t="s">
        <v>89</v>
      </c>
      <c r="J61" s="111"/>
      <c r="K61" s="98" t="s">
        <v>289</v>
      </c>
      <c r="L61" s="99" t="s">
        <v>286</v>
      </c>
      <c r="M61" s="100" t="s">
        <v>89</v>
      </c>
      <c r="N61" s="111"/>
      <c r="O61" s="98" t="s">
        <v>289</v>
      </c>
      <c r="P61" s="99" t="s">
        <v>286</v>
      </c>
      <c r="Q61" s="100" t="s">
        <v>89</v>
      </c>
    </row>
    <row r="62" spans="1:17" ht="26.25" x14ac:dyDescent="0.25">
      <c r="A62" s="138"/>
      <c r="B62" s="240" t="s">
        <v>449</v>
      </c>
      <c r="C62" s="226"/>
      <c r="D62" s="226"/>
      <c r="E62" s="311">
        <f>'SUB CPIF TOTAL ODC'!E21</f>
        <v>0</v>
      </c>
      <c r="F62" s="229"/>
      <c r="G62" s="226"/>
      <c r="H62" s="226"/>
      <c r="I62" s="311">
        <f>'SUB CPIF TOTAL ODC'!G21</f>
        <v>0</v>
      </c>
      <c r="J62" s="229"/>
      <c r="K62" s="226"/>
      <c r="L62" s="226"/>
      <c r="M62" s="310">
        <f>'SUB CPIF TOTAL ODC'!I21</f>
        <v>0</v>
      </c>
      <c r="N62" s="229"/>
      <c r="O62" s="226"/>
      <c r="P62" s="226"/>
      <c r="Q62" s="310">
        <f>'SUB CPIF TOTAL ODC'!K21</f>
        <v>0</v>
      </c>
    </row>
    <row r="63" spans="1:17" ht="66" customHeight="1" thickBot="1" x14ac:dyDescent="0.3">
      <c r="A63" s="138"/>
      <c r="B63" s="374" t="s">
        <v>450</v>
      </c>
      <c r="C63" s="315"/>
      <c r="D63" s="314"/>
      <c r="E63" s="350"/>
      <c r="F63" s="229"/>
      <c r="G63" s="315"/>
      <c r="H63" s="314"/>
      <c r="I63" s="313"/>
      <c r="J63" s="229"/>
      <c r="K63" s="315"/>
      <c r="L63" s="314"/>
      <c r="M63" s="310"/>
      <c r="N63" s="229"/>
      <c r="O63" s="315"/>
      <c r="P63" s="314"/>
      <c r="Q63" s="310"/>
    </row>
    <row r="64" spans="1:17" x14ac:dyDescent="0.25">
      <c r="A64" s="138"/>
      <c r="B64" s="112" t="s">
        <v>60</v>
      </c>
      <c r="C64" s="351">
        <f>+E62</f>
        <v>0</v>
      </c>
      <c r="D64" s="352">
        <f>'SUB CPIF RATES (ALL)'!C61</f>
        <v>0</v>
      </c>
      <c r="E64" s="113">
        <f>ROUND(C64*D64,2)</f>
        <v>0</v>
      </c>
      <c r="F64" s="123"/>
      <c r="G64" s="351">
        <f>+I62</f>
        <v>0</v>
      </c>
      <c r="H64" s="352">
        <f>'SUB CPIF RATES (ALL)'!D61</f>
        <v>0</v>
      </c>
      <c r="I64" s="113">
        <f>ROUND(G64*H64,2)</f>
        <v>0</v>
      </c>
      <c r="J64" s="123"/>
      <c r="K64" s="351">
        <f>+M62</f>
        <v>0</v>
      </c>
      <c r="L64" s="352">
        <f>'SUB CPIF RATES (ALL)'!E61</f>
        <v>0</v>
      </c>
      <c r="M64" s="113">
        <f>ROUND(K64*L64,2)</f>
        <v>0</v>
      </c>
      <c r="N64" s="123"/>
      <c r="O64" s="351">
        <f>+Q62</f>
        <v>0</v>
      </c>
      <c r="P64" s="352">
        <f>'SUB CPIF RATES (ALL)'!F61</f>
        <v>0</v>
      </c>
      <c r="Q64" s="113">
        <f>ROUND(O64*P64,2)</f>
        <v>0</v>
      </c>
    </row>
    <row r="65" spans="1:17" x14ac:dyDescent="0.25">
      <c r="A65" s="138"/>
      <c r="B65" s="112" t="s">
        <v>61</v>
      </c>
      <c r="C65" s="160">
        <f>+C64+E64</f>
        <v>0</v>
      </c>
      <c r="D65" s="188">
        <f>'SUB CPIF RATES (ALL)'!C62</f>
        <v>0</v>
      </c>
      <c r="E65" s="113">
        <f>ROUND(C65*D65,2)</f>
        <v>0</v>
      </c>
      <c r="F65" s="123"/>
      <c r="G65" s="160">
        <f>+G64+I64</f>
        <v>0</v>
      </c>
      <c r="H65" s="188">
        <f>'SUB CPIF RATES (ALL)'!D62</f>
        <v>0</v>
      </c>
      <c r="I65" s="113">
        <f>ROUND(G65*H65,2)</f>
        <v>0</v>
      </c>
      <c r="J65" s="123"/>
      <c r="K65" s="160">
        <f>+K64+M64</f>
        <v>0</v>
      </c>
      <c r="L65" s="188">
        <f>'SUB CPIF RATES (ALL)'!E62</f>
        <v>0</v>
      </c>
      <c r="M65" s="113">
        <f>ROUND(K65*L65,2)</f>
        <v>0</v>
      </c>
      <c r="N65" s="123"/>
      <c r="O65" s="160">
        <f>+O64+Q64</f>
        <v>0</v>
      </c>
      <c r="P65" s="188">
        <f>'SUB CPIF RATES (ALL)'!F62</f>
        <v>0</v>
      </c>
      <c r="Q65" s="113">
        <f>ROUND(O65*P65,2)</f>
        <v>0</v>
      </c>
    </row>
    <row r="66" spans="1:17" x14ac:dyDescent="0.25">
      <c r="A66" s="138"/>
      <c r="B66" s="112" t="s">
        <v>411</v>
      </c>
      <c r="C66" s="160">
        <f>C65+E65</f>
        <v>0</v>
      </c>
      <c r="D66" s="188">
        <f>'SUB CPIF RATES (ALL)'!C63</f>
        <v>0</v>
      </c>
      <c r="E66" s="113">
        <f>ROUND(C66*D66,2)</f>
        <v>0</v>
      </c>
      <c r="F66" s="229"/>
      <c r="G66" s="160">
        <f>G65+I65</f>
        <v>0</v>
      </c>
      <c r="H66" s="188">
        <f>'SUB CPIF RATES (ALL)'!D63</f>
        <v>0</v>
      </c>
      <c r="I66" s="113">
        <f>ROUND(G66*H66,2)</f>
        <v>0</v>
      </c>
      <c r="J66" s="229"/>
      <c r="K66" s="160">
        <f>K65+M65</f>
        <v>0</v>
      </c>
      <c r="L66" s="188">
        <f>'SUB CPIF RATES (ALL)'!E63</f>
        <v>0</v>
      </c>
      <c r="M66" s="113">
        <f>ROUND(K66*L66,2)</f>
        <v>0</v>
      </c>
      <c r="N66" s="229"/>
      <c r="O66" s="160">
        <f>O65+Q65</f>
        <v>0</v>
      </c>
      <c r="P66" s="188">
        <f>'SUB CPIF RATES (ALL)'!F63</f>
        <v>0</v>
      </c>
      <c r="Q66" s="113">
        <f>ROUND(O66*P66,2)</f>
        <v>0</v>
      </c>
    </row>
    <row r="67" spans="1:17" x14ac:dyDescent="0.25">
      <c r="A67" s="138"/>
      <c r="B67" s="112" t="s">
        <v>62</v>
      </c>
      <c r="C67" s="160">
        <f>+C65+E65</f>
        <v>0</v>
      </c>
      <c r="D67" s="269">
        <f>'SUB CPIF RATES (ALL)'!C64</f>
        <v>0</v>
      </c>
      <c r="E67" s="113">
        <f>ROUND(C67*D67,2)</f>
        <v>0</v>
      </c>
      <c r="F67" s="229"/>
      <c r="G67" s="160">
        <f>+G65+I65</f>
        <v>0</v>
      </c>
      <c r="H67" s="269">
        <f>'SUB CPIF RATES (ALL)'!D64</f>
        <v>0</v>
      </c>
      <c r="I67" s="113">
        <f>ROUND(G67*H67,2)</f>
        <v>0</v>
      </c>
      <c r="J67" s="229"/>
      <c r="K67" s="160">
        <f>+K65+M65</f>
        <v>0</v>
      </c>
      <c r="L67" s="269">
        <f>'SUB CPIF RATES (ALL)'!E64</f>
        <v>0</v>
      </c>
      <c r="M67" s="113">
        <f>ROUND(K67*L67,2)</f>
        <v>0</v>
      </c>
      <c r="N67" s="229"/>
      <c r="O67" s="160">
        <f>+O65+Q65</f>
        <v>0</v>
      </c>
      <c r="P67" s="269">
        <f>'SUB CPIF RATES (ALL)'!F64</f>
        <v>0</v>
      </c>
      <c r="Q67" s="113">
        <f>ROUND(O67*P67,2)</f>
        <v>0</v>
      </c>
    </row>
    <row r="68" spans="1:17" x14ac:dyDescent="0.25">
      <c r="A68" s="138"/>
      <c r="B68" s="186" t="s">
        <v>187</v>
      </c>
      <c r="C68" s="178"/>
      <c r="D68" s="179"/>
      <c r="E68" s="113">
        <f>ROUND(SUM(E62:E65),2)</f>
        <v>0</v>
      </c>
      <c r="F68" s="229"/>
      <c r="G68" s="178"/>
      <c r="H68" s="179"/>
      <c r="I68" s="113">
        <f>ROUND(SUM(I62:I65),2)</f>
        <v>0</v>
      </c>
      <c r="J68" s="229"/>
      <c r="K68" s="178"/>
      <c r="L68" s="179"/>
      <c r="M68" s="113">
        <f>ROUND(SUM(M62:M65),2)</f>
        <v>0</v>
      </c>
      <c r="N68" s="229"/>
      <c r="O68" s="178"/>
      <c r="P68" s="179"/>
      <c r="Q68" s="113">
        <f>ROUND(SUM(Q62:Q65),2)</f>
        <v>0</v>
      </c>
    </row>
    <row r="69" spans="1:17" x14ac:dyDescent="0.25">
      <c r="A69" s="138"/>
      <c r="B69" s="186" t="s">
        <v>72</v>
      </c>
      <c r="C69" s="176"/>
      <c r="D69" s="180"/>
      <c r="E69" s="113">
        <f>ROUND(E66,2)</f>
        <v>0</v>
      </c>
      <c r="F69" s="229"/>
      <c r="G69" s="176"/>
      <c r="H69" s="180"/>
      <c r="I69" s="113">
        <f>ROUND(I66,2)</f>
        <v>0</v>
      </c>
      <c r="J69" s="229"/>
      <c r="K69" s="176"/>
      <c r="L69" s="180"/>
      <c r="M69" s="113">
        <f>ROUND(M66,2)</f>
        <v>0</v>
      </c>
      <c r="N69" s="229"/>
      <c r="O69" s="176"/>
      <c r="P69" s="180"/>
      <c r="Q69" s="113">
        <f>ROUND(Q66,2)</f>
        <v>0</v>
      </c>
    </row>
    <row r="70" spans="1:17" x14ac:dyDescent="0.2">
      <c r="A70" s="131"/>
      <c r="B70" s="186" t="s">
        <v>71</v>
      </c>
      <c r="C70" s="176"/>
      <c r="D70" s="180"/>
      <c r="E70" s="127">
        <f>ROUND(E67,2)</f>
        <v>0</v>
      </c>
      <c r="F70" s="128"/>
      <c r="G70" s="176"/>
      <c r="H70" s="180"/>
      <c r="I70" s="127">
        <f>ROUND(I67,2)</f>
        <v>0</v>
      </c>
      <c r="J70" s="128"/>
      <c r="K70" s="176"/>
      <c r="L70" s="180"/>
      <c r="M70" s="127">
        <f>ROUND(M67,2)</f>
        <v>0</v>
      </c>
      <c r="N70" s="128"/>
      <c r="O70" s="176"/>
      <c r="P70" s="180"/>
      <c r="Q70" s="127">
        <f>ROUND(Q67,2)</f>
        <v>0</v>
      </c>
    </row>
    <row r="71" spans="1:17" ht="16.5" thickBot="1" x14ac:dyDescent="0.25">
      <c r="A71" s="131"/>
      <c r="B71" s="187" t="s">
        <v>174</v>
      </c>
      <c r="C71" s="181"/>
      <c r="D71" s="182"/>
      <c r="E71" s="105">
        <f>ROUND(SUM(E68:E70),2)</f>
        <v>0</v>
      </c>
      <c r="F71" s="106"/>
      <c r="G71" s="181"/>
      <c r="H71" s="182"/>
      <c r="I71" s="105">
        <f>ROUND(SUM(I68:I70),2)</f>
        <v>0</v>
      </c>
      <c r="J71" s="106"/>
      <c r="K71" s="181"/>
      <c r="L71" s="182"/>
      <c r="M71" s="105">
        <f>ROUND(SUM(M68:M70),2)</f>
        <v>0</v>
      </c>
      <c r="N71" s="106"/>
      <c r="O71" s="181"/>
      <c r="P71" s="182"/>
      <c r="Q71" s="105">
        <f>ROUND(SUM(Q68:Q70),2)</f>
        <v>0</v>
      </c>
    </row>
    <row r="72" spans="1:17" ht="16.5" thickBot="1" x14ac:dyDescent="0.25">
      <c r="A72" s="131"/>
      <c r="B72" s="117"/>
      <c r="E72" s="194"/>
      <c r="F72" s="194"/>
      <c r="G72" s="194"/>
      <c r="H72" s="194"/>
      <c r="I72" s="194"/>
      <c r="J72" s="194"/>
      <c r="K72" s="194"/>
      <c r="N72" s="194"/>
      <c r="O72" s="194"/>
    </row>
    <row r="73" spans="1:17" ht="16.5" thickBot="1" x14ac:dyDescent="0.3">
      <c r="A73" s="131"/>
      <c r="B73" s="531" t="str">
        <f>B59</f>
        <v>CLIN 0001 (CPIF)                                                    TASK 1.09 SYSTEMS ENGINEERING AND PROGRAM MANAGEMENT</v>
      </c>
      <c r="C73" s="517" t="s">
        <v>213</v>
      </c>
      <c r="D73" s="518"/>
      <c r="E73" s="519"/>
      <c r="F73" s="120"/>
      <c r="G73" s="517" t="s">
        <v>213</v>
      </c>
      <c r="H73" s="518"/>
      <c r="I73" s="519"/>
      <c r="J73" s="120"/>
      <c r="K73" s="517" t="s">
        <v>213</v>
      </c>
      <c r="L73" s="518"/>
      <c r="M73" s="519"/>
      <c r="N73" s="120"/>
      <c r="O73" s="517" t="s">
        <v>213</v>
      </c>
      <c r="P73" s="518"/>
      <c r="Q73" s="519"/>
    </row>
    <row r="74" spans="1:17" ht="33.75" customHeight="1" thickBot="1" x14ac:dyDescent="0.3">
      <c r="A74" s="131"/>
      <c r="B74" s="532"/>
      <c r="C74" s="221"/>
      <c r="D74" s="222"/>
      <c r="E74" s="133" t="s">
        <v>200</v>
      </c>
      <c r="F74" s="134"/>
      <c r="G74" s="221"/>
      <c r="H74" s="222"/>
      <c r="I74" s="133" t="s">
        <v>201</v>
      </c>
      <c r="J74" s="134"/>
      <c r="K74" s="221"/>
      <c r="L74" s="222"/>
      <c r="M74" s="133" t="s">
        <v>203</v>
      </c>
      <c r="N74" s="134"/>
      <c r="O74" s="221"/>
      <c r="P74" s="222"/>
      <c r="Q74" s="133" t="s">
        <v>202</v>
      </c>
    </row>
    <row r="75" spans="1:17" x14ac:dyDescent="0.2">
      <c r="A75" s="131"/>
      <c r="B75" s="112" t="s">
        <v>188</v>
      </c>
      <c r="C75" s="223"/>
      <c r="D75" s="223"/>
      <c r="E75" s="135">
        <f>+ROUND(E26+E40+E54+E68,2)</f>
        <v>0</v>
      </c>
      <c r="F75" s="110"/>
      <c r="G75" s="223"/>
      <c r="H75" s="223"/>
      <c r="I75" s="135">
        <f>+ROUND(I26+I40+I54+I68,2)</f>
        <v>0</v>
      </c>
      <c r="J75" s="110"/>
      <c r="K75" s="223"/>
      <c r="L75" s="223"/>
      <c r="M75" s="135">
        <f>+ROUND(M26+M40+M54+M68,2)</f>
        <v>0</v>
      </c>
      <c r="N75" s="110"/>
      <c r="O75" s="223"/>
      <c r="P75" s="223"/>
      <c r="Q75" s="135">
        <f>+ROUND(Q26+Q40+Q54+Q68,2)</f>
        <v>0</v>
      </c>
    </row>
    <row r="76" spans="1:17" x14ac:dyDescent="0.2">
      <c r="A76" s="131"/>
      <c r="B76" s="112" t="s">
        <v>72</v>
      </c>
      <c r="C76" s="223"/>
      <c r="D76" s="223"/>
      <c r="E76" s="113">
        <f>+ROUND(E27+E41+E55+E69,2)</f>
        <v>0</v>
      </c>
      <c r="F76" s="110"/>
      <c r="G76" s="223"/>
      <c r="H76" s="223"/>
      <c r="I76" s="113">
        <f>+ROUND(I27+I41+I55+I69,2)</f>
        <v>0</v>
      </c>
      <c r="J76" s="110"/>
      <c r="K76" s="223"/>
      <c r="L76" s="223"/>
      <c r="M76" s="113">
        <f>+ROUND(M27+M41+M55+M69,2)</f>
        <v>0</v>
      </c>
      <c r="N76" s="110"/>
      <c r="O76" s="223"/>
      <c r="P76" s="223"/>
      <c r="Q76" s="113">
        <f>+ROUND(Q27+Q41+Q55+Q69,2)</f>
        <v>0</v>
      </c>
    </row>
    <row r="77" spans="1:17" x14ac:dyDescent="0.2">
      <c r="A77" s="131"/>
      <c r="B77" s="112" t="s">
        <v>71</v>
      </c>
      <c r="C77" s="223"/>
      <c r="D77" s="223"/>
      <c r="E77" s="114">
        <f>+ROUND(E28+E42+E56+E70,2)</f>
        <v>0</v>
      </c>
      <c r="F77" s="115"/>
      <c r="G77" s="223"/>
      <c r="H77" s="223"/>
      <c r="I77" s="114">
        <f>+ROUND(I28+I42+I56+I70,2)</f>
        <v>0</v>
      </c>
      <c r="J77" s="115"/>
      <c r="K77" s="223"/>
      <c r="L77" s="223"/>
      <c r="M77" s="114">
        <f>+ROUND(M28+M42+M56+M70,2)</f>
        <v>0</v>
      </c>
      <c r="N77" s="115"/>
      <c r="O77" s="223"/>
      <c r="P77" s="223"/>
      <c r="Q77" s="114">
        <f>+ROUND(Q28+Q42+Q56+Q70,2)</f>
        <v>0</v>
      </c>
    </row>
    <row r="78" spans="1:17" ht="32.25" thickBot="1" x14ac:dyDescent="0.3">
      <c r="A78" s="131"/>
      <c r="B78" s="209" t="s">
        <v>360</v>
      </c>
      <c r="C78" s="224"/>
      <c r="D78" s="224"/>
      <c r="E78" s="208">
        <f>SUM(E75:E77)</f>
        <v>0</v>
      </c>
      <c r="F78" s="116"/>
      <c r="G78" s="224"/>
      <c r="H78" s="224"/>
      <c r="I78" s="208">
        <f>SUM(I75:I77)</f>
        <v>0</v>
      </c>
      <c r="J78" s="116"/>
      <c r="K78" s="224"/>
      <c r="L78" s="224"/>
      <c r="M78" s="208">
        <f>SUM(M75:M77)</f>
        <v>0</v>
      </c>
      <c r="N78" s="116"/>
      <c r="O78" s="224"/>
      <c r="P78" s="224"/>
      <c r="Q78" s="208">
        <f>SUM(Q75:Q77)</f>
        <v>0</v>
      </c>
    </row>
    <row r="79" spans="1:17" ht="16.5" thickBot="1" x14ac:dyDescent="0.3"/>
    <row r="80" spans="1:17" ht="31.5" x14ac:dyDescent="0.25">
      <c r="Q80" s="323" t="s">
        <v>361</v>
      </c>
    </row>
    <row r="81" spans="17:17" ht="16.5" thickBot="1" x14ac:dyDescent="0.3">
      <c r="Q81" s="322">
        <f>E78+I78+M78+Q78</f>
        <v>0</v>
      </c>
    </row>
  </sheetData>
  <mergeCells count="45">
    <mergeCell ref="G49:I49"/>
    <mergeCell ref="K49:M49"/>
    <mergeCell ref="O49:Q49"/>
    <mergeCell ref="B45:B46"/>
    <mergeCell ref="C45:E45"/>
    <mergeCell ref="G45:I45"/>
    <mergeCell ref="K45:M45"/>
    <mergeCell ref="O45:Q45"/>
    <mergeCell ref="C46:E46"/>
    <mergeCell ref="G46:I46"/>
    <mergeCell ref="K46:M46"/>
    <mergeCell ref="O46:Q46"/>
    <mergeCell ref="O60:Q60"/>
    <mergeCell ref="O73:Q73"/>
    <mergeCell ref="O14:Q14"/>
    <mergeCell ref="O15:Q15"/>
    <mergeCell ref="O31:Q31"/>
    <mergeCell ref="O32:Q32"/>
    <mergeCell ref="O59:Q59"/>
    <mergeCell ref="C15:E15"/>
    <mergeCell ref="G15:I15"/>
    <mergeCell ref="K15:M15"/>
    <mergeCell ref="A4:C4"/>
    <mergeCell ref="B14:B15"/>
    <mergeCell ref="C14:E14"/>
    <mergeCell ref="G14:I14"/>
    <mergeCell ref="K14:M14"/>
    <mergeCell ref="B31:B32"/>
    <mergeCell ref="C31:E31"/>
    <mergeCell ref="G31:I31"/>
    <mergeCell ref="K31:M31"/>
    <mergeCell ref="C32:E32"/>
    <mergeCell ref="G32:I32"/>
    <mergeCell ref="K32:M32"/>
    <mergeCell ref="B59:B60"/>
    <mergeCell ref="C59:E59"/>
    <mergeCell ref="G59:I59"/>
    <mergeCell ref="K59:M59"/>
    <mergeCell ref="B73:B74"/>
    <mergeCell ref="C73:E73"/>
    <mergeCell ref="G73:I73"/>
    <mergeCell ref="K73:M73"/>
    <mergeCell ref="C60:E60"/>
    <mergeCell ref="G60:I60"/>
    <mergeCell ref="K60:M60"/>
  </mergeCells>
  <pageMargins left="0.7" right="0.7" top="0.75" bottom="0.75" header="0.3" footer="0.3"/>
  <pageSetup orientation="portrait" horizontalDpi="1200" verticalDpi="1200"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D68FC3-30D3-41EC-9BBD-ECB97CF0938A}">
  <sheetPr>
    <tabColor theme="0"/>
  </sheetPr>
  <dimension ref="A1:Q81"/>
  <sheetViews>
    <sheetView zoomScale="80" zoomScaleNormal="80" workbookViewId="0">
      <pane ySplit="12" topLeftCell="A63" activePane="bottomLeft" state="frozen"/>
      <selection pane="bottomLeft" activeCell="P66" sqref="P66"/>
    </sheetView>
  </sheetViews>
  <sheetFormatPr defaultColWidth="15.85546875" defaultRowHeight="15.75" x14ac:dyDescent="0.25"/>
  <cols>
    <col min="1" max="1" width="3.42578125" style="136" customWidth="1"/>
    <col min="2" max="2" width="49.140625" style="119" customWidth="1"/>
    <col min="3" max="3" width="18.28515625" style="131" bestFit="1" customWidth="1"/>
    <col min="4" max="4" width="12.42578125" style="131" bestFit="1" customWidth="1"/>
    <col min="5" max="5" width="32.140625" style="131" bestFit="1" customWidth="1"/>
    <col min="6" max="6" width="1" style="131" customWidth="1"/>
    <col min="7" max="7" width="14.28515625" style="131" customWidth="1"/>
    <col min="8" max="8" width="14.5703125" style="131" customWidth="1"/>
    <col min="9" max="9" width="34.42578125" style="131" bestFit="1" customWidth="1"/>
    <col min="10" max="10" width="1" style="131" customWidth="1"/>
    <col min="11" max="11" width="16.7109375" style="131" customWidth="1"/>
    <col min="12" max="12" width="16.28515625" style="131" customWidth="1"/>
    <col min="13" max="13" width="34.42578125" style="131" bestFit="1" customWidth="1"/>
    <col min="14" max="14" width="0.85546875" style="131" customWidth="1"/>
    <col min="15" max="15" width="15.42578125" style="131" customWidth="1"/>
    <col min="16" max="16" width="12.42578125" style="131" bestFit="1" customWidth="1"/>
    <col min="17" max="17" width="34" style="131" bestFit="1" customWidth="1"/>
    <col min="18" max="16384" width="15.85546875" style="131"/>
  </cols>
  <sheetData>
    <row r="1" spans="1:17" ht="16.5" thickBot="1" x14ac:dyDescent="0.3">
      <c r="B1" s="321" t="s">
        <v>460</v>
      </c>
      <c r="C1" s="394" t="str">
        <f>'SUB CPIF RATES (ALL)'!C1</f>
        <v xml:space="preserve">NAME </v>
      </c>
      <c r="D1" s="393"/>
    </row>
    <row r="2" spans="1:17" ht="16.5" thickBot="1" x14ac:dyDescent="0.3">
      <c r="B2" s="395" t="s">
        <v>459</v>
      </c>
      <c r="C2" s="396" t="str">
        <f>'SUB CPIF RATES (ALL)'!C2</f>
        <v xml:space="preserve">NAME </v>
      </c>
    </row>
    <row r="3" spans="1:17" ht="16.5" thickBot="1" x14ac:dyDescent="0.3"/>
    <row r="4" spans="1:17" ht="52.5" customHeight="1" thickBot="1" x14ac:dyDescent="0.3">
      <c r="A4" s="466" t="s">
        <v>67</v>
      </c>
      <c r="B4" s="467"/>
      <c r="C4" s="468"/>
      <c r="I4" s="194" t="s">
        <v>84</v>
      </c>
    </row>
    <row r="6" spans="1:17" s="202" customFormat="1" ht="17.25" customHeight="1" x14ac:dyDescent="0.2">
      <c r="A6" s="203"/>
      <c r="B6" s="204" t="s">
        <v>65</v>
      </c>
    </row>
    <row r="7" spans="1:17" s="202" customFormat="1" x14ac:dyDescent="0.25">
      <c r="A7" s="201"/>
      <c r="B7" s="201" t="s">
        <v>441</v>
      </c>
    </row>
    <row r="8" spans="1:17" s="202" customFormat="1" x14ac:dyDescent="0.25">
      <c r="A8" s="201"/>
      <c r="B8" s="201" t="s">
        <v>281</v>
      </c>
    </row>
    <row r="9" spans="1:17" s="202" customFormat="1" x14ac:dyDescent="0.25">
      <c r="A9" s="201"/>
      <c r="B9" s="201" t="s">
        <v>442</v>
      </c>
    </row>
    <row r="10" spans="1:17" s="202" customFormat="1" x14ac:dyDescent="0.25">
      <c r="A10" s="201"/>
      <c r="B10" s="201" t="s">
        <v>463</v>
      </c>
    </row>
    <row r="11" spans="1:17" x14ac:dyDescent="0.25">
      <c r="A11" s="137"/>
      <c r="B11" s="201" t="s">
        <v>464</v>
      </c>
      <c r="C11" s="139"/>
    </row>
    <row r="12" spans="1:17" x14ac:dyDescent="0.25">
      <c r="A12" s="137"/>
      <c r="B12" s="201" t="s">
        <v>362</v>
      </c>
      <c r="C12" s="139"/>
    </row>
    <row r="13" spans="1:17" ht="16.5" thickBot="1" x14ac:dyDescent="0.3"/>
    <row r="14" spans="1:17" ht="16.5" thickBot="1" x14ac:dyDescent="0.3">
      <c r="A14" s="138"/>
      <c r="B14" s="523" t="s">
        <v>363</v>
      </c>
      <c r="C14" s="490" t="s">
        <v>69</v>
      </c>
      <c r="D14" s="491"/>
      <c r="E14" s="492"/>
      <c r="F14" s="96"/>
      <c r="G14" s="490" t="s">
        <v>69</v>
      </c>
      <c r="H14" s="491"/>
      <c r="I14" s="492"/>
      <c r="J14" s="96"/>
      <c r="K14" s="490" t="s">
        <v>69</v>
      </c>
      <c r="L14" s="491"/>
      <c r="M14" s="492"/>
      <c r="N14" s="96"/>
      <c r="O14" s="490" t="s">
        <v>69</v>
      </c>
      <c r="P14" s="491"/>
      <c r="Q14" s="492"/>
    </row>
    <row r="15" spans="1:17" ht="32.25" customHeight="1" thickBot="1" x14ac:dyDescent="0.3">
      <c r="A15" s="138"/>
      <c r="B15" s="524"/>
      <c r="C15" s="520" t="s">
        <v>205</v>
      </c>
      <c r="D15" s="521"/>
      <c r="E15" s="522"/>
      <c r="F15" s="97"/>
      <c r="G15" s="520" t="s">
        <v>206</v>
      </c>
      <c r="H15" s="521"/>
      <c r="I15" s="522"/>
      <c r="J15" s="97"/>
      <c r="K15" s="520" t="s">
        <v>207</v>
      </c>
      <c r="L15" s="521"/>
      <c r="M15" s="522"/>
      <c r="N15" s="97"/>
      <c r="O15" s="520" t="s">
        <v>208</v>
      </c>
      <c r="P15" s="521"/>
      <c r="Q15" s="522"/>
    </row>
    <row r="16" spans="1:17" x14ac:dyDescent="0.25">
      <c r="A16" s="138"/>
      <c r="B16" s="98" t="s">
        <v>46</v>
      </c>
      <c r="C16" s="98" t="s">
        <v>29</v>
      </c>
      <c r="D16" s="99" t="s">
        <v>68</v>
      </c>
      <c r="E16" s="100" t="s">
        <v>74</v>
      </c>
      <c r="F16" s="101"/>
      <c r="G16" s="98" t="s">
        <v>29</v>
      </c>
      <c r="H16" s="99" t="s">
        <v>68</v>
      </c>
      <c r="I16" s="100" t="s">
        <v>74</v>
      </c>
      <c r="J16" s="101"/>
      <c r="K16" s="98" t="s">
        <v>29</v>
      </c>
      <c r="L16" s="99" t="s">
        <v>68</v>
      </c>
      <c r="M16" s="100" t="s">
        <v>74</v>
      </c>
      <c r="N16" s="101"/>
      <c r="O16" s="98" t="s">
        <v>29</v>
      </c>
      <c r="P16" s="99" t="s">
        <v>68</v>
      </c>
      <c r="Q16" s="100" t="s">
        <v>74</v>
      </c>
    </row>
    <row r="17" spans="1:17" ht="30" customHeight="1" thickBot="1" x14ac:dyDescent="0.3">
      <c r="A17" s="138"/>
      <c r="B17" s="148" t="s">
        <v>443</v>
      </c>
      <c r="C17" s="230"/>
      <c r="D17" s="231"/>
      <c r="E17" s="232"/>
      <c r="F17" s="101"/>
      <c r="G17" s="230"/>
      <c r="H17" s="231"/>
      <c r="I17" s="232"/>
      <c r="J17" s="101"/>
      <c r="K17" s="230"/>
      <c r="L17" s="231"/>
      <c r="M17" s="232"/>
      <c r="N17" s="101"/>
      <c r="O17" s="230"/>
      <c r="P17" s="231"/>
      <c r="Q17" s="232"/>
    </row>
    <row r="18" spans="1:17" ht="16.5" thickBot="1" x14ac:dyDescent="0.3">
      <c r="A18" s="138"/>
      <c r="B18" s="239" t="s">
        <v>87</v>
      </c>
      <c r="C18" s="108">
        <f>'SUB CPIF LABOR INPUTS'!D218</f>
        <v>0</v>
      </c>
      <c r="D18" s="150"/>
      <c r="E18" s="109">
        <f>'SUB CPIF LABOR INPUTS'!F218</f>
        <v>0</v>
      </c>
      <c r="F18" s="110"/>
      <c r="G18" s="108">
        <f>'SUB CPIF LABOR INPUTS'!H218</f>
        <v>0</v>
      </c>
      <c r="H18" s="150"/>
      <c r="I18" s="109">
        <f>'SUB CPIF LABOR INPUTS'!J218</f>
        <v>0</v>
      </c>
      <c r="J18" s="110"/>
      <c r="K18" s="108">
        <f>'SUB CPIF LABOR INPUTS'!L218</f>
        <v>0</v>
      </c>
      <c r="L18" s="150"/>
      <c r="M18" s="109">
        <f>'SUB CPIF LABOR INPUTS'!N218</f>
        <v>0</v>
      </c>
      <c r="N18" s="110"/>
      <c r="O18" s="108">
        <f>'SUB CPIF LABOR INPUTS'!P218</f>
        <v>0</v>
      </c>
      <c r="P18" s="150"/>
      <c r="Q18" s="109">
        <f>'SUB CPIF LABOR INPUTS'!R218</f>
        <v>0</v>
      </c>
    </row>
    <row r="19" spans="1:17" x14ac:dyDescent="0.25">
      <c r="A19" s="138"/>
      <c r="B19" s="149"/>
      <c r="C19" s="98" t="s">
        <v>289</v>
      </c>
      <c r="D19" s="99" t="s">
        <v>286</v>
      </c>
      <c r="E19" s="100" t="s">
        <v>288</v>
      </c>
      <c r="F19" s="111"/>
      <c r="G19" s="98" t="s">
        <v>289</v>
      </c>
      <c r="H19" s="99" t="s">
        <v>286</v>
      </c>
      <c r="I19" s="100" t="s">
        <v>288</v>
      </c>
      <c r="J19" s="111"/>
      <c r="K19" s="98" t="s">
        <v>289</v>
      </c>
      <c r="L19" s="99" t="s">
        <v>286</v>
      </c>
      <c r="M19" s="100" t="s">
        <v>288</v>
      </c>
      <c r="N19" s="111"/>
      <c r="O19" s="98" t="s">
        <v>289</v>
      </c>
      <c r="P19" s="99" t="s">
        <v>286</v>
      </c>
      <c r="Q19" s="100" t="s">
        <v>288</v>
      </c>
    </row>
    <row r="20" spans="1:17" ht="63.75" customHeight="1" x14ac:dyDescent="0.25">
      <c r="A20" s="138"/>
      <c r="B20" s="261" t="s">
        <v>279</v>
      </c>
      <c r="C20" s="230"/>
      <c r="D20" s="231"/>
      <c r="E20" s="232"/>
      <c r="F20" s="147"/>
      <c r="G20" s="230"/>
      <c r="H20" s="231"/>
      <c r="I20" s="232"/>
      <c r="J20" s="147"/>
      <c r="K20" s="230"/>
      <c r="L20" s="231"/>
      <c r="M20" s="232"/>
      <c r="N20" s="147"/>
      <c r="O20" s="230"/>
      <c r="P20" s="231"/>
      <c r="Q20" s="232"/>
    </row>
    <row r="21" spans="1:17" x14ac:dyDescent="0.25">
      <c r="A21" s="138"/>
      <c r="B21" s="112" t="str">
        <f>'SUB CPIF RATES (ALL)'!B36</f>
        <v>Indirect Labor Category:  [Labor Fringe]</v>
      </c>
      <c r="C21" s="160">
        <f>+E18</f>
        <v>0</v>
      </c>
      <c r="D21" s="188">
        <f>'SUB CPIF RATES (ALL)'!C36</f>
        <v>0</v>
      </c>
      <c r="E21" s="113">
        <f>ROUND(C21*D21,2)</f>
        <v>0</v>
      </c>
      <c r="F21" s="110"/>
      <c r="G21" s="160">
        <f>+I18</f>
        <v>0</v>
      </c>
      <c r="H21" s="188">
        <f>'SUB CPIF RATES (ALL)'!D36</f>
        <v>0</v>
      </c>
      <c r="I21" s="113">
        <f>ROUND(G21*H21,2)</f>
        <v>0</v>
      </c>
      <c r="J21" s="110"/>
      <c r="K21" s="160">
        <f>+M18</f>
        <v>0</v>
      </c>
      <c r="L21" s="188">
        <f>'SUB CPIF RATES (ALL)'!E36</f>
        <v>0</v>
      </c>
      <c r="M21" s="113">
        <f>ROUND(K21*L21,2)</f>
        <v>0</v>
      </c>
      <c r="N21" s="110"/>
      <c r="O21" s="160">
        <f>+Q18</f>
        <v>0</v>
      </c>
      <c r="P21" s="188">
        <f>'SUB CPIF RATES (ALL)'!F36</f>
        <v>0</v>
      </c>
      <c r="Q21" s="113">
        <f>ROUND(O21*P21,2)</f>
        <v>0</v>
      </c>
    </row>
    <row r="22" spans="1:17" x14ac:dyDescent="0.25">
      <c r="A22" s="138"/>
      <c r="B22" s="112" t="str">
        <f>'SUB CPIF RATES (ALL)'!B37</f>
        <v>Indirect Labor Category: [Labor Overhead]</v>
      </c>
      <c r="C22" s="160">
        <f>+C21+E21</f>
        <v>0</v>
      </c>
      <c r="D22" s="188">
        <f>'SUB CPIF RATES (ALL)'!C37</f>
        <v>0</v>
      </c>
      <c r="E22" s="113">
        <f>ROUND(C22*D22,2)</f>
        <v>0</v>
      </c>
      <c r="F22" s="110"/>
      <c r="G22" s="160">
        <f>+G21+I21</f>
        <v>0</v>
      </c>
      <c r="H22" s="188">
        <f>'SUB CPIF RATES (ALL)'!D37</f>
        <v>0</v>
      </c>
      <c r="I22" s="113">
        <f>ROUND(G22*H22,2)</f>
        <v>0</v>
      </c>
      <c r="J22" s="110"/>
      <c r="K22" s="160">
        <f>+K21+M21</f>
        <v>0</v>
      </c>
      <c r="L22" s="188">
        <f>'SUB CPIF RATES (ALL)'!E37</f>
        <v>0</v>
      </c>
      <c r="M22" s="113">
        <f>ROUND(K22*L22,2)</f>
        <v>0</v>
      </c>
      <c r="N22" s="110"/>
      <c r="O22" s="160">
        <f>+O21+Q21</f>
        <v>0</v>
      </c>
      <c r="P22" s="188">
        <f>'SUB CPIF RATES (ALL)'!F37</f>
        <v>0</v>
      </c>
      <c r="Q22" s="113">
        <f>ROUND(O22*P22,2)</f>
        <v>0</v>
      </c>
    </row>
    <row r="23" spans="1:17" x14ac:dyDescent="0.25">
      <c r="A23" s="138"/>
      <c r="B23" s="112" t="str">
        <f>'SUB CPIF RATES (ALL)'!B38</f>
        <v>Indirect Labor Category: [G&amp;A]</v>
      </c>
      <c r="C23" s="160">
        <f>+C22+E22</f>
        <v>0</v>
      </c>
      <c r="D23" s="188">
        <f>'SUB CPIF RATES (ALL)'!C38</f>
        <v>0</v>
      </c>
      <c r="E23" s="113">
        <f>ROUND(C23*D23,2)</f>
        <v>0</v>
      </c>
      <c r="F23" s="110"/>
      <c r="G23" s="160">
        <f>+G22+I22</f>
        <v>0</v>
      </c>
      <c r="H23" s="188">
        <f>'SUB CPIF RATES (ALL)'!D38</f>
        <v>0</v>
      </c>
      <c r="I23" s="113">
        <f>ROUND(G23*H23,2)</f>
        <v>0</v>
      </c>
      <c r="J23" s="110"/>
      <c r="K23" s="160">
        <f>+K22+M22</f>
        <v>0</v>
      </c>
      <c r="L23" s="188">
        <f>'SUB CPIF RATES (ALL)'!E38</f>
        <v>0</v>
      </c>
      <c r="M23" s="113">
        <f>ROUND(K23*L23,2)</f>
        <v>0</v>
      </c>
      <c r="N23" s="110"/>
      <c r="O23" s="160">
        <f>+O22+Q22</f>
        <v>0</v>
      </c>
      <c r="P23" s="188">
        <f>'SUB CPIF RATES (ALL)'!F38</f>
        <v>0</v>
      </c>
      <c r="Q23" s="113">
        <f>ROUND(O23*P23,2)</f>
        <v>0</v>
      </c>
    </row>
    <row r="24" spans="1:17" x14ac:dyDescent="0.25">
      <c r="A24" s="138"/>
      <c r="B24" s="112" t="str">
        <f>'SUB CPIF RATES (ALL)'!B39</f>
        <v>Indirect Labor Category: [FCCOM]</v>
      </c>
      <c r="C24" s="160">
        <f>C23+E23</f>
        <v>0</v>
      </c>
      <c r="D24" s="188">
        <f>'SUB CPIF RATES (ALL)'!C39</f>
        <v>0</v>
      </c>
      <c r="E24" s="113">
        <f>ROUND(C24*D24,2)</f>
        <v>0</v>
      </c>
      <c r="F24" s="110"/>
      <c r="G24" s="160">
        <f>G23+I23</f>
        <v>0</v>
      </c>
      <c r="H24" s="188">
        <f>'SUB CPIF RATES (ALL)'!D39</f>
        <v>0</v>
      </c>
      <c r="I24" s="113">
        <f>ROUND(G24*H24,2)</f>
        <v>0</v>
      </c>
      <c r="J24" s="110"/>
      <c r="K24" s="160">
        <f>K23+M23</f>
        <v>0</v>
      </c>
      <c r="L24" s="188">
        <f>'SUB CPIF RATES (ALL)'!E39</f>
        <v>0</v>
      </c>
      <c r="M24" s="113">
        <f>ROUND(K24*L24,2)</f>
        <v>0</v>
      </c>
      <c r="N24" s="110"/>
      <c r="O24" s="160">
        <f>O23+Q23</f>
        <v>0</v>
      </c>
      <c r="P24" s="188">
        <f>'SUB CPIF RATES (ALL)'!F39</f>
        <v>0</v>
      </c>
      <c r="Q24" s="113">
        <f>ROUND(O24*P24,2)</f>
        <v>0</v>
      </c>
    </row>
    <row r="25" spans="1:17" x14ac:dyDescent="0.25">
      <c r="A25" s="138"/>
      <c r="B25" s="112" t="str">
        <f>'SUB CPIF RATES (ALL)'!B40</f>
        <v>Indirect Labor Category: [Target Fee]</v>
      </c>
      <c r="C25" s="160">
        <f>+C23+E23</f>
        <v>0</v>
      </c>
      <c r="D25" s="188">
        <f>'SUB CPIF RATES (ALL)'!C40</f>
        <v>0</v>
      </c>
      <c r="E25" s="113">
        <f>ROUND(C25*D25,2)</f>
        <v>0</v>
      </c>
      <c r="F25" s="110"/>
      <c r="G25" s="160">
        <f>+G23+I23</f>
        <v>0</v>
      </c>
      <c r="H25" s="188">
        <f>'SUB CPIF RATES (ALL)'!D40</f>
        <v>0</v>
      </c>
      <c r="I25" s="113">
        <f>ROUND(G25*H25,2)</f>
        <v>0</v>
      </c>
      <c r="J25" s="110"/>
      <c r="K25" s="160">
        <f>+K23+M23</f>
        <v>0</v>
      </c>
      <c r="L25" s="188">
        <f>'SUB CPIF RATES (ALL)'!E40</f>
        <v>0</v>
      </c>
      <c r="M25" s="113">
        <f>ROUND(K25*L25,2)</f>
        <v>0</v>
      </c>
      <c r="N25" s="110"/>
      <c r="O25" s="160">
        <f>+O23+Q23</f>
        <v>0</v>
      </c>
      <c r="P25" s="188">
        <f>'SUB CPIF RATES (ALL)'!F40</f>
        <v>0</v>
      </c>
      <c r="Q25" s="113">
        <f>ROUND(O25*P25,2)</f>
        <v>0</v>
      </c>
    </row>
    <row r="26" spans="1:17" x14ac:dyDescent="0.25">
      <c r="A26" s="138"/>
      <c r="B26" s="205" t="s">
        <v>185</v>
      </c>
      <c r="C26" s="155"/>
      <c r="D26" s="156"/>
      <c r="E26" s="175">
        <f>ROUND(SUM(E18,E21,E22,E23),2)</f>
        <v>0</v>
      </c>
      <c r="F26" s="110"/>
      <c r="G26" s="151"/>
      <c r="H26" s="152"/>
      <c r="I26" s="175">
        <f>ROUND(SUM(I18,I21,I22,I23),2)</f>
        <v>0</v>
      </c>
      <c r="J26" s="110"/>
      <c r="K26" s="151"/>
      <c r="L26" s="152"/>
      <c r="M26" s="175">
        <f>ROUND(SUM(M18,M21,M22,M23),2)</f>
        <v>0</v>
      </c>
      <c r="N26" s="110"/>
      <c r="O26" s="151"/>
      <c r="P26" s="152"/>
      <c r="Q26" s="175">
        <f>ROUND(SUM(Q18,Q21,Q22,Q23),2)</f>
        <v>0</v>
      </c>
    </row>
    <row r="27" spans="1:17" x14ac:dyDescent="0.25">
      <c r="A27" s="138"/>
      <c r="B27" s="205" t="s">
        <v>72</v>
      </c>
      <c r="C27" s="155"/>
      <c r="D27" s="156"/>
      <c r="E27" s="175">
        <f>ROUND(E24,2)</f>
        <v>0</v>
      </c>
      <c r="F27" s="110"/>
      <c r="G27" s="151"/>
      <c r="H27" s="152"/>
      <c r="I27" s="175">
        <f>ROUND(I24,2)</f>
        <v>0</v>
      </c>
      <c r="J27" s="110"/>
      <c r="K27" s="151"/>
      <c r="L27" s="152"/>
      <c r="M27" s="175">
        <f>ROUND(M24,2)</f>
        <v>0</v>
      </c>
      <c r="N27" s="110"/>
      <c r="O27" s="151"/>
      <c r="P27" s="152"/>
      <c r="Q27" s="175">
        <f>ROUND(Q24,2)</f>
        <v>0</v>
      </c>
    </row>
    <row r="28" spans="1:17" x14ac:dyDescent="0.25">
      <c r="A28" s="138"/>
      <c r="B28" s="205" t="s">
        <v>71</v>
      </c>
      <c r="C28" s="155"/>
      <c r="D28" s="156"/>
      <c r="E28" s="190">
        <f>ROUND(E25,2)</f>
        <v>0</v>
      </c>
      <c r="F28" s="115"/>
      <c r="G28" s="151"/>
      <c r="H28" s="152"/>
      <c r="I28" s="190">
        <f>ROUND(I25,2)</f>
        <v>0</v>
      </c>
      <c r="J28" s="115"/>
      <c r="K28" s="151"/>
      <c r="L28" s="152"/>
      <c r="M28" s="190">
        <f>ROUND(M25,2)</f>
        <v>0</v>
      </c>
      <c r="N28" s="115"/>
      <c r="O28" s="151"/>
      <c r="P28" s="152"/>
      <c r="Q28" s="190">
        <f>ROUND(Q25,2)</f>
        <v>0</v>
      </c>
    </row>
    <row r="29" spans="1:17" ht="16.5" thickBot="1" x14ac:dyDescent="0.3">
      <c r="A29" s="138"/>
      <c r="B29" s="206" t="s">
        <v>73</v>
      </c>
      <c r="C29" s="157"/>
      <c r="D29" s="158"/>
      <c r="E29" s="191">
        <f>ROUND(SUM(E26:E28),2)</f>
        <v>0</v>
      </c>
      <c r="F29" s="116"/>
      <c r="G29" s="153"/>
      <c r="H29" s="154"/>
      <c r="I29" s="191">
        <f>ROUND(SUM(I26:I28),2)</f>
        <v>0</v>
      </c>
      <c r="J29" s="116"/>
      <c r="K29" s="153"/>
      <c r="L29" s="154"/>
      <c r="M29" s="191">
        <f>ROUND(SUM(M26:M28),2)</f>
        <v>0</v>
      </c>
      <c r="N29" s="116"/>
      <c r="O29" s="153"/>
      <c r="P29" s="154"/>
      <c r="Q29" s="191">
        <f>ROUND(SUM(Q26:Q28),2)</f>
        <v>0</v>
      </c>
    </row>
    <row r="30" spans="1:17" ht="16.5" thickBot="1" x14ac:dyDescent="0.3">
      <c r="A30" s="138"/>
      <c r="B30" s="117"/>
      <c r="C30" s="118"/>
      <c r="D30" s="118"/>
      <c r="E30" s="199"/>
      <c r="F30" s="199"/>
      <c r="G30" s="199"/>
      <c r="H30" s="199"/>
      <c r="I30" s="199"/>
      <c r="J30" s="199"/>
      <c r="K30" s="199"/>
      <c r="L30" s="118"/>
      <c r="M30" s="118"/>
      <c r="N30" s="110"/>
      <c r="O30" s="199"/>
      <c r="P30" s="118"/>
      <c r="Q30" s="118"/>
    </row>
    <row r="31" spans="1:17" ht="16.5" customHeight="1" thickBot="1" x14ac:dyDescent="0.3">
      <c r="A31" s="138"/>
      <c r="B31" s="523" t="str">
        <f>B14</f>
        <v>CLIN 0001 (CPIF)                                                    TASK 1.10 AIRCREW AND MAINTENANCE TRAINING</v>
      </c>
      <c r="C31" s="490" t="s">
        <v>80</v>
      </c>
      <c r="D31" s="491"/>
      <c r="E31" s="492"/>
      <c r="F31" s="120"/>
      <c r="G31" s="490" t="s">
        <v>80</v>
      </c>
      <c r="H31" s="491"/>
      <c r="I31" s="492"/>
      <c r="J31" s="120"/>
      <c r="K31" s="490" t="s">
        <v>80</v>
      </c>
      <c r="L31" s="491"/>
      <c r="M31" s="492"/>
      <c r="N31" s="120"/>
      <c r="O31" s="490" t="s">
        <v>80</v>
      </c>
      <c r="P31" s="491"/>
      <c r="Q31" s="492"/>
    </row>
    <row r="32" spans="1:17" ht="32.25" customHeight="1" thickBot="1" x14ac:dyDescent="0.3">
      <c r="A32" s="138"/>
      <c r="B32" s="524"/>
      <c r="C32" s="520" t="str">
        <f>C15</f>
        <v>CLIN 0001 - Basic Period (Year 1)</v>
      </c>
      <c r="D32" s="521"/>
      <c r="E32" s="522"/>
      <c r="F32" s="121"/>
      <c r="G32" s="520" t="str">
        <f>G15</f>
        <v>CLIN 0001 - Basic Period (Year 2)</v>
      </c>
      <c r="H32" s="521"/>
      <c r="I32" s="522"/>
      <c r="J32" s="121"/>
      <c r="K32" s="520" t="str">
        <f>K15</f>
        <v>CLIN 0001 - Basic Period (Year 3)</v>
      </c>
      <c r="L32" s="521"/>
      <c r="M32" s="522"/>
      <c r="N32" s="121"/>
      <c r="O32" s="520" t="str">
        <f>O15</f>
        <v>CLIN 0001 - Basic Period (Year 4)</v>
      </c>
      <c r="P32" s="521"/>
      <c r="Q32" s="522"/>
    </row>
    <row r="33" spans="1:17" x14ac:dyDescent="0.25">
      <c r="A33" s="138"/>
      <c r="B33" s="192"/>
      <c r="C33" s="98" t="s">
        <v>289</v>
      </c>
      <c r="D33" s="99" t="s">
        <v>286</v>
      </c>
      <c r="E33" s="100" t="s">
        <v>88</v>
      </c>
      <c r="F33" s="111"/>
      <c r="G33" s="98" t="s">
        <v>289</v>
      </c>
      <c r="H33" s="99" t="s">
        <v>286</v>
      </c>
      <c r="I33" s="100" t="s">
        <v>88</v>
      </c>
      <c r="J33" s="111"/>
      <c r="K33" s="98" t="s">
        <v>289</v>
      </c>
      <c r="L33" s="99" t="s">
        <v>286</v>
      </c>
      <c r="M33" s="100" t="s">
        <v>88</v>
      </c>
      <c r="N33" s="111"/>
      <c r="O33" s="98" t="s">
        <v>289</v>
      </c>
      <c r="P33" s="99" t="s">
        <v>286</v>
      </c>
      <c r="Q33" s="100" t="s">
        <v>88</v>
      </c>
    </row>
    <row r="34" spans="1:17" ht="51.75" x14ac:dyDescent="0.25">
      <c r="A34" s="138"/>
      <c r="B34" s="240" t="s">
        <v>445</v>
      </c>
      <c r="C34" s="176"/>
      <c r="D34" s="177"/>
      <c r="E34" s="310">
        <f>'SUB CPIF TOTAL MATERIAL'!E21</f>
        <v>0</v>
      </c>
      <c r="F34" s="110"/>
      <c r="G34" s="176"/>
      <c r="H34" s="177"/>
      <c r="I34" s="310">
        <f>'SUB CPIF TOTAL MATERIAL'!G21</f>
        <v>0</v>
      </c>
      <c r="J34" s="110"/>
      <c r="K34" s="176"/>
      <c r="L34" s="177"/>
      <c r="M34" s="310">
        <f>'SUB CPIF TOTAL MATERIAL'!I21</f>
        <v>0</v>
      </c>
      <c r="N34" s="110"/>
      <c r="O34" s="176"/>
      <c r="P34" s="177"/>
      <c r="Q34" s="310">
        <f>'SUB CPIF TOTAL MATERIAL'!K21</f>
        <v>0</v>
      </c>
    </row>
    <row r="35" spans="1:17" ht="67.5" customHeight="1" x14ac:dyDescent="0.25">
      <c r="A35" s="138"/>
      <c r="B35" s="261" t="s">
        <v>446</v>
      </c>
      <c r="C35" s="315"/>
      <c r="D35" s="316"/>
      <c r="E35" s="310"/>
      <c r="F35" s="110"/>
      <c r="G35" s="315"/>
      <c r="H35" s="316"/>
      <c r="I35" s="310"/>
      <c r="J35" s="110"/>
      <c r="K35" s="315"/>
      <c r="L35" s="316"/>
      <c r="M35" s="310"/>
      <c r="N35" s="110"/>
      <c r="O35" s="315"/>
      <c r="P35" s="316"/>
      <c r="Q35" s="310"/>
    </row>
    <row r="36" spans="1:17" x14ac:dyDescent="0.25">
      <c r="A36" s="138"/>
      <c r="B36" s="112" t="str">
        <f>'SUB CPIF RATES (ALL)'!B53</f>
        <v>Indirect Category: [Material Overhead]</v>
      </c>
      <c r="C36" s="160">
        <f>+E34</f>
        <v>0</v>
      </c>
      <c r="D36" s="188">
        <f>'SUB CPIF RATES (ALL)'!C53</f>
        <v>0</v>
      </c>
      <c r="E36" s="113">
        <f>ROUND(C36*D36,2)</f>
        <v>0</v>
      </c>
      <c r="F36" s="123"/>
      <c r="G36" s="160">
        <f>+I34</f>
        <v>0</v>
      </c>
      <c r="H36" s="188">
        <f>'SUB CPIF RATES (ALL)'!D53</f>
        <v>0</v>
      </c>
      <c r="I36" s="113">
        <f>ROUND(G36*H36,2)</f>
        <v>0</v>
      </c>
      <c r="J36" s="123"/>
      <c r="K36" s="160">
        <f>+M34</f>
        <v>0</v>
      </c>
      <c r="L36" s="188">
        <f>'SUB CPIF RATES (ALL)'!E53</f>
        <v>0</v>
      </c>
      <c r="M36" s="113">
        <f>ROUND(K36*L36,2)</f>
        <v>0</v>
      </c>
      <c r="N36" s="123"/>
      <c r="O36" s="160">
        <f>+Q34</f>
        <v>0</v>
      </c>
      <c r="P36" s="188">
        <f>'SUB CPIF RATES (ALL)'!F53</f>
        <v>0</v>
      </c>
      <c r="Q36" s="113">
        <f>ROUND(O36*P36,2)</f>
        <v>0</v>
      </c>
    </row>
    <row r="37" spans="1:17" x14ac:dyDescent="0.25">
      <c r="A37" s="138"/>
      <c r="B37" s="112" t="str">
        <f>'SUB CPIF RATES (ALL)'!B54</f>
        <v>Indirect Category: [G&amp;A]</v>
      </c>
      <c r="C37" s="160">
        <f>+C36+E36</f>
        <v>0</v>
      </c>
      <c r="D37" s="188">
        <f>'SUB CPIF RATES (ALL)'!C54</f>
        <v>0</v>
      </c>
      <c r="E37" s="113">
        <f>ROUND(C37*D37,2)</f>
        <v>0</v>
      </c>
      <c r="F37" s="123"/>
      <c r="G37" s="160">
        <f>+G36+I36</f>
        <v>0</v>
      </c>
      <c r="H37" s="188">
        <f>'SUB CPIF RATES (ALL)'!D54</f>
        <v>0</v>
      </c>
      <c r="I37" s="113">
        <f>ROUND(G37*H37,2)</f>
        <v>0</v>
      </c>
      <c r="J37" s="123"/>
      <c r="K37" s="160">
        <f>+K36+M36</f>
        <v>0</v>
      </c>
      <c r="L37" s="188">
        <f>'SUB CPIF RATES (ALL)'!E54</f>
        <v>0</v>
      </c>
      <c r="M37" s="113">
        <f>ROUND(K37*L37,2)</f>
        <v>0</v>
      </c>
      <c r="N37" s="123"/>
      <c r="O37" s="160">
        <f>+O36+Q36</f>
        <v>0</v>
      </c>
      <c r="P37" s="188">
        <f>'SUB CPIF RATES (ALL)'!F54</f>
        <v>0</v>
      </c>
      <c r="Q37" s="113">
        <f>ROUND(O37*P37,2)</f>
        <v>0</v>
      </c>
    </row>
    <row r="38" spans="1:17" x14ac:dyDescent="0.25">
      <c r="A38" s="138"/>
      <c r="B38" s="112" t="str">
        <f>'SUB CPIF RATES (ALL)'!B55</f>
        <v>Indirect Category: [FCCOM]</v>
      </c>
      <c r="C38" s="160">
        <f>C37+E37</f>
        <v>0</v>
      </c>
      <c r="D38" s="188">
        <f>'SUB CPIF RATES (ALL)'!C55</f>
        <v>0</v>
      </c>
      <c r="E38" s="113">
        <f>ROUND(C38*D38,2)</f>
        <v>0</v>
      </c>
      <c r="F38" s="110"/>
      <c r="G38" s="160">
        <f>G37+I37</f>
        <v>0</v>
      </c>
      <c r="H38" s="188">
        <f>'SUB CPIF RATES (ALL)'!D55</f>
        <v>0</v>
      </c>
      <c r="I38" s="113">
        <f>ROUND(G38*H38,2)</f>
        <v>0</v>
      </c>
      <c r="J38" s="110"/>
      <c r="K38" s="160">
        <f>K37+M37</f>
        <v>0</v>
      </c>
      <c r="L38" s="188">
        <f>'SUB CPIF RATES (ALL)'!E55</f>
        <v>0</v>
      </c>
      <c r="M38" s="113">
        <f>ROUND(K38*L38,2)</f>
        <v>0</v>
      </c>
      <c r="N38" s="110"/>
      <c r="O38" s="160">
        <f>O37+Q37</f>
        <v>0</v>
      </c>
      <c r="P38" s="188">
        <f>'SUB CPIF RATES (ALL)'!F55</f>
        <v>0</v>
      </c>
      <c r="Q38" s="113">
        <f>ROUND(O38*P38,2)</f>
        <v>0</v>
      </c>
    </row>
    <row r="39" spans="1:17" x14ac:dyDescent="0.25">
      <c r="A39" s="138"/>
      <c r="B39" s="112" t="str">
        <f>'SUB CPIF RATES (ALL)'!B56</f>
        <v>Indirect Category: [Target Fee]</v>
      </c>
      <c r="C39" s="160">
        <f>+C37+E37</f>
        <v>0</v>
      </c>
      <c r="D39" s="188">
        <f>'SUB CPIF RATES (ALL)'!C56</f>
        <v>0</v>
      </c>
      <c r="E39" s="113">
        <f>ROUND(C39*D39,2)</f>
        <v>0</v>
      </c>
      <c r="F39" s="110"/>
      <c r="G39" s="160">
        <f>+G37+I37</f>
        <v>0</v>
      </c>
      <c r="H39" s="188">
        <f>'SUB CPIF RATES (ALL)'!D56</f>
        <v>0</v>
      </c>
      <c r="I39" s="113">
        <f>ROUND(G39*H39,2)</f>
        <v>0</v>
      </c>
      <c r="J39" s="110"/>
      <c r="K39" s="160">
        <f>+K37+M37</f>
        <v>0</v>
      </c>
      <c r="L39" s="188">
        <f>'SUB CPIF RATES (ALL)'!E56</f>
        <v>0</v>
      </c>
      <c r="M39" s="113">
        <f>ROUND(K39*L39,2)</f>
        <v>0</v>
      </c>
      <c r="N39" s="110"/>
      <c r="O39" s="160">
        <f>+O37+Q37</f>
        <v>0</v>
      </c>
      <c r="P39" s="188">
        <f>'SUB CPIF RATES (ALL)'!F56</f>
        <v>0</v>
      </c>
      <c r="Q39" s="113">
        <f>ROUND(O39*P39,2)</f>
        <v>0</v>
      </c>
    </row>
    <row r="40" spans="1:17" x14ac:dyDescent="0.25">
      <c r="A40" s="138"/>
      <c r="B40" s="186" t="s">
        <v>186</v>
      </c>
      <c r="C40" s="178"/>
      <c r="D40" s="179"/>
      <c r="E40" s="113">
        <f>ROUND(SUM(E34:E37),2)</f>
        <v>0</v>
      </c>
      <c r="F40" s="110"/>
      <c r="G40" s="178"/>
      <c r="H40" s="179"/>
      <c r="I40" s="113">
        <f>ROUND(SUM(I34:I37),2)</f>
        <v>0</v>
      </c>
      <c r="J40" s="110"/>
      <c r="K40" s="178"/>
      <c r="L40" s="179"/>
      <c r="M40" s="113">
        <f>ROUND(SUM(M34:M37),2)</f>
        <v>0</v>
      </c>
      <c r="N40" s="110"/>
      <c r="O40" s="178"/>
      <c r="P40" s="179"/>
      <c r="Q40" s="113">
        <f>ROUND(SUM(Q34:Q37),2)</f>
        <v>0</v>
      </c>
    </row>
    <row r="41" spans="1:17" x14ac:dyDescent="0.25">
      <c r="A41" s="138"/>
      <c r="B41" s="186" t="s">
        <v>72</v>
      </c>
      <c r="C41" s="176"/>
      <c r="D41" s="180"/>
      <c r="E41" s="113">
        <f>ROUND(E38,2)</f>
        <v>0</v>
      </c>
      <c r="F41" s="110"/>
      <c r="G41" s="176"/>
      <c r="H41" s="180"/>
      <c r="I41" s="113">
        <f>ROUND(I38,2)</f>
        <v>0</v>
      </c>
      <c r="J41" s="110"/>
      <c r="K41" s="176"/>
      <c r="L41" s="180"/>
      <c r="M41" s="113">
        <f>ROUND(M38,2)</f>
        <v>0</v>
      </c>
      <c r="N41" s="110"/>
      <c r="O41" s="176"/>
      <c r="P41" s="180"/>
      <c r="Q41" s="113">
        <f>ROUND(Q38,2)</f>
        <v>0</v>
      </c>
    </row>
    <row r="42" spans="1:17" x14ac:dyDescent="0.2">
      <c r="B42" s="186" t="s">
        <v>71</v>
      </c>
      <c r="C42" s="176"/>
      <c r="D42" s="180"/>
      <c r="E42" s="127">
        <f>ROUND(E39,2)</f>
        <v>0</v>
      </c>
      <c r="F42" s="128"/>
      <c r="G42" s="176"/>
      <c r="H42" s="180"/>
      <c r="I42" s="127">
        <f>ROUND(I39,2)</f>
        <v>0</v>
      </c>
      <c r="J42" s="128"/>
      <c r="K42" s="176"/>
      <c r="L42" s="180"/>
      <c r="M42" s="127">
        <f>ROUND(M39,2)</f>
        <v>0</v>
      </c>
      <c r="N42" s="128"/>
      <c r="O42" s="176"/>
      <c r="P42" s="180"/>
      <c r="Q42" s="127">
        <f>ROUND(Q39,2)</f>
        <v>0</v>
      </c>
    </row>
    <row r="43" spans="1:17" ht="16.5" thickBot="1" x14ac:dyDescent="0.25">
      <c r="B43" s="187" t="s">
        <v>173</v>
      </c>
      <c r="C43" s="181"/>
      <c r="D43" s="182"/>
      <c r="E43" s="105">
        <f>SUM(E40:E42)</f>
        <v>0</v>
      </c>
      <c r="F43" s="106"/>
      <c r="G43" s="181"/>
      <c r="H43" s="182"/>
      <c r="I43" s="105">
        <f>SUM(I40:I42)</f>
        <v>0</v>
      </c>
      <c r="J43" s="106"/>
      <c r="K43" s="181"/>
      <c r="L43" s="182"/>
      <c r="M43" s="105">
        <f>SUM(M40:M42)</f>
        <v>0</v>
      </c>
      <c r="N43" s="106"/>
      <c r="O43" s="181"/>
      <c r="P43" s="182"/>
      <c r="Q43" s="105">
        <f>SUM(Q40:Q42)</f>
        <v>0</v>
      </c>
    </row>
    <row r="44" spans="1:17" ht="16.5" thickBot="1" x14ac:dyDescent="0.25">
      <c r="B44" s="117"/>
      <c r="E44" s="194"/>
      <c r="F44" s="194"/>
      <c r="G44" s="194"/>
      <c r="H44" s="194"/>
      <c r="I44" s="194"/>
      <c r="J44" s="194"/>
      <c r="K44" s="194"/>
      <c r="N44" s="132"/>
      <c r="O44" s="194"/>
    </row>
    <row r="45" spans="1:17" ht="16.5" thickBot="1" x14ac:dyDescent="0.3">
      <c r="B45" s="523" t="str">
        <f>B14</f>
        <v>CLIN 0001 (CPIF)                                                    TASK 1.10 AIRCREW AND MAINTENANCE TRAINING</v>
      </c>
      <c r="C45" s="490" t="s">
        <v>212</v>
      </c>
      <c r="D45" s="491"/>
      <c r="E45" s="492"/>
      <c r="F45" s="120"/>
      <c r="G45" s="490" t="s">
        <v>212</v>
      </c>
      <c r="H45" s="491"/>
      <c r="I45" s="492"/>
      <c r="J45" s="120"/>
      <c r="K45" s="490" t="s">
        <v>212</v>
      </c>
      <c r="L45" s="491"/>
      <c r="M45" s="492"/>
      <c r="N45" s="120"/>
      <c r="O45" s="490" t="s">
        <v>212</v>
      </c>
      <c r="P45" s="491"/>
      <c r="Q45" s="492"/>
    </row>
    <row r="46" spans="1:17" ht="27.75" customHeight="1" thickBot="1" x14ac:dyDescent="0.3">
      <c r="B46" s="524"/>
      <c r="C46" s="520" t="str">
        <f>C32</f>
        <v>CLIN 0001 - Basic Period (Year 1)</v>
      </c>
      <c r="D46" s="521"/>
      <c r="E46" s="522"/>
      <c r="F46" s="121"/>
      <c r="G46" s="520" t="str">
        <f>G32</f>
        <v>CLIN 0001 - Basic Period (Year 2)</v>
      </c>
      <c r="H46" s="521"/>
      <c r="I46" s="522"/>
      <c r="J46" s="121"/>
      <c r="K46" s="520" t="str">
        <f>K32</f>
        <v>CLIN 0001 - Basic Period (Year 3)</v>
      </c>
      <c r="L46" s="521"/>
      <c r="M46" s="522"/>
      <c r="N46" s="121"/>
      <c r="O46" s="520" t="str">
        <f>O32</f>
        <v>CLIN 0001 - Basic Period (Year 4)</v>
      </c>
      <c r="P46" s="521"/>
      <c r="Q46" s="522"/>
    </row>
    <row r="47" spans="1:17" x14ac:dyDescent="0.25">
      <c r="B47" s="193"/>
      <c r="C47" s="98" t="s">
        <v>289</v>
      </c>
      <c r="D47" s="99" t="s">
        <v>286</v>
      </c>
      <c r="E47" s="100" t="s">
        <v>287</v>
      </c>
      <c r="F47" s="111"/>
      <c r="G47" s="98" t="s">
        <v>289</v>
      </c>
      <c r="H47" s="99" t="s">
        <v>286</v>
      </c>
      <c r="I47" s="100" t="s">
        <v>287</v>
      </c>
      <c r="J47" s="111"/>
      <c r="K47" s="98" t="s">
        <v>289</v>
      </c>
      <c r="L47" s="99" t="s">
        <v>286</v>
      </c>
      <c r="M47" s="100" t="s">
        <v>287</v>
      </c>
      <c r="N47" s="111"/>
      <c r="O47" s="98" t="s">
        <v>289</v>
      </c>
      <c r="P47" s="99" t="s">
        <v>286</v>
      </c>
      <c r="Q47" s="100" t="s">
        <v>287</v>
      </c>
    </row>
    <row r="48" spans="1:17" ht="25.5" x14ac:dyDescent="0.2">
      <c r="B48" s="240" t="s">
        <v>447</v>
      </c>
      <c r="C48" s="226"/>
      <c r="D48" s="226"/>
      <c r="E48" s="262">
        <f>'SUB CPIF TOTAL SUB'!E21</f>
        <v>0</v>
      </c>
      <c r="F48" s="229"/>
      <c r="G48" s="176"/>
      <c r="H48" s="226"/>
      <c r="I48" s="262">
        <f>'SUB CPIF TOTAL SUB'!G21</f>
        <v>0</v>
      </c>
      <c r="J48" s="229"/>
      <c r="K48" s="176"/>
      <c r="L48" s="226"/>
      <c r="M48" s="262">
        <f>'SUB CPIF TOTAL SUB'!I21</f>
        <v>0</v>
      </c>
      <c r="N48" s="110"/>
      <c r="O48" s="176"/>
      <c r="P48" s="226"/>
      <c r="Q48" s="262">
        <f>'SUB CPIF TOTAL SUB'!K21</f>
        <v>0</v>
      </c>
    </row>
    <row r="49" spans="1:17" ht="76.5" x14ac:dyDescent="0.2">
      <c r="B49" s="261" t="s">
        <v>448</v>
      </c>
      <c r="C49" s="527" t="s">
        <v>1</v>
      </c>
      <c r="D49" s="528"/>
      <c r="E49" s="529"/>
      <c r="F49" s="123"/>
      <c r="G49" s="530"/>
      <c r="H49" s="528"/>
      <c r="I49" s="529"/>
      <c r="J49" s="123"/>
      <c r="K49" s="530"/>
      <c r="L49" s="528"/>
      <c r="M49" s="529"/>
      <c r="N49" s="123"/>
      <c r="O49" s="530"/>
      <c r="P49" s="528"/>
      <c r="Q49" s="529"/>
    </row>
    <row r="50" spans="1:17" x14ac:dyDescent="0.2">
      <c r="B50" s="228" t="str">
        <f>'SUB CPIF RATES (ALL)'!B45</f>
        <v>Indirect Category: [Overhead]</v>
      </c>
      <c r="C50" s="227">
        <f>E48</f>
        <v>0</v>
      </c>
      <c r="D50" s="188">
        <f>'SUB CPIF RATES (ALL)'!C45</f>
        <v>0</v>
      </c>
      <c r="E50" s="113">
        <f>ROUND(C50*D50,2)</f>
        <v>0</v>
      </c>
      <c r="F50" s="123"/>
      <c r="G50" s="160">
        <f>I48</f>
        <v>0</v>
      </c>
      <c r="H50" s="188">
        <f>'SUB CPIF RATES (ALL)'!D45</f>
        <v>0</v>
      </c>
      <c r="I50" s="113">
        <f>ROUND(G50*H50,2)</f>
        <v>0</v>
      </c>
      <c r="J50" s="123"/>
      <c r="K50" s="160">
        <f>M48</f>
        <v>0</v>
      </c>
      <c r="L50" s="188">
        <f>'SUB CPIF RATES (ALL)'!E45</f>
        <v>0</v>
      </c>
      <c r="M50" s="113">
        <f>ROUND(K50*L50,2)</f>
        <v>0</v>
      </c>
      <c r="N50" s="123"/>
      <c r="O50" s="160">
        <f>Q48</f>
        <v>0</v>
      </c>
      <c r="P50" s="188">
        <f>'SUB CPIF RATES (ALL)'!F45</f>
        <v>0</v>
      </c>
      <c r="Q50" s="113">
        <f>ROUND(O50*P50,2)</f>
        <v>0</v>
      </c>
    </row>
    <row r="51" spans="1:17" x14ac:dyDescent="0.2">
      <c r="B51" s="228" t="str">
        <f>'SUB CPIF RATES (ALL)'!B46</f>
        <v>Indirect Category: [G&amp;A]</v>
      </c>
      <c r="C51" s="227">
        <f>C50+E50</f>
        <v>0</v>
      </c>
      <c r="D51" s="188">
        <f>'SUB CPIF RATES (ALL)'!C46</f>
        <v>0</v>
      </c>
      <c r="E51" s="113">
        <f>ROUND(C51*D51,2)</f>
        <v>0</v>
      </c>
      <c r="F51" s="229"/>
      <c r="G51" s="227">
        <f>G50+I50</f>
        <v>0</v>
      </c>
      <c r="H51" s="188">
        <f>'SUB CPIF RATES (ALL)'!D46</f>
        <v>0</v>
      </c>
      <c r="I51" s="113">
        <f>ROUND(G51*H51,2)</f>
        <v>0</v>
      </c>
      <c r="J51" s="229"/>
      <c r="K51" s="227">
        <f>K50+M50</f>
        <v>0</v>
      </c>
      <c r="L51" s="188">
        <f>'SUB CPIF RATES (ALL)'!E46</f>
        <v>0</v>
      </c>
      <c r="M51" s="113">
        <f>ROUND(K51*L51,2)</f>
        <v>0</v>
      </c>
      <c r="N51" s="110"/>
      <c r="O51" s="227">
        <f>O50+Q50</f>
        <v>0</v>
      </c>
      <c r="P51" s="188">
        <f>'SUB CPIF RATES (ALL)'!F46</f>
        <v>0</v>
      </c>
      <c r="Q51" s="113">
        <f>ROUND(O51*P51,2)</f>
        <v>0</v>
      </c>
    </row>
    <row r="52" spans="1:17" x14ac:dyDescent="0.2">
      <c r="B52" s="266" t="str">
        <f>'SUB CPIF RATES (ALL)'!B47</f>
        <v>Indirect Category: [FCCOM]</v>
      </c>
      <c r="C52" s="160">
        <f>C51+E51</f>
        <v>0</v>
      </c>
      <c r="D52" s="188">
        <f>'SUB CPIF RATES (ALL)'!C47</f>
        <v>0</v>
      </c>
      <c r="E52" s="268">
        <f>ROUND(C52*D52,2)</f>
        <v>0</v>
      </c>
      <c r="F52" s="229"/>
      <c r="G52" s="160">
        <f>G51+I51</f>
        <v>0</v>
      </c>
      <c r="H52" s="188">
        <f>'SUB CPIF RATES (ALL)'!D47</f>
        <v>0</v>
      </c>
      <c r="I52" s="268">
        <f>ROUND(G52*H52,2)</f>
        <v>0</v>
      </c>
      <c r="J52" s="229"/>
      <c r="K52" s="160">
        <f>K51+M51</f>
        <v>0</v>
      </c>
      <c r="L52" s="188">
        <f>'SUB CPIF RATES (ALL)'!E47</f>
        <v>0</v>
      </c>
      <c r="M52" s="268">
        <f>ROUND(K52*L52,2)</f>
        <v>0</v>
      </c>
      <c r="N52" s="110"/>
      <c r="O52" s="160">
        <f>O51+Q51</f>
        <v>0</v>
      </c>
      <c r="P52" s="188">
        <f>'SUB CPIF RATES (ALL)'!F47</f>
        <v>0</v>
      </c>
      <c r="Q52" s="268">
        <f>ROUND(O52*P52,2)</f>
        <v>0</v>
      </c>
    </row>
    <row r="53" spans="1:17" x14ac:dyDescent="0.2">
      <c r="B53" s="112" t="str">
        <f>'SUB CPIF RATES (ALL)'!B48</f>
        <v>Indirect Category: [Target Fee]</v>
      </c>
      <c r="C53" s="159">
        <f>C51+E51</f>
        <v>0</v>
      </c>
      <c r="D53" s="269">
        <f>'SUB CPIF RATES (ALL)'!C48</f>
        <v>0</v>
      </c>
      <c r="E53" s="268">
        <f>ROUND(C53*D53,2)</f>
        <v>0</v>
      </c>
      <c r="F53" s="229"/>
      <c r="G53" s="159">
        <f>G51+I51</f>
        <v>0</v>
      </c>
      <c r="H53" s="269">
        <f>'SUB CPIF RATES (ALL)'!D48</f>
        <v>0</v>
      </c>
      <c r="I53" s="268">
        <f>ROUND(G53*H53,2)</f>
        <v>0</v>
      </c>
      <c r="J53" s="229"/>
      <c r="K53" s="159">
        <f>K51+M51</f>
        <v>0</v>
      </c>
      <c r="L53" s="269">
        <f>'SUB CPIF RATES (ALL)'!E48</f>
        <v>0</v>
      </c>
      <c r="M53" s="268">
        <f>ROUND(K53*L53,2)</f>
        <v>0</v>
      </c>
      <c r="N53" s="110"/>
      <c r="O53" s="159">
        <f>O51+Q51</f>
        <v>0</v>
      </c>
      <c r="P53" s="269">
        <f>'SUB CPIF RATES (ALL)'!F48</f>
        <v>0</v>
      </c>
      <c r="Q53" s="268">
        <f>ROUND(O53*P53,2)</f>
        <v>0</v>
      </c>
    </row>
    <row r="54" spans="1:17" x14ac:dyDescent="0.2">
      <c r="B54" s="186" t="s">
        <v>214</v>
      </c>
      <c r="C54" s="178"/>
      <c r="D54" s="179"/>
      <c r="E54" s="113">
        <f>ROUND(E48+E50+E51,2)</f>
        <v>0</v>
      </c>
      <c r="F54" s="229"/>
      <c r="G54" s="178"/>
      <c r="H54" s="179"/>
      <c r="I54" s="113">
        <f>ROUND(I48+I50+I51,2)</f>
        <v>0</v>
      </c>
      <c r="J54" s="229"/>
      <c r="K54" s="178"/>
      <c r="L54" s="179"/>
      <c r="M54" s="113">
        <f>ROUND(M48+M50+M51,2)</f>
        <v>0</v>
      </c>
      <c r="N54" s="110"/>
      <c r="O54" s="178"/>
      <c r="P54" s="179"/>
      <c r="Q54" s="113">
        <f>ROUND(Q48+Q50+Q51,2)</f>
        <v>0</v>
      </c>
    </row>
    <row r="55" spans="1:17" x14ac:dyDescent="0.2">
      <c r="B55" s="186" t="s">
        <v>204</v>
      </c>
      <c r="C55" s="176"/>
      <c r="D55" s="180"/>
      <c r="E55" s="113">
        <f>ROUND(E52,2)</f>
        <v>0</v>
      </c>
      <c r="F55" s="229"/>
      <c r="G55" s="176"/>
      <c r="H55" s="180"/>
      <c r="I55" s="113">
        <f>ROUND(I52,2)</f>
        <v>0</v>
      </c>
      <c r="J55" s="229"/>
      <c r="K55" s="176"/>
      <c r="L55" s="180"/>
      <c r="M55" s="113">
        <f>ROUND(M52,2)</f>
        <v>0</v>
      </c>
      <c r="N55" s="110"/>
      <c r="O55" s="176"/>
      <c r="P55" s="180"/>
      <c r="Q55" s="113">
        <f>ROUND(Q52,2)</f>
        <v>0</v>
      </c>
    </row>
    <row r="56" spans="1:17" x14ac:dyDescent="0.2">
      <c r="B56" s="186" t="s">
        <v>71</v>
      </c>
      <c r="C56" s="176"/>
      <c r="D56" s="180"/>
      <c r="E56" s="127">
        <f>ROUND(E53,2)</f>
        <v>0</v>
      </c>
      <c r="F56" s="128"/>
      <c r="G56" s="176"/>
      <c r="H56" s="180"/>
      <c r="I56" s="127">
        <f>ROUND(I53,2)</f>
        <v>0</v>
      </c>
      <c r="J56" s="128"/>
      <c r="K56" s="176"/>
      <c r="L56" s="180"/>
      <c r="M56" s="127">
        <f>ROUND(M53,2)</f>
        <v>0</v>
      </c>
      <c r="N56" s="128"/>
      <c r="O56" s="176"/>
      <c r="P56" s="180"/>
      <c r="Q56" s="127">
        <f>ROUND(Q53,2)</f>
        <v>0</v>
      </c>
    </row>
    <row r="57" spans="1:17" ht="16.5" thickBot="1" x14ac:dyDescent="0.25">
      <c r="B57" s="187" t="s">
        <v>215</v>
      </c>
      <c r="C57" s="181"/>
      <c r="D57" s="182"/>
      <c r="E57" s="105">
        <f>ROUND(SUM(E54:E56),2)</f>
        <v>0</v>
      </c>
      <c r="F57" s="106"/>
      <c r="G57" s="181"/>
      <c r="H57" s="182"/>
      <c r="I57" s="105">
        <f>ROUND(SUM(I54:I56),2)</f>
        <v>0</v>
      </c>
      <c r="J57" s="106"/>
      <c r="K57" s="181"/>
      <c r="L57" s="182"/>
      <c r="M57" s="105">
        <f>ROUND(SUM(M54:M56),2)</f>
        <v>0</v>
      </c>
      <c r="N57" s="106"/>
      <c r="O57" s="181"/>
      <c r="P57" s="182"/>
      <c r="Q57" s="105">
        <f>ROUND(SUM(Q54:Q56),2)</f>
        <v>0</v>
      </c>
    </row>
    <row r="58" spans="1:17" ht="16.5" thickBot="1" x14ac:dyDescent="0.25">
      <c r="B58" s="117"/>
      <c r="E58" s="194"/>
      <c r="F58" s="194"/>
      <c r="G58" s="194"/>
      <c r="H58" s="194"/>
      <c r="I58" s="194"/>
      <c r="J58" s="194"/>
      <c r="K58" s="194"/>
      <c r="N58" s="132"/>
      <c r="O58" s="194"/>
    </row>
    <row r="59" spans="1:17" ht="16.5" customHeight="1" thickBot="1" x14ac:dyDescent="0.3">
      <c r="A59" s="138"/>
      <c r="B59" s="523" t="str">
        <f>B31</f>
        <v>CLIN 0001 (CPIF)                                                    TASK 1.10 AIRCREW AND MAINTENANCE TRAINING</v>
      </c>
      <c r="C59" s="490" t="s">
        <v>81</v>
      </c>
      <c r="D59" s="491"/>
      <c r="E59" s="492"/>
      <c r="F59" s="120"/>
      <c r="G59" s="490" t="s">
        <v>82</v>
      </c>
      <c r="H59" s="491"/>
      <c r="I59" s="492"/>
      <c r="J59" s="120"/>
      <c r="K59" s="490" t="s">
        <v>82</v>
      </c>
      <c r="L59" s="491"/>
      <c r="M59" s="492"/>
      <c r="N59" s="120"/>
      <c r="O59" s="490" t="s">
        <v>82</v>
      </c>
      <c r="P59" s="491"/>
      <c r="Q59" s="492"/>
    </row>
    <row r="60" spans="1:17" ht="33.75" customHeight="1" thickBot="1" x14ac:dyDescent="0.3">
      <c r="A60" s="138"/>
      <c r="B60" s="524"/>
      <c r="C60" s="520" t="str">
        <f>C32</f>
        <v>CLIN 0001 - Basic Period (Year 1)</v>
      </c>
      <c r="D60" s="521"/>
      <c r="E60" s="522"/>
      <c r="F60" s="121"/>
      <c r="G60" s="520" t="str">
        <f>G32</f>
        <v>CLIN 0001 - Basic Period (Year 2)</v>
      </c>
      <c r="H60" s="521"/>
      <c r="I60" s="522"/>
      <c r="J60" s="121"/>
      <c r="K60" s="520" t="str">
        <f>K32</f>
        <v>CLIN 0001 - Basic Period (Year 3)</v>
      </c>
      <c r="L60" s="521"/>
      <c r="M60" s="522"/>
      <c r="N60" s="121"/>
      <c r="O60" s="520" t="str">
        <f>O32</f>
        <v>CLIN 0001 - Basic Period (Year 4)</v>
      </c>
      <c r="P60" s="521"/>
      <c r="Q60" s="522"/>
    </row>
    <row r="61" spans="1:17" x14ac:dyDescent="0.25">
      <c r="A61" s="138"/>
      <c r="B61" s="193"/>
      <c r="C61" s="98" t="s">
        <v>289</v>
      </c>
      <c r="D61" s="99" t="s">
        <v>286</v>
      </c>
      <c r="E61" s="100" t="s">
        <v>89</v>
      </c>
      <c r="F61" s="111"/>
      <c r="G61" s="98" t="s">
        <v>289</v>
      </c>
      <c r="H61" s="99" t="s">
        <v>286</v>
      </c>
      <c r="I61" s="100" t="s">
        <v>89</v>
      </c>
      <c r="J61" s="111"/>
      <c r="K61" s="98" t="s">
        <v>289</v>
      </c>
      <c r="L61" s="99" t="s">
        <v>286</v>
      </c>
      <c r="M61" s="100" t="s">
        <v>89</v>
      </c>
      <c r="N61" s="111"/>
      <c r="O61" s="98" t="s">
        <v>289</v>
      </c>
      <c r="P61" s="99" t="s">
        <v>286</v>
      </c>
      <c r="Q61" s="100" t="s">
        <v>89</v>
      </c>
    </row>
    <row r="62" spans="1:17" ht="26.25" x14ac:dyDescent="0.25">
      <c r="A62" s="138"/>
      <c r="B62" s="240" t="s">
        <v>449</v>
      </c>
      <c r="C62" s="176"/>
      <c r="D62" s="226"/>
      <c r="E62" s="262">
        <f>'SUB CPIF TOTAL ODC'!E22</f>
        <v>0</v>
      </c>
      <c r="F62" s="229"/>
      <c r="G62" s="176"/>
      <c r="H62" s="226"/>
      <c r="I62" s="262">
        <f>'SUB CPIF TOTAL ODC'!G22</f>
        <v>0</v>
      </c>
      <c r="J62" s="229"/>
      <c r="K62" s="176"/>
      <c r="L62" s="226"/>
      <c r="M62" s="310">
        <f>'SUB CPIF TOTAL ODC'!I22</f>
        <v>0</v>
      </c>
      <c r="N62" s="229"/>
      <c r="O62" s="176"/>
      <c r="P62" s="226"/>
      <c r="Q62" s="310">
        <f>'SUB CPIF TOTAL ODC'!K22</f>
        <v>0</v>
      </c>
    </row>
    <row r="63" spans="1:17" ht="66" customHeight="1" x14ac:dyDescent="0.25">
      <c r="A63" s="138"/>
      <c r="B63" s="374" t="s">
        <v>450</v>
      </c>
      <c r="C63" s="314"/>
      <c r="D63" s="314"/>
      <c r="E63" s="313"/>
      <c r="F63" s="229"/>
      <c r="G63" s="315"/>
      <c r="H63" s="314"/>
      <c r="I63" s="313"/>
      <c r="J63" s="229"/>
      <c r="K63" s="315"/>
      <c r="L63" s="314"/>
      <c r="M63" s="310"/>
      <c r="N63" s="229"/>
      <c r="O63" s="315"/>
      <c r="P63" s="314"/>
      <c r="Q63" s="310"/>
    </row>
    <row r="64" spans="1:17" x14ac:dyDescent="0.25">
      <c r="A64" s="138"/>
      <c r="B64" s="112" t="s">
        <v>60</v>
      </c>
      <c r="C64" s="160">
        <f>+E62</f>
        <v>0</v>
      </c>
      <c r="D64" s="188">
        <f>'SUB CPIF RATES (ALL)'!C61</f>
        <v>0</v>
      </c>
      <c r="E64" s="113">
        <f>ROUND(C64*D64,2)</f>
        <v>0</v>
      </c>
      <c r="F64" s="123"/>
      <c r="G64" s="160">
        <f>+I62</f>
        <v>0</v>
      </c>
      <c r="H64" s="188">
        <f>'SUB CPIF RATES (ALL)'!D61</f>
        <v>0</v>
      </c>
      <c r="I64" s="113">
        <f>ROUND(G64*H64,2)</f>
        <v>0</v>
      </c>
      <c r="J64" s="123"/>
      <c r="K64" s="160">
        <f>+M62</f>
        <v>0</v>
      </c>
      <c r="L64" s="188">
        <f>'SUB CPIF RATES (ALL)'!E61</f>
        <v>0</v>
      </c>
      <c r="M64" s="113">
        <f>ROUND(K64*L64,2)</f>
        <v>0</v>
      </c>
      <c r="N64" s="123"/>
      <c r="O64" s="160">
        <f>+Q62</f>
        <v>0</v>
      </c>
      <c r="P64" s="188">
        <f>'SUB CPIF RATES (ALL)'!F61</f>
        <v>0</v>
      </c>
      <c r="Q64" s="113">
        <f>ROUND(O64*P64,2)</f>
        <v>0</v>
      </c>
    </row>
    <row r="65" spans="1:17" x14ac:dyDescent="0.25">
      <c r="A65" s="138"/>
      <c r="B65" s="112" t="s">
        <v>61</v>
      </c>
      <c r="C65" s="160">
        <f>+C64+E64</f>
        <v>0</v>
      </c>
      <c r="D65" s="188">
        <f>'SUB CPIF RATES (ALL)'!C62</f>
        <v>0</v>
      </c>
      <c r="E65" s="113">
        <f>ROUND(C65*D65,2)</f>
        <v>0</v>
      </c>
      <c r="F65" s="123"/>
      <c r="G65" s="160">
        <f>+G64+I64</f>
        <v>0</v>
      </c>
      <c r="H65" s="188">
        <f>'SUB CPIF RATES (ALL)'!D62</f>
        <v>0</v>
      </c>
      <c r="I65" s="113">
        <f>ROUND(G65*H65,2)</f>
        <v>0</v>
      </c>
      <c r="J65" s="123"/>
      <c r="K65" s="160">
        <f>+K64+M64</f>
        <v>0</v>
      </c>
      <c r="L65" s="188">
        <f>'SUB CPIF RATES (ALL)'!E62</f>
        <v>0</v>
      </c>
      <c r="M65" s="113">
        <f>ROUND(K65*L65,2)</f>
        <v>0</v>
      </c>
      <c r="N65" s="123"/>
      <c r="O65" s="160">
        <f>+O64+Q64</f>
        <v>0</v>
      </c>
      <c r="P65" s="188">
        <f>'SUB CPIF RATES (ALL)'!F62</f>
        <v>0</v>
      </c>
      <c r="Q65" s="113">
        <f>ROUND(O65*P65,2)</f>
        <v>0</v>
      </c>
    </row>
    <row r="66" spans="1:17" x14ac:dyDescent="0.25">
      <c r="A66" s="138"/>
      <c r="B66" s="112" t="s">
        <v>411</v>
      </c>
      <c r="C66" s="160">
        <f>C65+E65</f>
        <v>0</v>
      </c>
      <c r="D66" s="188">
        <f>'SUB CPIF RATES (ALL)'!C63</f>
        <v>0</v>
      </c>
      <c r="E66" s="113">
        <f>ROUND(C66*D66,2)</f>
        <v>0</v>
      </c>
      <c r="F66" s="229"/>
      <c r="G66" s="160">
        <f>G65+I65</f>
        <v>0</v>
      </c>
      <c r="H66" s="188">
        <f>'SUB CPIF RATES (ALL)'!D63</f>
        <v>0</v>
      </c>
      <c r="I66" s="113">
        <f>ROUND(G66*H66,2)</f>
        <v>0</v>
      </c>
      <c r="J66" s="229"/>
      <c r="K66" s="160">
        <f>K65+M65</f>
        <v>0</v>
      </c>
      <c r="L66" s="188">
        <f>'SUB CPIF RATES (ALL)'!E63</f>
        <v>0</v>
      </c>
      <c r="M66" s="113">
        <f>ROUND(K66*L66,2)</f>
        <v>0</v>
      </c>
      <c r="N66" s="229"/>
      <c r="O66" s="160">
        <f>O65+Q65</f>
        <v>0</v>
      </c>
      <c r="P66" s="188">
        <f>'SUB CPIF RATES (ALL)'!F63</f>
        <v>0</v>
      </c>
      <c r="Q66" s="113">
        <f>ROUND(O66*P66,2)</f>
        <v>0</v>
      </c>
    </row>
    <row r="67" spans="1:17" x14ac:dyDescent="0.25">
      <c r="A67" s="138"/>
      <c r="B67" s="112" t="s">
        <v>62</v>
      </c>
      <c r="C67" s="160">
        <f>+C65+E65</f>
        <v>0</v>
      </c>
      <c r="D67" s="269">
        <f>'SUB CPIF RATES (ALL)'!C64</f>
        <v>0</v>
      </c>
      <c r="E67" s="113">
        <f>ROUND(C67*D67,2)</f>
        <v>0</v>
      </c>
      <c r="F67" s="229"/>
      <c r="G67" s="160">
        <f>+G65+I65</f>
        <v>0</v>
      </c>
      <c r="H67" s="269">
        <f>'SUB CPIF RATES (ALL)'!D64</f>
        <v>0</v>
      </c>
      <c r="I67" s="113">
        <f>ROUND(G67*H67,2)</f>
        <v>0</v>
      </c>
      <c r="J67" s="229"/>
      <c r="K67" s="160">
        <f>+K65+M65</f>
        <v>0</v>
      </c>
      <c r="L67" s="269">
        <f>'SUB CPIF RATES (ALL)'!E64</f>
        <v>0</v>
      </c>
      <c r="M67" s="113">
        <f>ROUND(K67*L67,2)</f>
        <v>0</v>
      </c>
      <c r="N67" s="229"/>
      <c r="O67" s="160">
        <f>+O65+Q65</f>
        <v>0</v>
      </c>
      <c r="P67" s="269">
        <f>'SUB CPIF RATES (ALL)'!F64</f>
        <v>0</v>
      </c>
      <c r="Q67" s="113">
        <f>ROUND(O67*P67,2)</f>
        <v>0</v>
      </c>
    </row>
    <row r="68" spans="1:17" x14ac:dyDescent="0.25">
      <c r="A68" s="138"/>
      <c r="B68" s="186" t="s">
        <v>187</v>
      </c>
      <c r="C68" s="178"/>
      <c r="D68" s="179"/>
      <c r="E68" s="113">
        <f>ROUND(SUM(E62:E65),2)</f>
        <v>0</v>
      </c>
      <c r="F68" s="229"/>
      <c r="G68" s="178"/>
      <c r="H68" s="179"/>
      <c r="I68" s="113">
        <f>ROUND(SUM(I62:I65),2)</f>
        <v>0</v>
      </c>
      <c r="J68" s="229"/>
      <c r="K68" s="178"/>
      <c r="L68" s="179"/>
      <c r="M68" s="113">
        <f>ROUND(SUM(M62:M65),2)</f>
        <v>0</v>
      </c>
      <c r="N68" s="229"/>
      <c r="O68" s="178"/>
      <c r="P68" s="179"/>
      <c r="Q68" s="113">
        <f>ROUND(SUM(Q62:Q65),2)</f>
        <v>0</v>
      </c>
    </row>
    <row r="69" spans="1:17" x14ac:dyDescent="0.25">
      <c r="A69" s="138"/>
      <c r="B69" s="186" t="s">
        <v>72</v>
      </c>
      <c r="C69" s="176"/>
      <c r="D69" s="180"/>
      <c r="E69" s="113">
        <f>ROUND(E66,2)</f>
        <v>0</v>
      </c>
      <c r="F69" s="229"/>
      <c r="G69" s="176"/>
      <c r="H69" s="180"/>
      <c r="I69" s="113">
        <f>ROUND(I66,2)</f>
        <v>0</v>
      </c>
      <c r="J69" s="229"/>
      <c r="K69" s="176"/>
      <c r="L69" s="180"/>
      <c r="M69" s="113">
        <f>ROUND(M66,2)</f>
        <v>0</v>
      </c>
      <c r="N69" s="229"/>
      <c r="O69" s="176"/>
      <c r="P69" s="180"/>
      <c r="Q69" s="113">
        <f>ROUND(Q66,2)</f>
        <v>0</v>
      </c>
    </row>
    <row r="70" spans="1:17" x14ac:dyDescent="0.2">
      <c r="A70" s="131"/>
      <c r="B70" s="186" t="s">
        <v>71</v>
      </c>
      <c r="C70" s="176"/>
      <c r="D70" s="180"/>
      <c r="E70" s="127">
        <f>ROUND(E67,2)</f>
        <v>0</v>
      </c>
      <c r="F70" s="128"/>
      <c r="G70" s="176"/>
      <c r="H70" s="180"/>
      <c r="I70" s="127">
        <f>ROUND(I67,2)</f>
        <v>0</v>
      </c>
      <c r="J70" s="128"/>
      <c r="K70" s="176"/>
      <c r="L70" s="180"/>
      <c r="M70" s="127">
        <f>ROUND(M67,2)</f>
        <v>0</v>
      </c>
      <c r="N70" s="128"/>
      <c r="O70" s="176"/>
      <c r="P70" s="180"/>
      <c r="Q70" s="127">
        <f>ROUND(Q67,2)</f>
        <v>0</v>
      </c>
    </row>
    <row r="71" spans="1:17" ht="16.5" thickBot="1" x14ac:dyDescent="0.25">
      <c r="A71" s="131"/>
      <c r="B71" s="187" t="s">
        <v>174</v>
      </c>
      <c r="C71" s="181"/>
      <c r="D71" s="182"/>
      <c r="E71" s="105">
        <f>ROUND(SUM(E68:E70),2)</f>
        <v>0</v>
      </c>
      <c r="F71" s="106"/>
      <c r="G71" s="181"/>
      <c r="H71" s="182"/>
      <c r="I71" s="105">
        <f>ROUND(SUM(I68:I70),2)</f>
        <v>0</v>
      </c>
      <c r="J71" s="106"/>
      <c r="K71" s="181"/>
      <c r="L71" s="182"/>
      <c r="M71" s="105">
        <f>ROUND(SUM(M68:M70),2)</f>
        <v>0</v>
      </c>
      <c r="N71" s="106"/>
      <c r="O71" s="181"/>
      <c r="P71" s="182"/>
      <c r="Q71" s="105">
        <f>ROUND(SUM(Q68:Q70),2)</f>
        <v>0</v>
      </c>
    </row>
    <row r="72" spans="1:17" ht="16.5" thickBot="1" x14ac:dyDescent="0.25">
      <c r="A72" s="131"/>
      <c r="B72" s="117"/>
      <c r="E72" s="194"/>
      <c r="F72" s="194"/>
      <c r="G72" s="194"/>
      <c r="H72" s="194"/>
      <c r="I72" s="194"/>
      <c r="J72" s="194"/>
      <c r="K72" s="194"/>
      <c r="N72" s="132"/>
      <c r="O72" s="194"/>
    </row>
    <row r="73" spans="1:17" ht="16.5" thickBot="1" x14ac:dyDescent="0.3">
      <c r="A73" s="131"/>
      <c r="B73" s="531" t="str">
        <f>B59</f>
        <v>CLIN 0001 (CPIF)                                                    TASK 1.10 AIRCREW AND MAINTENANCE TRAINING</v>
      </c>
      <c r="C73" s="517" t="s">
        <v>213</v>
      </c>
      <c r="D73" s="518"/>
      <c r="E73" s="519"/>
      <c r="F73" s="120"/>
      <c r="G73" s="517" t="s">
        <v>213</v>
      </c>
      <c r="H73" s="518"/>
      <c r="I73" s="519"/>
      <c r="J73" s="120"/>
      <c r="K73" s="517" t="s">
        <v>213</v>
      </c>
      <c r="L73" s="518"/>
      <c r="M73" s="519"/>
      <c r="N73" s="120"/>
      <c r="O73" s="517" t="s">
        <v>213</v>
      </c>
      <c r="P73" s="518"/>
      <c r="Q73" s="519"/>
    </row>
    <row r="74" spans="1:17" ht="33.75" customHeight="1" thickBot="1" x14ac:dyDescent="0.3">
      <c r="A74" s="131"/>
      <c r="B74" s="532"/>
      <c r="C74" s="221"/>
      <c r="D74" s="222"/>
      <c r="E74" s="133" t="s">
        <v>200</v>
      </c>
      <c r="F74" s="134"/>
      <c r="G74" s="221"/>
      <c r="H74" s="222"/>
      <c r="I74" s="133" t="s">
        <v>201</v>
      </c>
      <c r="J74" s="134"/>
      <c r="K74" s="221"/>
      <c r="L74" s="222"/>
      <c r="M74" s="133" t="s">
        <v>203</v>
      </c>
      <c r="N74" s="134"/>
      <c r="O74" s="221"/>
      <c r="P74" s="222"/>
      <c r="Q74" s="133" t="s">
        <v>202</v>
      </c>
    </row>
    <row r="75" spans="1:17" x14ac:dyDescent="0.2">
      <c r="A75" s="131"/>
      <c r="B75" s="112" t="s">
        <v>188</v>
      </c>
      <c r="C75" s="223"/>
      <c r="D75" s="223"/>
      <c r="E75" s="135">
        <f>+ROUND(E26+E40+E54+E68,2)</f>
        <v>0</v>
      </c>
      <c r="F75" s="110"/>
      <c r="G75" s="223"/>
      <c r="H75" s="223"/>
      <c r="I75" s="135">
        <f>+ROUND(I26+I40+I54+I68,2)</f>
        <v>0</v>
      </c>
      <c r="J75" s="110"/>
      <c r="K75" s="223"/>
      <c r="L75" s="223"/>
      <c r="M75" s="135">
        <f>+ROUND(M26+M40+M54+M68,2)</f>
        <v>0</v>
      </c>
      <c r="N75" s="110"/>
      <c r="O75" s="223"/>
      <c r="P75" s="223"/>
      <c r="Q75" s="135">
        <f>+ROUND(Q26+Q40+Q54+Q68,2)</f>
        <v>0</v>
      </c>
    </row>
    <row r="76" spans="1:17" x14ac:dyDescent="0.2">
      <c r="A76" s="131"/>
      <c r="B76" s="112" t="s">
        <v>72</v>
      </c>
      <c r="C76" s="223"/>
      <c r="D76" s="223"/>
      <c r="E76" s="113">
        <f>+ROUND(E27+E41+E55+E69,2)</f>
        <v>0</v>
      </c>
      <c r="F76" s="110"/>
      <c r="G76" s="223"/>
      <c r="H76" s="223"/>
      <c r="I76" s="113">
        <f>+ROUND(I27+I41+I55+I69,2)</f>
        <v>0</v>
      </c>
      <c r="J76" s="110"/>
      <c r="K76" s="223"/>
      <c r="L76" s="223"/>
      <c r="M76" s="113">
        <f>+ROUND(M27+M41+M55+M69,2)</f>
        <v>0</v>
      </c>
      <c r="N76" s="110"/>
      <c r="O76" s="223"/>
      <c r="P76" s="223"/>
      <c r="Q76" s="113">
        <f>+ROUND(Q27+Q41+Q55+Q69,2)</f>
        <v>0</v>
      </c>
    </row>
    <row r="77" spans="1:17" x14ac:dyDescent="0.2">
      <c r="A77" s="131"/>
      <c r="B77" s="112" t="s">
        <v>71</v>
      </c>
      <c r="C77" s="223"/>
      <c r="D77" s="223"/>
      <c r="E77" s="114">
        <f>+ROUND(E28+E42+E56+E70,2)</f>
        <v>0</v>
      </c>
      <c r="F77" s="115"/>
      <c r="G77" s="223"/>
      <c r="H77" s="223"/>
      <c r="I77" s="114">
        <f>+ROUND(I28+I42+I56+I70,2)</f>
        <v>0</v>
      </c>
      <c r="J77" s="115"/>
      <c r="K77" s="223"/>
      <c r="L77" s="223"/>
      <c r="M77" s="114">
        <f>+ROUND(M28+M42+M56+M70,2)</f>
        <v>0</v>
      </c>
      <c r="N77" s="115"/>
      <c r="O77" s="223"/>
      <c r="P77" s="223"/>
      <c r="Q77" s="114">
        <f>+ROUND(Q28+Q42+Q56+Q70,2)</f>
        <v>0</v>
      </c>
    </row>
    <row r="78" spans="1:17" ht="32.25" thickBot="1" x14ac:dyDescent="0.3">
      <c r="A78" s="131"/>
      <c r="B78" s="209" t="s">
        <v>364</v>
      </c>
      <c r="C78" s="224"/>
      <c r="D78" s="224"/>
      <c r="E78" s="208">
        <f>SUM(E75:E77)</f>
        <v>0</v>
      </c>
      <c r="F78" s="116"/>
      <c r="G78" s="224"/>
      <c r="H78" s="224"/>
      <c r="I78" s="208">
        <f>SUM(I75:I77)</f>
        <v>0</v>
      </c>
      <c r="J78" s="116"/>
      <c r="K78" s="224"/>
      <c r="L78" s="224"/>
      <c r="M78" s="208">
        <f>SUM(M75:M77)</f>
        <v>0</v>
      </c>
      <c r="N78" s="116"/>
      <c r="O78" s="224"/>
      <c r="P78" s="224"/>
      <c r="Q78" s="208">
        <f>SUM(Q75:Q77)</f>
        <v>0</v>
      </c>
    </row>
    <row r="79" spans="1:17" ht="16.5" thickBot="1" x14ac:dyDescent="0.3"/>
    <row r="80" spans="1:17" ht="31.5" x14ac:dyDescent="0.25">
      <c r="Q80" s="323" t="s">
        <v>365</v>
      </c>
    </row>
    <row r="81" spans="17:17" ht="16.5" thickBot="1" x14ac:dyDescent="0.3">
      <c r="Q81" s="322">
        <f>E78+I78+M78+Q78</f>
        <v>0</v>
      </c>
    </row>
  </sheetData>
  <mergeCells count="46">
    <mergeCell ref="C49:E49"/>
    <mergeCell ref="G49:I49"/>
    <mergeCell ref="K49:M49"/>
    <mergeCell ref="O49:Q49"/>
    <mergeCell ref="B45:B46"/>
    <mergeCell ref="C45:E45"/>
    <mergeCell ref="G45:I45"/>
    <mergeCell ref="K45:M45"/>
    <mergeCell ref="O45:Q45"/>
    <mergeCell ref="C46:E46"/>
    <mergeCell ref="G46:I46"/>
    <mergeCell ref="K46:M46"/>
    <mergeCell ref="O46:Q46"/>
    <mergeCell ref="O60:Q60"/>
    <mergeCell ref="O73:Q73"/>
    <mergeCell ref="O14:Q14"/>
    <mergeCell ref="O15:Q15"/>
    <mergeCell ref="O31:Q31"/>
    <mergeCell ref="O32:Q32"/>
    <mergeCell ref="O59:Q59"/>
    <mergeCell ref="C15:E15"/>
    <mergeCell ref="G15:I15"/>
    <mergeCell ref="K15:M15"/>
    <mergeCell ref="A4:C4"/>
    <mergeCell ref="B14:B15"/>
    <mergeCell ref="C14:E14"/>
    <mergeCell ref="G14:I14"/>
    <mergeCell ref="K14:M14"/>
    <mergeCell ref="B31:B32"/>
    <mergeCell ref="C31:E31"/>
    <mergeCell ref="G31:I31"/>
    <mergeCell ref="K31:M31"/>
    <mergeCell ref="C32:E32"/>
    <mergeCell ref="G32:I32"/>
    <mergeCell ref="K32:M32"/>
    <mergeCell ref="B59:B60"/>
    <mergeCell ref="C59:E59"/>
    <mergeCell ref="G59:I59"/>
    <mergeCell ref="K59:M59"/>
    <mergeCell ref="B73:B74"/>
    <mergeCell ref="C73:E73"/>
    <mergeCell ref="G73:I73"/>
    <mergeCell ref="K73:M73"/>
    <mergeCell ref="C60:E60"/>
    <mergeCell ref="G60:I60"/>
    <mergeCell ref="K60:M60"/>
  </mergeCells>
  <pageMargins left="0.7" right="0.7" top="0.75" bottom="0.75" header="0.3" footer="0.3"/>
  <pageSetup orientation="portrait" horizontalDpi="1200" verticalDpi="1200"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28703D-7917-4D68-88B0-5DD617478E61}">
  <sheetPr>
    <tabColor theme="0"/>
  </sheetPr>
  <dimension ref="A1:Q81"/>
  <sheetViews>
    <sheetView zoomScale="80" zoomScaleNormal="80" workbookViewId="0">
      <pane ySplit="12" topLeftCell="A62" activePane="bottomLeft" state="frozen"/>
      <selection pane="bottomLeft" activeCell="P66" sqref="P66"/>
    </sheetView>
  </sheetViews>
  <sheetFormatPr defaultColWidth="15.85546875" defaultRowHeight="15.75" x14ac:dyDescent="0.25"/>
  <cols>
    <col min="1" max="1" width="3.42578125" style="136" customWidth="1"/>
    <col min="2" max="2" width="49.140625" style="119" customWidth="1"/>
    <col min="3" max="3" width="18.28515625" style="131" bestFit="1" customWidth="1"/>
    <col min="4" max="4" width="12.42578125" style="131" bestFit="1" customWidth="1"/>
    <col min="5" max="5" width="32.140625" style="131" bestFit="1" customWidth="1"/>
    <col min="6" max="6" width="1" style="131" customWidth="1"/>
    <col min="7" max="7" width="14.28515625" style="131" customWidth="1"/>
    <col min="8" max="8" width="14.5703125" style="131" customWidth="1"/>
    <col min="9" max="9" width="33.28515625" style="131" customWidth="1"/>
    <col min="10" max="10" width="1" style="131" customWidth="1"/>
    <col min="11" max="11" width="16.7109375" style="131" customWidth="1"/>
    <col min="12" max="12" width="16.28515625" style="131" customWidth="1"/>
    <col min="13" max="13" width="34" style="131" bestFit="1" customWidth="1"/>
    <col min="14" max="14" width="0.85546875" style="131" customWidth="1"/>
    <col min="15" max="15" width="12.85546875" style="131" bestFit="1" customWidth="1"/>
    <col min="16" max="16" width="12.42578125" style="131" bestFit="1" customWidth="1"/>
    <col min="17" max="17" width="34" style="131" bestFit="1" customWidth="1"/>
    <col min="18" max="16384" width="15.85546875" style="131"/>
  </cols>
  <sheetData>
    <row r="1" spans="1:17" ht="16.5" thickBot="1" x14ac:dyDescent="0.3">
      <c r="B1" s="321" t="s">
        <v>460</v>
      </c>
      <c r="C1" s="394" t="str">
        <f>'SUB CPIF RATES (ALL)'!C1</f>
        <v xml:space="preserve">NAME </v>
      </c>
      <c r="D1" s="393"/>
    </row>
    <row r="2" spans="1:17" ht="16.5" thickBot="1" x14ac:dyDescent="0.3">
      <c r="B2" s="395" t="s">
        <v>459</v>
      </c>
      <c r="C2" s="396" t="str">
        <f>'SUB CPIF RATES (ALL)'!C2</f>
        <v xml:space="preserve">NAME </v>
      </c>
    </row>
    <row r="3" spans="1:17" ht="16.5" thickBot="1" x14ac:dyDescent="0.3"/>
    <row r="4" spans="1:17" ht="52.5" customHeight="1" thickBot="1" x14ac:dyDescent="0.3">
      <c r="A4" s="466" t="s">
        <v>67</v>
      </c>
      <c r="B4" s="467"/>
      <c r="C4" s="468"/>
      <c r="I4" s="194" t="s">
        <v>84</v>
      </c>
    </row>
    <row r="6" spans="1:17" s="202" customFormat="1" ht="17.25" customHeight="1" x14ac:dyDescent="0.2">
      <c r="A6" s="203"/>
      <c r="B6" s="204" t="s">
        <v>65</v>
      </c>
    </row>
    <row r="7" spans="1:17" s="202" customFormat="1" x14ac:dyDescent="0.25">
      <c r="A7" s="201"/>
      <c r="B7" s="201" t="s">
        <v>441</v>
      </c>
    </row>
    <row r="8" spans="1:17" s="202" customFormat="1" x14ac:dyDescent="0.25">
      <c r="A8" s="201"/>
      <c r="B8" s="201" t="s">
        <v>281</v>
      </c>
    </row>
    <row r="9" spans="1:17" s="202" customFormat="1" x14ac:dyDescent="0.25">
      <c r="A9" s="201"/>
      <c r="B9" s="201" t="s">
        <v>442</v>
      </c>
    </row>
    <row r="10" spans="1:17" s="202" customFormat="1" x14ac:dyDescent="0.25">
      <c r="A10" s="201"/>
      <c r="B10" s="201" t="s">
        <v>463</v>
      </c>
    </row>
    <row r="11" spans="1:17" x14ac:dyDescent="0.25">
      <c r="A11" s="137"/>
      <c r="B11" s="201" t="s">
        <v>464</v>
      </c>
      <c r="C11" s="139"/>
    </row>
    <row r="12" spans="1:17" x14ac:dyDescent="0.25">
      <c r="A12" s="137"/>
      <c r="B12" s="201" t="s">
        <v>366</v>
      </c>
      <c r="C12" s="139"/>
    </row>
    <row r="13" spans="1:17" ht="16.5" thickBot="1" x14ac:dyDescent="0.3"/>
    <row r="14" spans="1:17" ht="16.5" thickBot="1" x14ac:dyDescent="0.3">
      <c r="A14" s="138"/>
      <c r="B14" s="523" t="s">
        <v>367</v>
      </c>
      <c r="C14" s="490" t="s">
        <v>69</v>
      </c>
      <c r="D14" s="491"/>
      <c r="E14" s="492"/>
      <c r="F14" s="96"/>
      <c r="G14" s="490" t="s">
        <v>69</v>
      </c>
      <c r="H14" s="491"/>
      <c r="I14" s="492"/>
      <c r="J14" s="96"/>
      <c r="K14" s="490" t="s">
        <v>69</v>
      </c>
      <c r="L14" s="491"/>
      <c r="M14" s="492"/>
      <c r="N14" s="96"/>
      <c r="O14" s="490" t="s">
        <v>69</v>
      </c>
      <c r="P14" s="491"/>
      <c r="Q14" s="492"/>
    </row>
    <row r="15" spans="1:17" ht="32.25" customHeight="1" thickBot="1" x14ac:dyDescent="0.3">
      <c r="A15" s="138"/>
      <c r="B15" s="524"/>
      <c r="C15" s="520" t="s">
        <v>205</v>
      </c>
      <c r="D15" s="521"/>
      <c r="E15" s="522"/>
      <c r="F15" s="97"/>
      <c r="G15" s="520" t="s">
        <v>206</v>
      </c>
      <c r="H15" s="521"/>
      <c r="I15" s="522"/>
      <c r="J15" s="97"/>
      <c r="K15" s="520" t="s">
        <v>207</v>
      </c>
      <c r="L15" s="521"/>
      <c r="M15" s="522"/>
      <c r="N15" s="97"/>
      <c r="O15" s="520" t="s">
        <v>208</v>
      </c>
      <c r="P15" s="521"/>
      <c r="Q15" s="522"/>
    </row>
    <row r="16" spans="1:17" x14ac:dyDescent="0.25">
      <c r="A16" s="138"/>
      <c r="B16" s="98" t="s">
        <v>46</v>
      </c>
      <c r="C16" s="98" t="s">
        <v>29</v>
      </c>
      <c r="D16" s="99" t="s">
        <v>68</v>
      </c>
      <c r="E16" s="100" t="s">
        <v>74</v>
      </c>
      <c r="F16" s="101"/>
      <c r="G16" s="98" t="s">
        <v>29</v>
      </c>
      <c r="H16" s="99" t="s">
        <v>68</v>
      </c>
      <c r="I16" s="100" t="s">
        <v>74</v>
      </c>
      <c r="J16" s="101"/>
      <c r="K16" s="98" t="s">
        <v>29</v>
      </c>
      <c r="L16" s="99" t="s">
        <v>68</v>
      </c>
      <c r="M16" s="100" t="s">
        <v>74</v>
      </c>
      <c r="N16" s="101"/>
      <c r="O16" s="98" t="s">
        <v>29</v>
      </c>
      <c r="P16" s="99" t="s">
        <v>68</v>
      </c>
      <c r="Q16" s="100" t="s">
        <v>74</v>
      </c>
    </row>
    <row r="17" spans="1:17" ht="30" customHeight="1" thickBot="1" x14ac:dyDescent="0.3">
      <c r="A17" s="138"/>
      <c r="B17" s="148" t="s">
        <v>443</v>
      </c>
      <c r="C17" s="230"/>
      <c r="D17" s="231"/>
      <c r="E17" s="232"/>
      <c r="F17" s="101"/>
      <c r="G17" s="230"/>
      <c r="H17" s="231"/>
      <c r="I17" s="232"/>
      <c r="J17" s="101"/>
      <c r="K17" s="230"/>
      <c r="L17" s="231"/>
      <c r="M17" s="232"/>
      <c r="N17" s="101"/>
      <c r="O17" s="230"/>
      <c r="P17" s="231"/>
      <c r="Q17" s="232"/>
    </row>
    <row r="18" spans="1:17" ht="16.5" thickBot="1" x14ac:dyDescent="0.3">
      <c r="A18" s="138"/>
      <c r="B18" s="107" t="s">
        <v>87</v>
      </c>
      <c r="C18" s="108">
        <f>'SUB CPIF LABOR INPUTS'!D239</f>
        <v>0</v>
      </c>
      <c r="D18" s="150"/>
      <c r="E18" s="109">
        <f>'SUB CPIF LABOR INPUTS'!F239</f>
        <v>0</v>
      </c>
      <c r="F18" s="110"/>
      <c r="G18" s="108">
        <f>'SUB CPIF LABOR INPUTS'!H239</f>
        <v>0</v>
      </c>
      <c r="H18" s="150"/>
      <c r="I18" s="109">
        <f>'SUB CPIF LABOR INPUTS'!J239</f>
        <v>0</v>
      </c>
      <c r="J18" s="110"/>
      <c r="K18" s="108">
        <f>'SUB CPIF LABOR INPUTS'!L239</f>
        <v>0</v>
      </c>
      <c r="L18" s="150"/>
      <c r="M18" s="109">
        <f>'SUB CPIF LABOR INPUTS'!N239</f>
        <v>0</v>
      </c>
      <c r="N18" s="110"/>
      <c r="O18" s="108">
        <f>'SUB CPIF LABOR INPUTS'!P239</f>
        <v>0</v>
      </c>
      <c r="P18" s="150"/>
      <c r="Q18" s="109">
        <f>'SUB CPIF LABOR INPUTS'!R239</f>
        <v>0</v>
      </c>
    </row>
    <row r="19" spans="1:17" x14ac:dyDescent="0.25">
      <c r="A19" s="138"/>
      <c r="B19" s="149"/>
      <c r="C19" s="98" t="s">
        <v>289</v>
      </c>
      <c r="D19" s="99" t="s">
        <v>286</v>
      </c>
      <c r="E19" s="100" t="s">
        <v>288</v>
      </c>
      <c r="F19" s="111"/>
      <c r="G19" s="98" t="s">
        <v>289</v>
      </c>
      <c r="H19" s="99" t="s">
        <v>286</v>
      </c>
      <c r="I19" s="100" t="s">
        <v>288</v>
      </c>
      <c r="J19" s="111"/>
      <c r="K19" s="98" t="s">
        <v>289</v>
      </c>
      <c r="L19" s="99" t="s">
        <v>286</v>
      </c>
      <c r="M19" s="100" t="s">
        <v>288</v>
      </c>
      <c r="N19" s="111"/>
      <c r="O19" s="98" t="s">
        <v>289</v>
      </c>
      <c r="P19" s="99" t="s">
        <v>286</v>
      </c>
      <c r="Q19" s="100" t="s">
        <v>288</v>
      </c>
    </row>
    <row r="20" spans="1:17" ht="65.25" customHeight="1" x14ac:dyDescent="0.25">
      <c r="A20" s="138"/>
      <c r="B20" s="261" t="s">
        <v>279</v>
      </c>
      <c r="C20" s="230"/>
      <c r="D20" s="231"/>
      <c r="E20" s="232"/>
      <c r="F20" s="147"/>
      <c r="G20" s="230"/>
      <c r="H20" s="231"/>
      <c r="I20" s="232"/>
      <c r="J20" s="147"/>
      <c r="K20" s="230"/>
      <c r="L20" s="231"/>
      <c r="M20" s="232"/>
      <c r="N20" s="147"/>
      <c r="O20" s="230"/>
      <c r="P20" s="231"/>
      <c r="Q20" s="232"/>
    </row>
    <row r="21" spans="1:17" x14ac:dyDescent="0.25">
      <c r="A21" s="138"/>
      <c r="B21" s="112" t="str">
        <f>'SUB CPIF RATES (ALL)'!B36</f>
        <v>Indirect Labor Category:  [Labor Fringe]</v>
      </c>
      <c r="C21" s="160">
        <f>+E18</f>
        <v>0</v>
      </c>
      <c r="D21" s="188">
        <f>'SUB CPIF RATES (ALL)'!C36</f>
        <v>0</v>
      </c>
      <c r="E21" s="113">
        <f>ROUND(C21*D21,2)</f>
        <v>0</v>
      </c>
      <c r="F21" s="110"/>
      <c r="G21" s="160">
        <f>+I18</f>
        <v>0</v>
      </c>
      <c r="H21" s="188">
        <f>'SUB CPIF RATES (ALL)'!D36</f>
        <v>0</v>
      </c>
      <c r="I21" s="113">
        <f>ROUND(G21*H21,2)</f>
        <v>0</v>
      </c>
      <c r="J21" s="110"/>
      <c r="K21" s="160">
        <f>+M18</f>
        <v>0</v>
      </c>
      <c r="L21" s="188">
        <f>'SUB CPIF RATES (ALL)'!E36</f>
        <v>0</v>
      </c>
      <c r="M21" s="113">
        <f>ROUND(K21*L21,2)</f>
        <v>0</v>
      </c>
      <c r="N21" s="110"/>
      <c r="O21" s="160">
        <f>+Q18</f>
        <v>0</v>
      </c>
      <c r="P21" s="188">
        <f>'SUB CPIF RATES (ALL)'!F36</f>
        <v>0</v>
      </c>
      <c r="Q21" s="113">
        <f>ROUND(O21*P21,2)</f>
        <v>0</v>
      </c>
    </row>
    <row r="22" spans="1:17" x14ac:dyDescent="0.25">
      <c r="A22" s="138"/>
      <c r="B22" s="112" t="str">
        <f>'SUB CPIF RATES (ALL)'!B37</f>
        <v>Indirect Labor Category: [Labor Overhead]</v>
      </c>
      <c r="C22" s="160">
        <f>+C21+E21</f>
        <v>0</v>
      </c>
      <c r="D22" s="188">
        <f>'SUB CPIF RATES (ALL)'!C37</f>
        <v>0</v>
      </c>
      <c r="E22" s="113">
        <f>ROUND(C22*D22,2)</f>
        <v>0</v>
      </c>
      <c r="F22" s="110"/>
      <c r="G22" s="160">
        <f>+G21+I21</f>
        <v>0</v>
      </c>
      <c r="H22" s="188">
        <f>'SUB CPIF RATES (ALL)'!D37</f>
        <v>0</v>
      </c>
      <c r="I22" s="113">
        <f>ROUND(G22*H22,2)</f>
        <v>0</v>
      </c>
      <c r="J22" s="110"/>
      <c r="K22" s="160">
        <f>+K21+M21</f>
        <v>0</v>
      </c>
      <c r="L22" s="188">
        <f>'SUB CPIF RATES (ALL)'!E37</f>
        <v>0</v>
      </c>
      <c r="M22" s="113">
        <f>ROUND(K22*L22,2)</f>
        <v>0</v>
      </c>
      <c r="N22" s="110"/>
      <c r="O22" s="160">
        <f>+O21+Q21</f>
        <v>0</v>
      </c>
      <c r="P22" s="188">
        <f>'SUB CPIF RATES (ALL)'!F37</f>
        <v>0</v>
      </c>
      <c r="Q22" s="113">
        <f>ROUND(O22*P22,2)</f>
        <v>0</v>
      </c>
    </row>
    <row r="23" spans="1:17" x14ac:dyDescent="0.25">
      <c r="A23" s="138"/>
      <c r="B23" s="112" t="str">
        <f>'SUB CPIF RATES (ALL)'!B38</f>
        <v>Indirect Labor Category: [G&amp;A]</v>
      </c>
      <c r="C23" s="160">
        <f>+C22+E22</f>
        <v>0</v>
      </c>
      <c r="D23" s="188">
        <f>'SUB CPIF RATES (ALL)'!C38</f>
        <v>0</v>
      </c>
      <c r="E23" s="113">
        <f>ROUND(C23*D23,2)</f>
        <v>0</v>
      </c>
      <c r="F23" s="110"/>
      <c r="G23" s="160">
        <f>+G22+I22</f>
        <v>0</v>
      </c>
      <c r="H23" s="188">
        <f>'SUB CPIF RATES (ALL)'!D38</f>
        <v>0</v>
      </c>
      <c r="I23" s="113">
        <f>ROUND(G23*H23,2)</f>
        <v>0</v>
      </c>
      <c r="J23" s="110"/>
      <c r="K23" s="160">
        <f>+K22+M22</f>
        <v>0</v>
      </c>
      <c r="L23" s="188">
        <f>'SUB CPIF RATES (ALL)'!E38</f>
        <v>0</v>
      </c>
      <c r="M23" s="113">
        <f>ROUND(K23*L23,2)</f>
        <v>0</v>
      </c>
      <c r="N23" s="110"/>
      <c r="O23" s="160">
        <f>+O22+Q22</f>
        <v>0</v>
      </c>
      <c r="P23" s="188">
        <f>'SUB CPIF RATES (ALL)'!F38</f>
        <v>0</v>
      </c>
      <c r="Q23" s="113">
        <f>ROUND(O23*P23,2)</f>
        <v>0</v>
      </c>
    </row>
    <row r="24" spans="1:17" x14ac:dyDescent="0.25">
      <c r="A24" s="138"/>
      <c r="B24" s="112" t="str">
        <f>'SUB CPIF RATES (ALL)'!B39</f>
        <v>Indirect Labor Category: [FCCOM]</v>
      </c>
      <c r="C24" s="160">
        <f>C23+E23</f>
        <v>0</v>
      </c>
      <c r="D24" s="188">
        <f>'SUB CPIF RATES (ALL)'!C39</f>
        <v>0</v>
      </c>
      <c r="E24" s="113">
        <f>ROUND(C24*D24,2)</f>
        <v>0</v>
      </c>
      <c r="F24" s="110"/>
      <c r="G24" s="160">
        <f>G23+I23</f>
        <v>0</v>
      </c>
      <c r="H24" s="188">
        <f>'SUB CPIF RATES (ALL)'!D39</f>
        <v>0</v>
      </c>
      <c r="I24" s="113">
        <f>ROUND(G24*H24,2)</f>
        <v>0</v>
      </c>
      <c r="J24" s="110"/>
      <c r="K24" s="160">
        <f>K23+M23</f>
        <v>0</v>
      </c>
      <c r="L24" s="188">
        <f>'SUB CPIF RATES (ALL)'!E39</f>
        <v>0</v>
      </c>
      <c r="M24" s="113">
        <f>ROUND(K24*L24,2)</f>
        <v>0</v>
      </c>
      <c r="N24" s="110"/>
      <c r="O24" s="160">
        <f>O23+Q23</f>
        <v>0</v>
      </c>
      <c r="P24" s="188">
        <f>'SUB CPIF RATES (ALL)'!F39</f>
        <v>0</v>
      </c>
      <c r="Q24" s="113">
        <f>ROUND(O24*P24,2)</f>
        <v>0</v>
      </c>
    </row>
    <row r="25" spans="1:17" x14ac:dyDescent="0.25">
      <c r="A25" s="138"/>
      <c r="B25" s="112" t="str">
        <f>'SUB CPIF RATES (ALL)'!B40</f>
        <v>Indirect Labor Category: [Target Fee]</v>
      </c>
      <c r="C25" s="160">
        <f>+C23+E23</f>
        <v>0</v>
      </c>
      <c r="D25" s="188">
        <f>'SUB CPIF RATES (ALL)'!C40</f>
        <v>0</v>
      </c>
      <c r="E25" s="113">
        <f>ROUND(C25*D25,2)</f>
        <v>0</v>
      </c>
      <c r="F25" s="110"/>
      <c r="G25" s="160">
        <f>+G23+I23</f>
        <v>0</v>
      </c>
      <c r="H25" s="188">
        <f>'SUB CPIF RATES (ALL)'!D40</f>
        <v>0</v>
      </c>
      <c r="I25" s="113">
        <f>ROUND(G25*H25,2)</f>
        <v>0</v>
      </c>
      <c r="J25" s="110"/>
      <c r="K25" s="160">
        <f>+K23+M23</f>
        <v>0</v>
      </c>
      <c r="L25" s="188">
        <f>'SUB CPIF RATES (ALL)'!E40</f>
        <v>0</v>
      </c>
      <c r="M25" s="113">
        <f>ROUND(K25*L25,2)</f>
        <v>0</v>
      </c>
      <c r="N25" s="110"/>
      <c r="O25" s="160">
        <f>+O23+Q23</f>
        <v>0</v>
      </c>
      <c r="P25" s="188">
        <f>'SUB CPIF RATES (ALL)'!F40</f>
        <v>0</v>
      </c>
      <c r="Q25" s="113">
        <f>ROUND(O25*P25,2)</f>
        <v>0</v>
      </c>
    </row>
    <row r="26" spans="1:17" x14ac:dyDescent="0.25">
      <c r="A26" s="138"/>
      <c r="B26" s="205" t="s">
        <v>185</v>
      </c>
      <c r="C26" s="155"/>
      <c r="D26" s="156"/>
      <c r="E26" s="175">
        <f>ROUND(SUM(E18,E21,E22,E23),2)</f>
        <v>0</v>
      </c>
      <c r="F26" s="110"/>
      <c r="G26" s="151"/>
      <c r="H26" s="152"/>
      <c r="I26" s="175">
        <f>ROUND(SUM(I18,I21,I22,I23),2)</f>
        <v>0</v>
      </c>
      <c r="J26" s="110"/>
      <c r="K26" s="151"/>
      <c r="L26" s="152"/>
      <c r="M26" s="175">
        <f>ROUND(SUM(M18,M21,M22,M23),2)</f>
        <v>0</v>
      </c>
      <c r="N26" s="110"/>
      <c r="O26" s="151"/>
      <c r="P26" s="152"/>
      <c r="Q26" s="175">
        <f>ROUND(SUM(Q18,Q21,Q22,Q23),2)</f>
        <v>0</v>
      </c>
    </row>
    <row r="27" spans="1:17" x14ac:dyDescent="0.25">
      <c r="A27" s="138"/>
      <c r="B27" s="205" t="s">
        <v>72</v>
      </c>
      <c r="C27" s="155"/>
      <c r="D27" s="156"/>
      <c r="E27" s="175">
        <f>ROUND(E24,2)</f>
        <v>0</v>
      </c>
      <c r="F27" s="110"/>
      <c r="G27" s="151"/>
      <c r="H27" s="152"/>
      <c r="I27" s="175">
        <f>ROUND(I24,2)</f>
        <v>0</v>
      </c>
      <c r="J27" s="110"/>
      <c r="K27" s="151"/>
      <c r="L27" s="152"/>
      <c r="M27" s="175">
        <f>ROUND(M24,2)</f>
        <v>0</v>
      </c>
      <c r="N27" s="110"/>
      <c r="O27" s="151"/>
      <c r="P27" s="152"/>
      <c r="Q27" s="175">
        <f>ROUND(Q24,2)</f>
        <v>0</v>
      </c>
    </row>
    <row r="28" spans="1:17" x14ac:dyDescent="0.25">
      <c r="A28" s="138"/>
      <c r="B28" s="205" t="s">
        <v>71</v>
      </c>
      <c r="C28" s="155"/>
      <c r="D28" s="156"/>
      <c r="E28" s="190">
        <f>ROUND(E25,2)</f>
        <v>0</v>
      </c>
      <c r="F28" s="115"/>
      <c r="G28" s="151"/>
      <c r="H28" s="152"/>
      <c r="I28" s="190">
        <f>ROUND(I25,2)</f>
        <v>0</v>
      </c>
      <c r="J28" s="115"/>
      <c r="K28" s="151"/>
      <c r="L28" s="152"/>
      <c r="M28" s="190">
        <f>ROUND(M25,2)</f>
        <v>0</v>
      </c>
      <c r="N28" s="115"/>
      <c r="O28" s="151"/>
      <c r="P28" s="152"/>
      <c r="Q28" s="190">
        <f>ROUND(Q25,2)</f>
        <v>0</v>
      </c>
    </row>
    <row r="29" spans="1:17" ht="16.5" thickBot="1" x14ac:dyDescent="0.3">
      <c r="A29" s="138"/>
      <c r="B29" s="206" t="s">
        <v>73</v>
      </c>
      <c r="C29" s="157"/>
      <c r="D29" s="158"/>
      <c r="E29" s="191">
        <f>ROUND(SUM(E26:E28),2)</f>
        <v>0</v>
      </c>
      <c r="F29" s="116"/>
      <c r="G29" s="153"/>
      <c r="H29" s="154"/>
      <c r="I29" s="191">
        <f>ROUND(SUM(I26:I28),2)</f>
        <v>0</v>
      </c>
      <c r="J29" s="116"/>
      <c r="K29" s="153"/>
      <c r="L29" s="154"/>
      <c r="M29" s="191">
        <f>ROUND(SUM(M26:M28),2)</f>
        <v>0</v>
      </c>
      <c r="N29" s="116"/>
      <c r="O29" s="153"/>
      <c r="P29" s="154"/>
      <c r="Q29" s="191">
        <f>ROUND(SUM(Q26:Q28),2)</f>
        <v>0</v>
      </c>
    </row>
    <row r="30" spans="1:17" ht="16.5" thickBot="1" x14ac:dyDescent="0.3">
      <c r="A30" s="138"/>
      <c r="B30" s="117"/>
      <c r="C30" s="118"/>
      <c r="D30" s="118"/>
      <c r="E30" s="118"/>
      <c r="F30" s="110"/>
      <c r="G30" s="118"/>
      <c r="H30" s="118"/>
      <c r="I30" s="118"/>
      <c r="J30" s="110"/>
      <c r="K30" s="118"/>
      <c r="L30" s="118"/>
      <c r="M30" s="118"/>
      <c r="N30" s="110"/>
      <c r="O30" s="118"/>
      <c r="P30" s="118"/>
      <c r="Q30" s="118"/>
    </row>
    <row r="31" spans="1:17" ht="16.5" customHeight="1" thickBot="1" x14ac:dyDescent="0.3">
      <c r="A31" s="138"/>
      <c r="B31" s="523" t="str">
        <f>B14</f>
        <v>CLIN 0001 (CPIF)                                                    TASK 1.11 SUPPORT EQUIPMENT</v>
      </c>
      <c r="C31" s="490" t="s">
        <v>80</v>
      </c>
      <c r="D31" s="491"/>
      <c r="E31" s="492"/>
      <c r="F31" s="120"/>
      <c r="G31" s="490" t="s">
        <v>80</v>
      </c>
      <c r="H31" s="491"/>
      <c r="I31" s="492"/>
      <c r="J31" s="120"/>
      <c r="K31" s="490" t="s">
        <v>80</v>
      </c>
      <c r="L31" s="491"/>
      <c r="M31" s="492"/>
      <c r="N31" s="120"/>
      <c r="O31" s="490" t="s">
        <v>80</v>
      </c>
      <c r="P31" s="491"/>
      <c r="Q31" s="492"/>
    </row>
    <row r="32" spans="1:17" ht="32.25" customHeight="1" thickBot="1" x14ac:dyDescent="0.3">
      <c r="A32" s="138"/>
      <c r="B32" s="524"/>
      <c r="C32" s="520" t="str">
        <f>C15</f>
        <v>CLIN 0001 - Basic Period (Year 1)</v>
      </c>
      <c r="D32" s="521"/>
      <c r="E32" s="522"/>
      <c r="F32" s="121"/>
      <c r="G32" s="520" t="str">
        <f>G15</f>
        <v>CLIN 0001 - Basic Period (Year 2)</v>
      </c>
      <c r="H32" s="521"/>
      <c r="I32" s="522"/>
      <c r="J32" s="121"/>
      <c r="K32" s="520" t="str">
        <f>K15</f>
        <v>CLIN 0001 - Basic Period (Year 3)</v>
      </c>
      <c r="L32" s="521"/>
      <c r="M32" s="522"/>
      <c r="N32" s="121"/>
      <c r="O32" s="520" t="str">
        <f>O15</f>
        <v>CLIN 0001 - Basic Period (Year 4)</v>
      </c>
      <c r="P32" s="521"/>
      <c r="Q32" s="522"/>
    </row>
    <row r="33" spans="1:17" x14ac:dyDescent="0.25">
      <c r="A33" s="138"/>
      <c r="B33" s="192"/>
      <c r="C33" s="98" t="s">
        <v>289</v>
      </c>
      <c r="D33" s="99" t="s">
        <v>286</v>
      </c>
      <c r="E33" s="100" t="s">
        <v>88</v>
      </c>
      <c r="F33" s="111"/>
      <c r="G33" s="98" t="s">
        <v>289</v>
      </c>
      <c r="H33" s="99" t="s">
        <v>286</v>
      </c>
      <c r="I33" s="100" t="s">
        <v>88</v>
      </c>
      <c r="J33" s="111"/>
      <c r="K33" s="98" t="s">
        <v>289</v>
      </c>
      <c r="L33" s="99" t="s">
        <v>286</v>
      </c>
      <c r="M33" s="100" t="s">
        <v>88</v>
      </c>
      <c r="N33" s="111"/>
      <c r="O33" s="98" t="s">
        <v>289</v>
      </c>
      <c r="P33" s="99" t="s">
        <v>286</v>
      </c>
      <c r="Q33" s="100" t="s">
        <v>88</v>
      </c>
    </row>
    <row r="34" spans="1:17" ht="51.75" x14ac:dyDescent="0.25">
      <c r="A34" s="138"/>
      <c r="B34" s="240" t="s">
        <v>445</v>
      </c>
      <c r="C34" s="176"/>
      <c r="D34" s="177"/>
      <c r="E34" s="310">
        <f>'SUB CPIF TOTAL MATERIAL'!E22</f>
        <v>0</v>
      </c>
      <c r="F34" s="110"/>
      <c r="G34" s="176"/>
      <c r="H34" s="177"/>
      <c r="I34" s="310">
        <f>'SUB CPIF TOTAL MATERIAL'!G22</f>
        <v>0</v>
      </c>
      <c r="J34" s="110"/>
      <c r="K34" s="176"/>
      <c r="L34" s="177"/>
      <c r="M34" s="310">
        <f>'SUB CPIF TOTAL MATERIAL'!I22</f>
        <v>0</v>
      </c>
      <c r="N34" s="110"/>
      <c r="O34" s="176"/>
      <c r="P34" s="177"/>
      <c r="Q34" s="310">
        <f>'SUB CPIF TOTAL MATERIAL'!K22</f>
        <v>0</v>
      </c>
    </row>
    <row r="35" spans="1:17" ht="67.5" customHeight="1" x14ac:dyDescent="0.25">
      <c r="A35" s="138"/>
      <c r="B35" s="261" t="s">
        <v>446</v>
      </c>
      <c r="C35" s="315"/>
      <c r="D35" s="316"/>
      <c r="E35" s="310"/>
      <c r="F35" s="110"/>
      <c r="G35" s="315"/>
      <c r="H35" s="316"/>
      <c r="I35" s="310"/>
      <c r="J35" s="110"/>
      <c r="K35" s="315"/>
      <c r="L35" s="316"/>
      <c r="M35" s="310"/>
      <c r="N35" s="110"/>
      <c r="O35" s="315"/>
      <c r="P35" s="316"/>
      <c r="Q35" s="310"/>
    </row>
    <row r="36" spans="1:17" x14ac:dyDescent="0.25">
      <c r="A36" s="138"/>
      <c r="B36" s="112" t="str">
        <f>'SUB CPIF RATES (ALL)'!B53</f>
        <v>Indirect Category: [Material Overhead]</v>
      </c>
      <c r="C36" s="160">
        <f>+E34</f>
        <v>0</v>
      </c>
      <c r="D36" s="188">
        <f>'SUB CPIF RATES (ALL)'!C53</f>
        <v>0</v>
      </c>
      <c r="E36" s="113">
        <f>ROUND(C36*D36,2)</f>
        <v>0</v>
      </c>
      <c r="F36" s="123"/>
      <c r="G36" s="160">
        <f>+I34</f>
        <v>0</v>
      </c>
      <c r="H36" s="188">
        <f>'SUB CPIF RATES (ALL)'!D53</f>
        <v>0</v>
      </c>
      <c r="I36" s="113">
        <f>ROUND(G36*H36,2)</f>
        <v>0</v>
      </c>
      <c r="J36" s="123"/>
      <c r="K36" s="160">
        <f>+M34</f>
        <v>0</v>
      </c>
      <c r="L36" s="188">
        <f>'SUB CPIF RATES (ALL)'!E53</f>
        <v>0</v>
      </c>
      <c r="M36" s="113">
        <f>ROUND(K36*L36,2)</f>
        <v>0</v>
      </c>
      <c r="N36" s="123"/>
      <c r="O36" s="160">
        <f>+Q34</f>
        <v>0</v>
      </c>
      <c r="P36" s="188">
        <f>'SUB CPIF RATES (ALL)'!F53</f>
        <v>0</v>
      </c>
      <c r="Q36" s="113">
        <f>ROUND(O36*P36,2)</f>
        <v>0</v>
      </c>
    </row>
    <row r="37" spans="1:17" x14ac:dyDescent="0.25">
      <c r="A37" s="138"/>
      <c r="B37" s="112" t="str">
        <f>'SUB CPIF RATES (ALL)'!B54</f>
        <v>Indirect Category: [G&amp;A]</v>
      </c>
      <c r="C37" s="160">
        <f>+C36+E36</f>
        <v>0</v>
      </c>
      <c r="D37" s="188">
        <f>'SUB CPIF RATES (ALL)'!C54</f>
        <v>0</v>
      </c>
      <c r="E37" s="113">
        <f>ROUND(C37*D37,2)</f>
        <v>0</v>
      </c>
      <c r="F37" s="123"/>
      <c r="G37" s="160">
        <f>+G36+I36</f>
        <v>0</v>
      </c>
      <c r="H37" s="188">
        <f>'SUB CPIF RATES (ALL)'!D54</f>
        <v>0</v>
      </c>
      <c r="I37" s="113">
        <f>ROUND(G37*H37,2)</f>
        <v>0</v>
      </c>
      <c r="J37" s="123"/>
      <c r="K37" s="160">
        <f>+K36+M36</f>
        <v>0</v>
      </c>
      <c r="L37" s="188">
        <f>'SUB CPIF RATES (ALL)'!E54</f>
        <v>0</v>
      </c>
      <c r="M37" s="113">
        <f>ROUND(K37*L37,2)</f>
        <v>0</v>
      </c>
      <c r="N37" s="123"/>
      <c r="O37" s="160">
        <f>+O36+Q36</f>
        <v>0</v>
      </c>
      <c r="P37" s="188">
        <f>'SUB CPIF RATES (ALL)'!F54</f>
        <v>0</v>
      </c>
      <c r="Q37" s="113">
        <f>ROUND(O37*P37,2)</f>
        <v>0</v>
      </c>
    </row>
    <row r="38" spans="1:17" x14ac:dyDescent="0.25">
      <c r="A38" s="138"/>
      <c r="B38" s="112" t="str">
        <f>'SUB CPIF RATES (ALL)'!B55</f>
        <v>Indirect Category: [FCCOM]</v>
      </c>
      <c r="C38" s="160">
        <f>C37+E37</f>
        <v>0</v>
      </c>
      <c r="D38" s="188">
        <f>'SUB CPIF RATES (ALL)'!C55</f>
        <v>0</v>
      </c>
      <c r="E38" s="113">
        <f>ROUND(C38*D38,2)</f>
        <v>0</v>
      </c>
      <c r="F38" s="110"/>
      <c r="G38" s="160">
        <f>G37+I37</f>
        <v>0</v>
      </c>
      <c r="H38" s="188">
        <f>'SUB CPIF RATES (ALL)'!D55</f>
        <v>0</v>
      </c>
      <c r="I38" s="113">
        <f>ROUND(G38*H38,2)</f>
        <v>0</v>
      </c>
      <c r="J38" s="110"/>
      <c r="K38" s="160">
        <f>K37+M37</f>
        <v>0</v>
      </c>
      <c r="L38" s="188">
        <f>'SUB CPIF RATES (ALL)'!E55</f>
        <v>0</v>
      </c>
      <c r="M38" s="113">
        <f>ROUND(K38*L38,2)</f>
        <v>0</v>
      </c>
      <c r="N38" s="110"/>
      <c r="O38" s="160">
        <f>O37+Q37</f>
        <v>0</v>
      </c>
      <c r="P38" s="188">
        <f>'SUB CPIF RATES (ALL)'!F55</f>
        <v>0</v>
      </c>
      <c r="Q38" s="113">
        <f>ROUND(O38*P38,2)</f>
        <v>0</v>
      </c>
    </row>
    <row r="39" spans="1:17" x14ac:dyDescent="0.25">
      <c r="A39" s="138"/>
      <c r="B39" s="112" t="str">
        <f>'SUB CPIF RATES (ALL)'!B56</f>
        <v>Indirect Category: [Target Fee]</v>
      </c>
      <c r="C39" s="160">
        <f>+C37+E37</f>
        <v>0</v>
      </c>
      <c r="D39" s="188">
        <f>'SUB CPIF RATES (ALL)'!C56</f>
        <v>0</v>
      </c>
      <c r="E39" s="113">
        <f>ROUND(C39*D39,2)</f>
        <v>0</v>
      </c>
      <c r="F39" s="110"/>
      <c r="G39" s="160">
        <f>+G37+I37</f>
        <v>0</v>
      </c>
      <c r="H39" s="188">
        <f>'SUB CPIF RATES (ALL)'!D56</f>
        <v>0</v>
      </c>
      <c r="I39" s="113">
        <f>ROUND(G39*H39,2)</f>
        <v>0</v>
      </c>
      <c r="J39" s="110"/>
      <c r="K39" s="160">
        <f>+K37+M37</f>
        <v>0</v>
      </c>
      <c r="L39" s="188">
        <f>'SUB CPIF RATES (ALL)'!E56</f>
        <v>0</v>
      </c>
      <c r="M39" s="113">
        <f>ROUND(K39*L39,2)</f>
        <v>0</v>
      </c>
      <c r="N39" s="110"/>
      <c r="O39" s="160">
        <f>+O37+Q37</f>
        <v>0</v>
      </c>
      <c r="P39" s="188">
        <f>'SUB CPIF RATES (ALL)'!F56</f>
        <v>0</v>
      </c>
      <c r="Q39" s="113">
        <f>ROUND(O39*P39,2)</f>
        <v>0</v>
      </c>
    </row>
    <row r="40" spans="1:17" x14ac:dyDescent="0.25">
      <c r="A40" s="138"/>
      <c r="B40" s="186" t="s">
        <v>186</v>
      </c>
      <c r="C40" s="178"/>
      <c r="D40" s="179"/>
      <c r="E40" s="113">
        <f>ROUND(SUM(E34:E37),2)</f>
        <v>0</v>
      </c>
      <c r="F40" s="110"/>
      <c r="G40" s="178"/>
      <c r="H40" s="179"/>
      <c r="I40" s="113">
        <f>ROUND(SUM(I34:I37),2)</f>
        <v>0</v>
      </c>
      <c r="J40" s="110"/>
      <c r="K40" s="178"/>
      <c r="L40" s="179"/>
      <c r="M40" s="113">
        <f>ROUND(SUM(M34:M37),2)</f>
        <v>0</v>
      </c>
      <c r="N40" s="110"/>
      <c r="O40" s="178"/>
      <c r="P40" s="179"/>
      <c r="Q40" s="113">
        <f>ROUND(SUM(Q34:Q37),2)</f>
        <v>0</v>
      </c>
    </row>
    <row r="41" spans="1:17" x14ac:dyDescent="0.25">
      <c r="A41" s="138"/>
      <c r="B41" s="186" t="s">
        <v>72</v>
      </c>
      <c r="C41" s="176"/>
      <c r="D41" s="180"/>
      <c r="E41" s="113">
        <f>ROUND(E38,2)</f>
        <v>0</v>
      </c>
      <c r="F41" s="110"/>
      <c r="G41" s="176"/>
      <c r="H41" s="180"/>
      <c r="I41" s="113">
        <f>ROUND(I38,2)</f>
        <v>0</v>
      </c>
      <c r="J41" s="110"/>
      <c r="K41" s="176"/>
      <c r="L41" s="180"/>
      <c r="M41" s="113">
        <f>ROUND(M38,2)</f>
        <v>0</v>
      </c>
      <c r="N41" s="110"/>
      <c r="O41" s="176"/>
      <c r="P41" s="180"/>
      <c r="Q41" s="113">
        <f>ROUND(Q38,2)</f>
        <v>0</v>
      </c>
    </row>
    <row r="42" spans="1:17" x14ac:dyDescent="0.2">
      <c r="B42" s="186" t="s">
        <v>71</v>
      </c>
      <c r="C42" s="176"/>
      <c r="D42" s="180"/>
      <c r="E42" s="127">
        <f>ROUND(E39,2)</f>
        <v>0</v>
      </c>
      <c r="F42" s="128"/>
      <c r="G42" s="176"/>
      <c r="H42" s="180"/>
      <c r="I42" s="127">
        <f>ROUND(I39,2)</f>
        <v>0</v>
      </c>
      <c r="J42" s="128"/>
      <c r="K42" s="176"/>
      <c r="L42" s="180"/>
      <c r="M42" s="127">
        <f>ROUND(M39,2)</f>
        <v>0</v>
      </c>
      <c r="N42" s="128"/>
      <c r="O42" s="176"/>
      <c r="P42" s="180"/>
      <c r="Q42" s="127">
        <f>ROUND(Q39,2)</f>
        <v>0</v>
      </c>
    </row>
    <row r="43" spans="1:17" ht="16.5" thickBot="1" x14ac:dyDescent="0.25">
      <c r="B43" s="187" t="s">
        <v>173</v>
      </c>
      <c r="C43" s="181"/>
      <c r="D43" s="182"/>
      <c r="E43" s="105">
        <f>SUM(E40:E42)</f>
        <v>0</v>
      </c>
      <c r="F43" s="106"/>
      <c r="G43" s="181"/>
      <c r="H43" s="182"/>
      <c r="I43" s="105">
        <f>SUM(I40:I42)</f>
        <v>0</v>
      </c>
      <c r="J43" s="106"/>
      <c r="K43" s="181"/>
      <c r="L43" s="182"/>
      <c r="M43" s="105">
        <f>SUM(M40:M42)</f>
        <v>0</v>
      </c>
      <c r="N43" s="106"/>
      <c r="O43" s="181"/>
      <c r="P43" s="182"/>
      <c r="Q43" s="105">
        <f>SUM(Q40:Q42)</f>
        <v>0</v>
      </c>
    </row>
    <row r="44" spans="1:17" ht="16.5" thickBot="1" x14ac:dyDescent="0.25">
      <c r="B44" s="117"/>
      <c r="F44" s="132"/>
      <c r="J44" s="132"/>
      <c r="N44" s="132"/>
    </row>
    <row r="45" spans="1:17" ht="16.5" thickBot="1" x14ac:dyDescent="0.3">
      <c r="B45" s="523" t="str">
        <f>B14</f>
        <v>CLIN 0001 (CPIF)                                                    TASK 1.11 SUPPORT EQUIPMENT</v>
      </c>
      <c r="C45" s="490" t="s">
        <v>212</v>
      </c>
      <c r="D45" s="491"/>
      <c r="E45" s="492"/>
      <c r="F45" s="120"/>
      <c r="G45" s="490" t="s">
        <v>212</v>
      </c>
      <c r="H45" s="491"/>
      <c r="I45" s="492"/>
      <c r="J45" s="120"/>
      <c r="K45" s="490" t="s">
        <v>212</v>
      </c>
      <c r="L45" s="491"/>
      <c r="M45" s="492"/>
      <c r="N45" s="120"/>
      <c r="O45" s="490" t="s">
        <v>212</v>
      </c>
      <c r="P45" s="491"/>
      <c r="Q45" s="492"/>
    </row>
    <row r="46" spans="1:17" ht="27.75" customHeight="1" thickBot="1" x14ac:dyDescent="0.3">
      <c r="B46" s="524"/>
      <c r="C46" s="520" t="str">
        <f>C32</f>
        <v>CLIN 0001 - Basic Period (Year 1)</v>
      </c>
      <c r="D46" s="521"/>
      <c r="E46" s="522"/>
      <c r="F46" s="121"/>
      <c r="G46" s="520" t="str">
        <f>G32</f>
        <v>CLIN 0001 - Basic Period (Year 2)</v>
      </c>
      <c r="H46" s="521"/>
      <c r="I46" s="522"/>
      <c r="J46" s="121"/>
      <c r="K46" s="520" t="str">
        <f>K32</f>
        <v>CLIN 0001 - Basic Period (Year 3)</v>
      </c>
      <c r="L46" s="521"/>
      <c r="M46" s="522"/>
      <c r="N46" s="121"/>
      <c r="O46" s="520" t="str">
        <f>O32</f>
        <v>CLIN 0001 - Basic Period (Year 4)</v>
      </c>
      <c r="P46" s="521"/>
      <c r="Q46" s="522"/>
    </row>
    <row r="47" spans="1:17" x14ac:dyDescent="0.25">
      <c r="B47" s="193"/>
      <c r="C47" s="98" t="s">
        <v>289</v>
      </c>
      <c r="D47" s="99" t="s">
        <v>286</v>
      </c>
      <c r="E47" s="100" t="s">
        <v>287</v>
      </c>
      <c r="F47" s="111"/>
      <c r="G47" s="98" t="s">
        <v>289</v>
      </c>
      <c r="H47" s="99" t="s">
        <v>286</v>
      </c>
      <c r="I47" s="100" t="s">
        <v>287</v>
      </c>
      <c r="J47" s="111"/>
      <c r="K47" s="98" t="s">
        <v>289</v>
      </c>
      <c r="L47" s="99" t="s">
        <v>286</v>
      </c>
      <c r="M47" s="100" t="s">
        <v>287</v>
      </c>
      <c r="N47" s="111"/>
      <c r="O47" s="98" t="s">
        <v>289</v>
      </c>
      <c r="P47" s="99" t="s">
        <v>286</v>
      </c>
      <c r="Q47" s="100" t="s">
        <v>287</v>
      </c>
    </row>
    <row r="48" spans="1:17" ht="25.5" x14ac:dyDescent="0.2">
      <c r="B48" s="240" t="s">
        <v>447</v>
      </c>
      <c r="C48" s="226"/>
      <c r="D48" s="226"/>
      <c r="E48" s="262">
        <f>'SUB CPIF TOTAL SUB'!E22</f>
        <v>0</v>
      </c>
      <c r="F48" s="229"/>
      <c r="G48" s="176"/>
      <c r="H48" s="226"/>
      <c r="I48" s="262">
        <f>'SUB CPIF TOTAL SUB'!G22</f>
        <v>0</v>
      </c>
      <c r="J48" s="229"/>
      <c r="K48" s="176"/>
      <c r="L48" s="226"/>
      <c r="M48" s="262">
        <f>'SUB CPIF TOTAL SUB'!I22</f>
        <v>0</v>
      </c>
      <c r="N48" s="110"/>
      <c r="O48" s="176"/>
      <c r="P48" s="226"/>
      <c r="Q48" s="262">
        <f>'SUB CPIF TOTAL SUB'!K22</f>
        <v>0</v>
      </c>
    </row>
    <row r="49" spans="1:17" ht="76.5" x14ac:dyDescent="0.2">
      <c r="B49" s="261" t="s">
        <v>448</v>
      </c>
      <c r="C49" s="527" t="s">
        <v>1</v>
      </c>
      <c r="D49" s="528"/>
      <c r="E49" s="529"/>
      <c r="F49" s="123"/>
      <c r="G49" s="530"/>
      <c r="H49" s="528"/>
      <c r="I49" s="529"/>
      <c r="J49" s="123"/>
      <c r="K49" s="530"/>
      <c r="L49" s="528"/>
      <c r="M49" s="529"/>
      <c r="N49" s="123"/>
      <c r="O49" s="530"/>
      <c r="P49" s="528"/>
      <c r="Q49" s="529"/>
    </row>
    <row r="50" spans="1:17" x14ac:dyDescent="0.2">
      <c r="B50" s="228" t="str">
        <f>'SUB CPIF RATES (ALL)'!B45</f>
        <v>Indirect Category: [Overhead]</v>
      </c>
      <c r="C50" s="227">
        <f>E48</f>
        <v>0</v>
      </c>
      <c r="D50" s="188">
        <f>'SUB CPIF RATES (ALL)'!C45</f>
        <v>0</v>
      </c>
      <c r="E50" s="113">
        <f>ROUND(C50*D50,2)</f>
        <v>0</v>
      </c>
      <c r="F50" s="123"/>
      <c r="G50" s="160">
        <f>I48</f>
        <v>0</v>
      </c>
      <c r="H50" s="188">
        <f>'SUB CPIF RATES (ALL)'!D45</f>
        <v>0</v>
      </c>
      <c r="I50" s="113">
        <f>ROUND(G50*H50,2)</f>
        <v>0</v>
      </c>
      <c r="J50" s="123"/>
      <c r="K50" s="160">
        <f>M48</f>
        <v>0</v>
      </c>
      <c r="L50" s="188">
        <f>'SUB CPIF RATES (ALL)'!E45</f>
        <v>0</v>
      </c>
      <c r="M50" s="113">
        <f>ROUND(K50*L50,2)</f>
        <v>0</v>
      </c>
      <c r="N50" s="123"/>
      <c r="O50" s="160">
        <f>Q48</f>
        <v>0</v>
      </c>
      <c r="P50" s="188">
        <f>'SUB CPIF RATES (ALL)'!F45</f>
        <v>0</v>
      </c>
      <c r="Q50" s="113">
        <f>ROUND(O50*P50,2)</f>
        <v>0</v>
      </c>
    </row>
    <row r="51" spans="1:17" x14ac:dyDescent="0.2">
      <c r="B51" s="228" t="str">
        <f>'SUB CPIF RATES (ALL)'!B46</f>
        <v>Indirect Category: [G&amp;A]</v>
      </c>
      <c r="C51" s="227">
        <f>C50+E50</f>
        <v>0</v>
      </c>
      <c r="D51" s="188">
        <f>'SUB CPIF RATES (ALL)'!C46</f>
        <v>0</v>
      </c>
      <c r="E51" s="113">
        <f>ROUND(C51*D51,2)</f>
        <v>0</v>
      </c>
      <c r="F51" s="229"/>
      <c r="G51" s="227">
        <f>G50+I50</f>
        <v>0</v>
      </c>
      <c r="H51" s="188">
        <f>'SUB CPIF RATES (ALL)'!D46</f>
        <v>0</v>
      </c>
      <c r="I51" s="113">
        <f>ROUND(G51*H51,2)</f>
        <v>0</v>
      </c>
      <c r="J51" s="229"/>
      <c r="K51" s="227">
        <f>K50+M50</f>
        <v>0</v>
      </c>
      <c r="L51" s="188">
        <f>'SUB CPIF RATES (ALL)'!E46</f>
        <v>0</v>
      </c>
      <c r="M51" s="113">
        <f>ROUND(K51*L51,2)</f>
        <v>0</v>
      </c>
      <c r="N51" s="110"/>
      <c r="O51" s="227">
        <f>O50+Q50</f>
        <v>0</v>
      </c>
      <c r="P51" s="188">
        <f>'SUB CPIF RATES (ALL)'!F46</f>
        <v>0</v>
      </c>
      <c r="Q51" s="113">
        <f>ROUND(O51*P51,2)</f>
        <v>0</v>
      </c>
    </row>
    <row r="52" spans="1:17" x14ac:dyDescent="0.2">
      <c r="B52" s="266" t="str">
        <f>'SUB CPIF RATES (ALL)'!B47</f>
        <v>Indirect Category: [FCCOM]</v>
      </c>
      <c r="C52" s="160">
        <f>C51+E51</f>
        <v>0</v>
      </c>
      <c r="D52" s="188">
        <f>'SUB CPIF RATES (ALL)'!C47</f>
        <v>0</v>
      </c>
      <c r="E52" s="268">
        <f>ROUND(C52*D52,2)</f>
        <v>0</v>
      </c>
      <c r="F52" s="229"/>
      <c r="G52" s="160">
        <f>G51+I51</f>
        <v>0</v>
      </c>
      <c r="H52" s="188">
        <f>'SUB CPIF RATES (ALL)'!D47</f>
        <v>0</v>
      </c>
      <c r="I52" s="268">
        <f>ROUND(G52*H52,2)</f>
        <v>0</v>
      </c>
      <c r="J52" s="229"/>
      <c r="K52" s="160">
        <f>K51+M51</f>
        <v>0</v>
      </c>
      <c r="L52" s="188">
        <f>'SUB CPIF RATES (ALL)'!E47</f>
        <v>0</v>
      </c>
      <c r="M52" s="268">
        <f>ROUND(K52*L52,2)</f>
        <v>0</v>
      </c>
      <c r="N52" s="110"/>
      <c r="O52" s="160">
        <f>O51+Q51</f>
        <v>0</v>
      </c>
      <c r="P52" s="188">
        <f>'SUB CPIF RATES (ALL)'!F47</f>
        <v>0</v>
      </c>
      <c r="Q52" s="268">
        <f>ROUND(O52*P52,2)</f>
        <v>0</v>
      </c>
    </row>
    <row r="53" spans="1:17" x14ac:dyDescent="0.2">
      <c r="B53" s="112" t="str">
        <f>'SUB CPIF RATES (ALL)'!B48</f>
        <v>Indirect Category: [Target Fee]</v>
      </c>
      <c r="C53" s="159">
        <f>C51+E51</f>
        <v>0</v>
      </c>
      <c r="D53" s="269">
        <f>'SUB CPIF RATES (ALL)'!C48</f>
        <v>0</v>
      </c>
      <c r="E53" s="268">
        <f>ROUND(C53*D53,2)</f>
        <v>0</v>
      </c>
      <c r="F53" s="229"/>
      <c r="G53" s="159">
        <f>G51+I51</f>
        <v>0</v>
      </c>
      <c r="H53" s="269">
        <f>'SUB CPIF RATES (ALL)'!D48</f>
        <v>0</v>
      </c>
      <c r="I53" s="268">
        <f>ROUND(G53*H53,2)</f>
        <v>0</v>
      </c>
      <c r="J53" s="229"/>
      <c r="K53" s="159">
        <f>K51+M51</f>
        <v>0</v>
      </c>
      <c r="L53" s="269">
        <f>'SUB CPIF RATES (ALL)'!E48</f>
        <v>0</v>
      </c>
      <c r="M53" s="268">
        <f>ROUND(K53*L53,2)</f>
        <v>0</v>
      </c>
      <c r="N53" s="110"/>
      <c r="O53" s="159">
        <f>O51+Q51</f>
        <v>0</v>
      </c>
      <c r="P53" s="269">
        <f>'SUB CPIF RATES (ALL)'!F48</f>
        <v>0</v>
      </c>
      <c r="Q53" s="268">
        <f>ROUND(O53*P53,2)</f>
        <v>0</v>
      </c>
    </row>
    <row r="54" spans="1:17" x14ac:dyDescent="0.2">
      <c r="B54" s="186" t="s">
        <v>214</v>
      </c>
      <c r="C54" s="178"/>
      <c r="D54" s="179"/>
      <c r="E54" s="113">
        <f>ROUND(E48+E50+E51,2)</f>
        <v>0</v>
      </c>
      <c r="F54" s="229"/>
      <c r="G54" s="178"/>
      <c r="H54" s="179"/>
      <c r="I54" s="113">
        <f>ROUND(I48+I50+I51,2)</f>
        <v>0</v>
      </c>
      <c r="J54" s="229"/>
      <c r="K54" s="178"/>
      <c r="L54" s="179"/>
      <c r="M54" s="113">
        <f>ROUND(M48+M50+M51,2)</f>
        <v>0</v>
      </c>
      <c r="N54" s="110"/>
      <c r="O54" s="178"/>
      <c r="P54" s="179"/>
      <c r="Q54" s="113">
        <f>ROUND(Q48+Q50+Q51,2)</f>
        <v>0</v>
      </c>
    </row>
    <row r="55" spans="1:17" x14ac:dyDescent="0.2">
      <c r="B55" s="186" t="s">
        <v>204</v>
      </c>
      <c r="C55" s="176"/>
      <c r="D55" s="180"/>
      <c r="E55" s="113">
        <f>ROUND(E52,2)</f>
        <v>0</v>
      </c>
      <c r="F55" s="229"/>
      <c r="G55" s="176"/>
      <c r="H55" s="180"/>
      <c r="I55" s="113">
        <f>ROUND(I52,2)</f>
        <v>0</v>
      </c>
      <c r="J55" s="229"/>
      <c r="K55" s="176"/>
      <c r="L55" s="180"/>
      <c r="M55" s="113">
        <f>ROUND(M52,2)</f>
        <v>0</v>
      </c>
      <c r="N55" s="110"/>
      <c r="O55" s="176"/>
      <c r="P55" s="180"/>
      <c r="Q55" s="113">
        <f>ROUND(Q52,2)</f>
        <v>0</v>
      </c>
    </row>
    <row r="56" spans="1:17" x14ac:dyDescent="0.2">
      <c r="B56" s="186" t="s">
        <v>71</v>
      </c>
      <c r="C56" s="176"/>
      <c r="D56" s="180"/>
      <c r="E56" s="127">
        <f>ROUND(E53,2)</f>
        <v>0</v>
      </c>
      <c r="F56" s="128"/>
      <c r="G56" s="176"/>
      <c r="H56" s="180"/>
      <c r="I56" s="127">
        <f>ROUND(I53,2)</f>
        <v>0</v>
      </c>
      <c r="J56" s="128"/>
      <c r="K56" s="176"/>
      <c r="L56" s="180"/>
      <c r="M56" s="127">
        <f>ROUND(M53,2)</f>
        <v>0</v>
      </c>
      <c r="N56" s="128"/>
      <c r="O56" s="176"/>
      <c r="P56" s="180"/>
      <c r="Q56" s="127">
        <f>ROUND(Q53,2)</f>
        <v>0</v>
      </c>
    </row>
    <row r="57" spans="1:17" ht="16.5" thickBot="1" x14ac:dyDescent="0.25">
      <c r="B57" s="187" t="s">
        <v>215</v>
      </c>
      <c r="C57" s="181"/>
      <c r="D57" s="182"/>
      <c r="E57" s="105">
        <f>ROUND(SUM(E54:E56),2)</f>
        <v>0</v>
      </c>
      <c r="F57" s="106"/>
      <c r="G57" s="181"/>
      <c r="H57" s="182"/>
      <c r="I57" s="105">
        <f>ROUND(SUM(I54:I56),2)</f>
        <v>0</v>
      </c>
      <c r="J57" s="106"/>
      <c r="K57" s="181"/>
      <c r="L57" s="182"/>
      <c r="M57" s="105">
        <f>ROUND(SUM(M54:M56),2)</f>
        <v>0</v>
      </c>
      <c r="N57" s="106"/>
      <c r="O57" s="181"/>
      <c r="P57" s="182"/>
      <c r="Q57" s="105">
        <f>ROUND(SUM(Q54:Q56),2)</f>
        <v>0</v>
      </c>
    </row>
    <row r="58" spans="1:17" ht="16.5" thickBot="1" x14ac:dyDescent="0.25">
      <c r="B58" s="117"/>
      <c r="F58" s="132"/>
      <c r="J58" s="132"/>
      <c r="N58" s="132"/>
    </row>
    <row r="59" spans="1:17" ht="16.5" customHeight="1" thickBot="1" x14ac:dyDescent="0.3">
      <c r="A59" s="138"/>
      <c r="B59" s="523" t="str">
        <f>B31</f>
        <v>CLIN 0001 (CPIF)                                                    TASK 1.11 SUPPORT EQUIPMENT</v>
      </c>
      <c r="C59" s="490" t="s">
        <v>81</v>
      </c>
      <c r="D59" s="491"/>
      <c r="E59" s="492"/>
      <c r="F59" s="120"/>
      <c r="G59" s="490" t="s">
        <v>82</v>
      </c>
      <c r="H59" s="491"/>
      <c r="I59" s="492"/>
      <c r="J59" s="120"/>
      <c r="K59" s="490" t="s">
        <v>82</v>
      </c>
      <c r="L59" s="491"/>
      <c r="M59" s="492"/>
      <c r="N59" s="120"/>
      <c r="O59" s="490" t="s">
        <v>82</v>
      </c>
      <c r="P59" s="491"/>
      <c r="Q59" s="492"/>
    </row>
    <row r="60" spans="1:17" ht="33.75" customHeight="1" thickBot="1" x14ac:dyDescent="0.3">
      <c r="A60" s="138"/>
      <c r="B60" s="524"/>
      <c r="C60" s="520" t="str">
        <f>C32</f>
        <v>CLIN 0001 - Basic Period (Year 1)</v>
      </c>
      <c r="D60" s="521"/>
      <c r="E60" s="522"/>
      <c r="F60" s="121"/>
      <c r="G60" s="520" t="str">
        <f>G32</f>
        <v>CLIN 0001 - Basic Period (Year 2)</v>
      </c>
      <c r="H60" s="521"/>
      <c r="I60" s="522"/>
      <c r="J60" s="121"/>
      <c r="K60" s="520" t="str">
        <f>K32</f>
        <v>CLIN 0001 - Basic Period (Year 3)</v>
      </c>
      <c r="L60" s="521"/>
      <c r="M60" s="522"/>
      <c r="N60" s="121"/>
      <c r="O60" s="520" t="str">
        <f>O32</f>
        <v>CLIN 0001 - Basic Period (Year 4)</v>
      </c>
      <c r="P60" s="521"/>
      <c r="Q60" s="522"/>
    </row>
    <row r="61" spans="1:17" x14ac:dyDescent="0.25">
      <c r="A61" s="138"/>
      <c r="B61" s="193"/>
      <c r="C61" s="98" t="s">
        <v>289</v>
      </c>
      <c r="D61" s="99" t="s">
        <v>286</v>
      </c>
      <c r="E61" s="100" t="s">
        <v>89</v>
      </c>
      <c r="F61" s="111"/>
      <c r="G61" s="98" t="s">
        <v>289</v>
      </c>
      <c r="H61" s="99" t="s">
        <v>286</v>
      </c>
      <c r="I61" s="100" t="s">
        <v>89</v>
      </c>
      <c r="J61" s="111"/>
      <c r="K61" s="98" t="s">
        <v>289</v>
      </c>
      <c r="L61" s="99" t="s">
        <v>286</v>
      </c>
      <c r="M61" s="100" t="s">
        <v>89</v>
      </c>
      <c r="N61" s="111"/>
      <c r="O61" s="98" t="s">
        <v>289</v>
      </c>
      <c r="P61" s="99" t="s">
        <v>286</v>
      </c>
      <c r="Q61" s="100" t="s">
        <v>89</v>
      </c>
    </row>
    <row r="62" spans="1:17" ht="26.25" x14ac:dyDescent="0.25">
      <c r="A62" s="138"/>
      <c r="B62" s="240" t="s">
        <v>449</v>
      </c>
      <c r="C62" s="176"/>
      <c r="D62" s="226"/>
      <c r="E62" s="262">
        <f>'SUB CPIF TOTAL ODC'!E23</f>
        <v>0</v>
      </c>
      <c r="F62" s="229"/>
      <c r="G62" s="176"/>
      <c r="H62" s="226"/>
      <c r="I62" s="262">
        <f>'SUB CPIF TOTAL ODC'!G23</f>
        <v>0</v>
      </c>
      <c r="J62" s="229"/>
      <c r="K62" s="176"/>
      <c r="L62" s="226"/>
      <c r="M62" s="310">
        <f>'SUB CPIF TOTAL ODC'!I23</f>
        <v>0</v>
      </c>
      <c r="N62" s="229"/>
      <c r="O62" s="176"/>
      <c r="P62" s="226"/>
      <c r="Q62" s="310">
        <f>'SUB CPIF TOTAL ODC'!K23</f>
        <v>0</v>
      </c>
    </row>
    <row r="63" spans="1:17" ht="66" customHeight="1" x14ac:dyDescent="0.25">
      <c r="A63" s="138"/>
      <c r="B63" s="374" t="s">
        <v>450</v>
      </c>
      <c r="C63" s="314"/>
      <c r="D63" s="314"/>
      <c r="E63" s="313"/>
      <c r="F63" s="229"/>
      <c r="G63" s="315"/>
      <c r="H63" s="314"/>
      <c r="I63" s="313"/>
      <c r="J63" s="229"/>
      <c r="K63" s="315"/>
      <c r="L63" s="314"/>
      <c r="M63" s="310"/>
      <c r="N63" s="229"/>
      <c r="O63" s="315"/>
      <c r="P63" s="314"/>
      <c r="Q63" s="310"/>
    </row>
    <row r="64" spans="1:17" x14ac:dyDescent="0.25">
      <c r="A64" s="138"/>
      <c r="B64" s="112" t="s">
        <v>60</v>
      </c>
      <c r="C64" s="160">
        <f>+E62</f>
        <v>0</v>
      </c>
      <c r="D64" s="188">
        <f>'SUB CPIF RATES (ALL)'!C61</f>
        <v>0</v>
      </c>
      <c r="E64" s="113">
        <f>ROUND(C64*D64,2)</f>
        <v>0</v>
      </c>
      <c r="F64" s="123"/>
      <c r="G64" s="160">
        <f>+I62</f>
        <v>0</v>
      </c>
      <c r="H64" s="188">
        <f>'SUB CPIF RATES (ALL)'!D61</f>
        <v>0</v>
      </c>
      <c r="I64" s="113">
        <f>ROUND(G64*H64,2)</f>
        <v>0</v>
      </c>
      <c r="J64" s="123"/>
      <c r="K64" s="160">
        <f>+M62</f>
        <v>0</v>
      </c>
      <c r="L64" s="188">
        <f>'SUB CPIF RATES (ALL)'!E61</f>
        <v>0</v>
      </c>
      <c r="M64" s="113">
        <f>ROUND(K64*L64,2)</f>
        <v>0</v>
      </c>
      <c r="N64" s="123"/>
      <c r="O64" s="160">
        <f>+Q62</f>
        <v>0</v>
      </c>
      <c r="P64" s="188">
        <f>'SUB CPIF RATES (ALL)'!F61</f>
        <v>0</v>
      </c>
      <c r="Q64" s="113">
        <f>ROUND(O64*P64,2)</f>
        <v>0</v>
      </c>
    </row>
    <row r="65" spans="1:17" x14ac:dyDescent="0.25">
      <c r="A65" s="138"/>
      <c r="B65" s="112" t="s">
        <v>61</v>
      </c>
      <c r="C65" s="160">
        <f>+C64+E64</f>
        <v>0</v>
      </c>
      <c r="D65" s="188">
        <f>'SUB CPIF RATES (ALL)'!C62</f>
        <v>0</v>
      </c>
      <c r="E65" s="113">
        <f>ROUND(C65*D65,2)</f>
        <v>0</v>
      </c>
      <c r="F65" s="123"/>
      <c r="G65" s="160">
        <f>+G64+I64</f>
        <v>0</v>
      </c>
      <c r="H65" s="188">
        <f>'SUB CPIF RATES (ALL)'!D62</f>
        <v>0</v>
      </c>
      <c r="I65" s="113">
        <f>ROUND(G65*H65,2)</f>
        <v>0</v>
      </c>
      <c r="J65" s="123"/>
      <c r="K65" s="160">
        <f>+K64+M64</f>
        <v>0</v>
      </c>
      <c r="L65" s="188">
        <f>'SUB CPIF RATES (ALL)'!E62</f>
        <v>0</v>
      </c>
      <c r="M65" s="113">
        <f>ROUND(K65*L65,2)</f>
        <v>0</v>
      </c>
      <c r="N65" s="123"/>
      <c r="O65" s="160">
        <f>+O64+Q64</f>
        <v>0</v>
      </c>
      <c r="P65" s="188">
        <f>'SUB CPIF RATES (ALL)'!F62</f>
        <v>0</v>
      </c>
      <c r="Q65" s="113">
        <f>ROUND(O65*P65,2)</f>
        <v>0</v>
      </c>
    </row>
    <row r="66" spans="1:17" x14ac:dyDescent="0.25">
      <c r="A66" s="138"/>
      <c r="B66" s="112" t="s">
        <v>411</v>
      </c>
      <c r="C66" s="160">
        <f>C65+E65</f>
        <v>0</v>
      </c>
      <c r="D66" s="188">
        <f>'SUB CPIF RATES (ALL)'!C63</f>
        <v>0</v>
      </c>
      <c r="E66" s="113">
        <f>ROUND(C66*D66,2)</f>
        <v>0</v>
      </c>
      <c r="F66" s="229"/>
      <c r="G66" s="160">
        <f>G65+I65</f>
        <v>0</v>
      </c>
      <c r="H66" s="188">
        <f>'SUB CPIF RATES (ALL)'!D63</f>
        <v>0</v>
      </c>
      <c r="I66" s="113">
        <f>ROUND(G66*H66,2)</f>
        <v>0</v>
      </c>
      <c r="J66" s="229"/>
      <c r="K66" s="160">
        <f>K65+M65</f>
        <v>0</v>
      </c>
      <c r="L66" s="188">
        <f>'SUB CPIF RATES (ALL)'!E63</f>
        <v>0</v>
      </c>
      <c r="M66" s="113">
        <f>ROUND(K66*L66,2)</f>
        <v>0</v>
      </c>
      <c r="N66" s="229"/>
      <c r="O66" s="160">
        <f>O65+Q65</f>
        <v>0</v>
      </c>
      <c r="P66" s="188">
        <f>'SUB CPIF RATES (ALL)'!F63</f>
        <v>0</v>
      </c>
      <c r="Q66" s="113">
        <f>ROUND(O66*P66,2)</f>
        <v>0</v>
      </c>
    </row>
    <row r="67" spans="1:17" x14ac:dyDescent="0.25">
      <c r="A67" s="138"/>
      <c r="B67" s="112" t="s">
        <v>62</v>
      </c>
      <c r="C67" s="160">
        <f>+C65+E65</f>
        <v>0</v>
      </c>
      <c r="D67" s="269">
        <f>'SUB CPIF RATES (ALL)'!C64</f>
        <v>0</v>
      </c>
      <c r="E67" s="113">
        <f>ROUND(C67*D67,2)</f>
        <v>0</v>
      </c>
      <c r="F67" s="229"/>
      <c r="G67" s="160">
        <f>+G65+I65</f>
        <v>0</v>
      </c>
      <c r="H67" s="269">
        <f>'SUB CPIF RATES (ALL)'!D64</f>
        <v>0</v>
      </c>
      <c r="I67" s="113">
        <f>ROUND(G67*H67,2)</f>
        <v>0</v>
      </c>
      <c r="J67" s="229"/>
      <c r="K67" s="160">
        <f>+K65+M65</f>
        <v>0</v>
      </c>
      <c r="L67" s="269">
        <f>'SUB CPIF RATES (ALL)'!E64</f>
        <v>0</v>
      </c>
      <c r="M67" s="113">
        <f>ROUND(K67*L67,2)</f>
        <v>0</v>
      </c>
      <c r="N67" s="229"/>
      <c r="O67" s="160">
        <f>+O65+Q65</f>
        <v>0</v>
      </c>
      <c r="P67" s="269">
        <f>'SUB CPIF RATES (ALL)'!F64</f>
        <v>0</v>
      </c>
      <c r="Q67" s="113">
        <f>ROUND(O67*P67,2)</f>
        <v>0</v>
      </c>
    </row>
    <row r="68" spans="1:17" x14ac:dyDescent="0.25">
      <c r="A68" s="138"/>
      <c r="B68" s="186" t="s">
        <v>187</v>
      </c>
      <c r="C68" s="178"/>
      <c r="D68" s="179"/>
      <c r="E68" s="113">
        <f>ROUND(SUM(E62:E65),2)</f>
        <v>0</v>
      </c>
      <c r="F68" s="229"/>
      <c r="G68" s="178"/>
      <c r="H68" s="179"/>
      <c r="I68" s="113">
        <f>ROUND(SUM(I62:I65),2)</f>
        <v>0</v>
      </c>
      <c r="J68" s="229"/>
      <c r="K68" s="178"/>
      <c r="L68" s="179"/>
      <c r="M68" s="113">
        <f>ROUND(SUM(M62:M65),2)</f>
        <v>0</v>
      </c>
      <c r="N68" s="229"/>
      <c r="O68" s="178"/>
      <c r="P68" s="179"/>
      <c r="Q68" s="113">
        <f>ROUND(SUM(Q62:Q65),2)</f>
        <v>0</v>
      </c>
    </row>
    <row r="69" spans="1:17" x14ac:dyDescent="0.25">
      <c r="A69" s="138"/>
      <c r="B69" s="186" t="s">
        <v>72</v>
      </c>
      <c r="C69" s="176"/>
      <c r="D69" s="180"/>
      <c r="E69" s="113">
        <f>ROUND(E66,2)</f>
        <v>0</v>
      </c>
      <c r="F69" s="229"/>
      <c r="G69" s="176"/>
      <c r="H69" s="180"/>
      <c r="I69" s="113">
        <f>ROUND(I66,2)</f>
        <v>0</v>
      </c>
      <c r="J69" s="229"/>
      <c r="K69" s="176"/>
      <c r="L69" s="180"/>
      <c r="M69" s="113">
        <f>ROUND(M66,2)</f>
        <v>0</v>
      </c>
      <c r="N69" s="229"/>
      <c r="O69" s="176"/>
      <c r="P69" s="180"/>
      <c r="Q69" s="113">
        <f>ROUND(Q66,2)</f>
        <v>0</v>
      </c>
    </row>
    <row r="70" spans="1:17" x14ac:dyDescent="0.2">
      <c r="A70" s="131"/>
      <c r="B70" s="186" t="s">
        <v>71</v>
      </c>
      <c r="C70" s="176"/>
      <c r="D70" s="180"/>
      <c r="E70" s="127">
        <f>ROUND(E67,2)</f>
        <v>0</v>
      </c>
      <c r="F70" s="128"/>
      <c r="G70" s="176"/>
      <c r="H70" s="180"/>
      <c r="I70" s="127">
        <f>ROUND(I67,2)</f>
        <v>0</v>
      </c>
      <c r="J70" s="128"/>
      <c r="K70" s="176"/>
      <c r="L70" s="180"/>
      <c r="M70" s="127">
        <f>ROUND(M67,2)</f>
        <v>0</v>
      </c>
      <c r="N70" s="128"/>
      <c r="O70" s="176"/>
      <c r="P70" s="180"/>
      <c r="Q70" s="127">
        <f>ROUND(Q67,2)</f>
        <v>0</v>
      </c>
    </row>
    <row r="71" spans="1:17" ht="16.5" thickBot="1" x14ac:dyDescent="0.25">
      <c r="A71" s="131"/>
      <c r="B71" s="187" t="s">
        <v>174</v>
      </c>
      <c r="C71" s="181"/>
      <c r="D71" s="182"/>
      <c r="E71" s="105">
        <f>ROUND(SUM(E68:E70),2)</f>
        <v>0</v>
      </c>
      <c r="F71" s="106"/>
      <c r="G71" s="181"/>
      <c r="H71" s="182"/>
      <c r="I71" s="105">
        <f>ROUND(SUM(I68:I70),2)</f>
        <v>0</v>
      </c>
      <c r="J71" s="106"/>
      <c r="K71" s="181"/>
      <c r="L71" s="182"/>
      <c r="M71" s="105">
        <f>ROUND(SUM(M68:M70),2)</f>
        <v>0</v>
      </c>
      <c r="N71" s="106"/>
      <c r="O71" s="181"/>
      <c r="P71" s="182"/>
      <c r="Q71" s="105">
        <f>ROUND(SUM(Q68:Q70),2)</f>
        <v>0</v>
      </c>
    </row>
    <row r="72" spans="1:17" ht="16.5" thickBot="1" x14ac:dyDescent="0.25">
      <c r="A72" s="131"/>
      <c r="B72" s="117"/>
      <c r="F72" s="132"/>
      <c r="J72" s="132"/>
      <c r="N72" s="132"/>
    </row>
    <row r="73" spans="1:17" ht="16.5" thickBot="1" x14ac:dyDescent="0.3">
      <c r="A73" s="131"/>
      <c r="B73" s="531" t="str">
        <f>B59</f>
        <v>CLIN 0001 (CPIF)                                                    TASK 1.11 SUPPORT EQUIPMENT</v>
      </c>
      <c r="C73" s="517" t="s">
        <v>213</v>
      </c>
      <c r="D73" s="518"/>
      <c r="E73" s="519"/>
      <c r="F73" s="120"/>
      <c r="G73" s="517" t="s">
        <v>213</v>
      </c>
      <c r="H73" s="518"/>
      <c r="I73" s="519"/>
      <c r="J73" s="120"/>
      <c r="K73" s="517" t="s">
        <v>213</v>
      </c>
      <c r="L73" s="518"/>
      <c r="M73" s="519"/>
      <c r="N73" s="120"/>
      <c r="O73" s="517" t="s">
        <v>213</v>
      </c>
      <c r="P73" s="518"/>
      <c r="Q73" s="519"/>
    </row>
    <row r="74" spans="1:17" ht="33.75" customHeight="1" thickBot="1" x14ac:dyDescent="0.3">
      <c r="A74" s="131"/>
      <c r="B74" s="532"/>
      <c r="C74" s="221"/>
      <c r="D74" s="222"/>
      <c r="E74" s="133" t="s">
        <v>200</v>
      </c>
      <c r="F74" s="134"/>
      <c r="G74" s="221"/>
      <c r="H74" s="222"/>
      <c r="I74" s="133" t="s">
        <v>201</v>
      </c>
      <c r="J74" s="134"/>
      <c r="K74" s="221"/>
      <c r="L74" s="222"/>
      <c r="M74" s="133" t="s">
        <v>203</v>
      </c>
      <c r="N74" s="134"/>
      <c r="O74" s="221"/>
      <c r="P74" s="222"/>
      <c r="Q74" s="133" t="s">
        <v>202</v>
      </c>
    </row>
    <row r="75" spans="1:17" x14ac:dyDescent="0.2">
      <c r="A75" s="131"/>
      <c r="B75" s="112" t="s">
        <v>188</v>
      </c>
      <c r="C75" s="223"/>
      <c r="D75" s="223"/>
      <c r="E75" s="135">
        <f>+ROUND(E26+E40+E54+E68,2)</f>
        <v>0</v>
      </c>
      <c r="F75" s="110"/>
      <c r="G75" s="223"/>
      <c r="H75" s="223"/>
      <c r="I75" s="135">
        <f>+ROUND(I26+I40+I54+I68,2)</f>
        <v>0</v>
      </c>
      <c r="J75" s="110"/>
      <c r="K75" s="223"/>
      <c r="L75" s="223"/>
      <c r="M75" s="135">
        <f>+ROUND(M26+M40+M54+M68,2)</f>
        <v>0</v>
      </c>
      <c r="N75" s="110"/>
      <c r="O75" s="223"/>
      <c r="P75" s="223"/>
      <c r="Q75" s="135">
        <f>+ROUND(Q26+Q40+Q54+Q68,2)</f>
        <v>0</v>
      </c>
    </row>
    <row r="76" spans="1:17" x14ac:dyDescent="0.2">
      <c r="A76" s="131"/>
      <c r="B76" s="112" t="s">
        <v>72</v>
      </c>
      <c r="C76" s="223"/>
      <c r="D76" s="223"/>
      <c r="E76" s="113">
        <f>+ROUND(E27+E41+E55+E69,2)</f>
        <v>0</v>
      </c>
      <c r="F76" s="110"/>
      <c r="G76" s="223"/>
      <c r="H76" s="223"/>
      <c r="I76" s="113">
        <f>+ROUND(I27+I41+I55+I69,2)</f>
        <v>0</v>
      </c>
      <c r="J76" s="110"/>
      <c r="K76" s="223"/>
      <c r="L76" s="223"/>
      <c r="M76" s="113">
        <f>+ROUND(M27+M41+M55+M69,2)</f>
        <v>0</v>
      </c>
      <c r="N76" s="110"/>
      <c r="O76" s="223"/>
      <c r="P76" s="223"/>
      <c r="Q76" s="113">
        <f>+ROUND(Q27+Q41+Q55+Q69,2)</f>
        <v>0</v>
      </c>
    </row>
    <row r="77" spans="1:17" x14ac:dyDescent="0.2">
      <c r="A77" s="131"/>
      <c r="B77" s="112" t="s">
        <v>71</v>
      </c>
      <c r="C77" s="223"/>
      <c r="D77" s="223"/>
      <c r="E77" s="114">
        <f>+ROUND(E28+E42+E56+E70,2)</f>
        <v>0</v>
      </c>
      <c r="F77" s="115"/>
      <c r="G77" s="223"/>
      <c r="H77" s="223"/>
      <c r="I77" s="114">
        <f>+ROUND(I28+I42+I56+I70,2)</f>
        <v>0</v>
      </c>
      <c r="J77" s="115"/>
      <c r="K77" s="223"/>
      <c r="L77" s="223"/>
      <c r="M77" s="114">
        <f>+ROUND(M28+M42+M56+M70,2)</f>
        <v>0</v>
      </c>
      <c r="N77" s="115"/>
      <c r="O77" s="223"/>
      <c r="P77" s="223"/>
      <c r="Q77" s="114">
        <f>+ROUND(Q28+Q42+Q56+Q70,2)</f>
        <v>0</v>
      </c>
    </row>
    <row r="78" spans="1:17" ht="32.25" thickBot="1" x14ac:dyDescent="0.3">
      <c r="A78" s="131"/>
      <c r="B78" s="209" t="s">
        <v>368</v>
      </c>
      <c r="C78" s="224"/>
      <c r="D78" s="224"/>
      <c r="E78" s="208">
        <f>SUM(E75:E77)</f>
        <v>0</v>
      </c>
      <c r="F78" s="116"/>
      <c r="G78" s="224"/>
      <c r="H78" s="224"/>
      <c r="I78" s="208">
        <f>SUM(I75:I77)</f>
        <v>0</v>
      </c>
      <c r="J78" s="116"/>
      <c r="K78" s="224"/>
      <c r="L78" s="224"/>
      <c r="M78" s="208">
        <f>SUM(M75:M77)</f>
        <v>0</v>
      </c>
      <c r="N78" s="116"/>
      <c r="O78" s="224"/>
      <c r="P78" s="224"/>
      <c r="Q78" s="208">
        <f>SUM(Q75:Q77)</f>
        <v>0</v>
      </c>
    </row>
    <row r="79" spans="1:17" ht="16.5" thickBot="1" x14ac:dyDescent="0.3"/>
    <row r="80" spans="1:17" ht="31.5" x14ac:dyDescent="0.25">
      <c r="Q80" s="323" t="s">
        <v>369</v>
      </c>
    </row>
    <row r="81" spans="17:17" ht="16.5" thickBot="1" x14ac:dyDescent="0.3">
      <c r="Q81" s="322">
        <f>E78+I78+M78+Q78</f>
        <v>0</v>
      </c>
    </row>
  </sheetData>
  <mergeCells count="46">
    <mergeCell ref="C49:E49"/>
    <mergeCell ref="G49:I49"/>
    <mergeCell ref="K49:M49"/>
    <mergeCell ref="O49:Q49"/>
    <mergeCell ref="B45:B46"/>
    <mergeCell ref="C45:E45"/>
    <mergeCell ref="G45:I45"/>
    <mergeCell ref="K45:M45"/>
    <mergeCell ref="O45:Q45"/>
    <mergeCell ref="C46:E46"/>
    <mergeCell ref="G46:I46"/>
    <mergeCell ref="K46:M46"/>
    <mergeCell ref="O46:Q46"/>
    <mergeCell ref="O60:Q60"/>
    <mergeCell ref="O73:Q73"/>
    <mergeCell ref="O14:Q14"/>
    <mergeCell ref="O15:Q15"/>
    <mergeCell ref="O31:Q31"/>
    <mergeCell ref="O32:Q32"/>
    <mergeCell ref="O59:Q59"/>
    <mergeCell ref="C15:E15"/>
    <mergeCell ref="G15:I15"/>
    <mergeCell ref="K15:M15"/>
    <mergeCell ref="A4:C4"/>
    <mergeCell ref="B14:B15"/>
    <mergeCell ref="C14:E14"/>
    <mergeCell ref="G14:I14"/>
    <mergeCell ref="K14:M14"/>
    <mergeCell ref="B31:B32"/>
    <mergeCell ref="C31:E31"/>
    <mergeCell ref="G31:I31"/>
    <mergeCell ref="K31:M31"/>
    <mergeCell ref="C32:E32"/>
    <mergeCell ref="G32:I32"/>
    <mergeCell ref="K32:M32"/>
    <mergeCell ref="B59:B60"/>
    <mergeCell ref="C59:E59"/>
    <mergeCell ref="G59:I59"/>
    <mergeCell ref="K59:M59"/>
    <mergeCell ref="B73:B74"/>
    <mergeCell ref="C73:E73"/>
    <mergeCell ref="G73:I73"/>
    <mergeCell ref="K73:M73"/>
    <mergeCell ref="C60:E60"/>
    <mergeCell ref="G60:I60"/>
    <mergeCell ref="K60:M60"/>
  </mergeCells>
  <pageMargins left="0.7" right="0.7" top="0.75" bottom="0.75" header="0.3" footer="0.3"/>
  <pageSetup orientation="portrait" horizontalDpi="1200" verticalDpi="1200"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1F45B0-E584-4EAF-AEA7-1A1B6F231106}">
  <dimension ref="A1:S76"/>
  <sheetViews>
    <sheetView zoomScale="80" zoomScaleNormal="80" workbookViewId="0">
      <pane xSplit="2" ySplit="8" topLeftCell="C9" activePane="bottomRight" state="frozen"/>
      <selection pane="topRight" activeCell="C1" sqref="C1"/>
      <selection pane="bottomLeft" activeCell="A7" sqref="A7"/>
      <selection pane="bottomRight" activeCell="C3" sqref="C3"/>
    </sheetView>
  </sheetViews>
  <sheetFormatPr defaultColWidth="15.85546875" defaultRowHeight="15.75" x14ac:dyDescent="0.25"/>
  <cols>
    <col min="1" max="1" width="3.42578125" style="136" customWidth="1"/>
    <col min="2" max="2" width="49.140625" style="119" customWidth="1"/>
    <col min="3" max="3" width="18.28515625" style="131" bestFit="1" customWidth="1"/>
    <col min="4" max="4" width="12.42578125" style="131" bestFit="1" customWidth="1"/>
    <col min="5" max="5" width="32.140625" style="131" bestFit="1" customWidth="1"/>
    <col min="6" max="6" width="1" style="131" customWidth="1"/>
    <col min="7" max="7" width="14.28515625" style="131" customWidth="1"/>
    <col min="8" max="8" width="14.5703125" style="131" customWidth="1"/>
    <col min="9" max="9" width="33.28515625" style="131" customWidth="1"/>
    <col min="10" max="10" width="1" style="131" customWidth="1"/>
    <col min="11" max="11" width="16.7109375" style="131" customWidth="1"/>
    <col min="12" max="12" width="16.28515625" style="131" customWidth="1"/>
    <col min="13" max="13" width="34" style="131" bestFit="1" customWidth="1"/>
    <col min="14" max="14" width="0.85546875" style="131" customWidth="1"/>
    <col min="15" max="15" width="12.85546875" style="131" bestFit="1" customWidth="1"/>
    <col min="16" max="16" width="13.7109375" style="131" customWidth="1"/>
    <col min="17" max="17" width="33.85546875" style="131" customWidth="1"/>
    <col min="18" max="18" width="5.140625" style="131" customWidth="1"/>
    <col min="19" max="16384" width="15.85546875" style="131"/>
  </cols>
  <sheetData>
    <row r="1" spans="1:17" ht="16.5" thickBot="1" x14ac:dyDescent="0.3">
      <c r="B1" s="321" t="s">
        <v>460</v>
      </c>
      <c r="C1" s="394" t="str">
        <f>'SUB CPIF RATES (ALL)'!C1</f>
        <v xml:space="preserve">NAME </v>
      </c>
    </row>
    <row r="2" spans="1:17" ht="16.5" thickBot="1" x14ac:dyDescent="0.3">
      <c r="B2" s="395" t="s">
        <v>459</v>
      </c>
      <c r="C2" s="396" t="str">
        <f>'SUB CPIF RATES (ALL)'!C2</f>
        <v xml:space="preserve">NAME </v>
      </c>
    </row>
    <row r="3" spans="1:17" ht="16.5" thickBot="1" x14ac:dyDescent="0.3"/>
    <row r="4" spans="1:17" ht="52.5" customHeight="1" thickBot="1" x14ac:dyDescent="0.3">
      <c r="A4" s="466" t="s">
        <v>253</v>
      </c>
      <c r="B4" s="467"/>
      <c r="C4" s="468"/>
      <c r="I4" s="194"/>
      <c r="J4" s="194"/>
      <c r="K4" s="194"/>
      <c r="L4" s="194"/>
    </row>
    <row r="5" spans="1:17" x14ac:dyDescent="0.25">
      <c r="I5" s="194"/>
      <c r="J5" s="194"/>
      <c r="K5" s="194"/>
      <c r="L5" s="194"/>
    </row>
    <row r="6" spans="1:17" x14ac:dyDescent="0.2">
      <c r="B6" s="204" t="s">
        <v>65</v>
      </c>
      <c r="C6" s="139"/>
    </row>
    <row r="7" spans="1:17" x14ac:dyDescent="0.25">
      <c r="A7" s="137"/>
      <c r="B7" s="201" t="s">
        <v>99</v>
      </c>
      <c r="C7" s="139"/>
    </row>
    <row r="8" spans="1:17" x14ac:dyDescent="0.25">
      <c r="A8" s="137"/>
      <c r="B8" s="201" t="s">
        <v>451</v>
      </c>
      <c r="C8" s="139"/>
    </row>
    <row r="9" spans="1:17" ht="16.5" thickBot="1" x14ac:dyDescent="0.3"/>
    <row r="10" spans="1:17" ht="16.5" thickBot="1" x14ac:dyDescent="0.3">
      <c r="A10" s="138"/>
      <c r="B10" s="523" t="s">
        <v>223</v>
      </c>
      <c r="C10" s="490" t="s">
        <v>69</v>
      </c>
      <c r="D10" s="491"/>
      <c r="E10" s="492"/>
      <c r="F10" s="96"/>
      <c r="G10" s="490" t="s">
        <v>69</v>
      </c>
      <c r="H10" s="491"/>
      <c r="I10" s="492"/>
      <c r="J10" s="96"/>
      <c r="K10" s="490" t="s">
        <v>69</v>
      </c>
      <c r="L10" s="491"/>
      <c r="M10" s="492"/>
      <c r="N10" s="96"/>
      <c r="O10" s="490" t="s">
        <v>69</v>
      </c>
      <c r="P10" s="491"/>
      <c r="Q10" s="492"/>
    </row>
    <row r="11" spans="1:17" ht="32.25" customHeight="1" thickBot="1" x14ac:dyDescent="0.3">
      <c r="A11" s="138"/>
      <c r="B11" s="524"/>
      <c r="C11" s="520" t="s">
        <v>205</v>
      </c>
      <c r="D11" s="521"/>
      <c r="E11" s="522"/>
      <c r="F11" s="97"/>
      <c r="G11" s="520" t="s">
        <v>206</v>
      </c>
      <c r="H11" s="521"/>
      <c r="I11" s="522"/>
      <c r="J11" s="97"/>
      <c r="K11" s="520" t="s">
        <v>207</v>
      </c>
      <c r="L11" s="521"/>
      <c r="M11" s="522"/>
      <c r="N11" s="97"/>
      <c r="O11" s="520" t="s">
        <v>208</v>
      </c>
      <c r="P11" s="521"/>
      <c r="Q11" s="522"/>
    </row>
    <row r="12" spans="1:17" x14ac:dyDescent="0.25">
      <c r="A12" s="138"/>
      <c r="B12" s="98" t="s">
        <v>46</v>
      </c>
      <c r="C12" s="98" t="s">
        <v>29</v>
      </c>
      <c r="D12" s="99" t="s">
        <v>68</v>
      </c>
      <c r="E12" s="100" t="s">
        <v>74</v>
      </c>
      <c r="F12" s="101"/>
      <c r="G12" s="98" t="s">
        <v>29</v>
      </c>
      <c r="H12" s="99" t="s">
        <v>68</v>
      </c>
      <c r="I12" s="100" t="s">
        <v>74</v>
      </c>
      <c r="J12" s="101"/>
      <c r="K12" s="98" t="s">
        <v>29</v>
      </c>
      <c r="L12" s="99" t="s">
        <v>68</v>
      </c>
      <c r="M12" s="100" t="s">
        <v>74</v>
      </c>
      <c r="N12" s="101"/>
      <c r="O12" s="98" t="s">
        <v>29</v>
      </c>
      <c r="P12" s="99" t="s">
        <v>68</v>
      </c>
      <c r="Q12" s="100" t="s">
        <v>74</v>
      </c>
    </row>
    <row r="13" spans="1:17" ht="16.5" thickBot="1" x14ac:dyDescent="0.3">
      <c r="A13" s="138"/>
      <c r="B13" s="148" t="s">
        <v>1</v>
      </c>
      <c r="C13" s="230"/>
      <c r="D13" s="231"/>
      <c r="E13" s="232"/>
      <c r="F13" s="101"/>
      <c r="G13" s="230"/>
      <c r="H13" s="231"/>
      <c r="I13" s="232"/>
      <c r="J13" s="101"/>
      <c r="K13" s="230"/>
      <c r="L13" s="231"/>
      <c r="M13" s="232"/>
      <c r="N13" s="101"/>
      <c r="O13" s="230"/>
      <c r="P13" s="231"/>
      <c r="Q13" s="232"/>
    </row>
    <row r="14" spans="1:17" ht="16.5" thickBot="1" x14ac:dyDescent="0.3">
      <c r="A14" s="138"/>
      <c r="B14" s="107" t="s">
        <v>87</v>
      </c>
      <c r="C14" s="108">
        <f>'CPIF CLIN 0001-TASK 1.01 INPUTS'!C20+'CPIF CLIN 0001-TASK 1.02 INPUTS'!C18+'CPIF CLIN 0001-TASK 1.03 INPUTS'!C18+'CPIF CLIN 0001 TASK 1.04 INPUTS'!C18+'CPIF CLIN 0001-TASK 1.05 INPUTS'!C18+'CPIF CLIN 0001-TASK 1.06 INPUTS'!C18+'CPIF CLIN 0001-TASK 1.07 INPUTS'!C18+'CPIF CLIN 0001-TASK 1.08 INPUTS'!C18+'CPIF CLIN 0001-TASK 1.09 INPUTS'!C18+'CPIF CLIN 0001-TASK 1.10 INPUTS'!C18+'CPIF CLIN 0001-TASK 1.11 INPUTS'!C18</f>
        <v>0</v>
      </c>
      <c r="D14" s="150"/>
      <c r="E14" s="108">
        <f>'CPIF CLIN 0001-TASK 1.01 INPUTS'!E20+'CPIF CLIN 0001-TASK 1.02 INPUTS'!E18+'CPIF CLIN 0001-TASK 1.03 INPUTS'!E18+'CPIF CLIN 0001 TASK 1.04 INPUTS'!E18+'CPIF CLIN 0001-TASK 1.05 INPUTS'!E18+'CPIF CLIN 0001-TASK 1.06 INPUTS'!E18+'CPIF CLIN 0001-TASK 1.07 INPUTS'!E18+'CPIF CLIN 0001-TASK 1.08 INPUTS'!E18+'CPIF CLIN 0001-TASK 1.09 INPUTS'!E18+'CPIF CLIN 0001-TASK 1.10 INPUTS'!E18+'CPIF CLIN 0001-TASK 1.11 INPUTS'!E18</f>
        <v>0</v>
      </c>
      <c r="F14" s="110"/>
      <c r="G14" s="108">
        <f>'CPIF CLIN 0001-TASK 1.01 INPUTS'!G20+'CPIF CLIN 0001-TASK 1.02 INPUTS'!G18+'CPIF CLIN 0001-TASK 1.03 INPUTS'!G18+'CPIF CLIN 0001 TASK 1.04 INPUTS'!G18+'CPIF CLIN 0001-TASK 1.05 INPUTS'!G18+'CPIF CLIN 0001-TASK 1.06 INPUTS'!G18+'CPIF CLIN 0001-TASK 1.07 INPUTS'!G18+'CPIF CLIN 0001-TASK 1.08 INPUTS'!G18+'CPIF CLIN 0001-TASK 1.09 INPUTS'!G18+'CPIF CLIN 0001-TASK 1.10 INPUTS'!G18+'CPIF CLIN 0001-TASK 1.11 INPUTS'!G18</f>
        <v>0</v>
      </c>
      <c r="H14" s="150"/>
      <c r="I14" s="108">
        <f>'CPIF CLIN 0001-TASK 1.01 INPUTS'!I20+'CPIF CLIN 0001-TASK 1.02 INPUTS'!I18+'CPIF CLIN 0001-TASK 1.03 INPUTS'!I18+'CPIF CLIN 0001 TASK 1.04 INPUTS'!I18+'CPIF CLIN 0001-TASK 1.05 INPUTS'!I18+'CPIF CLIN 0001-TASK 1.06 INPUTS'!I18+'CPIF CLIN 0001-TASK 1.07 INPUTS'!I18+'CPIF CLIN 0001-TASK 1.08 INPUTS'!I18+'CPIF CLIN 0001-TASK 1.09 INPUTS'!I18+'CPIF CLIN 0001-TASK 1.10 INPUTS'!I18+'CPIF CLIN 0001-TASK 1.11 INPUTS'!I18</f>
        <v>0</v>
      </c>
      <c r="J14" s="110"/>
      <c r="K14" s="108">
        <f>'CPIF CLIN 0001-TASK 1.01 INPUTS'!K20+'CPIF CLIN 0001-TASK 1.02 INPUTS'!K18+'CPIF CLIN 0001-TASK 1.03 INPUTS'!K18+'CPIF CLIN 0001 TASK 1.04 INPUTS'!K18+'CPIF CLIN 0001-TASK 1.05 INPUTS'!K18+'CPIF CLIN 0001-TASK 1.06 INPUTS'!K18+'CPIF CLIN 0001-TASK 1.07 INPUTS'!K18+'CPIF CLIN 0001-TASK 1.08 INPUTS'!K18+'CPIF CLIN 0001-TASK 1.09 INPUTS'!K18+'CPIF CLIN 0001-TASK 1.10 INPUTS'!K18+'CPIF CLIN 0001-TASK 1.11 INPUTS'!K18</f>
        <v>0</v>
      </c>
      <c r="L14" s="150"/>
      <c r="M14" s="108">
        <f>'CPIF CLIN 0001-TASK 1.01 INPUTS'!M20+'CPIF CLIN 0001-TASK 1.02 INPUTS'!M18+'CPIF CLIN 0001-TASK 1.03 INPUTS'!M18+'CPIF CLIN 0001 TASK 1.04 INPUTS'!M18+'CPIF CLIN 0001-TASK 1.05 INPUTS'!M18+'CPIF CLIN 0001-TASK 1.06 INPUTS'!M18+'CPIF CLIN 0001-TASK 1.07 INPUTS'!M18+'CPIF CLIN 0001-TASK 1.08 INPUTS'!M18+'CPIF CLIN 0001-TASK 1.09 INPUTS'!M18+'CPIF CLIN 0001-TASK 1.10 INPUTS'!M18+'CPIF CLIN 0001-TASK 1.11 INPUTS'!M18</f>
        <v>0</v>
      </c>
      <c r="N14" s="110"/>
      <c r="O14" s="108">
        <f>'CPIF CLIN 0001-TASK 1.01 INPUTS'!O20+'CPIF CLIN 0001-TASK 1.02 INPUTS'!O18+'CPIF CLIN 0001-TASK 1.03 INPUTS'!O18+'CPIF CLIN 0001 TASK 1.04 INPUTS'!O18+'CPIF CLIN 0001-TASK 1.05 INPUTS'!O18+'CPIF CLIN 0001-TASK 1.06 INPUTS'!O18+'CPIF CLIN 0001-TASK 1.07 INPUTS'!O18+'CPIF CLIN 0001-TASK 1.08 INPUTS'!O18+'CPIF CLIN 0001-TASK 1.09 INPUTS'!O18+'CPIF CLIN 0001-TASK 1.10 INPUTS'!O18+'CPIF CLIN 0001-TASK 1.11 INPUTS'!O18</f>
        <v>0</v>
      </c>
      <c r="P14" s="150"/>
      <c r="Q14" s="108">
        <f>'CPIF CLIN 0001-TASK 1.01 INPUTS'!Q20+'CPIF CLIN 0001-TASK 1.02 INPUTS'!Q18+'CPIF CLIN 0001-TASK 1.03 INPUTS'!Q18+'CPIF CLIN 0001 TASK 1.04 INPUTS'!Q18+'CPIF CLIN 0001-TASK 1.05 INPUTS'!Q18+'CPIF CLIN 0001-TASK 1.06 INPUTS'!Q18+'CPIF CLIN 0001-TASK 1.07 INPUTS'!Q18+'CPIF CLIN 0001-TASK 1.08 INPUTS'!Q18+'CPIF CLIN 0001-TASK 1.09 INPUTS'!Q18+'CPIF CLIN 0001-TASK 1.10 INPUTS'!Q18+'CPIF CLIN 0001-TASK 1.11 INPUTS'!Q18</f>
        <v>0</v>
      </c>
    </row>
    <row r="15" spans="1:17" x14ac:dyDescent="0.25">
      <c r="A15" s="138"/>
      <c r="B15" s="149"/>
      <c r="C15" s="98" t="s">
        <v>289</v>
      </c>
      <c r="D15" s="99" t="s">
        <v>286</v>
      </c>
      <c r="E15" s="100" t="s">
        <v>288</v>
      </c>
      <c r="F15" s="111"/>
      <c r="G15" s="98" t="s">
        <v>289</v>
      </c>
      <c r="H15" s="99" t="s">
        <v>286</v>
      </c>
      <c r="I15" s="100" t="s">
        <v>288</v>
      </c>
      <c r="J15" s="111"/>
      <c r="K15" s="98" t="s">
        <v>289</v>
      </c>
      <c r="L15" s="99" t="s">
        <v>286</v>
      </c>
      <c r="M15" s="100" t="s">
        <v>288</v>
      </c>
      <c r="N15" s="111"/>
      <c r="O15" s="98" t="s">
        <v>289</v>
      </c>
      <c r="P15" s="99" t="s">
        <v>286</v>
      </c>
      <c r="Q15" s="100" t="s">
        <v>288</v>
      </c>
    </row>
    <row r="16" spans="1:17" x14ac:dyDescent="0.25">
      <c r="A16" s="138"/>
      <c r="B16" s="148" t="s">
        <v>1</v>
      </c>
      <c r="C16" s="230"/>
      <c r="D16" s="231"/>
      <c r="E16" s="232"/>
      <c r="F16" s="147"/>
      <c r="G16" s="230"/>
      <c r="H16" s="231"/>
      <c r="I16" s="232"/>
      <c r="J16" s="147"/>
      <c r="K16" s="230"/>
      <c r="L16" s="231"/>
      <c r="M16" s="232"/>
      <c r="N16" s="147"/>
      <c r="O16" s="230"/>
      <c r="P16" s="231"/>
      <c r="Q16" s="232"/>
    </row>
    <row r="17" spans="1:17" x14ac:dyDescent="0.25">
      <c r="A17" s="138"/>
      <c r="B17" s="112" t="str">
        <f>'SUB CPIF RATES (ALL)'!B36</f>
        <v>Indirect Labor Category:  [Labor Fringe]</v>
      </c>
      <c r="C17" s="160"/>
      <c r="D17" s="188"/>
      <c r="E17" s="113">
        <f>'CPIF CLIN 0001-TASK 1.01 INPUTS'!E23+'CPIF CLIN 0001-TASK 1.02 INPUTS'!E21+'CPIF CLIN 0001-TASK 1.03 INPUTS'!E21+'CPIF CLIN 0001 TASK 1.04 INPUTS'!E21+'CPIF CLIN 0001-TASK 1.05 INPUTS'!E21+'CPIF CLIN 0001-TASK 1.06 INPUTS'!E21+'CPIF CLIN 0001-TASK 1.07 INPUTS'!E21+'CPIF CLIN 0001-TASK 1.08 INPUTS'!E21+'CPIF CLIN 0001-TASK 1.09 INPUTS'!E21+'CPIF CLIN 0001-TASK 1.10 INPUTS'!E21+'CPIF CLIN 0001-TASK 1.11 INPUTS'!E21</f>
        <v>0</v>
      </c>
      <c r="F17" s="110"/>
      <c r="G17" s="160"/>
      <c r="H17" s="188"/>
      <c r="I17" s="113">
        <f>'CPIF CLIN 0001-TASK 1.01 INPUTS'!I23+'CPIF CLIN 0001-TASK 1.02 INPUTS'!I21+'CPIF CLIN 0001-TASK 1.03 INPUTS'!I21+'CPIF CLIN 0001 TASK 1.04 INPUTS'!I21+'CPIF CLIN 0001-TASK 1.05 INPUTS'!I21+'CPIF CLIN 0001-TASK 1.06 INPUTS'!I21+'CPIF CLIN 0001-TASK 1.07 INPUTS'!I21+'CPIF CLIN 0001-TASK 1.08 INPUTS'!I21+'CPIF CLIN 0001-TASK 1.09 INPUTS'!I21+'CPIF CLIN 0001-TASK 1.10 INPUTS'!I21+'CPIF CLIN 0001-TASK 1.11 INPUTS'!I21</f>
        <v>0</v>
      </c>
      <c r="J17" s="110"/>
      <c r="K17" s="160"/>
      <c r="L17" s="188"/>
      <c r="M17" s="113">
        <f>'CPIF CLIN 0001-TASK 1.01 INPUTS'!M23+'CPIF CLIN 0001-TASK 1.02 INPUTS'!M21+'CPIF CLIN 0001-TASK 1.03 INPUTS'!M21+'CPIF CLIN 0001 TASK 1.04 INPUTS'!M21+'CPIF CLIN 0001-TASK 1.05 INPUTS'!M21+'CPIF CLIN 0001-TASK 1.06 INPUTS'!M21+'CPIF CLIN 0001-TASK 1.07 INPUTS'!M21+'CPIF CLIN 0001-TASK 1.08 INPUTS'!M21+'CPIF CLIN 0001-TASK 1.09 INPUTS'!M21+'CPIF CLIN 0001-TASK 1.10 INPUTS'!M21+'CPIF CLIN 0001-TASK 1.11 INPUTS'!M21</f>
        <v>0</v>
      </c>
      <c r="N17" s="110"/>
      <c r="O17" s="160"/>
      <c r="P17" s="188"/>
      <c r="Q17" s="113">
        <f>'CPIF CLIN 0001-TASK 1.01 INPUTS'!Q23+'CPIF CLIN 0001-TASK 1.02 INPUTS'!Q21+'CPIF CLIN 0001-TASK 1.03 INPUTS'!Q21+'CPIF CLIN 0001 TASK 1.04 INPUTS'!Q21+'CPIF CLIN 0001-TASK 1.05 INPUTS'!Q21+'CPIF CLIN 0001-TASK 1.06 INPUTS'!Q21+'CPIF CLIN 0001-TASK 1.07 INPUTS'!Q21+'CPIF CLIN 0001-TASK 1.08 INPUTS'!Q21+'CPIF CLIN 0001-TASK 1.09 INPUTS'!Q21+'CPIF CLIN 0001-TASK 1.10 INPUTS'!Q21+'CPIF CLIN 0001-TASK 1.11 INPUTS'!Q21</f>
        <v>0</v>
      </c>
    </row>
    <row r="18" spans="1:17" x14ac:dyDescent="0.25">
      <c r="A18" s="138"/>
      <c r="B18" s="112" t="str">
        <f>'SUB CPIF RATES (ALL)'!B37</f>
        <v>Indirect Labor Category: [Labor Overhead]</v>
      </c>
      <c r="C18" s="160"/>
      <c r="D18" s="188"/>
      <c r="E18" s="113">
        <f>'CPIF CLIN 0001-TASK 1.01 INPUTS'!E24+'CPIF CLIN 0001-TASK 1.02 INPUTS'!E22+'CPIF CLIN 0001-TASK 1.03 INPUTS'!E22+'CPIF CLIN 0001 TASK 1.04 INPUTS'!E22+'CPIF CLIN 0001-TASK 1.05 INPUTS'!E22+'CPIF CLIN 0001-TASK 1.06 INPUTS'!E22+'CPIF CLIN 0001-TASK 1.07 INPUTS'!E22+'CPIF CLIN 0001-TASK 1.08 INPUTS'!E22+'CPIF CLIN 0001-TASK 1.09 INPUTS'!E22+'CPIF CLIN 0001-TASK 1.10 INPUTS'!E22+'CPIF CLIN 0001-TASK 1.11 INPUTS'!E22</f>
        <v>0</v>
      </c>
      <c r="F18" s="110"/>
      <c r="G18" s="160"/>
      <c r="H18" s="188"/>
      <c r="I18" s="113">
        <f>'CPIF CLIN 0001-TASK 1.01 INPUTS'!I24+'CPIF CLIN 0001-TASK 1.02 INPUTS'!I22+'CPIF CLIN 0001-TASK 1.03 INPUTS'!I22+'CPIF CLIN 0001 TASK 1.04 INPUTS'!I22+'CPIF CLIN 0001-TASK 1.05 INPUTS'!I22+'CPIF CLIN 0001-TASK 1.06 INPUTS'!I22+'CPIF CLIN 0001-TASK 1.07 INPUTS'!I22+'CPIF CLIN 0001-TASK 1.08 INPUTS'!I22+'CPIF CLIN 0001-TASK 1.09 INPUTS'!I22+'CPIF CLIN 0001-TASK 1.10 INPUTS'!I22+'CPIF CLIN 0001-TASK 1.11 INPUTS'!I22</f>
        <v>0</v>
      </c>
      <c r="J18" s="110"/>
      <c r="K18" s="160"/>
      <c r="L18" s="188"/>
      <c r="M18" s="113">
        <f>'CPIF CLIN 0001-TASK 1.01 INPUTS'!M24+'CPIF CLIN 0001-TASK 1.02 INPUTS'!M22+'CPIF CLIN 0001-TASK 1.03 INPUTS'!M22+'CPIF CLIN 0001 TASK 1.04 INPUTS'!M22+'CPIF CLIN 0001-TASK 1.05 INPUTS'!M22+'CPIF CLIN 0001-TASK 1.06 INPUTS'!M22+'CPIF CLIN 0001-TASK 1.07 INPUTS'!M22+'CPIF CLIN 0001-TASK 1.08 INPUTS'!M22+'CPIF CLIN 0001-TASK 1.09 INPUTS'!M22+'CPIF CLIN 0001-TASK 1.10 INPUTS'!M22+'CPIF CLIN 0001-TASK 1.11 INPUTS'!M22</f>
        <v>0</v>
      </c>
      <c r="N18" s="110"/>
      <c r="O18" s="160"/>
      <c r="P18" s="188"/>
      <c r="Q18" s="113">
        <f>'CPIF CLIN 0001-TASK 1.01 INPUTS'!Q24+'CPIF CLIN 0001-TASK 1.02 INPUTS'!Q22+'CPIF CLIN 0001-TASK 1.03 INPUTS'!Q22+'CPIF CLIN 0001 TASK 1.04 INPUTS'!Q22+'CPIF CLIN 0001-TASK 1.05 INPUTS'!Q22+'CPIF CLIN 0001-TASK 1.06 INPUTS'!Q22+'CPIF CLIN 0001-TASK 1.07 INPUTS'!Q22+'CPIF CLIN 0001-TASK 1.08 INPUTS'!Q22+'CPIF CLIN 0001-TASK 1.09 INPUTS'!Q22+'CPIF CLIN 0001-TASK 1.10 INPUTS'!Q22+'CPIF CLIN 0001-TASK 1.11 INPUTS'!Q22</f>
        <v>0</v>
      </c>
    </row>
    <row r="19" spans="1:17" x14ac:dyDescent="0.25">
      <c r="A19" s="138"/>
      <c r="B19" s="112" t="str">
        <f>'SUB CPIF RATES (ALL)'!B38</f>
        <v>Indirect Labor Category: [G&amp;A]</v>
      </c>
      <c r="C19" s="160"/>
      <c r="D19" s="188"/>
      <c r="E19" s="113">
        <f>'CPIF CLIN 0001-TASK 1.01 INPUTS'!E25+'CPIF CLIN 0001-TASK 1.02 INPUTS'!E23+'CPIF CLIN 0001-TASK 1.03 INPUTS'!E23+'CPIF CLIN 0001 TASK 1.04 INPUTS'!E23+'CPIF CLIN 0001-TASK 1.05 INPUTS'!E23+'CPIF CLIN 0001-TASK 1.06 INPUTS'!E23+'CPIF CLIN 0001-TASK 1.07 INPUTS'!E23+'CPIF CLIN 0001-TASK 1.08 INPUTS'!E23+'CPIF CLIN 0001-TASK 1.09 INPUTS'!E23+'CPIF CLIN 0001-TASK 1.10 INPUTS'!E23+'CPIF CLIN 0001-TASK 1.11 INPUTS'!E23</f>
        <v>0</v>
      </c>
      <c r="F19" s="110"/>
      <c r="G19" s="160"/>
      <c r="H19" s="188"/>
      <c r="I19" s="113">
        <f>'CPIF CLIN 0001-TASK 1.01 INPUTS'!I25+'CPIF CLIN 0001-TASK 1.02 INPUTS'!I23+'CPIF CLIN 0001-TASK 1.03 INPUTS'!I23+'CPIF CLIN 0001 TASK 1.04 INPUTS'!I23+'CPIF CLIN 0001-TASK 1.05 INPUTS'!I23+'CPIF CLIN 0001-TASK 1.06 INPUTS'!I23+'CPIF CLIN 0001-TASK 1.07 INPUTS'!I23+'CPIF CLIN 0001-TASK 1.08 INPUTS'!I23+'CPIF CLIN 0001-TASK 1.09 INPUTS'!I23+'CPIF CLIN 0001-TASK 1.10 INPUTS'!I23+'CPIF CLIN 0001-TASK 1.11 INPUTS'!I23</f>
        <v>0</v>
      </c>
      <c r="J19" s="110"/>
      <c r="K19" s="160"/>
      <c r="L19" s="188"/>
      <c r="M19" s="113">
        <f>'CPIF CLIN 0001-TASK 1.01 INPUTS'!M25+'CPIF CLIN 0001-TASK 1.02 INPUTS'!M23+'CPIF CLIN 0001-TASK 1.03 INPUTS'!M23+'CPIF CLIN 0001 TASK 1.04 INPUTS'!M23+'CPIF CLIN 0001-TASK 1.05 INPUTS'!M23+'CPIF CLIN 0001-TASK 1.06 INPUTS'!M23+'CPIF CLIN 0001-TASK 1.07 INPUTS'!M23+'CPIF CLIN 0001-TASK 1.08 INPUTS'!M23+'CPIF CLIN 0001-TASK 1.09 INPUTS'!M23+'CPIF CLIN 0001-TASK 1.10 INPUTS'!M23+'CPIF CLIN 0001-TASK 1.11 INPUTS'!M23</f>
        <v>0</v>
      </c>
      <c r="N19" s="110"/>
      <c r="O19" s="160"/>
      <c r="P19" s="188"/>
      <c r="Q19" s="113">
        <f>'CPIF CLIN 0001-TASK 1.01 INPUTS'!Q25+'CPIF CLIN 0001-TASK 1.02 INPUTS'!Q23+'CPIF CLIN 0001-TASK 1.03 INPUTS'!Q23+'CPIF CLIN 0001 TASK 1.04 INPUTS'!Q23+'CPIF CLIN 0001-TASK 1.05 INPUTS'!Q23+'CPIF CLIN 0001-TASK 1.06 INPUTS'!Q23+'CPIF CLIN 0001-TASK 1.07 INPUTS'!Q23+'CPIF CLIN 0001-TASK 1.08 INPUTS'!Q23+'CPIF CLIN 0001-TASK 1.09 INPUTS'!Q23+'CPIF CLIN 0001-TASK 1.10 INPUTS'!Q23+'CPIF CLIN 0001-TASK 1.11 INPUTS'!Q23</f>
        <v>0</v>
      </c>
    </row>
    <row r="20" spans="1:17" x14ac:dyDescent="0.25">
      <c r="A20" s="138"/>
      <c r="B20" s="112" t="str">
        <f>'SUB CPIF RATES (ALL)'!B39</f>
        <v>Indirect Labor Category: [FCCOM]</v>
      </c>
      <c r="C20" s="160"/>
      <c r="D20" s="358"/>
      <c r="E20" s="113">
        <f>'CPIF CLIN 0001-TASK 1.01 INPUTS'!E26+'CPIF CLIN 0001-TASK 1.02 INPUTS'!E24+'CPIF CLIN 0001-TASK 1.03 INPUTS'!E24+'CPIF CLIN 0001 TASK 1.04 INPUTS'!E24+'CPIF CLIN 0001-TASK 1.05 INPUTS'!E24+'CPIF CLIN 0001-TASK 1.06 INPUTS'!E24+'CPIF CLIN 0001-TASK 1.07 INPUTS'!E24+'CPIF CLIN 0001-TASK 1.08 INPUTS'!E24+'CPIF CLIN 0001-TASK 1.09 INPUTS'!E24+'CPIF CLIN 0001-TASK 1.10 INPUTS'!E24+'CPIF CLIN 0001-TASK 1.11 INPUTS'!E24</f>
        <v>0</v>
      </c>
      <c r="F20" s="110"/>
      <c r="G20" s="160"/>
      <c r="H20" s="358"/>
      <c r="I20" s="113">
        <f>'CPIF CLIN 0001-TASK 1.01 INPUTS'!I26+'CPIF CLIN 0001-TASK 1.02 INPUTS'!I24+'CPIF CLIN 0001-TASK 1.03 INPUTS'!I24+'CPIF CLIN 0001 TASK 1.04 INPUTS'!I24+'CPIF CLIN 0001-TASK 1.05 INPUTS'!I24+'CPIF CLIN 0001-TASK 1.06 INPUTS'!I24+'CPIF CLIN 0001-TASK 1.07 INPUTS'!I24+'CPIF CLIN 0001-TASK 1.08 INPUTS'!I24+'CPIF CLIN 0001-TASK 1.09 INPUTS'!I24+'CPIF CLIN 0001-TASK 1.10 INPUTS'!I24+'CPIF CLIN 0001-TASK 1.11 INPUTS'!I24</f>
        <v>0</v>
      </c>
      <c r="J20" s="110"/>
      <c r="K20" s="160"/>
      <c r="L20" s="358"/>
      <c r="M20" s="113">
        <f>'CPIF CLIN 0001-TASK 1.01 INPUTS'!M26+'CPIF CLIN 0001-TASK 1.02 INPUTS'!M24+'CPIF CLIN 0001-TASK 1.03 INPUTS'!M24+'CPIF CLIN 0001 TASK 1.04 INPUTS'!M24+'CPIF CLIN 0001-TASK 1.05 INPUTS'!M24+'CPIF CLIN 0001-TASK 1.06 INPUTS'!M24+'CPIF CLIN 0001-TASK 1.07 INPUTS'!M24+'CPIF CLIN 0001-TASK 1.08 INPUTS'!M24+'CPIF CLIN 0001-TASK 1.09 INPUTS'!M24+'CPIF CLIN 0001-TASK 1.10 INPUTS'!M24+'CPIF CLIN 0001-TASK 1.11 INPUTS'!M24</f>
        <v>0</v>
      </c>
      <c r="N20" s="110"/>
      <c r="O20" s="160"/>
      <c r="P20" s="358"/>
      <c r="Q20" s="113">
        <f>'CPIF CLIN 0001-TASK 1.01 INPUTS'!Q26+'CPIF CLIN 0001-TASK 1.02 INPUTS'!Q24+'CPIF CLIN 0001-TASK 1.03 INPUTS'!Q24+'CPIF CLIN 0001 TASK 1.04 INPUTS'!Q24+'CPIF CLIN 0001-TASK 1.05 INPUTS'!Q24+'CPIF CLIN 0001-TASK 1.06 INPUTS'!Q24+'CPIF CLIN 0001-TASK 1.07 INPUTS'!Q24+'CPIF CLIN 0001-TASK 1.08 INPUTS'!Q24+'CPIF CLIN 0001-TASK 1.09 INPUTS'!Q24+'CPIF CLIN 0001-TASK 1.10 INPUTS'!Q24+'CPIF CLIN 0001-TASK 1.11 INPUTS'!Q24</f>
        <v>0</v>
      </c>
    </row>
    <row r="21" spans="1:17" x14ac:dyDescent="0.25">
      <c r="A21" s="138"/>
      <c r="B21" s="112" t="str">
        <f>'SUB CPIF RATES (ALL)'!B40</f>
        <v>Indirect Labor Category: [Target Fee]</v>
      </c>
      <c r="C21" s="160"/>
      <c r="D21" s="188"/>
      <c r="E21" s="113">
        <f>'CPIF CLIN 0001-TASK 1.01 INPUTS'!E27+'CPIF CLIN 0001-TASK 1.02 INPUTS'!E25+'CPIF CLIN 0001-TASK 1.03 INPUTS'!E25+'CPIF CLIN 0001 TASK 1.04 INPUTS'!E25+'CPIF CLIN 0001-TASK 1.05 INPUTS'!E25+'CPIF CLIN 0001-TASK 1.06 INPUTS'!E25+'CPIF CLIN 0001-TASK 1.07 INPUTS'!E25+'CPIF CLIN 0001-TASK 1.08 INPUTS'!E25+'CPIF CLIN 0001-TASK 1.09 INPUTS'!E25+'CPIF CLIN 0001-TASK 1.10 INPUTS'!E25+'CPIF CLIN 0001-TASK 1.11 INPUTS'!E25</f>
        <v>0</v>
      </c>
      <c r="F21" s="110"/>
      <c r="G21" s="160"/>
      <c r="H21" s="188"/>
      <c r="I21" s="113">
        <f>'CPIF CLIN 0001-TASK 1.01 INPUTS'!I27+'CPIF CLIN 0001-TASK 1.02 INPUTS'!I25+'CPIF CLIN 0001-TASK 1.03 INPUTS'!I25+'CPIF CLIN 0001 TASK 1.04 INPUTS'!I25+'CPIF CLIN 0001-TASK 1.05 INPUTS'!I25+'CPIF CLIN 0001-TASK 1.06 INPUTS'!I25+'CPIF CLIN 0001-TASK 1.07 INPUTS'!I25+'CPIF CLIN 0001-TASK 1.08 INPUTS'!I25+'CPIF CLIN 0001-TASK 1.09 INPUTS'!I25+'CPIF CLIN 0001-TASK 1.10 INPUTS'!I25+'CPIF CLIN 0001-TASK 1.11 INPUTS'!I25</f>
        <v>0</v>
      </c>
      <c r="J21" s="110"/>
      <c r="K21" s="160"/>
      <c r="L21" s="188"/>
      <c r="M21" s="113">
        <f>'CPIF CLIN 0001-TASK 1.01 INPUTS'!M27+'CPIF CLIN 0001-TASK 1.02 INPUTS'!M25+'CPIF CLIN 0001-TASK 1.03 INPUTS'!M25+'CPIF CLIN 0001 TASK 1.04 INPUTS'!M25+'CPIF CLIN 0001-TASK 1.05 INPUTS'!M25+'CPIF CLIN 0001-TASK 1.06 INPUTS'!M25+'CPIF CLIN 0001-TASK 1.07 INPUTS'!M25+'CPIF CLIN 0001-TASK 1.08 INPUTS'!M25+'CPIF CLIN 0001-TASK 1.09 INPUTS'!M25+'CPIF CLIN 0001-TASK 1.10 INPUTS'!M25+'CPIF CLIN 0001-TASK 1.11 INPUTS'!M25</f>
        <v>0</v>
      </c>
      <c r="N21" s="110"/>
      <c r="O21" s="160"/>
      <c r="P21" s="188"/>
      <c r="Q21" s="113">
        <f>'CPIF CLIN 0001-TASK 1.01 INPUTS'!Q27+'CPIF CLIN 0001-TASK 1.02 INPUTS'!Q25+'CPIF CLIN 0001-TASK 1.03 INPUTS'!Q25+'CPIF CLIN 0001 TASK 1.04 INPUTS'!Q25+'CPIF CLIN 0001-TASK 1.05 INPUTS'!Q25+'CPIF CLIN 0001-TASK 1.06 INPUTS'!Q25+'CPIF CLIN 0001-TASK 1.07 INPUTS'!Q25+'CPIF CLIN 0001-TASK 1.08 INPUTS'!Q25+'CPIF CLIN 0001-TASK 1.09 INPUTS'!Q25+'CPIF CLIN 0001-TASK 1.10 INPUTS'!Q25+'CPIF CLIN 0001-TASK 1.11 INPUTS'!Q25</f>
        <v>0</v>
      </c>
    </row>
    <row r="22" spans="1:17" x14ac:dyDescent="0.25">
      <c r="A22" s="138"/>
      <c r="B22" s="205" t="s">
        <v>185</v>
      </c>
      <c r="C22" s="155"/>
      <c r="D22" s="156"/>
      <c r="E22" s="175">
        <f>ROUND(SUM(E14,E17,E18,E19),2)</f>
        <v>0</v>
      </c>
      <c r="F22" s="110"/>
      <c r="G22" s="151"/>
      <c r="H22" s="152"/>
      <c r="I22" s="175">
        <f>ROUND(SUM(I14,I17,I18,I19),2)</f>
        <v>0</v>
      </c>
      <c r="J22" s="110"/>
      <c r="K22" s="151"/>
      <c r="L22" s="152"/>
      <c r="M22" s="175">
        <f>ROUND(SUM(M14,M17,M18,M19),2)</f>
        <v>0</v>
      </c>
      <c r="N22" s="110"/>
      <c r="O22" s="151"/>
      <c r="P22" s="152"/>
      <c r="Q22" s="175">
        <f>ROUND(SUM(Q14,Q17,Q18,Q19),2)</f>
        <v>0</v>
      </c>
    </row>
    <row r="23" spans="1:17" x14ac:dyDescent="0.25">
      <c r="A23" s="138"/>
      <c r="B23" s="205" t="s">
        <v>72</v>
      </c>
      <c r="C23" s="155"/>
      <c r="D23" s="156"/>
      <c r="E23" s="175">
        <f>ROUND(E20,2)</f>
        <v>0</v>
      </c>
      <c r="F23" s="110"/>
      <c r="G23" s="151"/>
      <c r="H23" s="152"/>
      <c r="I23" s="175">
        <f>ROUND(I20,2)</f>
        <v>0</v>
      </c>
      <c r="J23" s="110"/>
      <c r="K23" s="151"/>
      <c r="L23" s="152"/>
      <c r="M23" s="175">
        <f>ROUND(M20,2)</f>
        <v>0</v>
      </c>
      <c r="N23" s="110"/>
      <c r="O23" s="151"/>
      <c r="P23" s="152"/>
      <c r="Q23" s="175">
        <f>ROUND(Q20,2)</f>
        <v>0</v>
      </c>
    </row>
    <row r="24" spans="1:17" x14ac:dyDescent="0.25">
      <c r="A24" s="138"/>
      <c r="B24" s="205" t="s">
        <v>71</v>
      </c>
      <c r="C24" s="155"/>
      <c r="D24" s="156"/>
      <c r="E24" s="190">
        <f>ROUND(E21,2)</f>
        <v>0</v>
      </c>
      <c r="F24" s="115"/>
      <c r="G24" s="151"/>
      <c r="H24" s="152"/>
      <c r="I24" s="190">
        <f>ROUND(I21,2)</f>
        <v>0</v>
      </c>
      <c r="J24" s="115"/>
      <c r="K24" s="151"/>
      <c r="L24" s="152"/>
      <c r="M24" s="190">
        <f>ROUND(M21,2)</f>
        <v>0</v>
      </c>
      <c r="N24" s="115"/>
      <c r="O24" s="151"/>
      <c r="P24" s="152"/>
      <c r="Q24" s="190">
        <f>ROUND(Q21,2)</f>
        <v>0</v>
      </c>
    </row>
    <row r="25" spans="1:17" ht="16.5" thickBot="1" x14ac:dyDescent="0.3">
      <c r="A25" s="138"/>
      <c r="B25" s="206" t="s">
        <v>73</v>
      </c>
      <c r="C25" s="157"/>
      <c r="D25" s="158"/>
      <c r="E25" s="191">
        <f>ROUND(SUM(E22:E24),2)</f>
        <v>0</v>
      </c>
      <c r="F25" s="116"/>
      <c r="G25" s="153"/>
      <c r="H25" s="154"/>
      <c r="I25" s="191">
        <f>ROUND(SUM(I22:I24),2)</f>
        <v>0</v>
      </c>
      <c r="J25" s="116"/>
      <c r="K25" s="153"/>
      <c r="L25" s="154"/>
      <c r="M25" s="191">
        <f>ROUND(SUM(M22:M24),2)</f>
        <v>0</v>
      </c>
      <c r="N25" s="116"/>
      <c r="O25" s="153"/>
      <c r="P25" s="154"/>
      <c r="Q25" s="191">
        <f>ROUND(SUM(Q22:Q24),2)</f>
        <v>0</v>
      </c>
    </row>
    <row r="26" spans="1:17" ht="16.5" thickBot="1" x14ac:dyDescent="0.3">
      <c r="A26" s="138"/>
      <c r="B26" s="117"/>
      <c r="C26" s="118"/>
      <c r="D26" s="118"/>
      <c r="E26" s="361" t="s">
        <v>1</v>
      </c>
      <c r="F26" s="199"/>
      <c r="G26" s="199"/>
      <c r="H26" s="199"/>
      <c r="I26" s="199"/>
      <c r="J26" s="199"/>
      <c r="K26" s="199"/>
      <c r="L26" s="118"/>
      <c r="M26" s="118"/>
      <c r="N26" s="110"/>
      <c r="O26" s="199"/>
      <c r="P26" s="118"/>
      <c r="Q26" s="362" t="s">
        <v>1</v>
      </c>
    </row>
    <row r="27" spans="1:17" ht="16.5" customHeight="1" thickBot="1" x14ac:dyDescent="0.3">
      <c r="A27" s="138"/>
      <c r="B27" s="523" t="str">
        <f>B10</f>
        <v>CLIN 0001 (CPIF)                                                 TOTAL</v>
      </c>
      <c r="C27" s="490" t="s">
        <v>80</v>
      </c>
      <c r="D27" s="491"/>
      <c r="E27" s="492"/>
      <c r="F27" s="120"/>
      <c r="G27" s="490" t="s">
        <v>80</v>
      </c>
      <c r="H27" s="491"/>
      <c r="I27" s="492"/>
      <c r="J27" s="120"/>
      <c r="K27" s="490" t="s">
        <v>80</v>
      </c>
      <c r="L27" s="491"/>
      <c r="M27" s="492"/>
      <c r="N27" s="120"/>
      <c r="O27" s="490" t="s">
        <v>80</v>
      </c>
      <c r="P27" s="491"/>
      <c r="Q27" s="492"/>
    </row>
    <row r="28" spans="1:17" ht="32.25" customHeight="1" thickBot="1" x14ac:dyDescent="0.3">
      <c r="A28" s="138"/>
      <c r="B28" s="524"/>
      <c r="C28" s="520" t="str">
        <f>C11</f>
        <v>CLIN 0001 - Basic Period (Year 1)</v>
      </c>
      <c r="D28" s="521"/>
      <c r="E28" s="522"/>
      <c r="F28" s="121"/>
      <c r="G28" s="520" t="str">
        <f>G11</f>
        <v>CLIN 0001 - Basic Period (Year 2)</v>
      </c>
      <c r="H28" s="521"/>
      <c r="I28" s="522"/>
      <c r="J28" s="121"/>
      <c r="K28" s="520" t="str">
        <f>K11</f>
        <v>CLIN 0001 - Basic Period (Year 3)</v>
      </c>
      <c r="L28" s="521"/>
      <c r="M28" s="522"/>
      <c r="N28" s="121"/>
      <c r="O28" s="520" t="str">
        <f>O11</f>
        <v>CLIN 0001 - Basic Period (Year 4)</v>
      </c>
      <c r="P28" s="521"/>
      <c r="Q28" s="522"/>
    </row>
    <row r="29" spans="1:17" x14ac:dyDescent="0.25">
      <c r="A29" s="138"/>
      <c r="B29" s="192"/>
      <c r="C29" s="98" t="s">
        <v>289</v>
      </c>
      <c r="D29" s="99" t="s">
        <v>286</v>
      </c>
      <c r="E29" s="100" t="s">
        <v>88</v>
      </c>
      <c r="F29" s="111"/>
      <c r="G29" s="98" t="s">
        <v>289</v>
      </c>
      <c r="H29" s="99" t="s">
        <v>286</v>
      </c>
      <c r="I29" s="100" t="s">
        <v>88</v>
      </c>
      <c r="J29" s="111"/>
      <c r="K29" s="98" t="s">
        <v>289</v>
      </c>
      <c r="L29" s="99" t="s">
        <v>286</v>
      </c>
      <c r="M29" s="100" t="s">
        <v>88</v>
      </c>
      <c r="N29" s="111"/>
      <c r="O29" s="98" t="s">
        <v>289</v>
      </c>
      <c r="P29" s="99" t="s">
        <v>286</v>
      </c>
      <c r="Q29" s="100" t="s">
        <v>88</v>
      </c>
    </row>
    <row r="30" spans="1:17" x14ac:dyDescent="0.25">
      <c r="A30" s="138"/>
      <c r="B30" s="215" t="s">
        <v>1</v>
      </c>
      <c r="C30" s="176"/>
      <c r="D30" s="177"/>
      <c r="E30" s="161">
        <f>'CPIF CLIN 0001-TASK 1.01 INPUTS'!E36+'CPIF CLIN 0001-TASK 1.02 INPUTS'!E34+'CPIF CLIN 0001-TASK 1.03 INPUTS'!E34+'CPIF CLIN 0001 TASK 1.04 INPUTS'!E34+'CPIF CLIN 0001-TASK 1.05 INPUTS'!E34+'CPIF CLIN 0001-TASK 1.06 INPUTS'!E34+'CPIF CLIN 0001-TASK 1.07 INPUTS'!E34+'CPIF CLIN 0001-TASK 1.08 INPUTS'!E34+'CPIF CLIN 0001-TASK 1.09 INPUTS'!E34+'CPIF CLIN 0001-TASK 1.10 INPUTS'!E34+'CPIF CLIN 0001-TASK 1.11 INPUTS'!E34</f>
        <v>0</v>
      </c>
      <c r="F30" s="110"/>
      <c r="G30" s="176"/>
      <c r="H30" s="177"/>
      <c r="I30" s="161">
        <f>'CPIF CLIN 0001-TASK 1.01 INPUTS'!I36+'CPIF CLIN 0001-TASK 1.02 INPUTS'!I34+'CPIF CLIN 0001-TASK 1.03 INPUTS'!I34+'CPIF CLIN 0001 TASK 1.04 INPUTS'!I34+'CPIF CLIN 0001-TASK 1.05 INPUTS'!I34+'CPIF CLIN 0001-TASK 1.06 INPUTS'!I34+'CPIF CLIN 0001-TASK 1.07 INPUTS'!I34+'CPIF CLIN 0001-TASK 1.08 INPUTS'!I34+'CPIF CLIN 0001-TASK 1.09 INPUTS'!I34+'CPIF CLIN 0001-TASK 1.10 INPUTS'!I34+'CPIF CLIN 0001-TASK 1.11 INPUTS'!I34</f>
        <v>0</v>
      </c>
      <c r="J30" s="110"/>
      <c r="K30" s="176"/>
      <c r="L30" s="177"/>
      <c r="M30" s="161">
        <f>'CPIF CLIN 0001-TASK 1.01 INPUTS'!M36+'CPIF CLIN 0001-TASK 1.02 INPUTS'!M34+'CPIF CLIN 0001-TASK 1.03 INPUTS'!M34+'CPIF CLIN 0001 TASK 1.04 INPUTS'!M34+'CPIF CLIN 0001-TASK 1.05 INPUTS'!M34+'CPIF CLIN 0001-TASK 1.06 INPUTS'!M34+'CPIF CLIN 0001-TASK 1.07 INPUTS'!M34+'CPIF CLIN 0001-TASK 1.08 INPUTS'!M34+'CPIF CLIN 0001-TASK 1.09 INPUTS'!M34+'CPIF CLIN 0001-TASK 1.10 INPUTS'!M34+'CPIF CLIN 0001-TASK 1.11 INPUTS'!M34</f>
        <v>0</v>
      </c>
      <c r="N30" s="110"/>
      <c r="O30" s="176"/>
      <c r="P30" s="177"/>
      <c r="Q30" s="161">
        <f>'CPIF CLIN 0001-TASK 1.01 INPUTS'!Q36+'CPIF CLIN 0001-TASK 1.02 INPUTS'!Q34+'CPIF CLIN 0001-TASK 1.03 INPUTS'!Q34+'CPIF CLIN 0001 TASK 1.04 INPUTS'!Q34+'CPIF CLIN 0001-TASK 1.05 INPUTS'!Q34+'CPIF CLIN 0001-TASK 1.06 INPUTS'!Q34+'CPIF CLIN 0001-TASK 1.07 INPUTS'!Q34+'CPIF CLIN 0001-TASK 1.08 INPUTS'!Q34+'CPIF CLIN 0001-TASK 1.09 INPUTS'!Q34+'CPIF CLIN 0001-TASK 1.10 INPUTS'!Q34+'CPIF CLIN 0001-TASK 1.11 INPUTS'!Q34</f>
        <v>0</v>
      </c>
    </row>
    <row r="31" spans="1:17" x14ac:dyDescent="0.25">
      <c r="A31" s="138"/>
      <c r="B31" s="112" t="str">
        <f>'SUB CPIF RATES (ALL)'!B53</f>
        <v>Indirect Category: [Material Overhead]</v>
      </c>
      <c r="C31" s="160"/>
      <c r="D31" s="188"/>
      <c r="E31" s="113">
        <f>'CPIF CLIN 0001-TASK 1.01 INPUTS'!E38+'CPIF CLIN 0001-TASK 1.02 INPUTS'!E36+'CPIF CLIN 0001-TASK 1.03 INPUTS'!E36+'CPIF CLIN 0001 TASK 1.04 INPUTS'!E36+'CPIF CLIN 0001-TASK 1.05 INPUTS'!E36+'CPIF CLIN 0001-TASK 1.06 INPUTS'!E36+'CPIF CLIN 0001-TASK 1.07 INPUTS'!E36+'CPIF CLIN 0001-TASK 1.08 INPUTS'!E36+'CPIF CLIN 0001-TASK 1.09 INPUTS'!E36+'CPIF CLIN 0001-TASK 1.10 INPUTS'!E36+'CPIF CLIN 0001-TASK 1.11 INPUTS'!E36</f>
        <v>0</v>
      </c>
      <c r="F31" s="123"/>
      <c r="G31" s="160"/>
      <c r="H31" s="188"/>
      <c r="I31" s="113">
        <f>'CPIF CLIN 0001-TASK 1.01 INPUTS'!I38+'CPIF CLIN 0001-TASK 1.02 INPUTS'!I36+'CPIF CLIN 0001-TASK 1.03 INPUTS'!I36+'CPIF CLIN 0001 TASK 1.04 INPUTS'!I36+'CPIF CLIN 0001-TASK 1.05 INPUTS'!I36+'CPIF CLIN 0001-TASK 1.06 INPUTS'!I36+'CPIF CLIN 0001-TASK 1.07 INPUTS'!I36+'CPIF CLIN 0001-TASK 1.08 INPUTS'!I36+'CPIF CLIN 0001-TASK 1.09 INPUTS'!I36+'CPIF CLIN 0001-TASK 1.10 INPUTS'!I36+'CPIF CLIN 0001-TASK 1.11 INPUTS'!I36</f>
        <v>0</v>
      </c>
      <c r="J31" s="123"/>
      <c r="K31" s="160"/>
      <c r="L31" s="188"/>
      <c r="M31" s="113">
        <f>'CPIF CLIN 0001-TASK 1.01 INPUTS'!M38+'CPIF CLIN 0001-TASK 1.02 INPUTS'!M36+'CPIF CLIN 0001-TASK 1.03 INPUTS'!M36+'CPIF CLIN 0001 TASK 1.04 INPUTS'!M36+'CPIF CLIN 0001-TASK 1.05 INPUTS'!M36+'CPIF CLIN 0001-TASK 1.06 INPUTS'!M36+'CPIF CLIN 0001-TASK 1.07 INPUTS'!M36+'CPIF CLIN 0001-TASK 1.08 INPUTS'!M36+'CPIF CLIN 0001-TASK 1.09 INPUTS'!M36+'CPIF CLIN 0001-TASK 1.10 INPUTS'!M36+'CPIF CLIN 0001-TASK 1.11 INPUTS'!M36</f>
        <v>0</v>
      </c>
      <c r="N31" s="123"/>
      <c r="O31" s="160"/>
      <c r="P31" s="188"/>
      <c r="Q31" s="113">
        <f>'CPIF CLIN 0001-TASK 1.01 INPUTS'!Q38+'CPIF CLIN 0001-TASK 1.02 INPUTS'!Q36+'CPIF CLIN 0001-TASK 1.03 INPUTS'!Q36+'CPIF CLIN 0001 TASK 1.04 INPUTS'!Q36+'CPIF CLIN 0001-TASK 1.05 INPUTS'!Q36+'CPIF CLIN 0001-TASK 1.06 INPUTS'!Q36+'CPIF CLIN 0001-TASK 1.07 INPUTS'!Q36+'CPIF CLIN 0001-TASK 1.08 INPUTS'!Q36+'CPIF CLIN 0001-TASK 1.09 INPUTS'!Q36+'CPIF CLIN 0001-TASK 1.10 INPUTS'!Q36+'CPIF CLIN 0001-TASK 1.11 INPUTS'!Q36</f>
        <v>0</v>
      </c>
    </row>
    <row r="32" spans="1:17" x14ac:dyDescent="0.25">
      <c r="A32" s="138"/>
      <c r="B32" s="112" t="str">
        <f>'SUB CPIF RATES (ALL)'!B54</f>
        <v>Indirect Category: [G&amp;A]</v>
      </c>
      <c r="C32" s="160"/>
      <c r="D32" s="188"/>
      <c r="E32" s="113">
        <f>'CPIF CLIN 0001-TASK 1.01 INPUTS'!E39+'CPIF CLIN 0001-TASK 1.02 INPUTS'!E37+'CPIF CLIN 0001-TASK 1.03 INPUTS'!E37+'CPIF CLIN 0001 TASK 1.04 INPUTS'!E37+'CPIF CLIN 0001-TASK 1.05 INPUTS'!E37+'CPIF CLIN 0001-TASK 1.06 INPUTS'!E37+'CPIF CLIN 0001-TASK 1.07 INPUTS'!E37+'CPIF CLIN 0001-TASK 1.08 INPUTS'!E37+'CPIF CLIN 0001-TASK 1.09 INPUTS'!E37+'CPIF CLIN 0001-TASK 1.10 INPUTS'!E37+'CPIF CLIN 0001-TASK 1.11 INPUTS'!E37</f>
        <v>0</v>
      </c>
      <c r="F32" s="123"/>
      <c r="G32" s="160"/>
      <c r="H32" s="188"/>
      <c r="I32" s="113">
        <f>'CPIF CLIN 0001-TASK 1.01 INPUTS'!I39+'CPIF CLIN 0001-TASK 1.02 INPUTS'!I37+'CPIF CLIN 0001-TASK 1.03 INPUTS'!I37+'CPIF CLIN 0001 TASK 1.04 INPUTS'!I37+'CPIF CLIN 0001-TASK 1.05 INPUTS'!I37+'CPIF CLIN 0001-TASK 1.06 INPUTS'!I37+'CPIF CLIN 0001-TASK 1.07 INPUTS'!I37+'CPIF CLIN 0001-TASK 1.08 INPUTS'!I37+'CPIF CLIN 0001-TASK 1.09 INPUTS'!I37+'CPIF CLIN 0001-TASK 1.10 INPUTS'!I37+'CPIF CLIN 0001-TASK 1.11 INPUTS'!I37</f>
        <v>0</v>
      </c>
      <c r="J32" s="123"/>
      <c r="K32" s="160"/>
      <c r="L32" s="188"/>
      <c r="M32" s="113">
        <f>'CPIF CLIN 0001-TASK 1.01 INPUTS'!M39+'CPIF CLIN 0001-TASK 1.02 INPUTS'!M37+'CPIF CLIN 0001-TASK 1.03 INPUTS'!M37+'CPIF CLIN 0001 TASK 1.04 INPUTS'!M37+'CPIF CLIN 0001-TASK 1.05 INPUTS'!M37+'CPIF CLIN 0001-TASK 1.06 INPUTS'!M37+'CPIF CLIN 0001-TASK 1.07 INPUTS'!M37+'CPIF CLIN 0001-TASK 1.08 INPUTS'!M37+'CPIF CLIN 0001-TASK 1.09 INPUTS'!M37+'CPIF CLIN 0001-TASK 1.10 INPUTS'!M37+'CPIF CLIN 0001-TASK 1.11 INPUTS'!M37</f>
        <v>0</v>
      </c>
      <c r="N32" s="123"/>
      <c r="O32" s="160"/>
      <c r="P32" s="188"/>
      <c r="Q32" s="113">
        <f>'CPIF CLIN 0001-TASK 1.01 INPUTS'!Q39+'CPIF CLIN 0001-TASK 1.02 INPUTS'!Q37+'CPIF CLIN 0001-TASK 1.03 INPUTS'!Q37+'CPIF CLIN 0001 TASK 1.04 INPUTS'!Q37+'CPIF CLIN 0001-TASK 1.05 INPUTS'!Q37+'CPIF CLIN 0001-TASK 1.06 INPUTS'!Q37+'CPIF CLIN 0001-TASK 1.07 INPUTS'!Q37+'CPIF CLIN 0001-TASK 1.08 INPUTS'!Q37+'CPIF CLIN 0001-TASK 1.09 INPUTS'!Q37+'CPIF CLIN 0001-TASK 1.10 INPUTS'!Q37+'CPIF CLIN 0001-TASK 1.11 INPUTS'!Q37</f>
        <v>0</v>
      </c>
    </row>
    <row r="33" spans="1:17" x14ac:dyDescent="0.25">
      <c r="A33" s="138"/>
      <c r="B33" s="112" t="str">
        <f>'SUB CPIF RATES (ALL)'!B55</f>
        <v>Indirect Category: [FCCOM]</v>
      </c>
      <c r="C33" s="160"/>
      <c r="D33" s="189"/>
      <c r="E33" s="113">
        <f>'CPIF CLIN 0001-TASK 1.01 INPUTS'!E40+'CPIF CLIN 0001-TASK 1.02 INPUTS'!E38+'CPIF CLIN 0001-TASK 1.03 INPUTS'!E38+'CPIF CLIN 0001 TASK 1.04 INPUTS'!E38+'CPIF CLIN 0001-TASK 1.05 INPUTS'!E38+'CPIF CLIN 0001-TASK 1.06 INPUTS'!E38+'CPIF CLIN 0001-TASK 1.07 INPUTS'!E38+'CPIF CLIN 0001-TASK 1.08 INPUTS'!E38+'CPIF CLIN 0001-TASK 1.09 INPUTS'!E38+'CPIF CLIN 0001-TASK 1.10 INPUTS'!E38+'CPIF CLIN 0001-TASK 1.11 INPUTS'!E38</f>
        <v>0</v>
      </c>
      <c r="F33" s="110"/>
      <c r="G33" s="160"/>
      <c r="H33" s="189"/>
      <c r="I33" s="113">
        <f>'CPIF CLIN 0001-TASK 1.01 INPUTS'!I40+'CPIF CLIN 0001-TASK 1.02 INPUTS'!I38+'CPIF CLIN 0001-TASK 1.03 INPUTS'!I38+'CPIF CLIN 0001 TASK 1.04 INPUTS'!I38+'CPIF CLIN 0001-TASK 1.05 INPUTS'!I38+'CPIF CLIN 0001-TASK 1.06 INPUTS'!I38+'CPIF CLIN 0001-TASK 1.07 INPUTS'!I38+'CPIF CLIN 0001-TASK 1.08 INPUTS'!I38+'CPIF CLIN 0001-TASK 1.09 INPUTS'!I38+'CPIF CLIN 0001-TASK 1.10 INPUTS'!I38+'CPIF CLIN 0001-TASK 1.11 INPUTS'!I38</f>
        <v>0</v>
      </c>
      <c r="J33" s="110"/>
      <c r="K33" s="160"/>
      <c r="L33" s="189"/>
      <c r="M33" s="113">
        <f>'CPIF CLIN 0001-TASK 1.01 INPUTS'!M40+'CPIF CLIN 0001-TASK 1.02 INPUTS'!M38+'CPIF CLIN 0001-TASK 1.03 INPUTS'!M38+'CPIF CLIN 0001 TASK 1.04 INPUTS'!M38+'CPIF CLIN 0001-TASK 1.05 INPUTS'!M38+'CPIF CLIN 0001-TASK 1.06 INPUTS'!M38+'CPIF CLIN 0001-TASK 1.07 INPUTS'!M38+'CPIF CLIN 0001-TASK 1.08 INPUTS'!M38+'CPIF CLIN 0001-TASK 1.09 INPUTS'!M38+'CPIF CLIN 0001-TASK 1.10 INPUTS'!M38+'CPIF CLIN 0001-TASK 1.11 INPUTS'!M38</f>
        <v>0</v>
      </c>
      <c r="N33" s="110"/>
      <c r="O33" s="160"/>
      <c r="P33" s="189"/>
      <c r="Q33" s="113">
        <f>'CPIF CLIN 0001-TASK 1.01 INPUTS'!Q40+'CPIF CLIN 0001-TASK 1.02 INPUTS'!Q38+'CPIF CLIN 0001-TASK 1.03 INPUTS'!Q38+'CPIF CLIN 0001 TASK 1.04 INPUTS'!Q38+'CPIF CLIN 0001-TASK 1.05 INPUTS'!Q38+'CPIF CLIN 0001-TASK 1.06 INPUTS'!Q38+'CPIF CLIN 0001-TASK 1.07 INPUTS'!Q38+'CPIF CLIN 0001-TASK 1.08 INPUTS'!Q38+'CPIF CLIN 0001-TASK 1.09 INPUTS'!Q38+'CPIF CLIN 0001-TASK 1.10 INPUTS'!Q38+'CPIF CLIN 0001-TASK 1.11 INPUTS'!Q38</f>
        <v>0</v>
      </c>
    </row>
    <row r="34" spans="1:17" x14ac:dyDescent="0.25">
      <c r="A34" s="138"/>
      <c r="B34" s="112" t="str">
        <f>'SUB CPIF RATES (ALL)'!B56</f>
        <v>Indirect Category: [Target Fee]</v>
      </c>
      <c r="C34" s="160"/>
      <c r="D34" s="188"/>
      <c r="E34" s="113">
        <f>'CPIF CLIN 0001-TASK 1.01 INPUTS'!E41+'CPIF CLIN 0001-TASK 1.02 INPUTS'!E39+'CPIF CLIN 0001-TASK 1.03 INPUTS'!E39+'CPIF CLIN 0001 TASK 1.04 INPUTS'!E39+'CPIF CLIN 0001-TASK 1.05 INPUTS'!E39+'CPIF CLIN 0001-TASK 1.06 INPUTS'!E39+'CPIF CLIN 0001-TASK 1.07 INPUTS'!E39+'CPIF CLIN 0001-TASK 1.08 INPUTS'!E39+'CPIF CLIN 0001-TASK 1.09 INPUTS'!E39+'CPIF CLIN 0001-TASK 1.10 INPUTS'!E39+'CPIF CLIN 0001-TASK 1.11 INPUTS'!E39</f>
        <v>0</v>
      </c>
      <c r="F34" s="110"/>
      <c r="G34" s="160"/>
      <c r="H34" s="188"/>
      <c r="I34" s="113">
        <f>'CPIF CLIN 0001-TASK 1.01 INPUTS'!I41+'CPIF CLIN 0001-TASK 1.02 INPUTS'!I39+'CPIF CLIN 0001-TASK 1.03 INPUTS'!I39+'CPIF CLIN 0001 TASK 1.04 INPUTS'!I39+'CPIF CLIN 0001-TASK 1.05 INPUTS'!I39+'CPIF CLIN 0001-TASK 1.06 INPUTS'!I39+'CPIF CLIN 0001-TASK 1.07 INPUTS'!I39+'CPIF CLIN 0001-TASK 1.08 INPUTS'!I39+'CPIF CLIN 0001-TASK 1.09 INPUTS'!I39+'CPIF CLIN 0001-TASK 1.10 INPUTS'!I39+'CPIF CLIN 0001-TASK 1.11 INPUTS'!I39</f>
        <v>0</v>
      </c>
      <c r="J34" s="110"/>
      <c r="K34" s="160"/>
      <c r="L34" s="188"/>
      <c r="M34" s="113">
        <f>'CPIF CLIN 0001-TASK 1.01 INPUTS'!M41+'CPIF CLIN 0001-TASK 1.02 INPUTS'!M39+'CPIF CLIN 0001-TASK 1.03 INPUTS'!M39+'CPIF CLIN 0001 TASK 1.04 INPUTS'!M39+'CPIF CLIN 0001-TASK 1.05 INPUTS'!M39+'CPIF CLIN 0001-TASK 1.06 INPUTS'!M39+'CPIF CLIN 0001-TASK 1.07 INPUTS'!M39+'CPIF CLIN 0001-TASK 1.08 INPUTS'!M39+'CPIF CLIN 0001-TASK 1.09 INPUTS'!M39+'CPIF CLIN 0001-TASK 1.10 INPUTS'!M39+'CPIF CLIN 0001-TASK 1.11 INPUTS'!M39</f>
        <v>0</v>
      </c>
      <c r="N34" s="110"/>
      <c r="O34" s="160"/>
      <c r="P34" s="188"/>
      <c r="Q34" s="113">
        <f>'CPIF CLIN 0001-TASK 1.01 INPUTS'!Q41+'CPIF CLIN 0001-TASK 1.02 INPUTS'!Q39+'CPIF CLIN 0001-TASK 1.03 INPUTS'!Q39+'CPIF CLIN 0001 TASK 1.04 INPUTS'!Q39+'CPIF CLIN 0001-TASK 1.05 INPUTS'!Q39+'CPIF CLIN 0001-TASK 1.06 INPUTS'!Q39+'CPIF CLIN 0001-TASK 1.07 INPUTS'!Q39+'CPIF CLIN 0001-TASK 1.08 INPUTS'!Q39+'CPIF CLIN 0001-TASK 1.09 INPUTS'!Q39+'CPIF CLIN 0001-TASK 1.10 INPUTS'!Q39+'CPIF CLIN 0001-TASK 1.11 INPUTS'!Q39</f>
        <v>0</v>
      </c>
    </row>
    <row r="35" spans="1:17" x14ac:dyDescent="0.25">
      <c r="A35" s="138"/>
      <c r="B35" s="186" t="s">
        <v>186</v>
      </c>
      <c r="C35" s="178"/>
      <c r="D35" s="179"/>
      <c r="E35" s="113">
        <f>ROUND(SUM(E29:E32),2)</f>
        <v>0</v>
      </c>
      <c r="F35" s="110"/>
      <c r="G35" s="178"/>
      <c r="H35" s="179"/>
      <c r="I35" s="113">
        <f>ROUND(SUM(I29:I32),2)</f>
        <v>0</v>
      </c>
      <c r="J35" s="110"/>
      <c r="K35" s="178"/>
      <c r="L35" s="179"/>
      <c r="M35" s="113">
        <f>ROUND(SUM(M29:M32),2)</f>
        <v>0</v>
      </c>
      <c r="N35" s="110"/>
      <c r="O35" s="178"/>
      <c r="P35" s="179"/>
      <c r="Q35" s="113">
        <f>ROUND(SUM(Q29:Q32),2)</f>
        <v>0</v>
      </c>
    </row>
    <row r="36" spans="1:17" x14ac:dyDescent="0.25">
      <c r="A36" s="138"/>
      <c r="B36" s="186" t="s">
        <v>72</v>
      </c>
      <c r="C36" s="176"/>
      <c r="D36" s="180"/>
      <c r="E36" s="113">
        <f>ROUND(E33,2)</f>
        <v>0</v>
      </c>
      <c r="F36" s="110"/>
      <c r="G36" s="176"/>
      <c r="H36" s="180"/>
      <c r="I36" s="113">
        <f>ROUND(I33,2)</f>
        <v>0</v>
      </c>
      <c r="J36" s="110"/>
      <c r="K36" s="176"/>
      <c r="L36" s="180"/>
      <c r="M36" s="113">
        <f>ROUND(M33,2)</f>
        <v>0</v>
      </c>
      <c r="N36" s="110"/>
      <c r="O36" s="176"/>
      <c r="P36" s="180"/>
      <c r="Q36" s="113">
        <f>ROUND(Q33,2)</f>
        <v>0</v>
      </c>
    </row>
    <row r="37" spans="1:17" x14ac:dyDescent="0.2">
      <c r="B37" s="186" t="s">
        <v>71</v>
      </c>
      <c r="C37" s="176"/>
      <c r="D37" s="180"/>
      <c r="E37" s="127">
        <f>ROUND(E34,2)</f>
        <v>0</v>
      </c>
      <c r="F37" s="128"/>
      <c r="G37" s="176"/>
      <c r="H37" s="180"/>
      <c r="I37" s="127">
        <f>ROUND(I34,2)</f>
        <v>0</v>
      </c>
      <c r="J37" s="128"/>
      <c r="K37" s="176"/>
      <c r="L37" s="180"/>
      <c r="M37" s="127">
        <f>ROUND(M34,2)</f>
        <v>0</v>
      </c>
      <c r="N37" s="128"/>
      <c r="O37" s="176"/>
      <c r="P37" s="180"/>
      <c r="Q37" s="127">
        <f>ROUND(Q34,2)</f>
        <v>0</v>
      </c>
    </row>
    <row r="38" spans="1:17" ht="16.5" thickBot="1" x14ac:dyDescent="0.25">
      <c r="B38" s="187" t="s">
        <v>173</v>
      </c>
      <c r="C38" s="181"/>
      <c r="D38" s="182"/>
      <c r="E38" s="105">
        <f>SUM(E35:E37)</f>
        <v>0</v>
      </c>
      <c r="F38" s="106"/>
      <c r="G38" s="181"/>
      <c r="H38" s="182"/>
      <c r="I38" s="105">
        <f>SUM(I35:I37)</f>
        <v>0</v>
      </c>
      <c r="J38" s="106"/>
      <c r="K38" s="181"/>
      <c r="L38" s="182"/>
      <c r="M38" s="105">
        <f>SUM(M35:M37)</f>
        <v>0</v>
      </c>
      <c r="N38" s="106"/>
      <c r="O38" s="181"/>
      <c r="P38" s="182"/>
      <c r="Q38" s="105">
        <f>SUM(Q35:Q37)</f>
        <v>0</v>
      </c>
    </row>
    <row r="39" spans="1:17" ht="16.5" thickBot="1" x14ac:dyDescent="0.25">
      <c r="B39" s="117"/>
      <c r="D39" s="355" t="s">
        <v>1</v>
      </c>
      <c r="E39" s="363" t="s">
        <v>1</v>
      </c>
      <c r="F39" s="194"/>
      <c r="G39" s="194"/>
      <c r="H39" s="194"/>
      <c r="I39" s="194"/>
      <c r="J39" s="194"/>
      <c r="K39" s="194"/>
      <c r="N39" s="132"/>
      <c r="O39" s="194"/>
      <c r="Q39" s="362" t="s">
        <v>1</v>
      </c>
    </row>
    <row r="40" spans="1:17" ht="16.5" thickBot="1" x14ac:dyDescent="0.3">
      <c r="B40" s="523" t="str">
        <f>B10</f>
        <v>CLIN 0001 (CPIF)                                                 TOTAL</v>
      </c>
      <c r="C40" s="490" t="s">
        <v>212</v>
      </c>
      <c r="D40" s="491"/>
      <c r="E40" s="492"/>
      <c r="F40" s="120"/>
      <c r="G40" s="490" t="s">
        <v>212</v>
      </c>
      <c r="H40" s="491"/>
      <c r="I40" s="492"/>
      <c r="J40" s="120"/>
      <c r="K40" s="490" t="s">
        <v>212</v>
      </c>
      <c r="L40" s="491"/>
      <c r="M40" s="492"/>
      <c r="N40" s="120"/>
      <c r="O40" s="490" t="s">
        <v>212</v>
      </c>
      <c r="P40" s="491"/>
      <c r="Q40" s="492"/>
    </row>
    <row r="41" spans="1:17" ht="27.75" customHeight="1" thickBot="1" x14ac:dyDescent="0.3">
      <c r="B41" s="524"/>
      <c r="C41" s="520" t="str">
        <f>C28</f>
        <v>CLIN 0001 - Basic Period (Year 1)</v>
      </c>
      <c r="D41" s="521"/>
      <c r="E41" s="522"/>
      <c r="F41" s="121"/>
      <c r="G41" s="520" t="str">
        <f>G28</f>
        <v>CLIN 0001 - Basic Period (Year 2)</v>
      </c>
      <c r="H41" s="521"/>
      <c r="I41" s="522"/>
      <c r="J41" s="121"/>
      <c r="K41" s="520" t="str">
        <f>K28</f>
        <v>CLIN 0001 - Basic Period (Year 3)</v>
      </c>
      <c r="L41" s="521"/>
      <c r="M41" s="522"/>
      <c r="N41" s="121"/>
      <c r="O41" s="520" t="str">
        <f>O28</f>
        <v>CLIN 0001 - Basic Period (Year 4)</v>
      </c>
      <c r="P41" s="521"/>
      <c r="Q41" s="522"/>
    </row>
    <row r="42" spans="1:17" x14ac:dyDescent="0.25">
      <c r="B42" s="193"/>
      <c r="C42" s="98" t="s">
        <v>70</v>
      </c>
      <c r="D42" s="99" t="s">
        <v>57</v>
      </c>
      <c r="E42" s="100" t="s">
        <v>287</v>
      </c>
      <c r="F42" s="111"/>
      <c r="G42" s="98" t="s">
        <v>59</v>
      </c>
      <c r="H42" s="99" t="s">
        <v>57</v>
      </c>
      <c r="I42" s="100" t="s">
        <v>287</v>
      </c>
      <c r="J42" s="111"/>
      <c r="K42" s="98" t="s">
        <v>59</v>
      </c>
      <c r="L42" s="99" t="s">
        <v>57</v>
      </c>
      <c r="M42" s="100" t="s">
        <v>287</v>
      </c>
      <c r="N42" s="111"/>
      <c r="O42" s="98" t="s">
        <v>59</v>
      </c>
      <c r="P42" s="99" t="s">
        <v>57</v>
      </c>
      <c r="Q42" s="100" t="s">
        <v>287</v>
      </c>
    </row>
    <row r="43" spans="1:17" x14ac:dyDescent="0.2">
      <c r="B43" s="261" t="s">
        <v>1</v>
      </c>
      <c r="C43" s="226"/>
      <c r="D43" s="226"/>
      <c r="E43" s="262">
        <f>'SUB CPIF TOTAL SUB'!E23</f>
        <v>0</v>
      </c>
      <c r="F43" s="229"/>
      <c r="G43" s="176"/>
      <c r="H43" s="226"/>
      <c r="I43" s="262">
        <f>'SUB CPIF TOTAL SUB'!G23</f>
        <v>0</v>
      </c>
      <c r="J43" s="229"/>
      <c r="K43" s="176"/>
      <c r="L43" s="226"/>
      <c r="M43" s="262">
        <f>'SUB CPIF TOTAL SUB'!I23</f>
        <v>0</v>
      </c>
      <c r="N43" s="110"/>
      <c r="O43" s="176"/>
      <c r="P43" s="226"/>
      <c r="Q43" s="262">
        <f>'SUB CPIF TOTAL SUB'!K23</f>
        <v>0</v>
      </c>
    </row>
    <row r="44" spans="1:17" x14ac:dyDescent="0.2">
      <c r="B44" s="228" t="s">
        <v>1</v>
      </c>
      <c r="C44" s="527" t="s">
        <v>1</v>
      </c>
      <c r="D44" s="528"/>
      <c r="E44" s="529"/>
      <c r="F44" s="123"/>
      <c r="G44" s="530"/>
      <c r="H44" s="528"/>
      <c r="I44" s="529"/>
      <c r="J44" s="123"/>
      <c r="K44" s="530"/>
      <c r="L44" s="528"/>
      <c r="M44" s="529"/>
      <c r="N44" s="123"/>
      <c r="O44" s="530"/>
      <c r="P44" s="528"/>
      <c r="Q44" s="529"/>
    </row>
    <row r="45" spans="1:17" x14ac:dyDescent="0.2">
      <c r="B45" s="228" t="str">
        <f>'SUB CPIF RATES (ALL)'!B45</f>
        <v>Indirect Category: [Overhead]</v>
      </c>
      <c r="C45" s="227"/>
      <c r="D45" s="188"/>
      <c r="E45" s="113">
        <f>'CPIF CLIN 0001-TASK 1.01 INPUTS'!E52+'CPIF CLIN 0001-TASK 1.02 INPUTS'!E50+'CPIF CLIN 0001-TASK 1.03 INPUTS'!E50+'CPIF CLIN 0001 TASK 1.04 INPUTS'!E50+'CPIF CLIN 0001-TASK 1.05 INPUTS'!E50+'CPIF CLIN 0001-TASK 1.06 INPUTS'!E50+'CPIF CLIN 0001-TASK 1.07 INPUTS'!E50+'CPIF CLIN 0001-TASK 1.08 INPUTS'!E50+'CPIF CLIN 0001-TASK 1.09 INPUTS'!E50+'CPIF CLIN 0001-TASK 1.10 INPUTS'!E50+'CPIF CLIN 0001-TASK 1.11 INPUTS'!E50</f>
        <v>0</v>
      </c>
      <c r="F45" s="123"/>
      <c r="G45" s="160"/>
      <c r="H45" s="188"/>
      <c r="I45" s="113">
        <f>'CPIF CLIN 0001-TASK 1.01 INPUTS'!I52+'CPIF CLIN 0001-TASK 1.02 INPUTS'!I50+'CPIF CLIN 0001-TASK 1.03 INPUTS'!I50+'CPIF CLIN 0001 TASK 1.04 INPUTS'!I50+'CPIF CLIN 0001-TASK 1.05 INPUTS'!I50+'CPIF CLIN 0001-TASK 1.06 INPUTS'!I50+'CPIF CLIN 0001-TASK 1.07 INPUTS'!I50+'CPIF CLIN 0001-TASK 1.08 INPUTS'!I50+'CPIF CLIN 0001-TASK 1.09 INPUTS'!I50+'CPIF CLIN 0001-TASK 1.10 INPUTS'!I50+'CPIF CLIN 0001-TASK 1.11 INPUTS'!I50</f>
        <v>0</v>
      </c>
      <c r="J45" s="123"/>
      <c r="K45" s="160"/>
      <c r="L45" s="188"/>
      <c r="M45" s="113">
        <f>'CPIF CLIN 0001-TASK 1.01 INPUTS'!M52+'CPIF CLIN 0001-TASK 1.02 INPUTS'!M50+'CPIF CLIN 0001-TASK 1.03 INPUTS'!M50+'CPIF CLIN 0001 TASK 1.04 INPUTS'!M50+'CPIF CLIN 0001-TASK 1.05 INPUTS'!M50+'CPIF CLIN 0001-TASK 1.06 INPUTS'!M50+'CPIF CLIN 0001-TASK 1.07 INPUTS'!M50+'CPIF CLIN 0001-TASK 1.08 INPUTS'!M50+'CPIF CLIN 0001-TASK 1.09 INPUTS'!M50+'CPIF CLIN 0001-TASK 1.10 INPUTS'!M50+'CPIF CLIN 0001-TASK 1.11 INPUTS'!M50</f>
        <v>0</v>
      </c>
      <c r="N45" s="123"/>
      <c r="O45" s="160"/>
      <c r="P45" s="188"/>
      <c r="Q45" s="113">
        <f>'CPIF CLIN 0001-TASK 1.01 INPUTS'!Q52+'CPIF CLIN 0001-TASK 1.02 INPUTS'!Q50+'CPIF CLIN 0001-TASK 1.03 INPUTS'!Q50+'CPIF CLIN 0001 TASK 1.04 INPUTS'!Q50+'CPIF CLIN 0001-TASK 1.05 INPUTS'!Q50+'CPIF CLIN 0001-TASK 1.06 INPUTS'!Q50+'CPIF CLIN 0001-TASK 1.07 INPUTS'!Q50+'CPIF CLIN 0001-TASK 1.08 INPUTS'!Q50+'CPIF CLIN 0001-TASK 1.09 INPUTS'!Q50+'CPIF CLIN 0001-TASK 1.10 INPUTS'!Q50+'CPIF CLIN 0001-TASK 1.11 INPUTS'!Q50</f>
        <v>0</v>
      </c>
    </row>
    <row r="46" spans="1:17" x14ac:dyDescent="0.2">
      <c r="B46" s="228" t="str">
        <f>'SUB CPIF RATES (ALL)'!B46</f>
        <v>Indirect Category: [G&amp;A]</v>
      </c>
      <c r="C46" s="227"/>
      <c r="D46" s="188"/>
      <c r="E46" s="113">
        <f>'CPIF CLIN 0001-TASK 1.01 INPUTS'!E53+'CPIF CLIN 0001-TASK 1.02 INPUTS'!E51+'CPIF CLIN 0001-TASK 1.03 INPUTS'!E51+'CPIF CLIN 0001 TASK 1.04 INPUTS'!E51+'CPIF CLIN 0001-TASK 1.05 INPUTS'!E51+'CPIF CLIN 0001-TASK 1.06 INPUTS'!E51+'CPIF CLIN 0001-TASK 1.07 INPUTS'!E51+'CPIF CLIN 0001-TASK 1.08 INPUTS'!E51+'CPIF CLIN 0001-TASK 1.09 INPUTS'!E51+'CPIF CLIN 0001-TASK 1.10 INPUTS'!E51+'CPIF CLIN 0001-TASK 1.11 INPUTS'!E51</f>
        <v>0</v>
      </c>
      <c r="F46" s="229"/>
      <c r="G46" s="227"/>
      <c r="H46" s="188"/>
      <c r="I46" s="113">
        <f>'CPIF CLIN 0001-TASK 1.01 INPUTS'!I53+'CPIF CLIN 0001-TASK 1.02 INPUTS'!I51+'CPIF CLIN 0001-TASK 1.03 INPUTS'!I51+'CPIF CLIN 0001 TASK 1.04 INPUTS'!I51+'CPIF CLIN 0001-TASK 1.05 INPUTS'!I51+'CPIF CLIN 0001-TASK 1.06 INPUTS'!I51+'CPIF CLIN 0001-TASK 1.07 INPUTS'!I51+'CPIF CLIN 0001-TASK 1.08 INPUTS'!I51+'CPIF CLIN 0001-TASK 1.09 INPUTS'!I51+'CPIF CLIN 0001-TASK 1.10 INPUTS'!I51+'CPIF CLIN 0001-TASK 1.11 INPUTS'!I51</f>
        <v>0</v>
      </c>
      <c r="J46" s="229"/>
      <c r="K46" s="227"/>
      <c r="L46" s="188"/>
      <c r="M46" s="113">
        <f>'CPIF CLIN 0001-TASK 1.01 INPUTS'!M53+'CPIF CLIN 0001-TASK 1.02 INPUTS'!M51+'CPIF CLIN 0001-TASK 1.03 INPUTS'!M51+'CPIF CLIN 0001 TASK 1.04 INPUTS'!M51+'CPIF CLIN 0001-TASK 1.05 INPUTS'!M51+'CPIF CLIN 0001-TASK 1.06 INPUTS'!M51+'CPIF CLIN 0001-TASK 1.07 INPUTS'!M51+'CPIF CLIN 0001-TASK 1.08 INPUTS'!M51+'CPIF CLIN 0001-TASK 1.09 INPUTS'!M51+'CPIF CLIN 0001-TASK 1.10 INPUTS'!M51+'CPIF CLIN 0001-TASK 1.11 INPUTS'!M51</f>
        <v>0</v>
      </c>
      <c r="N46" s="110"/>
      <c r="O46" s="227"/>
      <c r="P46" s="188"/>
      <c r="Q46" s="113">
        <f>'CPIF CLIN 0001-TASK 1.01 INPUTS'!Q53+'CPIF CLIN 0001-TASK 1.02 INPUTS'!Q51+'CPIF CLIN 0001-TASK 1.03 INPUTS'!Q51+'CPIF CLIN 0001 TASK 1.04 INPUTS'!Q51+'CPIF CLIN 0001-TASK 1.05 INPUTS'!Q51+'CPIF CLIN 0001-TASK 1.06 INPUTS'!Q51+'CPIF CLIN 0001-TASK 1.07 INPUTS'!Q51+'CPIF CLIN 0001-TASK 1.08 INPUTS'!Q51+'CPIF CLIN 0001-TASK 1.09 INPUTS'!Q51+'CPIF CLIN 0001-TASK 1.10 INPUTS'!Q51+'CPIF CLIN 0001-TASK 1.11 INPUTS'!Q51</f>
        <v>0</v>
      </c>
    </row>
    <row r="47" spans="1:17" x14ac:dyDescent="0.2">
      <c r="B47" s="266" t="str">
        <f>'SUB CPIF RATES (ALL)'!B47</f>
        <v>Indirect Category: [FCCOM]</v>
      </c>
      <c r="C47" s="160"/>
      <c r="D47" s="267"/>
      <c r="E47" s="113">
        <f>'CPIF CLIN 0001-TASK 1.01 INPUTS'!E54+'CPIF CLIN 0001-TASK 1.02 INPUTS'!E52+'CPIF CLIN 0001-TASK 1.03 INPUTS'!E52+'CPIF CLIN 0001 TASK 1.04 INPUTS'!E52+'CPIF CLIN 0001-TASK 1.05 INPUTS'!E52+'CPIF CLIN 0001-TASK 1.06 INPUTS'!E52+'CPIF CLIN 0001-TASK 1.07 INPUTS'!E52+'CPIF CLIN 0001-TASK 1.08 INPUTS'!E52+'CPIF CLIN 0001-TASK 1.09 INPUTS'!E52+'CPIF CLIN 0001-TASK 1.10 INPUTS'!E52+'CPIF CLIN 0001-TASK 1.11 INPUTS'!E52</f>
        <v>0</v>
      </c>
      <c r="F47" s="229"/>
      <c r="G47" s="160"/>
      <c r="H47" s="267"/>
      <c r="I47" s="113">
        <f>'CPIF CLIN 0001-TASK 1.01 INPUTS'!I54+'CPIF CLIN 0001-TASK 1.02 INPUTS'!I52+'CPIF CLIN 0001-TASK 1.03 INPUTS'!I52+'CPIF CLIN 0001 TASK 1.04 INPUTS'!I52+'CPIF CLIN 0001-TASK 1.05 INPUTS'!I52+'CPIF CLIN 0001-TASK 1.06 INPUTS'!I52+'CPIF CLIN 0001-TASK 1.07 INPUTS'!I52+'CPIF CLIN 0001-TASK 1.08 INPUTS'!I52+'CPIF CLIN 0001-TASK 1.09 INPUTS'!I52+'CPIF CLIN 0001-TASK 1.10 INPUTS'!I52+'CPIF CLIN 0001-TASK 1.11 INPUTS'!I52</f>
        <v>0</v>
      </c>
      <c r="J47" s="229"/>
      <c r="K47" s="160"/>
      <c r="L47" s="267"/>
      <c r="M47" s="113">
        <f>'CPIF CLIN 0001-TASK 1.01 INPUTS'!M54+'CPIF CLIN 0001-TASK 1.02 INPUTS'!M52+'CPIF CLIN 0001-TASK 1.03 INPUTS'!M52+'CPIF CLIN 0001 TASK 1.04 INPUTS'!M52+'CPIF CLIN 0001-TASK 1.05 INPUTS'!M52+'CPIF CLIN 0001-TASK 1.06 INPUTS'!M52+'CPIF CLIN 0001-TASK 1.07 INPUTS'!M52+'CPIF CLIN 0001-TASK 1.08 INPUTS'!M52+'CPIF CLIN 0001-TASK 1.09 INPUTS'!M52+'CPIF CLIN 0001-TASK 1.10 INPUTS'!M52+'CPIF CLIN 0001-TASK 1.11 INPUTS'!M52</f>
        <v>0</v>
      </c>
      <c r="N47" s="110"/>
      <c r="O47" s="160"/>
      <c r="P47" s="267"/>
      <c r="Q47" s="113">
        <f>'CPIF CLIN 0001-TASK 1.01 INPUTS'!Q54+'CPIF CLIN 0001-TASK 1.02 INPUTS'!Q52+'CPIF CLIN 0001-TASK 1.03 INPUTS'!Q52+'CPIF CLIN 0001 TASK 1.04 INPUTS'!Q52+'CPIF CLIN 0001-TASK 1.05 INPUTS'!Q52+'CPIF CLIN 0001-TASK 1.06 INPUTS'!Q52+'CPIF CLIN 0001-TASK 1.07 INPUTS'!Q52+'CPIF CLIN 0001-TASK 1.08 INPUTS'!Q52+'CPIF CLIN 0001-TASK 1.09 INPUTS'!Q52+'CPIF CLIN 0001-TASK 1.10 INPUTS'!Q52+'CPIF CLIN 0001-TASK 1.11 INPUTS'!Q52</f>
        <v>0</v>
      </c>
    </row>
    <row r="48" spans="1:17" x14ac:dyDescent="0.2">
      <c r="B48" s="112" t="str">
        <f>'SUB CPIF RATES (ALL)'!B48</f>
        <v>Indirect Category: [Target Fee]</v>
      </c>
      <c r="C48" s="159"/>
      <c r="D48" s="269"/>
      <c r="E48" s="113">
        <f>'CPIF CLIN 0001-TASK 1.01 INPUTS'!E55+'CPIF CLIN 0001-TASK 1.02 INPUTS'!E53+'CPIF CLIN 0001-TASK 1.03 INPUTS'!E53+'CPIF CLIN 0001 TASK 1.04 INPUTS'!E53+'CPIF CLIN 0001-TASK 1.05 INPUTS'!E53+'CPIF CLIN 0001-TASK 1.06 INPUTS'!E53+'CPIF CLIN 0001-TASK 1.07 INPUTS'!E53+'CPIF CLIN 0001-TASK 1.08 INPUTS'!E53+'CPIF CLIN 0001-TASK 1.09 INPUTS'!E53+'CPIF CLIN 0001-TASK 1.10 INPUTS'!E53+'CPIF CLIN 0001-TASK 1.11 INPUTS'!E53</f>
        <v>0</v>
      </c>
      <c r="F48" s="229"/>
      <c r="G48" s="159"/>
      <c r="H48" s="269"/>
      <c r="I48" s="113">
        <f>'CPIF CLIN 0001-TASK 1.01 INPUTS'!I55+'CPIF CLIN 0001-TASK 1.02 INPUTS'!I53+'CPIF CLIN 0001-TASK 1.03 INPUTS'!I53+'CPIF CLIN 0001 TASK 1.04 INPUTS'!I53+'CPIF CLIN 0001-TASK 1.05 INPUTS'!I53+'CPIF CLIN 0001-TASK 1.06 INPUTS'!I53+'CPIF CLIN 0001-TASK 1.07 INPUTS'!I53+'CPIF CLIN 0001-TASK 1.08 INPUTS'!I53+'CPIF CLIN 0001-TASK 1.09 INPUTS'!I53+'CPIF CLIN 0001-TASK 1.10 INPUTS'!I53+'CPIF CLIN 0001-TASK 1.11 INPUTS'!I53</f>
        <v>0</v>
      </c>
      <c r="J48" s="229"/>
      <c r="K48" s="159"/>
      <c r="L48" s="269"/>
      <c r="M48" s="113">
        <f>'CPIF CLIN 0001-TASK 1.01 INPUTS'!M55+'CPIF CLIN 0001-TASK 1.02 INPUTS'!M53+'CPIF CLIN 0001-TASK 1.03 INPUTS'!M53+'CPIF CLIN 0001 TASK 1.04 INPUTS'!M53+'CPIF CLIN 0001-TASK 1.05 INPUTS'!M53+'CPIF CLIN 0001-TASK 1.06 INPUTS'!M53+'CPIF CLIN 0001-TASK 1.07 INPUTS'!M53+'CPIF CLIN 0001-TASK 1.08 INPUTS'!M53+'CPIF CLIN 0001-TASK 1.09 INPUTS'!M53+'CPIF CLIN 0001-TASK 1.10 INPUTS'!M53+'CPIF CLIN 0001-TASK 1.11 INPUTS'!M53</f>
        <v>0</v>
      </c>
      <c r="N48" s="110"/>
      <c r="O48" s="159"/>
      <c r="P48" s="269"/>
      <c r="Q48" s="113">
        <f>'CPIF CLIN 0001-TASK 1.01 INPUTS'!Q55+'CPIF CLIN 0001-TASK 1.02 INPUTS'!Q53+'CPIF CLIN 0001-TASK 1.03 INPUTS'!Q53+'CPIF CLIN 0001 TASK 1.04 INPUTS'!Q53+'CPIF CLIN 0001-TASK 1.05 INPUTS'!Q53+'CPIF CLIN 0001-TASK 1.06 INPUTS'!Q53+'CPIF CLIN 0001-TASK 1.07 INPUTS'!Q53+'CPIF CLIN 0001-TASK 1.08 INPUTS'!Q53+'CPIF CLIN 0001-TASK 1.09 INPUTS'!Q53+'CPIF CLIN 0001-TASK 1.10 INPUTS'!Q53+'CPIF CLIN 0001-TASK 1.11 INPUTS'!Q53</f>
        <v>0</v>
      </c>
    </row>
    <row r="49" spans="1:17" x14ac:dyDescent="0.2">
      <c r="B49" s="186" t="s">
        <v>214</v>
      </c>
      <c r="C49" s="178"/>
      <c r="D49" s="179"/>
      <c r="E49" s="113">
        <f>ROUND(E43+E45+E46,2)</f>
        <v>0</v>
      </c>
      <c r="F49" s="229"/>
      <c r="G49" s="178"/>
      <c r="H49" s="179"/>
      <c r="I49" s="113">
        <f>ROUND(I43+I45+I46,2)</f>
        <v>0</v>
      </c>
      <c r="J49" s="229"/>
      <c r="K49" s="178"/>
      <c r="L49" s="179"/>
      <c r="M49" s="113">
        <f>ROUND(M43+M45+M46,2)</f>
        <v>0</v>
      </c>
      <c r="N49" s="110"/>
      <c r="O49" s="178"/>
      <c r="P49" s="179"/>
      <c r="Q49" s="113">
        <f>ROUND(Q43+Q45+Q46,2)</f>
        <v>0</v>
      </c>
    </row>
    <row r="50" spans="1:17" x14ac:dyDescent="0.2">
      <c r="B50" s="186" t="s">
        <v>204</v>
      </c>
      <c r="C50" s="176"/>
      <c r="D50" s="180"/>
      <c r="E50" s="113">
        <f>ROUND(E47,2)</f>
        <v>0</v>
      </c>
      <c r="F50" s="229"/>
      <c r="G50" s="176"/>
      <c r="H50" s="180"/>
      <c r="I50" s="113">
        <f>ROUND(I47,2)</f>
        <v>0</v>
      </c>
      <c r="J50" s="229"/>
      <c r="K50" s="176"/>
      <c r="L50" s="180"/>
      <c r="M50" s="113">
        <f>ROUND(M47,2)</f>
        <v>0</v>
      </c>
      <c r="N50" s="110"/>
      <c r="O50" s="176"/>
      <c r="P50" s="180"/>
      <c r="Q50" s="113">
        <f>ROUND(Q47,2)</f>
        <v>0</v>
      </c>
    </row>
    <row r="51" spans="1:17" x14ac:dyDescent="0.2">
      <c r="B51" s="186" t="s">
        <v>71</v>
      </c>
      <c r="C51" s="176"/>
      <c r="D51" s="180"/>
      <c r="E51" s="127">
        <f>ROUND(E48,2)</f>
        <v>0</v>
      </c>
      <c r="F51" s="128"/>
      <c r="G51" s="176"/>
      <c r="H51" s="180"/>
      <c r="I51" s="127">
        <f>ROUND(I48,2)</f>
        <v>0</v>
      </c>
      <c r="J51" s="128"/>
      <c r="K51" s="176"/>
      <c r="L51" s="180"/>
      <c r="M51" s="127">
        <f>ROUND(M48,2)</f>
        <v>0</v>
      </c>
      <c r="N51" s="128"/>
      <c r="O51" s="176"/>
      <c r="P51" s="180"/>
      <c r="Q51" s="127">
        <f>ROUND(Q48,2)</f>
        <v>0</v>
      </c>
    </row>
    <row r="52" spans="1:17" ht="16.5" thickBot="1" x14ac:dyDescent="0.25">
      <c r="B52" s="187" t="s">
        <v>215</v>
      </c>
      <c r="C52" s="181"/>
      <c r="D52" s="182"/>
      <c r="E52" s="105">
        <f>ROUND(SUM(E49:E51),2)</f>
        <v>0</v>
      </c>
      <c r="F52" s="106"/>
      <c r="G52" s="181"/>
      <c r="H52" s="182"/>
      <c r="I52" s="105">
        <f>ROUND(SUM(I49:I51),2)</f>
        <v>0</v>
      </c>
      <c r="J52" s="106"/>
      <c r="K52" s="181"/>
      <c r="L52" s="182"/>
      <c r="M52" s="105">
        <f>ROUND(SUM(M49:M51),2)</f>
        <v>0</v>
      </c>
      <c r="N52" s="106"/>
      <c r="O52" s="181"/>
      <c r="P52" s="182"/>
      <c r="Q52" s="105">
        <f>ROUND(SUM(Q49:Q51),2)</f>
        <v>0</v>
      </c>
    </row>
    <row r="53" spans="1:17" s="202" customFormat="1" ht="16.5" thickBot="1" x14ac:dyDescent="0.25">
      <c r="A53" s="203"/>
      <c r="B53" s="263"/>
      <c r="E53" s="264"/>
      <c r="F53" s="264"/>
      <c r="G53" s="264"/>
      <c r="H53" s="264"/>
      <c r="I53" s="264"/>
      <c r="J53" s="264"/>
      <c r="K53" s="264"/>
      <c r="N53" s="265"/>
      <c r="O53" s="264"/>
    </row>
    <row r="54" spans="1:17" ht="16.5" customHeight="1" thickBot="1" x14ac:dyDescent="0.3">
      <c r="A54" s="138"/>
      <c r="B54" s="523" t="str">
        <f>B27</f>
        <v>CLIN 0001 (CPIF)                                                 TOTAL</v>
      </c>
      <c r="C54" s="490" t="s">
        <v>81</v>
      </c>
      <c r="D54" s="491"/>
      <c r="E54" s="492"/>
      <c r="F54" s="120"/>
      <c r="G54" s="490" t="s">
        <v>82</v>
      </c>
      <c r="H54" s="491"/>
      <c r="I54" s="492"/>
      <c r="J54" s="120"/>
      <c r="K54" s="490" t="s">
        <v>82</v>
      </c>
      <c r="L54" s="491"/>
      <c r="M54" s="492"/>
      <c r="N54" s="120"/>
      <c r="O54" s="490" t="s">
        <v>82</v>
      </c>
      <c r="P54" s="491"/>
      <c r="Q54" s="492"/>
    </row>
    <row r="55" spans="1:17" ht="33.75" customHeight="1" thickBot="1" x14ac:dyDescent="0.3">
      <c r="A55" s="138"/>
      <c r="B55" s="524"/>
      <c r="C55" s="520" t="str">
        <f>C28</f>
        <v>CLIN 0001 - Basic Period (Year 1)</v>
      </c>
      <c r="D55" s="521"/>
      <c r="E55" s="522"/>
      <c r="F55" s="121"/>
      <c r="G55" s="520" t="str">
        <f>G28</f>
        <v>CLIN 0001 - Basic Period (Year 2)</v>
      </c>
      <c r="H55" s="521"/>
      <c r="I55" s="522"/>
      <c r="J55" s="121"/>
      <c r="K55" s="520" t="str">
        <f>K28</f>
        <v>CLIN 0001 - Basic Period (Year 3)</v>
      </c>
      <c r="L55" s="521"/>
      <c r="M55" s="522"/>
      <c r="N55" s="121"/>
      <c r="O55" s="520" t="str">
        <f>O28</f>
        <v>CLIN 0001 - Basic Period (Year 4)</v>
      </c>
      <c r="P55" s="521"/>
      <c r="Q55" s="522"/>
    </row>
    <row r="56" spans="1:17" x14ac:dyDescent="0.25">
      <c r="A56" s="138"/>
      <c r="B56" s="193"/>
      <c r="C56" s="98" t="s">
        <v>289</v>
      </c>
      <c r="D56" s="99" t="s">
        <v>286</v>
      </c>
      <c r="E56" s="100" t="s">
        <v>89</v>
      </c>
      <c r="F56" s="111"/>
      <c r="G56" s="98" t="s">
        <v>289</v>
      </c>
      <c r="H56" s="99" t="s">
        <v>286</v>
      </c>
      <c r="I56" s="100" t="s">
        <v>58</v>
      </c>
      <c r="J56" s="111"/>
      <c r="K56" s="98" t="s">
        <v>289</v>
      </c>
      <c r="L56" s="99" t="s">
        <v>286</v>
      </c>
      <c r="M56" s="100" t="s">
        <v>58</v>
      </c>
      <c r="N56" s="111"/>
      <c r="O56" s="98" t="s">
        <v>289</v>
      </c>
      <c r="P56" s="99" t="s">
        <v>286</v>
      </c>
      <c r="Q56" s="100" t="s">
        <v>58</v>
      </c>
    </row>
    <row r="57" spans="1:17" x14ac:dyDescent="0.25">
      <c r="A57" s="138"/>
      <c r="B57" s="240" t="s">
        <v>1</v>
      </c>
      <c r="C57" s="176"/>
      <c r="D57" s="177"/>
      <c r="E57" s="159">
        <f>'CPIF CLIN 0001-TASK 1.01 INPUTS'!E64+'CPIF CLIN 0001-TASK 1.02 INPUTS'!E62+'CPIF CLIN 0001-TASK 1.03 INPUTS'!E62+'CPIF CLIN 0001 TASK 1.04 INPUTS'!E62+'CPIF CLIN 0001-TASK 1.05 INPUTS'!E62+'CPIF CLIN 0001-TASK 1.06 INPUTS'!E62+'CPIF CLIN 0001-TASK 1.07 INPUTS'!E62+'CPIF CLIN 0001-TASK 1.08 INPUTS'!E62+'CPIF CLIN 0001-TASK 1.09 INPUTS'!E62+'CPIF CLIN 0001-TASK 1.10 INPUTS'!E62+'CPIF CLIN 0001-TASK 1.11 INPUTS'!E62</f>
        <v>0</v>
      </c>
      <c r="F57" s="110"/>
      <c r="G57" s="176"/>
      <c r="H57" s="177"/>
      <c r="I57" s="159">
        <f>'CPIF CLIN 0001-TASK 1.01 INPUTS'!I64+'CPIF CLIN 0001-TASK 1.02 INPUTS'!I62+'CPIF CLIN 0001-TASK 1.03 INPUTS'!I62+'CPIF CLIN 0001 TASK 1.04 INPUTS'!I62+'CPIF CLIN 0001-TASK 1.05 INPUTS'!I62+'CPIF CLIN 0001-TASK 1.06 INPUTS'!I62+'CPIF CLIN 0001-TASK 1.07 INPUTS'!I62+'CPIF CLIN 0001-TASK 1.08 INPUTS'!I62+'CPIF CLIN 0001-TASK 1.09 INPUTS'!I62+'CPIF CLIN 0001-TASK 1.10 INPUTS'!I62+'CPIF CLIN 0001-TASK 1.11 INPUTS'!I62</f>
        <v>0</v>
      </c>
      <c r="J57" s="110"/>
      <c r="K57" s="176"/>
      <c r="L57" s="177"/>
      <c r="M57" s="159">
        <f>'CPIF CLIN 0001-TASK 1.01 INPUTS'!M64+'CPIF CLIN 0001-TASK 1.02 INPUTS'!M62+'CPIF CLIN 0001-TASK 1.03 INPUTS'!M62+'CPIF CLIN 0001 TASK 1.04 INPUTS'!M62+'CPIF CLIN 0001-TASK 1.05 INPUTS'!M62+'CPIF CLIN 0001-TASK 1.06 INPUTS'!M62+'CPIF CLIN 0001-TASK 1.07 INPUTS'!M62+'CPIF CLIN 0001-TASK 1.08 INPUTS'!M62+'CPIF CLIN 0001-TASK 1.09 INPUTS'!M62+'CPIF CLIN 0001-TASK 1.10 INPUTS'!M62+'CPIF CLIN 0001-TASK 1.11 INPUTS'!M62</f>
        <v>0</v>
      </c>
      <c r="N57" s="110"/>
      <c r="O57" s="176"/>
      <c r="P57" s="177"/>
      <c r="Q57" s="159">
        <f>'CPIF CLIN 0001-TASK 1.01 INPUTS'!Q64+'CPIF CLIN 0001-TASK 1.02 INPUTS'!Q62+'CPIF CLIN 0001-TASK 1.03 INPUTS'!Q62+'CPIF CLIN 0001 TASK 1.04 INPUTS'!Q62+'CPIF CLIN 0001-TASK 1.05 INPUTS'!Q62+'CPIF CLIN 0001-TASK 1.06 INPUTS'!Q62+'CPIF CLIN 0001-TASK 1.07 INPUTS'!Q62+'CPIF CLIN 0001-TASK 1.08 INPUTS'!Q62+'CPIF CLIN 0001-TASK 1.09 INPUTS'!Q62+'CPIF CLIN 0001-TASK 1.10 INPUTS'!Q62+'CPIF CLIN 0001-TASK 1.11 INPUTS'!Q62</f>
        <v>0</v>
      </c>
    </row>
    <row r="58" spans="1:17" x14ac:dyDescent="0.25">
      <c r="A58" s="138"/>
      <c r="B58" s="112" t="s">
        <v>60</v>
      </c>
      <c r="C58" s="160"/>
      <c r="D58" s="188"/>
      <c r="E58" s="113">
        <f>'CPIF CLIN 0001-TASK 1.01 INPUTS'!E66+'CPIF CLIN 0001-TASK 1.02 INPUTS'!E64+'CPIF CLIN 0001-TASK 1.03 INPUTS'!E64+'CPIF CLIN 0001 TASK 1.04 INPUTS'!E64+'CPIF CLIN 0001-TASK 1.05 INPUTS'!E64+'CPIF CLIN 0001-TASK 1.06 INPUTS'!E64+'CPIF CLIN 0001-TASK 1.07 INPUTS'!E64+'CPIF CLIN 0001-TASK 1.08 INPUTS'!E64+'CPIF CLIN 0001-TASK 1.09 INPUTS'!E64+'CPIF CLIN 0001-TASK 1.10 INPUTS'!E64+'CPIF CLIN 0001-TASK 1.11 INPUTS'!E64</f>
        <v>0</v>
      </c>
      <c r="F58" s="123"/>
      <c r="G58" s="160"/>
      <c r="H58" s="188"/>
      <c r="I58" s="113">
        <f>'CPIF CLIN 0001-TASK 1.01 INPUTS'!I66+'CPIF CLIN 0001-TASK 1.02 INPUTS'!I64+'CPIF CLIN 0001-TASK 1.03 INPUTS'!I64+'CPIF CLIN 0001 TASK 1.04 INPUTS'!I64+'CPIF CLIN 0001-TASK 1.05 INPUTS'!I64+'CPIF CLIN 0001-TASK 1.06 INPUTS'!I64+'CPIF CLIN 0001-TASK 1.07 INPUTS'!I64+'CPIF CLIN 0001-TASK 1.08 INPUTS'!I64+'CPIF CLIN 0001-TASK 1.09 INPUTS'!I64+'CPIF CLIN 0001-TASK 1.10 INPUTS'!I64+'CPIF CLIN 0001-TASK 1.11 INPUTS'!I64</f>
        <v>0</v>
      </c>
      <c r="J58" s="123"/>
      <c r="K58" s="160"/>
      <c r="L58" s="188"/>
      <c r="M58" s="113">
        <f>'CPIF CLIN 0001-TASK 1.01 INPUTS'!M66+'CPIF CLIN 0001-TASK 1.02 INPUTS'!M64+'CPIF CLIN 0001-TASK 1.03 INPUTS'!M64+'CPIF CLIN 0001 TASK 1.04 INPUTS'!M64+'CPIF CLIN 0001-TASK 1.05 INPUTS'!M64+'CPIF CLIN 0001-TASK 1.06 INPUTS'!M64+'CPIF CLIN 0001-TASK 1.07 INPUTS'!M64+'CPIF CLIN 0001-TASK 1.08 INPUTS'!M64+'CPIF CLIN 0001-TASK 1.09 INPUTS'!M64+'CPIF CLIN 0001-TASK 1.10 INPUTS'!M64+'CPIF CLIN 0001-TASK 1.11 INPUTS'!M64</f>
        <v>0</v>
      </c>
      <c r="N58" s="123"/>
      <c r="O58" s="160"/>
      <c r="P58" s="188"/>
      <c r="Q58" s="113">
        <f>'CPIF CLIN 0001-TASK 1.01 INPUTS'!Q66+'CPIF CLIN 0001-TASK 1.02 INPUTS'!Q64+'CPIF CLIN 0001-TASK 1.03 INPUTS'!Q64+'CPIF CLIN 0001 TASK 1.04 INPUTS'!Q64+'CPIF CLIN 0001-TASK 1.05 INPUTS'!Q64+'CPIF CLIN 0001-TASK 1.06 INPUTS'!Q64+'CPIF CLIN 0001-TASK 1.07 INPUTS'!Q64+'CPIF CLIN 0001-TASK 1.08 INPUTS'!Q64+'CPIF CLIN 0001-TASK 1.09 INPUTS'!Q64+'CPIF CLIN 0001-TASK 1.10 INPUTS'!Q64+'CPIF CLIN 0001-TASK 1.11 INPUTS'!Q64</f>
        <v>0</v>
      </c>
    </row>
    <row r="59" spans="1:17" x14ac:dyDescent="0.25">
      <c r="A59" s="138"/>
      <c r="B59" s="112" t="s">
        <v>61</v>
      </c>
      <c r="C59" s="160"/>
      <c r="D59" s="188"/>
      <c r="E59" s="113">
        <f>'CPIF CLIN 0001-TASK 1.01 INPUTS'!E67+'CPIF CLIN 0001-TASK 1.02 INPUTS'!E65+'CPIF CLIN 0001-TASK 1.03 INPUTS'!E65+'CPIF CLIN 0001 TASK 1.04 INPUTS'!E65+'CPIF CLIN 0001-TASK 1.05 INPUTS'!E65+'CPIF CLIN 0001-TASK 1.06 INPUTS'!E65+'CPIF CLIN 0001-TASK 1.07 INPUTS'!E65+'CPIF CLIN 0001-TASK 1.08 INPUTS'!E65+'CPIF CLIN 0001-TASK 1.09 INPUTS'!E65+'CPIF CLIN 0001-TASK 1.10 INPUTS'!E65+'CPIF CLIN 0001-TASK 1.11 INPUTS'!E65</f>
        <v>0</v>
      </c>
      <c r="F59" s="123"/>
      <c r="G59" s="160"/>
      <c r="H59" s="188"/>
      <c r="I59" s="113">
        <f>'CPIF CLIN 0001-TASK 1.01 INPUTS'!I67+'CPIF CLIN 0001-TASK 1.02 INPUTS'!I65+'CPIF CLIN 0001-TASK 1.03 INPUTS'!I65+'CPIF CLIN 0001 TASK 1.04 INPUTS'!I65+'CPIF CLIN 0001-TASK 1.05 INPUTS'!I65+'CPIF CLIN 0001-TASK 1.06 INPUTS'!I65+'CPIF CLIN 0001-TASK 1.07 INPUTS'!I65+'CPIF CLIN 0001-TASK 1.08 INPUTS'!I65+'CPIF CLIN 0001-TASK 1.09 INPUTS'!I65+'CPIF CLIN 0001-TASK 1.10 INPUTS'!I65+'CPIF CLIN 0001-TASK 1.11 INPUTS'!I65</f>
        <v>0</v>
      </c>
      <c r="J59" s="123"/>
      <c r="K59" s="160"/>
      <c r="L59" s="188"/>
      <c r="M59" s="113">
        <f>'CPIF CLIN 0001-TASK 1.01 INPUTS'!M67+'CPIF CLIN 0001-TASK 1.02 INPUTS'!M65+'CPIF CLIN 0001-TASK 1.03 INPUTS'!M65+'CPIF CLIN 0001 TASK 1.04 INPUTS'!M65+'CPIF CLIN 0001-TASK 1.05 INPUTS'!M65+'CPIF CLIN 0001-TASK 1.06 INPUTS'!M65+'CPIF CLIN 0001-TASK 1.07 INPUTS'!M65+'CPIF CLIN 0001-TASK 1.08 INPUTS'!M65+'CPIF CLIN 0001-TASK 1.09 INPUTS'!M65+'CPIF CLIN 0001-TASK 1.10 INPUTS'!M65+'CPIF CLIN 0001-TASK 1.11 INPUTS'!M65</f>
        <v>0</v>
      </c>
      <c r="N59" s="123"/>
      <c r="O59" s="160"/>
      <c r="P59" s="188"/>
      <c r="Q59" s="113">
        <f>'CPIF CLIN 0001-TASK 1.01 INPUTS'!Q67+'CPIF CLIN 0001-TASK 1.02 INPUTS'!Q65+'CPIF CLIN 0001-TASK 1.03 INPUTS'!Q65+'CPIF CLIN 0001 TASK 1.04 INPUTS'!Q65+'CPIF CLIN 0001-TASK 1.05 INPUTS'!Q65+'CPIF CLIN 0001-TASK 1.06 INPUTS'!Q65+'CPIF CLIN 0001-TASK 1.07 INPUTS'!Q65+'CPIF CLIN 0001-TASK 1.08 INPUTS'!Q65+'CPIF CLIN 0001-TASK 1.09 INPUTS'!Q65+'CPIF CLIN 0001-TASK 1.10 INPUTS'!Q65+'CPIF CLIN 0001-TASK 1.11 INPUTS'!Q65</f>
        <v>0</v>
      </c>
    </row>
    <row r="60" spans="1:17" x14ac:dyDescent="0.25">
      <c r="A60" s="138"/>
      <c r="B60" s="112" t="s">
        <v>411</v>
      </c>
      <c r="C60" s="160"/>
      <c r="D60" s="267"/>
      <c r="E60" s="113">
        <f>'CPIF CLIN 0001-TASK 1.01 INPUTS'!E68+'CPIF CLIN 0001-TASK 1.02 INPUTS'!E66+'CPIF CLIN 0001-TASK 1.03 INPUTS'!E66+'CPIF CLIN 0001 TASK 1.04 INPUTS'!E66+'CPIF CLIN 0001-TASK 1.05 INPUTS'!E66+'CPIF CLIN 0001-TASK 1.06 INPUTS'!E66+'CPIF CLIN 0001-TASK 1.07 INPUTS'!E66+'CPIF CLIN 0001-TASK 1.08 INPUTS'!E66+'CPIF CLIN 0001-TASK 1.09 INPUTS'!E66+'CPIF CLIN 0001-TASK 1.10 INPUTS'!E66+'CPIF CLIN 0001-TASK 1.11 INPUTS'!E66</f>
        <v>0</v>
      </c>
      <c r="F60" s="110"/>
      <c r="G60" s="160"/>
      <c r="H60" s="267"/>
      <c r="I60" s="113">
        <f>'CPIF CLIN 0001-TASK 1.01 INPUTS'!I68+'CPIF CLIN 0001-TASK 1.02 INPUTS'!I66+'CPIF CLIN 0001-TASK 1.03 INPUTS'!I66+'CPIF CLIN 0001 TASK 1.04 INPUTS'!I66+'CPIF CLIN 0001-TASK 1.05 INPUTS'!I66+'CPIF CLIN 0001-TASK 1.06 INPUTS'!I66+'CPIF CLIN 0001-TASK 1.07 INPUTS'!I66+'CPIF CLIN 0001-TASK 1.08 INPUTS'!I66+'CPIF CLIN 0001-TASK 1.09 INPUTS'!I66+'CPIF CLIN 0001-TASK 1.10 INPUTS'!I66+'CPIF CLIN 0001-TASK 1.11 INPUTS'!I66</f>
        <v>0</v>
      </c>
      <c r="J60" s="110"/>
      <c r="K60" s="160"/>
      <c r="L60" s="267"/>
      <c r="M60" s="113">
        <f>'CPIF CLIN 0001-TASK 1.01 INPUTS'!M68+'CPIF CLIN 0001-TASK 1.02 INPUTS'!M66+'CPIF CLIN 0001-TASK 1.03 INPUTS'!M66+'CPIF CLIN 0001 TASK 1.04 INPUTS'!M66+'CPIF CLIN 0001-TASK 1.05 INPUTS'!M66+'CPIF CLIN 0001-TASK 1.06 INPUTS'!M66+'CPIF CLIN 0001-TASK 1.07 INPUTS'!M66+'CPIF CLIN 0001-TASK 1.08 INPUTS'!M66+'CPIF CLIN 0001-TASK 1.09 INPUTS'!M66+'CPIF CLIN 0001-TASK 1.10 INPUTS'!M66+'CPIF CLIN 0001-TASK 1.11 INPUTS'!M66</f>
        <v>0</v>
      </c>
      <c r="N60" s="110"/>
      <c r="O60" s="160"/>
      <c r="P60" s="267"/>
      <c r="Q60" s="113">
        <f>'CPIF CLIN 0001-TASK 1.01 INPUTS'!Q68+'CPIF CLIN 0001-TASK 1.02 INPUTS'!Q66+'CPIF CLIN 0001-TASK 1.03 INPUTS'!Q66+'CPIF CLIN 0001 TASK 1.04 INPUTS'!Q66+'CPIF CLIN 0001-TASK 1.05 INPUTS'!Q66+'CPIF CLIN 0001-TASK 1.06 INPUTS'!Q66+'CPIF CLIN 0001-TASK 1.07 INPUTS'!Q66+'CPIF CLIN 0001-TASK 1.08 INPUTS'!Q66+'CPIF CLIN 0001-TASK 1.09 INPUTS'!Q66+'CPIF CLIN 0001-TASK 1.10 INPUTS'!Q66+'CPIF CLIN 0001-TASK 1.11 INPUTS'!Q66</f>
        <v>0</v>
      </c>
    </row>
    <row r="61" spans="1:17" x14ac:dyDescent="0.25">
      <c r="A61" s="138"/>
      <c r="B61" s="112" t="s">
        <v>62</v>
      </c>
      <c r="C61" s="160"/>
      <c r="D61" s="269"/>
      <c r="E61" s="113">
        <f>'CPIF CLIN 0001-TASK 1.01 INPUTS'!E69+'CPIF CLIN 0001-TASK 1.02 INPUTS'!E67+'CPIF CLIN 0001-TASK 1.03 INPUTS'!E67+'CPIF CLIN 0001 TASK 1.04 INPUTS'!E67+'CPIF CLIN 0001-TASK 1.05 INPUTS'!E67+'CPIF CLIN 0001-TASK 1.06 INPUTS'!E67+'CPIF CLIN 0001-TASK 1.07 INPUTS'!E67+'CPIF CLIN 0001-TASK 1.08 INPUTS'!E67+'CPIF CLIN 0001-TASK 1.09 INPUTS'!E67+'CPIF CLIN 0001-TASK 1.10 INPUTS'!E67+'CPIF CLIN 0001-TASK 1.11 INPUTS'!E67</f>
        <v>0</v>
      </c>
      <c r="F61" s="110"/>
      <c r="G61" s="160"/>
      <c r="H61" s="269"/>
      <c r="I61" s="113">
        <f>'CPIF CLIN 0001-TASK 1.01 INPUTS'!I69+'CPIF CLIN 0001-TASK 1.02 INPUTS'!I67+'CPIF CLIN 0001-TASK 1.03 INPUTS'!I67+'CPIF CLIN 0001 TASK 1.04 INPUTS'!I67+'CPIF CLIN 0001-TASK 1.05 INPUTS'!I67+'CPIF CLIN 0001-TASK 1.06 INPUTS'!I67+'CPIF CLIN 0001-TASK 1.07 INPUTS'!I67+'CPIF CLIN 0001-TASK 1.08 INPUTS'!I67+'CPIF CLIN 0001-TASK 1.09 INPUTS'!I67+'CPIF CLIN 0001-TASK 1.10 INPUTS'!I67+'CPIF CLIN 0001-TASK 1.11 INPUTS'!I67</f>
        <v>0</v>
      </c>
      <c r="J61" s="110"/>
      <c r="K61" s="160"/>
      <c r="L61" s="269"/>
      <c r="M61" s="113">
        <f>'CPIF CLIN 0001-TASK 1.01 INPUTS'!M69+'CPIF CLIN 0001-TASK 1.02 INPUTS'!M67+'CPIF CLIN 0001-TASK 1.03 INPUTS'!M67+'CPIF CLIN 0001 TASK 1.04 INPUTS'!M67+'CPIF CLIN 0001-TASK 1.05 INPUTS'!M67+'CPIF CLIN 0001-TASK 1.06 INPUTS'!M67+'CPIF CLIN 0001-TASK 1.07 INPUTS'!M67+'CPIF CLIN 0001-TASK 1.08 INPUTS'!M67+'CPIF CLIN 0001-TASK 1.09 INPUTS'!M67+'CPIF CLIN 0001-TASK 1.10 INPUTS'!M67+'CPIF CLIN 0001-TASK 1.11 INPUTS'!M67</f>
        <v>0</v>
      </c>
      <c r="N61" s="110"/>
      <c r="O61" s="160"/>
      <c r="P61" s="269"/>
      <c r="Q61" s="113">
        <f>'CPIF CLIN 0001-TASK 1.01 INPUTS'!Q69+'CPIF CLIN 0001-TASK 1.02 INPUTS'!Q67+'CPIF CLIN 0001-TASK 1.03 INPUTS'!Q67+'CPIF CLIN 0001 TASK 1.04 INPUTS'!Q67+'CPIF CLIN 0001-TASK 1.05 INPUTS'!Q67+'CPIF CLIN 0001-TASK 1.06 INPUTS'!Q67+'CPIF CLIN 0001-TASK 1.07 INPUTS'!Q67+'CPIF CLIN 0001-TASK 1.08 INPUTS'!Q67+'CPIF CLIN 0001-TASK 1.09 INPUTS'!Q67+'CPIF CLIN 0001-TASK 1.10 INPUTS'!Q67+'CPIF CLIN 0001-TASK 1.11 INPUTS'!Q67</f>
        <v>0</v>
      </c>
    </row>
    <row r="62" spans="1:17" x14ac:dyDescent="0.25">
      <c r="A62" s="138"/>
      <c r="B62" s="186" t="s">
        <v>187</v>
      </c>
      <c r="C62" s="178"/>
      <c r="D62" s="179"/>
      <c r="E62" s="113">
        <f>ROUND(SUM(E56:E59),2)</f>
        <v>0</v>
      </c>
      <c r="F62" s="110"/>
      <c r="G62" s="178"/>
      <c r="H62" s="179"/>
      <c r="I62" s="113">
        <f>ROUND(SUM(I56:I59),2)</f>
        <v>0</v>
      </c>
      <c r="J62" s="110"/>
      <c r="K62" s="178"/>
      <c r="L62" s="179"/>
      <c r="M62" s="113">
        <f>ROUND(SUM(M56:M59),2)</f>
        <v>0</v>
      </c>
      <c r="N62" s="110"/>
      <c r="O62" s="178"/>
      <c r="P62" s="179"/>
      <c r="Q62" s="113">
        <f>ROUND(SUM(Q56:Q59),2)</f>
        <v>0</v>
      </c>
    </row>
    <row r="63" spans="1:17" x14ac:dyDescent="0.25">
      <c r="A63" s="138"/>
      <c r="B63" s="186" t="s">
        <v>72</v>
      </c>
      <c r="C63" s="176"/>
      <c r="D63" s="180"/>
      <c r="E63" s="113">
        <f>ROUND(E60,2)</f>
        <v>0</v>
      </c>
      <c r="F63" s="110"/>
      <c r="G63" s="176"/>
      <c r="H63" s="180"/>
      <c r="I63" s="113">
        <f>ROUND(I60,2)</f>
        <v>0</v>
      </c>
      <c r="J63" s="110"/>
      <c r="K63" s="176"/>
      <c r="L63" s="180"/>
      <c r="M63" s="113">
        <f>ROUND(M60,2)</f>
        <v>0</v>
      </c>
      <c r="N63" s="110"/>
      <c r="O63" s="176"/>
      <c r="P63" s="180"/>
      <c r="Q63" s="113">
        <f>ROUND(Q60,2)</f>
        <v>0</v>
      </c>
    </row>
    <row r="64" spans="1:17" x14ac:dyDescent="0.2">
      <c r="A64" s="131"/>
      <c r="B64" s="186" t="s">
        <v>71</v>
      </c>
      <c r="C64" s="176"/>
      <c r="D64" s="180"/>
      <c r="E64" s="127">
        <f>ROUND(E61,2)</f>
        <v>0</v>
      </c>
      <c r="F64" s="128"/>
      <c r="G64" s="176"/>
      <c r="H64" s="180"/>
      <c r="I64" s="127">
        <f>ROUND(I61,2)</f>
        <v>0</v>
      </c>
      <c r="J64" s="128"/>
      <c r="K64" s="176"/>
      <c r="L64" s="180"/>
      <c r="M64" s="127">
        <f>ROUND(M61,2)</f>
        <v>0</v>
      </c>
      <c r="N64" s="128"/>
      <c r="O64" s="176"/>
      <c r="P64" s="180"/>
      <c r="Q64" s="127">
        <f>ROUND(Q61,2)</f>
        <v>0</v>
      </c>
    </row>
    <row r="65" spans="1:19" ht="16.5" thickBot="1" x14ac:dyDescent="0.25">
      <c r="A65" s="131"/>
      <c r="B65" s="187" t="s">
        <v>174</v>
      </c>
      <c r="C65" s="181"/>
      <c r="D65" s="182"/>
      <c r="E65" s="105">
        <f>ROUND(SUM(E62:E64),2)</f>
        <v>0</v>
      </c>
      <c r="F65" s="106"/>
      <c r="G65" s="181"/>
      <c r="H65" s="182"/>
      <c r="I65" s="105">
        <f>ROUND(SUM(I62:I64),2)</f>
        <v>0</v>
      </c>
      <c r="J65" s="106"/>
      <c r="K65" s="181"/>
      <c r="L65" s="182"/>
      <c r="M65" s="105">
        <f>ROUND(SUM(M62:M64),2)</f>
        <v>0</v>
      </c>
      <c r="N65" s="106"/>
      <c r="O65" s="181"/>
      <c r="P65" s="182"/>
      <c r="Q65" s="105">
        <f>ROUND(SUM(Q62:Q64),2)</f>
        <v>0</v>
      </c>
    </row>
    <row r="66" spans="1:19" ht="16.5" thickBot="1" x14ac:dyDescent="0.25">
      <c r="A66" s="131"/>
      <c r="B66" s="117"/>
      <c r="E66" s="194"/>
      <c r="F66" s="194"/>
      <c r="G66" s="194"/>
      <c r="H66" s="194"/>
      <c r="I66" s="194"/>
      <c r="J66" s="194"/>
      <c r="K66" s="194"/>
      <c r="L66" s="194"/>
      <c r="N66" s="132"/>
      <c r="O66" s="194"/>
      <c r="P66" s="194"/>
    </row>
    <row r="67" spans="1:19" ht="16.5" thickBot="1" x14ac:dyDescent="0.3">
      <c r="A67" s="131"/>
      <c r="B67" s="531" t="str">
        <f>B54</f>
        <v>CLIN 0001 (CPIF)                                                 TOTAL</v>
      </c>
      <c r="C67" s="517" t="s">
        <v>213</v>
      </c>
      <c r="D67" s="518"/>
      <c r="E67" s="519"/>
      <c r="F67" s="120"/>
      <c r="G67" s="517" t="s">
        <v>213</v>
      </c>
      <c r="H67" s="518"/>
      <c r="I67" s="519"/>
      <c r="J67" s="120"/>
      <c r="K67" s="517" t="s">
        <v>213</v>
      </c>
      <c r="L67" s="518"/>
      <c r="M67" s="519"/>
      <c r="N67" s="120"/>
      <c r="O67" s="517" t="s">
        <v>213</v>
      </c>
      <c r="P67" s="518"/>
      <c r="Q67" s="519"/>
    </row>
    <row r="68" spans="1:19" ht="33.75" customHeight="1" thickBot="1" x14ac:dyDescent="0.3">
      <c r="A68" s="131"/>
      <c r="B68" s="532"/>
      <c r="C68" s="221"/>
      <c r="D68" s="222"/>
      <c r="E68" s="133" t="s">
        <v>200</v>
      </c>
      <c r="F68" s="134"/>
      <c r="G68" s="221"/>
      <c r="H68" s="222"/>
      <c r="I68" s="133" t="s">
        <v>201</v>
      </c>
      <c r="J68" s="134"/>
      <c r="K68" s="221"/>
      <c r="L68" s="222"/>
      <c r="M68" s="133" t="s">
        <v>203</v>
      </c>
      <c r="N68" s="134"/>
      <c r="O68" s="221"/>
      <c r="P68" s="222"/>
      <c r="Q68" s="133" t="s">
        <v>202</v>
      </c>
      <c r="S68" s="365" t="s">
        <v>12</v>
      </c>
    </row>
    <row r="69" spans="1:19" x14ac:dyDescent="0.2">
      <c r="A69" s="131"/>
      <c r="B69" s="112" t="s">
        <v>188</v>
      </c>
      <c r="C69" s="223"/>
      <c r="D69" s="223"/>
      <c r="E69" s="135">
        <f>+ROUND(E22+E35+E49+E62,2)</f>
        <v>0</v>
      </c>
      <c r="F69" s="110"/>
      <c r="G69" s="223"/>
      <c r="H69" s="223"/>
      <c r="I69" s="135">
        <f>+ROUND(I22+I35+I49+I62,2)</f>
        <v>0</v>
      </c>
      <c r="J69" s="110"/>
      <c r="K69" s="223"/>
      <c r="L69" s="223"/>
      <c r="M69" s="135">
        <f>+ROUND(M22+M35+M49+M62,2)</f>
        <v>0</v>
      </c>
      <c r="N69" s="110"/>
      <c r="O69" s="223"/>
      <c r="P69" s="223"/>
      <c r="Q69" s="135">
        <f>+ROUND(Q22+Q35+Q49+Q62,2)</f>
        <v>0</v>
      </c>
      <c r="S69" s="355">
        <f>E69+I69+M69+Q69</f>
        <v>0</v>
      </c>
    </row>
    <row r="70" spans="1:19" x14ac:dyDescent="0.2">
      <c r="A70" s="131"/>
      <c r="B70" s="112" t="s">
        <v>72</v>
      </c>
      <c r="C70" s="223"/>
      <c r="D70" s="223"/>
      <c r="E70" s="113">
        <f>+ROUND(E23+E36+E50+E63,2)</f>
        <v>0</v>
      </c>
      <c r="F70" s="110"/>
      <c r="G70" s="223"/>
      <c r="H70" s="223"/>
      <c r="I70" s="113">
        <f>+ROUND(I23+I36+I50+I63,2)</f>
        <v>0</v>
      </c>
      <c r="J70" s="110"/>
      <c r="K70" s="223"/>
      <c r="L70" s="223"/>
      <c r="M70" s="113">
        <f>+ROUND(M23+M36+M50+M63,2)</f>
        <v>0</v>
      </c>
      <c r="N70" s="110"/>
      <c r="O70" s="223"/>
      <c r="P70" s="223"/>
      <c r="Q70" s="113">
        <f>+ROUND(Q23+Q36+Q50+Q63,2)</f>
        <v>0</v>
      </c>
      <c r="S70" s="355">
        <f t="shared" ref="S70:S72" si="0">E70+I70+M70+Q70</f>
        <v>0</v>
      </c>
    </row>
    <row r="71" spans="1:19" x14ac:dyDescent="0.2">
      <c r="A71" s="131"/>
      <c r="B71" s="112" t="s">
        <v>71</v>
      </c>
      <c r="C71" s="223"/>
      <c r="D71" s="223"/>
      <c r="E71" s="114">
        <f>+ROUND(E24+E37+E51+E64,2)</f>
        <v>0</v>
      </c>
      <c r="F71" s="115"/>
      <c r="G71" s="223"/>
      <c r="H71" s="223"/>
      <c r="I71" s="114">
        <f>+ROUND(I24+I37+I51+I64,2)</f>
        <v>0</v>
      </c>
      <c r="J71" s="115"/>
      <c r="K71" s="223"/>
      <c r="L71" s="223"/>
      <c r="M71" s="114">
        <f>+ROUND(M24+M37+M51+M64,2)</f>
        <v>0</v>
      </c>
      <c r="N71" s="115"/>
      <c r="O71" s="223"/>
      <c r="P71" s="223"/>
      <c r="Q71" s="114">
        <f>+ROUND(Q24+Q37+Q51+Q64,2)</f>
        <v>0</v>
      </c>
      <c r="S71" s="355">
        <f t="shared" si="0"/>
        <v>0</v>
      </c>
    </row>
    <row r="72" spans="1:19" ht="16.5" thickBot="1" x14ac:dyDescent="0.3">
      <c r="A72" s="131"/>
      <c r="B72" s="209" t="s">
        <v>254</v>
      </c>
      <c r="C72" s="224"/>
      <c r="D72" s="224"/>
      <c r="E72" s="208">
        <f>SUM(E69:E71)</f>
        <v>0</v>
      </c>
      <c r="F72" s="116"/>
      <c r="G72" s="224"/>
      <c r="H72" s="224"/>
      <c r="I72" s="208">
        <f>SUM(I69:I71)</f>
        <v>0</v>
      </c>
      <c r="J72" s="116"/>
      <c r="K72" s="224"/>
      <c r="L72" s="224"/>
      <c r="M72" s="208">
        <f>SUM(M69:M71)</f>
        <v>0</v>
      </c>
      <c r="N72" s="116"/>
      <c r="O72" s="224"/>
      <c r="P72" s="224"/>
      <c r="Q72" s="208">
        <f>SUM(Q69:Q71)</f>
        <v>0</v>
      </c>
      <c r="S72" s="364">
        <f t="shared" si="0"/>
        <v>0</v>
      </c>
    </row>
    <row r="73" spans="1:19" ht="16.5" thickBot="1" x14ac:dyDescent="0.3">
      <c r="Q73" s="139" t="s">
        <v>1</v>
      </c>
    </row>
    <row r="74" spans="1:19" ht="111" thickBot="1" x14ac:dyDescent="0.3">
      <c r="E74" s="139"/>
      <c r="I74" s="139"/>
      <c r="M74" s="139"/>
      <c r="P74" s="319" t="s">
        <v>282</v>
      </c>
      <c r="Q74" s="320">
        <f>E72+I72+M72+Q72</f>
        <v>0</v>
      </c>
      <c r="R74" s="139" t="s">
        <v>1</v>
      </c>
    </row>
    <row r="75" spans="1:19" x14ac:dyDescent="0.25">
      <c r="E75" s="355"/>
      <c r="I75" s="355"/>
      <c r="M75" s="355"/>
      <c r="P75" s="318" t="s">
        <v>1</v>
      </c>
      <c r="Q75" s="318"/>
    </row>
    <row r="76" spans="1:19" x14ac:dyDescent="0.25">
      <c r="P76" s="366" t="s">
        <v>13</v>
      </c>
      <c r="Q76" s="367">
        <f>'CPIF CLIN 0001-TASK 1.01 INPUTS'!Q83+'CPIF CLIN 0001-TASK 1.02 INPUTS'!Q81+'CPIF CLIN 0001-TASK 1.03 INPUTS'!Q81+'CPIF CLIN 0001 TASK 1.04 INPUTS'!Q81+'CPIF CLIN 0001-TASK 1.05 INPUTS'!Q81+'CPIF CLIN 0001-TASK 1.06 INPUTS'!Q81+'CPIF CLIN 0001-TASK 1.07 INPUTS'!Q81+'CPIF CLIN 0001-TASK 1.08 INPUTS'!Q81+'CPIF CLIN 0001-TASK 1.09 INPUTS'!Q81+'CPIF CLIN 0001-TASK 1.10 INPUTS'!Q81+'CPIF CLIN 0001-TASK 1.11 INPUTS'!Q81</f>
        <v>0</v>
      </c>
    </row>
  </sheetData>
  <mergeCells count="46">
    <mergeCell ref="C44:E44"/>
    <mergeCell ref="G44:I44"/>
    <mergeCell ref="K44:M44"/>
    <mergeCell ref="O44:Q44"/>
    <mergeCell ref="B40:B41"/>
    <mergeCell ref="C40:E40"/>
    <mergeCell ref="G40:I40"/>
    <mergeCell ref="K40:M40"/>
    <mergeCell ref="C41:E41"/>
    <mergeCell ref="G41:I41"/>
    <mergeCell ref="K41:M41"/>
    <mergeCell ref="O55:Q55"/>
    <mergeCell ref="O67:Q67"/>
    <mergeCell ref="O10:Q10"/>
    <mergeCell ref="O11:Q11"/>
    <mergeCell ref="O27:Q27"/>
    <mergeCell ref="O28:Q28"/>
    <mergeCell ref="O54:Q54"/>
    <mergeCell ref="O40:Q40"/>
    <mergeCell ref="O41:Q41"/>
    <mergeCell ref="C11:E11"/>
    <mergeCell ref="G11:I11"/>
    <mergeCell ref="K11:M11"/>
    <mergeCell ref="A4:C4"/>
    <mergeCell ref="B10:B11"/>
    <mergeCell ref="C10:E10"/>
    <mergeCell ref="G10:I10"/>
    <mergeCell ref="K10:M10"/>
    <mergeCell ref="B27:B28"/>
    <mergeCell ref="C27:E27"/>
    <mergeCell ref="G27:I27"/>
    <mergeCell ref="K27:M27"/>
    <mergeCell ref="C28:E28"/>
    <mergeCell ref="G28:I28"/>
    <mergeCell ref="K28:M28"/>
    <mergeCell ref="B54:B55"/>
    <mergeCell ref="C54:E54"/>
    <mergeCell ref="G54:I54"/>
    <mergeCell ref="K54:M54"/>
    <mergeCell ref="B67:B68"/>
    <mergeCell ref="C67:E67"/>
    <mergeCell ref="G67:I67"/>
    <mergeCell ref="K67:M67"/>
    <mergeCell ref="C55:E55"/>
    <mergeCell ref="G55:I55"/>
    <mergeCell ref="K55:M55"/>
  </mergeCells>
  <pageMargins left="0.7" right="0.7" top="0.75" bottom="0.75" header="0.3" footer="0.3"/>
  <pageSetup orientation="portrait" horizontalDpi="1200" verticalDpi="1200"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7FDE9A-9B55-4F43-8C0E-C5A2ACBB2FE5}">
  <dimension ref="A1:W747"/>
  <sheetViews>
    <sheetView zoomScale="90" zoomScaleNormal="90" workbookViewId="0">
      <pane xSplit="3" topLeftCell="D1" activePane="topRight" state="frozen"/>
      <selection pane="topRight" activeCell="C18" sqref="C18"/>
    </sheetView>
  </sheetViews>
  <sheetFormatPr defaultColWidth="9.140625" defaultRowHeight="15" x14ac:dyDescent="0.25"/>
  <cols>
    <col min="1" max="1" width="20.5703125" style="31" customWidth="1"/>
    <col min="2" max="2" width="23.5703125" style="32" bestFit="1" customWidth="1"/>
    <col min="3" max="3" width="52.28515625" style="32" bestFit="1" customWidth="1"/>
    <col min="4" max="4" width="7.5703125" style="2" customWidth="1"/>
    <col min="5" max="5" width="12.28515625" style="7" customWidth="1"/>
    <col min="6" max="6" width="15.7109375" style="7" customWidth="1"/>
    <col min="7" max="7" width="18.140625" style="7" customWidth="1"/>
    <col min="8" max="8" width="1.5703125" style="2" customWidth="1"/>
    <col min="9" max="9" width="12.28515625" style="7" bestFit="1" customWidth="1"/>
    <col min="10" max="10" width="15.7109375" style="33" customWidth="1"/>
    <col min="11" max="11" width="17" style="34" customWidth="1"/>
    <col min="12" max="12" width="2.28515625" style="2" customWidth="1"/>
    <col min="13" max="13" width="12.28515625" style="7" bestFit="1" customWidth="1"/>
    <col min="14" max="14" width="15.7109375" style="33" customWidth="1"/>
    <col min="15" max="15" width="20.7109375" style="34" customWidth="1"/>
    <col min="16" max="16" width="1.7109375" style="2" customWidth="1"/>
    <col min="17" max="17" width="12.28515625" style="7" customWidth="1"/>
    <col min="18" max="18" width="15.7109375" style="33" customWidth="1"/>
    <col min="19" max="19" width="20.7109375" style="34" customWidth="1"/>
    <col min="20" max="20" width="1.140625" style="20" customWidth="1"/>
    <col min="21" max="21" width="22.7109375" style="7" customWidth="1"/>
    <col min="22" max="22" width="18.28515625" style="35" customWidth="1"/>
    <col min="23" max="23" width="15.7109375" style="7" customWidth="1"/>
    <col min="24" max="16384" width="9.140625" style="7"/>
  </cols>
  <sheetData>
    <row r="1" spans="1:23" ht="15.75" thickBot="1" x14ac:dyDescent="0.3">
      <c r="B1" s="71" t="s">
        <v>460</v>
      </c>
      <c r="C1" s="390" t="str">
        <f>'SUB CPIF RATES (ALL)'!C1</f>
        <v xml:space="preserve">NAME </v>
      </c>
      <c r="J1" s="22"/>
      <c r="N1" s="22"/>
      <c r="R1" s="22"/>
      <c r="V1" s="20"/>
    </row>
    <row r="2" spans="1:23" ht="15.75" thickBot="1" x14ac:dyDescent="0.3">
      <c r="A2" s="71"/>
      <c r="B2" s="391" t="s">
        <v>459</v>
      </c>
      <c r="C2" s="390" t="str">
        <f>'SUB CPIF RATES (ALL)'!C2</f>
        <v xml:space="preserve">NAME </v>
      </c>
      <c r="J2" s="22"/>
      <c r="N2" s="22"/>
      <c r="R2" s="22"/>
      <c r="V2" s="20"/>
    </row>
    <row r="3" spans="1:23" x14ac:dyDescent="0.25">
      <c r="A3" s="71"/>
      <c r="B3" s="211"/>
      <c r="C3" s="211"/>
      <c r="J3" s="22"/>
      <c r="N3" s="22"/>
      <c r="R3" s="22"/>
      <c r="V3" s="20"/>
    </row>
    <row r="4" spans="1:23" x14ac:dyDescent="0.25">
      <c r="A4" s="399" t="s">
        <v>298</v>
      </c>
      <c r="B4" s="211"/>
      <c r="C4" s="211"/>
      <c r="J4" s="22"/>
      <c r="N4" s="22"/>
      <c r="R4" s="22"/>
      <c r="V4" s="20"/>
    </row>
    <row r="5" spans="1:23" ht="15.75" thickBot="1" x14ac:dyDescent="0.3">
      <c r="J5" s="22"/>
      <c r="N5" s="22"/>
      <c r="R5" s="22"/>
      <c r="V5" s="20"/>
    </row>
    <row r="6" spans="1:23" ht="48" customHeight="1" thickBot="1" x14ac:dyDescent="0.3">
      <c r="A6" s="466" t="s">
        <v>246</v>
      </c>
      <c r="B6" s="467"/>
      <c r="C6" s="468"/>
      <c r="D6" s="5"/>
      <c r="E6" s="514" t="s">
        <v>197</v>
      </c>
      <c r="F6" s="515"/>
      <c r="G6" s="516"/>
      <c r="H6" s="5"/>
      <c r="I6" s="514" t="s">
        <v>211</v>
      </c>
      <c r="J6" s="515"/>
      <c r="K6" s="516"/>
      <c r="L6" s="5"/>
      <c r="M6" s="514" t="s">
        <v>198</v>
      </c>
      <c r="N6" s="515"/>
      <c r="O6" s="516"/>
      <c r="P6" s="5"/>
      <c r="Q6" s="514" t="s">
        <v>199</v>
      </c>
      <c r="R6" s="515"/>
      <c r="S6" s="516"/>
      <c r="T6" s="3"/>
      <c r="U6" s="5"/>
      <c r="V6" s="6"/>
    </row>
    <row r="7" spans="1:23" ht="45" x14ac:dyDescent="0.25">
      <c r="A7" s="338" t="s">
        <v>306</v>
      </c>
      <c r="B7" s="40" t="s">
        <v>1</v>
      </c>
      <c r="C7" s="41"/>
      <c r="D7" s="51" t="s">
        <v>85</v>
      </c>
      <c r="E7" s="55" t="s">
        <v>86</v>
      </c>
      <c r="F7" s="43" t="s">
        <v>7</v>
      </c>
      <c r="G7" s="252" t="s">
        <v>66</v>
      </c>
      <c r="H7" s="52"/>
      <c r="I7" s="55" t="s">
        <v>86</v>
      </c>
      <c r="J7" s="43" t="s">
        <v>7</v>
      </c>
      <c r="K7" s="252" t="s">
        <v>66</v>
      </c>
      <c r="L7" s="52"/>
      <c r="M7" s="55" t="s">
        <v>86</v>
      </c>
      <c r="N7" s="43" t="s">
        <v>7</v>
      </c>
      <c r="O7" s="297" t="s">
        <v>66</v>
      </c>
      <c r="P7" s="52"/>
      <c r="Q7" s="55" t="s">
        <v>6</v>
      </c>
      <c r="R7" s="43" t="s">
        <v>7</v>
      </c>
      <c r="S7" s="297" t="s">
        <v>66</v>
      </c>
      <c r="T7" s="3"/>
      <c r="U7" s="48" t="s">
        <v>251</v>
      </c>
      <c r="V7" s="7"/>
    </row>
    <row r="8" spans="1:23" ht="15.75" x14ac:dyDescent="0.25">
      <c r="A8" s="286" t="s">
        <v>45</v>
      </c>
      <c r="B8" s="64" t="s">
        <v>16</v>
      </c>
      <c r="C8" s="64" t="s">
        <v>183</v>
      </c>
      <c r="D8" s="52"/>
      <c r="E8" s="55"/>
      <c r="F8" s="43"/>
      <c r="G8" s="252"/>
      <c r="H8" s="52"/>
      <c r="I8" s="55"/>
      <c r="J8" s="43"/>
      <c r="K8" s="252"/>
      <c r="L8" s="52"/>
      <c r="M8" s="55"/>
      <c r="N8" s="43"/>
      <c r="O8" s="252"/>
      <c r="P8" s="52"/>
      <c r="Q8" s="55"/>
      <c r="R8" s="43"/>
      <c r="S8" s="252"/>
      <c r="T8" s="3"/>
      <c r="U8" s="49"/>
      <c r="V8" s="7"/>
    </row>
    <row r="9" spans="1:23" x14ac:dyDescent="0.25">
      <c r="A9" s="67">
        <v>1.01</v>
      </c>
      <c r="B9" s="11"/>
      <c r="C9" s="70" t="s">
        <v>40</v>
      </c>
      <c r="D9" s="250" t="s">
        <v>26</v>
      </c>
      <c r="E9" s="253">
        <v>1</v>
      </c>
      <c r="F9" s="45">
        <f>'CPIF CLIN 0002-TASK 1.01 INPUTS'!E78</f>
        <v>0</v>
      </c>
      <c r="G9" s="58">
        <f>ROUND(E9*F9,2)</f>
        <v>0</v>
      </c>
      <c r="H9" s="250"/>
      <c r="I9" s="253">
        <v>1</v>
      </c>
      <c r="J9" s="45">
        <f>'CPIF CLIN 0002-TASK 1.01 INPUTS'!I78</f>
        <v>0</v>
      </c>
      <c r="K9" s="58">
        <f>ROUND(I9*J9,2)</f>
        <v>0</v>
      </c>
      <c r="L9" s="250"/>
      <c r="M9" s="253">
        <v>1</v>
      </c>
      <c r="N9" s="45">
        <f>'CPIF CLIN 0002-TASK 1.01 INPUTS'!M78</f>
        <v>0</v>
      </c>
      <c r="O9" s="58">
        <f>ROUND(M9*N9,2)</f>
        <v>0</v>
      </c>
      <c r="P9" s="298"/>
      <c r="Q9" s="299">
        <v>1</v>
      </c>
      <c r="R9" s="296">
        <f>'CPIF CLIN 0002-TASK 1.01 INPUTS'!Q78</f>
        <v>0</v>
      </c>
      <c r="S9" s="300">
        <f>ROUND(Q9*R9,2)</f>
        <v>0</v>
      </c>
      <c r="T9" s="3"/>
      <c r="U9" s="12">
        <f>G9+K9+O9+S9</f>
        <v>0</v>
      </c>
      <c r="V9" s="7"/>
    </row>
    <row r="10" spans="1:23" x14ac:dyDescent="0.25">
      <c r="A10" s="66">
        <v>1.02</v>
      </c>
      <c r="B10" s="64"/>
      <c r="C10" s="70" t="s">
        <v>41</v>
      </c>
      <c r="D10" s="251" t="s">
        <v>26</v>
      </c>
      <c r="E10" s="253">
        <v>1</v>
      </c>
      <c r="F10" s="45">
        <f>'CPIF CLIN 0002-TASK 1.02 INPUTS'!E78</f>
        <v>0</v>
      </c>
      <c r="G10" s="58">
        <f>ROUND(E10*F10,2)</f>
        <v>0</v>
      </c>
      <c r="H10" s="250"/>
      <c r="I10" s="253">
        <v>1</v>
      </c>
      <c r="J10" s="45">
        <f>'CPIF CLIN 0002-TASK 1.02 INPUTS'!I78</f>
        <v>0</v>
      </c>
      <c r="K10" s="58">
        <f>ROUND(I10*J10,2)</f>
        <v>0</v>
      </c>
      <c r="L10" s="250"/>
      <c r="M10" s="253">
        <v>1</v>
      </c>
      <c r="N10" s="45">
        <f>'CPIF CLIN 0002-TASK 1.02 INPUTS'!M78</f>
        <v>0</v>
      </c>
      <c r="O10" s="58">
        <f>ROUND(M10*N10,2)</f>
        <v>0</v>
      </c>
      <c r="P10" s="298"/>
      <c r="Q10" s="301">
        <v>1</v>
      </c>
      <c r="R10" s="296">
        <f>'CPIF CLIN 0002-TASK 1.02 INPUTS'!Q78</f>
        <v>0</v>
      </c>
      <c r="S10" s="300">
        <f>ROUND(Q10*R10,2)</f>
        <v>0</v>
      </c>
      <c r="T10" s="3"/>
      <c r="U10" s="12">
        <f t="shared" ref="U10:U11" si="0">G10+K10+O10+S10</f>
        <v>0</v>
      </c>
      <c r="V10" s="7"/>
    </row>
    <row r="11" spans="1:23" ht="15.75" thickBot="1" x14ac:dyDescent="0.3">
      <c r="A11" s="68">
        <v>1.03</v>
      </c>
      <c r="B11" s="38"/>
      <c r="C11" s="70" t="s">
        <v>42</v>
      </c>
      <c r="D11" s="245" t="s">
        <v>26</v>
      </c>
      <c r="E11" s="254">
        <v>1</v>
      </c>
      <c r="F11" s="59">
        <f>'CPIF CLIN 0002-TASK 1.03 INPUTS'!E78</f>
        <v>0</v>
      </c>
      <c r="G11" s="60">
        <f>ROUND(E11*F11,2)</f>
        <v>0</v>
      </c>
      <c r="H11" s="250"/>
      <c r="I11" s="254">
        <v>1</v>
      </c>
      <c r="J11" s="59">
        <f>'CPIF CLIN 0002-TASK 1.03 INPUTS'!I78</f>
        <v>0</v>
      </c>
      <c r="K11" s="60">
        <f>ROUND(I11*J11,2)</f>
        <v>0</v>
      </c>
      <c r="L11" s="250"/>
      <c r="M11" s="254">
        <v>1</v>
      </c>
      <c r="N11" s="59">
        <f>'CPIF CLIN 0002-TASK 1.03 INPUTS'!M78</f>
        <v>0</v>
      </c>
      <c r="O11" s="60">
        <f>ROUND(M11*N11,2)</f>
        <v>0</v>
      </c>
      <c r="P11" s="298"/>
      <c r="Q11" s="302">
        <v>1</v>
      </c>
      <c r="R11" s="303">
        <f>'CPIF CLIN 0002-TASK 1.03 INPUTS'!Q78</f>
        <v>0</v>
      </c>
      <c r="S11" s="300">
        <f>ROUND(Q11*R11,2)</f>
        <v>0</v>
      </c>
      <c r="T11" s="3"/>
      <c r="U11" s="12">
        <f t="shared" si="0"/>
        <v>0</v>
      </c>
      <c r="V11" s="7"/>
    </row>
    <row r="12" spans="1:23" ht="31.5" customHeight="1" thickBot="1" x14ac:dyDescent="0.3">
      <c r="A12" s="4"/>
      <c r="B12" s="14"/>
      <c r="C12" s="8"/>
      <c r="D12" s="15"/>
      <c r="E12" s="13"/>
      <c r="F12" s="257" t="s">
        <v>247</v>
      </c>
      <c r="G12" s="54">
        <f>SUM(G9:G11)</f>
        <v>0</v>
      </c>
      <c r="H12" s="15"/>
      <c r="J12" s="257" t="s">
        <v>248</v>
      </c>
      <c r="K12" s="54">
        <f>SUM(K9:K11)</f>
        <v>0</v>
      </c>
      <c r="L12" s="15"/>
      <c r="M12" s="16"/>
      <c r="N12" s="257" t="s">
        <v>249</v>
      </c>
      <c r="O12" s="54">
        <f>SUM(O9:O11)</f>
        <v>0</v>
      </c>
      <c r="P12" s="15"/>
      <c r="R12" s="257" t="s">
        <v>250</v>
      </c>
      <c r="S12" s="54">
        <f>SUM(S9:S11)</f>
        <v>0</v>
      </c>
      <c r="T12" s="17"/>
      <c r="U12" s="46">
        <f>SUM(U9:U11)</f>
        <v>0</v>
      </c>
      <c r="V12" s="285" t="s">
        <v>251</v>
      </c>
      <c r="W12" s="20"/>
    </row>
    <row r="13" spans="1:23" s="20" customFormat="1" ht="15.75" thickBot="1" x14ac:dyDescent="0.3">
      <c r="A13" s="26"/>
      <c r="B13" s="21"/>
      <c r="C13" s="21"/>
      <c r="D13" s="22"/>
      <c r="H13" s="22"/>
      <c r="J13" s="22"/>
      <c r="K13" s="27"/>
      <c r="L13" s="22"/>
      <c r="N13" s="22"/>
      <c r="O13" s="27"/>
      <c r="P13" s="22"/>
      <c r="R13" s="22"/>
      <c r="S13" s="27"/>
    </row>
    <row r="14" spans="1:23" s="20" customFormat="1" ht="15.75" thickBot="1" x14ac:dyDescent="0.3">
      <c r="B14" s="21"/>
      <c r="C14" s="21"/>
      <c r="D14" s="22"/>
      <c r="H14" s="22"/>
      <c r="J14" s="22"/>
      <c r="K14" s="27"/>
      <c r="L14" s="22"/>
      <c r="N14" s="22"/>
      <c r="O14" s="27"/>
      <c r="P14" s="22"/>
      <c r="R14" s="22"/>
      <c r="S14" s="27"/>
      <c r="U14" s="46">
        <f>G12+K12+O12+S12</f>
        <v>0</v>
      </c>
      <c r="V14" s="47" t="s">
        <v>13</v>
      </c>
    </row>
    <row r="15" spans="1:23" s="20" customFormat="1" x14ac:dyDescent="0.25">
      <c r="A15" s="26"/>
      <c r="B15" s="21"/>
      <c r="C15" s="21"/>
      <c r="D15" s="22"/>
      <c r="H15" s="22"/>
      <c r="J15" s="22"/>
      <c r="K15" s="27"/>
      <c r="L15" s="22"/>
      <c r="N15" s="22"/>
      <c r="O15" s="27"/>
      <c r="P15" s="22"/>
      <c r="R15" s="22"/>
      <c r="S15" s="27"/>
      <c r="U15" s="28">
        <f>U12-U14</f>
        <v>0</v>
      </c>
      <c r="V15" s="29" t="s">
        <v>14</v>
      </c>
    </row>
    <row r="16" spans="1:23" s="20" customFormat="1" x14ac:dyDescent="0.25">
      <c r="A16" s="26"/>
      <c r="B16" s="21"/>
      <c r="C16" s="21"/>
      <c r="D16" s="22"/>
      <c r="H16" s="22"/>
      <c r="J16" s="22"/>
      <c r="K16" s="27"/>
      <c r="L16" s="22"/>
      <c r="N16" s="22"/>
      <c r="O16" s="27"/>
      <c r="P16" s="22"/>
      <c r="R16" s="22"/>
      <c r="S16" s="27"/>
    </row>
    <row r="17" spans="1:19" s="20" customFormat="1" x14ac:dyDescent="0.25">
      <c r="A17" s="26"/>
      <c r="B17" s="21"/>
      <c r="C17" s="21"/>
      <c r="D17" s="22"/>
      <c r="H17" s="22"/>
      <c r="J17" s="22"/>
      <c r="K17" s="27"/>
      <c r="L17" s="22"/>
      <c r="N17" s="22"/>
      <c r="O17" s="27"/>
      <c r="P17" s="22"/>
      <c r="R17" s="22"/>
      <c r="S17" s="27"/>
    </row>
    <row r="18" spans="1:19" s="20" customFormat="1" x14ac:dyDescent="0.25">
      <c r="A18" s="26"/>
      <c r="B18" s="21"/>
      <c r="C18" s="21"/>
      <c r="D18" s="22"/>
      <c r="H18" s="22"/>
      <c r="J18" s="22"/>
      <c r="K18" s="27"/>
      <c r="L18" s="22"/>
      <c r="N18" s="22"/>
      <c r="O18" s="27"/>
      <c r="P18" s="22"/>
      <c r="R18" s="22"/>
      <c r="S18" s="27"/>
    </row>
    <row r="19" spans="1:19" s="20" customFormat="1" x14ac:dyDescent="0.25">
      <c r="A19" s="26"/>
      <c r="B19" s="21"/>
      <c r="C19" s="21"/>
      <c r="D19" s="22"/>
      <c r="H19" s="22"/>
      <c r="J19" s="22"/>
      <c r="K19" s="27"/>
      <c r="L19" s="22"/>
      <c r="N19" s="22"/>
      <c r="O19" s="27"/>
      <c r="P19" s="22"/>
      <c r="R19" s="22"/>
      <c r="S19" s="27"/>
    </row>
    <row r="20" spans="1:19" s="20" customFormat="1" x14ac:dyDescent="0.25">
      <c r="A20" s="26"/>
      <c r="B20" s="21"/>
      <c r="C20" s="21"/>
      <c r="D20" s="22"/>
      <c r="H20" s="22"/>
      <c r="J20" s="22"/>
      <c r="K20" s="27"/>
      <c r="L20" s="22"/>
      <c r="N20" s="22"/>
      <c r="O20" s="27"/>
      <c r="P20" s="22"/>
      <c r="R20" s="22"/>
      <c r="S20" s="27"/>
    </row>
    <row r="21" spans="1:19" s="20" customFormat="1" x14ac:dyDescent="0.25">
      <c r="A21" s="26"/>
      <c r="B21" s="21"/>
      <c r="C21" s="21"/>
      <c r="D21" s="22"/>
      <c r="H21" s="22"/>
      <c r="J21" s="22"/>
      <c r="K21" s="27"/>
      <c r="L21" s="22"/>
      <c r="N21" s="22"/>
      <c r="O21" s="27"/>
      <c r="P21" s="22"/>
      <c r="R21" s="22"/>
      <c r="S21" s="27"/>
    </row>
    <row r="22" spans="1:19" s="20" customFormat="1" x14ac:dyDescent="0.25">
      <c r="A22" s="26"/>
      <c r="B22" s="21"/>
      <c r="C22" s="21"/>
      <c r="D22" s="22"/>
      <c r="H22" s="22"/>
      <c r="J22" s="22"/>
      <c r="K22" s="27"/>
      <c r="L22" s="22"/>
      <c r="N22" s="22"/>
      <c r="O22" s="27"/>
      <c r="P22" s="22"/>
      <c r="R22" s="22"/>
      <c r="S22" s="27"/>
    </row>
    <row r="23" spans="1:19" s="20" customFormat="1" x14ac:dyDescent="0.25">
      <c r="A23" s="26"/>
      <c r="B23" s="21"/>
      <c r="C23" s="21"/>
      <c r="D23" s="22"/>
      <c r="H23" s="22"/>
      <c r="J23" s="22"/>
      <c r="K23" s="27"/>
      <c r="L23" s="22"/>
      <c r="N23" s="22"/>
      <c r="O23" s="27"/>
      <c r="P23" s="22"/>
      <c r="R23" s="22"/>
      <c r="S23" s="27"/>
    </row>
    <row r="24" spans="1:19" s="20" customFormat="1" x14ac:dyDescent="0.25">
      <c r="A24" s="26"/>
      <c r="B24" s="21"/>
      <c r="C24" s="21"/>
      <c r="D24" s="22"/>
      <c r="H24" s="22"/>
      <c r="J24" s="22"/>
      <c r="K24" s="27"/>
      <c r="L24" s="22"/>
      <c r="N24" s="22"/>
      <c r="O24" s="27"/>
      <c r="P24" s="22"/>
      <c r="R24" s="22"/>
      <c r="S24" s="27"/>
    </row>
    <row r="25" spans="1:19" s="20" customFormat="1" x14ac:dyDescent="0.25">
      <c r="A25" s="26"/>
      <c r="B25" s="21"/>
      <c r="C25" s="21"/>
      <c r="D25" s="22"/>
      <c r="H25" s="22"/>
      <c r="J25" s="22"/>
      <c r="K25" s="27"/>
      <c r="L25" s="22"/>
      <c r="N25" s="22"/>
      <c r="O25" s="27"/>
      <c r="P25" s="22"/>
      <c r="R25" s="22"/>
      <c r="S25" s="27"/>
    </row>
    <row r="26" spans="1:19" s="20" customFormat="1" x14ac:dyDescent="0.25">
      <c r="A26" s="26"/>
      <c r="B26" s="21"/>
      <c r="C26" s="21"/>
      <c r="D26" s="22"/>
      <c r="H26" s="22"/>
      <c r="J26" s="22"/>
      <c r="K26" s="27"/>
      <c r="L26" s="22"/>
      <c r="N26" s="22"/>
      <c r="O26" s="27"/>
      <c r="P26" s="22"/>
      <c r="R26" s="22"/>
      <c r="S26" s="27"/>
    </row>
    <row r="27" spans="1:19" s="20" customFormat="1" x14ac:dyDescent="0.25">
      <c r="A27" s="26"/>
      <c r="B27" s="21"/>
      <c r="C27" s="21"/>
      <c r="D27" s="22"/>
      <c r="H27" s="22"/>
      <c r="J27" s="22"/>
      <c r="K27" s="27"/>
      <c r="L27" s="22"/>
      <c r="N27" s="22"/>
      <c r="O27" s="27"/>
      <c r="P27" s="22"/>
      <c r="R27" s="22"/>
      <c r="S27" s="27"/>
    </row>
    <row r="28" spans="1:19" s="20" customFormat="1" x14ac:dyDescent="0.25">
      <c r="A28" s="26"/>
      <c r="B28" s="21"/>
      <c r="C28" s="21"/>
      <c r="D28" s="22"/>
      <c r="H28" s="22"/>
      <c r="J28" s="22"/>
      <c r="K28" s="27"/>
      <c r="L28" s="22"/>
      <c r="N28" s="22"/>
      <c r="O28" s="27"/>
      <c r="P28" s="22"/>
      <c r="R28" s="22"/>
      <c r="S28" s="27"/>
    </row>
    <row r="29" spans="1:19" s="20" customFormat="1" x14ac:dyDescent="0.25">
      <c r="A29" s="26"/>
      <c r="B29" s="21"/>
      <c r="C29" s="21"/>
      <c r="D29" s="22"/>
      <c r="H29" s="22"/>
      <c r="J29" s="22"/>
      <c r="K29" s="27"/>
      <c r="L29" s="22"/>
      <c r="N29" s="22"/>
      <c r="O29" s="27"/>
      <c r="P29" s="22"/>
      <c r="R29" s="22"/>
      <c r="S29" s="27"/>
    </row>
    <row r="30" spans="1:19" s="20" customFormat="1" x14ac:dyDescent="0.25">
      <c r="A30" s="26"/>
      <c r="B30" s="21"/>
      <c r="C30" s="21"/>
      <c r="D30" s="22"/>
      <c r="H30" s="22"/>
      <c r="J30" s="22"/>
      <c r="K30" s="27"/>
      <c r="L30" s="22"/>
      <c r="N30" s="22"/>
      <c r="O30" s="27"/>
      <c r="P30" s="22"/>
      <c r="R30" s="22"/>
      <c r="S30" s="27"/>
    </row>
    <row r="31" spans="1:19" s="20" customFormat="1" x14ac:dyDescent="0.25">
      <c r="A31" s="26"/>
      <c r="B31" s="21"/>
      <c r="C31" s="21"/>
      <c r="D31" s="22"/>
      <c r="H31" s="22"/>
      <c r="J31" s="22"/>
      <c r="K31" s="27"/>
      <c r="L31" s="22"/>
      <c r="N31" s="22"/>
      <c r="O31" s="27"/>
      <c r="P31" s="22"/>
      <c r="R31" s="22"/>
      <c r="S31" s="27"/>
    </row>
    <row r="32" spans="1:19" s="20" customFormat="1" x14ac:dyDescent="0.25">
      <c r="A32" s="26"/>
      <c r="B32" s="21"/>
      <c r="C32" s="21"/>
      <c r="D32" s="22"/>
      <c r="H32" s="22"/>
      <c r="J32" s="22"/>
      <c r="K32" s="27"/>
      <c r="L32" s="22"/>
      <c r="N32" s="22"/>
      <c r="O32" s="27"/>
      <c r="P32" s="22"/>
      <c r="R32" s="22"/>
      <c r="S32" s="27"/>
    </row>
    <row r="33" spans="1:19" s="20" customFormat="1" x14ac:dyDescent="0.25">
      <c r="A33" s="26"/>
      <c r="B33" s="21"/>
      <c r="C33" s="21"/>
      <c r="D33" s="22"/>
      <c r="H33" s="22"/>
      <c r="J33" s="22"/>
      <c r="K33" s="27"/>
      <c r="L33" s="22"/>
      <c r="N33" s="22"/>
      <c r="O33" s="27"/>
      <c r="P33" s="22"/>
      <c r="R33" s="22"/>
      <c r="S33" s="27"/>
    </row>
    <row r="34" spans="1:19" s="20" customFormat="1" x14ac:dyDescent="0.25">
      <c r="A34" s="26"/>
      <c r="B34" s="21"/>
      <c r="C34" s="21"/>
      <c r="D34" s="22"/>
      <c r="H34" s="22"/>
      <c r="J34" s="22"/>
      <c r="K34" s="27"/>
      <c r="L34" s="22"/>
      <c r="N34" s="22"/>
      <c r="O34" s="27"/>
      <c r="P34" s="22"/>
      <c r="R34" s="22"/>
      <c r="S34" s="27"/>
    </row>
    <row r="35" spans="1:19" s="20" customFormat="1" x14ac:dyDescent="0.25">
      <c r="A35" s="26"/>
      <c r="B35" s="21"/>
      <c r="C35" s="21"/>
      <c r="D35" s="22"/>
      <c r="H35" s="22"/>
      <c r="J35" s="22"/>
      <c r="K35" s="27"/>
      <c r="L35" s="22"/>
      <c r="N35" s="22"/>
      <c r="O35" s="27"/>
      <c r="P35" s="22"/>
      <c r="R35" s="22"/>
      <c r="S35" s="27"/>
    </row>
    <row r="36" spans="1:19" s="20" customFormat="1" x14ac:dyDescent="0.25">
      <c r="A36" s="26"/>
      <c r="B36" s="21"/>
      <c r="C36" s="21"/>
      <c r="D36" s="22"/>
      <c r="H36" s="22"/>
      <c r="J36" s="22"/>
      <c r="K36" s="27"/>
      <c r="L36" s="22"/>
      <c r="N36" s="22"/>
      <c r="O36" s="27"/>
      <c r="P36" s="22"/>
      <c r="R36" s="22"/>
      <c r="S36" s="27"/>
    </row>
    <row r="37" spans="1:19" s="20" customFormat="1" x14ac:dyDescent="0.25">
      <c r="A37" s="26"/>
      <c r="B37" s="21"/>
      <c r="C37" s="21"/>
      <c r="D37" s="22"/>
      <c r="H37" s="22"/>
      <c r="J37" s="22"/>
      <c r="K37" s="27"/>
      <c r="L37" s="22"/>
      <c r="N37" s="22"/>
      <c r="O37" s="27"/>
      <c r="P37" s="22"/>
      <c r="R37" s="22"/>
      <c r="S37" s="27"/>
    </row>
    <row r="38" spans="1:19" s="20" customFormat="1" x14ac:dyDescent="0.25">
      <c r="A38" s="26"/>
      <c r="B38" s="21"/>
      <c r="C38" s="21"/>
      <c r="D38" s="22"/>
      <c r="H38" s="22"/>
      <c r="J38" s="22"/>
      <c r="K38" s="27"/>
      <c r="L38" s="22"/>
      <c r="N38" s="22"/>
      <c r="O38" s="27"/>
      <c r="P38" s="22"/>
      <c r="R38" s="22"/>
      <c r="S38" s="27"/>
    </row>
    <row r="39" spans="1:19" s="20" customFormat="1" x14ac:dyDescent="0.25">
      <c r="A39" s="26"/>
      <c r="B39" s="21"/>
      <c r="C39" s="21"/>
      <c r="D39" s="22"/>
      <c r="H39" s="22"/>
      <c r="J39" s="22"/>
      <c r="K39" s="27"/>
      <c r="L39" s="22"/>
      <c r="N39" s="22"/>
      <c r="O39" s="27"/>
      <c r="P39" s="22"/>
      <c r="R39" s="22"/>
      <c r="S39" s="27"/>
    </row>
    <row r="40" spans="1:19" s="20" customFormat="1" x14ac:dyDescent="0.25">
      <c r="A40" s="26"/>
      <c r="B40" s="21"/>
      <c r="C40" s="21"/>
      <c r="D40" s="22"/>
      <c r="H40" s="22"/>
      <c r="J40" s="22"/>
      <c r="K40" s="27"/>
      <c r="L40" s="22"/>
      <c r="N40" s="22"/>
      <c r="O40" s="27"/>
      <c r="P40" s="22"/>
      <c r="R40" s="22"/>
      <c r="S40" s="27"/>
    </row>
    <row r="41" spans="1:19" s="20" customFormat="1" x14ac:dyDescent="0.25">
      <c r="A41" s="26"/>
      <c r="B41" s="21"/>
      <c r="C41" s="21"/>
      <c r="D41" s="22"/>
      <c r="H41" s="22"/>
      <c r="J41" s="22"/>
      <c r="K41" s="27"/>
      <c r="L41" s="22"/>
      <c r="N41" s="22"/>
      <c r="O41" s="27"/>
      <c r="P41" s="22"/>
      <c r="R41" s="22"/>
      <c r="S41" s="27"/>
    </row>
    <row r="42" spans="1:19" s="20" customFormat="1" x14ac:dyDescent="0.25">
      <c r="A42" s="26"/>
      <c r="B42" s="21"/>
      <c r="C42" s="21"/>
      <c r="D42" s="22"/>
      <c r="H42" s="22"/>
      <c r="J42" s="22"/>
      <c r="K42" s="27"/>
      <c r="L42" s="22"/>
      <c r="N42" s="22"/>
      <c r="O42" s="27"/>
      <c r="P42" s="22"/>
      <c r="R42" s="22"/>
      <c r="S42" s="27"/>
    </row>
    <row r="43" spans="1:19" s="20" customFormat="1" x14ac:dyDescent="0.25">
      <c r="A43" s="26"/>
      <c r="B43" s="21"/>
      <c r="C43" s="21"/>
      <c r="D43" s="22"/>
      <c r="H43" s="22"/>
      <c r="J43" s="22"/>
      <c r="K43" s="27"/>
      <c r="L43" s="22"/>
      <c r="N43" s="22"/>
      <c r="O43" s="27"/>
      <c r="P43" s="22"/>
      <c r="R43" s="22"/>
      <c r="S43" s="27"/>
    </row>
    <row r="44" spans="1:19" s="20" customFormat="1" x14ac:dyDescent="0.25">
      <c r="A44" s="26"/>
      <c r="B44" s="21"/>
      <c r="C44" s="21"/>
      <c r="D44" s="22"/>
      <c r="H44" s="22"/>
      <c r="J44" s="22"/>
      <c r="K44" s="27"/>
      <c r="L44" s="22"/>
      <c r="N44" s="22"/>
      <c r="O44" s="27"/>
      <c r="P44" s="22"/>
      <c r="R44" s="22"/>
      <c r="S44" s="27"/>
    </row>
    <row r="45" spans="1:19" s="20" customFormat="1" x14ac:dyDescent="0.25">
      <c r="A45" s="26"/>
      <c r="B45" s="21"/>
      <c r="C45" s="21"/>
      <c r="D45" s="22"/>
      <c r="H45" s="22"/>
      <c r="J45" s="22"/>
      <c r="K45" s="27"/>
      <c r="L45" s="22"/>
      <c r="N45" s="22"/>
      <c r="O45" s="27"/>
      <c r="P45" s="22"/>
      <c r="R45" s="22"/>
      <c r="S45" s="27"/>
    </row>
    <row r="46" spans="1:19" s="20" customFormat="1" x14ac:dyDescent="0.25">
      <c r="A46" s="26"/>
      <c r="B46" s="21"/>
      <c r="C46" s="21"/>
      <c r="D46" s="22"/>
      <c r="H46" s="22"/>
      <c r="J46" s="22"/>
      <c r="K46" s="27"/>
      <c r="L46" s="22"/>
      <c r="N46" s="22"/>
      <c r="O46" s="27"/>
      <c r="P46" s="22"/>
      <c r="R46" s="22"/>
      <c r="S46" s="27"/>
    </row>
    <row r="47" spans="1:19" s="20" customFormat="1" x14ac:dyDescent="0.25">
      <c r="A47" s="26"/>
      <c r="B47" s="21"/>
      <c r="C47" s="21"/>
      <c r="D47" s="22"/>
      <c r="H47" s="22"/>
      <c r="J47" s="22"/>
      <c r="K47" s="27"/>
      <c r="L47" s="22"/>
      <c r="N47" s="22"/>
      <c r="O47" s="27"/>
      <c r="P47" s="22"/>
      <c r="R47" s="22"/>
      <c r="S47" s="27"/>
    </row>
    <row r="48" spans="1:19" s="20" customFormat="1" x14ac:dyDescent="0.25">
      <c r="A48" s="26"/>
      <c r="B48" s="21"/>
      <c r="C48" s="21"/>
      <c r="D48" s="22"/>
      <c r="H48" s="22"/>
      <c r="J48" s="22"/>
      <c r="K48" s="27"/>
      <c r="L48" s="22"/>
      <c r="N48" s="22"/>
      <c r="O48" s="27"/>
      <c r="P48" s="22"/>
      <c r="R48" s="22"/>
      <c r="S48" s="27"/>
    </row>
    <row r="49" spans="1:19" s="20" customFormat="1" x14ac:dyDescent="0.25">
      <c r="A49" s="26"/>
      <c r="B49" s="21"/>
      <c r="C49" s="21"/>
      <c r="D49" s="22"/>
      <c r="H49" s="22"/>
      <c r="J49" s="22"/>
      <c r="K49" s="27"/>
      <c r="L49" s="22"/>
      <c r="N49" s="22"/>
      <c r="O49" s="27"/>
      <c r="P49" s="22"/>
      <c r="R49" s="22"/>
      <c r="S49" s="27"/>
    </row>
    <row r="50" spans="1:19" s="20" customFormat="1" x14ac:dyDescent="0.25">
      <c r="A50" s="26"/>
      <c r="B50" s="21"/>
      <c r="C50" s="21"/>
      <c r="D50" s="22"/>
      <c r="H50" s="22"/>
      <c r="J50" s="22"/>
      <c r="K50" s="27"/>
      <c r="L50" s="22"/>
      <c r="N50" s="22"/>
      <c r="O50" s="27"/>
      <c r="P50" s="22"/>
      <c r="R50" s="22"/>
      <c r="S50" s="27"/>
    </row>
    <row r="51" spans="1:19" s="20" customFormat="1" x14ac:dyDescent="0.25">
      <c r="A51" s="26"/>
      <c r="B51" s="21"/>
      <c r="C51" s="21"/>
      <c r="D51" s="22"/>
      <c r="H51" s="22"/>
      <c r="J51" s="22"/>
      <c r="K51" s="27"/>
      <c r="L51" s="22"/>
      <c r="N51" s="22"/>
      <c r="O51" s="27"/>
      <c r="P51" s="22"/>
      <c r="R51" s="22"/>
      <c r="S51" s="27"/>
    </row>
    <row r="52" spans="1:19" s="20" customFormat="1" x14ac:dyDescent="0.25">
      <c r="A52" s="26"/>
      <c r="B52" s="21"/>
      <c r="C52" s="21"/>
      <c r="D52" s="22"/>
      <c r="H52" s="22"/>
      <c r="J52" s="22"/>
      <c r="K52" s="27"/>
      <c r="L52" s="22"/>
      <c r="N52" s="22"/>
      <c r="O52" s="27"/>
      <c r="P52" s="22"/>
      <c r="R52" s="22"/>
      <c r="S52" s="27"/>
    </row>
    <row r="53" spans="1:19" s="20" customFormat="1" x14ac:dyDescent="0.25">
      <c r="A53" s="26"/>
      <c r="B53" s="21"/>
      <c r="C53" s="21"/>
      <c r="D53" s="22"/>
      <c r="H53" s="22"/>
      <c r="J53" s="22"/>
      <c r="K53" s="27"/>
      <c r="L53" s="22"/>
      <c r="N53" s="22"/>
      <c r="O53" s="27"/>
      <c r="P53" s="22"/>
      <c r="R53" s="22"/>
      <c r="S53" s="27"/>
    </row>
    <row r="54" spans="1:19" s="20" customFormat="1" x14ac:dyDescent="0.25">
      <c r="A54" s="26"/>
      <c r="B54" s="21"/>
      <c r="C54" s="21"/>
      <c r="D54" s="22"/>
      <c r="H54" s="22"/>
      <c r="J54" s="22"/>
      <c r="K54" s="27"/>
      <c r="L54" s="22"/>
      <c r="N54" s="22"/>
      <c r="O54" s="27"/>
      <c r="P54" s="22"/>
      <c r="R54" s="22"/>
      <c r="S54" s="27"/>
    </row>
    <row r="55" spans="1:19" s="20" customFormat="1" x14ac:dyDescent="0.25">
      <c r="A55" s="26"/>
      <c r="B55" s="21"/>
      <c r="C55" s="21"/>
      <c r="D55" s="22"/>
      <c r="H55" s="22"/>
      <c r="J55" s="22"/>
      <c r="K55" s="27"/>
      <c r="L55" s="22"/>
      <c r="N55" s="22"/>
      <c r="O55" s="27"/>
      <c r="P55" s="22"/>
      <c r="R55" s="22"/>
      <c r="S55" s="27"/>
    </row>
    <row r="56" spans="1:19" s="20" customFormat="1" x14ac:dyDescent="0.25">
      <c r="A56" s="26"/>
      <c r="B56" s="21"/>
      <c r="C56" s="21"/>
      <c r="D56" s="22"/>
      <c r="H56" s="22"/>
      <c r="J56" s="22"/>
      <c r="K56" s="27"/>
      <c r="L56" s="22"/>
      <c r="N56" s="22"/>
      <c r="O56" s="27"/>
      <c r="P56" s="22"/>
      <c r="R56" s="22"/>
      <c r="S56" s="27"/>
    </row>
    <row r="57" spans="1:19" s="20" customFormat="1" x14ac:dyDescent="0.25">
      <c r="A57" s="26"/>
      <c r="B57" s="21"/>
      <c r="C57" s="21"/>
      <c r="D57" s="22"/>
      <c r="H57" s="22"/>
      <c r="J57" s="22"/>
      <c r="K57" s="27"/>
      <c r="L57" s="22"/>
      <c r="N57" s="22"/>
      <c r="O57" s="27"/>
      <c r="P57" s="22"/>
      <c r="R57" s="22"/>
      <c r="S57" s="27"/>
    </row>
    <row r="58" spans="1:19" s="20" customFormat="1" x14ac:dyDescent="0.25">
      <c r="A58" s="26"/>
      <c r="B58" s="21"/>
      <c r="C58" s="21"/>
      <c r="D58" s="22"/>
      <c r="H58" s="22"/>
      <c r="J58" s="22"/>
      <c r="K58" s="27"/>
      <c r="L58" s="22"/>
      <c r="N58" s="22"/>
      <c r="O58" s="27"/>
      <c r="P58" s="22"/>
      <c r="R58" s="22"/>
      <c r="S58" s="27"/>
    </row>
    <row r="59" spans="1:19" s="20" customFormat="1" x14ac:dyDescent="0.25">
      <c r="A59" s="26"/>
      <c r="B59" s="21"/>
      <c r="C59" s="21"/>
      <c r="D59" s="22"/>
      <c r="H59" s="22"/>
      <c r="J59" s="22"/>
      <c r="K59" s="27"/>
      <c r="L59" s="22"/>
      <c r="N59" s="22"/>
      <c r="O59" s="27"/>
      <c r="P59" s="22"/>
      <c r="R59" s="22"/>
      <c r="S59" s="27"/>
    </row>
    <row r="60" spans="1:19" s="20" customFormat="1" x14ac:dyDescent="0.25">
      <c r="A60" s="26"/>
      <c r="B60" s="21"/>
      <c r="C60" s="21"/>
      <c r="D60" s="22"/>
      <c r="H60" s="22"/>
      <c r="J60" s="22"/>
      <c r="K60" s="27"/>
      <c r="L60" s="22"/>
      <c r="N60" s="22"/>
      <c r="O60" s="27"/>
      <c r="P60" s="22"/>
      <c r="R60" s="22"/>
      <c r="S60" s="27"/>
    </row>
    <row r="61" spans="1:19" s="20" customFormat="1" x14ac:dyDescent="0.25">
      <c r="A61" s="26"/>
      <c r="B61" s="21"/>
      <c r="C61" s="21"/>
      <c r="D61" s="22"/>
      <c r="H61" s="22"/>
      <c r="J61" s="22"/>
      <c r="K61" s="27"/>
      <c r="L61" s="22"/>
      <c r="N61" s="22"/>
      <c r="O61" s="27"/>
      <c r="P61" s="22"/>
      <c r="R61" s="22"/>
      <c r="S61" s="27"/>
    </row>
    <row r="62" spans="1:19" s="20" customFormat="1" x14ac:dyDescent="0.25">
      <c r="A62" s="26"/>
      <c r="B62" s="21"/>
      <c r="C62" s="21"/>
      <c r="D62" s="22"/>
      <c r="H62" s="22"/>
      <c r="J62" s="22"/>
      <c r="K62" s="27"/>
      <c r="L62" s="22"/>
      <c r="N62" s="22"/>
      <c r="O62" s="27"/>
      <c r="P62" s="22"/>
      <c r="R62" s="22"/>
      <c r="S62" s="27"/>
    </row>
    <row r="63" spans="1:19" s="20" customFormat="1" x14ac:dyDescent="0.25">
      <c r="A63" s="26"/>
      <c r="B63" s="21"/>
      <c r="C63" s="21"/>
      <c r="D63" s="22"/>
      <c r="H63" s="22"/>
      <c r="J63" s="22"/>
      <c r="K63" s="27"/>
      <c r="L63" s="22"/>
      <c r="N63" s="22"/>
      <c r="O63" s="27"/>
      <c r="P63" s="22"/>
      <c r="R63" s="22"/>
      <c r="S63" s="27"/>
    </row>
    <row r="64" spans="1:19" s="20" customFormat="1" x14ac:dyDescent="0.25">
      <c r="A64" s="26"/>
      <c r="B64" s="21"/>
      <c r="C64" s="21"/>
      <c r="D64" s="22"/>
      <c r="H64" s="22"/>
      <c r="J64" s="22"/>
      <c r="K64" s="27"/>
      <c r="L64" s="22"/>
      <c r="N64" s="22"/>
      <c r="O64" s="27"/>
      <c r="P64" s="22"/>
      <c r="R64" s="22"/>
      <c r="S64" s="27"/>
    </row>
    <row r="65" spans="1:19" s="20" customFormat="1" x14ac:dyDescent="0.25">
      <c r="A65" s="26"/>
      <c r="B65" s="21"/>
      <c r="C65" s="21"/>
      <c r="D65" s="22"/>
      <c r="H65" s="22"/>
      <c r="J65" s="22"/>
      <c r="K65" s="27"/>
      <c r="L65" s="22"/>
      <c r="N65" s="22"/>
      <c r="O65" s="27"/>
      <c r="P65" s="22"/>
      <c r="R65" s="22"/>
      <c r="S65" s="27"/>
    </row>
    <row r="66" spans="1:19" s="20" customFormat="1" x14ac:dyDescent="0.25">
      <c r="A66" s="26"/>
      <c r="B66" s="21"/>
      <c r="C66" s="21"/>
      <c r="D66" s="22"/>
      <c r="H66" s="22"/>
      <c r="J66" s="22"/>
      <c r="K66" s="27"/>
      <c r="L66" s="22"/>
      <c r="N66" s="22"/>
      <c r="O66" s="27"/>
      <c r="P66" s="22"/>
      <c r="R66" s="22"/>
      <c r="S66" s="27"/>
    </row>
    <row r="67" spans="1:19" s="20" customFormat="1" x14ac:dyDescent="0.25">
      <c r="A67" s="26"/>
      <c r="B67" s="21"/>
      <c r="C67" s="21"/>
      <c r="D67" s="22"/>
      <c r="H67" s="22"/>
      <c r="J67" s="22"/>
      <c r="K67" s="27"/>
      <c r="L67" s="22"/>
      <c r="N67" s="22"/>
      <c r="O67" s="27"/>
      <c r="P67" s="22"/>
      <c r="R67" s="22"/>
      <c r="S67" s="27"/>
    </row>
    <row r="68" spans="1:19" s="20" customFormat="1" x14ac:dyDescent="0.25">
      <c r="A68" s="26"/>
      <c r="B68" s="21"/>
      <c r="C68" s="21"/>
      <c r="D68" s="22"/>
      <c r="H68" s="22"/>
      <c r="J68" s="22"/>
      <c r="K68" s="27"/>
      <c r="L68" s="22"/>
      <c r="N68" s="22"/>
      <c r="O68" s="27"/>
      <c r="P68" s="22"/>
      <c r="R68" s="22"/>
      <c r="S68" s="27"/>
    </row>
    <row r="69" spans="1:19" s="20" customFormat="1" x14ac:dyDescent="0.25">
      <c r="A69" s="26"/>
      <c r="B69" s="21"/>
      <c r="C69" s="21"/>
      <c r="D69" s="22"/>
      <c r="H69" s="22"/>
      <c r="J69" s="22"/>
      <c r="K69" s="27"/>
      <c r="L69" s="22"/>
      <c r="N69" s="22"/>
      <c r="O69" s="27"/>
      <c r="P69" s="22"/>
      <c r="R69" s="22"/>
      <c r="S69" s="27"/>
    </row>
    <row r="70" spans="1:19" s="20" customFormat="1" x14ac:dyDescent="0.25">
      <c r="A70" s="26"/>
      <c r="B70" s="21"/>
      <c r="C70" s="21"/>
      <c r="D70" s="22"/>
      <c r="H70" s="22"/>
      <c r="J70" s="22"/>
      <c r="K70" s="27"/>
      <c r="L70" s="22"/>
      <c r="N70" s="22"/>
      <c r="O70" s="27"/>
      <c r="P70" s="22"/>
      <c r="R70" s="22"/>
      <c r="S70" s="27"/>
    </row>
    <row r="71" spans="1:19" s="20" customFormat="1" x14ac:dyDescent="0.25">
      <c r="A71" s="26"/>
      <c r="B71" s="21"/>
      <c r="C71" s="21"/>
      <c r="D71" s="22"/>
      <c r="H71" s="22"/>
      <c r="J71" s="22"/>
      <c r="K71" s="27"/>
      <c r="L71" s="22"/>
      <c r="N71" s="22"/>
      <c r="O71" s="27"/>
      <c r="P71" s="22"/>
      <c r="R71" s="22"/>
      <c r="S71" s="27"/>
    </row>
    <row r="72" spans="1:19" s="20" customFormat="1" x14ac:dyDescent="0.25">
      <c r="A72" s="26"/>
      <c r="B72" s="21"/>
      <c r="C72" s="21"/>
      <c r="D72" s="22"/>
      <c r="H72" s="22"/>
      <c r="J72" s="22"/>
      <c r="K72" s="27"/>
      <c r="L72" s="22"/>
      <c r="N72" s="22"/>
      <c r="O72" s="27"/>
      <c r="P72" s="22"/>
      <c r="R72" s="22"/>
      <c r="S72" s="27"/>
    </row>
    <row r="73" spans="1:19" s="20" customFormat="1" x14ac:dyDescent="0.25">
      <c r="A73" s="26"/>
      <c r="B73" s="21"/>
      <c r="C73" s="21"/>
      <c r="D73" s="22"/>
      <c r="H73" s="22"/>
      <c r="J73" s="22"/>
      <c r="K73" s="27"/>
      <c r="L73" s="22"/>
      <c r="N73" s="22"/>
      <c r="O73" s="27"/>
      <c r="P73" s="22"/>
      <c r="R73" s="22"/>
      <c r="S73" s="27"/>
    </row>
    <row r="74" spans="1:19" s="20" customFormat="1" x14ac:dyDescent="0.25">
      <c r="A74" s="26"/>
      <c r="B74" s="21"/>
      <c r="C74" s="21"/>
      <c r="D74" s="22"/>
      <c r="H74" s="22"/>
      <c r="J74" s="22"/>
      <c r="K74" s="27"/>
      <c r="L74" s="22"/>
      <c r="N74" s="22"/>
      <c r="O74" s="27"/>
      <c r="P74" s="22"/>
      <c r="R74" s="22"/>
      <c r="S74" s="27"/>
    </row>
    <row r="75" spans="1:19" s="20" customFormat="1" x14ac:dyDescent="0.25">
      <c r="A75" s="26"/>
      <c r="B75" s="21"/>
      <c r="C75" s="21"/>
      <c r="D75" s="22"/>
      <c r="H75" s="22"/>
      <c r="J75" s="22"/>
      <c r="K75" s="27"/>
      <c r="L75" s="22"/>
      <c r="N75" s="22"/>
      <c r="O75" s="27"/>
      <c r="P75" s="22"/>
      <c r="R75" s="22"/>
      <c r="S75" s="27"/>
    </row>
    <row r="76" spans="1:19" s="20" customFormat="1" x14ac:dyDescent="0.25">
      <c r="A76" s="26"/>
      <c r="B76" s="21"/>
      <c r="C76" s="21"/>
      <c r="D76" s="22"/>
      <c r="H76" s="22"/>
      <c r="J76" s="22"/>
      <c r="K76" s="27"/>
      <c r="L76" s="22"/>
      <c r="N76" s="22"/>
      <c r="O76" s="27"/>
      <c r="P76" s="22"/>
      <c r="R76" s="22"/>
      <c r="S76" s="27"/>
    </row>
    <row r="77" spans="1:19" s="20" customFormat="1" x14ac:dyDescent="0.25">
      <c r="A77" s="26"/>
      <c r="B77" s="21"/>
      <c r="C77" s="21"/>
      <c r="D77" s="22"/>
      <c r="H77" s="22"/>
      <c r="J77" s="22"/>
      <c r="K77" s="27"/>
      <c r="L77" s="22"/>
      <c r="N77" s="22"/>
      <c r="O77" s="27"/>
      <c r="P77" s="22"/>
      <c r="R77" s="22"/>
      <c r="S77" s="27"/>
    </row>
    <row r="78" spans="1:19" s="20" customFormat="1" x14ac:dyDescent="0.25">
      <c r="A78" s="26"/>
      <c r="B78" s="21"/>
      <c r="C78" s="21"/>
      <c r="D78" s="22"/>
      <c r="H78" s="22"/>
      <c r="J78" s="22"/>
      <c r="K78" s="27"/>
      <c r="L78" s="22"/>
      <c r="N78" s="22"/>
      <c r="O78" s="27"/>
      <c r="P78" s="22"/>
      <c r="R78" s="22"/>
      <c r="S78" s="27"/>
    </row>
    <row r="79" spans="1:19" s="20" customFormat="1" x14ac:dyDescent="0.25">
      <c r="A79" s="26"/>
      <c r="B79" s="21"/>
      <c r="C79" s="21"/>
      <c r="D79" s="22"/>
      <c r="H79" s="22"/>
      <c r="J79" s="22"/>
      <c r="K79" s="27"/>
      <c r="L79" s="22"/>
      <c r="N79" s="22"/>
      <c r="O79" s="27"/>
      <c r="P79" s="22"/>
      <c r="R79" s="22"/>
      <c r="S79" s="27"/>
    </row>
    <row r="80" spans="1:19" s="20" customFormat="1" x14ac:dyDescent="0.25">
      <c r="A80" s="26"/>
      <c r="B80" s="21"/>
      <c r="C80" s="21"/>
      <c r="D80" s="22"/>
      <c r="H80" s="22"/>
      <c r="J80" s="22"/>
      <c r="K80" s="27"/>
      <c r="L80" s="22"/>
      <c r="N80" s="22"/>
      <c r="O80" s="27"/>
      <c r="P80" s="22"/>
      <c r="R80" s="22"/>
      <c r="S80" s="27"/>
    </row>
    <row r="81" spans="1:19" s="20" customFormat="1" x14ac:dyDescent="0.25">
      <c r="A81" s="26"/>
      <c r="B81" s="21"/>
      <c r="C81" s="21"/>
      <c r="D81" s="22"/>
      <c r="H81" s="22"/>
      <c r="J81" s="22"/>
      <c r="K81" s="27"/>
      <c r="L81" s="22"/>
      <c r="N81" s="22"/>
      <c r="O81" s="27"/>
      <c r="P81" s="22"/>
      <c r="R81" s="22"/>
      <c r="S81" s="27"/>
    </row>
    <row r="82" spans="1:19" s="20" customFormat="1" x14ac:dyDescent="0.25">
      <c r="A82" s="26"/>
      <c r="B82" s="21"/>
      <c r="C82" s="21"/>
      <c r="D82" s="22"/>
      <c r="H82" s="22"/>
      <c r="J82" s="22"/>
      <c r="K82" s="27"/>
      <c r="L82" s="22"/>
      <c r="N82" s="22"/>
      <c r="O82" s="27"/>
      <c r="P82" s="22"/>
      <c r="R82" s="22"/>
      <c r="S82" s="27"/>
    </row>
    <row r="83" spans="1:19" s="20" customFormat="1" x14ac:dyDescent="0.25">
      <c r="A83" s="26"/>
      <c r="B83" s="21"/>
      <c r="C83" s="21"/>
      <c r="D83" s="22"/>
      <c r="H83" s="22"/>
      <c r="J83" s="22"/>
      <c r="K83" s="27"/>
      <c r="L83" s="22"/>
      <c r="N83" s="22"/>
      <c r="O83" s="27"/>
      <c r="P83" s="22"/>
      <c r="R83" s="22"/>
      <c r="S83" s="27"/>
    </row>
    <row r="84" spans="1:19" s="20" customFormat="1" x14ac:dyDescent="0.25">
      <c r="A84" s="26"/>
      <c r="B84" s="21"/>
      <c r="C84" s="21"/>
      <c r="D84" s="22"/>
      <c r="H84" s="22"/>
      <c r="J84" s="22"/>
      <c r="K84" s="27"/>
      <c r="L84" s="22"/>
      <c r="N84" s="22"/>
      <c r="O84" s="27"/>
      <c r="P84" s="22"/>
      <c r="R84" s="22"/>
      <c r="S84" s="27"/>
    </row>
    <row r="85" spans="1:19" s="20" customFormat="1" x14ac:dyDescent="0.25">
      <c r="A85" s="26"/>
      <c r="B85" s="21"/>
      <c r="C85" s="21"/>
      <c r="D85" s="22"/>
      <c r="H85" s="22"/>
      <c r="J85" s="22"/>
      <c r="K85" s="27"/>
      <c r="L85" s="22"/>
      <c r="N85" s="22"/>
      <c r="O85" s="27"/>
      <c r="P85" s="22"/>
      <c r="R85" s="22"/>
      <c r="S85" s="27"/>
    </row>
    <row r="86" spans="1:19" s="20" customFormat="1" x14ac:dyDescent="0.25">
      <c r="A86" s="26"/>
      <c r="B86" s="21"/>
      <c r="C86" s="21"/>
      <c r="D86" s="22"/>
      <c r="H86" s="22"/>
      <c r="J86" s="22"/>
      <c r="K86" s="27"/>
      <c r="L86" s="22"/>
      <c r="N86" s="22"/>
      <c r="O86" s="27"/>
      <c r="P86" s="22"/>
      <c r="R86" s="22"/>
      <c r="S86" s="27"/>
    </row>
    <row r="87" spans="1:19" s="20" customFormat="1" x14ac:dyDescent="0.25">
      <c r="A87" s="26"/>
      <c r="B87" s="21"/>
      <c r="C87" s="21"/>
      <c r="D87" s="22"/>
      <c r="H87" s="22"/>
      <c r="J87" s="22"/>
      <c r="K87" s="27"/>
      <c r="L87" s="22"/>
      <c r="N87" s="22"/>
      <c r="O87" s="27"/>
      <c r="P87" s="22"/>
      <c r="R87" s="22"/>
      <c r="S87" s="27"/>
    </row>
    <row r="88" spans="1:19" s="20" customFormat="1" x14ac:dyDescent="0.25">
      <c r="A88" s="26"/>
      <c r="B88" s="21"/>
      <c r="C88" s="21"/>
      <c r="D88" s="22"/>
      <c r="H88" s="22"/>
      <c r="J88" s="22"/>
      <c r="K88" s="27"/>
      <c r="L88" s="22"/>
      <c r="N88" s="22"/>
      <c r="O88" s="27"/>
      <c r="P88" s="22"/>
      <c r="R88" s="22"/>
      <c r="S88" s="27"/>
    </row>
    <row r="89" spans="1:19" s="20" customFormat="1" x14ac:dyDescent="0.25">
      <c r="A89" s="26"/>
      <c r="B89" s="21"/>
      <c r="C89" s="21"/>
      <c r="D89" s="22"/>
      <c r="H89" s="22"/>
      <c r="J89" s="22"/>
      <c r="K89" s="27"/>
      <c r="L89" s="22"/>
      <c r="N89" s="22"/>
      <c r="O89" s="27"/>
      <c r="P89" s="22"/>
      <c r="R89" s="22"/>
      <c r="S89" s="27"/>
    </row>
    <row r="90" spans="1:19" s="20" customFormat="1" x14ac:dyDescent="0.25">
      <c r="A90" s="26"/>
      <c r="B90" s="21"/>
      <c r="C90" s="21"/>
      <c r="D90" s="22"/>
      <c r="H90" s="22"/>
      <c r="J90" s="22"/>
      <c r="K90" s="27"/>
      <c r="L90" s="22"/>
      <c r="N90" s="22"/>
      <c r="O90" s="27"/>
      <c r="P90" s="22"/>
      <c r="R90" s="22"/>
      <c r="S90" s="27"/>
    </row>
    <row r="91" spans="1:19" s="20" customFormat="1" x14ac:dyDescent="0.25">
      <c r="A91" s="26"/>
      <c r="B91" s="21"/>
      <c r="C91" s="21"/>
      <c r="D91" s="22"/>
      <c r="H91" s="22"/>
      <c r="J91" s="22"/>
      <c r="K91" s="27"/>
      <c r="L91" s="22"/>
      <c r="N91" s="22"/>
      <c r="O91" s="27"/>
      <c r="P91" s="22"/>
      <c r="R91" s="22"/>
      <c r="S91" s="27"/>
    </row>
    <row r="92" spans="1:19" s="20" customFormat="1" x14ac:dyDescent="0.25">
      <c r="A92" s="26"/>
      <c r="B92" s="21"/>
      <c r="C92" s="21"/>
      <c r="D92" s="22"/>
      <c r="H92" s="22"/>
      <c r="J92" s="22"/>
      <c r="K92" s="27"/>
      <c r="L92" s="22"/>
      <c r="N92" s="22"/>
      <c r="O92" s="27"/>
      <c r="P92" s="22"/>
      <c r="R92" s="22"/>
      <c r="S92" s="27"/>
    </row>
    <row r="93" spans="1:19" s="20" customFormat="1" x14ac:dyDescent="0.25">
      <c r="A93" s="26"/>
      <c r="B93" s="21"/>
      <c r="C93" s="21"/>
      <c r="D93" s="22"/>
      <c r="H93" s="22"/>
      <c r="J93" s="22"/>
      <c r="K93" s="27"/>
      <c r="L93" s="22"/>
      <c r="N93" s="22"/>
      <c r="O93" s="27"/>
      <c r="P93" s="22"/>
      <c r="R93" s="22"/>
      <c r="S93" s="27"/>
    </row>
    <row r="94" spans="1:19" s="20" customFormat="1" x14ac:dyDescent="0.25">
      <c r="A94" s="26"/>
      <c r="B94" s="21"/>
      <c r="C94" s="21"/>
      <c r="D94" s="22"/>
      <c r="H94" s="22"/>
      <c r="J94" s="22"/>
      <c r="K94" s="27"/>
      <c r="L94" s="22"/>
      <c r="N94" s="22"/>
      <c r="O94" s="27"/>
      <c r="P94" s="22"/>
      <c r="R94" s="22"/>
      <c r="S94" s="27"/>
    </row>
    <row r="95" spans="1:19" s="20" customFormat="1" x14ac:dyDescent="0.25">
      <c r="A95" s="26"/>
      <c r="B95" s="21"/>
      <c r="C95" s="21"/>
      <c r="D95" s="22"/>
      <c r="H95" s="22"/>
      <c r="J95" s="22"/>
      <c r="K95" s="27"/>
      <c r="L95" s="22"/>
      <c r="N95" s="22"/>
      <c r="O95" s="27"/>
      <c r="P95" s="22"/>
      <c r="R95" s="22"/>
      <c r="S95" s="27"/>
    </row>
    <row r="96" spans="1:19" s="20" customFormat="1" x14ac:dyDescent="0.25">
      <c r="A96" s="26"/>
      <c r="B96" s="21"/>
      <c r="C96" s="21"/>
      <c r="D96" s="22"/>
      <c r="H96" s="22"/>
      <c r="J96" s="22"/>
      <c r="K96" s="27"/>
      <c r="L96" s="22"/>
      <c r="N96" s="22"/>
      <c r="O96" s="27"/>
      <c r="P96" s="22"/>
      <c r="R96" s="22"/>
      <c r="S96" s="27"/>
    </row>
    <row r="97" spans="1:19" s="20" customFormat="1" x14ac:dyDescent="0.25">
      <c r="A97" s="26"/>
      <c r="B97" s="21"/>
      <c r="C97" s="21"/>
      <c r="D97" s="22"/>
      <c r="H97" s="22"/>
      <c r="J97" s="22"/>
      <c r="K97" s="27"/>
      <c r="L97" s="22"/>
      <c r="N97" s="22"/>
      <c r="O97" s="27"/>
      <c r="P97" s="22"/>
      <c r="R97" s="22"/>
      <c r="S97" s="27"/>
    </row>
    <row r="98" spans="1:19" s="20" customFormat="1" x14ac:dyDescent="0.25">
      <c r="A98" s="26"/>
      <c r="B98" s="21"/>
      <c r="C98" s="21"/>
      <c r="D98" s="22"/>
      <c r="H98" s="22"/>
      <c r="J98" s="22"/>
      <c r="K98" s="27"/>
      <c r="L98" s="22"/>
      <c r="N98" s="22"/>
      <c r="O98" s="27"/>
      <c r="P98" s="22"/>
      <c r="R98" s="22"/>
      <c r="S98" s="27"/>
    </row>
    <row r="99" spans="1:19" s="20" customFormat="1" x14ac:dyDescent="0.25">
      <c r="A99" s="26"/>
      <c r="B99" s="21"/>
      <c r="C99" s="21"/>
      <c r="D99" s="22"/>
      <c r="H99" s="22"/>
      <c r="J99" s="22"/>
      <c r="K99" s="27"/>
      <c r="L99" s="22"/>
      <c r="N99" s="22"/>
      <c r="O99" s="27"/>
      <c r="P99" s="22"/>
      <c r="R99" s="22"/>
      <c r="S99" s="27"/>
    </row>
    <row r="100" spans="1:19" s="20" customFormat="1" x14ac:dyDescent="0.25">
      <c r="A100" s="26"/>
      <c r="B100" s="21"/>
      <c r="C100" s="21"/>
      <c r="D100" s="22"/>
      <c r="H100" s="22"/>
      <c r="J100" s="22"/>
      <c r="K100" s="27"/>
      <c r="L100" s="22"/>
      <c r="N100" s="22"/>
      <c r="O100" s="27"/>
      <c r="P100" s="22"/>
      <c r="R100" s="22"/>
      <c r="S100" s="27"/>
    </row>
    <row r="101" spans="1:19" s="20" customFormat="1" x14ac:dyDescent="0.25">
      <c r="A101" s="26"/>
      <c r="B101" s="21"/>
      <c r="C101" s="21"/>
      <c r="D101" s="22"/>
      <c r="H101" s="22"/>
      <c r="J101" s="22"/>
      <c r="K101" s="27"/>
      <c r="L101" s="22"/>
      <c r="N101" s="22"/>
      <c r="O101" s="27"/>
      <c r="P101" s="22"/>
      <c r="R101" s="22"/>
      <c r="S101" s="27"/>
    </row>
    <row r="102" spans="1:19" s="20" customFormat="1" x14ac:dyDescent="0.25">
      <c r="A102" s="26"/>
      <c r="B102" s="21"/>
      <c r="C102" s="21"/>
      <c r="D102" s="22"/>
      <c r="H102" s="22"/>
      <c r="J102" s="22"/>
      <c r="K102" s="27"/>
      <c r="L102" s="22"/>
      <c r="N102" s="22"/>
      <c r="O102" s="27"/>
      <c r="P102" s="22"/>
      <c r="R102" s="22"/>
      <c r="S102" s="27"/>
    </row>
    <row r="103" spans="1:19" s="20" customFormat="1" x14ac:dyDescent="0.25">
      <c r="A103" s="26"/>
      <c r="B103" s="21"/>
      <c r="C103" s="21"/>
      <c r="D103" s="22"/>
      <c r="H103" s="22"/>
      <c r="J103" s="22"/>
      <c r="K103" s="27"/>
      <c r="L103" s="22"/>
      <c r="N103" s="22"/>
      <c r="O103" s="27"/>
      <c r="P103" s="22"/>
      <c r="R103" s="22"/>
      <c r="S103" s="27"/>
    </row>
    <row r="104" spans="1:19" s="20" customFormat="1" x14ac:dyDescent="0.25">
      <c r="A104" s="26"/>
      <c r="B104" s="21"/>
      <c r="C104" s="21"/>
      <c r="D104" s="22"/>
      <c r="H104" s="22"/>
      <c r="J104" s="22"/>
      <c r="K104" s="27"/>
      <c r="L104" s="22"/>
      <c r="N104" s="22"/>
      <c r="O104" s="27"/>
      <c r="P104" s="22"/>
      <c r="R104" s="22"/>
      <c r="S104" s="27"/>
    </row>
    <row r="105" spans="1:19" s="20" customFormat="1" x14ac:dyDescent="0.25">
      <c r="A105" s="26"/>
      <c r="B105" s="21"/>
      <c r="C105" s="21"/>
      <c r="D105" s="22"/>
      <c r="H105" s="22"/>
      <c r="J105" s="22"/>
      <c r="K105" s="27"/>
      <c r="L105" s="22"/>
      <c r="N105" s="22"/>
      <c r="O105" s="27"/>
      <c r="P105" s="22"/>
      <c r="R105" s="22"/>
      <c r="S105" s="27"/>
    </row>
    <row r="106" spans="1:19" s="20" customFormat="1" x14ac:dyDescent="0.25">
      <c r="A106" s="26"/>
      <c r="B106" s="21"/>
      <c r="C106" s="21"/>
      <c r="D106" s="22"/>
      <c r="H106" s="22"/>
      <c r="J106" s="22"/>
      <c r="K106" s="27"/>
      <c r="L106" s="22"/>
      <c r="N106" s="22"/>
      <c r="O106" s="27"/>
      <c r="P106" s="22"/>
      <c r="R106" s="22"/>
      <c r="S106" s="27"/>
    </row>
    <row r="107" spans="1:19" s="20" customFormat="1" x14ac:dyDescent="0.25">
      <c r="A107" s="26"/>
      <c r="B107" s="21"/>
      <c r="C107" s="21"/>
      <c r="D107" s="22"/>
      <c r="H107" s="22"/>
      <c r="J107" s="22"/>
      <c r="K107" s="27"/>
      <c r="L107" s="22"/>
      <c r="N107" s="22"/>
      <c r="O107" s="27"/>
      <c r="P107" s="22"/>
      <c r="R107" s="22"/>
      <c r="S107" s="27"/>
    </row>
    <row r="108" spans="1:19" s="20" customFormat="1" x14ac:dyDescent="0.25">
      <c r="A108" s="26"/>
      <c r="B108" s="21"/>
      <c r="C108" s="21"/>
      <c r="D108" s="22"/>
      <c r="H108" s="22"/>
      <c r="J108" s="22"/>
      <c r="K108" s="27"/>
      <c r="L108" s="22"/>
      <c r="N108" s="22"/>
      <c r="O108" s="27"/>
      <c r="P108" s="22"/>
      <c r="R108" s="22"/>
      <c r="S108" s="27"/>
    </row>
    <row r="109" spans="1:19" s="20" customFormat="1" x14ac:dyDescent="0.25">
      <c r="A109" s="26"/>
      <c r="B109" s="21"/>
      <c r="C109" s="21"/>
      <c r="D109" s="22"/>
      <c r="H109" s="22"/>
      <c r="J109" s="22"/>
      <c r="K109" s="27"/>
      <c r="L109" s="22"/>
      <c r="N109" s="22"/>
      <c r="O109" s="27"/>
      <c r="P109" s="22"/>
      <c r="R109" s="22"/>
      <c r="S109" s="27"/>
    </row>
    <row r="110" spans="1:19" s="20" customFormat="1" x14ac:dyDescent="0.25">
      <c r="A110" s="26"/>
      <c r="B110" s="21"/>
      <c r="C110" s="21"/>
      <c r="D110" s="22"/>
      <c r="H110" s="22"/>
      <c r="J110" s="22"/>
      <c r="K110" s="27"/>
      <c r="L110" s="22"/>
      <c r="N110" s="22"/>
      <c r="O110" s="27"/>
      <c r="P110" s="22"/>
      <c r="R110" s="22"/>
      <c r="S110" s="27"/>
    </row>
    <row r="111" spans="1:19" s="20" customFormat="1" x14ac:dyDescent="0.25">
      <c r="A111" s="26"/>
      <c r="B111" s="21"/>
      <c r="C111" s="21"/>
      <c r="D111" s="22"/>
      <c r="H111" s="22"/>
      <c r="J111" s="22"/>
      <c r="K111" s="27"/>
      <c r="L111" s="22"/>
      <c r="N111" s="22"/>
      <c r="O111" s="27"/>
      <c r="P111" s="22"/>
      <c r="R111" s="22"/>
      <c r="S111" s="27"/>
    </row>
    <row r="112" spans="1:19" s="20" customFormat="1" x14ac:dyDescent="0.25">
      <c r="A112" s="26"/>
      <c r="B112" s="21"/>
      <c r="C112" s="21"/>
      <c r="D112" s="22"/>
      <c r="H112" s="22"/>
      <c r="J112" s="22"/>
      <c r="K112" s="27"/>
      <c r="L112" s="22"/>
      <c r="N112" s="22"/>
      <c r="O112" s="27"/>
      <c r="P112" s="22"/>
      <c r="R112" s="22"/>
      <c r="S112" s="27"/>
    </row>
    <row r="113" spans="1:19" s="20" customFormat="1" x14ac:dyDescent="0.25">
      <c r="A113" s="26"/>
      <c r="B113" s="21"/>
      <c r="C113" s="21"/>
      <c r="D113" s="22"/>
      <c r="H113" s="22"/>
      <c r="J113" s="22"/>
      <c r="K113" s="27"/>
      <c r="L113" s="22"/>
      <c r="N113" s="22"/>
      <c r="O113" s="27"/>
      <c r="P113" s="22"/>
      <c r="R113" s="22"/>
      <c r="S113" s="27"/>
    </row>
    <row r="114" spans="1:19" s="20" customFormat="1" x14ac:dyDescent="0.25">
      <c r="A114" s="26"/>
      <c r="B114" s="21"/>
      <c r="C114" s="21"/>
      <c r="D114" s="22"/>
      <c r="H114" s="22"/>
      <c r="J114" s="22"/>
      <c r="K114" s="27"/>
      <c r="L114" s="22"/>
      <c r="N114" s="22"/>
      <c r="O114" s="27"/>
      <c r="P114" s="22"/>
      <c r="R114" s="22"/>
      <c r="S114" s="27"/>
    </row>
    <row r="115" spans="1:19" s="20" customFormat="1" x14ac:dyDescent="0.25">
      <c r="A115" s="26"/>
      <c r="B115" s="21"/>
      <c r="C115" s="21"/>
      <c r="D115" s="22"/>
      <c r="H115" s="22"/>
      <c r="J115" s="22"/>
      <c r="K115" s="27"/>
      <c r="L115" s="22"/>
      <c r="N115" s="22"/>
      <c r="O115" s="27"/>
      <c r="P115" s="22"/>
      <c r="R115" s="22"/>
      <c r="S115" s="27"/>
    </row>
    <row r="116" spans="1:19" s="20" customFormat="1" x14ac:dyDescent="0.25">
      <c r="A116" s="26"/>
      <c r="B116" s="21"/>
      <c r="C116" s="21"/>
      <c r="D116" s="22"/>
      <c r="H116" s="22"/>
      <c r="J116" s="22"/>
      <c r="K116" s="27"/>
      <c r="L116" s="22"/>
      <c r="N116" s="22"/>
      <c r="O116" s="27"/>
      <c r="P116" s="22"/>
      <c r="R116" s="22"/>
      <c r="S116" s="27"/>
    </row>
    <row r="117" spans="1:19" s="20" customFormat="1" x14ac:dyDescent="0.25">
      <c r="A117" s="26"/>
      <c r="B117" s="21"/>
      <c r="C117" s="21"/>
      <c r="D117" s="22"/>
      <c r="H117" s="22"/>
      <c r="J117" s="22"/>
      <c r="K117" s="27"/>
      <c r="L117" s="22"/>
      <c r="N117" s="22"/>
      <c r="O117" s="27"/>
      <c r="P117" s="22"/>
      <c r="R117" s="22"/>
      <c r="S117" s="27"/>
    </row>
    <row r="118" spans="1:19" s="20" customFormat="1" x14ac:dyDescent="0.25">
      <c r="A118" s="26"/>
      <c r="B118" s="21"/>
      <c r="C118" s="21"/>
      <c r="D118" s="22"/>
      <c r="H118" s="22"/>
      <c r="J118" s="22"/>
      <c r="K118" s="27"/>
      <c r="L118" s="22"/>
      <c r="N118" s="22"/>
      <c r="O118" s="27"/>
      <c r="P118" s="22"/>
      <c r="R118" s="22"/>
      <c r="S118" s="27"/>
    </row>
    <row r="119" spans="1:19" s="20" customFormat="1" x14ac:dyDescent="0.25">
      <c r="A119" s="26"/>
      <c r="B119" s="21"/>
      <c r="C119" s="21"/>
      <c r="D119" s="22"/>
      <c r="H119" s="22"/>
      <c r="J119" s="22"/>
      <c r="K119" s="27"/>
      <c r="L119" s="22"/>
      <c r="N119" s="22"/>
      <c r="O119" s="27"/>
      <c r="P119" s="22"/>
      <c r="R119" s="22"/>
      <c r="S119" s="27"/>
    </row>
    <row r="120" spans="1:19" s="20" customFormat="1" x14ac:dyDescent="0.25">
      <c r="A120" s="26"/>
      <c r="B120" s="21"/>
      <c r="C120" s="21"/>
      <c r="D120" s="22"/>
      <c r="H120" s="22"/>
      <c r="J120" s="22"/>
      <c r="K120" s="27"/>
      <c r="L120" s="22"/>
      <c r="N120" s="22"/>
      <c r="O120" s="27"/>
      <c r="P120" s="22"/>
      <c r="R120" s="22"/>
      <c r="S120" s="27"/>
    </row>
    <row r="121" spans="1:19" s="20" customFormat="1" x14ac:dyDescent="0.25">
      <c r="A121" s="26"/>
      <c r="B121" s="21"/>
      <c r="C121" s="21"/>
      <c r="D121" s="22"/>
      <c r="H121" s="22"/>
      <c r="J121" s="22"/>
      <c r="K121" s="27"/>
      <c r="L121" s="22"/>
      <c r="N121" s="22"/>
      <c r="O121" s="27"/>
      <c r="P121" s="22"/>
      <c r="R121" s="22"/>
      <c r="S121" s="27"/>
    </row>
    <row r="122" spans="1:19" s="20" customFormat="1" x14ac:dyDescent="0.25">
      <c r="A122" s="26"/>
      <c r="B122" s="21"/>
      <c r="C122" s="21"/>
      <c r="D122" s="22"/>
      <c r="H122" s="22"/>
      <c r="J122" s="22"/>
      <c r="K122" s="27"/>
      <c r="L122" s="22"/>
      <c r="N122" s="22"/>
      <c r="O122" s="27"/>
      <c r="P122" s="22"/>
      <c r="R122" s="22"/>
      <c r="S122" s="27"/>
    </row>
    <row r="123" spans="1:19" s="20" customFormat="1" x14ac:dyDescent="0.25">
      <c r="A123" s="26"/>
      <c r="B123" s="21"/>
      <c r="C123" s="21"/>
      <c r="D123" s="22"/>
      <c r="H123" s="22"/>
      <c r="J123" s="22"/>
      <c r="K123" s="27"/>
      <c r="L123" s="22"/>
      <c r="N123" s="22"/>
      <c r="O123" s="27"/>
      <c r="P123" s="22"/>
      <c r="R123" s="22"/>
      <c r="S123" s="27"/>
    </row>
    <row r="124" spans="1:19" s="20" customFormat="1" x14ac:dyDescent="0.25">
      <c r="A124" s="26"/>
      <c r="B124" s="21"/>
      <c r="C124" s="21"/>
      <c r="D124" s="22"/>
      <c r="H124" s="22"/>
      <c r="J124" s="22"/>
      <c r="K124" s="27"/>
      <c r="L124" s="22"/>
      <c r="N124" s="22"/>
      <c r="O124" s="27"/>
      <c r="P124" s="22"/>
      <c r="R124" s="22"/>
      <c r="S124" s="27"/>
    </row>
    <row r="125" spans="1:19" s="20" customFormat="1" x14ac:dyDescent="0.25">
      <c r="A125" s="26"/>
      <c r="B125" s="21"/>
      <c r="C125" s="21"/>
      <c r="D125" s="22"/>
      <c r="H125" s="22"/>
      <c r="J125" s="22"/>
      <c r="K125" s="27"/>
      <c r="L125" s="22"/>
      <c r="N125" s="22"/>
      <c r="O125" s="27"/>
      <c r="P125" s="22"/>
      <c r="R125" s="22"/>
      <c r="S125" s="27"/>
    </row>
    <row r="126" spans="1:19" s="20" customFormat="1" x14ac:dyDescent="0.25">
      <c r="A126" s="26"/>
      <c r="B126" s="21"/>
      <c r="C126" s="21"/>
      <c r="D126" s="22"/>
      <c r="H126" s="22"/>
      <c r="J126" s="22"/>
      <c r="K126" s="27"/>
      <c r="L126" s="22"/>
      <c r="N126" s="22"/>
      <c r="O126" s="27"/>
      <c r="P126" s="22"/>
      <c r="R126" s="22"/>
      <c r="S126" s="27"/>
    </row>
    <row r="127" spans="1:19" s="20" customFormat="1" x14ac:dyDescent="0.25">
      <c r="A127" s="26"/>
      <c r="B127" s="21"/>
      <c r="C127" s="21"/>
      <c r="D127" s="22"/>
      <c r="H127" s="22"/>
      <c r="J127" s="22"/>
      <c r="K127" s="27"/>
      <c r="L127" s="22"/>
      <c r="N127" s="22"/>
      <c r="O127" s="27"/>
      <c r="P127" s="22"/>
      <c r="R127" s="22"/>
      <c r="S127" s="27"/>
    </row>
    <row r="128" spans="1:19" s="20" customFormat="1" x14ac:dyDescent="0.25">
      <c r="A128" s="26"/>
      <c r="B128" s="21"/>
      <c r="C128" s="21"/>
      <c r="D128" s="22"/>
      <c r="H128" s="22"/>
      <c r="J128" s="22"/>
      <c r="K128" s="27"/>
      <c r="L128" s="22"/>
      <c r="N128" s="22"/>
      <c r="O128" s="27"/>
      <c r="P128" s="22"/>
      <c r="R128" s="22"/>
      <c r="S128" s="27"/>
    </row>
    <row r="129" spans="1:19" s="20" customFormat="1" x14ac:dyDescent="0.25">
      <c r="A129" s="26"/>
      <c r="B129" s="21"/>
      <c r="C129" s="21"/>
      <c r="D129" s="22"/>
      <c r="H129" s="22"/>
      <c r="J129" s="22"/>
      <c r="K129" s="27"/>
      <c r="L129" s="22"/>
      <c r="N129" s="22"/>
      <c r="O129" s="27"/>
      <c r="P129" s="22"/>
      <c r="R129" s="22"/>
      <c r="S129" s="27"/>
    </row>
    <row r="130" spans="1:19" s="20" customFormat="1" x14ac:dyDescent="0.25">
      <c r="A130" s="26"/>
      <c r="B130" s="21"/>
      <c r="C130" s="21"/>
      <c r="D130" s="22"/>
      <c r="H130" s="22"/>
      <c r="J130" s="22"/>
      <c r="K130" s="27"/>
      <c r="L130" s="22"/>
      <c r="N130" s="22"/>
      <c r="O130" s="27"/>
      <c r="P130" s="22"/>
      <c r="R130" s="22"/>
      <c r="S130" s="27"/>
    </row>
    <row r="131" spans="1:19" s="20" customFormat="1" x14ac:dyDescent="0.25">
      <c r="A131" s="26"/>
      <c r="B131" s="21"/>
      <c r="C131" s="21"/>
      <c r="D131" s="22"/>
      <c r="H131" s="22"/>
      <c r="J131" s="22"/>
      <c r="K131" s="27"/>
      <c r="L131" s="22"/>
      <c r="N131" s="22"/>
      <c r="O131" s="27"/>
      <c r="P131" s="22"/>
      <c r="R131" s="22"/>
      <c r="S131" s="27"/>
    </row>
    <row r="132" spans="1:19" s="20" customFormat="1" x14ac:dyDescent="0.25">
      <c r="A132" s="26"/>
      <c r="B132" s="21"/>
      <c r="C132" s="21"/>
      <c r="D132" s="22"/>
      <c r="H132" s="22"/>
      <c r="J132" s="22"/>
      <c r="K132" s="27"/>
      <c r="L132" s="22"/>
      <c r="N132" s="22"/>
      <c r="O132" s="27"/>
      <c r="P132" s="22"/>
      <c r="R132" s="22"/>
      <c r="S132" s="27"/>
    </row>
    <row r="133" spans="1:19" s="20" customFormat="1" x14ac:dyDescent="0.25">
      <c r="A133" s="26"/>
      <c r="B133" s="21"/>
      <c r="C133" s="21"/>
      <c r="D133" s="22"/>
      <c r="H133" s="22"/>
      <c r="J133" s="22"/>
      <c r="K133" s="27"/>
      <c r="L133" s="22"/>
      <c r="N133" s="22"/>
      <c r="O133" s="27"/>
      <c r="P133" s="22"/>
      <c r="R133" s="22"/>
      <c r="S133" s="27"/>
    </row>
    <row r="134" spans="1:19" s="20" customFormat="1" x14ac:dyDescent="0.25">
      <c r="A134" s="26"/>
      <c r="B134" s="21"/>
      <c r="C134" s="21"/>
      <c r="D134" s="22"/>
      <c r="H134" s="22"/>
      <c r="J134" s="22"/>
      <c r="K134" s="27"/>
      <c r="L134" s="22"/>
      <c r="N134" s="22"/>
      <c r="O134" s="27"/>
      <c r="P134" s="22"/>
      <c r="R134" s="22"/>
      <c r="S134" s="27"/>
    </row>
    <row r="135" spans="1:19" s="20" customFormat="1" x14ac:dyDescent="0.25">
      <c r="A135" s="26"/>
      <c r="B135" s="21"/>
      <c r="C135" s="21"/>
      <c r="D135" s="22"/>
      <c r="H135" s="22"/>
      <c r="J135" s="22"/>
      <c r="K135" s="27"/>
      <c r="L135" s="22"/>
      <c r="N135" s="22"/>
      <c r="O135" s="27"/>
      <c r="P135" s="22"/>
      <c r="R135" s="22"/>
      <c r="S135" s="27"/>
    </row>
    <row r="136" spans="1:19" s="20" customFormat="1" x14ac:dyDescent="0.25">
      <c r="A136" s="26"/>
      <c r="B136" s="21"/>
      <c r="C136" s="21"/>
      <c r="D136" s="22"/>
      <c r="H136" s="22"/>
      <c r="J136" s="22"/>
      <c r="K136" s="27"/>
      <c r="L136" s="22"/>
      <c r="N136" s="22"/>
      <c r="O136" s="27"/>
      <c r="P136" s="22"/>
      <c r="R136" s="22"/>
      <c r="S136" s="27"/>
    </row>
    <row r="137" spans="1:19" s="20" customFormat="1" x14ac:dyDescent="0.25">
      <c r="A137" s="26"/>
      <c r="B137" s="21"/>
      <c r="C137" s="21"/>
      <c r="D137" s="22"/>
      <c r="H137" s="22"/>
      <c r="J137" s="22"/>
      <c r="K137" s="27"/>
      <c r="L137" s="22"/>
      <c r="N137" s="22"/>
      <c r="O137" s="27"/>
      <c r="P137" s="22"/>
      <c r="R137" s="22"/>
      <c r="S137" s="27"/>
    </row>
    <row r="138" spans="1:19" s="20" customFormat="1" x14ac:dyDescent="0.25">
      <c r="A138" s="26"/>
      <c r="B138" s="21"/>
      <c r="C138" s="21"/>
      <c r="D138" s="22"/>
      <c r="H138" s="22"/>
      <c r="J138" s="22"/>
      <c r="K138" s="27"/>
      <c r="L138" s="22"/>
      <c r="N138" s="22"/>
      <c r="O138" s="27"/>
      <c r="P138" s="22"/>
      <c r="R138" s="22"/>
      <c r="S138" s="27"/>
    </row>
    <row r="139" spans="1:19" s="20" customFormat="1" x14ac:dyDescent="0.25">
      <c r="A139" s="26"/>
      <c r="B139" s="21"/>
      <c r="C139" s="21"/>
      <c r="D139" s="22"/>
      <c r="H139" s="22"/>
      <c r="J139" s="22"/>
      <c r="K139" s="27"/>
      <c r="L139" s="22"/>
      <c r="N139" s="22"/>
      <c r="O139" s="27"/>
      <c r="P139" s="22"/>
      <c r="R139" s="22"/>
      <c r="S139" s="27"/>
    </row>
    <row r="140" spans="1:19" s="20" customFormat="1" x14ac:dyDescent="0.25">
      <c r="A140" s="26"/>
      <c r="B140" s="21"/>
      <c r="C140" s="21"/>
      <c r="D140" s="22"/>
      <c r="H140" s="22"/>
      <c r="J140" s="22"/>
      <c r="K140" s="27"/>
      <c r="L140" s="22"/>
      <c r="N140" s="22"/>
      <c r="O140" s="27"/>
      <c r="P140" s="22"/>
      <c r="R140" s="22"/>
      <c r="S140" s="27"/>
    </row>
    <row r="141" spans="1:19" s="20" customFormat="1" x14ac:dyDescent="0.25">
      <c r="A141" s="26"/>
      <c r="B141" s="21"/>
      <c r="C141" s="21"/>
      <c r="D141" s="22"/>
      <c r="H141" s="22"/>
      <c r="J141" s="22"/>
      <c r="K141" s="27"/>
      <c r="L141" s="22"/>
      <c r="N141" s="22"/>
      <c r="O141" s="27"/>
      <c r="P141" s="22"/>
      <c r="R141" s="22"/>
      <c r="S141" s="27"/>
    </row>
    <row r="142" spans="1:19" s="20" customFormat="1" x14ac:dyDescent="0.25">
      <c r="A142" s="26"/>
      <c r="B142" s="21"/>
      <c r="C142" s="21"/>
      <c r="D142" s="22"/>
      <c r="H142" s="22"/>
      <c r="J142" s="22"/>
      <c r="K142" s="27"/>
      <c r="L142" s="22"/>
      <c r="N142" s="22"/>
      <c r="O142" s="27"/>
      <c r="P142" s="22"/>
      <c r="R142" s="22"/>
      <c r="S142" s="27"/>
    </row>
    <row r="143" spans="1:19" s="20" customFormat="1" x14ac:dyDescent="0.25">
      <c r="A143" s="26"/>
      <c r="B143" s="21"/>
      <c r="C143" s="21"/>
      <c r="D143" s="22"/>
      <c r="H143" s="22"/>
      <c r="J143" s="22"/>
      <c r="K143" s="27"/>
      <c r="L143" s="22"/>
      <c r="N143" s="22"/>
      <c r="O143" s="27"/>
      <c r="P143" s="22"/>
      <c r="R143" s="22"/>
      <c r="S143" s="27"/>
    </row>
    <row r="144" spans="1:19" s="20" customFormat="1" x14ac:dyDescent="0.25">
      <c r="A144" s="26"/>
      <c r="B144" s="21"/>
      <c r="C144" s="21"/>
      <c r="D144" s="22"/>
      <c r="H144" s="22"/>
      <c r="J144" s="22"/>
      <c r="K144" s="27"/>
      <c r="L144" s="22"/>
      <c r="N144" s="22"/>
      <c r="O144" s="27"/>
      <c r="P144" s="22"/>
      <c r="R144" s="22"/>
      <c r="S144" s="27"/>
    </row>
    <row r="145" spans="1:19" s="20" customFormat="1" x14ac:dyDescent="0.25">
      <c r="A145" s="26"/>
      <c r="B145" s="21"/>
      <c r="C145" s="21"/>
      <c r="D145" s="22"/>
      <c r="H145" s="22"/>
      <c r="J145" s="22"/>
      <c r="K145" s="27"/>
      <c r="L145" s="22"/>
      <c r="N145" s="22"/>
      <c r="O145" s="27"/>
      <c r="P145" s="22"/>
      <c r="R145" s="22"/>
      <c r="S145" s="27"/>
    </row>
    <row r="146" spans="1:19" s="20" customFormat="1" x14ac:dyDescent="0.25">
      <c r="A146" s="26"/>
      <c r="B146" s="21"/>
      <c r="C146" s="21"/>
      <c r="D146" s="22"/>
      <c r="H146" s="22"/>
      <c r="J146" s="22"/>
      <c r="K146" s="27"/>
      <c r="L146" s="22"/>
      <c r="N146" s="22"/>
      <c r="O146" s="27"/>
      <c r="P146" s="22"/>
      <c r="R146" s="22"/>
      <c r="S146" s="27"/>
    </row>
    <row r="147" spans="1:19" s="20" customFormat="1" x14ac:dyDescent="0.25">
      <c r="A147" s="26"/>
      <c r="B147" s="21"/>
      <c r="C147" s="21"/>
      <c r="D147" s="22"/>
      <c r="H147" s="22"/>
      <c r="J147" s="22"/>
      <c r="K147" s="27"/>
      <c r="L147" s="22"/>
      <c r="N147" s="22"/>
      <c r="O147" s="27"/>
      <c r="P147" s="22"/>
      <c r="R147" s="22"/>
      <c r="S147" s="27"/>
    </row>
    <row r="148" spans="1:19" s="20" customFormat="1" x14ac:dyDescent="0.25">
      <c r="A148" s="26"/>
      <c r="B148" s="21"/>
      <c r="C148" s="21"/>
      <c r="D148" s="22"/>
      <c r="H148" s="22"/>
      <c r="J148" s="22"/>
      <c r="K148" s="27"/>
      <c r="L148" s="22"/>
      <c r="N148" s="22"/>
      <c r="O148" s="27"/>
      <c r="P148" s="22"/>
      <c r="R148" s="22"/>
      <c r="S148" s="27"/>
    </row>
    <row r="149" spans="1:19" s="20" customFormat="1" x14ac:dyDescent="0.25">
      <c r="A149" s="26"/>
      <c r="B149" s="21"/>
      <c r="C149" s="21"/>
      <c r="D149" s="22"/>
      <c r="H149" s="22"/>
      <c r="J149" s="22"/>
      <c r="K149" s="27"/>
      <c r="L149" s="22"/>
      <c r="N149" s="22"/>
      <c r="O149" s="27"/>
      <c r="P149" s="22"/>
      <c r="R149" s="22"/>
      <c r="S149" s="27"/>
    </row>
    <row r="150" spans="1:19" s="20" customFormat="1" x14ac:dyDescent="0.25">
      <c r="A150" s="26"/>
      <c r="B150" s="21"/>
      <c r="C150" s="21"/>
      <c r="D150" s="22"/>
      <c r="H150" s="22"/>
      <c r="J150" s="22"/>
      <c r="K150" s="27"/>
      <c r="L150" s="22"/>
      <c r="N150" s="22"/>
      <c r="O150" s="27"/>
      <c r="P150" s="22"/>
      <c r="R150" s="22"/>
      <c r="S150" s="27"/>
    </row>
    <row r="151" spans="1:19" s="20" customFormat="1" x14ac:dyDescent="0.25">
      <c r="A151" s="26"/>
      <c r="B151" s="21"/>
      <c r="C151" s="21"/>
      <c r="D151" s="22"/>
      <c r="H151" s="22"/>
      <c r="J151" s="22"/>
      <c r="K151" s="27"/>
      <c r="L151" s="22"/>
      <c r="N151" s="22"/>
      <c r="O151" s="27"/>
      <c r="P151" s="22"/>
      <c r="R151" s="22"/>
      <c r="S151" s="27"/>
    </row>
    <row r="152" spans="1:19" s="20" customFormat="1" x14ac:dyDescent="0.25">
      <c r="A152" s="26"/>
      <c r="B152" s="21"/>
      <c r="C152" s="21"/>
      <c r="D152" s="22"/>
      <c r="H152" s="22"/>
      <c r="J152" s="22"/>
      <c r="K152" s="27"/>
      <c r="L152" s="22"/>
      <c r="N152" s="22"/>
      <c r="O152" s="27"/>
      <c r="P152" s="22"/>
      <c r="R152" s="22"/>
      <c r="S152" s="27"/>
    </row>
    <row r="153" spans="1:19" s="20" customFormat="1" x14ac:dyDescent="0.25">
      <c r="A153" s="26"/>
      <c r="B153" s="21"/>
      <c r="C153" s="21"/>
      <c r="D153" s="22"/>
      <c r="H153" s="22"/>
      <c r="J153" s="22"/>
      <c r="K153" s="27"/>
      <c r="L153" s="22"/>
      <c r="N153" s="22"/>
      <c r="O153" s="27"/>
      <c r="P153" s="22"/>
      <c r="R153" s="22"/>
      <c r="S153" s="27"/>
    </row>
    <row r="154" spans="1:19" s="20" customFormat="1" x14ac:dyDescent="0.25">
      <c r="A154" s="26"/>
      <c r="B154" s="21"/>
      <c r="C154" s="21"/>
      <c r="D154" s="22"/>
      <c r="H154" s="22"/>
      <c r="J154" s="22"/>
      <c r="K154" s="27"/>
      <c r="L154" s="22"/>
      <c r="N154" s="22"/>
      <c r="O154" s="27"/>
      <c r="P154" s="22"/>
      <c r="R154" s="22"/>
      <c r="S154" s="27"/>
    </row>
    <row r="155" spans="1:19" s="20" customFormat="1" x14ac:dyDescent="0.25">
      <c r="A155" s="26"/>
      <c r="B155" s="21"/>
      <c r="C155" s="21"/>
      <c r="D155" s="22"/>
      <c r="H155" s="22"/>
      <c r="J155" s="22"/>
      <c r="K155" s="27"/>
      <c r="L155" s="22"/>
      <c r="N155" s="22"/>
      <c r="O155" s="27"/>
      <c r="P155" s="22"/>
      <c r="R155" s="22"/>
      <c r="S155" s="27"/>
    </row>
    <row r="156" spans="1:19" s="20" customFormat="1" x14ac:dyDescent="0.25">
      <c r="A156" s="26"/>
      <c r="B156" s="21"/>
      <c r="C156" s="21"/>
      <c r="D156" s="22"/>
      <c r="H156" s="22"/>
      <c r="J156" s="22"/>
      <c r="K156" s="27"/>
      <c r="L156" s="22"/>
      <c r="N156" s="22"/>
      <c r="O156" s="27"/>
      <c r="P156" s="22"/>
      <c r="R156" s="22"/>
      <c r="S156" s="27"/>
    </row>
    <row r="157" spans="1:19" s="20" customFormat="1" x14ac:dyDescent="0.25">
      <c r="A157" s="26"/>
      <c r="B157" s="21"/>
      <c r="C157" s="21"/>
      <c r="D157" s="22"/>
      <c r="H157" s="22"/>
      <c r="J157" s="22"/>
      <c r="K157" s="27"/>
      <c r="L157" s="22"/>
      <c r="N157" s="22"/>
      <c r="O157" s="27"/>
      <c r="P157" s="22"/>
      <c r="R157" s="22"/>
      <c r="S157" s="27"/>
    </row>
    <row r="158" spans="1:19" s="20" customFormat="1" x14ac:dyDescent="0.25">
      <c r="A158" s="26"/>
      <c r="B158" s="21"/>
      <c r="C158" s="21"/>
      <c r="D158" s="22"/>
      <c r="H158" s="22"/>
      <c r="J158" s="22"/>
      <c r="K158" s="27"/>
      <c r="L158" s="22"/>
      <c r="N158" s="22"/>
      <c r="O158" s="27"/>
      <c r="P158" s="22"/>
      <c r="R158" s="22"/>
      <c r="S158" s="27"/>
    </row>
    <row r="159" spans="1:19" s="20" customFormat="1" x14ac:dyDescent="0.25">
      <c r="A159" s="26"/>
      <c r="B159" s="21"/>
      <c r="C159" s="21"/>
      <c r="D159" s="22"/>
      <c r="H159" s="22"/>
      <c r="J159" s="22"/>
      <c r="K159" s="27"/>
      <c r="L159" s="22"/>
      <c r="N159" s="22"/>
      <c r="O159" s="27"/>
      <c r="P159" s="22"/>
      <c r="R159" s="22"/>
      <c r="S159" s="27"/>
    </row>
    <row r="160" spans="1:19" s="20" customFormat="1" x14ac:dyDescent="0.25">
      <c r="A160" s="26"/>
      <c r="B160" s="21"/>
      <c r="C160" s="21"/>
      <c r="D160" s="22"/>
      <c r="H160" s="22"/>
      <c r="J160" s="22"/>
      <c r="K160" s="27"/>
      <c r="L160" s="22"/>
      <c r="N160" s="22"/>
      <c r="O160" s="27"/>
      <c r="P160" s="22"/>
      <c r="R160" s="22"/>
      <c r="S160" s="27"/>
    </row>
    <row r="161" spans="1:19" s="20" customFormat="1" x14ac:dyDescent="0.25">
      <c r="A161" s="26"/>
      <c r="B161" s="21"/>
      <c r="C161" s="21"/>
      <c r="D161" s="22"/>
      <c r="H161" s="22"/>
      <c r="J161" s="22"/>
      <c r="K161" s="27"/>
      <c r="L161" s="22"/>
      <c r="N161" s="22"/>
      <c r="O161" s="27"/>
      <c r="P161" s="22"/>
      <c r="R161" s="22"/>
      <c r="S161" s="27"/>
    </row>
    <row r="162" spans="1:19" s="20" customFormat="1" x14ac:dyDescent="0.25">
      <c r="A162" s="26"/>
      <c r="B162" s="21"/>
      <c r="C162" s="21"/>
      <c r="D162" s="22"/>
      <c r="H162" s="22"/>
      <c r="J162" s="22"/>
      <c r="K162" s="27"/>
      <c r="L162" s="22"/>
      <c r="N162" s="22"/>
      <c r="O162" s="27"/>
      <c r="P162" s="22"/>
      <c r="R162" s="22"/>
      <c r="S162" s="27"/>
    </row>
    <row r="163" spans="1:19" s="20" customFormat="1" x14ac:dyDescent="0.25">
      <c r="A163" s="26"/>
      <c r="B163" s="21"/>
      <c r="C163" s="21"/>
      <c r="D163" s="22"/>
      <c r="H163" s="22"/>
      <c r="J163" s="22"/>
      <c r="K163" s="27"/>
      <c r="L163" s="22"/>
      <c r="N163" s="22"/>
      <c r="O163" s="27"/>
      <c r="P163" s="22"/>
      <c r="R163" s="22"/>
      <c r="S163" s="27"/>
    </row>
    <row r="164" spans="1:19" s="20" customFormat="1" x14ac:dyDescent="0.25">
      <c r="A164" s="26"/>
      <c r="B164" s="21"/>
      <c r="C164" s="21"/>
      <c r="D164" s="22"/>
      <c r="H164" s="22"/>
      <c r="J164" s="22"/>
      <c r="K164" s="27"/>
      <c r="L164" s="22"/>
      <c r="N164" s="22"/>
      <c r="O164" s="27"/>
      <c r="P164" s="22"/>
      <c r="R164" s="22"/>
      <c r="S164" s="27"/>
    </row>
    <row r="165" spans="1:19" s="20" customFormat="1" x14ac:dyDescent="0.25">
      <c r="A165" s="26"/>
      <c r="B165" s="21"/>
      <c r="C165" s="21"/>
      <c r="D165" s="22"/>
      <c r="H165" s="22"/>
      <c r="J165" s="22"/>
      <c r="K165" s="27"/>
      <c r="L165" s="22"/>
      <c r="N165" s="22"/>
      <c r="O165" s="27"/>
      <c r="P165" s="22"/>
      <c r="R165" s="22"/>
      <c r="S165" s="27"/>
    </row>
    <row r="166" spans="1:19" s="20" customFormat="1" x14ac:dyDescent="0.25">
      <c r="A166" s="26"/>
      <c r="B166" s="21"/>
      <c r="C166" s="21"/>
      <c r="D166" s="22"/>
      <c r="H166" s="22"/>
      <c r="J166" s="22"/>
      <c r="K166" s="27"/>
      <c r="L166" s="22"/>
      <c r="N166" s="22"/>
      <c r="O166" s="27"/>
      <c r="P166" s="22"/>
      <c r="R166" s="22"/>
      <c r="S166" s="27"/>
    </row>
    <row r="167" spans="1:19" s="20" customFormat="1" x14ac:dyDescent="0.25">
      <c r="A167" s="26"/>
      <c r="B167" s="21"/>
      <c r="C167" s="21"/>
      <c r="D167" s="22"/>
      <c r="H167" s="22"/>
      <c r="J167" s="22"/>
      <c r="K167" s="27"/>
      <c r="L167" s="22"/>
      <c r="N167" s="22"/>
      <c r="O167" s="27"/>
      <c r="P167" s="22"/>
      <c r="R167" s="22"/>
      <c r="S167" s="27"/>
    </row>
    <row r="168" spans="1:19" s="20" customFormat="1" x14ac:dyDescent="0.25">
      <c r="A168" s="26"/>
      <c r="B168" s="21"/>
      <c r="C168" s="21"/>
      <c r="D168" s="22"/>
      <c r="H168" s="22"/>
      <c r="J168" s="22"/>
      <c r="K168" s="27"/>
      <c r="L168" s="22"/>
      <c r="N168" s="22"/>
      <c r="O168" s="27"/>
      <c r="P168" s="22"/>
      <c r="R168" s="22"/>
      <c r="S168" s="27"/>
    </row>
    <row r="169" spans="1:19" s="20" customFormat="1" x14ac:dyDescent="0.25">
      <c r="A169" s="26"/>
      <c r="B169" s="21"/>
      <c r="C169" s="21"/>
      <c r="D169" s="22"/>
      <c r="H169" s="22"/>
      <c r="J169" s="22"/>
      <c r="K169" s="27"/>
      <c r="L169" s="22"/>
      <c r="N169" s="22"/>
      <c r="O169" s="27"/>
      <c r="P169" s="22"/>
      <c r="R169" s="22"/>
      <c r="S169" s="27"/>
    </row>
    <row r="170" spans="1:19" s="20" customFormat="1" x14ac:dyDescent="0.25">
      <c r="A170" s="26"/>
      <c r="B170" s="21"/>
      <c r="C170" s="21"/>
      <c r="D170" s="22"/>
      <c r="H170" s="22"/>
      <c r="J170" s="22"/>
      <c r="K170" s="27"/>
      <c r="L170" s="22"/>
      <c r="N170" s="22"/>
      <c r="O170" s="27"/>
      <c r="P170" s="22"/>
      <c r="R170" s="22"/>
      <c r="S170" s="27"/>
    </row>
    <row r="171" spans="1:19" s="20" customFormat="1" x14ac:dyDescent="0.25">
      <c r="A171" s="26"/>
      <c r="B171" s="21"/>
      <c r="C171" s="21"/>
      <c r="D171" s="22"/>
      <c r="H171" s="22"/>
      <c r="J171" s="22"/>
      <c r="K171" s="27"/>
      <c r="L171" s="22"/>
      <c r="N171" s="22"/>
      <c r="O171" s="27"/>
      <c r="P171" s="22"/>
      <c r="R171" s="22"/>
      <c r="S171" s="27"/>
    </row>
    <row r="172" spans="1:19" s="20" customFormat="1" x14ac:dyDescent="0.25">
      <c r="A172" s="26"/>
      <c r="B172" s="21"/>
      <c r="C172" s="21"/>
      <c r="D172" s="22"/>
      <c r="H172" s="22"/>
      <c r="J172" s="22"/>
      <c r="K172" s="27"/>
      <c r="L172" s="22"/>
      <c r="N172" s="22"/>
      <c r="O172" s="27"/>
      <c r="P172" s="22"/>
      <c r="R172" s="22"/>
      <c r="S172" s="27"/>
    </row>
    <row r="173" spans="1:19" s="20" customFormat="1" x14ac:dyDescent="0.25">
      <c r="A173" s="26"/>
      <c r="B173" s="21"/>
      <c r="C173" s="21"/>
      <c r="D173" s="22"/>
      <c r="H173" s="22"/>
      <c r="J173" s="22"/>
      <c r="K173" s="27"/>
      <c r="L173" s="22"/>
      <c r="N173" s="22"/>
      <c r="O173" s="27"/>
      <c r="P173" s="22"/>
      <c r="R173" s="22"/>
      <c r="S173" s="27"/>
    </row>
    <row r="174" spans="1:19" s="20" customFormat="1" x14ac:dyDescent="0.25">
      <c r="A174" s="26"/>
      <c r="B174" s="21"/>
      <c r="C174" s="21"/>
      <c r="D174" s="22"/>
      <c r="H174" s="22"/>
      <c r="J174" s="22"/>
      <c r="K174" s="27"/>
      <c r="L174" s="22"/>
      <c r="N174" s="22"/>
      <c r="O174" s="27"/>
      <c r="P174" s="22"/>
      <c r="R174" s="22"/>
      <c r="S174" s="27"/>
    </row>
    <row r="175" spans="1:19" s="20" customFormat="1" x14ac:dyDescent="0.25">
      <c r="A175" s="26"/>
      <c r="B175" s="21"/>
      <c r="C175" s="21"/>
      <c r="D175" s="22"/>
      <c r="H175" s="22"/>
      <c r="J175" s="22"/>
      <c r="K175" s="27"/>
      <c r="L175" s="22"/>
      <c r="N175" s="22"/>
      <c r="O175" s="27"/>
      <c r="P175" s="22"/>
      <c r="R175" s="22"/>
      <c r="S175" s="27"/>
    </row>
    <row r="176" spans="1:19" s="20" customFormat="1" x14ac:dyDescent="0.25">
      <c r="A176" s="26"/>
      <c r="B176" s="21"/>
      <c r="C176" s="21"/>
      <c r="D176" s="22"/>
      <c r="H176" s="22"/>
      <c r="J176" s="22"/>
      <c r="K176" s="27"/>
      <c r="L176" s="22"/>
      <c r="N176" s="22"/>
      <c r="O176" s="27"/>
      <c r="P176" s="22"/>
      <c r="R176" s="22"/>
      <c r="S176" s="27"/>
    </row>
    <row r="177" spans="1:19" s="20" customFormat="1" x14ac:dyDescent="0.25">
      <c r="A177" s="26"/>
      <c r="B177" s="21"/>
      <c r="C177" s="21"/>
      <c r="D177" s="22"/>
      <c r="H177" s="22"/>
      <c r="J177" s="22"/>
      <c r="K177" s="27"/>
      <c r="L177" s="22"/>
      <c r="N177" s="22"/>
      <c r="O177" s="27"/>
      <c r="P177" s="22"/>
      <c r="R177" s="22"/>
      <c r="S177" s="27"/>
    </row>
    <row r="178" spans="1:19" s="20" customFormat="1" x14ac:dyDescent="0.25">
      <c r="A178" s="26"/>
      <c r="B178" s="21"/>
      <c r="C178" s="21"/>
      <c r="D178" s="22"/>
      <c r="H178" s="22"/>
      <c r="J178" s="22"/>
      <c r="K178" s="27"/>
      <c r="L178" s="22"/>
      <c r="N178" s="22"/>
      <c r="O178" s="27"/>
      <c r="P178" s="22"/>
      <c r="R178" s="22"/>
      <c r="S178" s="27"/>
    </row>
    <row r="179" spans="1:19" s="20" customFormat="1" x14ac:dyDescent="0.25">
      <c r="A179" s="26"/>
      <c r="B179" s="21"/>
      <c r="C179" s="21"/>
      <c r="D179" s="22"/>
      <c r="H179" s="22"/>
      <c r="J179" s="22"/>
      <c r="K179" s="27"/>
      <c r="L179" s="22"/>
      <c r="N179" s="22"/>
      <c r="O179" s="27"/>
      <c r="P179" s="22"/>
      <c r="R179" s="22"/>
      <c r="S179" s="27"/>
    </row>
    <row r="180" spans="1:19" s="20" customFormat="1" x14ac:dyDescent="0.25">
      <c r="A180" s="26"/>
      <c r="B180" s="21"/>
      <c r="C180" s="21"/>
      <c r="D180" s="22"/>
      <c r="H180" s="22"/>
      <c r="J180" s="22"/>
      <c r="K180" s="27"/>
      <c r="L180" s="22"/>
      <c r="N180" s="22"/>
      <c r="O180" s="27"/>
      <c r="P180" s="22"/>
      <c r="R180" s="22"/>
      <c r="S180" s="27"/>
    </row>
    <row r="181" spans="1:19" s="20" customFormat="1" x14ac:dyDescent="0.25">
      <c r="A181" s="26"/>
      <c r="B181" s="21"/>
      <c r="C181" s="21"/>
      <c r="D181" s="22"/>
      <c r="H181" s="22"/>
      <c r="J181" s="22"/>
      <c r="K181" s="27"/>
      <c r="L181" s="22"/>
      <c r="N181" s="22"/>
      <c r="O181" s="27"/>
      <c r="P181" s="22"/>
      <c r="R181" s="22"/>
      <c r="S181" s="27"/>
    </row>
    <row r="182" spans="1:19" s="20" customFormat="1" x14ac:dyDescent="0.25">
      <c r="A182" s="26"/>
      <c r="B182" s="21"/>
      <c r="C182" s="21"/>
      <c r="D182" s="22"/>
      <c r="H182" s="22"/>
      <c r="J182" s="22"/>
      <c r="K182" s="27"/>
      <c r="L182" s="22"/>
      <c r="N182" s="22"/>
      <c r="O182" s="27"/>
      <c r="P182" s="22"/>
      <c r="R182" s="22"/>
      <c r="S182" s="27"/>
    </row>
    <row r="183" spans="1:19" s="20" customFormat="1" x14ac:dyDescent="0.25">
      <c r="A183" s="26"/>
      <c r="B183" s="21"/>
      <c r="C183" s="21"/>
      <c r="D183" s="22"/>
      <c r="H183" s="22"/>
      <c r="J183" s="22"/>
      <c r="K183" s="27"/>
      <c r="L183" s="22"/>
      <c r="N183" s="22"/>
      <c r="O183" s="27"/>
      <c r="P183" s="22"/>
      <c r="R183" s="22"/>
      <c r="S183" s="27"/>
    </row>
    <row r="184" spans="1:19" s="20" customFormat="1" x14ac:dyDescent="0.25">
      <c r="A184" s="26"/>
      <c r="B184" s="21"/>
      <c r="C184" s="21"/>
      <c r="D184" s="22"/>
      <c r="H184" s="22"/>
      <c r="J184" s="22"/>
      <c r="K184" s="27"/>
      <c r="L184" s="22"/>
      <c r="N184" s="22"/>
      <c r="O184" s="27"/>
      <c r="P184" s="22"/>
      <c r="R184" s="22"/>
      <c r="S184" s="27"/>
    </row>
    <row r="185" spans="1:19" s="20" customFormat="1" x14ac:dyDescent="0.25">
      <c r="A185" s="26"/>
      <c r="B185" s="21"/>
      <c r="C185" s="21"/>
      <c r="D185" s="22"/>
      <c r="H185" s="22"/>
      <c r="J185" s="22"/>
      <c r="K185" s="27"/>
      <c r="L185" s="22"/>
      <c r="N185" s="22"/>
      <c r="O185" s="27"/>
      <c r="P185" s="22"/>
      <c r="R185" s="22"/>
      <c r="S185" s="27"/>
    </row>
    <row r="186" spans="1:19" s="20" customFormat="1" x14ac:dyDescent="0.25">
      <c r="A186" s="26"/>
      <c r="B186" s="21"/>
      <c r="C186" s="21"/>
      <c r="D186" s="22"/>
      <c r="H186" s="22"/>
      <c r="J186" s="22"/>
      <c r="K186" s="27"/>
      <c r="L186" s="22"/>
      <c r="N186" s="22"/>
      <c r="O186" s="27"/>
      <c r="P186" s="22"/>
      <c r="R186" s="22"/>
      <c r="S186" s="27"/>
    </row>
    <row r="187" spans="1:19" s="20" customFormat="1" x14ac:dyDescent="0.25">
      <c r="A187" s="26"/>
      <c r="B187" s="21"/>
      <c r="C187" s="21"/>
      <c r="D187" s="22"/>
      <c r="H187" s="22"/>
      <c r="J187" s="22"/>
      <c r="K187" s="27"/>
      <c r="L187" s="22"/>
      <c r="N187" s="22"/>
      <c r="O187" s="27"/>
      <c r="P187" s="22"/>
      <c r="R187" s="22"/>
      <c r="S187" s="27"/>
    </row>
    <row r="188" spans="1:19" s="20" customFormat="1" x14ac:dyDescent="0.25">
      <c r="A188" s="26"/>
      <c r="B188" s="21"/>
      <c r="C188" s="21"/>
      <c r="D188" s="22"/>
      <c r="H188" s="22"/>
      <c r="J188" s="22"/>
      <c r="K188" s="27"/>
      <c r="L188" s="22"/>
      <c r="N188" s="22"/>
      <c r="O188" s="27"/>
      <c r="P188" s="22"/>
      <c r="R188" s="22"/>
      <c r="S188" s="27"/>
    </row>
    <row r="189" spans="1:19" s="20" customFormat="1" x14ac:dyDescent="0.25">
      <c r="A189" s="26"/>
      <c r="B189" s="21"/>
      <c r="C189" s="21"/>
      <c r="D189" s="22"/>
      <c r="H189" s="22"/>
      <c r="J189" s="22"/>
      <c r="K189" s="27"/>
      <c r="L189" s="22"/>
      <c r="N189" s="22"/>
      <c r="O189" s="27"/>
      <c r="P189" s="22"/>
      <c r="R189" s="22"/>
      <c r="S189" s="27"/>
    </row>
    <row r="190" spans="1:19" s="20" customFormat="1" x14ac:dyDescent="0.25">
      <c r="A190" s="26"/>
      <c r="B190" s="21"/>
      <c r="C190" s="21"/>
      <c r="D190" s="22"/>
      <c r="H190" s="22"/>
      <c r="J190" s="22"/>
      <c r="K190" s="27"/>
      <c r="L190" s="22"/>
      <c r="N190" s="22"/>
      <c r="O190" s="27"/>
      <c r="P190" s="22"/>
      <c r="R190" s="22"/>
      <c r="S190" s="27"/>
    </row>
    <row r="191" spans="1:19" s="20" customFormat="1" x14ac:dyDescent="0.25">
      <c r="A191" s="26"/>
      <c r="B191" s="21"/>
      <c r="C191" s="21"/>
      <c r="D191" s="22"/>
      <c r="H191" s="22"/>
      <c r="J191" s="22"/>
      <c r="K191" s="27"/>
      <c r="L191" s="22"/>
      <c r="N191" s="22"/>
      <c r="O191" s="27"/>
      <c r="P191" s="22"/>
      <c r="R191" s="22"/>
      <c r="S191" s="27"/>
    </row>
    <row r="192" spans="1:19" s="20" customFormat="1" x14ac:dyDescent="0.25">
      <c r="A192" s="26"/>
      <c r="B192" s="21"/>
      <c r="C192" s="21"/>
      <c r="D192" s="22"/>
      <c r="H192" s="22"/>
      <c r="J192" s="22"/>
      <c r="K192" s="27"/>
      <c r="L192" s="22"/>
      <c r="N192" s="22"/>
      <c r="O192" s="27"/>
      <c r="P192" s="22"/>
      <c r="R192" s="22"/>
      <c r="S192" s="27"/>
    </row>
    <row r="193" spans="1:19" s="20" customFormat="1" x14ac:dyDescent="0.25">
      <c r="A193" s="26"/>
      <c r="B193" s="21"/>
      <c r="C193" s="21"/>
      <c r="D193" s="22"/>
      <c r="H193" s="22"/>
      <c r="J193" s="22"/>
      <c r="K193" s="27"/>
      <c r="L193" s="22"/>
      <c r="N193" s="22"/>
      <c r="O193" s="27"/>
      <c r="P193" s="22"/>
      <c r="R193" s="22"/>
      <c r="S193" s="27"/>
    </row>
    <row r="194" spans="1:19" s="20" customFormat="1" x14ac:dyDescent="0.25">
      <c r="A194" s="26"/>
      <c r="B194" s="21"/>
      <c r="C194" s="21"/>
      <c r="D194" s="22"/>
      <c r="H194" s="22"/>
      <c r="J194" s="22"/>
      <c r="K194" s="27"/>
      <c r="L194" s="22"/>
      <c r="N194" s="22"/>
      <c r="O194" s="27"/>
      <c r="P194" s="22"/>
      <c r="R194" s="22"/>
      <c r="S194" s="27"/>
    </row>
    <row r="195" spans="1:19" s="20" customFormat="1" x14ac:dyDescent="0.25">
      <c r="A195" s="26"/>
      <c r="B195" s="21"/>
      <c r="C195" s="21"/>
      <c r="D195" s="22"/>
      <c r="H195" s="22"/>
      <c r="J195" s="22"/>
      <c r="K195" s="27"/>
      <c r="L195" s="22"/>
      <c r="N195" s="22"/>
      <c r="O195" s="27"/>
      <c r="P195" s="22"/>
      <c r="R195" s="22"/>
      <c r="S195" s="27"/>
    </row>
    <row r="196" spans="1:19" s="20" customFormat="1" x14ac:dyDescent="0.25">
      <c r="A196" s="26"/>
      <c r="B196" s="21"/>
      <c r="C196" s="21"/>
      <c r="D196" s="22"/>
      <c r="H196" s="22"/>
      <c r="J196" s="22"/>
      <c r="K196" s="27"/>
      <c r="L196" s="22"/>
      <c r="N196" s="22"/>
      <c r="O196" s="27"/>
      <c r="P196" s="22"/>
      <c r="R196" s="22"/>
      <c r="S196" s="27"/>
    </row>
    <row r="197" spans="1:19" s="20" customFormat="1" x14ac:dyDescent="0.25">
      <c r="A197" s="26"/>
      <c r="B197" s="21"/>
      <c r="C197" s="21"/>
      <c r="D197" s="22"/>
      <c r="H197" s="22"/>
      <c r="J197" s="22"/>
      <c r="K197" s="27"/>
      <c r="L197" s="22"/>
      <c r="N197" s="22"/>
      <c r="O197" s="27"/>
      <c r="P197" s="22"/>
      <c r="R197" s="22"/>
      <c r="S197" s="27"/>
    </row>
    <row r="198" spans="1:19" s="20" customFormat="1" x14ac:dyDescent="0.25">
      <c r="A198" s="26"/>
      <c r="B198" s="21"/>
      <c r="C198" s="21"/>
      <c r="D198" s="22"/>
      <c r="H198" s="22"/>
      <c r="J198" s="22"/>
      <c r="K198" s="27"/>
      <c r="L198" s="22"/>
      <c r="N198" s="22"/>
      <c r="O198" s="27"/>
      <c r="P198" s="22"/>
      <c r="R198" s="22"/>
      <c r="S198" s="27"/>
    </row>
    <row r="199" spans="1:19" s="20" customFormat="1" x14ac:dyDescent="0.25">
      <c r="A199" s="26"/>
      <c r="B199" s="21"/>
      <c r="C199" s="21"/>
      <c r="D199" s="22"/>
      <c r="H199" s="22"/>
      <c r="J199" s="22"/>
      <c r="K199" s="27"/>
      <c r="L199" s="22"/>
      <c r="N199" s="22"/>
      <c r="O199" s="27"/>
      <c r="P199" s="22"/>
      <c r="R199" s="22"/>
      <c r="S199" s="27"/>
    </row>
    <row r="200" spans="1:19" s="20" customFormat="1" x14ac:dyDescent="0.25">
      <c r="A200" s="26"/>
      <c r="B200" s="21"/>
      <c r="C200" s="21"/>
      <c r="D200" s="22"/>
      <c r="H200" s="22"/>
      <c r="J200" s="22"/>
      <c r="K200" s="27"/>
      <c r="L200" s="22"/>
      <c r="N200" s="22"/>
      <c r="O200" s="27"/>
      <c r="P200" s="22"/>
      <c r="R200" s="22"/>
      <c r="S200" s="27"/>
    </row>
    <row r="201" spans="1:19" s="20" customFormat="1" x14ac:dyDescent="0.25">
      <c r="A201" s="26"/>
      <c r="B201" s="21"/>
      <c r="C201" s="21"/>
      <c r="D201" s="22"/>
      <c r="H201" s="22"/>
      <c r="J201" s="22"/>
      <c r="K201" s="27"/>
      <c r="L201" s="22"/>
      <c r="N201" s="22"/>
      <c r="O201" s="27"/>
      <c r="P201" s="22"/>
      <c r="R201" s="22"/>
      <c r="S201" s="27"/>
    </row>
    <row r="202" spans="1:19" s="20" customFormat="1" x14ac:dyDescent="0.25">
      <c r="A202" s="26"/>
      <c r="B202" s="21"/>
      <c r="C202" s="21"/>
      <c r="D202" s="22"/>
      <c r="H202" s="22"/>
      <c r="J202" s="22"/>
      <c r="K202" s="27"/>
      <c r="L202" s="22"/>
      <c r="N202" s="22"/>
      <c r="O202" s="27"/>
      <c r="P202" s="22"/>
      <c r="R202" s="22"/>
      <c r="S202" s="27"/>
    </row>
    <row r="203" spans="1:19" s="20" customFormat="1" x14ac:dyDescent="0.25">
      <c r="A203" s="26"/>
      <c r="B203" s="21"/>
      <c r="C203" s="21"/>
      <c r="D203" s="22"/>
      <c r="H203" s="22"/>
      <c r="J203" s="22"/>
      <c r="K203" s="27"/>
      <c r="L203" s="22"/>
      <c r="N203" s="22"/>
      <c r="O203" s="27"/>
      <c r="P203" s="22"/>
      <c r="R203" s="22"/>
      <c r="S203" s="27"/>
    </row>
    <row r="204" spans="1:19" s="20" customFormat="1" x14ac:dyDescent="0.25">
      <c r="A204" s="26"/>
      <c r="B204" s="21"/>
      <c r="C204" s="21"/>
      <c r="D204" s="22"/>
      <c r="H204" s="22"/>
      <c r="J204" s="22"/>
      <c r="K204" s="27"/>
      <c r="L204" s="22"/>
      <c r="N204" s="22"/>
      <c r="O204" s="27"/>
      <c r="P204" s="22"/>
      <c r="R204" s="22"/>
      <c r="S204" s="27"/>
    </row>
    <row r="205" spans="1:19" s="20" customFormat="1" x14ac:dyDescent="0.25">
      <c r="A205" s="26"/>
      <c r="B205" s="21"/>
      <c r="C205" s="21"/>
      <c r="D205" s="22"/>
      <c r="H205" s="22"/>
      <c r="J205" s="22"/>
      <c r="K205" s="27"/>
      <c r="L205" s="22"/>
      <c r="N205" s="22"/>
      <c r="O205" s="27"/>
      <c r="P205" s="22"/>
      <c r="R205" s="22"/>
      <c r="S205" s="27"/>
    </row>
    <row r="206" spans="1:19" s="20" customFormat="1" x14ac:dyDescent="0.25">
      <c r="A206" s="26"/>
      <c r="B206" s="21"/>
      <c r="C206" s="21"/>
      <c r="D206" s="22"/>
      <c r="H206" s="22"/>
      <c r="J206" s="22"/>
      <c r="K206" s="27"/>
      <c r="L206" s="22"/>
      <c r="N206" s="22"/>
      <c r="O206" s="27"/>
      <c r="P206" s="22"/>
      <c r="R206" s="22"/>
      <c r="S206" s="27"/>
    </row>
    <row r="207" spans="1:19" s="20" customFormat="1" x14ac:dyDescent="0.25">
      <c r="A207" s="26"/>
      <c r="B207" s="21"/>
      <c r="C207" s="21"/>
      <c r="D207" s="22"/>
      <c r="H207" s="22"/>
      <c r="J207" s="22"/>
      <c r="K207" s="27"/>
      <c r="L207" s="22"/>
      <c r="N207" s="22"/>
      <c r="O207" s="27"/>
      <c r="P207" s="22"/>
      <c r="R207" s="22"/>
      <c r="S207" s="27"/>
    </row>
    <row r="208" spans="1:19" s="20" customFormat="1" x14ac:dyDescent="0.25">
      <c r="A208" s="26"/>
      <c r="B208" s="21"/>
      <c r="C208" s="21"/>
      <c r="D208" s="22"/>
      <c r="H208" s="22"/>
      <c r="J208" s="22"/>
      <c r="K208" s="27"/>
      <c r="L208" s="22"/>
      <c r="N208" s="22"/>
      <c r="O208" s="27"/>
      <c r="P208" s="22"/>
      <c r="R208" s="22"/>
      <c r="S208" s="27"/>
    </row>
    <row r="209" spans="1:19" s="20" customFormat="1" x14ac:dyDescent="0.25">
      <c r="A209" s="26"/>
      <c r="B209" s="21"/>
      <c r="C209" s="21"/>
      <c r="D209" s="22"/>
      <c r="H209" s="22"/>
      <c r="J209" s="22"/>
      <c r="K209" s="27"/>
      <c r="L209" s="22"/>
      <c r="N209" s="22"/>
      <c r="O209" s="27"/>
      <c r="P209" s="22"/>
      <c r="R209" s="22"/>
      <c r="S209" s="27"/>
    </row>
    <row r="210" spans="1:19" s="20" customFormat="1" x14ac:dyDescent="0.25">
      <c r="A210" s="26"/>
      <c r="B210" s="21"/>
      <c r="C210" s="21"/>
      <c r="D210" s="22"/>
      <c r="H210" s="22"/>
      <c r="J210" s="22"/>
      <c r="K210" s="27"/>
      <c r="L210" s="22"/>
      <c r="N210" s="22"/>
      <c r="O210" s="27"/>
      <c r="P210" s="22"/>
      <c r="R210" s="22"/>
      <c r="S210" s="27"/>
    </row>
    <row r="211" spans="1:19" s="20" customFormat="1" x14ac:dyDescent="0.25">
      <c r="A211" s="26"/>
      <c r="B211" s="21"/>
      <c r="C211" s="21"/>
      <c r="D211" s="22"/>
      <c r="H211" s="22"/>
      <c r="J211" s="22"/>
      <c r="K211" s="27"/>
      <c r="L211" s="22"/>
      <c r="N211" s="22"/>
      <c r="O211" s="27"/>
      <c r="P211" s="22"/>
      <c r="R211" s="22"/>
      <c r="S211" s="27"/>
    </row>
    <row r="212" spans="1:19" s="20" customFormat="1" x14ac:dyDescent="0.25">
      <c r="A212" s="26"/>
      <c r="B212" s="21"/>
      <c r="C212" s="21"/>
      <c r="D212" s="22"/>
      <c r="H212" s="22"/>
      <c r="J212" s="22"/>
      <c r="K212" s="27"/>
      <c r="L212" s="22"/>
      <c r="N212" s="22"/>
      <c r="O212" s="27"/>
      <c r="P212" s="22"/>
      <c r="R212" s="22"/>
      <c r="S212" s="27"/>
    </row>
    <row r="213" spans="1:19" s="20" customFormat="1" x14ac:dyDescent="0.25">
      <c r="A213" s="26"/>
      <c r="B213" s="21"/>
      <c r="C213" s="21"/>
      <c r="D213" s="22"/>
      <c r="H213" s="22"/>
      <c r="J213" s="22"/>
      <c r="K213" s="27"/>
      <c r="L213" s="22"/>
      <c r="N213" s="22"/>
      <c r="O213" s="27"/>
      <c r="P213" s="22"/>
      <c r="R213" s="22"/>
      <c r="S213" s="27"/>
    </row>
    <row r="214" spans="1:19" s="20" customFormat="1" x14ac:dyDescent="0.25">
      <c r="A214" s="26"/>
      <c r="B214" s="21"/>
      <c r="C214" s="21"/>
      <c r="D214" s="22"/>
      <c r="H214" s="22"/>
      <c r="J214" s="22"/>
      <c r="K214" s="27"/>
      <c r="L214" s="22"/>
      <c r="N214" s="22"/>
      <c r="O214" s="27"/>
      <c r="P214" s="22"/>
      <c r="R214" s="22"/>
      <c r="S214" s="27"/>
    </row>
    <row r="215" spans="1:19" s="20" customFormat="1" x14ac:dyDescent="0.25">
      <c r="A215" s="26"/>
      <c r="B215" s="21"/>
      <c r="C215" s="21"/>
      <c r="D215" s="22"/>
      <c r="H215" s="22"/>
      <c r="J215" s="22"/>
      <c r="K215" s="27"/>
      <c r="L215" s="22"/>
      <c r="N215" s="22"/>
      <c r="O215" s="27"/>
      <c r="P215" s="22"/>
      <c r="R215" s="22"/>
      <c r="S215" s="27"/>
    </row>
    <row r="216" spans="1:19" s="20" customFormat="1" x14ac:dyDescent="0.25">
      <c r="A216" s="26"/>
      <c r="B216" s="21"/>
      <c r="C216" s="21"/>
      <c r="D216" s="22"/>
      <c r="H216" s="22"/>
      <c r="J216" s="22"/>
      <c r="K216" s="27"/>
      <c r="L216" s="22"/>
      <c r="N216" s="22"/>
      <c r="O216" s="27"/>
      <c r="P216" s="22"/>
      <c r="R216" s="22"/>
      <c r="S216" s="27"/>
    </row>
    <row r="217" spans="1:19" s="20" customFormat="1" x14ac:dyDescent="0.25">
      <c r="A217" s="26"/>
      <c r="B217" s="21"/>
      <c r="C217" s="21"/>
      <c r="D217" s="22"/>
      <c r="H217" s="22"/>
      <c r="J217" s="22"/>
      <c r="K217" s="27"/>
      <c r="L217" s="22"/>
      <c r="N217" s="22"/>
      <c r="O217" s="27"/>
      <c r="P217" s="22"/>
      <c r="R217" s="22"/>
      <c r="S217" s="27"/>
    </row>
    <row r="218" spans="1:19" s="20" customFormat="1" x14ac:dyDescent="0.25">
      <c r="A218" s="26"/>
      <c r="B218" s="21"/>
      <c r="C218" s="21"/>
      <c r="D218" s="22"/>
      <c r="H218" s="22"/>
      <c r="J218" s="22"/>
      <c r="K218" s="27"/>
      <c r="L218" s="22"/>
      <c r="N218" s="22"/>
      <c r="O218" s="27"/>
      <c r="P218" s="22"/>
      <c r="R218" s="22"/>
      <c r="S218" s="27"/>
    </row>
    <row r="219" spans="1:19" s="20" customFormat="1" x14ac:dyDescent="0.25">
      <c r="A219" s="26"/>
      <c r="B219" s="21"/>
      <c r="C219" s="21"/>
      <c r="D219" s="22"/>
      <c r="H219" s="22"/>
      <c r="J219" s="22"/>
      <c r="K219" s="27"/>
      <c r="L219" s="22"/>
      <c r="N219" s="22"/>
      <c r="O219" s="27"/>
      <c r="P219" s="22"/>
      <c r="R219" s="22"/>
      <c r="S219" s="27"/>
    </row>
    <row r="220" spans="1:19" s="20" customFormat="1" x14ac:dyDescent="0.25">
      <c r="A220" s="26"/>
      <c r="B220" s="21"/>
      <c r="C220" s="21"/>
      <c r="D220" s="22"/>
      <c r="H220" s="22"/>
      <c r="J220" s="22"/>
      <c r="K220" s="27"/>
      <c r="L220" s="22"/>
      <c r="N220" s="22"/>
      <c r="O220" s="27"/>
      <c r="P220" s="22"/>
      <c r="R220" s="22"/>
      <c r="S220" s="27"/>
    </row>
    <row r="221" spans="1:19" s="20" customFormat="1" x14ac:dyDescent="0.25">
      <c r="A221" s="26"/>
      <c r="B221" s="21"/>
      <c r="C221" s="21"/>
      <c r="D221" s="22"/>
      <c r="H221" s="22"/>
      <c r="J221" s="22"/>
      <c r="K221" s="27"/>
      <c r="L221" s="22"/>
      <c r="N221" s="22"/>
      <c r="O221" s="27"/>
      <c r="P221" s="22"/>
      <c r="R221" s="22"/>
      <c r="S221" s="27"/>
    </row>
    <row r="222" spans="1:19" s="20" customFormat="1" x14ac:dyDescent="0.25">
      <c r="A222" s="26"/>
      <c r="B222" s="21"/>
      <c r="C222" s="21"/>
      <c r="D222" s="22"/>
      <c r="H222" s="22"/>
      <c r="J222" s="22"/>
      <c r="K222" s="27"/>
      <c r="L222" s="22"/>
      <c r="N222" s="22"/>
      <c r="O222" s="27"/>
      <c r="P222" s="22"/>
      <c r="R222" s="22"/>
      <c r="S222" s="27"/>
    </row>
    <row r="223" spans="1:19" s="20" customFormat="1" x14ac:dyDescent="0.25">
      <c r="A223" s="26"/>
      <c r="B223" s="21"/>
      <c r="C223" s="21"/>
      <c r="D223" s="22"/>
      <c r="H223" s="22"/>
      <c r="J223" s="22"/>
      <c r="K223" s="27"/>
      <c r="L223" s="22"/>
      <c r="N223" s="22"/>
      <c r="O223" s="27"/>
      <c r="P223" s="22"/>
      <c r="R223" s="22"/>
      <c r="S223" s="27"/>
    </row>
    <row r="224" spans="1:19" s="20" customFormat="1" x14ac:dyDescent="0.25">
      <c r="A224" s="26"/>
      <c r="B224" s="21"/>
      <c r="C224" s="21"/>
      <c r="D224" s="22"/>
      <c r="H224" s="22"/>
      <c r="J224" s="22"/>
      <c r="K224" s="27"/>
      <c r="L224" s="22"/>
      <c r="N224" s="22"/>
      <c r="O224" s="27"/>
      <c r="P224" s="22"/>
      <c r="R224" s="22"/>
      <c r="S224" s="27"/>
    </row>
    <row r="225" spans="1:19" s="20" customFormat="1" x14ac:dyDescent="0.25">
      <c r="A225" s="26"/>
      <c r="B225" s="21"/>
      <c r="C225" s="21"/>
      <c r="D225" s="22"/>
      <c r="H225" s="22"/>
      <c r="J225" s="22"/>
      <c r="K225" s="27"/>
      <c r="L225" s="22"/>
      <c r="N225" s="22"/>
      <c r="O225" s="27"/>
      <c r="P225" s="22"/>
      <c r="R225" s="22"/>
      <c r="S225" s="27"/>
    </row>
    <row r="226" spans="1:19" s="20" customFormat="1" x14ac:dyDescent="0.25">
      <c r="A226" s="26"/>
      <c r="B226" s="21"/>
      <c r="C226" s="21"/>
      <c r="D226" s="22"/>
      <c r="H226" s="22"/>
      <c r="J226" s="22"/>
      <c r="K226" s="27"/>
      <c r="L226" s="22"/>
      <c r="N226" s="22"/>
      <c r="O226" s="27"/>
      <c r="P226" s="22"/>
      <c r="R226" s="22"/>
      <c r="S226" s="27"/>
    </row>
    <row r="227" spans="1:19" s="20" customFormat="1" x14ac:dyDescent="0.25">
      <c r="A227" s="26"/>
      <c r="B227" s="21"/>
      <c r="C227" s="21"/>
      <c r="D227" s="22"/>
      <c r="H227" s="22"/>
      <c r="J227" s="22"/>
      <c r="K227" s="27"/>
      <c r="L227" s="22"/>
      <c r="N227" s="22"/>
      <c r="O227" s="27"/>
      <c r="P227" s="22"/>
      <c r="R227" s="22"/>
      <c r="S227" s="27"/>
    </row>
    <row r="228" spans="1:19" s="20" customFormat="1" x14ac:dyDescent="0.25">
      <c r="A228" s="26"/>
      <c r="B228" s="21"/>
      <c r="C228" s="21"/>
      <c r="D228" s="22"/>
      <c r="H228" s="22"/>
      <c r="J228" s="22"/>
      <c r="K228" s="27"/>
      <c r="L228" s="22"/>
      <c r="N228" s="22"/>
      <c r="O228" s="27"/>
      <c r="P228" s="22"/>
      <c r="R228" s="22"/>
      <c r="S228" s="27"/>
    </row>
    <row r="229" spans="1:19" s="20" customFormat="1" x14ac:dyDescent="0.25">
      <c r="A229" s="26"/>
      <c r="B229" s="21"/>
      <c r="C229" s="21"/>
      <c r="D229" s="22"/>
      <c r="H229" s="22"/>
      <c r="J229" s="22"/>
      <c r="K229" s="27"/>
      <c r="L229" s="22"/>
      <c r="N229" s="22"/>
      <c r="O229" s="27"/>
      <c r="P229" s="22"/>
      <c r="R229" s="22"/>
      <c r="S229" s="27"/>
    </row>
    <row r="230" spans="1:19" s="20" customFormat="1" x14ac:dyDescent="0.25">
      <c r="A230" s="26"/>
      <c r="B230" s="21"/>
      <c r="C230" s="21"/>
      <c r="D230" s="22"/>
      <c r="H230" s="22"/>
      <c r="J230" s="22"/>
      <c r="K230" s="27"/>
      <c r="L230" s="22"/>
      <c r="N230" s="22"/>
      <c r="O230" s="27"/>
      <c r="P230" s="22"/>
      <c r="R230" s="22"/>
      <c r="S230" s="27"/>
    </row>
    <row r="231" spans="1:19" s="20" customFormat="1" x14ac:dyDescent="0.25">
      <c r="A231" s="26"/>
      <c r="B231" s="21"/>
      <c r="C231" s="21"/>
      <c r="D231" s="22"/>
      <c r="H231" s="22"/>
      <c r="J231" s="22"/>
      <c r="K231" s="27"/>
      <c r="L231" s="22"/>
      <c r="N231" s="22"/>
      <c r="O231" s="27"/>
      <c r="P231" s="22"/>
      <c r="R231" s="22"/>
      <c r="S231" s="27"/>
    </row>
    <row r="232" spans="1:19" s="20" customFormat="1" x14ac:dyDescent="0.25">
      <c r="A232" s="26"/>
      <c r="B232" s="21"/>
      <c r="C232" s="21"/>
      <c r="D232" s="22"/>
      <c r="H232" s="22"/>
      <c r="J232" s="22"/>
      <c r="K232" s="27"/>
      <c r="L232" s="22"/>
      <c r="N232" s="22"/>
      <c r="O232" s="27"/>
      <c r="P232" s="22"/>
      <c r="R232" s="22"/>
      <c r="S232" s="27"/>
    </row>
    <row r="233" spans="1:19" s="20" customFormat="1" x14ac:dyDescent="0.25">
      <c r="A233" s="26"/>
      <c r="B233" s="21"/>
      <c r="C233" s="21"/>
      <c r="D233" s="22"/>
      <c r="H233" s="22"/>
      <c r="J233" s="22"/>
      <c r="K233" s="27"/>
      <c r="L233" s="22"/>
      <c r="N233" s="22"/>
      <c r="O233" s="27"/>
      <c r="P233" s="22"/>
      <c r="R233" s="22"/>
      <c r="S233" s="27"/>
    </row>
    <row r="234" spans="1:19" s="20" customFormat="1" x14ac:dyDescent="0.25">
      <c r="A234" s="26"/>
      <c r="B234" s="21"/>
      <c r="C234" s="21"/>
      <c r="D234" s="22"/>
      <c r="H234" s="22"/>
      <c r="J234" s="22"/>
      <c r="K234" s="27"/>
      <c r="L234" s="22"/>
      <c r="N234" s="22"/>
      <c r="O234" s="27"/>
      <c r="P234" s="22"/>
      <c r="R234" s="22"/>
      <c r="S234" s="27"/>
    </row>
    <row r="235" spans="1:19" s="20" customFormat="1" x14ac:dyDescent="0.25">
      <c r="A235" s="26"/>
      <c r="B235" s="21"/>
      <c r="C235" s="21"/>
      <c r="D235" s="22"/>
      <c r="H235" s="22"/>
      <c r="J235" s="22"/>
      <c r="K235" s="27"/>
      <c r="L235" s="22"/>
      <c r="N235" s="22"/>
      <c r="O235" s="27"/>
      <c r="P235" s="22"/>
      <c r="R235" s="22"/>
      <c r="S235" s="27"/>
    </row>
    <row r="236" spans="1:19" s="20" customFormat="1" x14ac:dyDescent="0.25">
      <c r="A236" s="26"/>
      <c r="B236" s="21"/>
      <c r="C236" s="21"/>
      <c r="D236" s="22"/>
      <c r="H236" s="22"/>
      <c r="J236" s="22"/>
      <c r="K236" s="27"/>
      <c r="L236" s="22"/>
      <c r="N236" s="22"/>
      <c r="O236" s="27"/>
      <c r="P236" s="22"/>
      <c r="R236" s="22"/>
      <c r="S236" s="27"/>
    </row>
    <row r="237" spans="1:19" s="20" customFormat="1" x14ac:dyDescent="0.25">
      <c r="A237" s="26"/>
      <c r="B237" s="21"/>
      <c r="C237" s="21"/>
      <c r="D237" s="22"/>
      <c r="H237" s="22"/>
      <c r="J237" s="22"/>
      <c r="K237" s="27"/>
      <c r="L237" s="22"/>
      <c r="N237" s="22"/>
      <c r="O237" s="27"/>
      <c r="P237" s="22"/>
      <c r="R237" s="22"/>
      <c r="S237" s="27"/>
    </row>
    <row r="238" spans="1:19" s="20" customFormat="1" x14ac:dyDescent="0.25">
      <c r="A238" s="26"/>
      <c r="B238" s="21"/>
      <c r="C238" s="21"/>
      <c r="D238" s="22"/>
      <c r="H238" s="22"/>
      <c r="J238" s="22"/>
      <c r="K238" s="27"/>
      <c r="L238" s="22"/>
      <c r="N238" s="22"/>
      <c r="O238" s="27"/>
      <c r="P238" s="22"/>
      <c r="R238" s="22"/>
      <c r="S238" s="27"/>
    </row>
    <row r="239" spans="1:19" s="20" customFormat="1" x14ac:dyDescent="0.25">
      <c r="A239" s="26"/>
      <c r="B239" s="21"/>
      <c r="C239" s="21"/>
      <c r="D239" s="22"/>
      <c r="H239" s="22"/>
      <c r="J239" s="22"/>
      <c r="K239" s="27"/>
      <c r="L239" s="22"/>
      <c r="N239" s="22"/>
      <c r="O239" s="27"/>
      <c r="P239" s="22"/>
      <c r="R239" s="22"/>
      <c r="S239" s="27"/>
    </row>
    <row r="240" spans="1:19" s="20" customFormat="1" x14ac:dyDescent="0.25">
      <c r="A240" s="26"/>
      <c r="B240" s="21"/>
      <c r="C240" s="21"/>
      <c r="D240" s="22"/>
      <c r="H240" s="22"/>
      <c r="J240" s="22"/>
      <c r="K240" s="27"/>
      <c r="L240" s="22"/>
      <c r="N240" s="22"/>
      <c r="O240" s="27"/>
      <c r="P240" s="22"/>
      <c r="R240" s="22"/>
      <c r="S240" s="27"/>
    </row>
    <row r="241" spans="1:19" s="20" customFormat="1" x14ac:dyDescent="0.25">
      <c r="A241" s="26"/>
      <c r="B241" s="21"/>
      <c r="C241" s="21"/>
      <c r="D241" s="22"/>
      <c r="H241" s="22"/>
      <c r="J241" s="22"/>
      <c r="K241" s="27"/>
      <c r="L241" s="22"/>
      <c r="N241" s="22"/>
      <c r="O241" s="27"/>
      <c r="P241" s="22"/>
      <c r="R241" s="22"/>
      <c r="S241" s="27"/>
    </row>
    <row r="242" spans="1:19" s="20" customFormat="1" x14ac:dyDescent="0.25">
      <c r="A242" s="26"/>
      <c r="B242" s="21"/>
      <c r="C242" s="21"/>
      <c r="D242" s="22"/>
      <c r="H242" s="22"/>
      <c r="J242" s="22"/>
      <c r="K242" s="27"/>
      <c r="L242" s="22"/>
      <c r="N242" s="22"/>
      <c r="O242" s="27"/>
      <c r="P242" s="22"/>
      <c r="R242" s="22"/>
      <c r="S242" s="27"/>
    </row>
    <row r="243" spans="1:19" s="20" customFormat="1" x14ac:dyDescent="0.25">
      <c r="A243" s="26"/>
      <c r="B243" s="21"/>
      <c r="C243" s="21"/>
      <c r="D243" s="22"/>
      <c r="H243" s="22"/>
      <c r="J243" s="22"/>
      <c r="K243" s="27"/>
      <c r="L243" s="22"/>
      <c r="N243" s="22"/>
      <c r="O243" s="27"/>
      <c r="P243" s="22"/>
      <c r="R243" s="22"/>
      <c r="S243" s="27"/>
    </row>
    <row r="244" spans="1:19" s="20" customFormat="1" x14ac:dyDescent="0.25">
      <c r="A244" s="26"/>
      <c r="B244" s="21"/>
      <c r="C244" s="21"/>
      <c r="D244" s="22"/>
      <c r="H244" s="22"/>
      <c r="J244" s="22"/>
      <c r="K244" s="27"/>
      <c r="L244" s="22"/>
      <c r="N244" s="22"/>
      <c r="O244" s="27"/>
      <c r="P244" s="22"/>
      <c r="R244" s="22"/>
      <c r="S244" s="27"/>
    </row>
    <row r="245" spans="1:19" s="20" customFormat="1" x14ac:dyDescent="0.25">
      <c r="A245" s="26"/>
      <c r="B245" s="21"/>
      <c r="C245" s="21"/>
      <c r="D245" s="22"/>
      <c r="H245" s="22"/>
      <c r="J245" s="22"/>
      <c r="K245" s="27"/>
      <c r="L245" s="22"/>
      <c r="N245" s="22"/>
      <c r="O245" s="27"/>
      <c r="P245" s="22"/>
      <c r="R245" s="22"/>
      <c r="S245" s="27"/>
    </row>
    <row r="246" spans="1:19" s="20" customFormat="1" x14ac:dyDescent="0.25">
      <c r="A246" s="26"/>
      <c r="B246" s="21"/>
      <c r="C246" s="21"/>
      <c r="D246" s="22"/>
      <c r="H246" s="22"/>
      <c r="J246" s="22"/>
      <c r="K246" s="27"/>
      <c r="L246" s="22"/>
      <c r="N246" s="22"/>
      <c r="O246" s="27"/>
      <c r="P246" s="22"/>
      <c r="R246" s="22"/>
      <c r="S246" s="27"/>
    </row>
    <row r="247" spans="1:19" s="20" customFormat="1" x14ac:dyDescent="0.25">
      <c r="A247" s="26"/>
      <c r="B247" s="21"/>
      <c r="C247" s="21"/>
      <c r="D247" s="22"/>
      <c r="H247" s="22"/>
      <c r="J247" s="22"/>
      <c r="K247" s="27"/>
      <c r="L247" s="22"/>
      <c r="N247" s="22"/>
      <c r="O247" s="27"/>
      <c r="P247" s="22"/>
      <c r="R247" s="22"/>
      <c r="S247" s="27"/>
    </row>
    <row r="248" spans="1:19" s="20" customFormat="1" x14ac:dyDescent="0.25">
      <c r="A248" s="26"/>
      <c r="B248" s="21"/>
      <c r="C248" s="21"/>
      <c r="D248" s="22"/>
      <c r="H248" s="22"/>
      <c r="J248" s="22"/>
      <c r="K248" s="27"/>
      <c r="L248" s="22"/>
      <c r="N248" s="22"/>
      <c r="O248" s="27"/>
      <c r="P248" s="22"/>
      <c r="R248" s="22"/>
      <c r="S248" s="27"/>
    </row>
    <row r="249" spans="1:19" s="20" customFormat="1" x14ac:dyDescent="0.25">
      <c r="A249" s="26"/>
      <c r="B249" s="21"/>
      <c r="C249" s="21"/>
      <c r="D249" s="22"/>
      <c r="H249" s="22"/>
      <c r="J249" s="22"/>
      <c r="K249" s="27"/>
      <c r="L249" s="22"/>
      <c r="N249" s="22"/>
      <c r="O249" s="27"/>
      <c r="P249" s="22"/>
      <c r="R249" s="22"/>
      <c r="S249" s="27"/>
    </row>
    <row r="250" spans="1:19" s="20" customFormat="1" x14ac:dyDescent="0.25">
      <c r="A250" s="26"/>
      <c r="B250" s="21"/>
      <c r="C250" s="21"/>
      <c r="D250" s="22"/>
      <c r="H250" s="22"/>
      <c r="J250" s="22"/>
      <c r="K250" s="27"/>
      <c r="L250" s="22"/>
      <c r="N250" s="22"/>
      <c r="O250" s="27"/>
      <c r="P250" s="22"/>
      <c r="R250" s="22"/>
      <c r="S250" s="27"/>
    </row>
    <row r="251" spans="1:19" s="20" customFormat="1" x14ac:dyDescent="0.25">
      <c r="A251" s="26"/>
      <c r="B251" s="21"/>
      <c r="C251" s="21"/>
      <c r="D251" s="22"/>
      <c r="H251" s="22"/>
      <c r="J251" s="22"/>
      <c r="K251" s="27"/>
      <c r="L251" s="22"/>
      <c r="N251" s="22"/>
      <c r="O251" s="27"/>
      <c r="P251" s="22"/>
      <c r="R251" s="22"/>
      <c r="S251" s="27"/>
    </row>
    <row r="252" spans="1:19" s="20" customFormat="1" x14ac:dyDescent="0.25">
      <c r="A252" s="26"/>
      <c r="B252" s="21"/>
      <c r="C252" s="21"/>
      <c r="D252" s="22"/>
      <c r="H252" s="22"/>
      <c r="J252" s="22"/>
      <c r="K252" s="27"/>
      <c r="L252" s="22"/>
      <c r="N252" s="22"/>
      <c r="O252" s="27"/>
      <c r="P252" s="22"/>
      <c r="R252" s="22"/>
      <c r="S252" s="27"/>
    </row>
    <row r="253" spans="1:19" s="20" customFormat="1" x14ac:dyDescent="0.25">
      <c r="A253" s="26"/>
      <c r="B253" s="21"/>
      <c r="C253" s="21"/>
      <c r="D253" s="22"/>
      <c r="H253" s="22"/>
      <c r="J253" s="22"/>
      <c r="K253" s="27"/>
      <c r="L253" s="22"/>
      <c r="N253" s="22"/>
      <c r="O253" s="27"/>
      <c r="P253" s="22"/>
      <c r="R253" s="22"/>
      <c r="S253" s="27"/>
    </row>
    <row r="254" spans="1:19" s="20" customFormat="1" x14ac:dyDescent="0.25">
      <c r="A254" s="26"/>
      <c r="B254" s="21"/>
      <c r="C254" s="21"/>
      <c r="D254" s="22"/>
      <c r="H254" s="22"/>
      <c r="J254" s="22"/>
      <c r="K254" s="27"/>
      <c r="L254" s="22"/>
      <c r="N254" s="22"/>
      <c r="O254" s="27"/>
      <c r="P254" s="22"/>
      <c r="R254" s="22"/>
      <c r="S254" s="27"/>
    </row>
    <row r="255" spans="1:19" s="20" customFormat="1" x14ac:dyDescent="0.25">
      <c r="A255" s="26"/>
      <c r="B255" s="21"/>
      <c r="C255" s="21"/>
      <c r="D255" s="22"/>
      <c r="H255" s="22"/>
      <c r="J255" s="22"/>
      <c r="K255" s="27"/>
      <c r="L255" s="22"/>
      <c r="N255" s="22"/>
      <c r="O255" s="27"/>
      <c r="P255" s="22"/>
      <c r="R255" s="22"/>
      <c r="S255" s="27"/>
    </row>
    <row r="256" spans="1:19" s="20" customFormat="1" x14ac:dyDescent="0.25">
      <c r="A256" s="26"/>
      <c r="B256" s="21"/>
      <c r="C256" s="21"/>
      <c r="D256" s="22"/>
      <c r="H256" s="22"/>
      <c r="J256" s="22"/>
      <c r="K256" s="27"/>
      <c r="L256" s="22"/>
      <c r="N256" s="22"/>
      <c r="O256" s="27"/>
      <c r="P256" s="22"/>
      <c r="R256" s="22"/>
      <c r="S256" s="27"/>
    </row>
    <row r="257" spans="1:19" s="20" customFormat="1" x14ac:dyDescent="0.25">
      <c r="A257" s="26"/>
      <c r="B257" s="21"/>
      <c r="C257" s="21"/>
      <c r="D257" s="22"/>
      <c r="H257" s="22"/>
      <c r="J257" s="22"/>
      <c r="K257" s="27"/>
      <c r="L257" s="22"/>
      <c r="N257" s="22"/>
      <c r="O257" s="27"/>
      <c r="P257" s="22"/>
      <c r="R257" s="22"/>
      <c r="S257" s="27"/>
    </row>
    <row r="258" spans="1:19" s="20" customFormat="1" x14ac:dyDescent="0.25">
      <c r="A258" s="26"/>
      <c r="B258" s="21"/>
      <c r="C258" s="21"/>
      <c r="D258" s="22"/>
      <c r="H258" s="22"/>
      <c r="J258" s="22"/>
      <c r="K258" s="27"/>
      <c r="L258" s="22"/>
      <c r="N258" s="22"/>
      <c r="O258" s="27"/>
      <c r="P258" s="22"/>
      <c r="R258" s="22"/>
      <c r="S258" s="27"/>
    </row>
    <row r="259" spans="1:19" s="20" customFormat="1" x14ac:dyDescent="0.25">
      <c r="A259" s="26"/>
      <c r="B259" s="21"/>
      <c r="C259" s="21"/>
      <c r="D259" s="22"/>
      <c r="H259" s="22"/>
      <c r="J259" s="22"/>
      <c r="K259" s="27"/>
      <c r="L259" s="22"/>
      <c r="N259" s="22"/>
      <c r="O259" s="27"/>
      <c r="P259" s="22"/>
      <c r="R259" s="22"/>
      <c r="S259" s="27"/>
    </row>
    <row r="260" spans="1:19" s="20" customFormat="1" x14ac:dyDescent="0.25">
      <c r="A260" s="26"/>
      <c r="B260" s="21"/>
      <c r="C260" s="21"/>
      <c r="D260" s="22"/>
      <c r="H260" s="22"/>
      <c r="J260" s="22"/>
      <c r="K260" s="27"/>
      <c r="L260" s="22"/>
      <c r="N260" s="22"/>
      <c r="O260" s="27"/>
      <c r="P260" s="22"/>
      <c r="R260" s="22"/>
      <c r="S260" s="27"/>
    </row>
    <row r="261" spans="1:19" s="20" customFormat="1" x14ac:dyDescent="0.25">
      <c r="A261" s="26"/>
      <c r="B261" s="21"/>
      <c r="C261" s="21"/>
      <c r="D261" s="22"/>
      <c r="H261" s="22"/>
      <c r="J261" s="22"/>
      <c r="K261" s="27"/>
      <c r="L261" s="22"/>
      <c r="N261" s="22"/>
      <c r="O261" s="27"/>
      <c r="P261" s="22"/>
      <c r="R261" s="22"/>
      <c r="S261" s="27"/>
    </row>
    <row r="262" spans="1:19" s="20" customFormat="1" x14ac:dyDescent="0.25">
      <c r="A262" s="26"/>
      <c r="B262" s="21"/>
      <c r="C262" s="21"/>
      <c r="D262" s="22"/>
      <c r="H262" s="22"/>
      <c r="J262" s="22"/>
      <c r="K262" s="27"/>
      <c r="L262" s="22"/>
      <c r="N262" s="22"/>
      <c r="O262" s="27"/>
      <c r="P262" s="22"/>
      <c r="R262" s="22"/>
      <c r="S262" s="27"/>
    </row>
    <row r="263" spans="1:19" s="20" customFormat="1" x14ac:dyDescent="0.25">
      <c r="A263" s="26"/>
      <c r="B263" s="21"/>
      <c r="C263" s="21"/>
      <c r="D263" s="22"/>
      <c r="H263" s="22"/>
      <c r="J263" s="22"/>
      <c r="K263" s="27"/>
      <c r="L263" s="22"/>
      <c r="N263" s="22"/>
      <c r="O263" s="27"/>
      <c r="P263" s="22"/>
      <c r="R263" s="22"/>
      <c r="S263" s="27"/>
    </row>
    <row r="264" spans="1:19" s="20" customFormat="1" x14ac:dyDescent="0.25">
      <c r="A264" s="26"/>
      <c r="B264" s="21"/>
      <c r="C264" s="21"/>
      <c r="D264" s="22"/>
      <c r="H264" s="22"/>
      <c r="J264" s="22"/>
      <c r="K264" s="27"/>
      <c r="L264" s="22"/>
      <c r="N264" s="22"/>
      <c r="O264" s="27"/>
      <c r="P264" s="22"/>
      <c r="R264" s="22"/>
      <c r="S264" s="27"/>
    </row>
    <row r="265" spans="1:19" s="20" customFormat="1" x14ac:dyDescent="0.25">
      <c r="A265" s="26"/>
      <c r="B265" s="21"/>
      <c r="C265" s="21"/>
      <c r="D265" s="22"/>
      <c r="H265" s="22"/>
      <c r="J265" s="22"/>
      <c r="K265" s="27"/>
      <c r="L265" s="22"/>
      <c r="N265" s="22"/>
      <c r="O265" s="27"/>
      <c r="P265" s="22"/>
      <c r="R265" s="22"/>
      <c r="S265" s="27"/>
    </row>
    <row r="266" spans="1:19" s="20" customFormat="1" x14ac:dyDescent="0.25">
      <c r="A266" s="26"/>
      <c r="B266" s="21"/>
      <c r="C266" s="21"/>
      <c r="D266" s="22"/>
      <c r="H266" s="22"/>
      <c r="J266" s="22"/>
      <c r="K266" s="27"/>
      <c r="L266" s="22"/>
      <c r="N266" s="22"/>
      <c r="O266" s="27"/>
      <c r="P266" s="22"/>
      <c r="R266" s="22"/>
      <c r="S266" s="27"/>
    </row>
    <row r="267" spans="1:19" s="20" customFormat="1" x14ac:dyDescent="0.25">
      <c r="A267" s="26"/>
      <c r="B267" s="21"/>
      <c r="C267" s="21"/>
      <c r="D267" s="22"/>
      <c r="H267" s="22"/>
      <c r="J267" s="22"/>
      <c r="K267" s="27"/>
      <c r="L267" s="22"/>
      <c r="N267" s="22"/>
      <c r="O267" s="27"/>
      <c r="P267" s="22"/>
      <c r="R267" s="22"/>
      <c r="S267" s="27"/>
    </row>
    <row r="268" spans="1:19" s="20" customFormat="1" x14ac:dyDescent="0.25">
      <c r="A268" s="26"/>
      <c r="B268" s="21"/>
      <c r="C268" s="21"/>
      <c r="D268" s="22"/>
      <c r="H268" s="22"/>
      <c r="J268" s="22"/>
      <c r="K268" s="27"/>
      <c r="L268" s="22"/>
      <c r="N268" s="22"/>
      <c r="O268" s="27"/>
      <c r="P268" s="22"/>
      <c r="R268" s="22"/>
      <c r="S268" s="27"/>
    </row>
    <row r="269" spans="1:19" s="20" customFormat="1" x14ac:dyDescent="0.25">
      <c r="A269" s="26"/>
      <c r="B269" s="21"/>
      <c r="C269" s="21"/>
      <c r="D269" s="22"/>
      <c r="H269" s="22"/>
      <c r="J269" s="22"/>
      <c r="K269" s="27"/>
      <c r="L269" s="22"/>
      <c r="N269" s="22"/>
      <c r="O269" s="27"/>
      <c r="P269" s="22"/>
      <c r="R269" s="22"/>
      <c r="S269" s="27"/>
    </row>
    <row r="270" spans="1:19" s="20" customFormat="1" x14ac:dyDescent="0.25">
      <c r="A270" s="26"/>
      <c r="B270" s="21"/>
      <c r="C270" s="21"/>
      <c r="D270" s="22"/>
      <c r="H270" s="22"/>
      <c r="J270" s="22"/>
      <c r="K270" s="27"/>
      <c r="L270" s="22"/>
      <c r="N270" s="22"/>
      <c r="O270" s="27"/>
      <c r="P270" s="22"/>
      <c r="R270" s="22"/>
      <c r="S270" s="27"/>
    </row>
    <row r="271" spans="1:19" s="20" customFormat="1" x14ac:dyDescent="0.25">
      <c r="A271" s="26"/>
      <c r="B271" s="21"/>
      <c r="C271" s="21"/>
      <c r="D271" s="22"/>
      <c r="H271" s="22"/>
      <c r="J271" s="22"/>
      <c r="K271" s="27"/>
      <c r="L271" s="22"/>
      <c r="N271" s="22"/>
      <c r="O271" s="27"/>
      <c r="P271" s="22"/>
      <c r="R271" s="22"/>
      <c r="S271" s="27"/>
    </row>
    <row r="272" spans="1:19" s="20" customFormat="1" x14ac:dyDescent="0.25">
      <c r="A272" s="26"/>
      <c r="B272" s="21"/>
      <c r="C272" s="21"/>
      <c r="D272" s="22"/>
      <c r="H272" s="22"/>
      <c r="J272" s="22"/>
      <c r="K272" s="27"/>
      <c r="L272" s="22"/>
      <c r="N272" s="22"/>
      <c r="O272" s="27"/>
      <c r="P272" s="22"/>
      <c r="R272" s="22"/>
      <c r="S272" s="27"/>
    </row>
    <row r="273" spans="1:19" s="20" customFormat="1" x14ac:dyDescent="0.25">
      <c r="A273" s="26"/>
      <c r="B273" s="21"/>
      <c r="C273" s="21"/>
      <c r="D273" s="22"/>
      <c r="H273" s="22"/>
      <c r="J273" s="22"/>
      <c r="K273" s="27"/>
      <c r="L273" s="22"/>
      <c r="N273" s="22"/>
      <c r="O273" s="27"/>
      <c r="P273" s="22"/>
      <c r="R273" s="22"/>
      <c r="S273" s="27"/>
    </row>
    <row r="274" spans="1:19" s="20" customFormat="1" x14ac:dyDescent="0.25">
      <c r="A274" s="26"/>
      <c r="B274" s="21"/>
      <c r="C274" s="21"/>
      <c r="D274" s="22"/>
      <c r="H274" s="22"/>
      <c r="J274" s="22"/>
      <c r="K274" s="27"/>
      <c r="L274" s="22"/>
      <c r="N274" s="22"/>
      <c r="O274" s="27"/>
      <c r="P274" s="22"/>
      <c r="R274" s="22"/>
      <c r="S274" s="27"/>
    </row>
    <row r="275" spans="1:19" s="20" customFormat="1" x14ac:dyDescent="0.25">
      <c r="A275" s="26"/>
      <c r="B275" s="21"/>
      <c r="C275" s="21"/>
      <c r="D275" s="22"/>
      <c r="H275" s="22"/>
      <c r="J275" s="22"/>
      <c r="K275" s="27"/>
      <c r="L275" s="22"/>
      <c r="N275" s="22"/>
      <c r="O275" s="27"/>
      <c r="P275" s="22"/>
      <c r="R275" s="22"/>
      <c r="S275" s="27"/>
    </row>
    <row r="276" spans="1:19" s="20" customFormat="1" x14ac:dyDescent="0.25">
      <c r="A276" s="26"/>
      <c r="B276" s="21"/>
      <c r="C276" s="21"/>
      <c r="D276" s="22"/>
      <c r="H276" s="22"/>
      <c r="J276" s="22"/>
      <c r="K276" s="27"/>
      <c r="L276" s="22"/>
      <c r="N276" s="22"/>
      <c r="O276" s="27"/>
      <c r="P276" s="22"/>
      <c r="R276" s="22"/>
      <c r="S276" s="27"/>
    </row>
    <row r="277" spans="1:19" s="20" customFormat="1" x14ac:dyDescent="0.25">
      <c r="A277" s="26"/>
      <c r="B277" s="21"/>
      <c r="C277" s="21"/>
      <c r="D277" s="22"/>
      <c r="H277" s="22"/>
      <c r="J277" s="22"/>
      <c r="K277" s="27"/>
      <c r="L277" s="22"/>
      <c r="N277" s="22"/>
      <c r="O277" s="27"/>
      <c r="P277" s="22"/>
      <c r="R277" s="22"/>
      <c r="S277" s="27"/>
    </row>
    <row r="278" spans="1:19" s="20" customFormat="1" x14ac:dyDescent="0.25">
      <c r="A278" s="26"/>
      <c r="B278" s="21"/>
      <c r="C278" s="21"/>
      <c r="D278" s="22"/>
      <c r="H278" s="22"/>
      <c r="J278" s="22"/>
      <c r="K278" s="27"/>
      <c r="L278" s="22"/>
      <c r="N278" s="22"/>
      <c r="O278" s="27"/>
      <c r="P278" s="22"/>
      <c r="R278" s="22"/>
      <c r="S278" s="27"/>
    </row>
    <row r="279" spans="1:19" s="20" customFormat="1" x14ac:dyDescent="0.25">
      <c r="A279" s="26"/>
      <c r="B279" s="21"/>
      <c r="C279" s="21"/>
      <c r="D279" s="22"/>
      <c r="H279" s="22"/>
      <c r="J279" s="22"/>
      <c r="K279" s="27"/>
      <c r="L279" s="22"/>
      <c r="N279" s="22"/>
      <c r="O279" s="27"/>
      <c r="P279" s="22"/>
      <c r="R279" s="22"/>
      <c r="S279" s="27"/>
    </row>
    <row r="280" spans="1:19" s="20" customFormat="1" x14ac:dyDescent="0.25">
      <c r="A280" s="26"/>
      <c r="B280" s="21"/>
      <c r="C280" s="21"/>
      <c r="D280" s="22"/>
      <c r="H280" s="22"/>
      <c r="J280" s="22"/>
      <c r="K280" s="27"/>
      <c r="L280" s="22"/>
      <c r="N280" s="22"/>
      <c r="O280" s="27"/>
      <c r="P280" s="22"/>
      <c r="R280" s="22"/>
      <c r="S280" s="27"/>
    </row>
    <row r="281" spans="1:19" s="20" customFormat="1" x14ac:dyDescent="0.25">
      <c r="A281" s="26"/>
      <c r="B281" s="21"/>
      <c r="C281" s="21"/>
      <c r="D281" s="22"/>
      <c r="H281" s="22"/>
      <c r="J281" s="22"/>
      <c r="K281" s="27"/>
      <c r="L281" s="22"/>
      <c r="N281" s="22"/>
      <c r="O281" s="27"/>
      <c r="P281" s="22"/>
      <c r="R281" s="22"/>
      <c r="S281" s="27"/>
    </row>
    <row r="282" spans="1:19" s="20" customFormat="1" x14ac:dyDescent="0.25">
      <c r="A282" s="26"/>
      <c r="B282" s="21"/>
      <c r="C282" s="21"/>
      <c r="D282" s="22"/>
      <c r="H282" s="22"/>
      <c r="J282" s="22"/>
      <c r="K282" s="27"/>
      <c r="L282" s="22"/>
      <c r="N282" s="22"/>
      <c r="O282" s="27"/>
      <c r="P282" s="22"/>
      <c r="R282" s="22"/>
      <c r="S282" s="27"/>
    </row>
    <row r="283" spans="1:19" s="20" customFormat="1" x14ac:dyDescent="0.25">
      <c r="A283" s="26"/>
      <c r="B283" s="21"/>
      <c r="C283" s="21"/>
      <c r="D283" s="22"/>
      <c r="H283" s="22"/>
      <c r="J283" s="22"/>
      <c r="K283" s="27"/>
      <c r="L283" s="22"/>
      <c r="N283" s="22"/>
      <c r="O283" s="27"/>
      <c r="P283" s="22"/>
      <c r="R283" s="22"/>
      <c r="S283" s="27"/>
    </row>
    <row r="284" spans="1:19" s="20" customFormat="1" x14ac:dyDescent="0.25">
      <c r="A284" s="26"/>
      <c r="B284" s="21"/>
      <c r="C284" s="21"/>
      <c r="D284" s="22"/>
      <c r="H284" s="22"/>
      <c r="J284" s="22"/>
      <c r="K284" s="27"/>
      <c r="L284" s="22"/>
      <c r="N284" s="22"/>
      <c r="O284" s="27"/>
      <c r="P284" s="22"/>
      <c r="R284" s="22"/>
      <c r="S284" s="27"/>
    </row>
    <row r="285" spans="1:19" s="20" customFormat="1" x14ac:dyDescent="0.25">
      <c r="A285" s="26"/>
      <c r="B285" s="21"/>
      <c r="C285" s="21"/>
      <c r="D285" s="22"/>
      <c r="H285" s="22"/>
      <c r="J285" s="22"/>
      <c r="K285" s="27"/>
      <c r="L285" s="22"/>
      <c r="N285" s="22"/>
      <c r="O285" s="27"/>
      <c r="P285" s="22"/>
      <c r="R285" s="22"/>
      <c r="S285" s="27"/>
    </row>
    <row r="286" spans="1:19" s="20" customFormat="1" x14ac:dyDescent="0.25">
      <c r="A286" s="26"/>
      <c r="B286" s="21"/>
      <c r="C286" s="21"/>
      <c r="D286" s="22"/>
      <c r="H286" s="22"/>
      <c r="J286" s="22"/>
      <c r="K286" s="27"/>
      <c r="L286" s="22"/>
      <c r="N286" s="22"/>
      <c r="O286" s="27"/>
      <c r="P286" s="22"/>
      <c r="R286" s="22"/>
      <c r="S286" s="27"/>
    </row>
    <row r="287" spans="1:19" s="20" customFormat="1" x14ac:dyDescent="0.25">
      <c r="A287" s="26"/>
      <c r="B287" s="21"/>
      <c r="C287" s="21"/>
      <c r="D287" s="22"/>
      <c r="H287" s="22"/>
      <c r="J287" s="22"/>
      <c r="K287" s="27"/>
      <c r="L287" s="22"/>
      <c r="N287" s="22"/>
      <c r="O287" s="27"/>
      <c r="P287" s="22"/>
      <c r="R287" s="22"/>
      <c r="S287" s="27"/>
    </row>
    <row r="288" spans="1:19" s="20" customFormat="1" x14ac:dyDescent="0.25">
      <c r="A288" s="26"/>
      <c r="B288" s="21"/>
      <c r="C288" s="21"/>
      <c r="D288" s="22"/>
      <c r="H288" s="22"/>
      <c r="J288" s="22"/>
      <c r="K288" s="27"/>
      <c r="L288" s="22"/>
      <c r="N288" s="22"/>
      <c r="O288" s="27"/>
      <c r="P288" s="22"/>
      <c r="R288" s="22"/>
      <c r="S288" s="27"/>
    </row>
    <row r="289" spans="1:19" s="20" customFormat="1" x14ac:dyDescent="0.25">
      <c r="A289" s="26"/>
      <c r="B289" s="21"/>
      <c r="C289" s="21"/>
      <c r="D289" s="22"/>
      <c r="H289" s="22"/>
      <c r="J289" s="22"/>
      <c r="K289" s="27"/>
      <c r="L289" s="22"/>
      <c r="N289" s="22"/>
      <c r="O289" s="27"/>
      <c r="P289" s="22"/>
      <c r="R289" s="22"/>
      <c r="S289" s="27"/>
    </row>
    <row r="290" spans="1:19" s="20" customFormat="1" x14ac:dyDescent="0.25">
      <c r="A290" s="26"/>
      <c r="B290" s="21"/>
      <c r="C290" s="21"/>
      <c r="D290" s="22"/>
      <c r="H290" s="22"/>
      <c r="J290" s="22"/>
      <c r="K290" s="27"/>
      <c r="L290" s="22"/>
      <c r="N290" s="22"/>
      <c r="O290" s="27"/>
      <c r="P290" s="22"/>
      <c r="R290" s="22"/>
      <c r="S290" s="27"/>
    </row>
    <row r="291" spans="1:19" s="20" customFormat="1" x14ac:dyDescent="0.25">
      <c r="A291" s="26"/>
      <c r="B291" s="21"/>
      <c r="C291" s="21"/>
      <c r="D291" s="22"/>
      <c r="H291" s="22"/>
      <c r="J291" s="22"/>
      <c r="K291" s="27"/>
      <c r="L291" s="22"/>
      <c r="N291" s="22"/>
      <c r="O291" s="27"/>
      <c r="P291" s="22"/>
      <c r="R291" s="22"/>
      <c r="S291" s="27"/>
    </row>
    <row r="292" spans="1:19" s="20" customFormat="1" x14ac:dyDescent="0.25">
      <c r="A292" s="26"/>
      <c r="B292" s="21"/>
      <c r="C292" s="21"/>
      <c r="D292" s="22"/>
      <c r="H292" s="22"/>
      <c r="J292" s="22"/>
      <c r="K292" s="27"/>
      <c r="L292" s="22"/>
      <c r="N292" s="22"/>
      <c r="O292" s="27"/>
      <c r="P292" s="22"/>
      <c r="R292" s="22"/>
      <c r="S292" s="27"/>
    </row>
    <row r="293" spans="1:19" s="20" customFormat="1" x14ac:dyDescent="0.25">
      <c r="A293" s="26"/>
      <c r="B293" s="21"/>
      <c r="C293" s="21"/>
      <c r="D293" s="22"/>
      <c r="H293" s="22"/>
      <c r="J293" s="22"/>
      <c r="K293" s="27"/>
      <c r="L293" s="22"/>
      <c r="N293" s="22"/>
      <c r="O293" s="27"/>
      <c r="P293" s="22"/>
      <c r="R293" s="22"/>
      <c r="S293" s="27"/>
    </row>
    <row r="294" spans="1:19" s="20" customFormat="1" x14ac:dyDescent="0.25">
      <c r="A294" s="26"/>
      <c r="B294" s="21"/>
      <c r="C294" s="21"/>
      <c r="D294" s="22"/>
      <c r="H294" s="22"/>
      <c r="J294" s="22"/>
      <c r="K294" s="27"/>
      <c r="L294" s="22"/>
      <c r="N294" s="22"/>
      <c r="O294" s="27"/>
      <c r="P294" s="22"/>
      <c r="R294" s="22"/>
      <c r="S294" s="27"/>
    </row>
    <row r="295" spans="1:19" s="20" customFormat="1" x14ac:dyDescent="0.25">
      <c r="A295" s="26"/>
      <c r="B295" s="21"/>
      <c r="C295" s="21"/>
      <c r="D295" s="22"/>
      <c r="H295" s="22"/>
      <c r="J295" s="22"/>
      <c r="K295" s="27"/>
      <c r="L295" s="22"/>
      <c r="N295" s="22"/>
      <c r="O295" s="27"/>
      <c r="P295" s="22"/>
      <c r="R295" s="22"/>
      <c r="S295" s="27"/>
    </row>
    <row r="296" spans="1:19" s="20" customFormat="1" x14ac:dyDescent="0.25">
      <c r="A296" s="26"/>
      <c r="B296" s="21"/>
      <c r="C296" s="21"/>
      <c r="D296" s="22"/>
      <c r="H296" s="22"/>
      <c r="J296" s="22"/>
      <c r="K296" s="27"/>
      <c r="L296" s="22"/>
      <c r="N296" s="22"/>
      <c r="O296" s="27"/>
      <c r="P296" s="22"/>
      <c r="R296" s="22"/>
      <c r="S296" s="27"/>
    </row>
    <row r="297" spans="1:19" s="20" customFormat="1" x14ac:dyDescent="0.25">
      <c r="A297" s="26"/>
      <c r="B297" s="21"/>
      <c r="C297" s="21"/>
      <c r="D297" s="22"/>
      <c r="H297" s="22"/>
      <c r="J297" s="22"/>
      <c r="K297" s="27"/>
      <c r="L297" s="22"/>
      <c r="N297" s="22"/>
      <c r="O297" s="27"/>
      <c r="P297" s="22"/>
      <c r="R297" s="22"/>
      <c r="S297" s="27"/>
    </row>
    <row r="298" spans="1:19" s="20" customFormat="1" x14ac:dyDescent="0.25">
      <c r="A298" s="26"/>
      <c r="B298" s="21"/>
      <c r="C298" s="21"/>
      <c r="D298" s="22"/>
      <c r="H298" s="22"/>
      <c r="J298" s="22"/>
      <c r="K298" s="27"/>
      <c r="L298" s="22"/>
      <c r="N298" s="22"/>
      <c r="O298" s="27"/>
      <c r="P298" s="22"/>
      <c r="R298" s="22"/>
      <c r="S298" s="27"/>
    </row>
    <row r="299" spans="1:19" s="20" customFormat="1" x14ac:dyDescent="0.25">
      <c r="A299" s="26"/>
      <c r="B299" s="21"/>
      <c r="C299" s="21"/>
      <c r="D299" s="22"/>
      <c r="H299" s="22"/>
      <c r="J299" s="22"/>
      <c r="K299" s="27"/>
      <c r="L299" s="22"/>
      <c r="N299" s="22"/>
      <c r="O299" s="27"/>
      <c r="P299" s="22"/>
      <c r="R299" s="22"/>
      <c r="S299" s="27"/>
    </row>
    <row r="300" spans="1:19" s="20" customFormat="1" x14ac:dyDescent="0.25">
      <c r="A300" s="26"/>
      <c r="B300" s="21"/>
      <c r="C300" s="21"/>
      <c r="D300" s="22"/>
      <c r="H300" s="22"/>
      <c r="J300" s="22"/>
      <c r="K300" s="27"/>
      <c r="L300" s="22"/>
      <c r="N300" s="22"/>
      <c r="O300" s="27"/>
      <c r="P300" s="22"/>
      <c r="R300" s="22"/>
      <c r="S300" s="27"/>
    </row>
    <row r="301" spans="1:19" s="20" customFormat="1" x14ac:dyDescent="0.25">
      <c r="A301" s="26"/>
      <c r="B301" s="21"/>
      <c r="C301" s="21"/>
      <c r="D301" s="22"/>
      <c r="H301" s="22"/>
      <c r="J301" s="22"/>
      <c r="K301" s="27"/>
      <c r="L301" s="22"/>
      <c r="N301" s="22"/>
      <c r="O301" s="27"/>
      <c r="P301" s="22"/>
      <c r="R301" s="22"/>
      <c r="S301" s="27"/>
    </row>
    <row r="302" spans="1:19" s="20" customFormat="1" x14ac:dyDescent="0.25">
      <c r="A302" s="26"/>
      <c r="B302" s="21"/>
      <c r="C302" s="21"/>
      <c r="D302" s="22"/>
      <c r="H302" s="22"/>
      <c r="J302" s="22"/>
      <c r="K302" s="27"/>
      <c r="L302" s="22"/>
      <c r="N302" s="22"/>
      <c r="O302" s="27"/>
      <c r="P302" s="22"/>
      <c r="R302" s="22"/>
      <c r="S302" s="27"/>
    </row>
    <row r="303" spans="1:19" s="20" customFormat="1" x14ac:dyDescent="0.25">
      <c r="A303" s="26"/>
      <c r="B303" s="21"/>
      <c r="C303" s="21"/>
      <c r="D303" s="22"/>
      <c r="H303" s="22"/>
      <c r="J303" s="22"/>
      <c r="K303" s="27"/>
      <c r="L303" s="22"/>
      <c r="N303" s="22"/>
      <c r="O303" s="27"/>
      <c r="P303" s="22"/>
      <c r="R303" s="22"/>
      <c r="S303" s="27"/>
    </row>
    <row r="304" spans="1:19" s="20" customFormat="1" x14ac:dyDescent="0.25">
      <c r="A304" s="26"/>
      <c r="B304" s="21"/>
      <c r="C304" s="21"/>
      <c r="D304" s="22"/>
      <c r="H304" s="22"/>
      <c r="J304" s="22"/>
      <c r="K304" s="27"/>
      <c r="L304" s="22"/>
      <c r="N304" s="22"/>
      <c r="O304" s="27"/>
      <c r="P304" s="22"/>
      <c r="R304" s="22"/>
      <c r="S304" s="27"/>
    </row>
    <row r="305" spans="1:19" s="20" customFormat="1" x14ac:dyDescent="0.25">
      <c r="A305" s="26"/>
      <c r="B305" s="21"/>
      <c r="C305" s="21"/>
      <c r="D305" s="22"/>
      <c r="H305" s="22"/>
      <c r="J305" s="22"/>
      <c r="K305" s="27"/>
      <c r="L305" s="22"/>
      <c r="N305" s="22"/>
      <c r="O305" s="27"/>
      <c r="P305" s="22"/>
      <c r="R305" s="22"/>
      <c r="S305" s="27"/>
    </row>
    <row r="306" spans="1:19" s="20" customFormat="1" x14ac:dyDescent="0.25">
      <c r="A306" s="26"/>
      <c r="B306" s="21"/>
      <c r="C306" s="21"/>
      <c r="D306" s="22"/>
      <c r="H306" s="22"/>
      <c r="J306" s="22"/>
      <c r="K306" s="27"/>
      <c r="L306" s="22"/>
      <c r="N306" s="22"/>
      <c r="O306" s="27"/>
      <c r="P306" s="22"/>
      <c r="R306" s="22"/>
      <c r="S306" s="27"/>
    </row>
    <row r="307" spans="1:19" s="20" customFormat="1" x14ac:dyDescent="0.25">
      <c r="A307" s="26"/>
      <c r="B307" s="21"/>
      <c r="C307" s="21"/>
      <c r="D307" s="22"/>
      <c r="H307" s="22"/>
      <c r="J307" s="22"/>
      <c r="K307" s="27"/>
      <c r="L307" s="22"/>
      <c r="N307" s="22"/>
      <c r="O307" s="27"/>
      <c r="P307" s="22"/>
      <c r="R307" s="22"/>
      <c r="S307" s="27"/>
    </row>
    <row r="308" spans="1:19" s="20" customFormat="1" x14ac:dyDescent="0.25">
      <c r="A308" s="26"/>
      <c r="B308" s="21"/>
      <c r="C308" s="21"/>
      <c r="D308" s="22"/>
      <c r="H308" s="22"/>
      <c r="J308" s="22"/>
      <c r="K308" s="27"/>
      <c r="L308" s="22"/>
      <c r="N308" s="22"/>
      <c r="O308" s="27"/>
      <c r="P308" s="22"/>
      <c r="R308" s="22"/>
      <c r="S308" s="27"/>
    </row>
    <row r="309" spans="1:19" s="20" customFormat="1" x14ac:dyDescent="0.25">
      <c r="A309" s="26"/>
      <c r="B309" s="21"/>
      <c r="C309" s="21"/>
      <c r="D309" s="22"/>
      <c r="H309" s="22"/>
      <c r="J309" s="22"/>
      <c r="K309" s="27"/>
      <c r="L309" s="22"/>
      <c r="N309" s="22"/>
      <c r="O309" s="27"/>
      <c r="P309" s="22"/>
      <c r="R309" s="22"/>
      <c r="S309" s="27"/>
    </row>
    <row r="310" spans="1:19" s="20" customFormat="1" x14ac:dyDescent="0.25">
      <c r="A310" s="26"/>
      <c r="B310" s="21"/>
      <c r="C310" s="21"/>
      <c r="D310" s="22"/>
      <c r="H310" s="22"/>
      <c r="J310" s="22"/>
      <c r="K310" s="27"/>
      <c r="L310" s="22"/>
      <c r="N310" s="22"/>
      <c r="O310" s="27"/>
      <c r="P310" s="22"/>
      <c r="R310" s="22"/>
      <c r="S310" s="27"/>
    </row>
    <row r="311" spans="1:19" s="20" customFormat="1" x14ac:dyDescent="0.25">
      <c r="A311" s="26"/>
      <c r="B311" s="21"/>
      <c r="C311" s="21"/>
      <c r="D311" s="22"/>
      <c r="H311" s="22"/>
      <c r="J311" s="22"/>
      <c r="K311" s="27"/>
      <c r="L311" s="22"/>
      <c r="N311" s="22"/>
      <c r="O311" s="27"/>
      <c r="P311" s="22"/>
      <c r="R311" s="22"/>
      <c r="S311" s="27"/>
    </row>
    <row r="312" spans="1:19" s="20" customFormat="1" x14ac:dyDescent="0.25">
      <c r="A312" s="26"/>
      <c r="B312" s="21"/>
      <c r="C312" s="21"/>
      <c r="D312" s="22"/>
      <c r="H312" s="22"/>
      <c r="J312" s="22"/>
      <c r="K312" s="27"/>
      <c r="L312" s="22"/>
      <c r="N312" s="22"/>
      <c r="O312" s="27"/>
      <c r="P312" s="22"/>
      <c r="R312" s="22"/>
      <c r="S312" s="27"/>
    </row>
    <row r="313" spans="1:19" s="20" customFormat="1" x14ac:dyDescent="0.25">
      <c r="A313" s="26"/>
      <c r="B313" s="21"/>
      <c r="C313" s="21"/>
      <c r="D313" s="22"/>
      <c r="H313" s="22"/>
      <c r="J313" s="22"/>
      <c r="K313" s="27"/>
      <c r="L313" s="22"/>
      <c r="N313" s="22"/>
      <c r="O313" s="27"/>
      <c r="P313" s="22"/>
      <c r="R313" s="22"/>
      <c r="S313" s="27"/>
    </row>
    <row r="314" spans="1:19" s="20" customFormat="1" x14ac:dyDescent="0.25">
      <c r="A314" s="26"/>
      <c r="B314" s="21"/>
      <c r="C314" s="21"/>
      <c r="D314" s="22"/>
      <c r="H314" s="22"/>
      <c r="J314" s="22"/>
      <c r="K314" s="27"/>
      <c r="L314" s="22"/>
      <c r="N314" s="22"/>
      <c r="O314" s="27"/>
      <c r="P314" s="22"/>
      <c r="R314" s="22"/>
      <c r="S314" s="27"/>
    </row>
    <row r="315" spans="1:19" s="20" customFormat="1" x14ac:dyDescent="0.25">
      <c r="A315" s="26"/>
      <c r="B315" s="21"/>
      <c r="C315" s="21"/>
      <c r="D315" s="22"/>
      <c r="H315" s="22"/>
      <c r="J315" s="22"/>
      <c r="K315" s="27"/>
      <c r="L315" s="22"/>
      <c r="N315" s="22"/>
      <c r="O315" s="27"/>
      <c r="P315" s="22"/>
      <c r="R315" s="22"/>
      <c r="S315" s="27"/>
    </row>
    <row r="316" spans="1:19" s="20" customFormat="1" x14ac:dyDescent="0.25">
      <c r="A316" s="26"/>
      <c r="B316" s="21"/>
      <c r="C316" s="21"/>
      <c r="D316" s="22"/>
      <c r="H316" s="22"/>
      <c r="J316" s="22"/>
      <c r="K316" s="27"/>
      <c r="L316" s="22"/>
      <c r="N316" s="22"/>
      <c r="O316" s="27"/>
      <c r="P316" s="22"/>
      <c r="R316" s="22"/>
      <c r="S316" s="27"/>
    </row>
    <row r="317" spans="1:19" s="20" customFormat="1" x14ac:dyDescent="0.25">
      <c r="A317" s="26"/>
      <c r="B317" s="21"/>
      <c r="C317" s="21"/>
      <c r="D317" s="22"/>
      <c r="H317" s="22"/>
      <c r="J317" s="22"/>
      <c r="K317" s="27"/>
      <c r="L317" s="22"/>
      <c r="N317" s="22"/>
      <c r="O317" s="27"/>
      <c r="P317" s="22"/>
      <c r="R317" s="22"/>
      <c r="S317" s="27"/>
    </row>
    <row r="318" spans="1:19" s="20" customFormat="1" x14ac:dyDescent="0.25">
      <c r="A318" s="26"/>
      <c r="B318" s="21"/>
      <c r="C318" s="21"/>
      <c r="D318" s="22"/>
      <c r="H318" s="22"/>
      <c r="J318" s="22"/>
      <c r="K318" s="27"/>
      <c r="L318" s="22"/>
      <c r="N318" s="22"/>
      <c r="O318" s="27"/>
      <c r="P318" s="22"/>
      <c r="R318" s="22"/>
      <c r="S318" s="27"/>
    </row>
    <row r="319" spans="1:19" s="20" customFormat="1" x14ac:dyDescent="0.25">
      <c r="A319" s="26"/>
      <c r="B319" s="21"/>
      <c r="C319" s="21"/>
      <c r="D319" s="22"/>
      <c r="H319" s="22"/>
      <c r="J319" s="22"/>
      <c r="K319" s="27"/>
      <c r="L319" s="22"/>
      <c r="N319" s="22"/>
      <c r="O319" s="27"/>
      <c r="P319" s="22"/>
      <c r="R319" s="22"/>
      <c r="S319" s="27"/>
    </row>
    <row r="320" spans="1:19" s="20" customFormat="1" x14ac:dyDescent="0.25">
      <c r="A320" s="26"/>
      <c r="B320" s="21"/>
      <c r="C320" s="21"/>
      <c r="D320" s="22"/>
      <c r="H320" s="22"/>
      <c r="J320" s="22"/>
      <c r="K320" s="27"/>
      <c r="L320" s="22"/>
      <c r="N320" s="22"/>
      <c r="O320" s="27"/>
      <c r="P320" s="22"/>
      <c r="R320" s="22"/>
      <c r="S320" s="27"/>
    </row>
    <row r="321" spans="1:19" s="20" customFormat="1" x14ac:dyDescent="0.25">
      <c r="A321" s="26"/>
      <c r="B321" s="21"/>
      <c r="C321" s="21"/>
      <c r="D321" s="22"/>
      <c r="H321" s="22"/>
      <c r="J321" s="22"/>
      <c r="K321" s="27"/>
      <c r="L321" s="22"/>
      <c r="N321" s="22"/>
      <c r="O321" s="27"/>
      <c r="P321" s="22"/>
      <c r="R321" s="22"/>
      <c r="S321" s="27"/>
    </row>
    <row r="322" spans="1:19" s="20" customFormat="1" x14ac:dyDescent="0.25">
      <c r="A322" s="26"/>
      <c r="B322" s="21"/>
      <c r="C322" s="21"/>
      <c r="D322" s="22"/>
      <c r="H322" s="22"/>
      <c r="J322" s="22"/>
      <c r="K322" s="27"/>
      <c r="L322" s="22"/>
      <c r="N322" s="22"/>
      <c r="O322" s="27"/>
      <c r="P322" s="22"/>
      <c r="R322" s="22"/>
      <c r="S322" s="27"/>
    </row>
    <row r="323" spans="1:19" s="20" customFormat="1" x14ac:dyDescent="0.25">
      <c r="A323" s="26"/>
      <c r="B323" s="21"/>
      <c r="C323" s="21"/>
      <c r="D323" s="22"/>
      <c r="H323" s="22"/>
      <c r="J323" s="22"/>
      <c r="K323" s="27"/>
      <c r="L323" s="22"/>
      <c r="N323" s="22"/>
      <c r="O323" s="27"/>
      <c r="P323" s="22"/>
      <c r="R323" s="22"/>
      <c r="S323" s="27"/>
    </row>
    <row r="324" spans="1:19" s="20" customFormat="1" x14ac:dyDescent="0.25">
      <c r="A324" s="26"/>
      <c r="B324" s="21"/>
      <c r="C324" s="21"/>
      <c r="D324" s="22"/>
      <c r="H324" s="22"/>
      <c r="J324" s="22"/>
      <c r="K324" s="27"/>
      <c r="L324" s="22"/>
      <c r="N324" s="22"/>
      <c r="O324" s="27"/>
      <c r="P324" s="22"/>
      <c r="R324" s="22"/>
      <c r="S324" s="27"/>
    </row>
    <row r="325" spans="1:19" s="20" customFormat="1" x14ac:dyDescent="0.25">
      <c r="A325" s="26"/>
      <c r="B325" s="21"/>
      <c r="C325" s="21"/>
      <c r="D325" s="22"/>
      <c r="H325" s="22"/>
      <c r="J325" s="22"/>
      <c r="K325" s="27"/>
      <c r="L325" s="22"/>
      <c r="N325" s="22"/>
      <c r="O325" s="27"/>
      <c r="P325" s="22"/>
      <c r="R325" s="22"/>
      <c r="S325" s="27"/>
    </row>
    <row r="326" spans="1:19" s="20" customFormat="1" x14ac:dyDescent="0.25">
      <c r="A326" s="26"/>
      <c r="B326" s="21"/>
      <c r="C326" s="21"/>
      <c r="D326" s="22"/>
      <c r="H326" s="22"/>
      <c r="J326" s="22"/>
      <c r="K326" s="27"/>
      <c r="L326" s="22"/>
      <c r="N326" s="22"/>
      <c r="O326" s="27"/>
      <c r="P326" s="22"/>
      <c r="R326" s="22"/>
      <c r="S326" s="27"/>
    </row>
    <row r="327" spans="1:19" s="20" customFormat="1" x14ac:dyDescent="0.25">
      <c r="A327" s="26"/>
      <c r="B327" s="21"/>
      <c r="C327" s="21"/>
      <c r="D327" s="22"/>
      <c r="H327" s="22"/>
      <c r="J327" s="22"/>
      <c r="K327" s="27"/>
      <c r="L327" s="22"/>
      <c r="N327" s="22"/>
      <c r="O327" s="27"/>
      <c r="P327" s="22"/>
      <c r="R327" s="22"/>
      <c r="S327" s="27"/>
    </row>
    <row r="328" spans="1:19" s="20" customFormat="1" x14ac:dyDescent="0.25">
      <c r="A328" s="26"/>
      <c r="B328" s="21"/>
      <c r="C328" s="21"/>
      <c r="D328" s="22"/>
      <c r="H328" s="22"/>
      <c r="J328" s="22"/>
      <c r="K328" s="27"/>
      <c r="L328" s="22"/>
      <c r="N328" s="22"/>
      <c r="O328" s="27"/>
      <c r="P328" s="22"/>
      <c r="R328" s="22"/>
      <c r="S328" s="27"/>
    </row>
    <row r="329" spans="1:19" s="20" customFormat="1" x14ac:dyDescent="0.25">
      <c r="A329" s="26"/>
      <c r="B329" s="21"/>
      <c r="C329" s="21"/>
      <c r="D329" s="22"/>
      <c r="H329" s="22"/>
      <c r="J329" s="22"/>
      <c r="K329" s="27"/>
      <c r="L329" s="22"/>
      <c r="N329" s="22"/>
      <c r="O329" s="27"/>
      <c r="P329" s="22"/>
      <c r="R329" s="22"/>
      <c r="S329" s="27"/>
    </row>
    <row r="330" spans="1:19" s="20" customFormat="1" x14ac:dyDescent="0.25">
      <c r="A330" s="26"/>
      <c r="B330" s="21"/>
      <c r="C330" s="21"/>
      <c r="D330" s="22"/>
      <c r="H330" s="22"/>
      <c r="J330" s="22"/>
      <c r="K330" s="27"/>
      <c r="L330" s="22"/>
      <c r="N330" s="22"/>
      <c r="O330" s="27"/>
      <c r="P330" s="22"/>
      <c r="R330" s="22"/>
      <c r="S330" s="27"/>
    </row>
    <row r="331" spans="1:19" s="20" customFormat="1" x14ac:dyDescent="0.25">
      <c r="A331" s="26"/>
      <c r="B331" s="21"/>
      <c r="C331" s="21"/>
      <c r="D331" s="22"/>
      <c r="H331" s="22"/>
      <c r="J331" s="22"/>
      <c r="K331" s="27"/>
      <c r="L331" s="22"/>
      <c r="N331" s="22"/>
      <c r="O331" s="27"/>
      <c r="P331" s="22"/>
      <c r="R331" s="22"/>
      <c r="S331" s="27"/>
    </row>
    <row r="332" spans="1:19" s="20" customFormat="1" x14ac:dyDescent="0.25">
      <c r="A332" s="26"/>
      <c r="B332" s="21"/>
      <c r="C332" s="21"/>
      <c r="D332" s="22"/>
      <c r="H332" s="22"/>
      <c r="J332" s="22"/>
      <c r="K332" s="27"/>
      <c r="L332" s="22"/>
      <c r="N332" s="22"/>
      <c r="O332" s="27"/>
      <c r="P332" s="22"/>
      <c r="R332" s="22"/>
      <c r="S332" s="27"/>
    </row>
    <row r="333" spans="1:19" s="20" customFormat="1" x14ac:dyDescent="0.25">
      <c r="A333" s="26"/>
      <c r="B333" s="21"/>
      <c r="C333" s="21"/>
      <c r="D333" s="22"/>
      <c r="H333" s="22"/>
      <c r="J333" s="22"/>
      <c r="K333" s="27"/>
      <c r="L333" s="22"/>
      <c r="N333" s="22"/>
      <c r="O333" s="27"/>
      <c r="P333" s="22"/>
      <c r="R333" s="22"/>
      <c r="S333" s="27"/>
    </row>
    <row r="334" spans="1:19" s="20" customFormat="1" x14ac:dyDescent="0.25">
      <c r="A334" s="26"/>
      <c r="B334" s="21"/>
      <c r="C334" s="21"/>
      <c r="D334" s="22"/>
      <c r="H334" s="22"/>
      <c r="J334" s="22"/>
      <c r="K334" s="27"/>
      <c r="L334" s="22"/>
      <c r="N334" s="22"/>
      <c r="O334" s="27"/>
      <c r="P334" s="22"/>
      <c r="R334" s="22"/>
      <c r="S334" s="27"/>
    </row>
    <row r="335" spans="1:19" s="20" customFormat="1" x14ac:dyDescent="0.25">
      <c r="A335" s="26"/>
      <c r="B335" s="21"/>
      <c r="C335" s="21"/>
      <c r="D335" s="22"/>
      <c r="H335" s="22"/>
      <c r="J335" s="22"/>
      <c r="K335" s="27"/>
      <c r="L335" s="22"/>
      <c r="N335" s="22"/>
      <c r="O335" s="27"/>
      <c r="P335" s="22"/>
      <c r="R335" s="22"/>
      <c r="S335" s="27"/>
    </row>
    <row r="336" spans="1:19" s="20" customFormat="1" x14ac:dyDescent="0.25">
      <c r="A336" s="26"/>
      <c r="B336" s="21"/>
      <c r="C336" s="21"/>
      <c r="D336" s="22"/>
      <c r="H336" s="22"/>
      <c r="J336" s="22"/>
      <c r="K336" s="27"/>
      <c r="L336" s="22"/>
      <c r="N336" s="22"/>
      <c r="O336" s="27"/>
      <c r="P336" s="22"/>
      <c r="R336" s="22"/>
      <c r="S336" s="27"/>
    </row>
    <row r="337" spans="1:19" s="20" customFormat="1" x14ac:dyDescent="0.25">
      <c r="A337" s="26"/>
      <c r="B337" s="21"/>
      <c r="C337" s="21"/>
      <c r="D337" s="22"/>
      <c r="H337" s="22"/>
      <c r="J337" s="22"/>
      <c r="K337" s="27"/>
      <c r="L337" s="22"/>
      <c r="N337" s="22"/>
      <c r="O337" s="27"/>
      <c r="P337" s="22"/>
      <c r="R337" s="22"/>
      <c r="S337" s="27"/>
    </row>
    <row r="338" spans="1:19" s="20" customFormat="1" x14ac:dyDescent="0.25">
      <c r="A338" s="26"/>
      <c r="B338" s="21"/>
      <c r="C338" s="21"/>
      <c r="D338" s="22"/>
      <c r="H338" s="22"/>
      <c r="J338" s="22"/>
      <c r="K338" s="27"/>
      <c r="L338" s="22"/>
      <c r="N338" s="22"/>
      <c r="O338" s="27"/>
      <c r="P338" s="22"/>
      <c r="R338" s="22"/>
      <c r="S338" s="27"/>
    </row>
    <row r="339" spans="1:19" s="20" customFormat="1" x14ac:dyDescent="0.25">
      <c r="A339" s="26"/>
      <c r="B339" s="21"/>
      <c r="C339" s="21"/>
      <c r="D339" s="22"/>
      <c r="H339" s="22"/>
      <c r="J339" s="22"/>
      <c r="K339" s="27"/>
      <c r="L339" s="22"/>
      <c r="N339" s="22"/>
      <c r="O339" s="27"/>
      <c r="P339" s="22"/>
      <c r="R339" s="22"/>
      <c r="S339" s="27"/>
    </row>
    <row r="340" spans="1:19" s="20" customFormat="1" x14ac:dyDescent="0.25">
      <c r="A340" s="26"/>
      <c r="B340" s="21"/>
      <c r="C340" s="21"/>
      <c r="D340" s="22"/>
      <c r="H340" s="22"/>
      <c r="J340" s="22"/>
      <c r="K340" s="27"/>
      <c r="L340" s="22"/>
      <c r="N340" s="22"/>
      <c r="O340" s="27"/>
      <c r="P340" s="22"/>
      <c r="R340" s="22"/>
      <c r="S340" s="27"/>
    </row>
    <row r="341" spans="1:19" s="20" customFormat="1" x14ac:dyDescent="0.25">
      <c r="A341" s="26"/>
      <c r="B341" s="21"/>
      <c r="C341" s="21"/>
      <c r="D341" s="22"/>
      <c r="H341" s="22"/>
      <c r="J341" s="22"/>
      <c r="K341" s="27"/>
      <c r="L341" s="22"/>
      <c r="N341" s="22"/>
      <c r="O341" s="27"/>
      <c r="P341" s="22"/>
      <c r="R341" s="22"/>
      <c r="S341" s="27"/>
    </row>
    <row r="342" spans="1:19" s="20" customFormat="1" x14ac:dyDescent="0.25">
      <c r="A342" s="26"/>
      <c r="B342" s="21"/>
      <c r="C342" s="21"/>
      <c r="D342" s="22"/>
      <c r="H342" s="22"/>
      <c r="J342" s="22"/>
      <c r="K342" s="27"/>
      <c r="L342" s="22"/>
      <c r="N342" s="22"/>
      <c r="O342" s="27"/>
      <c r="P342" s="22"/>
      <c r="R342" s="22"/>
      <c r="S342" s="27"/>
    </row>
    <row r="343" spans="1:19" s="20" customFormat="1" x14ac:dyDescent="0.25">
      <c r="A343" s="26"/>
      <c r="B343" s="21"/>
      <c r="C343" s="21"/>
      <c r="D343" s="22"/>
      <c r="H343" s="22"/>
      <c r="J343" s="22"/>
      <c r="K343" s="27"/>
      <c r="L343" s="22"/>
      <c r="N343" s="22"/>
      <c r="O343" s="27"/>
      <c r="P343" s="22"/>
      <c r="R343" s="22"/>
      <c r="S343" s="27"/>
    </row>
    <row r="344" spans="1:19" s="20" customFormat="1" x14ac:dyDescent="0.25">
      <c r="A344" s="26"/>
      <c r="B344" s="21"/>
      <c r="C344" s="21"/>
      <c r="D344" s="22"/>
      <c r="H344" s="22"/>
      <c r="J344" s="22"/>
      <c r="K344" s="27"/>
      <c r="L344" s="22"/>
      <c r="N344" s="22"/>
      <c r="O344" s="27"/>
      <c r="P344" s="22"/>
      <c r="R344" s="22"/>
      <c r="S344" s="27"/>
    </row>
    <row r="345" spans="1:19" s="20" customFormat="1" x14ac:dyDescent="0.25">
      <c r="A345" s="26"/>
      <c r="B345" s="21"/>
      <c r="C345" s="21"/>
      <c r="D345" s="22"/>
      <c r="H345" s="22"/>
      <c r="J345" s="22"/>
      <c r="K345" s="27"/>
      <c r="L345" s="22"/>
      <c r="N345" s="22"/>
      <c r="O345" s="27"/>
      <c r="P345" s="22"/>
      <c r="R345" s="22"/>
      <c r="S345" s="27"/>
    </row>
    <row r="346" spans="1:19" s="20" customFormat="1" x14ac:dyDescent="0.25">
      <c r="A346" s="26"/>
      <c r="B346" s="21"/>
      <c r="C346" s="21"/>
      <c r="D346" s="22"/>
      <c r="H346" s="22"/>
      <c r="J346" s="22"/>
      <c r="K346" s="27"/>
      <c r="L346" s="22"/>
      <c r="N346" s="22"/>
      <c r="O346" s="27"/>
      <c r="P346" s="22"/>
      <c r="R346" s="22"/>
      <c r="S346" s="27"/>
    </row>
    <row r="347" spans="1:19" s="20" customFormat="1" x14ac:dyDescent="0.25">
      <c r="A347" s="26"/>
      <c r="B347" s="21"/>
      <c r="C347" s="21"/>
      <c r="D347" s="22"/>
      <c r="H347" s="22"/>
      <c r="J347" s="22"/>
      <c r="K347" s="27"/>
      <c r="L347" s="22"/>
      <c r="N347" s="22"/>
      <c r="O347" s="27"/>
      <c r="P347" s="22"/>
      <c r="R347" s="22"/>
      <c r="S347" s="27"/>
    </row>
    <row r="348" spans="1:19" s="20" customFormat="1" x14ac:dyDescent="0.25">
      <c r="A348" s="26"/>
      <c r="B348" s="21"/>
      <c r="C348" s="21"/>
      <c r="D348" s="22"/>
      <c r="H348" s="22"/>
      <c r="J348" s="22"/>
      <c r="K348" s="27"/>
      <c r="L348" s="22"/>
      <c r="N348" s="22"/>
      <c r="O348" s="27"/>
      <c r="P348" s="22"/>
      <c r="R348" s="22"/>
      <c r="S348" s="27"/>
    </row>
    <row r="349" spans="1:19" s="20" customFormat="1" x14ac:dyDescent="0.25">
      <c r="A349" s="26"/>
      <c r="B349" s="21"/>
      <c r="C349" s="21"/>
      <c r="D349" s="22"/>
      <c r="H349" s="22"/>
      <c r="J349" s="22"/>
      <c r="K349" s="27"/>
      <c r="L349" s="22"/>
      <c r="N349" s="22"/>
      <c r="O349" s="27"/>
      <c r="P349" s="22"/>
      <c r="R349" s="22"/>
      <c r="S349" s="27"/>
    </row>
    <row r="350" spans="1:19" s="20" customFormat="1" x14ac:dyDescent="0.25">
      <c r="A350" s="26"/>
      <c r="B350" s="21"/>
      <c r="C350" s="21"/>
      <c r="D350" s="22"/>
      <c r="H350" s="22"/>
      <c r="J350" s="22"/>
      <c r="K350" s="27"/>
      <c r="L350" s="22"/>
      <c r="N350" s="22"/>
      <c r="O350" s="27"/>
      <c r="P350" s="22"/>
      <c r="R350" s="22"/>
      <c r="S350" s="27"/>
    </row>
    <row r="351" spans="1:19" s="20" customFormat="1" x14ac:dyDescent="0.25">
      <c r="A351" s="26"/>
      <c r="B351" s="21"/>
      <c r="C351" s="21"/>
      <c r="D351" s="22"/>
      <c r="H351" s="22"/>
      <c r="J351" s="22"/>
      <c r="K351" s="27"/>
      <c r="L351" s="22"/>
      <c r="N351" s="22"/>
      <c r="O351" s="27"/>
      <c r="P351" s="22"/>
      <c r="R351" s="22"/>
      <c r="S351" s="27"/>
    </row>
    <row r="352" spans="1:19" s="20" customFormat="1" x14ac:dyDescent="0.25">
      <c r="A352" s="26"/>
      <c r="B352" s="21"/>
      <c r="C352" s="21"/>
      <c r="D352" s="22"/>
      <c r="H352" s="22"/>
      <c r="J352" s="22"/>
      <c r="K352" s="27"/>
      <c r="L352" s="22"/>
      <c r="N352" s="22"/>
      <c r="O352" s="27"/>
      <c r="P352" s="22"/>
      <c r="R352" s="22"/>
      <c r="S352" s="27"/>
    </row>
    <row r="353" spans="1:19" s="20" customFormat="1" x14ac:dyDescent="0.25">
      <c r="A353" s="26"/>
      <c r="B353" s="21"/>
      <c r="C353" s="21"/>
      <c r="D353" s="22"/>
      <c r="H353" s="22"/>
      <c r="J353" s="22"/>
      <c r="K353" s="27"/>
      <c r="L353" s="22"/>
      <c r="N353" s="22"/>
      <c r="O353" s="27"/>
      <c r="P353" s="22"/>
      <c r="R353" s="22"/>
      <c r="S353" s="27"/>
    </row>
    <row r="354" spans="1:19" s="20" customFormat="1" x14ac:dyDescent="0.25">
      <c r="A354" s="26"/>
      <c r="B354" s="21"/>
      <c r="C354" s="21"/>
      <c r="D354" s="22"/>
      <c r="H354" s="22"/>
      <c r="J354" s="22"/>
      <c r="K354" s="27"/>
      <c r="L354" s="22"/>
      <c r="N354" s="22"/>
      <c r="O354" s="27"/>
      <c r="P354" s="22"/>
      <c r="R354" s="22"/>
      <c r="S354" s="27"/>
    </row>
    <row r="355" spans="1:19" s="20" customFormat="1" x14ac:dyDescent="0.25">
      <c r="A355" s="26"/>
      <c r="B355" s="21"/>
      <c r="C355" s="21"/>
      <c r="D355" s="22"/>
      <c r="H355" s="22"/>
      <c r="J355" s="22"/>
      <c r="K355" s="27"/>
      <c r="L355" s="22"/>
      <c r="N355" s="22"/>
      <c r="O355" s="27"/>
      <c r="P355" s="22"/>
      <c r="R355" s="22"/>
      <c r="S355" s="27"/>
    </row>
    <row r="356" spans="1:19" s="20" customFormat="1" x14ac:dyDescent="0.25">
      <c r="A356" s="26"/>
      <c r="B356" s="21"/>
      <c r="C356" s="21"/>
      <c r="D356" s="22"/>
      <c r="H356" s="22"/>
      <c r="J356" s="22"/>
      <c r="K356" s="27"/>
      <c r="L356" s="22"/>
      <c r="N356" s="22"/>
      <c r="O356" s="27"/>
      <c r="P356" s="22"/>
      <c r="R356" s="22"/>
      <c r="S356" s="27"/>
    </row>
    <row r="357" spans="1:19" s="20" customFormat="1" x14ac:dyDescent="0.25">
      <c r="A357" s="26"/>
      <c r="B357" s="21"/>
      <c r="C357" s="21"/>
      <c r="D357" s="22"/>
      <c r="H357" s="22"/>
      <c r="J357" s="22"/>
      <c r="K357" s="27"/>
      <c r="L357" s="22"/>
      <c r="N357" s="22"/>
      <c r="O357" s="27"/>
      <c r="P357" s="22"/>
      <c r="R357" s="22"/>
      <c r="S357" s="27"/>
    </row>
    <row r="358" spans="1:19" s="20" customFormat="1" x14ac:dyDescent="0.25">
      <c r="A358" s="26"/>
      <c r="B358" s="21"/>
      <c r="C358" s="21"/>
      <c r="D358" s="22"/>
      <c r="H358" s="22"/>
      <c r="J358" s="22"/>
      <c r="K358" s="27"/>
      <c r="L358" s="22"/>
      <c r="N358" s="22"/>
      <c r="O358" s="27"/>
      <c r="P358" s="22"/>
      <c r="R358" s="22"/>
      <c r="S358" s="27"/>
    </row>
    <row r="359" spans="1:19" s="20" customFormat="1" x14ac:dyDescent="0.25">
      <c r="A359" s="26"/>
      <c r="B359" s="21"/>
      <c r="C359" s="21"/>
      <c r="D359" s="22"/>
      <c r="H359" s="22"/>
      <c r="J359" s="22"/>
      <c r="K359" s="27"/>
      <c r="L359" s="22"/>
      <c r="N359" s="22"/>
      <c r="O359" s="27"/>
      <c r="P359" s="22"/>
      <c r="R359" s="22"/>
      <c r="S359" s="27"/>
    </row>
    <row r="360" spans="1:19" s="20" customFormat="1" x14ac:dyDescent="0.25">
      <c r="A360" s="26"/>
      <c r="B360" s="21"/>
      <c r="C360" s="21"/>
      <c r="D360" s="22"/>
      <c r="H360" s="22"/>
      <c r="J360" s="22"/>
      <c r="K360" s="27"/>
      <c r="L360" s="22"/>
      <c r="N360" s="22"/>
      <c r="O360" s="27"/>
      <c r="P360" s="22"/>
      <c r="R360" s="22"/>
      <c r="S360" s="27"/>
    </row>
    <row r="361" spans="1:19" s="20" customFormat="1" x14ac:dyDescent="0.25">
      <c r="A361" s="26"/>
      <c r="B361" s="21"/>
      <c r="C361" s="21"/>
      <c r="D361" s="22"/>
      <c r="H361" s="22"/>
      <c r="J361" s="22"/>
      <c r="K361" s="27"/>
      <c r="L361" s="22"/>
      <c r="N361" s="22"/>
      <c r="O361" s="27"/>
      <c r="P361" s="22"/>
      <c r="R361" s="22"/>
      <c r="S361" s="27"/>
    </row>
    <row r="362" spans="1:19" s="20" customFormat="1" x14ac:dyDescent="0.25">
      <c r="A362" s="26"/>
      <c r="B362" s="21"/>
      <c r="C362" s="21"/>
      <c r="D362" s="22"/>
      <c r="H362" s="22"/>
      <c r="J362" s="22"/>
      <c r="K362" s="27"/>
      <c r="L362" s="22"/>
      <c r="N362" s="22"/>
      <c r="O362" s="27"/>
      <c r="P362" s="22"/>
      <c r="R362" s="22"/>
      <c r="S362" s="27"/>
    </row>
    <row r="363" spans="1:19" s="20" customFormat="1" x14ac:dyDescent="0.25">
      <c r="A363" s="26"/>
      <c r="B363" s="21"/>
      <c r="C363" s="21"/>
      <c r="D363" s="22"/>
      <c r="H363" s="22"/>
      <c r="J363" s="22"/>
      <c r="K363" s="27"/>
      <c r="L363" s="22"/>
      <c r="N363" s="22"/>
      <c r="O363" s="27"/>
      <c r="P363" s="22"/>
      <c r="R363" s="22"/>
      <c r="S363" s="27"/>
    </row>
    <row r="364" spans="1:19" s="20" customFormat="1" x14ac:dyDescent="0.25">
      <c r="A364" s="26"/>
      <c r="B364" s="21"/>
      <c r="C364" s="21"/>
      <c r="D364" s="22"/>
      <c r="H364" s="22"/>
      <c r="J364" s="22"/>
      <c r="K364" s="27"/>
      <c r="L364" s="22"/>
      <c r="N364" s="22"/>
      <c r="O364" s="27"/>
      <c r="P364" s="22"/>
      <c r="R364" s="22"/>
      <c r="S364" s="27"/>
    </row>
    <row r="365" spans="1:19" s="20" customFormat="1" x14ac:dyDescent="0.25">
      <c r="A365" s="26"/>
      <c r="B365" s="21"/>
      <c r="C365" s="21"/>
      <c r="D365" s="22"/>
      <c r="H365" s="22"/>
      <c r="J365" s="22"/>
      <c r="K365" s="27"/>
      <c r="L365" s="22"/>
      <c r="N365" s="22"/>
      <c r="O365" s="27"/>
      <c r="P365" s="22"/>
      <c r="R365" s="22"/>
      <c r="S365" s="27"/>
    </row>
    <row r="366" spans="1:19" s="20" customFormat="1" x14ac:dyDescent="0.25">
      <c r="A366" s="26"/>
      <c r="B366" s="21"/>
      <c r="C366" s="21"/>
      <c r="D366" s="22"/>
      <c r="H366" s="22"/>
      <c r="J366" s="22"/>
      <c r="K366" s="27"/>
      <c r="L366" s="22"/>
      <c r="N366" s="22"/>
      <c r="O366" s="27"/>
      <c r="P366" s="22"/>
      <c r="R366" s="22"/>
      <c r="S366" s="27"/>
    </row>
    <row r="367" spans="1:19" s="20" customFormat="1" x14ac:dyDescent="0.25">
      <c r="A367" s="26"/>
      <c r="B367" s="21"/>
      <c r="C367" s="21"/>
      <c r="D367" s="22"/>
      <c r="H367" s="22"/>
      <c r="J367" s="22"/>
      <c r="K367" s="27"/>
      <c r="L367" s="22"/>
      <c r="N367" s="22"/>
      <c r="O367" s="27"/>
      <c r="P367" s="22"/>
      <c r="R367" s="22"/>
      <c r="S367" s="27"/>
    </row>
    <row r="368" spans="1:19" s="20" customFormat="1" x14ac:dyDescent="0.25">
      <c r="A368" s="26"/>
      <c r="B368" s="21"/>
      <c r="C368" s="21"/>
      <c r="D368" s="22"/>
      <c r="H368" s="22"/>
      <c r="J368" s="22"/>
      <c r="K368" s="27"/>
      <c r="L368" s="22"/>
      <c r="N368" s="22"/>
      <c r="O368" s="27"/>
      <c r="P368" s="22"/>
      <c r="R368" s="22"/>
      <c r="S368" s="27"/>
    </row>
    <row r="369" spans="1:19" s="20" customFormat="1" x14ac:dyDescent="0.25">
      <c r="A369" s="26"/>
      <c r="B369" s="21"/>
      <c r="C369" s="21"/>
      <c r="D369" s="22"/>
      <c r="H369" s="22"/>
      <c r="J369" s="22"/>
      <c r="K369" s="27"/>
      <c r="L369" s="22"/>
      <c r="N369" s="22"/>
      <c r="O369" s="27"/>
      <c r="P369" s="22"/>
      <c r="R369" s="22"/>
      <c r="S369" s="27"/>
    </row>
    <row r="370" spans="1:19" s="20" customFormat="1" x14ac:dyDescent="0.25">
      <c r="A370" s="26"/>
      <c r="B370" s="21"/>
      <c r="C370" s="21"/>
      <c r="D370" s="22"/>
      <c r="H370" s="22"/>
      <c r="J370" s="22"/>
      <c r="K370" s="27"/>
      <c r="L370" s="22"/>
      <c r="N370" s="22"/>
      <c r="O370" s="27"/>
      <c r="P370" s="22"/>
      <c r="R370" s="22"/>
      <c r="S370" s="27"/>
    </row>
    <row r="371" spans="1:19" s="20" customFormat="1" x14ac:dyDescent="0.25">
      <c r="A371" s="26"/>
      <c r="B371" s="21"/>
      <c r="C371" s="21"/>
      <c r="D371" s="22"/>
      <c r="H371" s="22"/>
      <c r="J371" s="22"/>
      <c r="K371" s="27"/>
      <c r="L371" s="22"/>
      <c r="N371" s="22"/>
      <c r="O371" s="27"/>
      <c r="P371" s="22"/>
      <c r="R371" s="22"/>
      <c r="S371" s="27"/>
    </row>
    <row r="372" spans="1:19" s="20" customFormat="1" x14ac:dyDescent="0.25">
      <c r="A372" s="26"/>
      <c r="B372" s="21"/>
      <c r="C372" s="21"/>
      <c r="D372" s="22"/>
      <c r="H372" s="22"/>
      <c r="J372" s="22"/>
      <c r="K372" s="27"/>
      <c r="L372" s="22"/>
      <c r="N372" s="22"/>
      <c r="O372" s="27"/>
      <c r="P372" s="22"/>
      <c r="R372" s="22"/>
      <c r="S372" s="27"/>
    </row>
    <row r="373" spans="1:19" s="20" customFormat="1" x14ac:dyDescent="0.25">
      <c r="A373" s="26"/>
      <c r="B373" s="21"/>
      <c r="C373" s="21"/>
      <c r="D373" s="22"/>
      <c r="H373" s="22"/>
      <c r="J373" s="22"/>
      <c r="K373" s="27"/>
      <c r="L373" s="22"/>
      <c r="N373" s="22"/>
      <c r="O373" s="27"/>
      <c r="P373" s="22"/>
      <c r="R373" s="22"/>
      <c r="S373" s="27"/>
    </row>
    <row r="374" spans="1:19" s="20" customFormat="1" x14ac:dyDescent="0.25">
      <c r="A374" s="26"/>
      <c r="B374" s="21"/>
      <c r="C374" s="21"/>
      <c r="D374" s="22"/>
      <c r="H374" s="22"/>
      <c r="J374" s="22"/>
      <c r="K374" s="27"/>
      <c r="L374" s="22"/>
      <c r="N374" s="22"/>
      <c r="O374" s="27"/>
      <c r="P374" s="22"/>
      <c r="R374" s="22"/>
      <c r="S374" s="27"/>
    </row>
    <row r="375" spans="1:19" s="20" customFormat="1" x14ac:dyDescent="0.25">
      <c r="A375" s="26"/>
      <c r="B375" s="21"/>
      <c r="C375" s="21"/>
      <c r="D375" s="22"/>
      <c r="H375" s="22"/>
      <c r="J375" s="22"/>
      <c r="K375" s="27"/>
      <c r="L375" s="22"/>
      <c r="N375" s="22"/>
      <c r="O375" s="27"/>
      <c r="P375" s="22"/>
      <c r="R375" s="22"/>
      <c r="S375" s="27"/>
    </row>
    <row r="376" spans="1:19" s="20" customFormat="1" x14ac:dyDescent="0.25">
      <c r="A376" s="26"/>
      <c r="B376" s="21"/>
      <c r="C376" s="21"/>
      <c r="D376" s="22"/>
      <c r="H376" s="22"/>
      <c r="J376" s="22"/>
      <c r="K376" s="27"/>
      <c r="L376" s="22"/>
      <c r="N376" s="22"/>
      <c r="O376" s="27"/>
      <c r="P376" s="22"/>
      <c r="R376" s="22"/>
      <c r="S376" s="27"/>
    </row>
    <row r="377" spans="1:19" s="20" customFormat="1" x14ac:dyDescent="0.25">
      <c r="A377" s="26"/>
      <c r="B377" s="21"/>
      <c r="C377" s="21"/>
      <c r="D377" s="22"/>
      <c r="H377" s="22"/>
      <c r="J377" s="22"/>
      <c r="K377" s="27"/>
      <c r="L377" s="22"/>
      <c r="N377" s="22"/>
      <c r="O377" s="27"/>
      <c r="P377" s="22"/>
      <c r="R377" s="22"/>
      <c r="S377" s="27"/>
    </row>
    <row r="378" spans="1:19" s="20" customFormat="1" x14ac:dyDescent="0.25">
      <c r="A378" s="26"/>
      <c r="B378" s="21"/>
      <c r="C378" s="21"/>
      <c r="D378" s="22"/>
      <c r="H378" s="22"/>
      <c r="J378" s="22"/>
      <c r="K378" s="27"/>
      <c r="L378" s="22"/>
      <c r="N378" s="22"/>
      <c r="O378" s="27"/>
      <c r="P378" s="22"/>
      <c r="R378" s="22"/>
      <c r="S378" s="27"/>
    </row>
    <row r="379" spans="1:19" s="20" customFormat="1" x14ac:dyDescent="0.25">
      <c r="A379" s="26"/>
      <c r="B379" s="21"/>
      <c r="C379" s="21"/>
      <c r="D379" s="22"/>
      <c r="H379" s="22"/>
      <c r="J379" s="22"/>
      <c r="K379" s="27"/>
      <c r="L379" s="22"/>
      <c r="N379" s="22"/>
      <c r="O379" s="27"/>
      <c r="P379" s="22"/>
      <c r="R379" s="22"/>
      <c r="S379" s="27"/>
    </row>
    <row r="380" spans="1:19" s="20" customFormat="1" x14ac:dyDescent="0.25">
      <c r="A380" s="26"/>
      <c r="B380" s="21"/>
      <c r="C380" s="21"/>
      <c r="D380" s="22"/>
      <c r="H380" s="22"/>
      <c r="J380" s="22"/>
      <c r="K380" s="27"/>
      <c r="L380" s="22"/>
      <c r="N380" s="22"/>
      <c r="O380" s="27"/>
      <c r="P380" s="22"/>
      <c r="R380" s="22"/>
      <c r="S380" s="27"/>
    </row>
    <row r="381" spans="1:19" s="20" customFormat="1" x14ac:dyDescent="0.25">
      <c r="A381" s="26"/>
      <c r="B381" s="21"/>
      <c r="C381" s="21"/>
      <c r="D381" s="22"/>
      <c r="H381" s="22"/>
      <c r="J381" s="22"/>
      <c r="K381" s="27"/>
      <c r="L381" s="22"/>
      <c r="N381" s="22"/>
      <c r="O381" s="27"/>
      <c r="P381" s="22"/>
      <c r="R381" s="22"/>
      <c r="S381" s="27"/>
    </row>
    <row r="382" spans="1:19" s="20" customFormat="1" x14ac:dyDescent="0.25">
      <c r="A382" s="26"/>
      <c r="B382" s="21"/>
      <c r="C382" s="21"/>
      <c r="D382" s="22"/>
      <c r="H382" s="22"/>
      <c r="J382" s="22"/>
      <c r="K382" s="27"/>
      <c r="L382" s="22"/>
      <c r="N382" s="22"/>
      <c r="O382" s="27"/>
      <c r="P382" s="22"/>
      <c r="R382" s="22"/>
      <c r="S382" s="27"/>
    </row>
    <row r="383" spans="1:19" s="20" customFormat="1" x14ac:dyDescent="0.25">
      <c r="A383" s="26"/>
      <c r="B383" s="21"/>
      <c r="C383" s="21"/>
      <c r="D383" s="22"/>
      <c r="H383" s="22"/>
      <c r="J383" s="22"/>
      <c r="K383" s="27"/>
      <c r="L383" s="22"/>
      <c r="N383" s="22"/>
      <c r="O383" s="27"/>
      <c r="P383" s="22"/>
      <c r="R383" s="22"/>
      <c r="S383" s="27"/>
    </row>
    <row r="384" spans="1:19" s="20" customFormat="1" x14ac:dyDescent="0.25">
      <c r="A384" s="26"/>
      <c r="B384" s="21"/>
      <c r="C384" s="21"/>
      <c r="D384" s="22"/>
      <c r="H384" s="22"/>
      <c r="J384" s="22"/>
      <c r="K384" s="27"/>
      <c r="L384" s="22"/>
      <c r="N384" s="22"/>
      <c r="O384" s="27"/>
      <c r="P384" s="22"/>
      <c r="R384" s="22"/>
      <c r="S384" s="27"/>
    </row>
    <row r="385" spans="1:19" s="20" customFormat="1" x14ac:dyDescent="0.25">
      <c r="A385" s="26"/>
      <c r="B385" s="21"/>
      <c r="C385" s="21"/>
      <c r="D385" s="22"/>
      <c r="H385" s="22"/>
      <c r="J385" s="22"/>
      <c r="K385" s="27"/>
      <c r="L385" s="22"/>
      <c r="N385" s="22"/>
      <c r="O385" s="27"/>
      <c r="P385" s="22"/>
      <c r="R385" s="22"/>
      <c r="S385" s="27"/>
    </row>
    <row r="386" spans="1:19" s="20" customFormat="1" x14ac:dyDescent="0.25">
      <c r="A386" s="26"/>
      <c r="B386" s="21"/>
      <c r="C386" s="21"/>
      <c r="D386" s="22"/>
      <c r="H386" s="22"/>
      <c r="J386" s="22"/>
      <c r="K386" s="27"/>
      <c r="L386" s="22"/>
      <c r="N386" s="22"/>
      <c r="O386" s="27"/>
      <c r="P386" s="22"/>
      <c r="R386" s="22"/>
      <c r="S386" s="27"/>
    </row>
    <row r="387" spans="1:19" s="20" customFormat="1" x14ac:dyDescent="0.25">
      <c r="A387" s="26"/>
      <c r="B387" s="21"/>
      <c r="C387" s="21"/>
      <c r="D387" s="22"/>
      <c r="H387" s="22"/>
      <c r="J387" s="22"/>
      <c r="K387" s="27"/>
      <c r="L387" s="22"/>
      <c r="N387" s="22"/>
      <c r="O387" s="27"/>
      <c r="P387" s="22"/>
      <c r="R387" s="22"/>
      <c r="S387" s="27"/>
    </row>
    <row r="388" spans="1:19" s="20" customFormat="1" x14ac:dyDescent="0.25">
      <c r="A388" s="26"/>
      <c r="B388" s="21"/>
      <c r="C388" s="21"/>
      <c r="D388" s="22"/>
      <c r="H388" s="22"/>
      <c r="J388" s="22"/>
      <c r="K388" s="27"/>
      <c r="L388" s="22"/>
      <c r="N388" s="22"/>
      <c r="O388" s="27"/>
      <c r="P388" s="22"/>
      <c r="R388" s="22"/>
      <c r="S388" s="27"/>
    </row>
    <row r="389" spans="1:19" s="20" customFormat="1" x14ac:dyDescent="0.25">
      <c r="A389" s="26"/>
      <c r="B389" s="21"/>
      <c r="C389" s="21"/>
      <c r="D389" s="22"/>
      <c r="H389" s="22"/>
      <c r="J389" s="22"/>
      <c r="K389" s="27"/>
      <c r="L389" s="22"/>
      <c r="N389" s="22"/>
      <c r="O389" s="27"/>
      <c r="P389" s="22"/>
      <c r="R389" s="22"/>
      <c r="S389" s="27"/>
    </row>
    <row r="390" spans="1:19" s="20" customFormat="1" x14ac:dyDescent="0.25">
      <c r="A390" s="26"/>
      <c r="B390" s="21"/>
      <c r="C390" s="21"/>
      <c r="D390" s="22"/>
      <c r="H390" s="22"/>
      <c r="J390" s="22"/>
      <c r="K390" s="27"/>
      <c r="L390" s="22"/>
      <c r="N390" s="22"/>
      <c r="O390" s="27"/>
      <c r="P390" s="22"/>
      <c r="R390" s="22"/>
      <c r="S390" s="27"/>
    </row>
    <row r="391" spans="1:19" s="20" customFormat="1" x14ac:dyDescent="0.25">
      <c r="A391" s="26"/>
      <c r="B391" s="21"/>
      <c r="C391" s="21"/>
      <c r="D391" s="22"/>
      <c r="H391" s="22"/>
      <c r="J391" s="22"/>
      <c r="K391" s="27"/>
      <c r="L391" s="22"/>
      <c r="N391" s="22"/>
      <c r="O391" s="27"/>
      <c r="P391" s="22"/>
      <c r="R391" s="22"/>
      <c r="S391" s="27"/>
    </row>
    <row r="392" spans="1:19" s="20" customFormat="1" x14ac:dyDescent="0.25">
      <c r="A392" s="26"/>
      <c r="B392" s="21"/>
      <c r="C392" s="21"/>
      <c r="D392" s="22"/>
      <c r="H392" s="22"/>
      <c r="J392" s="22"/>
      <c r="K392" s="27"/>
      <c r="L392" s="22"/>
      <c r="N392" s="22"/>
      <c r="O392" s="27"/>
      <c r="P392" s="22"/>
      <c r="R392" s="22"/>
      <c r="S392" s="27"/>
    </row>
    <row r="393" spans="1:19" s="20" customFormat="1" x14ac:dyDescent="0.25">
      <c r="A393" s="26"/>
      <c r="B393" s="21"/>
      <c r="C393" s="21"/>
      <c r="D393" s="22"/>
      <c r="H393" s="22"/>
      <c r="J393" s="22"/>
      <c r="K393" s="27"/>
      <c r="L393" s="22"/>
      <c r="N393" s="22"/>
      <c r="O393" s="27"/>
      <c r="P393" s="22"/>
      <c r="R393" s="22"/>
      <c r="S393" s="27"/>
    </row>
    <row r="394" spans="1:19" s="20" customFormat="1" x14ac:dyDescent="0.25">
      <c r="A394" s="26"/>
      <c r="B394" s="21"/>
      <c r="C394" s="21"/>
      <c r="D394" s="22"/>
      <c r="H394" s="22"/>
      <c r="J394" s="22"/>
      <c r="K394" s="27"/>
      <c r="L394" s="22"/>
      <c r="N394" s="22"/>
      <c r="O394" s="27"/>
      <c r="P394" s="22"/>
      <c r="R394" s="22"/>
      <c r="S394" s="27"/>
    </row>
    <row r="395" spans="1:19" s="20" customFormat="1" x14ac:dyDescent="0.25">
      <c r="A395" s="26"/>
      <c r="B395" s="21"/>
      <c r="C395" s="21"/>
      <c r="D395" s="22"/>
      <c r="H395" s="22"/>
      <c r="J395" s="22"/>
      <c r="K395" s="27"/>
      <c r="L395" s="22"/>
      <c r="N395" s="22"/>
      <c r="O395" s="27"/>
      <c r="P395" s="22"/>
      <c r="R395" s="22"/>
      <c r="S395" s="27"/>
    </row>
    <row r="396" spans="1:19" s="20" customFormat="1" x14ac:dyDescent="0.25">
      <c r="A396" s="26"/>
      <c r="B396" s="21"/>
      <c r="C396" s="21"/>
      <c r="D396" s="22"/>
      <c r="H396" s="22"/>
      <c r="J396" s="22"/>
      <c r="K396" s="27"/>
      <c r="L396" s="22"/>
      <c r="N396" s="22"/>
      <c r="O396" s="27"/>
      <c r="P396" s="22"/>
      <c r="R396" s="22"/>
      <c r="S396" s="27"/>
    </row>
    <row r="397" spans="1:19" s="20" customFormat="1" x14ac:dyDescent="0.25">
      <c r="A397" s="26"/>
      <c r="B397" s="21"/>
      <c r="C397" s="21"/>
      <c r="D397" s="22"/>
      <c r="H397" s="22"/>
      <c r="J397" s="22"/>
      <c r="K397" s="27"/>
      <c r="L397" s="22"/>
      <c r="N397" s="22"/>
      <c r="O397" s="27"/>
      <c r="P397" s="22"/>
      <c r="R397" s="22"/>
      <c r="S397" s="27"/>
    </row>
    <row r="398" spans="1:19" s="20" customFormat="1" x14ac:dyDescent="0.25">
      <c r="A398" s="26"/>
      <c r="B398" s="21"/>
      <c r="C398" s="21"/>
      <c r="D398" s="22"/>
      <c r="H398" s="22"/>
      <c r="J398" s="22"/>
      <c r="K398" s="27"/>
      <c r="L398" s="22"/>
      <c r="N398" s="22"/>
      <c r="O398" s="27"/>
      <c r="P398" s="22"/>
      <c r="R398" s="22"/>
      <c r="S398" s="27"/>
    </row>
    <row r="399" spans="1:19" s="20" customFormat="1" x14ac:dyDescent="0.25">
      <c r="A399" s="26"/>
      <c r="B399" s="21"/>
      <c r="C399" s="21"/>
      <c r="D399" s="22"/>
      <c r="H399" s="22"/>
      <c r="J399" s="22"/>
      <c r="K399" s="27"/>
      <c r="L399" s="22"/>
      <c r="N399" s="22"/>
      <c r="O399" s="27"/>
      <c r="P399" s="22"/>
      <c r="R399" s="22"/>
      <c r="S399" s="27"/>
    </row>
    <row r="400" spans="1:19" s="20" customFormat="1" x14ac:dyDescent="0.25">
      <c r="A400" s="26"/>
      <c r="B400" s="21"/>
      <c r="C400" s="21"/>
      <c r="D400" s="22"/>
      <c r="H400" s="22"/>
      <c r="J400" s="22"/>
      <c r="K400" s="27"/>
      <c r="L400" s="22"/>
      <c r="N400" s="22"/>
      <c r="O400" s="27"/>
      <c r="P400" s="22"/>
      <c r="R400" s="22"/>
      <c r="S400" s="27"/>
    </row>
    <row r="401" spans="1:19" s="20" customFormat="1" x14ac:dyDescent="0.25">
      <c r="A401" s="26"/>
      <c r="B401" s="21"/>
      <c r="C401" s="21"/>
      <c r="D401" s="22"/>
      <c r="H401" s="22"/>
      <c r="J401" s="22"/>
      <c r="K401" s="27"/>
      <c r="L401" s="22"/>
      <c r="N401" s="22"/>
      <c r="O401" s="27"/>
      <c r="P401" s="22"/>
      <c r="R401" s="22"/>
      <c r="S401" s="27"/>
    </row>
    <row r="402" spans="1:19" s="20" customFormat="1" x14ac:dyDescent="0.25">
      <c r="A402" s="26"/>
      <c r="B402" s="21"/>
      <c r="C402" s="21"/>
      <c r="D402" s="22"/>
      <c r="H402" s="22"/>
      <c r="J402" s="22"/>
      <c r="K402" s="27"/>
      <c r="L402" s="22"/>
      <c r="N402" s="22"/>
      <c r="O402" s="27"/>
      <c r="P402" s="22"/>
      <c r="R402" s="22"/>
      <c r="S402" s="27"/>
    </row>
    <row r="403" spans="1:19" s="20" customFormat="1" x14ac:dyDescent="0.25">
      <c r="A403" s="26"/>
      <c r="B403" s="21"/>
      <c r="C403" s="21"/>
      <c r="D403" s="22"/>
      <c r="H403" s="22"/>
      <c r="J403" s="22"/>
      <c r="K403" s="27"/>
      <c r="L403" s="22"/>
      <c r="N403" s="22"/>
      <c r="O403" s="27"/>
      <c r="P403" s="22"/>
      <c r="R403" s="22"/>
      <c r="S403" s="27"/>
    </row>
    <row r="404" spans="1:19" s="20" customFormat="1" x14ac:dyDescent="0.25">
      <c r="A404" s="26"/>
      <c r="B404" s="21"/>
      <c r="C404" s="21"/>
      <c r="D404" s="22"/>
      <c r="H404" s="22"/>
      <c r="J404" s="22"/>
      <c r="K404" s="27"/>
      <c r="L404" s="22"/>
      <c r="N404" s="22"/>
      <c r="O404" s="27"/>
      <c r="P404" s="22"/>
      <c r="R404" s="22"/>
      <c r="S404" s="27"/>
    </row>
    <row r="405" spans="1:19" s="20" customFormat="1" x14ac:dyDescent="0.25">
      <c r="A405" s="26"/>
      <c r="B405" s="21"/>
      <c r="C405" s="21"/>
      <c r="D405" s="22"/>
      <c r="H405" s="22"/>
      <c r="J405" s="22"/>
      <c r="K405" s="27"/>
      <c r="L405" s="22"/>
      <c r="N405" s="22"/>
      <c r="O405" s="27"/>
      <c r="P405" s="22"/>
      <c r="R405" s="22"/>
      <c r="S405" s="27"/>
    </row>
    <row r="406" spans="1:19" s="20" customFormat="1" x14ac:dyDescent="0.25">
      <c r="A406" s="26"/>
      <c r="B406" s="21"/>
      <c r="C406" s="21"/>
      <c r="D406" s="22"/>
      <c r="H406" s="22"/>
      <c r="J406" s="22"/>
      <c r="K406" s="27"/>
      <c r="L406" s="22"/>
      <c r="N406" s="22"/>
      <c r="O406" s="27"/>
      <c r="P406" s="22"/>
      <c r="R406" s="22"/>
      <c r="S406" s="27"/>
    </row>
    <row r="407" spans="1:19" s="20" customFormat="1" x14ac:dyDescent="0.25">
      <c r="A407" s="26"/>
      <c r="B407" s="21"/>
      <c r="C407" s="21"/>
      <c r="D407" s="22"/>
      <c r="H407" s="22"/>
      <c r="J407" s="22"/>
      <c r="K407" s="27"/>
      <c r="L407" s="22"/>
      <c r="N407" s="22"/>
      <c r="O407" s="27"/>
      <c r="P407" s="22"/>
      <c r="R407" s="22"/>
      <c r="S407" s="27"/>
    </row>
    <row r="408" spans="1:19" s="20" customFormat="1" x14ac:dyDescent="0.25">
      <c r="A408" s="26"/>
      <c r="B408" s="21"/>
      <c r="C408" s="21"/>
      <c r="D408" s="22"/>
      <c r="H408" s="22"/>
      <c r="J408" s="22"/>
      <c r="K408" s="27"/>
      <c r="L408" s="22"/>
      <c r="N408" s="22"/>
      <c r="O408" s="27"/>
      <c r="P408" s="22"/>
      <c r="R408" s="22"/>
      <c r="S408" s="27"/>
    </row>
    <row r="409" spans="1:19" s="20" customFormat="1" x14ac:dyDescent="0.25">
      <c r="A409" s="26"/>
      <c r="B409" s="21"/>
      <c r="C409" s="21"/>
      <c r="D409" s="22"/>
      <c r="H409" s="22"/>
      <c r="J409" s="22"/>
      <c r="K409" s="27"/>
      <c r="L409" s="22"/>
      <c r="N409" s="22"/>
      <c r="O409" s="27"/>
      <c r="P409" s="22"/>
      <c r="R409" s="22"/>
      <c r="S409" s="27"/>
    </row>
    <row r="410" spans="1:19" s="20" customFormat="1" x14ac:dyDescent="0.25">
      <c r="A410" s="26"/>
      <c r="B410" s="21"/>
      <c r="C410" s="21"/>
      <c r="D410" s="22"/>
      <c r="H410" s="22"/>
      <c r="J410" s="22"/>
      <c r="K410" s="27"/>
      <c r="L410" s="22"/>
      <c r="N410" s="22"/>
      <c r="O410" s="27"/>
      <c r="P410" s="22"/>
      <c r="R410" s="22"/>
      <c r="S410" s="27"/>
    </row>
    <row r="411" spans="1:19" s="20" customFormat="1" x14ac:dyDescent="0.25">
      <c r="A411" s="26"/>
      <c r="B411" s="21"/>
      <c r="C411" s="21"/>
      <c r="D411" s="22"/>
      <c r="H411" s="22"/>
      <c r="J411" s="22"/>
      <c r="K411" s="27"/>
      <c r="L411" s="22"/>
      <c r="N411" s="22"/>
      <c r="O411" s="27"/>
      <c r="P411" s="22"/>
      <c r="R411" s="22"/>
      <c r="S411" s="27"/>
    </row>
    <row r="412" spans="1:19" s="20" customFormat="1" x14ac:dyDescent="0.25">
      <c r="A412" s="26"/>
      <c r="B412" s="21"/>
      <c r="C412" s="21"/>
      <c r="D412" s="22"/>
      <c r="H412" s="22"/>
      <c r="J412" s="22"/>
      <c r="K412" s="27"/>
      <c r="L412" s="22"/>
      <c r="N412" s="22"/>
      <c r="O412" s="27"/>
      <c r="P412" s="22"/>
      <c r="R412" s="22"/>
      <c r="S412" s="27"/>
    </row>
    <row r="413" spans="1:19" s="20" customFormat="1" x14ac:dyDescent="0.25">
      <c r="A413" s="26"/>
      <c r="B413" s="21"/>
      <c r="C413" s="21"/>
      <c r="D413" s="22"/>
      <c r="H413" s="22"/>
      <c r="J413" s="22"/>
      <c r="K413" s="27"/>
      <c r="L413" s="22"/>
      <c r="N413" s="22"/>
      <c r="O413" s="27"/>
      <c r="P413" s="22"/>
      <c r="R413" s="22"/>
      <c r="S413" s="27"/>
    </row>
    <row r="414" spans="1:19" s="20" customFormat="1" x14ac:dyDescent="0.25">
      <c r="A414" s="26"/>
      <c r="B414" s="21"/>
      <c r="C414" s="21"/>
      <c r="D414" s="22"/>
      <c r="H414" s="22"/>
      <c r="J414" s="22"/>
      <c r="K414" s="27"/>
      <c r="L414" s="22"/>
      <c r="N414" s="22"/>
      <c r="O414" s="27"/>
      <c r="P414" s="22"/>
      <c r="R414" s="22"/>
      <c r="S414" s="27"/>
    </row>
    <row r="415" spans="1:19" s="20" customFormat="1" x14ac:dyDescent="0.25">
      <c r="A415" s="26"/>
      <c r="B415" s="21"/>
      <c r="C415" s="21"/>
      <c r="D415" s="22"/>
      <c r="H415" s="22"/>
      <c r="J415" s="22"/>
      <c r="K415" s="27"/>
      <c r="L415" s="22"/>
      <c r="N415" s="22"/>
      <c r="O415" s="27"/>
      <c r="P415" s="22"/>
      <c r="R415" s="22"/>
      <c r="S415" s="27"/>
    </row>
    <row r="416" spans="1:19" s="20" customFormat="1" x14ac:dyDescent="0.25">
      <c r="A416" s="26"/>
      <c r="B416" s="21"/>
      <c r="C416" s="21"/>
      <c r="D416" s="22"/>
      <c r="H416" s="22"/>
      <c r="J416" s="22"/>
      <c r="K416" s="27"/>
      <c r="L416" s="22"/>
      <c r="N416" s="22"/>
      <c r="O416" s="27"/>
      <c r="P416" s="22"/>
      <c r="R416" s="22"/>
      <c r="S416" s="27"/>
    </row>
    <row r="417" spans="1:19" s="20" customFormat="1" x14ac:dyDescent="0.25">
      <c r="A417" s="26"/>
      <c r="B417" s="21"/>
      <c r="C417" s="21"/>
      <c r="D417" s="22"/>
      <c r="H417" s="22"/>
      <c r="J417" s="22"/>
      <c r="K417" s="27"/>
      <c r="L417" s="22"/>
      <c r="N417" s="22"/>
      <c r="O417" s="27"/>
      <c r="P417" s="22"/>
      <c r="R417" s="22"/>
      <c r="S417" s="27"/>
    </row>
    <row r="418" spans="1:19" s="20" customFormat="1" x14ac:dyDescent="0.25">
      <c r="A418" s="26"/>
      <c r="B418" s="21"/>
      <c r="C418" s="21"/>
      <c r="D418" s="22"/>
      <c r="H418" s="22"/>
      <c r="J418" s="22"/>
      <c r="K418" s="27"/>
      <c r="L418" s="22"/>
      <c r="N418" s="22"/>
      <c r="O418" s="27"/>
      <c r="P418" s="22"/>
      <c r="R418" s="22"/>
      <c r="S418" s="27"/>
    </row>
    <row r="419" spans="1:19" s="20" customFormat="1" x14ac:dyDescent="0.25">
      <c r="A419" s="26"/>
      <c r="B419" s="21"/>
      <c r="C419" s="21"/>
      <c r="D419" s="22"/>
      <c r="H419" s="22"/>
      <c r="J419" s="22"/>
      <c r="K419" s="27"/>
      <c r="L419" s="22"/>
      <c r="N419" s="22"/>
      <c r="O419" s="27"/>
      <c r="P419" s="22"/>
      <c r="R419" s="22"/>
      <c r="S419" s="27"/>
    </row>
    <row r="420" spans="1:19" s="20" customFormat="1" x14ac:dyDescent="0.25">
      <c r="A420" s="26"/>
      <c r="B420" s="21"/>
      <c r="C420" s="21"/>
      <c r="D420" s="22"/>
      <c r="H420" s="22"/>
      <c r="J420" s="22"/>
      <c r="K420" s="27"/>
      <c r="L420" s="22"/>
      <c r="N420" s="22"/>
      <c r="O420" s="27"/>
      <c r="P420" s="22"/>
      <c r="R420" s="22"/>
      <c r="S420" s="27"/>
    </row>
    <row r="421" spans="1:19" s="20" customFormat="1" x14ac:dyDescent="0.25">
      <c r="A421" s="26"/>
      <c r="B421" s="21"/>
      <c r="C421" s="21"/>
      <c r="D421" s="22"/>
      <c r="H421" s="22"/>
      <c r="J421" s="22"/>
      <c r="K421" s="27"/>
      <c r="L421" s="22"/>
      <c r="N421" s="22"/>
      <c r="O421" s="27"/>
      <c r="P421" s="22"/>
      <c r="R421" s="22"/>
      <c r="S421" s="27"/>
    </row>
    <row r="422" spans="1:19" s="20" customFormat="1" x14ac:dyDescent="0.25">
      <c r="A422" s="26"/>
      <c r="B422" s="21"/>
      <c r="C422" s="21"/>
      <c r="D422" s="22"/>
      <c r="H422" s="22"/>
      <c r="J422" s="22"/>
      <c r="K422" s="27"/>
      <c r="L422" s="22"/>
      <c r="N422" s="22"/>
      <c r="O422" s="27"/>
      <c r="P422" s="22"/>
      <c r="R422" s="22"/>
      <c r="S422" s="27"/>
    </row>
    <row r="423" spans="1:19" s="20" customFormat="1" x14ac:dyDescent="0.25">
      <c r="A423" s="26"/>
      <c r="B423" s="21"/>
      <c r="C423" s="21"/>
      <c r="D423" s="22"/>
      <c r="H423" s="22"/>
      <c r="J423" s="22"/>
      <c r="K423" s="27"/>
      <c r="L423" s="22"/>
      <c r="N423" s="22"/>
      <c r="O423" s="27"/>
      <c r="P423" s="22"/>
      <c r="R423" s="22"/>
      <c r="S423" s="27"/>
    </row>
    <row r="424" spans="1:19" s="20" customFormat="1" x14ac:dyDescent="0.25">
      <c r="A424" s="26"/>
      <c r="B424" s="21"/>
      <c r="C424" s="21"/>
      <c r="D424" s="22"/>
      <c r="H424" s="22"/>
      <c r="J424" s="22"/>
      <c r="K424" s="27"/>
      <c r="L424" s="22"/>
      <c r="N424" s="22"/>
      <c r="O424" s="27"/>
      <c r="P424" s="22"/>
      <c r="R424" s="22"/>
      <c r="S424" s="27"/>
    </row>
    <row r="425" spans="1:19" s="20" customFormat="1" x14ac:dyDescent="0.25">
      <c r="A425" s="26"/>
      <c r="B425" s="21"/>
      <c r="C425" s="21"/>
      <c r="D425" s="22"/>
      <c r="H425" s="22"/>
      <c r="J425" s="22"/>
      <c r="K425" s="27"/>
      <c r="L425" s="22"/>
      <c r="N425" s="22"/>
      <c r="O425" s="27"/>
      <c r="P425" s="22"/>
      <c r="R425" s="22"/>
      <c r="S425" s="27"/>
    </row>
    <row r="426" spans="1:19" s="20" customFormat="1" x14ac:dyDescent="0.25">
      <c r="A426" s="26"/>
      <c r="B426" s="21"/>
      <c r="C426" s="21"/>
      <c r="D426" s="22"/>
      <c r="H426" s="22"/>
      <c r="J426" s="22"/>
      <c r="K426" s="27"/>
      <c r="L426" s="22"/>
      <c r="N426" s="22"/>
      <c r="O426" s="27"/>
      <c r="P426" s="22"/>
      <c r="R426" s="22"/>
      <c r="S426" s="27"/>
    </row>
    <row r="427" spans="1:19" s="20" customFormat="1" x14ac:dyDescent="0.25">
      <c r="A427" s="26"/>
      <c r="B427" s="21"/>
      <c r="C427" s="21"/>
      <c r="D427" s="22"/>
      <c r="H427" s="22"/>
      <c r="J427" s="22"/>
      <c r="K427" s="27"/>
      <c r="L427" s="22"/>
      <c r="N427" s="22"/>
      <c r="O427" s="27"/>
      <c r="P427" s="22"/>
      <c r="R427" s="22"/>
      <c r="S427" s="27"/>
    </row>
    <row r="428" spans="1:19" s="20" customFormat="1" x14ac:dyDescent="0.25">
      <c r="A428" s="26"/>
      <c r="B428" s="21"/>
      <c r="C428" s="21"/>
      <c r="D428" s="22"/>
      <c r="H428" s="22"/>
      <c r="J428" s="22"/>
      <c r="K428" s="27"/>
      <c r="L428" s="22"/>
      <c r="N428" s="22"/>
      <c r="O428" s="27"/>
      <c r="P428" s="22"/>
      <c r="R428" s="22"/>
      <c r="S428" s="27"/>
    </row>
    <row r="429" spans="1:19" s="20" customFormat="1" x14ac:dyDescent="0.25">
      <c r="A429" s="26"/>
      <c r="B429" s="21"/>
      <c r="C429" s="21"/>
      <c r="D429" s="22"/>
      <c r="H429" s="22"/>
      <c r="J429" s="22"/>
      <c r="K429" s="27"/>
      <c r="L429" s="22"/>
      <c r="N429" s="22"/>
      <c r="O429" s="27"/>
      <c r="P429" s="22"/>
      <c r="R429" s="22"/>
      <c r="S429" s="27"/>
    </row>
    <row r="430" spans="1:19" s="20" customFormat="1" x14ac:dyDescent="0.25">
      <c r="A430" s="26"/>
      <c r="B430" s="21"/>
      <c r="C430" s="21"/>
      <c r="D430" s="22"/>
      <c r="H430" s="22"/>
      <c r="J430" s="22"/>
      <c r="K430" s="27"/>
      <c r="L430" s="22"/>
      <c r="N430" s="22"/>
      <c r="O430" s="27"/>
      <c r="P430" s="22"/>
      <c r="R430" s="22"/>
      <c r="S430" s="27"/>
    </row>
    <row r="431" spans="1:19" s="20" customFormat="1" x14ac:dyDescent="0.25">
      <c r="A431" s="26"/>
      <c r="B431" s="21"/>
      <c r="C431" s="21"/>
      <c r="D431" s="22"/>
      <c r="H431" s="22"/>
      <c r="J431" s="22"/>
      <c r="K431" s="27"/>
      <c r="L431" s="22"/>
      <c r="N431" s="22"/>
      <c r="O431" s="27"/>
      <c r="P431" s="22"/>
      <c r="R431" s="22"/>
      <c r="S431" s="27"/>
    </row>
    <row r="432" spans="1:19" s="20" customFormat="1" x14ac:dyDescent="0.25">
      <c r="A432" s="26"/>
      <c r="B432" s="21"/>
      <c r="C432" s="21"/>
      <c r="D432" s="22"/>
      <c r="H432" s="22"/>
      <c r="J432" s="22"/>
      <c r="K432" s="27"/>
      <c r="L432" s="22"/>
      <c r="N432" s="22"/>
      <c r="O432" s="27"/>
      <c r="P432" s="22"/>
      <c r="R432" s="22"/>
      <c r="S432" s="27"/>
    </row>
    <row r="433" spans="1:19" s="20" customFormat="1" x14ac:dyDescent="0.25">
      <c r="A433" s="26"/>
      <c r="B433" s="21"/>
      <c r="C433" s="21"/>
      <c r="D433" s="22"/>
      <c r="H433" s="22"/>
      <c r="J433" s="22"/>
      <c r="K433" s="27"/>
      <c r="L433" s="22"/>
      <c r="N433" s="22"/>
      <c r="O433" s="27"/>
      <c r="P433" s="22"/>
      <c r="R433" s="22"/>
      <c r="S433" s="27"/>
    </row>
    <row r="434" spans="1:19" s="20" customFormat="1" x14ac:dyDescent="0.25">
      <c r="A434" s="26"/>
      <c r="B434" s="21"/>
      <c r="C434" s="21"/>
      <c r="D434" s="22"/>
      <c r="H434" s="22"/>
      <c r="J434" s="22"/>
      <c r="K434" s="27"/>
      <c r="L434" s="22"/>
      <c r="N434" s="22"/>
      <c r="O434" s="27"/>
      <c r="P434" s="22"/>
      <c r="R434" s="22"/>
      <c r="S434" s="27"/>
    </row>
    <row r="435" spans="1:19" s="20" customFormat="1" x14ac:dyDescent="0.25">
      <c r="A435" s="26"/>
      <c r="B435" s="21"/>
      <c r="C435" s="21"/>
      <c r="D435" s="22"/>
      <c r="H435" s="22"/>
      <c r="J435" s="22"/>
      <c r="K435" s="27"/>
      <c r="L435" s="22"/>
      <c r="N435" s="22"/>
      <c r="O435" s="27"/>
      <c r="P435" s="22"/>
      <c r="R435" s="22"/>
      <c r="S435" s="27"/>
    </row>
    <row r="436" spans="1:19" s="20" customFormat="1" x14ac:dyDescent="0.25">
      <c r="A436" s="26"/>
      <c r="B436" s="21"/>
      <c r="C436" s="21"/>
      <c r="D436" s="22"/>
      <c r="H436" s="22"/>
      <c r="J436" s="22"/>
      <c r="K436" s="27"/>
      <c r="L436" s="22"/>
      <c r="N436" s="22"/>
      <c r="O436" s="27"/>
      <c r="P436" s="22"/>
      <c r="R436" s="22"/>
      <c r="S436" s="27"/>
    </row>
    <row r="437" spans="1:19" s="20" customFormat="1" x14ac:dyDescent="0.25">
      <c r="A437" s="26"/>
      <c r="B437" s="21"/>
      <c r="C437" s="21"/>
      <c r="D437" s="22"/>
      <c r="H437" s="22"/>
      <c r="J437" s="22"/>
      <c r="K437" s="27"/>
      <c r="L437" s="22"/>
      <c r="N437" s="22"/>
      <c r="O437" s="27"/>
      <c r="P437" s="22"/>
      <c r="R437" s="22"/>
      <c r="S437" s="27"/>
    </row>
    <row r="438" spans="1:19" s="20" customFormat="1" x14ac:dyDescent="0.25">
      <c r="A438" s="26"/>
      <c r="B438" s="21"/>
      <c r="C438" s="21"/>
      <c r="D438" s="22"/>
      <c r="H438" s="22"/>
      <c r="J438" s="22"/>
      <c r="K438" s="27"/>
      <c r="L438" s="22"/>
      <c r="N438" s="22"/>
      <c r="O438" s="27"/>
      <c r="P438" s="22"/>
      <c r="R438" s="22"/>
      <c r="S438" s="27"/>
    </row>
    <row r="439" spans="1:19" s="20" customFormat="1" x14ac:dyDescent="0.25">
      <c r="A439" s="26"/>
      <c r="B439" s="21"/>
      <c r="C439" s="21"/>
      <c r="D439" s="22"/>
      <c r="H439" s="22"/>
      <c r="J439" s="22"/>
      <c r="K439" s="27"/>
      <c r="L439" s="22"/>
      <c r="N439" s="22"/>
      <c r="O439" s="27"/>
      <c r="P439" s="22"/>
      <c r="R439" s="22"/>
      <c r="S439" s="27"/>
    </row>
    <row r="440" spans="1:19" s="20" customFormat="1" x14ac:dyDescent="0.25">
      <c r="A440" s="26"/>
      <c r="B440" s="21"/>
      <c r="C440" s="21"/>
      <c r="D440" s="22"/>
      <c r="H440" s="22"/>
      <c r="J440" s="22"/>
      <c r="K440" s="27"/>
      <c r="L440" s="22"/>
      <c r="N440" s="22"/>
      <c r="O440" s="27"/>
      <c r="P440" s="22"/>
      <c r="R440" s="22"/>
      <c r="S440" s="27"/>
    </row>
    <row r="441" spans="1:19" s="20" customFormat="1" x14ac:dyDescent="0.25">
      <c r="A441" s="26"/>
      <c r="B441" s="21"/>
      <c r="C441" s="21"/>
      <c r="D441" s="22"/>
      <c r="H441" s="22"/>
      <c r="J441" s="22"/>
      <c r="K441" s="27"/>
      <c r="L441" s="22"/>
      <c r="N441" s="22"/>
      <c r="O441" s="27"/>
      <c r="P441" s="22"/>
      <c r="R441" s="22"/>
      <c r="S441" s="27"/>
    </row>
    <row r="442" spans="1:19" s="20" customFormat="1" x14ac:dyDescent="0.25">
      <c r="A442" s="26"/>
      <c r="B442" s="21"/>
      <c r="C442" s="21"/>
      <c r="D442" s="22"/>
      <c r="H442" s="22"/>
      <c r="J442" s="22"/>
      <c r="K442" s="27"/>
      <c r="L442" s="22"/>
      <c r="N442" s="22"/>
      <c r="O442" s="27"/>
      <c r="P442" s="22"/>
      <c r="R442" s="22"/>
      <c r="S442" s="27"/>
    </row>
    <row r="443" spans="1:19" s="20" customFormat="1" x14ac:dyDescent="0.25">
      <c r="A443" s="26"/>
      <c r="B443" s="21"/>
      <c r="C443" s="21"/>
      <c r="D443" s="22"/>
      <c r="H443" s="22"/>
      <c r="J443" s="22"/>
      <c r="K443" s="27"/>
      <c r="L443" s="22"/>
      <c r="N443" s="22"/>
      <c r="O443" s="27"/>
      <c r="P443" s="22"/>
      <c r="R443" s="22"/>
      <c r="S443" s="27"/>
    </row>
    <row r="444" spans="1:19" s="20" customFormat="1" x14ac:dyDescent="0.25">
      <c r="A444" s="26"/>
      <c r="B444" s="21"/>
      <c r="C444" s="21"/>
      <c r="D444" s="22"/>
      <c r="H444" s="22"/>
      <c r="J444" s="22"/>
      <c r="K444" s="27"/>
      <c r="L444" s="22"/>
      <c r="N444" s="22"/>
      <c r="O444" s="27"/>
      <c r="P444" s="22"/>
      <c r="R444" s="22"/>
      <c r="S444" s="27"/>
    </row>
    <row r="445" spans="1:19" s="20" customFormat="1" x14ac:dyDescent="0.25">
      <c r="A445" s="26"/>
      <c r="B445" s="21"/>
      <c r="C445" s="21"/>
      <c r="D445" s="22"/>
      <c r="H445" s="22"/>
      <c r="J445" s="22"/>
      <c r="K445" s="27"/>
      <c r="L445" s="22"/>
      <c r="N445" s="22"/>
      <c r="O445" s="27"/>
      <c r="P445" s="22"/>
      <c r="R445" s="22"/>
      <c r="S445" s="27"/>
    </row>
    <row r="446" spans="1:19" s="20" customFormat="1" x14ac:dyDescent="0.25">
      <c r="A446" s="26"/>
      <c r="B446" s="21"/>
      <c r="C446" s="21"/>
      <c r="D446" s="22"/>
      <c r="H446" s="22"/>
      <c r="J446" s="22"/>
      <c r="K446" s="27"/>
      <c r="L446" s="22"/>
      <c r="N446" s="22"/>
      <c r="O446" s="27"/>
      <c r="P446" s="22"/>
      <c r="R446" s="22"/>
      <c r="S446" s="27"/>
    </row>
    <row r="447" spans="1:19" s="20" customFormat="1" x14ac:dyDescent="0.25">
      <c r="A447" s="26"/>
      <c r="B447" s="21"/>
      <c r="C447" s="21"/>
      <c r="D447" s="22"/>
      <c r="H447" s="22"/>
      <c r="J447" s="22"/>
      <c r="K447" s="27"/>
      <c r="L447" s="22"/>
      <c r="N447" s="22"/>
      <c r="O447" s="27"/>
      <c r="P447" s="22"/>
      <c r="R447" s="22"/>
      <c r="S447" s="27"/>
    </row>
    <row r="448" spans="1:19" s="20" customFormat="1" x14ac:dyDescent="0.25">
      <c r="A448" s="26"/>
      <c r="B448" s="21"/>
      <c r="C448" s="21"/>
      <c r="D448" s="22"/>
      <c r="H448" s="22"/>
      <c r="J448" s="22"/>
      <c r="K448" s="27"/>
      <c r="L448" s="22"/>
      <c r="N448" s="22"/>
      <c r="O448" s="27"/>
      <c r="P448" s="22"/>
      <c r="R448" s="22"/>
      <c r="S448" s="27"/>
    </row>
    <row r="449" spans="1:19" s="20" customFormat="1" x14ac:dyDescent="0.25">
      <c r="A449" s="26"/>
      <c r="B449" s="21"/>
      <c r="C449" s="21"/>
      <c r="D449" s="22"/>
      <c r="H449" s="22"/>
      <c r="J449" s="22"/>
      <c r="K449" s="27"/>
      <c r="L449" s="22"/>
      <c r="N449" s="22"/>
      <c r="O449" s="27"/>
      <c r="P449" s="22"/>
      <c r="R449" s="22"/>
      <c r="S449" s="27"/>
    </row>
    <row r="450" spans="1:19" s="20" customFormat="1" x14ac:dyDescent="0.25">
      <c r="A450" s="26"/>
      <c r="B450" s="21"/>
      <c r="C450" s="21"/>
      <c r="D450" s="22"/>
      <c r="H450" s="22"/>
      <c r="J450" s="22"/>
      <c r="K450" s="27"/>
      <c r="L450" s="22"/>
      <c r="N450" s="22"/>
      <c r="O450" s="27"/>
      <c r="P450" s="22"/>
      <c r="R450" s="22"/>
      <c r="S450" s="27"/>
    </row>
    <row r="451" spans="1:19" s="20" customFormat="1" x14ac:dyDescent="0.25">
      <c r="A451" s="26"/>
      <c r="B451" s="21"/>
      <c r="C451" s="21"/>
      <c r="D451" s="22"/>
      <c r="H451" s="22"/>
      <c r="J451" s="22"/>
      <c r="K451" s="27"/>
      <c r="L451" s="22"/>
      <c r="N451" s="22"/>
      <c r="O451" s="27"/>
      <c r="P451" s="22"/>
      <c r="R451" s="22"/>
      <c r="S451" s="27"/>
    </row>
    <row r="452" spans="1:19" s="20" customFormat="1" x14ac:dyDescent="0.25">
      <c r="A452" s="26"/>
      <c r="B452" s="21"/>
      <c r="C452" s="21"/>
      <c r="D452" s="22"/>
      <c r="H452" s="22"/>
      <c r="J452" s="22"/>
      <c r="K452" s="27"/>
      <c r="L452" s="22"/>
      <c r="N452" s="22"/>
      <c r="O452" s="27"/>
      <c r="P452" s="22"/>
      <c r="R452" s="22"/>
      <c r="S452" s="27"/>
    </row>
    <row r="453" spans="1:19" s="20" customFormat="1" x14ac:dyDescent="0.25">
      <c r="A453" s="26"/>
      <c r="B453" s="21"/>
      <c r="C453" s="21"/>
      <c r="D453" s="22"/>
      <c r="H453" s="22"/>
      <c r="J453" s="22"/>
      <c r="K453" s="27"/>
      <c r="L453" s="22"/>
      <c r="N453" s="22"/>
      <c r="O453" s="27"/>
      <c r="P453" s="22"/>
      <c r="R453" s="22"/>
      <c r="S453" s="27"/>
    </row>
    <row r="454" spans="1:19" s="20" customFormat="1" x14ac:dyDescent="0.25">
      <c r="A454" s="26"/>
      <c r="B454" s="21"/>
      <c r="C454" s="21"/>
      <c r="D454" s="22"/>
      <c r="H454" s="22"/>
      <c r="J454" s="22"/>
      <c r="K454" s="27"/>
      <c r="L454" s="22"/>
      <c r="N454" s="22"/>
      <c r="O454" s="27"/>
      <c r="P454" s="22"/>
      <c r="R454" s="22"/>
      <c r="S454" s="27"/>
    </row>
    <row r="455" spans="1:19" s="20" customFormat="1" x14ac:dyDescent="0.25">
      <c r="A455" s="26"/>
      <c r="B455" s="21"/>
      <c r="C455" s="21"/>
      <c r="D455" s="22"/>
      <c r="H455" s="22"/>
      <c r="J455" s="22"/>
      <c r="K455" s="27"/>
      <c r="L455" s="22"/>
      <c r="N455" s="22"/>
      <c r="O455" s="27"/>
      <c r="P455" s="22"/>
      <c r="R455" s="22"/>
      <c r="S455" s="27"/>
    </row>
    <row r="456" spans="1:19" s="20" customFormat="1" x14ac:dyDescent="0.25">
      <c r="A456" s="26"/>
      <c r="B456" s="21"/>
      <c r="C456" s="21"/>
      <c r="D456" s="22"/>
      <c r="H456" s="22"/>
      <c r="J456" s="22"/>
      <c r="K456" s="27"/>
      <c r="L456" s="22"/>
      <c r="N456" s="22"/>
      <c r="O456" s="27"/>
      <c r="P456" s="22"/>
      <c r="R456" s="22"/>
      <c r="S456" s="27"/>
    </row>
    <row r="457" spans="1:19" s="20" customFormat="1" x14ac:dyDescent="0.25">
      <c r="A457" s="26"/>
      <c r="B457" s="21"/>
      <c r="C457" s="21"/>
      <c r="D457" s="22"/>
      <c r="H457" s="22"/>
      <c r="J457" s="22"/>
      <c r="K457" s="27"/>
      <c r="L457" s="22"/>
      <c r="N457" s="22"/>
      <c r="O457" s="27"/>
      <c r="P457" s="22"/>
      <c r="R457" s="22"/>
      <c r="S457" s="27"/>
    </row>
    <row r="458" spans="1:19" s="20" customFormat="1" x14ac:dyDescent="0.25">
      <c r="A458" s="26"/>
      <c r="B458" s="21"/>
      <c r="C458" s="21"/>
      <c r="D458" s="22"/>
      <c r="H458" s="22"/>
      <c r="J458" s="22"/>
      <c r="K458" s="27"/>
      <c r="L458" s="22"/>
      <c r="N458" s="22"/>
      <c r="O458" s="27"/>
      <c r="P458" s="22"/>
      <c r="R458" s="22"/>
      <c r="S458" s="27"/>
    </row>
    <row r="459" spans="1:19" s="20" customFormat="1" x14ac:dyDescent="0.25">
      <c r="A459" s="26"/>
      <c r="B459" s="21"/>
      <c r="C459" s="21"/>
      <c r="D459" s="22"/>
      <c r="H459" s="22"/>
      <c r="J459" s="22"/>
      <c r="K459" s="27"/>
      <c r="L459" s="22"/>
      <c r="N459" s="22"/>
      <c r="O459" s="27"/>
      <c r="P459" s="22"/>
      <c r="R459" s="22"/>
      <c r="S459" s="27"/>
    </row>
    <row r="460" spans="1:19" s="20" customFormat="1" x14ac:dyDescent="0.25">
      <c r="A460" s="26"/>
      <c r="B460" s="21"/>
      <c r="C460" s="21"/>
      <c r="D460" s="22"/>
      <c r="H460" s="22"/>
      <c r="J460" s="22"/>
      <c r="K460" s="27"/>
      <c r="L460" s="22"/>
      <c r="N460" s="22"/>
      <c r="O460" s="27"/>
      <c r="P460" s="22"/>
      <c r="R460" s="22"/>
      <c r="S460" s="27"/>
    </row>
    <row r="461" spans="1:19" s="20" customFormat="1" x14ac:dyDescent="0.25">
      <c r="A461" s="26"/>
      <c r="B461" s="21"/>
      <c r="C461" s="21"/>
      <c r="D461" s="22"/>
      <c r="H461" s="22"/>
      <c r="J461" s="22"/>
      <c r="K461" s="27"/>
      <c r="L461" s="22"/>
      <c r="N461" s="22"/>
      <c r="O461" s="27"/>
      <c r="P461" s="22"/>
      <c r="R461" s="22"/>
      <c r="S461" s="27"/>
    </row>
    <row r="462" spans="1:19" s="20" customFormat="1" x14ac:dyDescent="0.25">
      <c r="A462" s="26"/>
      <c r="B462" s="21"/>
      <c r="C462" s="21"/>
      <c r="D462" s="22"/>
      <c r="H462" s="22"/>
      <c r="J462" s="22"/>
      <c r="K462" s="27"/>
      <c r="L462" s="22"/>
      <c r="N462" s="22"/>
      <c r="O462" s="27"/>
      <c r="P462" s="22"/>
      <c r="R462" s="22"/>
      <c r="S462" s="27"/>
    </row>
    <row r="463" spans="1:19" s="20" customFormat="1" x14ac:dyDescent="0.25">
      <c r="A463" s="26"/>
      <c r="B463" s="21"/>
      <c r="C463" s="21"/>
      <c r="D463" s="22"/>
      <c r="H463" s="22"/>
      <c r="J463" s="22"/>
      <c r="K463" s="27"/>
      <c r="L463" s="22"/>
      <c r="N463" s="22"/>
      <c r="O463" s="27"/>
      <c r="P463" s="22"/>
      <c r="R463" s="22"/>
      <c r="S463" s="27"/>
    </row>
    <row r="464" spans="1:19" s="20" customFormat="1" x14ac:dyDescent="0.25">
      <c r="A464" s="26"/>
      <c r="B464" s="21"/>
      <c r="C464" s="21"/>
      <c r="D464" s="22"/>
      <c r="H464" s="22"/>
      <c r="J464" s="22"/>
      <c r="K464" s="27"/>
      <c r="L464" s="22"/>
      <c r="N464" s="22"/>
      <c r="O464" s="27"/>
      <c r="P464" s="22"/>
      <c r="R464" s="22"/>
      <c r="S464" s="27"/>
    </row>
    <row r="465" spans="1:19" s="20" customFormat="1" x14ac:dyDescent="0.25">
      <c r="A465" s="26"/>
      <c r="B465" s="21"/>
      <c r="C465" s="21"/>
      <c r="D465" s="22"/>
      <c r="H465" s="22"/>
      <c r="J465" s="22"/>
      <c r="K465" s="27"/>
      <c r="L465" s="22"/>
      <c r="N465" s="22"/>
      <c r="O465" s="27"/>
      <c r="P465" s="22"/>
      <c r="R465" s="22"/>
      <c r="S465" s="27"/>
    </row>
    <row r="466" spans="1:19" s="20" customFormat="1" x14ac:dyDescent="0.25">
      <c r="A466" s="26"/>
      <c r="B466" s="21"/>
      <c r="C466" s="21"/>
      <c r="D466" s="22"/>
      <c r="H466" s="22"/>
      <c r="J466" s="22"/>
      <c r="K466" s="27"/>
      <c r="L466" s="22"/>
      <c r="N466" s="22"/>
      <c r="O466" s="27"/>
      <c r="P466" s="22"/>
      <c r="R466" s="22"/>
      <c r="S466" s="27"/>
    </row>
    <row r="467" spans="1:19" s="20" customFormat="1" x14ac:dyDescent="0.25">
      <c r="A467" s="26"/>
      <c r="B467" s="21"/>
      <c r="C467" s="21"/>
      <c r="D467" s="22"/>
      <c r="H467" s="22"/>
      <c r="J467" s="22"/>
      <c r="K467" s="27"/>
      <c r="L467" s="22"/>
      <c r="N467" s="22"/>
      <c r="O467" s="27"/>
      <c r="P467" s="22"/>
      <c r="R467" s="22"/>
      <c r="S467" s="27"/>
    </row>
    <row r="468" spans="1:19" s="20" customFormat="1" x14ac:dyDescent="0.25">
      <c r="A468" s="26"/>
      <c r="B468" s="21"/>
      <c r="C468" s="21"/>
      <c r="D468" s="22"/>
      <c r="H468" s="22"/>
      <c r="J468" s="22"/>
      <c r="K468" s="27"/>
      <c r="L468" s="22"/>
      <c r="N468" s="22"/>
      <c r="O468" s="27"/>
      <c r="P468" s="22"/>
      <c r="R468" s="22"/>
      <c r="S468" s="27"/>
    </row>
    <row r="469" spans="1:19" s="20" customFormat="1" x14ac:dyDescent="0.25">
      <c r="A469" s="26"/>
      <c r="B469" s="21"/>
      <c r="C469" s="21"/>
      <c r="D469" s="22"/>
      <c r="H469" s="22"/>
      <c r="J469" s="22"/>
      <c r="K469" s="27"/>
      <c r="L469" s="22"/>
      <c r="N469" s="22"/>
      <c r="O469" s="27"/>
      <c r="P469" s="22"/>
      <c r="R469" s="22"/>
      <c r="S469" s="27"/>
    </row>
    <row r="470" spans="1:19" s="20" customFormat="1" x14ac:dyDescent="0.25">
      <c r="A470" s="26"/>
      <c r="B470" s="21"/>
      <c r="C470" s="21"/>
      <c r="D470" s="22"/>
      <c r="H470" s="22"/>
      <c r="J470" s="22"/>
      <c r="K470" s="27"/>
      <c r="L470" s="22"/>
      <c r="N470" s="22"/>
      <c r="O470" s="27"/>
      <c r="P470" s="22"/>
      <c r="R470" s="22"/>
      <c r="S470" s="27"/>
    </row>
    <row r="471" spans="1:19" s="20" customFormat="1" x14ac:dyDescent="0.25">
      <c r="A471" s="26"/>
      <c r="B471" s="21"/>
      <c r="C471" s="21"/>
      <c r="D471" s="22"/>
      <c r="H471" s="22"/>
      <c r="J471" s="22"/>
      <c r="K471" s="27"/>
      <c r="L471" s="22"/>
      <c r="N471" s="22"/>
      <c r="O471" s="27"/>
      <c r="P471" s="22"/>
      <c r="R471" s="22"/>
      <c r="S471" s="27"/>
    </row>
    <row r="472" spans="1:19" s="20" customFormat="1" x14ac:dyDescent="0.25">
      <c r="A472" s="26"/>
      <c r="B472" s="21"/>
      <c r="C472" s="21"/>
      <c r="D472" s="22"/>
      <c r="H472" s="22"/>
      <c r="J472" s="22"/>
      <c r="K472" s="27"/>
      <c r="L472" s="22"/>
      <c r="N472" s="22"/>
      <c r="O472" s="27"/>
      <c r="P472" s="22"/>
      <c r="R472" s="22"/>
      <c r="S472" s="27"/>
    </row>
    <row r="473" spans="1:19" s="20" customFormat="1" x14ac:dyDescent="0.25">
      <c r="A473" s="26"/>
      <c r="B473" s="21"/>
      <c r="C473" s="21"/>
      <c r="D473" s="22"/>
      <c r="H473" s="22"/>
      <c r="J473" s="22"/>
      <c r="K473" s="27"/>
      <c r="L473" s="22"/>
      <c r="N473" s="22"/>
      <c r="O473" s="27"/>
      <c r="P473" s="22"/>
      <c r="R473" s="22"/>
      <c r="S473" s="27"/>
    </row>
    <row r="474" spans="1:19" s="20" customFormat="1" x14ac:dyDescent="0.25">
      <c r="A474" s="26"/>
      <c r="B474" s="21"/>
      <c r="C474" s="21"/>
      <c r="D474" s="22"/>
      <c r="H474" s="22"/>
      <c r="J474" s="22"/>
      <c r="K474" s="27"/>
      <c r="L474" s="22"/>
      <c r="N474" s="22"/>
      <c r="O474" s="27"/>
      <c r="P474" s="22"/>
      <c r="R474" s="22"/>
      <c r="S474" s="27"/>
    </row>
    <row r="475" spans="1:19" s="20" customFormat="1" x14ac:dyDescent="0.25">
      <c r="A475" s="26"/>
      <c r="B475" s="21"/>
      <c r="C475" s="21"/>
      <c r="D475" s="22"/>
      <c r="H475" s="22"/>
      <c r="J475" s="22"/>
      <c r="K475" s="27"/>
      <c r="L475" s="22"/>
      <c r="N475" s="22"/>
      <c r="O475" s="27"/>
      <c r="P475" s="22"/>
      <c r="R475" s="22"/>
      <c r="S475" s="27"/>
    </row>
    <row r="476" spans="1:19" s="20" customFormat="1" x14ac:dyDescent="0.25">
      <c r="A476" s="26"/>
      <c r="B476" s="21"/>
      <c r="C476" s="21"/>
      <c r="D476" s="22"/>
      <c r="H476" s="22"/>
      <c r="J476" s="22"/>
      <c r="K476" s="27"/>
      <c r="L476" s="22"/>
      <c r="N476" s="22"/>
      <c r="O476" s="27"/>
      <c r="P476" s="22"/>
      <c r="R476" s="22"/>
      <c r="S476" s="27"/>
    </row>
    <row r="477" spans="1:19" s="20" customFormat="1" x14ac:dyDescent="0.25">
      <c r="A477" s="26"/>
      <c r="B477" s="21"/>
      <c r="C477" s="21"/>
      <c r="D477" s="22"/>
      <c r="H477" s="22"/>
      <c r="J477" s="22"/>
      <c r="K477" s="27"/>
      <c r="L477" s="22"/>
      <c r="N477" s="22"/>
      <c r="O477" s="27"/>
      <c r="P477" s="22"/>
      <c r="R477" s="22"/>
      <c r="S477" s="27"/>
    </row>
    <row r="478" spans="1:19" s="20" customFormat="1" x14ac:dyDescent="0.25">
      <c r="A478" s="26"/>
      <c r="B478" s="21"/>
      <c r="C478" s="21"/>
      <c r="D478" s="22"/>
      <c r="H478" s="22"/>
      <c r="J478" s="22"/>
      <c r="K478" s="27"/>
      <c r="L478" s="22"/>
      <c r="N478" s="22"/>
      <c r="O478" s="27"/>
      <c r="P478" s="22"/>
      <c r="R478" s="22"/>
      <c r="S478" s="27"/>
    </row>
    <row r="479" spans="1:19" s="20" customFormat="1" x14ac:dyDescent="0.25">
      <c r="A479" s="26"/>
      <c r="B479" s="21"/>
      <c r="C479" s="21"/>
      <c r="D479" s="22"/>
      <c r="H479" s="22"/>
      <c r="J479" s="22"/>
      <c r="K479" s="27"/>
      <c r="L479" s="22"/>
      <c r="N479" s="22"/>
      <c r="O479" s="27"/>
      <c r="P479" s="22"/>
      <c r="R479" s="22"/>
      <c r="S479" s="27"/>
    </row>
    <row r="480" spans="1:19" s="20" customFormat="1" x14ac:dyDescent="0.25">
      <c r="A480" s="26"/>
      <c r="B480" s="21"/>
      <c r="C480" s="21"/>
      <c r="D480" s="22"/>
      <c r="H480" s="22"/>
      <c r="J480" s="22"/>
      <c r="K480" s="27"/>
      <c r="L480" s="22"/>
      <c r="N480" s="22"/>
      <c r="O480" s="27"/>
      <c r="P480" s="22"/>
      <c r="R480" s="22"/>
      <c r="S480" s="27"/>
    </row>
    <row r="481" spans="1:19" s="20" customFormat="1" x14ac:dyDescent="0.25">
      <c r="A481" s="26"/>
      <c r="B481" s="21"/>
      <c r="C481" s="21"/>
      <c r="D481" s="22"/>
      <c r="H481" s="22"/>
      <c r="J481" s="22"/>
      <c r="K481" s="27"/>
      <c r="L481" s="22"/>
      <c r="N481" s="22"/>
      <c r="O481" s="27"/>
      <c r="P481" s="22"/>
      <c r="R481" s="22"/>
      <c r="S481" s="27"/>
    </row>
    <row r="482" spans="1:19" s="20" customFormat="1" x14ac:dyDescent="0.25">
      <c r="A482" s="26"/>
      <c r="B482" s="21"/>
      <c r="C482" s="21"/>
      <c r="D482" s="22"/>
      <c r="H482" s="22"/>
      <c r="J482" s="22"/>
      <c r="K482" s="27"/>
      <c r="L482" s="22"/>
      <c r="N482" s="22"/>
      <c r="O482" s="27"/>
      <c r="P482" s="22"/>
      <c r="R482" s="22"/>
      <c r="S482" s="27"/>
    </row>
    <row r="483" spans="1:19" s="20" customFormat="1" x14ac:dyDescent="0.25">
      <c r="A483" s="26"/>
      <c r="B483" s="21"/>
      <c r="C483" s="21"/>
      <c r="D483" s="22"/>
      <c r="H483" s="22"/>
      <c r="J483" s="22"/>
      <c r="K483" s="27"/>
      <c r="L483" s="22"/>
      <c r="N483" s="22"/>
      <c r="O483" s="27"/>
      <c r="P483" s="22"/>
      <c r="R483" s="22"/>
      <c r="S483" s="27"/>
    </row>
    <row r="484" spans="1:19" s="20" customFormat="1" x14ac:dyDescent="0.25">
      <c r="A484" s="26"/>
      <c r="B484" s="21"/>
      <c r="C484" s="21"/>
      <c r="D484" s="22"/>
      <c r="H484" s="22"/>
      <c r="J484" s="22"/>
      <c r="K484" s="27"/>
      <c r="L484" s="22"/>
      <c r="N484" s="22"/>
      <c r="O484" s="27"/>
      <c r="P484" s="22"/>
      <c r="R484" s="22"/>
      <c r="S484" s="27"/>
    </row>
    <row r="485" spans="1:19" s="20" customFormat="1" x14ac:dyDescent="0.25">
      <c r="A485" s="26"/>
      <c r="B485" s="21"/>
      <c r="C485" s="21"/>
      <c r="D485" s="22"/>
      <c r="H485" s="22"/>
      <c r="J485" s="22"/>
      <c r="K485" s="27"/>
      <c r="L485" s="22"/>
      <c r="N485" s="22"/>
      <c r="O485" s="27"/>
      <c r="P485" s="22"/>
      <c r="R485" s="22"/>
      <c r="S485" s="27"/>
    </row>
    <row r="486" spans="1:19" s="20" customFormat="1" x14ac:dyDescent="0.25">
      <c r="A486" s="26"/>
      <c r="B486" s="21"/>
      <c r="C486" s="21"/>
      <c r="D486" s="22"/>
      <c r="H486" s="22"/>
      <c r="J486" s="22"/>
      <c r="K486" s="27"/>
      <c r="L486" s="22"/>
      <c r="N486" s="22"/>
      <c r="O486" s="27"/>
      <c r="P486" s="22"/>
      <c r="R486" s="22"/>
      <c r="S486" s="27"/>
    </row>
    <row r="487" spans="1:19" s="20" customFormat="1" x14ac:dyDescent="0.25">
      <c r="A487" s="26"/>
      <c r="B487" s="21"/>
      <c r="C487" s="21"/>
      <c r="D487" s="22"/>
      <c r="H487" s="22"/>
      <c r="J487" s="22"/>
      <c r="K487" s="27"/>
      <c r="L487" s="22"/>
      <c r="N487" s="22"/>
      <c r="O487" s="27"/>
      <c r="P487" s="22"/>
      <c r="R487" s="22"/>
      <c r="S487" s="27"/>
    </row>
    <row r="488" spans="1:19" s="20" customFormat="1" x14ac:dyDescent="0.25">
      <c r="A488" s="26"/>
      <c r="B488" s="21"/>
      <c r="C488" s="21"/>
      <c r="D488" s="22"/>
      <c r="H488" s="22"/>
      <c r="J488" s="22"/>
      <c r="K488" s="27"/>
      <c r="L488" s="22"/>
      <c r="N488" s="22"/>
      <c r="O488" s="27"/>
      <c r="P488" s="22"/>
      <c r="R488" s="22"/>
      <c r="S488" s="27"/>
    </row>
    <row r="489" spans="1:19" s="20" customFormat="1" x14ac:dyDescent="0.25">
      <c r="A489" s="26"/>
      <c r="B489" s="21"/>
      <c r="C489" s="21"/>
      <c r="D489" s="22"/>
      <c r="H489" s="22"/>
      <c r="J489" s="22"/>
      <c r="K489" s="27"/>
      <c r="L489" s="22"/>
      <c r="N489" s="22"/>
      <c r="O489" s="27"/>
      <c r="P489" s="22"/>
      <c r="R489" s="22"/>
      <c r="S489" s="27"/>
    </row>
    <row r="490" spans="1:19" s="20" customFormat="1" x14ac:dyDescent="0.25">
      <c r="A490" s="26"/>
      <c r="B490" s="21"/>
      <c r="C490" s="21"/>
      <c r="D490" s="22"/>
      <c r="H490" s="22"/>
      <c r="J490" s="22"/>
      <c r="K490" s="27"/>
      <c r="L490" s="22"/>
      <c r="N490" s="22"/>
      <c r="O490" s="27"/>
      <c r="P490" s="22"/>
      <c r="R490" s="22"/>
      <c r="S490" s="27"/>
    </row>
    <row r="491" spans="1:19" s="20" customFormat="1" x14ac:dyDescent="0.25">
      <c r="A491" s="26"/>
      <c r="B491" s="21"/>
      <c r="C491" s="21"/>
      <c r="D491" s="22"/>
      <c r="H491" s="22"/>
      <c r="J491" s="22"/>
      <c r="K491" s="27"/>
      <c r="L491" s="22"/>
      <c r="N491" s="22"/>
      <c r="O491" s="27"/>
      <c r="P491" s="22"/>
      <c r="R491" s="22"/>
      <c r="S491" s="27"/>
    </row>
    <row r="492" spans="1:19" s="20" customFormat="1" x14ac:dyDescent="0.25">
      <c r="A492" s="26"/>
      <c r="B492" s="21"/>
      <c r="C492" s="21"/>
      <c r="D492" s="22"/>
      <c r="H492" s="22"/>
      <c r="J492" s="22"/>
      <c r="K492" s="27"/>
      <c r="L492" s="22"/>
      <c r="N492" s="22"/>
      <c r="O492" s="27"/>
      <c r="P492" s="22"/>
      <c r="R492" s="22"/>
      <c r="S492" s="27"/>
    </row>
    <row r="493" spans="1:19" s="20" customFormat="1" x14ac:dyDescent="0.25">
      <c r="A493" s="26"/>
      <c r="B493" s="21"/>
      <c r="C493" s="21"/>
      <c r="D493" s="22"/>
      <c r="H493" s="22"/>
      <c r="J493" s="22"/>
      <c r="K493" s="27"/>
      <c r="L493" s="22"/>
      <c r="N493" s="22"/>
      <c r="O493" s="27"/>
      <c r="P493" s="22"/>
      <c r="R493" s="22"/>
      <c r="S493" s="27"/>
    </row>
    <row r="494" spans="1:19" s="20" customFormat="1" x14ac:dyDescent="0.25">
      <c r="A494" s="26"/>
      <c r="B494" s="21"/>
      <c r="C494" s="21"/>
      <c r="D494" s="22"/>
      <c r="H494" s="22"/>
      <c r="J494" s="22"/>
      <c r="K494" s="27"/>
      <c r="L494" s="22"/>
      <c r="N494" s="22"/>
      <c r="O494" s="27"/>
      <c r="P494" s="22"/>
      <c r="R494" s="22"/>
      <c r="S494" s="27"/>
    </row>
    <row r="495" spans="1:19" s="20" customFormat="1" x14ac:dyDescent="0.25">
      <c r="A495" s="26"/>
      <c r="B495" s="21"/>
      <c r="C495" s="21"/>
      <c r="D495" s="22"/>
      <c r="H495" s="22"/>
      <c r="J495" s="22"/>
      <c r="K495" s="27"/>
      <c r="L495" s="22"/>
      <c r="N495" s="22"/>
      <c r="O495" s="27"/>
      <c r="P495" s="22"/>
      <c r="R495" s="22"/>
      <c r="S495" s="27"/>
    </row>
    <row r="496" spans="1:19" s="20" customFormat="1" x14ac:dyDescent="0.25">
      <c r="A496" s="26"/>
      <c r="B496" s="21"/>
      <c r="C496" s="21"/>
      <c r="D496" s="22"/>
      <c r="H496" s="22"/>
      <c r="J496" s="22"/>
      <c r="K496" s="27"/>
      <c r="L496" s="22"/>
      <c r="N496" s="22"/>
      <c r="O496" s="27"/>
      <c r="P496" s="22"/>
      <c r="R496" s="22"/>
      <c r="S496" s="27"/>
    </row>
    <row r="497" spans="1:19" s="20" customFormat="1" x14ac:dyDescent="0.25">
      <c r="A497" s="26"/>
      <c r="B497" s="21"/>
      <c r="C497" s="21"/>
      <c r="D497" s="22"/>
      <c r="H497" s="22"/>
      <c r="J497" s="22"/>
      <c r="K497" s="27"/>
      <c r="L497" s="22"/>
      <c r="N497" s="22"/>
      <c r="O497" s="27"/>
      <c r="P497" s="22"/>
      <c r="R497" s="22"/>
      <c r="S497" s="27"/>
    </row>
    <row r="498" spans="1:19" s="20" customFormat="1" x14ac:dyDescent="0.25">
      <c r="A498" s="26"/>
      <c r="B498" s="21"/>
      <c r="C498" s="21"/>
      <c r="D498" s="22"/>
      <c r="H498" s="22"/>
      <c r="J498" s="22"/>
      <c r="K498" s="27"/>
      <c r="L498" s="22"/>
      <c r="N498" s="22"/>
      <c r="O498" s="27"/>
      <c r="P498" s="22"/>
      <c r="R498" s="22"/>
      <c r="S498" s="27"/>
    </row>
    <row r="499" spans="1:19" s="20" customFormat="1" x14ac:dyDescent="0.25">
      <c r="A499" s="26"/>
      <c r="B499" s="21"/>
      <c r="C499" s="21"/>
      <c r="D499" s="22"/>
      <c r="H499" s="22"/>
      <c r="J499" s="22"/>
      <c r="K499" s="27"/>
      <c r="L499" s="22"/>
      <c r="N499" s="22"/>
      <c r="O499" s="27"/>
      <c r="P499" s="22"/>
      <c r="R499" s="22"/>
      <c r="S499" s="27"/>
    </row>
    <row r="500" spans="1:19" s="20" customFormat="1" x14ac:dyDescent="0.25">
      <c r="A500" s="26"/>
      <c r="B500" s="21"/>
      <c r="C500" s="21"/>
      <c r="D500" s="22"/>
      <c r="H500" s="22"/>
      <c r="J500" s="22"/>
      <c r="K500" s="27"/>
      <c r="L500" s="22"/>
      <c r="N500" s="22"/>
      <c r="O500" s="27"/>
      <c r="P500" s="22"/>
      <c r="R500" s="22"/>
      <c r="S500" s="27"/>
    </row>
    <row r="501" spans="1:19" s="20" customFormat="1" x14ac:dyDescent="0.25">
      <c r="A501" s="26"/>
      <c r="B501" s="21"/>
      <c r="C501" s="21"/>
      <c r="D501" s="22"/>
      <c r="H501" s="22"/>
      <c r="J501" s="22"/>
      <c r="K501" s="27"/>
      <c r="L501" s="22"/>
      <c r="N501" s="22"/>
      <c r="O501" s="27"/>
      <c r="P501" s="22"/>
      <c r="R501" s="22"/>
      <c r="S501" s="27"/>
    </row>
    <row r="502" spans="1:19" s="20" customFormat="1" x14ac:dyDescent="0.25">
      <c r="A502" s="26"/>
      <c r="B502" s="21"/>
      <c r="C502" s="21"/>
      <c r="D502" s="22"/>
      <c r="H502" s="22"/>
      <c r="J502" s="22"/>
      <c r="K502" s="27"/>
      <c r="L502" s="22"/>
      <c r="N502" s="22"/>
      <c r="O502" s="27"/>
      <c r="P502" s="22"/>
      <c r="R502" s="22"/>
      <c r="S502" s="27"/>
    </row>
    <row r="503" spans="1:19" s="20" customFormat="1" x14ac:dyDescent="0.25">
      <c r="A503" s="26"/>
      <c r="B503" s="21"/>
      <c r="C503" s="21"/>
      <c r="D503" s="22"/>
      <c r="H503" s="22"/>
      <c r="J503" s="22"/>
      <c r="K503" s="27"/>
      <c r="L503" s="22"/>
      <c r="N503" s="22"/>
      <c r="O503" s="27"/>
      <c r="P503" s="22"/>
      <c r="R503" s="22"/>
      <c r="S503" s="27"/>
    </row>
    <row r="504" spans="1:19" s="20" customFormat="1" x14ac:dyDescent="0.25">
      <c r="A504" s="26"/>
      <c r="B504" s="21"/>
      <c r="C504" s="21"/>
      <c r="D504" s="22"/>
      <c r="H504" s="22"/>
      <c r="J504" s="22"/>
      <c r="K504" s="27"/>
      <c r="L504" s="22"/>
      <c r="N504" s="22"/>
      <c r="O504" s="27"/>
      <c r="P504" s="22"/>
      <c r="R504" s="22"/>
      <c r="S504" s="27"/>
    </row>
    <row r="505" spans="1:19" s="20" customFormat="1" x14ac:dyDescent="0.25">
      <c r="A505" s="26"/>
      <c r="B505" s="21"/>
      <c r="C505" s="21"/>
      <c r="D505" s="22"/>
      <c r="H505" s="22"/>
      <c r="J505" s="22"/>
      <c r="K505" s="27"/>
      <c r="L505" s="22"/>
      <c r="N505" s="22"/>
      <c r="O505" s="27"/>
      <c r="P505" s="22"/>
      <c r="R505" s="22"/>
      <c r="S505" s="27"/>
    </row>
    <row r="506" spans="1:19" s="20" customFormat="1" x14ac:dyDescent="0.25">
      <c r="A506" s="26"/>
      <c r="B506" s="21"/>
      <c r="C506" s="21"/>
      <c r="D506" s="22"/>
      <c r="H506" s="22"/>
      <c r="J506" s="22"/>
      <c r="K506" s="27"/>
      <c r="L506" s="22"/>
      <c r="N506" s="22"/>
      <c r="O506" s="27"/>
      <c r="P506" s="22"/>
      <c r="R506" s="22"/>
      <c r="S506" s="27"/>
    </row>
    <row r="507" spans="1:19" s="20" customFormat="1" x14ac:dyDescent="0.25">
      <c r="A507" s="26"/>
      <c r="B507" s="21"/>
      <c r="C507" s="21"/>
      <c r="D507" s="22"/>
      <c r="H507" s="22"/>
      <c r="J507" s="22"/>
      <c r="K507" s="27"/>
      <c r="L507" s="22"/>
      <c r="N507" s="22"/>
      <c r="O507" s="27"/>
      <c r="P507" s="22"/>
      <c r="R507" s="22"/>
      <c r="S507" s="27"/>
    </row>
    <row r="508" spans="1:19" s="20" customFormat="1" x14ac:dyDescent="0.25">
      <c r="A508" s="26"/>
      <c r="B508" s="21"/>
      <c r="C508" s="21"/>
      <c r="D508" s="22"/>
      <c r="H508" s="22"/>
      <c r="J508" s="22"/>
      <c r="K508" s="27"/>
      <c r="L508" s="22"/>
      <c r="N508" s="22"/>
      <c r="O508" s="27"/>
      <c r="P508" s="22"/>
      <c r="R508" s="22"/>
      <c r="S508" s="27"/>
    </row>
    <row r="509" spans="1:19" s="20" customFormat="1" x14ac:dyDescent="0.25">
      <c r="A509" s="26"/>
      <c r="B509" s="21"/>
      <c r="C509" s="21"/>
      <c r="D509" s="22"/>
      <c r="H509" s="22"/>
      <c r="J509" s="22"/>
      <c r="K509" s="27"/>
      <c r="L509" s="22"/>
      <c r="N509" s="22"/>
      <c r="O509" s="27"/>
      <c r="P509" s="22"/>
      <c r="R509" s="22"/>
      <c r="S509" s="27"/>
    </row>
    <row r="510" spans="1:19" s="20" customFormat="1" x14ac:dyDescent="0.25">
      <c r="A510" s="26"/>
      <c r="B510" s="21"/>
      <c r="C510" s="21"/>
      <c r="D510" s="22"/>
      <c r="H510" s="22"/>
      <c r="J510" s="22"/>
      <c r="K510" s="27"/>
      <c r="L510" s="22"/>
      <c r="N510" s="22"/>
      <c r="O510" s="27"/>
      <c r="P510" s="22"/>
      <c r="R510" s="22"/>
      <c r="S510" s="27"/>
    </row>
    <row r="511" spans="1:19" s="20" customFormat="1" x14ac:dyDescent="0.25">
      <c r="A511" s="26"/>
      <c r="B511" s="21"/>
      <c r="C511" s="21"/>
      <c r="D511" s="22"/>
      <c r="H511" s="22"/>
      <c r="J511" s="22"/>
      <c r="K511" s="27"/>
      <c r="L511" s="22"/>
      <c r="N511" s="22"/>
      <c r="O511" s="27"/>
      <c r="P511" s="22"/>
      <c r="R511" s="22"/>
      <c r="S511" s="27"/>
    </row>
    <row r="512" spans="1:19" s="20" customFormat="1" x14ac:dyDescent="0.25">
      <c r="A512" s="26"/>
      <c r="B512" s="21"/>
      <c r="C512" s="21"/>
      <c r="D512" s="22"/>
      <c r="H512" s="22"/>
      <c r="J512" s="22"/>
      <c r="K512" s="27"/>
      <c r="L512" s="22"/>
      <c r="N512" s="22"/>
      <c r="O512" s="27"/>
      <c r="P512" s="22"/>
      <c r="R512" s="22"/>
      <c r="S512" s="27"/>
    </row>
    <row r="513" spans="1:19" s="20" customFormat="1" x14ac:dyDescent="0.25">
      <c r="A513" s="26"/>
      <c r="B513" s="21"/>
      <c r="C513" s="21"/>
      <c r="D513" s="22"/>
      <c r="H513" s="22"/>
      <c r="J513" s="22"/>
      <c r="K513" s="27"/>
      <c r="L513" s="22"/>
      <c r="N513" s="22"/>
      <c r="O513" s="27"/>
      <c r="P513" s="22"/>
      <c r="R513" s="22"/>
      <c r="S513" s="27"/>
    </row>
    <row r="514" spans="1:19" s="20" customFormat="1" x14ac:dyDescent="0.25">
      <c r="A514" s="26"/>
      <c r="B514" s="21"/>
      <c r="C514" s="21"/>
      <c r="D514" s="22"/>
      <c r="H514" s="22"/>
      <c r="J514" s="22"/>
      <c r="K514" s="27"/>
      <c r="L514" s="22"/>
      <c r="N514" s="22"/>
      <c r="O514" s="27"/>
      <c r="P514" s="22"/>
      <c r="R514" s="22"/>
      <c r="S514" s="27"/>
    </row>
    <row r="515" spans="1:19" s="20" customFormat="1" x14ac:dyDescent="0.25">
      <c r="A515" s="26"/>
      <c r="B515" s="21"/>
      <c r="C515" s="21"/>
      <c r="D515" s="22"/>
      <c r="H515" s="22"/>
      <c r="J515" s="22"/>
      <c r="K515" s="27"/>
      <c r="L515" s="22"/>
      <c r="N515" s="22"/>
      <c r="O515" s="27"/>
      <c r="P515" s="22"/>
      <c r="R515" s="22"/>
      <c r="S515" s="27"/>
    </row>
    <row r="516" spans="1:19" s="20" customFormat="1" x14ac:dyDescent="0.25">
      <c r="A516" s="26"/>
      <c r="B516" s="21"/>
      <c r="C516" s="21"/>
      <c r="D516" s="22"/>
      <c r="H516" s="22"/>
      <c r="J516" s="22"/>
      <c r="K516" s="27"/>
      <c r="L516" s="22"/>
      <c r="N516" s="22"/>
      <c r="O516" s="27"/>
      <c r="P516" s="22"/>
      <c r="R516" s="22"/>
      <c r="S516" s="27"/>
    </row>
    <row r="517" spans="1:19" s="20" customFormat="1" x14ac:dyDescent="0.25">
      <c r="A517" s="26"/>
      <c r="B517" s="21"/>
      <c r="C517" s="21"/>
      <c r="D517" s="22"/>
      <c r="H517" s="22"/>
      <c r="J517" s="22"/>
      <c r="K517" s="27"/>
      <c r="L517" s="22"/>
      <c r="N517" s="22"/>
      <c r="O517" s="27"/>
      <c r="P517" s="22"/>
      <c r="R517" s="22"/>
      <c r="S517" s="27"/>
    </row>
    <row r="518" spans="1:19" s="20" customFormat="1" x14ac:dyDescent="0.25">
      <c r="A518" s="26"/>
      <c r="B518" s="21"/>
      <c r="C518" s="21"/>
      <c r="D518" s="22"/>
      <c r="H518" s="22"/>
      <c r="J518" s="22"/>
      <c r="K518" s="27"/>
      <c r="L518" s="22"/>
      <c r="N518" s="22"/>
      <c r="O518" s="27"/>
      <c r="P518" s="22"/>
      <c r="R518" s="22"/>
      <c r="S518" s="27"/>
    </row>
    <row r="519" spans="1:19" s="20" customFormat="1" x14ac:dyDescent="0.25">
      <c r="A519" s="26"/>
      <c r="B519" s="21"/>
      <c r="C519" s="21"/>
      <c r="D519" s="22"/>
      <c r="H519" s="22"/>
      <c r="J519" s="22"/>
      <c r="K519" s="27"/>
      <c r="L519" s="22"/>
      <c r="N519" s="22"/>
      <c r="O519" s="27"/>
      <c r="P519" s="22"/>
      <c r="R519" s="22"/>
      <c r="S519" s="27"/>
    </row>
    <row r="520" spans="1:19" s="20" customFormat="1" x14ac:dyDescent="0.25">
      <c r="A520" s="26"/>
      <c r="B520" s="21"/>
      <c r="C520" s="21"/>
      <c r="D520" s="22"/>
      <c r="H520" s="22"/>
      <c r="J520" s="22"/>
      <c r="K520" s="27"/>
      <c r="L520" s="22"/>
      <c r="N520" s="22"/>
      <c r="O520" s="27"/>
      <c r="P520" s="22"/>
      <c r="R520" s="22"/>
      <c r="S520" s="27"/>
    </row>
    <row r="521" spans="1:19" s="20" customFormat="1" x14ac:dyDescent="0.25">
      <c r="A521" s="26"/>
      <c r="B521" s="21"/>
      <c r="C521" s="21"/>
      <c r="D521" s="22"/>
      <c r="H521" s="22"/>
      <c r="J521" s="22"/>
      <c r="K521" s="27"/>
      <c r="L521" s="22"/>
      <c r="N521" s="22"/>
      <c r="O521" s="27"/>
      <c r="P521" s="22"/>
      <c r="R521" s="22"/>
      <c r="S521" s="27"/>
    </row>
    <row r="522" spans="1:19" s="20" customFormat="1" x14ac:dyDescent="0.25">
      <c r="A522" s="26"/>
      <c r="B522" s="21"/>
      <c r="C522" s="21"/>
      <c r="D522" s="22"/>
      <c r="H522" s="22"/>
      <c r="J522" s="22"/>
      <c r="K522" s="27"/>
      <c r="L522" s="22"/>
      <c r="N522" s="22"/>
      <c r="O522" s="27"/>
      <c r="P522" s="22"/>
      <c r="R522" s="22"/>
      <c r="S522" s="27"/>
    </row>
    <row r="523" spans="1:19" s="20" customFormat="1" x14ac:dyDescent="0.25">
      <c r="A523" s="26"/>
      <c r="B523" s="21"/>
      <c r="C523" s="21"/>
      <c r="D523" s="22"/>
      <c r="H523" s="22"/>
      <c r="J523" s="22"/>
      <c r="K523" s="27"/>
      <c r="L523" s="22"/>
      <c r="N523" s="22"/>
      <c r="O523" s="27"/>
      <c r="P523" s="22"/>
      <c r="R523" s="22"/>
      <c r="S523" s="27"/>
    </row>
    <row r="524" spans="1:19" s="20" customFormat="1" x14ac:dyDescent="0.25">
      <c r="A524" s="26"/>
      <c r="B524" s="21"/>
      <c r="C524" s="21"/>
      <c r="D524" s="22"/>
      <c r="H524" s="22"/>
      <c r="J524" s="22"/>
      <c r="K524" s="27"/>
      <c r="L524" s="22"/>
      <c r="N524" s="22"/>
      <c r="O524" s="27"/>
      <c r="P524" s="22"/>
      <c r="R524" s="22"/>
      <c r="S524" s="27"/>
    </row>
    <row r="525" spans="1:19" s="20" customFormat="1" x14ac:dyDescent="0.25">
      <c r="A525" s="26"/>
      <c r="B525" s="21"/>
      <c r="C525" s="21"/>
      <c r="D525" s="22"/>
      <c r="H525" s="22"/>
      <c r="J525" s="22"/>
      <c r="K525" s="27"/>
      <c r="L525" s="22"/>
      <c r="N525" s="22"/>
      <c r="O525" s="27"/>
      <c r="P525" s="22"/>
      <c r="R525" s="22"/>
      <c r="S525" s="27"/>
    </row>
    <row r="526" spans="1:19" s="20" customFormat="1" x14ac:dyDescent="0.25">
      <c r="A526" s="26"/>
      <c r="B526" s="21"/>
      <c r="C526" s="21"/>
      <c r="D526" s="22"/>
      <c r="H526" s="22"/>
      <c r="J526" s="22"/>
      <c r="K526" s="27"/>
      <c r="L526" s="22"/>
      <c r="N526" s="22"/>
      <c r="O526" s="27"/>
      <c r="P526" s="22"/>
      <c r="R526" s="22"/>
      <c r="S526" s="27"/>
    </row>
    <row r="527" spans="1:19" s="20" customFormat="1" x14ac:dyDescent="0.25">
      <c r="A527" s="26"/>
      <c r="B527" s="21"/>
      <c r="C527" s="21"/>
      <c r="D527" s="22"/>
      <c r="H527" s="22"/>
      <c r="J527" s="22"/>
      <c r="K527" s="27"/>
      <c r="L527" s="22"/>
      <c r="N527" s="22"/>
      <c r="O527" s="27"/>
      <c r="P527" s="22"/>
      <c r="R527" s="22"/>
      <c r="S527" s="27"/>
    </row>
    <row r="528" spans="1:19" s="20" customFormat="1" x14ac:dyDescent="0.25">
      <c r="A528" s="26"/>
      <c r="B528" s="21"/>
      <c r="C528" s="21"/>
      <c r="D528" s="22"/>
      <c r="H528" s="22"/>
      <c r="J528" s="22"/>
      <c r="K528" s="27"/>
      <c r="L528" s="22"/>
      <c r="N528" s="22"/>
      <c r="O528" s="27"/>
      <c r="P528" s="22"/>
      <c r="R528" s="22"/>
      <c r="S528" s="27"/>
    </row>
    <row r="529" spans="1:19" s="20" customFormat="1" x14ac:dyDescent="0.25">
      <c r="A529" s="26"/>
      <c r="B529" s="21"/>
      <c r="C529" s="21"/>
      <c r="D529" s="22"/>
      <c r="H529" s="22"/>
      <c r="J529" s="22"/>
      <c r="K529" s="27"/>
      <c r="L529" s="22"/>
      <c r="N529" s="22"/>
      <c r="O529" s="27"/>
      <c r="P529" s="22"/>
      <c r="R529" s="22"/>
      <c r="S529" s="27"/>
    </row>
    <row r="530" spans="1:19" s="20" customFormat="1" x14ac:dyDescent="0.25">
      <c r="A530" s="26"/>
      <c r="B530" s="21"/>
      <c r="C530" s="21"/>
      <c r="D530" s="22"/>
      <c r="H530" s="22"/>
      <c r="J530" s="22"/>
      <c r="K530" s="27"/>
      <c r="L530" s="22"/>
      <c r="N530" s="22"/>
      <c r="O530" s="27"/>
      <c r="P530" s="22"/>
      <c r="R530" s="22"/>
      <c r="S530" s="27"/>
    </row>
    <row r="531" spans="1:19" s="20" customFormat="1" x14ac:dyDescent="0.25">
      <c r="A531" s="26"/>
      <c r="B531" s="21"/>
      <c r="C531" s="21"/>
      <c r="D531" s="22"/>
      <c r="H531" s="22"/>
      <c r="J531" s="22"/>
      <c r="K531" s="27"/>
      <c r="L531" s="22"/>
      <c r="N531" s="22"/>
      <c r="O531" s="27"/>
      <c r="P531" s="22"/>
      <c r="R531" s="22"/>
      <c r="S531" s="27"/>
    </row>
    <row r="532" spans="1:19" s="20" customFormat="1" x14ac:dyDescent="0.25">
      <c r="A532" s="26"/>
      <c r="B532" s="21"/>
      <c r="C532" s="21"/>
      <c r="D532" s="22"/>
      <c r="H532" s="22"/>
      <c r="J532" s="22"/>
      <c r="K532" s="27"/>
      <c r="L532" s="22"/>
      <c r="N532" s="22"/>
      <c r="O532" s="27"/>
      <c r="P532" s="22"/>
      <c r="R532" s="22"/>
      <c r="S532" s="27"/>
    </row>
    <row r="533" spans="1:19" s="20" customFormat="1" x14ac:dyDescent="0.25">
      <c r="A533" s="26"/>
      <c r="B533" s="21"/>
      <c r="C533" s="21"/>
      <c r="D533" s="22"/>
      <c r="H533" s="22"/>
      <c r="J533" s="22"/>
      <c r="K533" s="27"/>
      <c r="L533" s="22"/>
      <c r="N533" s="22"/>
      <c r="O533" s="27"/>
      <c r="P533" s="22"/>
      <c r="R533" s="22"/>
      <c r="S533" s="27"/>
    </row>
    <row r="534" spans="1:19" s="20" customFormat="1" x14ac:dyDescent="0.25">
      <c r="A534" s="26"/>
      <c r="B534" s="21"/>
      <c r="C534" s="21"/>
      <c r="D534" s="22"/>
      <c r="H534" s="22"/>
      <c r="J534" s="22"/>
      <c r="K534" s="27"/>
      <c r="L534" s="22"/>
      <c r="N534" s="22"/>
      <c r="O534" s="27"/>
      <c r="P534" s="22"/>
      <c r="R534" s="22"/>
      <c r="S534" s="27"/>
    </row>
    <row r="535" spans="1:19" s="20" customFormat="1" x14ac:dyDescent="0.25">
      <c r="A535" s="26"/>
      <c r="B535" s="21"/>
      <c r="C535" s="21"/>
      <c r="D535" s="22"/>
      <c r="H535" s="22"/>
      <c r="J535" s="22"/>
      <c r="K535" s="27"/>
      <c r="L535" s="22"/>
      <c r="N535" s="22"/>
      <c r="O535" s="27"/>
      <c r="P535" s="22"/>
      <c r="R535" s="22"/>
      <c r="S535" s="27"/>
    </row>
    <row r="536" spans="1:19" s="20" customFormat="1" x14ac:dyDescent="0.25">
      <c r="A536" s="26"/>
      <c r="B536" s="21"/>
      <c r="C536" s="21"/>
      <c r="D536" s="22"/>
      <c r="H536" s="22"/>
      <c r="J536" s="22"/>
      <c r="K536" s="27"/>
      <c r="L536" s="22"/>
      <c r="N536" s="22"/>
      <c r="O536" s="27"/>
      <c r="P536" s="22"/>
      <c r="R536" s="22"/>
      <c r="S536" s="27"/>
    </row>
    <row r="537" spans="1:19" s="20" customFormat="1" x14ac:dyDescent="0.25">
      <c r="A537" s="26"/>
      <c r="B537" s="21"/>
      <c r="C537" s="21"/>
      <c r="D537" s="22"/>
      <c r="H537" s="22"/>
      <c r="J537" s="22"/>
      <c r="K537" s="27"/>
      <c r="L537" s="22"/>
      <c r="N537" s="22"/>
      <c r="O537" s="27"/>
      <c r="P537" s="22"/>
      <c r="R537" s="22"/>
      <c r="S537" s="27"/>
    </row>
    <row r="538" spans="1:19" s="20" customFormat="1" x14ac:dyDescent="0.25">
      <c r="A538" s="26"/>
      <c r="B538" s="21"/>
      <c r="C538" s="21"/>
      <c r="D538" s="22"/>
      <c r="H538" s="22"/>
      <c r="J538" s="22"/>
      <c r="K538" s="27"/>
      <c r="L538" s="22"/>
      <c r="N538" s="22"/>
      <c r="O538" s="27"/>
      <c r="P538" s="22"/>
      <c r="R538" s="22"/>
      <c r="S538" s="27"/>
    </row>
    <row r="539" spans="1:19" s="20" customFormat="1" x14ac:dyDescent="0.25">
      <c r="A539" s="26"/>
      <c r="B539" s="21"/>
      <c r="C539" s="21"/>
      <c r="D539" s="22"/>
      <c r="H539" s="22"/>
      <c r="J539" s="22"/>
      <c r="K539" s="27"/>
      <c r="L539" s="22"/>
      <c r="N539" s="22"/>
      <c r="O539" s="27"/>
      <c r="P539" s="22"/>
      <c r="R539" s="22"/>
      <c r="S539" s="27"/>
    </row>
    <row r="540" spans="1:19" s="20" customFormat="1" x14ac:dyDescent="0.25">
      <c r="A540" s="26"/>
      <c r="B540" s="21"/>
      <c r="C540" s="21"/>
      <c r="D540" s="22"/>
      <c r="H540" s="22"/>
      <c r="J540" s="22"/>
      <c r="K540" s="27"/>
      <c r="L540" s="22"/>
      <c r="N540" s="22"/>
      <c r="O540" s="27"/>
      <c r="P540" s="22"/>
      <c r="R540" s="22"/>
      <c r="S540" s="27"/>
    </row>
    <row r="541" spans="1:19" s="20" customFormat="1" x14ac:dyDescent="0.25">
      <c r="A541" s="26"/>
      <c r="B541" s="21"/>
      <c r="C541" s="21"/>
      <c r="D541" s="22"/>
      <c r="H541" s="22"/>
      <c r="J541" s="22"/>
      <c r="K541" s="27"/>
      <c r="L541" s="22"/>
      <c r="N541" s="22"/>
      <c r="O541" s="27"/>
      <c r="P541" s="22"/>
      <c r="R541" s="22"/>
      <c r="S541" s="27"/>
    </row>
    <row r="542" spans="1:19" s="20" customFormat="1" x14ac:dyDescent="0.25">
      <c r="A542" s="26"/>
      <c r="B542" s="21"/>
      <c r="C542" s="21"/>
      <c r="D542" s="22"/>
      <c r="H542" s="22"/>
      <c r="J542" s="22"/>
      <c r="K542" s="27"/>
      <c r="L542" s="22"/>
      <c r="N542" s="22"/>
      <c r="O542" s="27"/>
      <c r="P542" s="22"/>
      <c r="R542" s="22"/>
      <c r="S542" s="27"/>
    </row>
    <row r="543" spans="1:19" s="20" customFormat="1" x14ac:dyDescent="0.25">
      <c r="A543" s="26"/>
      <c r="B543" s="21"/>
      <c r="C543" s="21"/>
      <c r="D543" s="22"/>
      <c r="H543" s="22"/>
      <c r="J543" s="22"/>
      <c r="K543" s="27"/>
      <c r="L543" s="22"/>
      <c r="N543" s="22"/>
      <c r="O543" s="27"/>
      <c r="P543" s="22"/>
      <c r="R543" s="22"/>
      <c r="S543" s="27"/>
    </row>
    <row r="544" spans="1:19" s="20" customFormat="1" x14ac:dyDescent="0.25">
      <c r="A544" s="26"/>
      <c r="B544" s="21"/>
      <c r="C544" s="21"/>
      <c r="D544" s="22"/>
      <c r="H544" s="22"/>
      <c r="J544" s="22"/>
      <c r="K544" s="27"/>
      <c r="L544" s="22"/>
      <c r="N544" s="22"/>
      <c r="O544" s="27"/>
      <c r="P544" s="22"/>
      <c r="R544" s="22"/>
      <c r="S544" s="27"/>
    </row>
    <row r="545" spans="1:19" s="20" customFormat="1" x14ac:dyDescent="0.25">
      <c r="A545" s="26"/>
      <c r="B545" s="21"/>
      <c r="C545" s="21"/>
      <c r="D545" s="22"/>
      <c r="H545" s="22"/>
      <c r="J545" s="22"/>
      <c r="K545" s="27"/>
      <c r="L545" s="22"/>
      <c r="N545" s="22"/>
      <c r="O545" s="27"/>
      <c r="P545" s="22"/>
      <c r="R545" s="22"/>
      <c r="S545" s="27"/>
    </row>
    <row r="546" spans="1:19" s="20" customFormat="1" x14ac:dyDescent="0.25">
      <c r="A546" s="26"/>
      <c r="B546" s="21"/>
      <c r="C546" s="21"/>
      <c r="D546" s="22"/>
      <c r="H546" s="22"/>
      <c r="J546" s="22"/>
      <c r="K546" s="27"/>
      <c r="L546" s="22"/>
      <c r="N546" s="22"/>
      <c r="O546" s="27"/>
      <c r="P546" s="22"/>
      <c r="R546" s="22"/>
      <c r="S546" s="27"/>
    </row>
    <row r="547" spans="1:19" s="20" customFormat="1" x14ac:dyDescent="0.25">
      <c r="A547" s="26"/>
      <c r="B547" s="21"/>
      <c r="C547" s="21"/>
      <c r="D547" s="22"/>
      <c r="H547" s="22"/>
      <c r="J547" s="22"/>
      <c r="K547" s="27"/>
      <c r="L547" s="22"/>
      <c r="N547" s="22"/>
      <c r="O547" s="27"/>
      <c r="P547" s="22"/>
      <c r="R547" s="22"/>
      <c r="S547" s="27"/>
    </row>
    <row r="548" spans="1:19" s="20" customFormat="1" x14ac:dyDescent="0.25">
      <c r="A548" s="26"/>
      <c r="B548" s="21"/>
      <c r="C548" s="21"/>
      <c r="D548" s="22"/>
      <c r="H548" s="22"/>
      <c r="J548" s="22"/>
      <c r="K548" s="27"/>
      <c r="L548" s="22"/>
      <c r="N548" s="22"/>
      <c r="O548" s="27"/>
      <c r="P548" s="22"/>
      <c r="R548" s="22"/>
      <c r="S548" s="27"/>
    </row>
    <row r="549" spans="1:19" s="20" customFormat="1" x14ac:dyDescent="0.25">
      <c r="A549" s="26"/>
      <c r="B549" s="21"/>
      <c r="C549" s="21"/>
      <c r="D549" s="22"/>
      <c r="H549" s="22"/>
      <c r="J549" s="22"/>
      <c r="K549" s="27"/>
      <c r="L549" s="22"/>
      <c r="N549" s="22"/>
      <c r="O549" s="27"/>
      <c r="P549" s="22"/>
      <c r="R549" s="22"/>
      <c r="S549" s="27"/>
    </row>
    <row r="550" spans="1:19" s="20" customFormat="1" x14ac:dyDescent="0.25">
      <c r="A550" s="26"/>
      <c r="B550" s="21"/>
      <c r="C550" s="21"/>
      <c r="D550" s="22"/>
      <c r="H550" s="22"/>
      <c r="J550" s="22"/>
      <c r="K550" s="27"/>
      <c r="L550" s="22"/>
      <c r="N550" s="22"/>
      <c r="O550" s="27"/>
      <c r="P550" s="22"/>
      <c r="R550" s="22"/>
      <c r="S550" s="27"/>
    </row>
    <row r="551" spans="1:19" s="20" customFormat="1" x14ac:dyDescent="0.25">
      <c r="A551" s="26"/>
      <c r="B551" s="21"/>
      <c r="C551" s="21"/>
      <c r="D551" s="22"/>
      <c r="H551" s="22"/>
      <c r="J551" s="22"/>
      <c r="K551" s="27"/>
      <c r="L551" s="22"/>
      <c r="N551" s="22"/>
      <c r="O551" s="27"/>
      <c r="P551" s="22"/>
      <c r="R551" s="22"/>
      <c r="S551" s="27"/>
    </row>
    <row r="552" spans="1:19" s="20" customFormat="1" x14ac:dyDescent="0.25">
      <c r="A552" s="26"/>
      <c r="B552" s="21"/>
      <c r="C552" s="21"/>
      <c r="D552" s="22"/>
      <c r="H552" s="22"/>
      <c r="J552" s="22"/>
      <c r="K552" s="27"/>
      <c r="L552" s="22"/>
      <c r="N552" s="22"/>
      <c r="O552" s="27"/>
      <c r="P552" s="22"/>
      <c r="R552" s="22"/>
      <c r="S552" s="27"/>
    </row>
    <row r="553" spans="1:19" s="20" customFormat="1" x14ac:dyDescent="0.25">
      <c r="A553" s="26"/>
      <c r="B553" s="21"/>
      <c r="C553" s="21"/>
      <c r="D553" s="22"/>
      <c r="H553" s="22"/>
      <c r="J553" s="22"/>
      <c r="K553" s="27"/>
      <c r="L553" s="22"/>
      <c r="N553" s="22"/>
      <c r="O553" s="27"/>
      <c r="P553" s="22"/>
      <c r="R553" s="22"/>
      <c r="S553" s="27"/>
    </row>
    <row r="554" spans="1:19" s="20" customFormat="1" x14ac:dyDescent="0.25">
      <c r="A554" s="26"/>
      <c r="B554" s="21"/>
      <c r="C554" s="21"/>
      <c r="D554" s="22"/>
      <c r="H554" s="22"/>
      <c r="J554" s="22"/>
      <c r="K554" s="27"/>
      <c r="L554" s="22"/>
      <c r="N554" s="22"/>
      <c r="O554" s="27"/>
      <c r="P554" s="22"/>
      <c r="R554" s="22"/>
      <c r="S554" s="27"/>
    </row>
    <row r="555" spans="1:19" s="20" customFormat="1" x14ac:dyDescent="0.25">
      <c r="A555" s="26"/>
      <c r="B555" s="21"/>
      <c r="C555" s="21"/>
      <c r="D555" s="22"/>
      <c r="H555" s="22"/>
      <c r="J555" s="22"/>
      <c r="K555" s="27"/>
      <c r="L555" s="22"/>
      <c r="N555" s="22"/>
      <c r="O555" s="27"/>
      <c r="P555" s="22"/>
      <c r="R555" s="22"/>
      <c r="S555" s="27"/>
    </row>
    <row r="556" spans="1:19" s="20" customFormat="1" x14ac:dyDescent="0.25">
      <c r="A556" s="26"/>
      <c r="B556" s="21"/>
      <c r="C556" s="21"/>
      <c r="D556" s="22"/>
      <c r="H556" s="22"/>
      <c r="J556" s="22"/>
      <c r="K556" s="27"/>
      <c r="L556" s="22"/>
      <c r="N556" s="22"/>
      <c r="O556" s="27"/>
      <c r="P556" s="22"/>
      <c r="R556" s="22"/>
      <c r="S556" s="27"/>
    </row>
    <row r="557" spans="1:19" s="20" customFormat="1" x14ac:dyDescent="0.25">
      <c r="A557" s="26"/>
      <c r="B557" s="21"/>
      <c r="C557" s="21"/>
      <c r="D557" s="22"/>
      <c r="H557" s="22"/>
      <c r="J557" s="22"/>
      <c r="K557" s="27"/>
      <c r="L557" s="22"/>
      <c r="N557" s="22"/>
      <c r="O557" s="27"/>
      <c r="P557" s="22"/>
      <c r="R557" s="22"/>
      <c r="S557" s="27"/>
    </row>
    <row r="558" spans="1:19" s="20" customFormat="1" x14ac:dyDescent="0.25">
      <c r="A558" s="26"/>
      <c r="B558" s="21"/>
      <c r="C558" s="21"/>
      <c r="D558" s="22"/>
      <c r="H558" s="22"/>
      <c r="J558" s="22"/>
      <c r="K558" s="27"/>
      <c r="L558" s="22"/>
      <c r="N558" s="22"/>
      <c r="O558" s="27"/>
      <c r="P558" s="22"/>
      <c r="R558" s="22"/>
      <c r="S558" s="27"/>
    </row>
    <row r="559" spans="1:19" s="20" customFormat="1" x14ac:dyDescent="0.25">
      <c r="A559" s="26"/>
      <c r="B559" s="21"/>
      <c r="C559" s="21"/>
      <c r="D559" s="22"/>
      <c r="H559" s="22"/>
      <c r="J559" s="22"/>
      <c r="K559" s="27"/>
      <c r="L559" s="22"/>
      <c r="N559" s="22"/>
      <c r="O559" s="27"/>
      <c r="P559" s="22"/>
      <c r="R559" s="22"/>
      <c r="S559" s="27"/>
    </row>
    <row r="560" spans="1:19" s="20" customFormat="1" x14ac:dyDescent="0.25">
      <c r="A560" s="26"/>
      <c r="B560" s="21"/>
      <c r="C560" s="21"/>
      <c r="D560" s="22"/>
      <c r="H560" s="22"/>
      <c r="J560" s="22"/>
      <c r="K560" s="27"/>
      <c r="L560" s="22"/>
      <c r="N560" s="22"/>
      <c r="O560" s="27"/>
      <c r="P560" s="22"/>
      <c r="R560" s="22"/>
      <c r="S560" s="27"/>
    </row>
    <row r="561" spans="1:19" s="20" customFormat="1" x14ac:dyDescent="0.25">
      <c r="A561" s="26"/>
      <c r="B561" s="21"/>
      <c r="C561" s="21"/>
      <c r="D561" s="22"/>
      <c r="H561" s="22"/>
      <c r="J561" s="22"/>
      <c r="K561" s="27"/>
      <c r="L561" s="22"/>
      <c r="N561" s="22"/>
      <c r="O561" s="27"/>
      <c r="P561" s="22"/>
      <c r="R561" s="22"/>
      <c r="S561" s="27"/>
    </row>
    <row r="562" spans="1:19" s="20" customFormat="1" x14ac:dyDescent="0.25">
      <c r="A562" s="26"/>
      <c r="B562" s="21"/>
      <c r="C562" s="21"/>
      <c r="D562" s="22"/>
      <c r="H562" s="22"/>
      <c r="J562" s="22"/>
      <c r="K562" s="27"/>
      <c r="L562" s="22"/>
      <c r="N562" s="22"/>
      <c r="O562" s="27"/>
      <c r="P562" s="22"/>
      <c r="R562" s="22"/>
      <c r="S562" s="27"/>
    </row>
    <row r="563" spans="1:19" s="20" customFormat="1" x14ac:dyDescent="0.25">
      <c r="A563" s="26"/>
      <c r="B563" s="21"/>
      <c r="C563" s="21"/>
      <c r="D563" s="22"/>
      <c r="H563" s="22"/>
      <c r="J563" s="22"/>
      <c r="K563" s="27"/>
      <c r="L563" s="22"/>
      <c r="N563" s="22"/>
      <c r="O563" s="27"/>
      <c r="P563" s="22"/>
      <c r="R563" s="22"/>
      <c r="S563" s="27"/>
    </row>
    <row r="564" spans="1:19" s="20" customFormat="1" x14ac:dyDescent="0.25">
      <c r="A564" s="26"/>
      <c r="B564" s="21"/>
      <c r="C564" s="21"/>
      <c r="D564" s="22"/>
      <c r="H564" s="22"/>
      <c r="J564" s="22"/>
      <c r="K564" s="27"/>
      <c r="L564" s="22"/>
      <c r="N564" s="22"/>
      <c r="O564" s="27"/>
      <c r="P564" s="22"/>
      <c r="R564" s="22"/>
      <c r="S564" s="27"/>
    </row>
    <row r="565" spans="1:19" s="20" customFormat="1" x14ac:dyDescent="0.25">
      <c r="A565" s="26"/>
      <c r="B565" s="21"/>
      <c r="C565" s="21"/>
      <c r="D565" s="22"/>
      <c r="H565" s="22"/>
      <c r="J565" s="22"/>
      <c r="K565" s="27"/>
      <c r="L565" s="22"/>
      <c r="N565" s="22"/>
      <c r="O565" s="27"/>
      <c r="P565" s="22"/>
      <c r="R565" s="22"/>
      <c r="S565" s="27"/>
    </row>
    <row r="566" spans="1:19" s="20" customFormat="1" x14ac:dyDescent="0.25">
      <c r="A566" s="26"/>
      <c r="B566" s="21"/>
      <c r="C566" s="21"/>
      <c r="D566" s="22"/>
      <c r="H566" s="22"/>
      <c r="J566" s="22"/>
      <c r="K566" s="27"/>
      <c r="L566" s="22"/>
      <c r="N566" s="22"/>
      <c r="O566" s="27"/>
      <c r="P566" s="22"/>
      <c r="R566" s="22"/>
      <c r="S566" s="27"/>
    </row>
    <row r="567" spans="1:19" s="20" customFormat="1" x14ac:dyDescent="0.25">
      <c r="A567" s="26"/>
      <c r="B567" s="21"/>
      <c r="C567" s="21"/>
      <c r="D567" s="22"/>
      <c r="H567" s="22"/>
      <c r="J567" s="22"/>
      <c r="K567" s="27"/>
      <c r="L567" s="22"/>
      <c r="N567" s="22"/>
      <c r="O567" s="27"/>
      <c r="P567" s="22"/>
      <c r="R567" s="22"/>
      <c r="S567" s="27"/>
    </row>
    <row r="568" spans="1:19" s="20" customFormat="1" x14ac:dyDescent="0.25">
      <c r="A568" s="26"/>
      <c r="B568" s="21"/>
      <c r="C568" s="21"/>
      <c r="D568" s="22"/>
      <c r="H568" s="22"/>
      <c r="J568" s="22"/>
      <c r="K568" s="27"/>
      <c r="L568" s="22"/>
      <c r="N568" s="22"/>
      <c r="O568" s="27"/>
      <c r="P568" s="22"/>
      <c r="R568" s="22"/>
      <c r="S568" s="27"/>
    </row>
    <row r="569" spans="1:19" s="20" customFormat="1" x14ac:dyDescent="0.25">
      <c r="A569" s="26"/>
      <c r="B569" s="21"/>
      <c r="C569" s="21"/>
      <c r="D569" s="22"/>
      <c r="H569" s="22"/>
      <c r="J569" s="22"/>
      <c r="K569" s="27"/>
      <c r="L569" s="22"/>
      <c r="N569" s="22"/>
      <c r="O569" s="27"/>
      <c r="P569" s="22"/>
      <c r="R569" s="22"/>
      <c r="S569" s="27"/>
    </row>
    <row r="570" spans="1:19" s="20" customFormat="1" x14ac:dyDescent="0.25">
      <c r="A570" s="26"/>
      <c r="B570" s="21"/>
      <c r="C570" s="21"/>
      <c r="D570" s="22"/>
      <c r="H570" s="22"/>
      <c r="J570" s="22"/>
      <c r="K570" s="27"/>
      <c r="L570" s="22"/>
      <c r="N570" s="22"/>
      <c r="O570" s="27"/>
      <c r="P570" s="22"/>
      <c r="R570" s="22"/>
      <c r="S570" s="27"/>
    </row>
    <row r="571" spans="1:19" s="20" customFormat="1" x14ac:dyDescent="0.25">
      <c r="A571" s="26"/>
      <c r="B571" s="21"/>
      <c r="C571" s="21"/>
      <c r="D571" s="22"/>
      <c r="H571" s="22"/>
      <c r="J571" s="22"/>
      <c r="K571" s="27"/>
      <c r="L571" s="22"/>
      <c r="N571" s="22"/>
      <c r="O571" s="27"/>
      <c r="P571" s="22"/>
      <c r="R571" s="22"/>
      <c r="S571" s="27"/>
    </row>
    <row r="572" spans="1:19" s="20" customFormat="1" x14ac:dyDescent="0.25">
      <c r="A572" s="26"/>
      <c r="B572" s="21"/>
      <c r="C572" s="21"/>
      <c r="D572" s="22"/>
      <c r="H572" s="22"/>
      <c r="J572" s="22"/>
      <c r="K572" s="27"/>
      <c r="L572" s="22"/>
      <c r="N572" s="22"/>
      <c r="O572" s="27"/>
      <c r="P572" s="22"/>
      <c r="R572" s="22"/>
      <c r="S572" s="27"/>
    </row>
    <row r="573" spans="1:19" s="20" customFormat="1" x14ac:dyDescent="0.25">
      <c r="A573" s="26"/>
      <c r="B573" s="21"/>
      <c r="C573" s="21"/>
      <c r="D573" s="22"/>
      <c r="H573" s="22"/>
      <c r="J573" s="22"/>
      <c r="K573" s="27"/>
      <c r="L573" s="22"/>
      <c r="N573" s="22"/>
      <c r="O573" s="27"/>
      <c r="P573" s="22"/>
      <c r="R573" s="22"/>
      <c r="S573" s="27"/>
    </row>
    <row r="574" spans="1:19" s="20" customFormat="1" x14ac:dyDescent="0.25">
      <c r="A574" s="26"/>
      <c r="B574" s="21"/>
      <c r="C574" s="21"/>
      <c r="D574" s="22"/>
      <c r="H574" s="22"/>
      <c r="J574" s="22"/>
      <c r="K574" s="27"/>
      <c r="L574" s="22"/>
      <c r="N574" s="22"/>
      <c r="O574" s="27"/>
      <c r="P574" s="22"/>
      <c r="R574" s="22"/>
      <c r="S574" s="27"/>
    </row>
    <row r="575" spans="1:19" s="20" customFormat="1" x14ac:dyDescent="0.25">
      <c r="A575" s="26"/>
      <c r="B575" s="21"/>
      <c r="C575" s="21"/>
      <c r="D575" s="22"/>
      <c r="H575" s="22"/>
      <c r="J575" s="22"/>
      <c r="K575" s="27"/>
      <c r="L575" s="22"/>
      <c r="N575" s="22"/>
      <c r="O575" s="27"/>
      <c r="P575" s="22"/>
      <c r="R575" s="22"/>
      <c r="S575" s="27"/>
    </row>
    <row r="576" spans="1:19" s="20" customFormat="1" x14ac:dyDescent="0.25">
      <c r="A576" s="26"/>
      <c r="B576" s="21"/>
      <c r="C576" s="21"/>
      <c r="D576" s="22"/>
      <c r="H576" s="22"/>
      <c r="J576" s="22"/>
      <c r="K576" s="27"/>
      <c r="L576" s="22"/>
      <c r="N576" s="22"/>
      <c r="O576" s="27"/>
      <c r="P576" s="22"/>
      <c r="R576" s="22"/>
      <c r="S576" s="27"/>
    </row>
    <row r="577" spans="1:19" s="20" customFormat="1" x14ac:dyDescent="0.25">
      <c r="A577" s="26"/>
      <c r="B577" s="21"/>
      <c r="C577" s="21"/>
      <c r="D577" s="22"/>
      <c r="H577" s="22"/>
      <c r="J577" s="22"/>
      <c r="K577" s="27"/>
      <c r="L577" s="22"/>
      <c r="N577" s="22"/>
      <c r="O577" s="27"/>
      <c r="P577" s="22"/>
      <c r="R577" s="22"/>
      <c r="S577" s="27"/>
    </row>
    <row r="578" spans="1:19" s="20" customFormat="1" x14ac:dyDescent="0.25">
      <c r="A578" s="26"/>
      <c r="B578" s="21"/>
      <c r="C578" s="21"/>
      <c r="D578" s="22"/>
      <c r="H578" s="22"/>
      <c r="J578" s="22"/>
      <c r="K578" s="27"/>
      <c r="L578" s="22"/>
      <c r="N578" s="22"/>
      <c r="O578" s="27"/>
      <c r="P578" s="22"/>
      <c r="R578" s="22"/>
      <c r="S578" s="27"/>
    </row>
    <row r="579" spans="1:19" s="20" customFormat="1" x14ac:dyDescent="0.25">
      <c r="A579" s="26"/>
      <c r="B579" s="21"/>
      <c r="C579" s="21"/>
      <c r="D579" s="22"/>
      <c r="H579" s="22"/>
      <c r="J579" s="22"/>
      <c r="K579" s="27"/>
      <c r="L579" s="22"/>
      <c r="N579" s="22"/>
      <c r="O579" s="27"/>
      <c r="P579" s="22"/>
      <c r="R579" s="22"/>
      <c r="S579" s="27"/>
    </row>
    <row r="580" spans="1:19" s="20" customFormat="1" x14ac:dyDescent="0.25">
      <c r="A580" s="26"/>
      <c r="B580" s="21"/>
      <c r="C580" s="21"/>
      <c r="D580" s="22"/>
      <c r="H580" s="22"/>
      <c r="J580" s="22"/>
      <c r="K580" s="27"/>
      <c r="L580" s="22"/>
      <c r="N580" s="22"/>
      <c r="O580" s="27"/>
      <c r="P580" s="22"/>
      <c r="R580" s="22"/>
      <c r="S580" s="27"/>
    </row>
    <row r="581" spans="1:19" s="20" customFormat="1" x14ac:dyDescent="0.25">
      <c r="A581" s="26"/>
      <c r="B581" s="21"/>
      <c r="C581" s="21"/>
      <c r="D581" s="22"/>
      <c r="H581" s="22"/>
      <c r="J581" s="22"/>
      <c r="K581" s="27"/>
      <c r="L581" s="22"/>
      <c r="N581" s="22"/>
      <c r="O581" s="27"/>
      <c r="P581" s="22"/>
      <c r="R581" s="22"/>
      <c r="S581" s="27"/>
    </row>
    <row r="582" spans="1:19" s="20" customFormat="1" x14ac:dyDescent="0.25">
      <c r="A582" s="26"/>
      <c r="B582" s="21"/>
      <c r="C582" s="21"/>
      <c r="D582" s="22"/>
      <c r="H582" s="22"/>
      <c r="J582" s="22"/>
      <c r="K582" s="27"/>
      <c r="L582" s="22"/>
      <c r="N582" s="22"/>
      <c r="O582" s="27"/>
      <c r="P582" s="22"/>
      <c r="R582" s="22"/>
      <c r="S582" s="27"/>
    </row>
    <row r="583" spans="1:19" s="20" customFormat="1" x14ac:dyDescent="0.25">
      <c r="A583" s="26"/>
      <c r="B583" s="21"/>
      <c r="C583" s="21"/>
      <c r="D583" s="22"/>
      <c r="H583" s="22"/>
      <c r="J583" s="22"/>
      <c r="K583" s="27"/>
      <c r="L583" s="22"/>
      <c r="N583" s="22"/>
      <c r="O583" s="27"/>
      <c r="P583" s="22"/>
      <c r="R583" s="22"/>
      <c r="S583" s="27"/>
    </row>
    <row r="584" spans="1:19" s="20" customFormat="1" x14ac:dyDescent="0.25">
      <c r="A584" s="26"/>
      <c r="B584" s="21"/>
      <c r="C584" s="21"/>
      <c r="D584" s="22"/>
      <c r="H584" s="22"/>
      <c r="J584" s="22"/>
      <c r="K584" s="27"/>
      <c r="L584" s="22"/>
      <c r="N584" s="22"/>
      <c r="O584" s="27"/>
      <c r="P584" s="22"/>
      <c r="R584" s="22"/>
      <c r="S584" s="27"/>
    </row>
    <row r="585" spans="1:19" s="20" customFormat="1" x14ac:dyDescent="0.25">
      <c r="A585" s="26"/>
      <c r="B585" s="21"/>
      <c r="C585" s="21"/>
      <c r="D585" s="22"/>
      <c r="H585" s="22"/>
      <c r="J585" s="22"/>
      <c r="K585" s="27"/>
      <c r="L585" s="22"/>
      <c r="N585" s="22"/>
      <c r="O585" s="27"/>
      <c r="P585" s="22"/>
      <c r="R585" s="22"/>
      <c r="S585" s="27"/>
    </row>
    <row r="586" spans="1:19" s="20" customFormat="1" x14ac:dyDescent="0.25">
      <c r="A586" s="26"/>
      <c r="B586" s="21"/>
      <c r="C586" s="21"/>
      <c r="D586" s="22"/>
      <c r="H586" s="22"/>
      <c r="J586" s="22"/>
      <c r="K586" s="27"/>
      <c r="L586" s="22"/>
      <c r="N586" s="22"/>
      <c r="O586" s="27"/>
      <c r="P586" s="22"/>
      <c r="R586" s="22"/>
      <c r="S586" s="27"/>
    </row>
    <row r="587" spans="1:19" s="20" customFormat="1" x14ac:dyDescent="0.25">
      <c r="A587" s="26"/>
      <c r="B587" s="21"/>
      <c r="C587" s="21"/>
      <c r="D587" s="22"/>
      <c r="H587" s="22"/>
      <c r="J587" s="22"/>
      <c r="K587" s="27"/>
      <c r="L587" s="22"/>
      <c r="N587" s="22"/>
      <c r="O587" s="27"/>
      <c r="P587" s="22"/>
      <c r="R587" s="22"/>
      <c r="S587" s="27"/>
    </row>
    <row r="588" spans="1:19" s="20" customFormat="1" x14ac:dyDescent="0.25">
      <c r="A588" s="26"/>
      <c r="B588" s="21"/>
      <c r="C588" s="21"/>
      <c r="D588" s="22"/>
      <c r="H588" s="22"/>
      <c r="J588" s="22"/>
      <c r="K588" s="27"/>
      <c r="L588" s="22"/>
      <c r="N588" s="22"/>
      <c r="O588" s="27"/>
      <c r="P588" s="22"/>
      <c r="R588" s="22"/>
      <c r="S588" s="27"/>
    </row>
    <row r="589" spans="1:19" s="20" customFormat="1" x14ac:dyDescent="0.25">
      <c r="A589" s="26"/>
      <c r="B589" s="21"/>
      <c r="C589" s="21"/>
      <c r="D589" s="22"/>
      <c r="H589" s="22"/>
      <c r="J589" s="22"/>
      <c r="K589" s="27"/>
      <c r="L589" s="22"/>
      <c r="N589" s="22"/>
      <c r="O589" s="27"/>
      <c r="P589" s="22"/>
      <c r="R589" s="22"/>
      <c r="S589" s="27"/>
    </row>
    <row r="590" spans="1:19" s="20" customFormat="1" x14ac:dyDescent="0.25">
      <c r="A590" s="26"/>
      <c r="B590" s="21"/>
      <c r="C590" s="21"/>
      <c r="D590" s="22"/>
      <c r="H590" s="22"/>
      <c r="J590" s="22"/>
      <c r="K590" s="27"/>
      <c r="L590" s="22"/>
      <c r="N590" s="22"/>
      <c r="O590" s="27"/>
      <c r="P590" s="22"/>
      <c r="R590" s="22"/>
      <c r="S590" s="27"/>
    </row>
    <row r="591" spans="1:19" s="20" customFormat="1" x14ac:dyDescent="0.25">
      <c r="A591" s="26"/>
      <c r="B591" s="21"/>
      <c r="C591" s="21"/>
      <c r="D591" s="22"/>
      <c r="H591" s="22"/>
      <c r="J591" s="22"/>
      <c r="K591" s="27"/>
      <c r="L591" s="22"/>
      <c r="N591" s="22"/>
      <c r="O591" s="27"/>
      <c r="P591" s="22"/>
      <c r="R591" s="22"/>
      <c r="S591" s="27"/>
    </row>
    <row r="592" spans="1:19" s="20" customFormat="1" x14ac:dyDescent="0.25">
      <c r="A592" s="26"/>
      <c r="B592" s="21"/>
      <c r="C592" s="21"/>
      <c r="D592" s="22"/>
      <c r="H592" s="22"/>
      <c r="J592" s="22"/>
      <c r="K592" s="27"/>
      <c r="L592" s="22"/>
      <c r="N592" s="22"/>
      <c r="O592" s="27"/>
      <c r="P592" s="22"/>
      <c r="R592" s="22"/>
      <c r="S592" s="27"/>
    </row>
    <row r="593" spans="1:19" s="20" customFormat="1" x14ac:dyDescent="0.25">
      <c r="A593" s="26"/>
      <c r="B593" s="21"/>
      <c r="C593" s="21"/>
      <c r="D593" s="22"/>
      <c r="H593" s="22"/>
      <c r="J593" s="22"/>
      <c r="K593" s="27"/>
      <c r="L593" s="22"/>
      <c r="N593" s="22"/>
      <c r="O593" s="27"/>
      <c r="P593" s="22"/>
      <c r="R593" s="22"/>
      <c r="S593" s="27"/>
    </row>
    <row r="594" spans="1:19" s="20" customFormat="1" x14ac:dyDescent="0.25">
      <c r="A594" s="26"/>
      <c r="B594" s="21"/>
      <c r="C594" s="21"/>
      <c r="D594" s="22"/>
      <c r="H594" s="22"/>
      <c r="J594" s="22"/>
      <c r="K594" s="27"/>
      <c r="L594" s="22"/>
      <c r="N594" s="22"/>
      <c r="O594" s="27"/>
      <c r="P594" s="22"/>
      <c r="R594" s="22"/>
      <c r="S594" s="27"/>
    </row>
    <row r="595" spans="1:19" s="20" customFormat="1" x14ac:dyDescent="0.25">
      <c r="A595" s="26"/>
      <c r="B595" s="21"/>
      <c r="C595" s="21"/>
      <c r="D595" s="22"/>
      <c r="H595" s="22"/>
      <c r="J595" s="22"/>
      <c r="K595" s="27"/>
      <c r="L595" s="22"/>
      <c r="N595" s="22"/>
      <c r="O595" s="27"/>
      <c r="P595" s="22"/>
      <c r="R595" s="22"/>
      <c r="S595" s="27"/>
    </row>
    <row r="596" spans="1:19" s="20" customFormat="1" x14ac:dyDescent="0.25">
      <c r="A596" s="26"/>
      <c r="B596" s="21"/>
      <c r="C596" s="21"/>
      <c r="D596" s="22"/>
      <c r="H596" s="22"/>
      <c r="J596" s="22"/>
      <c r="K596" s="27"/>
      <c r="L596" s="22"/>
      <c r="N596" s="22"/>
      <c r="O596" s="27"/>
      <c r="P596" s="22"/>
      <c r="R596" s="22"/>
      <c r="S596" s="27"/>
    </row>
    <row r="597" spans="1:19" s="20" customFormat="1" x14ac:dyDescent="0.25">
      <c r="A597" s="26"/>
      <c r="B597" s="21"/>
      <c r="C597" s="21"/>
      <c r="D597" s="22"/>
      <c r="H597" s="22"/>
      <c r="J597" s="22"/>
      <c r="K597" s="27"/>
      <c r="L597" s="22"/>
      <c r="N597" s="22"/>
      <c r="O597" s="27"/>
      <c r="P597" s="22"/>
      <c r="R597" s="22"/>
      <c r="S597" s="27"/>
    </row>
    <row r="598" spans="1:19" s="20" customFormat="1" x14ac:dyDescent="0.25">
      <c r="A598" s="26"/>
      <c r="B598" s="21"/>
      <c r="C598" s="21"/>
      <c r="D598" s="22"/>
      <c r="H598" s="22"/>
      <c r="J598" s="22"/>
      <c r="K598" s="27"/>
      <c r="L598" s="22"/>
      <c r="N598" s="22"/>
      <c r="O598" s="27"/>
      <c r="P598" s="22"/>
      <c r="R598" s="22"/>
      <c r="S598" s="27"/>
    </row>
    <row r="599" spans="1:19" s="20" customFormat="1" x14ac:dyDescent="0.25">
      <c r="A599" s="26"/>
      <c r="B599" s="21"/>
      <c r="C599" s="21"/>
      <c r="D599" s="22"/>
      <c r="H599" s="22"/>
      <c r="J599" s="22"/>
      <c r="K599" s="27"/>
      <c r="L599" s="22"/>
      <c r="N599" s="22"/>
      <c r="O599" s="27"/>
      <c r="P599" s="22"/>
      <c r="R599" s="22"/>
      <c r="S599" s="27"/>
    </row>
    <row r="600" spans="1:19" s="20" customFormat="1" x14ac:dyDescent="0.25">
      <c r="A600" s="26"/>
      <c r="B600" s="21"/>
      <c r="C600" s="21"/>
      <c r="D600" s="22"/>
      <c r="H600" s="22"/>
      <c r="J600" s="22"/>
      <c r="K600" s="27"/>
      <c r="L600" s="22"/>
      <c r="N600" s="22"/>
      <c r="O600" s="27"/>
      <c r="P600" s="22"/>
      <c r="R600" s="22"/>
      <c r="S600" s="27"/>
    </row>
    <row r="601" spans="1:19" s="20" customFormat="1" x14ac:dyDescent="0.25">
      <c r="A601" s="26"/>
      <c r="B601" s="21"/>
      <c r="C601" s="21"/>
      <c r="D601" s="22"/>
      <c r="H601" s="22"/>
      <c r="J601" s="22"/>
      <c r="K601" s="27"/>
      <c r="L601" s="22"/>
      <c r="N601" s="22"/>
      <c r="O601" s="27"/>
      <c r="P601" s="22"/>
      <c r="R601" s="22"/>
      <c r="S601" s="27"/>
    </row>
    <row r="602" spans="1:19" s="20" customFormat="1" x14ac:dyDescent="0.25">
      <c r="A602" s="26"/>
      <c r="B602" s="21"/>
      <c r="C602" s="21"/>
      <c r="D602" s="22"/>
      <c r="H602" s="22"/>
      <c r="J602" s="22"/>
      <c r="K602" s="27"/>
      <c r="L602" s="22"/>
      <c r="N602" s="22"/>
      <c r="O602" s="27"/>
      <c r="P602" s="22"/>
      <c r="R602" s="22"/>
      <c r="S602" s="27"/>
    </row>
    <row r="603" spans="1:19" s="20" customFormat="1" x14ac:dyDescent="0.25">
      <c r="A603" s="26"/>
      <c r="B603" s="21"/>
      <c r="C603" s="21"/>
      <c r="D603" s="22"/>
      <c r="H603" s="22"/>
      <c r="J603" s="22"/>
      <c r="K603" s="27"/>
      <c r="L603" s="22"/>
      <c r="N603" s="22"/>
      <c r="O603" s="27"/>
      <c r="P603" s="22"/>
      <c r="R603" s="22"/>
      <c r="S603" s="27"/>
    </row>
    <row r="604" spans="1:19" s="20" customFormat="1" x14ac:dyDescent="0.25">
      <c r="A604" s="26"/>
      <c r="B604" s="21"/>
      <c r="C604" s="21"/>
      <c r="D604" s="22"/>
      <c r="H604" s="22"/>
      <c r="J604" s="22"/>
      <c r="K604" s="27"/>
      <c r="L604" s="22"/>
      <c r="N604" s="22"/>
      <c r="O604" s="27"/>
      <c r="P604" s="22"/>
      <c r="R604" s="22"/>
      <c r="S604" s="27"/>
    </row>
    <row r="605" spans="1:19" s="20" customFormat="1" x14ac:dyDescent="0.25">
      <c r="A605" s="26"/>
      <c r="B605" s="21"/>
      <c r="C605" s="21"/>
      <c r="D605" s="22"/>
      <c r="H605" s="22"/>
      <c r="J605" s="22"/>
      <c r="K605" s="27"/>
      <c r="L605" s="22"/>
      <c r="N605" s="22"/>
      <c r="O605" s="27"/>
      <c r="P605" s="22"/>
      <c r="R605" s="22"/>
      <c r="S605" s="27"/>
    </row>
    <row r="606" spans="1:19" s="20" customFormat="1" x14ac:dyDescent="0.25">
      <c r="A606" s="26"/>
      <c r="B606" s="21"/>
      <c r="C606" s="21"/>
      <c r="D606" s="22"/>
      <c r="H606" s="22"/>
      <c r="J606" s="22"/>
      <c r="K606" s="27"/>
      <c r="L606" s="22"/>
      <c r="N606" s="22"/>
      <c r="O606" s="27"/>
      <c r="P606" s="22"/>
      <c r="R606" s="22"/>
      <c r="S606" s="27"/>
    </row>
    <row r="607" spans="1:19" s="20" customFormat="1" x14ac:dyDescent="0.25">
      <c r="A607" s="26"/>
      <c r="B607" s="21"/>
      <c r="C607" s="21"/>
      <c r="D607" s="22"/>
      <c r="H607" s="22"/>
      <c r="J607" s="22"/>
      <c r="K607" s="27"/>
      <c r="L607" s="22"/>
      <c r="N607" s="22"/>
      <c r="O607" s="27"/>
      <c r="P607" s="22"/>
      <c r="R607" s="22"/>
      <c r="S607" s="27"/>
    </row>
    <row r="608" spans="1:19" s="20" customFormat="1" x14ac:dyDescent="0.25">
      <c r="A608" s="26"/>
      <c r="B608" s="21"/>
      <c r="C608" s="21"/>
      <c r="D608" s="22"/>
      <c r="H608" s="22"/>
      <c r="J608" s="22"/>
      <c r="K608" s="27"/>
      <c r="L608" s="22"/>
      <c r="N608" s="22"/>
      <c r="O608" s="27"/>
      <c r="P608" s="22"/>
      <c r="R608" s="22"/>
      <c r="S608" s="27"/>
    </row>
    <row r="609" spans="1:19" s="20" customFormat="1" x14ac:dyDescent="0.25">
      <c r="A609" s="26"/>
      <c r="B609" s="21"/>
      <c r="C609" s="21"/>
      <c r="D609" s="22"/>
      <c r="H609" s="22"/>
      <c r="J609" s="22"/>
      <c r="K609" s="27"/>
      <c r="L609" s="22"/>
      <c r="N609" s="22"/>
      <c r="O609" s="27"/>
      <c r="P609" s="22"/>
      <c r="R609" s="22"/>
      <c r="S609" s="27"/>
    </row>
    <row r="610" spans="1:19" s="20" customFormat="1" x14ac:dyDescent="0.25">
      <c r="A610" s="26"/>
      <c r="B610" s="21"/>
      <c r="C610" s="21"/>
      <c r="D610" s="22"/>
      <c r="H610" s="22"/>
      <c r="J610" s="22"/>
      <c r="K610" s="27"/>
      <c r="L610" s="22"/>
      <c r="N610" s="22"/>
      <c r="O610" s="27"/>
      <c r="P610" s="22"/>
      <c r="R610" s="22"/>
      <c r="S610" s="27"/>
    </row>
    <row r="611" spans="1:19" s="20" customFormat="1" x14ac:dyDescent="0.25">
      <c r="A611" s="26"/>
      <c r="B611" s="21"/>
      <c r="C611" s="21"/>
      <c r="D611" s="22"/>
      <c r="H611" s="22"/>
      <c r="J611" s="22"/>
      <c r="K611" s="27"/>
      <c r="L611" s="22"/>
      <c r="N611" s="22"/>
      <c r="O611" s="27"/>
      <c r="P611" s="22"/>
      <c r="R611" s="22"/>
      <c r="S611" s="27"/>
    </row>
    <row r="612" spans="1:19" s="20" customFormat="1" x14ac:dyDescent="0.25">
      <c r="A612" s="26"/>
      <c r="B612" s="21"/>
      <c r="C612" s="21"/>
      <c r="D612" s="22"/>
      <c r="H612" s="22"/>
      <c r="J612" s="22"/>
      <c r="K612" s="27"/>
      <c r="L612" s="22"/>
      <c r="N612" s="22"/>
      <c r="O612" s="27"/>
      <c r="P612" s="22"/>
      <c r="R612" s="22"/>
      <c r="S612" s="27"/>
    </row>
    <row r="613" spans="1:19" s="20" customFormat="1" x14ac:dyDescent="0.25">
      <c r="A613" s="26"/>
      <c r="B613" s="21"/>
      <c r="C613" s="21"/>
      <c r="D613" s="22"/>
      <c r="H613" s="22"/>
      <c r="J613" s="22"/>
      <c r="K613" s="27"/>
      <c r="L613" s="22"/>
      <c r="N613" s="22"/>
      <c r="O613" s="27"/>
      <c r="P613" s="22"/>
      <c r="R613" s="22"/>
      <c r="S613" s="27"/>
    </row>
    <row r="614" spans="1:19" s="20" customFormat="1" x14ac:dyDescent="0.25">
      <c r="A614" s="26"/>
      <c r="B614" s="21"/>
      <c r="C614" s="21"/>
      <c r="D614" s="22"/>
      <c r="H614" s="22"/>
      <c r="J614" s="22"/>
      <c r="K614" s="27"/>
      <c r="L614" s="22"/>
      <c r="N614" s="22"/>
      <c r="O614" s="27"/>
      <c r="P614" s="22"/>
      <c r="R614" s="22"/>
      <c r="S614" s="27"/>
    </row>
    <row r="615" spans="1:19" s="20" customFormat="1" x14ac:dyDescent="0.25">
      <c r="A615" s="26"/>
      <c r="B615" s="21"/>
      <c r="C615" s="21"/>
      <c r="D615" s="22"/>
      <c r="H615" s="22"/>
      <c r="J615" s="22"/>
      <c r="K615" s="27"/>
      <c r="L615" s="22"/>
      <c r="N615" s="22"/>
      <c r="O615" s="27"/>
      <c r="P615" s="22"/>
      <c r="R615" s="22"/>
      <c r="S615" s="27"/>
    </row>
    <row r="616" spans="1:19" s="20" customFormat="1" x14ac:dyDescent="0.25">
      <c r="A616" s="26"/>
      <c r="B616" s="21"/>
      <c r="C616" s="21"/>
      <c r="D616" s="22"/>
      <c r="H616" s="22"/>
      <c r="J616" s="22"/>
      <c r="K616" s="27"/>
      <c r="L616" s="22"/>
      <c r="N616" s="22"/>
      <c r="O616" s="27"/>
      <c r="P616" s="22"/>
      <c r="R616" s="22"/>
      <c r="S616" s="27"/>
    </row>
    <row r="617" spans="1:19" s="20" customFormat="1" x14ac:dyDescent="0.25">
      <c r="A617" s="26"/>
      <c r="B617" s="21"/>
      <c r="C617" s="21"/>
      <c r="D617" s="22"/>
      <c r="H617" s="22"/>
      <c r="J617" s="22"/>
      <c r="K617" s="27"/>
      <c r="L617" s="22"/>
      <c r="N617" s="22"/>
      <c r="O617" s="27"/>
      <c r="P617" s="22"/>
      <c r="R617" s="22"/>
      <c r="S617" s="27"/>
    </row>
    <row r="618" spans="1:19" s="20" customFormat="1" x14ac:dyDescent="0.25">
      <c r="A618" s="26"/>
      <c r="B618" s="21"/>
      <c r="C618" s="21"/>
      <c r="D618" s="22"/>
      <c r="H618" s="22"/>
      <c r="J618" s="22"/>
      <c r="K618" s="27"/>
      <c r="L618" s="22"/>
      <c r="N618" s="22"/>
      <c r="O618" s="27"/>
      <c r="P618" s="22"/>
      <c r="R618" s="22"/>
      <c r="S618" s="27"/>
    </row>
    <row r="619" spans="1:19" s="20" customFormat="1" x14ac:dyDescent="0.25">
      <c r="A619" s="26"/>
      <c r="B619" s="21"/>
      <c r="C619" s="21"/>
      <c r="D619" s="22"/>
      <c r="H619" s="22"/>
      <c r="J619" s="22"/>
      <c r="K619" s="27"/>
      <c r="L619" s="22"/>
      <c r="N619" s="22"/>
      <c r="O619" s="27"/>
      <c r="P619" s="22"/>
      <c r="R619" s="22"/>
      <c r="S619" s="27"/>
    </row>
    <row r="620" spans="1:19" s="20" customFormat="1" x14ac:dyDescent="0.25">
      <c r="A620" s="26"/>
      <c r="B620" s="21"/>
      <c r="C620" s="21"/>
      <c r="D620" s="22"/>
      <c r="H620" s="22"/>
      <c r="J620" s="22"/>
      <c r="K620" s="27"/>
      <c r="L620" s="22"/>
      <c r="N620" s="22"/>
      <c r="O620" s="27"/>
      <c r="P620" s="22"/>
      <c r="R620" s="22"/>
      <c r="S620" s="27"/>
    </row>
    <row r="621" spans="1:19" s="20" customFormat="1" x14ac:dyDescent="0.25">
      <c r="A621" s="26"/>
      <c r="B621" s="21"/>
      <c r="C621" s="21"/>
      <c r="D621" s="22"/>
      <c r="H621" s="22"/>
      <c r="J621" s="22"/>
      <c r="K621" s="27"/>
      <c r="L621" s="22"/>
      <c r="N621" s="22"/>
      <c r="O621" s="27"/>
      <c r="P621" s="22"/>
      <c r="R621" s="22"/>
      <c r="S621" s="27"/>
    </row>
    <row r="622" spans="1:19" s="20" customFormat="1" x14ac:dyDescent="0.25">
      <c r="A622" s="26"/>
      <c r="B622" s="21"/>
      <c r="C622" s="21"/>
      <c r="D622" s="22"/>
      <c r="H622" s="22"/>
      <c r="J622" s="22"/>
      <c r="K622" s="27"/>
      <c r="L622" s="22"/>
      <c r="N622" s="22"/>
      <c r="O622" s="27"/>
      <c r="P622" s="22"/>
      <c r="R622" s="22"/>
      <c r="S622" s="27"/>
    </row>
    <row r="623" spans="1:19" s="20" customFormat="1" x14ac:dyDescent="0.25">
      <c r="A623" s="26"/>
      <c r="B623" s="21"/>
      <c r="C623" s="21"/>
      <c r="D623" s="22"/>
      <c r="H623" s="22"/>
      <c r="J623" s="22"/>
      <c r="K623" s="27"/>
      <c r="L623" s="22"/>
      <c r="N623" s="22"/>
      <c r="O623" s="27"/>
      <c r="P623" s="22"/>
      <c r="R623" s="22"/>
      <c r="S623" s="27"/>
    </row>
    <row r="624" spans="1:19" s="20" customFormat="1" x14ac:dyDescent="0.25">
      <c r="A624" s="26"/>
      <c r="B624" s="21"/>
      <c r="C624" s="21"/>
      <c r="D624" s="22"/>
      <c r="H624" s="22"/>
      <c r="J624" s="22"/>
      <c r="K624" s="27"/>
      <c r="L624" s="22"/>
      <c r="N624" s="22"/>
      <c r="O624" s="27"/>
      <c r="P624" s="22"/>
      <c r="R624" s="22"/>
      <c r="S624" s="27"/>
    </row>
    <row r="625" spans="1:19" s="20" customFormat="1" x14ac:dyDescent="0.25">
      <c r="A625" s="26"/>
      <c r="B625" s="21"/>
      <c r="C625" s="21"/>
      <c r="D625" s="22"/>
      <c r="H625" s="22"/>
      <c r="J625" s="22"/>
      <c r="K625" s="27"/>
      <c r="L625" s="22"/>
      <c r="N625" s="22"/>
      <c r="O625" s="27"/>
      <c r="P625" s="22"/>
      <c r="R625" s="22"/>
      <c r="S625" s="27"/>
    </row>
    <row r="626" spans="1:19" s="20" customFormat="1" x14ac:dyDescent="0.25">
      <c r="A626" s="26"/>
      <c r="B626" s="21"/>
      <c r="C626" s="21"/>
      <c r="D626" s="22"/>
      <c r="H626" s="22"/>
      <c r="J626" s="22"/>
      <c r="K626" s="27"/>
      <c r="L626" s="22"/>
      <c r="N626" s="22"/>
      <c r="O626" s="27"/>
      <c r="P626" s="22"/>
      <c r="R626" s="22"/>
      <c r="S626" s="27"/>
    </row>
    <row r="627" spans="1:19" s="20" customFormat="1" x14ac:dyDescent="0.25">
      <c r="A627" s="26"/>
      <c r="B627" s="21"/>
      <c r="C627" s="21"/>
      <c r="D627" s="22"/>
      <c r="H627" s="22"/>
      <c r="J627" s="22"/>
      <c r="K627" s="27"/>
      <c r="L627" s="22"/>
      <c r="N627" s="22"/>
      <c r="O627" s="27"/>
      <c r="P627" s="22"/>
      <c r="R627" s="22"/>
      <c r="S627" s="27"/>
    </row>
    <row r="628" spans="1:19" s="20" customFormat="1" x14ac:dyDescent="0.25">
      <c r="A628" s="26"/>
      <c r="B628" s="21"/>
      <c r="C628" s="21"/>
      <c r="D628" s="22"/>
      <c r="H628" s="22"/>
      <c r="J628" s="22"/>
      <c r="K628" s="27"/>
      <c r="L628" s="22"/>
      <c r="N628" s="22"/>
      <c r="O628" s="27"/>
      <c r="P628" s="22"/>
      <c r="R628" s="22"/>
      <c r="S628" s="27"/>
    </row>
    <row r="629" spans="1:19" s="20" customFormat="1" x14ac:dyDescent="0.25">
      <c r="A629" s="26"/>
      <c r="B629" s="21"/>
      <c r="C629" s="21"/>
      <c r="D629" s="22"/>
      <c r="H629" s="22"/>
      <c r="J629" s="22"/>
      <c r="K629" s="27"/>
      <c r="L629" s="22"/>
      <c r="N629" s="22"/>
      <c r="O629" s="27"/>
      <c r="P629" s="22"/>
      <c r="R629" s="22"/>
      <c r="S629" s="27"/>
    </row>
    <row r="630" spans="1:19" s="20" customFormat="1" x14ac:dyDescent="0.25">
      <c r="A630" s="26"/>
      <c r="B630" s="21"/>
      <c r="C630" s="21"/>
      <c r="D630" s="22"/>
      <c r="H630" s="22"/>
      <c r="J630" s="22"/>
      <c r="K630" s="27"/>
      <c r="L630" s="22"/>
      <c r="N630" s="22"/>
      <c r="O630" s="27"/>
      <c r="P630" s="22"/>
      <c r="R630" s="22"/>
      <c r="S630" s="27"/>
    </row>
    <row r="631" spans="1:19" s="20" customFormat="1" x14ac:dyDescent="0.25">
      <c r="A631" s="26"/>
      <c r="B631" s="21"/>
      <c r="C631" s="21"/>
      <c r="D631" s="22"/>
      <c r="H631" s="22"/>
      <c r="J631" s="22"/>
      <c r="K631" s="27"/>
      <c r="L631" s="22"/>
      <c r="N631" s="22"/>
      <c r="O631" s="27"/>
      <c r="P631" s="22"/>
      <c r="R631" s="22"/>
      <c r="S631" s="27"/>
    </row>
    <row r="632" spans="1:19" s="20" customFormat="1" x14ac:dyDescent="0.25">
      <c r="A632" s="26"/>
      <c r="B632" s="21"/>
      <c r="C632" s="21"/>
      <c r="D632" s="22"/>
      <c r="H632" s="22"/>
      <c r="J632" s="22"/>
      <c r="K632" s="27"/>
      <c r="L632" s="22"/>
      <c r="N632" s="22"/>
      <c r="O632" s="27"/>
      <c r="P632" s="22"/>
      <c r="R632" s="22"/>
      <c r="S632" s="27"/>
    </row>
    <row r="633" spans="1:19" s="20" customFormat="1" x14ac:dyDescent="0.25">
      <c r="A633" s="26"/>
      <c r="B633" s="21"/>
      <c r="C633" s="21"/>
      <c r="D633" s="22"/>
      <c r="H633" s="22"/>
      <c r="J633" s="22"/>
      <c r="K633" s="27"/>
      <c r="L633" s="22"/>
      <c r="N633" s="22"/>
      <c r="O633" s="27"/>
      <c r="P633" s="22"/>
      <c r="R633" s="22"/>
      <c r="S633" s="27"/>
    </row>
    <row r="634" spans="1:19" s="20" customFormat="1" x14ac:dyDescent="0.25">
      <c r="A634" s="26"/>
      <c r="B634" s="21"/>
      <c r="C634" s="21"/>
      <c r="D634" s="22"/>
      <c r="H634" s="22"/>
      <c r="J634" s="22"/>
      <c r="K634" s="27"/>
      <c r="L634" s="22"/>
      <c r="N634" s="22"/>
      <c r="O634" s="27"/>
      <c r="P634" s="22"/>
      <c r="R634" s="22"/>
      <c r="S634" s="27"/>
    </row>
    <row r="635" spans="1:19" s="20" customFormat="1" x14ac:dyDescent="0.25">
      <c r="A635" s="26"/>
      <c r="B635" s="21"/>
      <c r="C635" s="21"/>
      <c r="D635" s="22"/>
      <c r="H635" s="22"/>
      <c r="J635" s="22"/>
      <c r="K635" s="27"/>
      <c r="L635" s="22"/>
      <c r="N635" s="22"/>
      <c r="O635" s="27"/>
      <c r="P635" s="22"/>
      <c r="R635" s="22"/>
      <c r="S635" s="27"/>
    </row>
    <row r="636" spans="1:19" s="20" customFormat="1" x14ac:dyDescent="0.25">
      <c r="A636" s="26"/>
      <c r="B636" s="21"/>
      <c r="C636" s="21"/>
      <c r="D636" s="22"/>
      <c r="H636" s="22"/>
      <c r="J636" s="22"/>
      <c r="K636" s="27"/>
      <c r="L636" s="22"/>
      <c r="N636" s="22"/>
      <c r="O636" s="27"/>
      <c r="P636" s="22"/>
      <c r="R636" s="22"/>
      <c r="S636" s="27"/>
    </row>
    <row r="637" spans="1:19" s="20" customFormat="1" x14ac:dyDescent="0.25">
      <c r="A637" s="26"/>
      <c r="B637" s="21"/>
      <c r="C637" s="21"/>
      <c r="D637" s="22"/>
      <c r="H637" s="22"/>
      <c r="J637" s="22"/>
      <c r="K637" s="27"/>
      <c r="L637" s="22"/>
      <c r="N637" s="22"/>
      <c r="O637" s="27"/>
      <c r="P637" s="22"/>
      <c r="R637" s="22"/>
      <c r="S637" s="27"/>
    </row>
    <row r="638" spans="1:19" s="20" customFormat="1" x14ac:dyDescent="0.25">
      <c r="A638" s="26"/>
      <c r="B638" s="21"/>
      <c r="C638" s="21"/>
      <c r="D638" s="22"/>
      <c r="H638" s="22"/>
      <c r="J638" s="22"/>
      <c r="K638" s="27"/>
      <c r="L638" s="22"/>
      <c r="N638" s="22"/>
      <c r="O638" s="27"/>
      <c r="P638" s="22"/>
      <c r="R638" s="22"/>
      <c r="S638" s="27"/>
    </row>
    <row r="639" spans="1:19" s="20" customFormat="1" x14ac:dyDescent="0.25">
      <c r="A639" s="26"/>
      <c r="B639" s="21"/>
      <c r="C639" s="21"/>
      <c r="D639" s="22"/>
      <c r="H639" s="22"/>
      <c r="J639" s="22"/>
      <c r="K639" s="27"/>
      <c r="L639" s="22"/>
      <c r="N639" s="22"/>
      <c r="O639" s="27"/>
      <c r="P639" s="22"/>
      <c r="R639" s="22"/>
      <c r="S639" s="27"/>
    </row>
    <row r="640" spans="1:19" s="20" customFormat="1" x14ac:dyDescent="0.25">
      <c r="A640" s="26"/>
      <c r="B640" s="21"/>
      <c r="C640" s="21"/>
      <c r="D640" s="22"/>
      <c r="H640" s="22"/>
      <c r="J640" s="22"/>
      <c r="K640" s="27"/>
      <c r="L640" s="22"/>
      <c r="N640" s="22"/>
      <c r="O640" s="27"/>
      <c r="P640" s="22"/>
      <c r="R640" s="22"/>
      <c r="S640" s="27"/>
    </row>
    <row r="641" spans="1:19" s="20" customFormat="1" x14ac:dyDescent="0.25">
      <c r="A641" s="26"/>
      <c r="B641" s="21"/>
      <c r="C641" s="21"/>
      <c r="D641" s="22"/>
      <c r="H641" s="22"/>
      <c r="J641" s="22"/>
      <c r="K641" s="27"/>
      <c r="L641" s="22"/>
      <c r="N641" s="22"/>
      <c r="O641" s="27"/>
      <c r="P641" s="22"/>
      <c r="R641" s="22"/>
      <c r="S641" s="27"/>
    </row>
    <row r="642" spans="1:19" s="20" customFormat="1" x14ac:dyDescent="0.25">
      <c r="A642" s="26"/>
      <c r="B642" s="21"/>
      <c r="C642" s="21"/>
      <c r="D642" s="22"/>
      <c r="H642" s="22"/>
      <c r="J642" s="22"/>
      <c r="K642" s="27"/>
      <c r="L642" s="22"/>
      <c r="N642" s="22"/>
      <c r="O642" s="27"/>
      <c r="P642" s="22"/>
      <c r="R642" s="22"/>
      <c r="S642" s="27"/>
    </row>
    <row r="643" spans="1:19" s="20" customFormat="1" x14ac:dyDescent="0.25">
      <c r="A643" s="26"/>
      <c r="B643" s="21"/>
      <c r="C643" s="21"/>
      <c r="D643" s="22"/>
      <c r="H643" s="22"/>
      <c r="J643" s="22"/>
      <c r="K643" s="27"/>
      <c r="L643" s="22"/>
      <c r="N643" s="22"/>
      <c r="O643" s="27"/>
      <c r="P643" s="22"/>
      <c r="R643" s="22"/>
      <c r="S643" s="27"/>
    </row>
    <row r="644" spans="1:19" s="20" customFormat="1" x14ac:dyDescent="0.25">
      <c r="A644" s="26"/>
      <c r="B644" s="21"/>
      <c r="C644" s="21"/>
      <c r="D644" s="22"/>
      <c r="H644" s="22"/>
      <c r="J644" s="22"/>
      <c r="K644" s="27"/>
      <c r="L644" s="22"/>
      <c r="N644" s="22"/>
      <c r="O644" s="27"/>
      <c r="P644" s="22"/>
      <c r="R644" s="22"/>
      <c r="S644" s="27"/>
    </row>
    <row r="645" spans="1:19" s="20" customFormat="1" x14ac:dyDescent="0.25">
      <c r="A645" s="26"/>
      <c r="B645" s="21"/>
      <c r="C645" s="21"/>
      <c r="D645" s="22"/>
      <c r="H645" s="22"/>
      <c r="J645" s="22"/>
      <c r="K645" s="27"/>
      <c r="L645" s="22"/>
      <c r="N645" s="22"/>
      <c r="O645" s="27"/>
      <c r="P645" s="22"/>
      <c r="R645" s="22"/>
      <c r="S645" s="27"/>
    </row>
    <row r="646" spans="1:19" s="20" customFormat="1" x14ac:dyDescent="0.25">
      <c r="A646" s="26"/>
      <c r="B646" s="21"/>
      <c r="C646" s="21"/>
      <c r="D646" s="22"/>
      <c r="H646" s="22"/>
      <c r="J646" s="22"/>
      <c r="K646" s="27"/>
      <c r="L646" s="22"/>
      <c r="N646" s="22"/>
      <c r="O646" s="27"/>
      <c r="P646" s="22"/>
      <c r="R646" s="22"/>
      <c r="S646" s="27"/>
    </row>
    <row r="647" spans="1:19" s="20" customFormat="1" x14ac:dyDescent="0.25">
      <c r="A647" s="26"/>
      <c r="B647" s="21"/>
      <c r="C647" s="21"/>
      <c r="D647" s="22"/>
      <c r="H647" s="22"/>
      <c r="J647" s="22"/>
      <c r="K647" s="27"/>
      <c r="L647" s="22"/>
      <c r="N647" s="22"/>
      <c r="O647" s="27"/>
      <c r="P647" s="22"/>
      <c r="R647" s="22"/>
      <c r="S647" s="27"/>
    </row>
    <row r="648" spans="1:19" s="20" customFormat="1" x14ac:dyDescent="0.25">
      <c r="A648" s="26"/>
      <c r="B648" s="21"/>
      <c r="C648" s="21"/>
      <c r="D648" s="22"/>
      <c r="H648" s="22"/>
      <c r="J648" s="22"/>
      <c r="K648" s="27"/>
      <c r="L648" s="22"/>
      <c r="N648" s="22"/>
      <c r="O648" s="27"/>
      <c r="P648" s="22"/>
      <c r="R648" s="22"/>
      <c r="S648" s="27"/>
    </row>
    <row r="649" spans="1:19" s="20" customFormat="1" x14ac:dyDescent="0.25">
      <c r="A649" s="26"/>
      <c r="B649" s="21"/>
      <c r="C649" s="21"/>
      <c r="D649" s="22"/>
      <c r="H649" s="22"/>
      <c r="J649" s="22"/>
      <c r="K649" s="27"/>
      <c r="L649" s="22"/>
      <c r="N649" s="22"/>
      <c r="O649" s="27"/>
      <c r="P649" s="22"/>
      <c r="R649" s="22"/>
      <c r="S649" s="27"/>
    </row>
    <row r="650" spans="1:19" s="20" customFormat="1" x14ac:dyDescent="0.25">
      <c r="A650" s="26"/>
      <c r="B650" s="21"/>
      <c r="C650" s="21"/>
      <c r="D650" s="22"/>
      <c r="H650" s="22"/>
      <c r="J650" s="22"/>
      <c r="K650" s="27"/>
      <c r="L650" s="22"/>
      <c r="N650" s="22"/>
      <c r="O650" s="27"/>
      <c r="P650" s="22"/>
      <c r="R650" s="22"/>
      <c r="S650" s="27"/>
    </row>
    <row r="651" spans="1:19" s="20" customFormat="1" x14ac:dyDescent="0.25">
      <c r="A651" s="26"/>
      <c r="B651" s="21"/>
      <c r="C651" s="21"/>
      <c r="D651" s="22"/>
      <c r="H651" s="22"/>
      <c r="J651" s="22"/>
      <c r="K651" s="27"/>
      <c r="L651" s="22"/>
      <c r="N651" s="22"/>
      <c r="O651" s="27"/>
      <c r="P651" s="22"/>
      <c r="R651" s="22"/>
      <c r="S651" s="27"/>
    </row>
    <row r="652" spans="1:19" s="20" customFormat="1" x14ac:dyDescent="0.25">
      <c r="A652" s="26"/>
      <c r="B652" s="21"/>
      <c r="C652" s="21"/>
      <c r="D652" s="22"/>
      <c r="H652" s="22"/>
      <c r="J652" s="22"/>
      <c r="K652" s="27"/>
      <c r="L652" s="22"/>
      <c r="N652" s="22"/>
      <c r="O652" s="27"/>
      <c r="P652" s="22"/>
      <c r="R652" s="22"/>
      <c r="S652" s="27"/>
    </row>
    <row r="653" spans="1:19" s="20" customFormat="1" x14ac:dyDescent="0.25">
      <c r="A653" s="26"/>
      <c r="B653" s="21"/>
      <c r="C653" s="21"/>
      <c r="D653" s="22"/>
      <c r="H653" s="22"/>
      <c r="J653" s="22"/>
      <c r="K653" s="27"/>
      <c r="L653" s="22"/>
      <c r="N653" s="22"/>
      <c r="O653" s="27"/>
      <c r="P653" s="22"/>
      <c r="R653" s="22"/>
      <c r="S653" s="27"/>
    </row>
    <row r="654" spans="1:19" s="20" customFormat="1" x14ac:dyDescent="0.25">
      <c r="A654" s="26"/>
      <c r="B654" s="21"/>
      <c r="C654" s="21"/>
      <c r="D654" s="22"/>
      <c r="H654" s="22"/>
      <c r="J654" s="22"/>
      <c r="K654" s="27"/>
      <c r="L654" s="22"/>
      <c r="N654" s="22"/>
      <c r="O654" s="27"/>
      <c r="P654" s="22"/>
      <c r="R654" s="22"/>
      <c r="S654" s="27"/>
    </row>
    <row r="655" spans="1:19" s="20" customFormat="1" x14ac:dyDescent="0.25">
      <c r="A655" s="26"/>
      <c r="B655" s="21"/>
      <c r="C655" s="21"/>
      <c r="D655" s="22"/>
      <c r="H655" s="22"/>
      <c r="J655" s="22"/>
      <c r="K655" s="27"/>
      <c r="L655" s="22"/>
      <c r="N655" s="22"/>
      <c r="O655" s="27"/>
      <c r="P655" s="22"/>
      <c r="R655" s="22"/>
      <c r="S655" s="27"/>
    </row>
    <row r="656" spans="1:19" s="20" customFormat="1" x14ac:dyDescent="0.25">
      <c r="A656" s="26"/>
      <c r="B656" s="21"/>
      <c r="C656" s="21"/>
      <c r="D656" s="22"/>
      <c r="H656" s="22"/>
      <c r="J656" s="22"/>
      <c r="K656" s="27"/>
      <c r="L656" s="22"/>
      <c r="N656" s="22"/>
      <c r="O656" s="27"/>
      <c r="P656" s="22"/>
      <c r="R656" s="22"/>
      <c r="S656" s="27"/>
    </row>
    <row r="657" spans="1:19" s="20" customFormat="1" x14ac:dyDescent="0.25">
      <c r="A657" s="26"/>
      <c r="B657" s="21"/>
      <c r="C657" s="21"/>
      <c r="D657" s="22"/>
      <c r="H657" s="22"/>
      <c r="J657" s="22"/>
      <c r="K657" s="27"/>
      <c r="L657" s="22"/>
      <c r="N657" s="22"/>
      <c r="O657" s="27"/>
      <c r="P657" s="22"/>
      <c r="R657" s="22"/>
      <c r="S657" s="27"/>
    </row>
    <row r="658" spans="1:19" s="20" customFormat="1" x14ac:dyDescent="0.25">
      <c r="A658" s="26"/>
      <c r="B658" s="21"/>
      <c r="C658" s="21"/>
      <c r="D658" s="22"/>
      <c r="H658" s="22"/>
      <c r="J658" s="22"/>
      <c r="K658" s="27"/>
      <c r="L658" s="22"/>
      <c r="N658" s="22"/>
      <c r="O658" s="27"/>
      <c r="P658" s="22"/>
      <c r="R658" s="22"/>
      <c r="S658" s="27"/>
    </row>
    <row r="659" spans="1:19" s="20" customFormat="1" x14ac:dyDescent="0.25">
      <c r="A659" s="26"/>
      <c r="B659" s="21"/>
      <c r="C659" s="21"/>
      <c r="D659" s="22"/>
      <c r="H659" s="22"/>
      <c r="J659" s="22"/>
      <c r="K659" s="27"/>
      <c r="L659" s="22"/>
      <c r="N659" s="22"/>
      <c r="O659" s="27"/>
      <c r="P659" s="22"/>
      <c r="R659" s="22"/>
      <c r="S659" s="27"/>
    </row>
    <row r="660" spans="1:19" s="20" customFormat="1" x14ac:dyDescent="0.25">
      <c r="A660" s="26"/>
      <c r="B660" s="21"/>
      <c r="C660" s="21"/>
      <c r="D660" s="22"/>
      <c r="H660" s="22"/>
      <c r="J660" s="22"/>
      <c r="K660" s="27"/>
      <c r="L660" s="22"/>
      <c r="N660" s="22"/>
      <c r="O660" s="27"/>
      <c r="P660" s="22"/>
      <c r="R660" s="22"/>
      <c r="S660" s="27"/>
    </row>
    <row r="661" spans="1:19" s="20" customFormat="1" x14ac:dyDescent="0.25">
      <c r="A661" s="26"/>
      <c r="B661" s="21"/>
      <c r="C661" s="21"/>
      <c r="D661" s="22"/>
      <c r="H661" s="22"/>
      <c r="J661" s="22"/>
      <c r="K661" s="27"/>
      <c r="L661" s="22"/>
      <c r="N661" s="22"/>
      <c r="O661" s="27"/>
      <c r="P661" s="22"/>
      <c r="R661" s="22"/>
      <c r="S661" s="27"/>
    </row>
    <row r="662" spans="1:19" s="20" customFormat="1" x14ac:dyDescent="0.25">
      <c r="A662" s="26"/>
      <c r="B662" s="21"/>
      <c r="C662" s="21"/>
      <c r="D662" s="22"/>
      <c r="H662" s="22"/>
      <c r="J662" s="22"/>
      <c r="K662" s="27"/>
      <c r="L662" s="22"/>
      <c r="N662" s="22"/>
      <c r="O662" s="27"/>
      <c r="P662" s="22"/>
      <c r="R662" s="22"/>
      <c r="S662" s="27"/>
    </row>
    <row r="663" spans="1:19" s="20" customFormat="1" x14ac:dyDescent="0.25">
      <c r="A663" s="26"/>
      <c r="B663" s="21"/>
      <c r="C663" s="21"/>
      <c r="D663" s="22"/>
      <c r="H663" s="22"/>
      <c r="J663" s="22"/>
      <c r="K663" s="27"/>
      <c r="L663" s="22"/>
      <c r="N663" s="22"/>
      <c r="O663" s="27"/>
      <c r="P663" s="22"/>
      <c r="R663" s="22"/>
      <c r="S663" s="27"/>
    </row>
    <row r="664" spans="1:19" s="20" customFormat="1" x14ac:dyDescent="0.25">
      <c r="A664" s="26"/>
      <c r="B664" s="21"/>
      <c r="C664" s="21"/>
      <c r="D664" s="22"/>
      <c r="H664" s="22"/>
      <c r="J664" s="22"/>
      <c r="K664" s="27"/>
      <c r="L664" s="22"/>
      <c r="N664" s="22"/>
      <c r="O664" s="27"/>
      <c r="P664" s="22"/>
      <c r="R664" s="22"/>
      <c r="S664" s="27"/>
    </row>
    <row r="665" spans="1:19" s="20" customFormat="1" x14ac:dyDescent="0.25">
      <c r="A665" s="26"/>
      <c r="B665" s="21"/>
      <c r="C665" s="21"/>
      <c r="D665" s="22"/>
      <c r="H665" s="22"/>
      <c r="J665" s="22"/>
      <c r="K665" s="27"/>
      <c r="L665" s="22"/>
      <c r="N665" s="22"/>
      <c r="O665" s="27"/>
      <c r="P665" s="22"/>
      <c r="R665" s="22"/>
      <c r="S665" s="27"/>
    </row>
    <row r="666" spans="1:19" s="20" customFormat="1" x14ac:dyDescent="0.25">
      <c r="A666" s="26"/>
      <c r="B666" s="21"/>
      <c r="C666" s="21"/>
      <c r="D666" s="22"/>
      <c r="H666" s="22"/>
      <c r="J666" s="22"/>
      <c r="K666" s="27"/>
      <c r="L666" s="22"/>
      <c r="N666" s="22"/>
      <c r="O666" s="27"/>
      <c r="P666" s="22"/>
      <c r="R666" s="22"/>
      <c r="S666" s="27"/>
    </row>
    <row r="667" spans="1:19" s="20" customFormat="1" x14ac:dyDescent="0.25">
      <c r="A667" s="26"/>
      <c r="B667" s="21"/>
      <c r="C667" s="21"/>
      <c r="D667" s="22"/>
      <c r="H667" s="22"/>
      <c r="J667" s="22"/>
      <c r="K667" s="27"/>
      <c r="L667" s="22"/>
      <c r="N667" s="22"/>
      <c r="O667" s="27"/>
      <c r="P667" s="22"/>
      <c r="R667" s="22"/>
      <c r="S667" s="27"/>
    </row>
    <row r="668" spans="1:19" s="20" customFormat="1" x14ac:dyDescent="0.25">
      <c r="A668" s="26"/>
      <c r="B668" s="21"/>
      <c r="C668" s="21"/>
      <c r="D668" s="22"/>
      <c r="H668" s="22"/>
      <c r="J668" s="22"/>
      <c r="K668" s="27"/>
      <c r="L668" s="22"/>
      <c r="N668" s="22"/>
      <c r="O668" s="27"/>
      <c r="P668" s="22"/>
      <c r="R668" s="22"/>
      <c r="S668" s="27"/>
    </row>
    <row r="669" spans="1:19" s="20" customFormat="1" x14ac:dyDescent="0.25">
      <c r="A669" s="26"/>
      <c r="B669" s="21"/>
      <c r="C669" s="21"/>
      <c r="D669" s="22"/>
      <c r="H669" s="22"/>
      <c r="J669" s="22"/>
      <c r="K669" s="27"/>
      <c r="L669" s="22"/>
      <c r="N669" s="22"/>
      <c r="O669" s="27"/>
      <c r="P669" s="22"/>
      <c r="R669" s="22"/>
      <c r="S669" s="27"/>
    </row>
    <row r="670" spans="1:19" s="20" customFormat="1" x14ac:dyDescent="0.25">
      <c r="A670" s="26"/>
      <c r="B670" s="21"/>
      <c r="C670" s="21"/>
      <c r="D670" s="22"/>
      <c r="H670" s="22"/>
      <c r="J670" s="22"/>
      <c r="K670" s="27"/>
      <c r="L670" s="22"/>
      <c r="N670" s="22"/>
      <c r="O670" s="27"/>
      <c r="P670" s="22"/>
      <c r="R670" s="22"/>
      <c r="S670" s="27"/>
    </row>
    <row r="671" spans="1:19" s="20" customFormat="1" x14ac:dyDescent="0.25">
      <c r="A671" s="26"/>
      <c r="B671" s="21"/>
      <c r="C671" s="21"/>
      <c r="D671" s="22"/>
      <c r="H671" s="22"/>
      <c r="J671" s="22"/>
      <c r="K671" s="27"/>
      <c r="L671" s="22"/>
      <c r="N671" s="22"/>
      <c r="O671" s="27"/>
      <c r="P671" s="22"/>
      <c r="R671" s="22"/>
      <c r="S671" s="27"/>
    </row>
    <row r="672" spans="1:19" s="20" customFormat="1" x14ac:dyDescent="0.25">
      <c r="A672" s="26"/>
      <c r="B672" s="21"/>
      <c r="C672" s="21"/>
      <c r="D672" s="22"/>
      <c r="H672" s="22"/>
      <c r="J672" s="22"/>
      <c r="K672" s="27"/>
      <c r="L672" s="22"/>
      <c r="N672" s="22"/>
      <c r="O672" s="27"/>
      <c r="P672" s="22"/>
      <c r="R672" s="22"/>
      <c r="S672" s="27"/>
    </row>
    <row r="673" spans="1:19" s="20" customFormat="1" x14ac:dyDescent="0.25">
      <c r="A673" s="26"/>
      <c r="B673" s="21"/>
      <c r="C673" s="21"/>
      <c r="D673" s="22"/>
      <c r="H673" s="22"/>
      <c r="J673" s="22"/>
      <c r="K673" s="27"/>
      <c r="L673" s="22"/>
      <c r="N673" s="22"/>
      <c r="O673" s="27"/>
      <c r="P673" s="22"/>
      <c r="R673" s="22"/>
      <c r="S673" s="27"/>
    </row>
    <row r="674" spans="1:19" s="20" customFormat="1" x14ac:dyDescent="0.25">
      <c r="A674" s="26"/>
      <c r="B674" s="21"/>
      <c r="C674" s="21"/>
      <c r="D674" s="22"/>
      <c r="H674" s="22"/>
      <c r="J674" s="22"/>
      <c r="K674" s="27"/>
      <c r="L674" s="22"/>
      <c r="N674" s="22"/>
      <c r="O674" s="27"/>
      <c r="P674" s="22"/>
      <c r="R674" s="22"/>
      <c r="S674" s="27"/>
    </row>
    <row r="675" spans="1:19" s="20" customFormat="1" x14ac:dyDescent="0.25">
      <c r="A675" s="26"/>
      <c r="B675" s="21"/>
      <c r="C675" s="21"/>
      <c r="D675" s="22"/>
      <c r="H675" s="22"/>
      <c r="J675" s="22"/>
      <c r="K675" s="27"/>
      <c r="L675" s="22"/>
      <c r="N675" s="22"/>
      <c r="O675" s="27"/>
      <c r="P675" s="22"/>
      <c r="R675" s="22"/>
      <c r="S675" s="27"/>
    </row>
    <row r="676" spans="1:19" s="20" customFormat="1" x14ac:dyDescent="0.25">
      <c r="A676" s="26"/>
      <c r="B676" s="21"/>
      <c r="C676" s="21"/>
      <c r="D676" s="22"/>
      <c r="H676" s="22"/>
      <c r="J676" s="22"/>
      <c r="K676" s="27"/>
      <c r="L676" s="22"/>
      <c r="N676" s="22"/>
      <c r="O676" s="27"/>
      <c r="P676" s="22"/>
      <c r="R676" s="22"/>
      <c r="S676" s="27"/>
    </row>
    <row r="677" spans="1:19" s="20" customFormat="1" x14ac:dyDescent="0.25">
      <c r="A677" s="26"/>
      <c r="B677" s="21"/>
      <c r="C677" s="21"/>
      <c r="D677" s="22"/>
      <c r="H677" s="22"/>
      <c r="J677" s="22"/>
      <c r="K677" s="27"/>
      <c r="L677" s="22"/>
      <c r="N677" s="22"/>
      <c r="O677" s="27"/>
      <c r="P677" s="22"/>
      <c r="R677" s="22"/>
      <c r="S677" s="27"/>
    </row>
    <row r="678" spans="1:19" s="20" customFormat="1" x14ac:dyDescent="0.25">
      <c r="A678" s="26"/>
      <c r="B678" s="21"/>
      <c r="C678" s="21"/>
      <c r="D678" s="22"/>
      <c r="H678" s="22"/>
      <c r="J678" s="22"/>
      <c r="K678" s="27"/>
      <c r="L678" s="22"/>
      <c r="N678" s="22"/>
      <c r="O678" s="27"/>
      <c r="P678" s="22"/>
      <c r="R678" s="22"/>
      <c r="S678" s="27"/>
    </row>
    <row r="679" spans="1:19" s="20" customFormat="1" x14ac:dyDescent="0.25">
      <c r="A679" s="26"/>
      <c r="B679" s="21"/>
      <c r="C679" s="21"/>
      <c r="D679" s="22"/>
      <c r="H679" s="22"/>
      <c r="J679" s="22"/>
      <c r="K679" s="27"/>
      <c r="L679" s="22"/>
      <c r="N679" s="22"/>
      <c r="O679" s="27"/>
      <c r="P679" s="22"/>
      <c r="R679" s="22"/>
      <c r="S679" s="27"/>
    </row>
    <row r="680" spans="1:19" s="20" customFormat="1" x14ac:dyDescent="0.25">
      <c r="A680" s="26"/>
      <c r="B680" s="21"/>
      <c r="C680" s="21"/>
      <c r="D680" s="22"/>
      <c r="H680" s="22"/>
      <c r="J680" s="22"/>
      <c r="K680" s="27"/>
      <c r="L680" s="22"/>
      <c r="N680" s="22"/>
      <c r="O680" s="27"/>
      <c r="P680" s="22"/>
      <c r="R680" s="22"/>
      <c r="S680" s="27"/>
    </row>
    <row r="681" spans="1:19" s="20" customFormat="1" x14ac:dyDescent="0.25">
      <c r="A681" s="26"/>
      <c r="B681" s="21"/>
      <c r="C681" s="21"/>
      <c r="D681" s="22"/>
      <c r="H681" s="22"/>
      <c r="J681" s="22"/>
      <c r="K681" s="27"/>
      <c r="L681" s="22"/>
      <c r="N681" s="22"/>
      <c r="O681" s="27"/>
      <c r="P681" s="22"/>
      <c r="R681" s="22"/>
      <c r="S681" s="27"/>
    </row>
    <row r="682" spans="1:19" s="20" customFormat="1" x14ac:dyDescent="0.25">
      <c r="A682" s="26"/>
      <c r="B682" s="21"/>
      <c r="C682" s="21"/>
      <c r="D682" s="22"/>
      <c r="H682" s="22"/>
      <c r="J682" s="22"/>
      <c r="K682" s="27"/>
      <c r="L682" s="22"/>
      <c r="N682" s="22"/>
      <c r="O682" s="27"/>
      <c r="P682" s="22"/>
      <c r="R682" s="22"/>
      <c r="S682" s="27"/>
    </row>
    <row r="683" spans="1:19" s="20" customFormat="1" x14ac:dyDescent="0.25">
      <c r="A683" s="26"/>
      <c r="B683" s="21"/>
      <c r="C683" s="21"/>
      <c r="D683" s="22"/>
      <c r="H683" s="22"/>
      <c r="J683" s="22"/>
      <c r="K683" s="27"/>
      <c r="L683" s="22"/>
      <c r="N683" s="22"/>
      <c r="O683" s="27"/>
      <c r="P683" s="22"/>
      <c r="R683" s="22"/>
      <c r="S683" s="27"/>
    </row>
    <row r="684" spans="1:19" s="20" customFormat="1" x14ac:dyDescent="0.25">
      <c r="A684" s="26"/>
      <c r="B684" s="21"/>
      <c r="C684" s="21"/>
      <c r="D684" s="22"/>
      <c r="H684" s="22"/>
      <c r="J684" s="22"/>
      <c r="K684" s="27"/>
      <c r="L684" s="22"/>
      <c r="N684" s="22"/>
      <c r="O684" s="27"/>
      <c r="P684" s="22"/>
      <c r="R684" s="22"/>
      <c r="S684" s="27"/>
    </row>
    <row r="685" spans="1:19" s="20" customFormat="1" x14ac:dyDescent="0.25">
      <c r="A685" s="26"/>
      <c r="B685" s="21"/>
      <c r="C685" s="21"/>
      <c r="D685" s="22"/>
      <c r="H685" s="22"/>
      <c r="J685" s="22"/>
      <c r="K685" s="27"/>
      <c r="L685" s="22"/>
      <c r="N685" s="22"/>
      <c r="O685" s="27"/>
      <c r="P685" s="22"/>
      <c r="R685" s="22"/>
      <c r="S685" s="27"/>
    </row>
    <row r="686" spans="1:19" s="20" customFormat="1" x14ac:dyDescent="0.25">
      <c r="A686" s="26"/>
      <c r="B686" s="21"/>
      <c r="C686" s="21"/>
      <c r="D686" s="22"/>
      <c r="H686" s="22"/>
      <c r="J686" s="22"/>
      <c r="K686" s="27"/>
      <c r="L686" s="22"/>
      <c r="N686" s="22"/>
      <c r="O686" s="27"/>
      <c r="P686" s="22"/>
      <c r="R686" s="22"/>
      <c r="S686" s="27"/>
    </row>
    <row r="687" spans="1:19" s="20" customFormat="1" x14ac:dyDescent="0.25">
      <c r="A687" s="26"/>
      <c r="B687" s="21"/>
      <c r="C687" s="21"/>
      <c r="D687" s="22"/>
      <c r="H687" s="22"/>
      <c r="J687" s="22"/>
      <c r="K687" s="27"/>
      <c r="L687" s="22"/>
      <c r="N687" s="22"/>
      <c r="O687" s="27"/>
      <c r="P687" s="22"/>
      <c r="R687" s="22"/>
      <c r="S687" s="27"/>
    </row>
    <row r="688" spans="1:19" s="20" customFormat="1" x14ac:dyDescent="0.25">
      <c r="A688" s="26"/>
      <c r="B688" s="21"/>
      <c r="C688" s="21"/>
      <c r="D688" s="22"/>
      <c r="H688" s="22"/>
      <c r="J688" s="22"/>
      <c r="K688" s="27"/>
      <c r="L688" s="22"/>
      <c r="N688" s="22"/>
      <c r="O688" s="27"/>
      <c r="P688" s="22"/>
      <c r="R688" s="22"/>
      <c r="S688" s="27"/>
    </row>
    <row r="689" spans="1:19" s="20" customFormat="1" x14ac:dyDescent="0.25">
      <c r="A689" s="26"/>
      <c r="B689" s="21"/>
      <c r="C689" s="21"/>
      <c r="D689" s="22"/>
      <c r="H689" s="22"/>
      <c r="J689" s="22"/>
      <c r="K689" s="27"/>
      <c r="L689" s="22"/>
      <c r="N689" s="22"/>
      <c r="O689" s="27"/>
      <c r="P689" s="22"/>
      <c r="R689" s="22"/>
      <c r="S689" s="27"/>
    </row>
    <row r="690" spans="1:19" s="20" customFormat="1" x14ac:dyDescent="0.25">
      <c r="A690" s="26"/>
      <c r="B690" s="21"/>
      <c r="C690" s="21"/>
      <c r="D690" s="22"/>
      <c r="H690" s="22"/>
      <c r="J690" s="22"/>
      <c r="K690" s="27"/>
      <c r="L690" s="22"/>
      <c r="N690" s="22"/>
      <c r="O690" s="27"/>
      <c r="P690" s="22"/>
      <c r="R690" s="22"/>
      <c r="S690" s="27"/>
    </row>
    <row r="691" spans="1:19" s="20" customFormat="1" x14ac:dyDescent="0.25">
      <c r="A691" s="26"/>
      <c r="B691" s="21"/>
      <c r="C691" s="21"/>
      <c r="D691" s="22"/>
      <c r="H691" s="22"/>
      <c r="J691" s="22"/>
      <c r="K691" s="27"/>
      <c r="L691" s="22"/>
      <c r="N691" s="22"/>
      <c r="O691" s="27"/>
      <c r="P691" s="22"/>
      <c r="R691" s="22"/>
      <c r="S691" s="27"/>
    </row>
    <row r="692" spans="1:19" s="20" customFormat="1" x14ac:dyDescent="0.25">
      <c r="A692" s="26"/>
      <c r="B692" s="21"/>
      <c r="C692" s="21"/>
      <c r="D692" s="22"/>
      <c r="H692" s="22"/>
      <c r="J692" s="22"/>
      <c r="K692" s="27"/>
      <c r="L692" s="22"/>
      <c r="N692" s="22"/>
      <c r="O692" s="27"/>
      <c r="P692" s="22"/>
      <c r="R692" s="22"/>
      <c r="S692" s="27"/>
    </row>
    <row r="693" spans="1:19" s="20" customFormat="1" x14ac:dyDescent="0.25">
      <c r="A693" s="26"/>
      <c r="B693" s="21"/>
      <c r="C693" s="21"/>
      <c r="D693" s="22"/>
      <c r="H693" s="22"/>
      <c r="J693" s="22"/>
      <c r="K693" s="27"/>
      <c r="L693" s="22"/>
      <c r="N693" s="22"/>
      <c r="O693" s="27"/>
      <c r="P693" s="22"/>
      <c r="R693" s="22"/>
      <c r="S693" s="27"/>
    </row>
    <row r="694" spans="1:19" s="20" customFormat="1" x14ac:dyDescent="0.25">
      <c r="A694" s="26"/>
      <c r="B694" s="21"/>
      <c r="C694" s="21"/>
      <c r="D694" s="22"/>
      <c r="H694" s="22"/>
      <c r="J694" s="22"/>
      <c r="K694" s="27"/>
      <c r="L694" s="22"/>
      <c r="N694" s="22"/>
      <c r="O694" s="27"/>
      <c r="P694" s="22"/>
      <c r="R694" s="22"/>
      <c r="S694" s="27"/>
    </row>
    <row r="695" spans="1:19" s="20" customFormat="1" x14ac:dyDescent="0.25">
      <c r="A695" s="26"/>
      <c r="B695" s="21"/>
      <c r="C695" s="21"/>
      <c r="D695" s="22"/>
      <c r="H695" s="22"/>
      <c r="J695" s="22"/>
      <c r="K695" s="27"/>
      <c r="L695" s="22"/>
      <c r="N695" s="22"/>
      <c r="O695" s="27"/>
      <c r="P695" s="22"/>
      <c r="R695" s="22"/>
      <c r="S695" s="27"/>
    </row>
    <row r="696" spans="1:19" s="20" customFormat="1" x14ac:dyDescent="0.25">
      <c r="A696" s="26"/>
      <c r="B696" s="21"/>
      <c r="C696" s="21"/>
      <c r="D696" s="22"/>
      <c r="H696" s="22"/>
      <c r="J696" s="22"/>
      <c r="K696" s="27"/>
      <c r="L696" s="22"/>
      <c r="N696" s="22"/>
      <c r="O696" s="27"/>
      <c r="P696" s="22"/>
      <c r="R696" s="22"/>
      <c r="S696" s="27"/>
    </row>
    <row r="697" spans="1:19" s="20" customFormat="1" x14ac:dyDescent="0.25">
      <c r="A697" s="26"/>
      <c r="B697" s="21"/>
      <c r="C697" s="21"/>
      <c r="D697" s="22"/>
      <c r="H697" s="22"/>
      <c r="J697" s="22"/>
      <c r="K697" s="27"/>
      <c r="L697" s="22"/>
      <c r="N697" s="22"/>
      <c r="O697" s="27"/>
      <c r="P697" s="22"/>
      <c r="R697" s="22"/>
      <c r="S697" s="27"/>
    </row>
    <row r="698" spans="1:19" s="20" customFormat="1" x14ac:dyDescent="0.25">
      <c r="A698" s="26"/>
      <c r="B698" s="21"/>
      <c r="C698" s="21"/>
      <c r="D698" s="22"/>
      <c r="H698" s="22"/>
      <c r="J698" s="22"/>
      <c r="K698" s="27"/>
      <c r="L698" s="22"/>
      <c r="N698" s="22"/>
      <c r="O698" s="27"/>
      <c r="P698" s="22"/>
      <c r="R698" s="22"/>
      <c r="S698" s="27"/>
    </row>
    <row r="699" spans="1:19" s="20" customFormat="1" x14ac:dyDescent="0.25">
      <c r="A699" s="26"/>
      <c r="B699" s="21"/>
      <c r="C699" s="21"/>
      <c r="D699" s="22"/>
      <c r="H699" s="22"/>
      <c r="J699" s="22"/>
      <c r="K699" s="27"/>
      <c r="L699" s="22"/>
      <c r="N699" s="22"/>
      <c r="O699" s="27"/>
      <c r="P699" s="22"/>
      <c r="R699" s="22"/>
      <c r="S699" s="27"/>
    </row>
    <row r="700" spans="1:19" s="20" customFormat="1" x14ac:dyDescent="0.25">
      <c r="A700" s="26"/>
      <c r="B700" s="21"/>
      <c r="C700" s="21"/>
      <c r="D700" s="22"/>
      <c r="H700" s="22"/>
      <c r="J700" s="22"/>
      <c r="K700" s="27"/>
      <c r="L700" s="22"/>
      <c r="N700" s="22"/>
      <c r="O700" s="27"/>
      <c r="P700" s="22"/>
      <c r="R700" s="22"/>
      <c r="S700" s="27"/>
    </row>
    <row r="701" spans="1:19" s="20" customFormat="1" x14ac:dyDescent="0.25">
      <c r="A701" s="26"/>
      <c r="B701" s="21"/>
      <c r="C701" s="21"/>
      <c r="D701" s="22"/>
      <c r="H701" s="22"/>
      <c r="J701" s="22"/>
      <c r="K701" s="27"/>
      <c r="L701" s="22"/>
      <c r="N701" s="22"/>
      <c r="O701" s="27"/>
      <c r="P701" s="22"/>
      <c r="R701" s="22"/>
      <c r="S701" s="27"/>
    </row>
    <row r="702" spans="1:19" s="20" customFormat="1" x14ac:dyDescent="0.25">
      <c r="A702" s="26"/>
      <c r="B702" s="21"/>
      <c r="C702" s="21"/>
      <c r="D702" s="22"/>
      <c r="H702" s="22"/>
      <c r="J702" s="22"/>
      <c r="K702" s="27"/>
      <c r="L702" s="22"/>
      <c r="N702" s="22"/>
      <c r="O702" s="27"/>
      <c r="P702" s="22"/>
      <c r="R702" s="22"/>
      <c r="S702" s="27"/>
    </row>
    <row r="703" spans="1:19" s="20" customFormat="1" x14ac:dyDescent="0.25">
      <c r="A703" s="26"/>
      <c r="B703" s="21"/>
      <c r="C703" s="21"/>
      <c r="D703" s="22"/>
      <c r="H703" s="22"/>
      <c r="J703" s="22"/>
      <c r="K703" s="27"/>
      <c r="L703" s="22"/>
      <c r="N703" s="22"/>
      <c r="O703" s="27"/>
      <c r="P703" s="22"/>
      <c r="R703" s="22"/>
      <c r="S703" s="27"/>
    </row>
    <row r="704" spans="1:19" s="20" customFormat="1" x14ac:dyDescent="0.25">
      <c r="A704" s="26"/>
      <c r="B704" s="21"/>
      <c r="C704" s="21"/>
      <c r="D704" s="22"/>
      <c r="H704" s="22"/>
      <c r="J704" s="22"/>
      <c r="K704" s="27"/>
      <c r="L704" s="22"/>
      <c r="N704" s="22"/>
      <c r="O704" s="27"/>
      <c r="P704" s="22"/>
      <c r="R704" s="22"/>
      <c r="S704" s="27"/>
    </row>
    <row r="705" spans="1:19" s="20" customFormat="1" x14ac:dyDescent="0.25">
      <c r="A705" s="26"/>
      <c r="B705" s="21"/>
      <c r="C705" s="21"/>
      <c r="D705" s="22"/>
      <c r="H705" s="22"/>
      <c r="J705" s="22"/>
      <c r="K705" s="27"/>
      <c r="L705" s="22"/>
      <c r="N705" s="22"/>
      <c r="O705" s="27"/>
      <c r="P705" s="22"/>
      <c r="R705" s="22"/>
      <c r="S705" s="27"/>
    </row>
    <row r="706" spans="1:19" s="20" customFormat="1" x14ac:dyDescent="0.25">
      <c r="A706" s="26"/>
      <c r="B706" s="21"/>
      <c r="C706" s="21"/>
      <c r="D706" s="22"/>
      <c r="H706" s="22"/>
      <c r="J706" s="22"/>
      <c r="K706" s="27"/>
      <c r="L706" s="22"/>
      <c r="N706" s="22"/>
      <c r="O706" s="27"/>
      <c r="P706" s="22"/>
      <c r="R706" s="22"/>
      <c r="S706" s="27"/>
    </row>
    <row r="707" spans="1:19" s="20" customFormat="1" x14ac:dyDescent="0.25">
      <c r="A707" s="26"/>
      <c r="B707" s="21"/>
      <c r="C707" s="21"/>
      <c r="D707" s="22"/>
      <c r="H707" s="22"/>
      <c r="J707" s="22"/>
      <c r="K707" s="27"/>
      <c r="L707" s="22"/>
      <c r="N707" s="22"/>
      <c r="O707" s="27"/>
      <c r="P707" s="22"/>
      <c r="R707" s="22"/>
      <c r="S707" s="27"/>
    </row>
    <row r="708" spans="1:19" s="20" customFormat="1" x14ac:dyDescent="0.25">
      <c r="A708" s="26"/>
      <c r="B708" s="21"/>
      <c r="C708" s="21"/>
      <c r="D708" s="22"/>
      <c r="H708" s="22"/>
      <c r="J708" s="22"/>
      <c r="K708" s="27"/>
      <c r="L708" s="22"/>
      <c r="N708" s="22"/>
      <c r="O708" s="27"/>
      <c r="P708" s="22"/>
      <c r="R708" s="22"/>
      <c r="S708" s="27"/>
    </row>
    <row r="709" spans="1:19" s="20" customFormat="1" x14ac:dyDescent="0.25">
      <c r="A709" s="26"/>
      <c r="B709" s="21"/>
      <c r="C709" s="21"/>
      <c r="D709" s="22"/>
      <c r="H709" s="22"/>
      <c r="J709" s="22"/>
      <c r="K709" s="27"/>
      <c r="L709" s="22"/>
      <c r="N709" s="22"/>
      <c r="O709" s="27"/>
      <c r="P709" s="22"/>
      <c r="R709" s="22"/>
      <c r="S709" s="27"/>
    </row>
    <row r="710" spans="1:19" s="20" customFormat="1" x14ac:dyDescent="0.25">
      <c r="A710" s="26"/>
      <c r="B710" s="21"/>
      <c r="C710" s="21"/>
      <c r="D710" s="22"/>
      <c r="H710" s="22"/>
      <c r="J710" s="22"/>
      <c r="K710" s="27"/>
      <c r="L710" s="22"/>
      <c r="N710" s="22"/>
      <c r="O710" s="27"/>
      <c r="P710" s="22"/>
      <c r="R710" s="22"/>
      <c r="S710" s="27"/>
    </row>
    <row r="711" spans="1:19" s="20" customFormat="1" x14ac:dyDescent="0.25">
      <c r="A711" s="26"/>
      <c r="B711" s="21"/>
      <c r="C711" s="21"/>
      <c r="D711" s="22"/>
      <c r="H711" s="22"/>
      <c r="J711" s="22"/>
      <c r="K711" s="27"/>
      <c r="L711" s="22"/>
      <c r="N711" s="22"/>
      <c r="O711" s="27"/>
      <c r="P711" s="22"/>
      <c r="R711" s="22"/>
      <c r="S711" s="27"/>
    </row>
    <row r="712" spans="1:19" s="20" customFormat="1" x14ac:dyDescent="0.25">
      <c r="A712" s="26"/>
      <c r="B712" s="21"/>
      <c r="C712" s="21"/>
      <c r="D712" s="22"/>
      <c r="H712" s="22"/>
      <c r="J712" s="22"/>
      <c r="K712" s="27"/>
      <c r="L712" s="22"/>
      <c r="N712" s="22"/>
      <c r="O712" s="27"/>
      <c r="P712" s="22"/>
      <c r="R712" s="22"/>
      <c r="S712" s="27"/>
    </row>
    <row r="713" spans="1:19" s="20" customFormat="1" x14ac:dyDescent="0.25">
      <c r="A713" s="26"/>
      <c r="B713" s="21"/>
      <c r="C713" s="21"/>
      <c r="D713" s="22"/>
      <c r="H713" s="22"/>
      <c r="J713" s="22"/>
      <c r="K713" s="27"/>
      <c r="L713" s="22"/>
      <c r="N713" s="22"/>
      <c r="O713" s="27"/>
      <c r="P713" s="22"/>
      <c r="R713" s="22"/>
      <c r="S713" s="27"/>
    </row>
    <row r="714" spans="1:19" s="20" customFormat="1" x14ac:dyDescent="0.25">
      <c r="A714" s="26"/>
      <c r="B714" s="21"/>
      <c r="C714" s="21"/>
      <c r="D714" s="22"/>
      <c r="H714" s="22"/>
      <c r="J714" s="22"/>
      <c r="K714" s="27"/>
      <c r="L714" s="22"/>
      <c r="N714" s="22"/>
      <c r="O714" s="27"/>
      <c r="P714" s="22"/>
      <c r="R714" s="22"/>
      <c r="S714" s="27"/>
    </row>
    <row r="715" spans="1:19" s="20" customFormat="1" x14ac:dyDescent="0.25">
      <c r="A715" s="26"/>
      <c r="B715" s="21"/>
      <c r="C715" s="21"/>
      <c r="D715" s="22"/>
      <c r="H715" s="22"/>
      <c r="J715" s="22"/>
      <c r="K715" s="27"/>
      <c r="L715" s="22"/>
      <c r="N715" s="22"/>
      <c r="O715" s="27"/>
      <c r="P715" s="22"/>
      <c r="R715" s="22"/>
      <c r="S715" s="27"/>
    </row>
    <row r="716" spans="1:19" s="20" customFormat="1" x14ac:dyDescent="0.25">
      <c r="A716" s="26"/>
      <c r="B716" s="21"/>
      <c r="C716" s="21"/>
      <c r="D716" s="22"/>
      <c r="H716" s="22"/>
      <c r="J716" s="22"/>
      <c r="K716" s="27"/>
      <c r="L716" s="22"/>
      <c r="N716" s="22"/>
      <c r="O716" s="27"/>
      <c r="P716" s="22"/>
      <c r="R716" s="22"/>
      <c r="S716" s="27"/>
    </row>
    <row r="717" spans="1:19" s="20" customFormat="1" x14ac:dyDescent="0.25">
      <c r="A717" s="26"/>
      <c r="B717" s="21"/>
      <c r="C717" s="21"/>
      <c r="D717" s="22"/>
      <c r="H717" s="22"/>
      <c r="J717" s="22"/>
      <c r="K717" s="27"/>
      <c r="L717" s="22"/>
      <c r="N717" s="22"/>
      <c r="O717" s="27"/>
      <c r="P717" s="22"/>
      <c r="R717" s="22"/>
      <c r="S717" s="27"/>
    </row>
    <row r="718" spans="1:19" s="20" customFormat="1" x14ac:dyDescent="0.25">
      <c r="A718" s="26"/>
      <c r="B718" s="21"/>
      <c r="C718" s="21"/>
      <c r="D718" s="22"/>
      <c r="H718" s="22"/>
      <c r="J718" s="22"/>
      <c r="K718" s="27"/>
      <c r="L718" s="22"/>
      <c r="N718" s="22"/>
      <c r="O718" s="27"/>
      <c r="P718" s="22"/>
      <c r="R718" s="22"/>
      <c r="S718" s="27"/>
    </row>
    <row r="719" spans="1:19" s="20" customFormat="1" x14ac:dyDescent="0.25">
      <c r="A719" s="26"/>
      <c r="B719" s="21"/>
      <c r="C719" s="21"/>
      <c r="D719" s="22"/>
      <c r="H719" s="22"/>
      <c r="J719" s="22"/>
      <c r="K719" s="27"/>
      <c r="L719" s="22"/>
      <c r="N719" s="22"/>
      <c r="O719" s="27"/>
      <c r="P719" s="22"/>
      <c r="R719" s="22"/>
      <c r="S719" s="27"/>
    </row>
    <row r="720" spans="1:19" s="20" customFormat="1" x14ac:dyDescent="0.25">
      <c r="A720" s="26"/>
      <c r="B720" s="21"/>
      <c r="C720" s="21"/>
      <c r="D720" s="22"/>
      <c r="H720" s="22"/>
      <c r="J720" s="22"/>
      <c r="K720" s="27"/>
      <c r="L720" s="22"/>
      <c r="N720" s="22"/>
      <c r="O720" s="27"/>
      <c r="P720" s="22"/>
      <c r="R720" s="22"/>
      <c r="S720" s="27"/>
    </row>
    <row r="721" spans="1:19" s="20" customFormat="1" x14ac:dyDescent="0.25">
      <c r="A721" s="26"/>
      <c r="B721" s="21"/>
      <c r="C721" s="21"/>
      <c r="D721" s="22"/>
      <c r="H721" s="22"/>
      <c r="J721" s="22"/>
      <c r="K721" s="27"/>
      <c r="L721" s="22"/>
      <c r="N721" s="22"/>
      <c r="O721" s="27"/>
      <c r="P721" s="22"/>
      <c r="R721" s="22"/>
      <c r="S721" s="27"/>
    </row>
    <row r="722" spans="1:19" s="20" customFormat="1" x14ac:dyDescent="0.25">
      <c r="A722" s="26"/>
      <c r="B722" s="21"/>
      <c r="C722" s="21"/>
      <c r="D722" s="22"/>
      <c r="H722" s="22"/>
      <c r="J722" s="22"/>
      <c r="K722" s="27"/>
      <c r="L722" s="22"/>
      <c r="N722" s="22"/>
      <c r="O722" s="27"/>
      <c r="P722" s="22"/>
      <c r="R722" s="22"/>
      <c r="S722" s="27"/>
    </row>
    <row r="723" spans="1:19" s="20" customFormat="1" x14ac:dyDescent="0.25">
      <c r="A723" s="26"/>
      <c r="B723" s="21"/>
      <c r="C723" s="21"/>
      <c r="D723" s="22"/>
      <c r="H723" s="22"/>
      <c r="J723" s="22"/>
      <c r="K723" s="27"/>
      <c r="L723" s="22"/>
      <c r="N723" s="22"/>
      <c r="O723" s="27"/>
      <c r="P723" s="22"/>
      <c r="R723" s="22"/>
      <c r="S723" s="27"/>
    </row>
    <row r="724" spans="1:19" s="20" customFormat="1" x14ac:dyDescent="0.25">
      <c r="A724" s="26"/>
      <c r="B724" s="21"/>
      <c r="C724" s="21"/>
      <c r="D724" s="22"/>
      <c r="H724" s="22"/>
      <c r="J724" s="22"/>
      <c r="K724" s="27"/>
      <c r="L724" s="22"/>
      <c r="N724" s="22"/>
      <c r="O724" s="27"/>
      <c r="P724" s="22"/>
      <c r="R724" s="22"/>
      <c r="S724" s="27"/>
    </row>
    <row r="725" spans="1:19" s="20" customFormat="1" x14ac:dyDescent="0.25">
      <c r="A725" s="26"/>
      <c r="B725" s="21"/>
      <c r="C725" s="21"/>
      <c r="D725" s="22"/>
      <c r="H725" s="22"/>
      <c r="J725" s="22"/>
      <c r="K725" s="27"/>
      <c r="L725" s="22"/>
      <c r="N725" s="22"/>
      <c r="O725" s="27"/>
      <c r="P725" s="22"/>
      <c r="R725" s="22"/>
      <c r="S725" s="27"/>
    </row>
    <row r="726" spans="1:19" s="20" customFormat="1" x14ac:dyDescent="0.25">
      <c r="A726" s="26"/>
      <c r="B726" s="21"/>
      <c r="C726" s="21"/>
      <c r="D726" s="22"/>
      <c r="H726" s="22"/>
      <c r="J726" s="22"/>
      <c r="K726" s="27"/>
      <c r="L726" s="22"/>
      <c r="N726" s="22"/>
      <c r="O726" s="27"/>
      <c r="P726" s="22"/>
      <c r="R726" s="22"/>
      <c r="S726" s="27"/>
    </row>
    <row r="727" spans="1:19" s="20" customFormat="1" x14ac:dyDescent="0.25">
      <c r="A727" s="26"/>
      <c r="B727" s="21"/>
      <c r="C727" s="21"/>
      <c r="D727" s="22"/>
      <c r="H727" s="22"/>
      <c r="J727" s="22"/>
      <c r="K727" s="27"/>
      <c r="L727" s="22"/>
      <c r="N727" s="22"/>
      <c r="O727" s="27"/>
      <c r="P727" s="22"/>
      <c r="R727" s="22"/>
      <c r="S727" s="27"/>
    </row>
    <row r="728" spans="1:19" s="20" customFormat="1" x14ac:dyDescent="0.25">
      <c r="A728" s="26"/>
      <c r="B728" s="21"/>
      <c r="C728" s="21"/>
      <c r="D728" s="22"/>
      <c r="H728" s="22"/>
      <c r="J728" s="22"/>
      <c r="K728" s="27"/>
      <c r="L728" s="22"/>
      <c r="N728" s="22"/>
      <c r="O728" s="27"/>
      <c r="P728" s="22"/>
      <c r="R728" s="22"/>
      <c r="S728" s="27"/>
    </row>
    <row r="729" spans="1:19" s="20" customFormat="1" x14ac:dyDescent="0.25">
      <c r="A729" s="26"/>
      <c r="B729" s="21"/>
      <c r="C729" s="21"/>
      <c r="D729" s="22"/>
      <c r="H729" s="22"/>
      <c r="J729" s="22"/>
      <c r="K729" s="27"/>
      <c r="L729" s="22"/>
      <c r="N729" s="22"/>
      <c r="O729" s="27"/>
      <c r="P729" s="22"/>
      <c r="R729" s="22"/>
      <c r="S729" s="27"/>
    </row>
    <row r="730" spans="1:19" s="20" customFormat="1" x14ac:dyDescent="0.25">
      <c r="A730" s="26"/>
      <c r="B730" s="21"/>
      <c r="C730" s="21"/>
      <c r="D730" s="22"/>
      <c r="H730" s="22"/>
      <c r="J730" s="22"/>
      <c r="K730" s="27"/>
      <c r="L730" s="22"/>
      <c r="N730" s="22"/>
      <c r="O730" s="27"/>
      <c r="P730" s="22"/>
      <c r="R730" s="22"/>
      <c r="S730" s="27"/>
    </row>
    <row r="731" spans="1:19" s="20" customFormat="1" x14ac:dyDescent="0.25">
      <c r="A731" s="26"/>
      <c r="B731" s="21"/>
      <c r="C731" s="21"/>
      <c r="D731" s="22"/>
      <c r="H731" s="22"/>
      <c r="J731" s="22"/>
      <c r="K731" s="27"/>
      <c r="L731" s="22"/>
      <c r="N731" s="22"/>
      <c r="O731" s="27"/>
      <c r="P731" s="22"/>
      <c r="R731" s="22"/>
      <c r="S731" s="27"/>
    </row>
    <row r="732" spans="1:19" s="20" customFormat="1" x14ac:dyDescent="0.25">
      <c r="A732" s="26"/>
      <c r="B732" s="21"/>
      <c r="C732" s="21"/>
      <c r="D732" s="22"/>
      <c r="H732" s="22"/>
      <c r="J732" s="22"/>
      <c r="K732" s="27"/>
      <c r="L732" s="22"/>
      <c r="N732" s="22"/>
      <c r="O732" s="27"/>
      <c r="P732" s="22"/>
      <c r="R732" s="22"/>
      <c r="S732" s="27"/>
    </row>
    <row r="733" spans="1:19" s="20" customFormat="1" x14ac:dyDescent="0.25">
      <c r="A733" s="26"/>
      <c r="B733" s="21"/>
      <c r="C733" s="21"/>
      <c r="D733" s="22"/>
      <c r="H733" s="22"/>
      <c r="J733" s="22"/>
      <c r="K733" s="27"/>
      <c r="L733" s="22"/>
      <c r="N733" s="22"/>
      <c r="O733" s="27"/>
      <c r="P733" s="22"/>
      <c r="R733" s="22"/>
      <c r="S733" s="27"/>
    </row>
    <row r="734" spans="1:19" s="20" customFormat="1" x14ac:dyDescent="0.25">
      <c r="A734" s="26"/>
      <c r="B734" s="21"/>
      <c r="C734" s="21"/>
      <c r="D734" s="22"/>
      <c r="H734" s="22"/>
      <c r="J734" s="22"/>
      <c r="K734" s="27"/>
      <c r="L734" s="22"/>
      <c r="N734" s="22"/>
      <c r="O734" s="27"/>
      <c r="P734" s="22"/>
      <c r="R734" s="22"/>
      <c r="S734" s="27"/>
    </row>
    <row r="735" spans="1:19" s="20" customFormat="1" x14ac:dyDescent="0.25">
      <c r="A735" s="26"/>
      <c r="B735" s="21"/>
      <c r="C735" s="21"/>
      <c r="D735" s="22"/>
      <c r="H735" s="22"/>
      <c r="J735" s="22"/>
      <c r="K735" s="27"/>
      <c r="L735" s="22"/>
      <c r="N735" s="22"/>
      <c r="O735" s="27"/>
      <c r="P735" s="22"/>
      <c r="R735" s="22"/>
      <c r="S735" s="27"/>
    </row>
    <row r="736" spans="1:19" s="20" customFormat="1" x14ac:dyDescent="0.25">
      <c r="A736" s="26"/>
      <c r="B736" s="21"/>
      <c r="C736" s="21"/>
      <c r="D736" s="22"/>
      <c r="H736" s="22"/>
      <c r="J736" s="22"/>
      <c r="K736" s="27"/>
      <c r="L736" s="22"/>
      <c r="N736" s="22"/>
      <c r="O736" s="27"/>
      <c r="P736" s="22"/>
      <c r="R736" s="22"/>
      <c r="S736" s="27"/>
    </row>
    <row r="737" spans="1:19" s="20" customFormat="1" x14ac:dyDescent="0.25">
      <c r="A737" s="26"/>
      <c r="B737" s="21"/>
      <c r="C737" s="21"/>
      <c r="D737" s="22"/>
      <c r="H737" s="22"/>
      <c r="J737" s="22"/>
      <c r="K737" s="27"/>
      <c r="L737" s="22"/>
      <c r="N737" s="22"/>
      <c r="O737" s="27"/>
      <c r="P737" s="22"/>
      <c r="R737" s="22"/>
      <c r="S737" s="27"/>
    </row>
    <row r="738" spans="1:19" s="20" customFormat="1" x14ac:dyDescent="0.25">
      <c r="A738" s="26"/>
      <c r="B738" s="21"/>
      <c r="C738" s="21"/>
      <c r="D738" s="22"/>
      <c r="H738" s="22"/>
      <c r="J738" s="22"/>
      <c r="K738" s="27"/>
      <c r="L738" s="22"/>
      <c r="N738" s="22"/>
      <c r="O738" s="27"/>
      <c r="P738" s="22"/>
      <c r="R738" s="22"/>
      <c r="S738" s="27"/>
    </row>
    <row r="739" spans="1:19" s="20" customFormat="1" x14ac:dyDescent="0.25">
      <c r="A739" s="26"/>
      <c r="B739" s="21"/>
      <c r="C739" s="21"/>
      <c r="D739" s="22"/>
      <c r="H739" s="22"/>
      <c r="J739" s="22"/>
      <c r="K739" s="27"/>
      <c r="L739" s="22"/>
      <c r="N739" s="22"/>
      <c r="O739" s="27"/>
      <c r="P739" s="22"/>
      <c r="R739" s="22"/>
      <c r="S739" s="27"/>
    </row>
    <row r="740" spans="1:19" s="20" customFormat="1" x14ac:dyDescent="0.25">
      <c r="A740" s="26"/>
      <c r="B740" s="21"/>
      <c r="C740" s="21"/>
      <c r="D740" s="22"/>
      <c r="H740" s="22"/>
      <c r="J740" s="22"/>
      <c r="K740" s="27"/>
      <c r="L740" s="22"/>
      <c r="N740" s="22"/>
      <c r="O740" s="27"/>
      <c r="P740" s="22"/>
      <c r="R740" s="22"/>
      <c r="S740" s="27"/>
    </row>
    <row r="741" spans="1:19" s="20" customFormat="1" x14ac:dyDescent="0.25">
      <c r="A741" s="26"/>
      <c r="B741" s="21"/>
      <c r="C741" s="21"/>
      <c r="D741" s="22"/>
      <c r="H741" s="22"/>
      <c r="J741" s="22"/>
      <c r="K741" s="27"/>
      <c r="L741" s="22"/>
      <c r="N741" s="22"/>
      <c r="O741" s="27"/>
      <c r="P741" s="22"/>
      <c r="R741" s="22"/>
      <c r="S741" s="27"/>
    </row>
    <row r="742" spans="1:19" s="20" customFormat="1" x14ac:dyDescent="0.25">
      <c r="A742" s="26"/>
      <c r="B742" s="21"/>
      <c r="C742" s="21"/>
      <c r="D742" s="22"/>
      <c r="H742" s="22"/>
      <c r="J742" s="22"/>
      <c r="K742" s="27"/>
      <c r="L742" s="22"/>
      <c r="N742" s="22"/>
      <c r="O742" s="27"/>
      <c r="P742" s="22"/>
      <c r="R742" s="22"/>
      <c r="S742" s="27"/>
    </row>
    <row r="743" spans="1:19" s="20" customFormat="1" x14ac:dyDescent="0.25">
      <c r="A743" s="26"/>
      <c r="B743" s="21"/>
      <c r="C743" s="21"/>
      <c r="D743" s="22"/>
      <c r="H743" s="22"/>
      <c r="J743" s="22"/>
      <c r="K743" s="27"/>
      <c r="L743" s="22"/>
      <c r="N743" s="22"/>
      <c r="O743" s="27"/>
      <c r="P743" s="22"/>
      <c r="R743" s="22"/>
      <c r="S743" s="27"/>
    </row>
    <row r="744" spans="1:19" s="20" customFormat="1" x14ac:dyDescent="0.25">
      <c r="A744" s="26"/>
      <c r="B744" s="21"/>
      <c r="C744" s="21"/>
      <c r="D744" s="22"/>
      <c r="H744" s="22"/>
      <c r="J744" s="22"/>
      <c r="K744" s="27"/>
      <c r="L744" s="22"/>
      <c r="N744" s="22"/>
      <c r="O744" s="27"/>
      <c r="P744" s="22"/>
      <c r="R744" s="22"/>
      <c r="S744" s="27"/>
    </row>
    <row r="745" spans="1:19" s="20" customFormat="1" x14ac:dyDescent="0.25">
      <c r="A745" s="26"/>
      <c r="B745" s="21"/>
      <c r="C745" s="21"/>
      <c r="D745" s="22"/>
      <c r="H745" s="22"/>
      <c r="J745" s="22"/>
      <c r="K745" s="27"/>
      <c r="L745" s="22"/>
      <c r="N745" s="22"/>
      <c r="O745" s="27"/>
      <c r="P745" s="22"/>
      <c r="R745" s="22"/>
      <c r="S745" s="27"/>
    </row>
    <row r="746" spans="1:19" s="20" customFormat="1" x14ac:dyDescent="0.25">
      <c r="A746" s="26"/>
      <c r="B746" s="21"/>
      <c r="C746" s="21"/>
      <c r="D746" s="22"/>
      <c r="H746" s="22"/>
      <c r="J746" s="22"/>
      <c r="K746" s="27"/>
      <c r="L746" s="22"/>
      <c r="N746" s="22"/>
      <c r="O746" s="27"/>
      <c r="P746" s="22"/>
      <c r="R746" s="22"/>
      <c r="S746" s="27"/>
    </row>
    <row r="747" spans="1:19" s="20" customFormat="1" x14ac:dyDescent="0.25">
      <c r="A747" s="26"/>
      <c r="B747" s="21"/>
      <c r="C747" s="21"/>
      <c r="D747" s="22"/>
      <c r="H747" s="22"/>
      <c r="J747" s="22"/>
      <c r="K747" s="27"/>
      <c r="L747" s="22"/>
      <c r="N747" s="22"/>
      <c r="O747" s="27"/>
      <c r="P747" s="22"/>
      <c r="R747" s="22"/>
      <c r="S747" s="27"/>
    </row>
  </sheetData>
  <mergeCells count="5">
    <mergeCell ref="Q6:S6"/>
    <mergeCell ref="A6:C6"/>
    <mergeCell ref="E6:G6"/>
    <mergeCell ref="I6:K6"/>
    <mergeCell ref="M6:O6"/>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4EB73D-4784-4233-B178-6F9EA6C66DAE}">
  <sheetPr>
    <tabColor theme="0"/>
  </sheetPr>
  <dimension ref="A1:Q81"/>
  <sheetViews>
    <sheetView zoomScale="80" zoomScaleNormal="80" workbookViewId="0">
      <pane ySplit="12" topLeftCell="A60" activePane="bottomLeft" state="frozen"/>
      <selection pane="bottomLeft" activeCell="P66" sqref="P66"/>
    </sheetView>
  </sheetViews>
  <sheetFormatPr defaultColWidth="15.85546875" defaultRowHeight="15.75" x14ac:dyDescent="0.25"/>
  <cols>
    <col min="1" max="1" width="3.42578125" style="136" customWidth="1"/>
    <col min="2" max="2" width="49.140625" style="119" customWidth="1"/>
    <col min="3" max="3" width="18.28515625" style="131" bestFit="1" customWidth="1"/>
    <col min="4" max="4" width="12.42578125" style="131" bestFit="1" customWidth="1"/>
    <col min="5" max="5" width="30.5703125" style="131" bestFit="1" customWidth="1"/>
    <col min="6" max="6" width="1" style="131" customWidth="1"/>
    <col min="7" max="7" width="14.28515625" style="131" customWidth="1"/>
    <col min="8" max="8" width="14.5703125" style="131" customWidth="1"/>
    <col min="9" max="9" width="34.42578125" style="131" bestFit="1" customWidth="1"/>
    <col min="10" max="10" width="1" style="131" customWidth="1"/>
    <col min="11" max="11" width="16.7109375" style="131" customWidth="1"/>
    <col min="12" max="12" width="16.28515625" style="131" customWidth="1"/>
    <col min="13" max="13" width="34.42578125" style="131" bestFit="1" customWidth="1"/>
    <col min="14" max="14" width="2.140625" style="131" customWidth="1"/>
    <col min="15" max="15" width="13.140625" style="131" customWidth="1"/>
    <col min="16" max="16" width="15.85546875" style="131" customWidth="1"/>
    <col min="17" max="17" width="37.140625" style="131" customWidth="1"/>
    <col min="18" max="16384" width="15.85546875" style="131"/>
  </cols>
  <sheetData>
    <row r="1" spans="1:17" ht="16.5" thickBot="1" x14ac:dyDescent="0.3">
      <c r="B1" s="321" t="s">
        <v>460</v>
      </c>
      <c r="C1" s="394" t="str">
        <f>'SUB CPIF RATES (ALL)'!C1</f>
        <v xml:space="preserve">NAME </v>
      </c>
      <c r="D1" s="393"/>
    </row>
    <row r="2" spans="1:17" ht="16.5" thickBot="1" x14ac:dyDescent="0.3">
      <c r="B2" s="395" t="s">
        <v>459</v>
      </c>
      <c r="C2" s="396" t="str">
        <f>'SUB CPIF RATES (ALL)'!C2</f>
        <v xml:space="preserve">NAME </v>
      </c>
    </row>
    <row r="3" spans="1:17" ht="16.5" thickBot="1" x14ac:dyDescent="0.3"/>
    <row r="4" spans="1:17" ht="34.5" customHeight="1" thickBot="1" x14ac:dyDescent="0.3">
      <c r="A4" s="466" t="s">
        <v>189</v>
      </c>
      <c r="B4" s="467"/>
      <c r="C4" s="468"/>
      <c r="I4" s="194" t="s">
        <v>84</v>
      </c>
    </row>
    <row r="6" spans="1:17" s="202" customFormat="1" ht="17.25" customHeight="1" x14ac:dyDescent="0.2">
      <c r="A6" s="203"/>
      <c r="B6" s="204" t="s">
        <v>65</v>
      </c>
    </row>
    <row r="7" spans="1:17" s="202" customFormat="1" x14ac:dyDescent="0.25">
      <c r="A7" s="201"/>
      <c r="B7" s="201" t="s">
        <v>441</v>
      </c>
    </row>
    <row r="8" spans="1:17" s="202" customFormat="1" x14ac:dyDescent="0.25">
      <c r="A8" s="201"/>
      <c r="B8" s="201" t="s">
        <v>281</v>
      </c>
    </row>
    <row r="9" spans="1:17" s="202" customFormat="1" x14ac:dyDescent="0.25">
      <c r="A9" s="201"/>
      <c r="B9" s="201" t="s">
        <v>442</v>
      </c>
    </row>
    <row r="10" spans="1:17" s="202" customFormat="1" x14ac:dyDescent="0.25">
      <c r="A10" s="201"/>
      <c r="B10" s="201" t="s">
        <v>463</v>
      </c>
    </row>
    <row r="11" spans="1:17" x14ac:dyDescent="0.25">
      <c r="A11" s="137"/>
      <c r="B11" s="201" t="s">
        <v>464</v>
      </c>
      <c r="C11" s="139"/>
    </row>
    <row r="12" spans="1:17" x14ac:dyDescent="0.25">
      <c r="A12" s="137"/>
      <c r="B12" s="201" t="s">
        <v>370</v>
      </c>
      <c r="C12" s="139"/>
    </row>
    <row r="13" spans="1:17" ht="16.5" thickBot="1" x14ac:dyDescent="0.3"/>
    <row r="14" spans="1:17" ht="16.5" thickBot="1" x14ac:dyDescent="0.3">
      <c r="A14" s="138"/>
      <c r="B14" s="523" t="s">
        <v>371</v>
      </c>
      <c r="C14" s="490" t="s">
        <v>69</v>
      </c>
      <c r="D14" s="491"/>
      <c r="E14" s="492"/>
      <c r="F14" s="96"/>
      <c r="G14" s="490" t="s">
        <v>69</v>
      </c>
      <c r="H14" s="491"/>
      <c r="I14" s="492"/>
      <c r="J14" s="96"/>
      <c r="K14" s="490" t="s">
        <v>69</v>
      </c>
      <c r="L14" s="491"/>
      <c r="M14" s="492"/>
      <c r="N14" s="96"/>
      <c r="O14" s="490" t="s">
        <v>69</v>
      </c>
      <c r="P14" s="491"/>
      <c r="Q14" s="492"/>
    </row>
    <row r="15" spans="1:17" ht="32.25" customHeight="1" thickBot="1" x14ac:dyDescent="0.3">
      <c r="A15" s="138"/>
      <c r="B15" s="524"/>
      <c r="C15" s="520" t="s">
        <v>219</v>
      </c>
      <c r="D15" s="521"/>
      <c r="E15" s="522"/>
      <c r="F15" s="97"/>
      <c r="G15" s="520" t="s">
        <v>220</v>
      </c>
      <c r="H15" s="521"/>
      <c r="I15" s="522"/>
      <c r="J15" s="97"/>
      <c r="K15" s="520" t="s">
        <v>221</v>
      </c>
      <c r="L15" s="521"/>
      <c r="M15" s="522"/>
      <c r="N15" s="97"/>
      <c r="O15" s="520" t="s">
        <v>222</v>
      </c>
      <c r="P15" s="521"/>
      <c r="Q15" s="522"/>
    </row>
    <row r="16" spans="1:17" x14ac:dyDescent="0.25">
      <c r="A16" s="138"/>
      <c r="B16" s="98" t="s">
        <v>46</v>
      </c>
      <c r="C16" s="98" t="s">
        <v>29</v>
      </c>
      <c r="D16" s="99" t="s">
        <v>68</v>
      </c>
      <c r="E16" s="100" t="s">
        <v>74</v>
      </c>
      <c r="F16" s="101"/>
      <c r="G16" s="98" t="s">
        <v>29</v>
      </c>
      <c r="H16" s="99" t="s">
        <v>68</v>
      </c>
      <c r="I16" s="100" t="s">
        <v>74</v>
      </c>
      <c r="J16" s="101"/>
      <c r="K16" s="98" t="s">
        <v>29</v>
      </c>
      <c r="L16" s="99" t="s">
        <v>68</v>
      </c>
      <c r="M16" s="100" t="s">
        <v>74</v>
      </c>
      <c r="N16" s="101"/>
      <c r="O16" s="98" t="s">
        <v>29</v>
      </c>
      <c r="P16" s="99" t="s">
        <v>68</v>
      </c>
      <c r="Q16" s="100" t="s">
        <v>74</v>
      </c>
    </row>
    <row r="17" spans="1:17" ht="30" customHeight="1" thickBot="1" x14ac:dyDescent="0.3">
      <c r="A17" s="138"/>
      <c r="B17" s="148" t="s">
        <v>443</v>
      </c>
      <c r="C17" s="230"/>
      <c r="D17" s="231"/>
      <c r="E17" s="232"/>
      <c r="F17" s="101"/>
      <c r="G17" s="230"/>
      <c r="H17" s="231"/>
      <c r="I17" s="232"/>
      <c r="J17" s="101"/>
      <c r="K17" s="230"/>
      <c r="L17" s="231"/>
      <c r="M17" s="232"/>
      <c r="N17" s="101"/>
      <c r="O17" s="230"/>
      <c r="P17" s="231"/>
      <c r="Q17" s="232"/>
    </row>
    <row r="18" spans="1:17" ht="16.5" thickBot="1" x14ac:dyDescent="0.3">
      <c r="A18" s="138"/>
      <c r="B18" s="239" t="s">
        <v>87</v>
      </c>
      <c r="C18" s="108">
        <f>'SUB CPIF LABOR INPUTS'!D260</f>
        <v>0</v>
      </c>
      <c r="D18" s="150"/>
      <c r="E18" s="109">
        <f>'SUB CPIF LABOR INPUTS'!F260</f>
        <v>0</v>
      </c>
      <c r="F18" s="110"/>
      <c r="G18" s="108">
        <f>'SUB CPIF LABOR INPUTS'!H260</f>
        <v>0</v>
      </c>
      <c r="H18" s="150"/>
      <c r="I18" s="109">
        <f>'SUB CPIF LABOR INPUTS'!J260</f>
        <v>0</v>
      </c>
      <c r="J18" s="110"/>
      <c r="K18" s="108">
        <f>'SUB CPIF LABOR INPUTS'!L260</f>
        <v>0</v>
      </c>
      <c r="L18" s="150"/>
      <c r="M18" s="109">
        <f>'SUB CPIF LABOR INPUTS'!N260</f>
        <v>0</v>
      </c>
      <c r="N18" s="110"/>
      <c r="O18" s="108">
        <f>'SUB CPIF LABOR INPUTS'!P260</f>
        <v>0</v>
      </c>
      <c r="P18" s="150"/>
      <c r="Q18" s="109">
        <f>'SUB CPIF LABOR INPUTS'!R260</f>
        <v>0</v>
      </c>
    </row>
    <row r="19" spans="1:17" x14ac:dyDescent="0.25">
      <c r="A19" s="138"/>
      <c r="B19" s="149"/>
      <c r="C19" s="98" t="s">
        <v>289</v>
      </c>
      <c r="D19" s="99" t="s">
        <v>286</v>
      </c>
      <c r="E19" s="100" t="s">
        <v>288</v>
      </c>
      <c r="F19" s="111"/>
      <c r="G19" s="98" t="s">
        <v>289</v>
      </c>
      <c r="H19" s="99" t="s">
        <v>286</v>
      </c>
      <c r="I19" s="100" t="s">
        <v>288</v>
      </c>
      <c r="J19" s="111"/>
      <c r="K19" s="98" t="s">
        <v>289</v>
      </c>
      <c r="L19" s="99" t="s">
        <v>286</v>
      </c>
      <c r="M19" s="100" t="s">
        <v>288</v>
      </c>
      <c r="N19" s="111"/>
      <c r="O19" s="98" t="s">
        <v>289</v>
      </c>
      <c r="P19" s="99" t="s">
        <v>286</v>
      </c>
      <c r="Q19" s="100" t="s">
        <v>288</v>
      </c>
    </row>
    <row r="20" spans="1:17" ht="64.5" x14ac:dyDescent="0.25">
      <c r="A20" s="138"/>
      <c r="B20" s="261" t="s">
        <v>279</v>
      </c>
      <c r="C20" s="230"/>
      <c r="D20" s="231"/>
      <c r="E20" s="232"/>
      <c r="F20" s="147"/>
      <c r="G20" s="230"/>
      <c r="H20" s="231"/>
      <c r="I20" s="232"/>
      <c r="J20" s="147"/>
      <c r="K20" s="230"/>
      <c r="L20" s="231"/>
      <c r="M20" s="232"/>
      <c r="N20" s="147"/>
      <c r="O20" s="230"/>
      <c r="P20" s="231"/>
      <c r="Q20" s="232"/>
    </row>
    <row r="21" spans="1:17" x14ac:dyDescent="0.25">
      <c r="A21" s="138"/>
      <c r="B21" s="112" t="str">
        <f>'SUB CPIF RATES (ALL)'!B36</f>
        <v>Indirect Labor Category:  [Labor Fringe]</v>
      </c>
      <c r="C21" s="160">
        <f>+E18</f>
        <v>0</v>
      </c>
      <c r="D21" s="188">
        <f>'SUB CPIF RATES (ALL)'!C36</f>
        <v>0</v>
      </c>
      <c r="E21" s="113">
        <f>ROUND(C21*D21,2)</f>
        <v>0</v>
      </c>
      <c r="F21" s="110"/>
      <c r="G21" s="160">
        <f>+I18</f>
        <v>0</v>
      </c>
      <c r="H21" s="188">
        <f>'SUB CPIF RATES (ALL)'!D36</f>
        <v>0</v>
      </c>
      <c r="I21" s="113">
        <f>ROUND(G21*H21,2)</f>
        <v>0</v>
      </c>
      <c r="J21" s="110"/>
      <c r="K21" s="160">
        <f>+M18</f>
        <v>0</v>
      </c>
      <c r="L21" s="188">
        <f>'SUB CPIF RATES (ALL)'!E36</f>
        <v>0</v>
      </c>
      <c r="M21" s="113">
        <f>ROUND(K21*L21,2)</f>
        <v>0</v>
      </c>
      <c r="N21" s="110"/>
      <c r="O21" s="160">
        <f>+Q18</f>
        <v>0</v>
      </c>
      <c r="P21" s="188">
        <f>'SUB CPIF RATES (ALL)'!F36</f>
        <v>0</v>
      </c>
      <c r="Q21" s="113">
        <f>ROUND(O21*P21,2)</f>
        <v>0</v>
      </c>
    </row>
    <row r="22" spans="1:17" x14ac:dyDescent="0.25">
      <c r="A22" s="138"/>
      <c r="B22" s="112" t="str">
        <f>'SUB CPIF RATES (ALL)'!B37</f>
        <v>Indirect Labor Category: [Labor Overhead]</v>
      </c>
      <c r="C22" s="160">
        <f>+C21+E21</f>
        <v>0</v>
      </c>
      <c r="D22" s="188">
        <f>'SUB CPIF RATES (ALL)'!C37</f>
        <v>0</v>
      </c>
      <c r="E22" s="113">
        <f>ROUND(C22*D22,2)</f>
        <v>0</v>
      </c>
      <c r="F22" s="110"/>
      <c r="G22" s="160">
        <f>+G21+I21</f>
        <v>0</v>
      </c>
      <c r="H22" s="188">
        <f>'SUB CPIF RATES (ALL)'!D37</f>
        <v>0</v>
      </c>
      <c r="I22" s="113">
        <f>ROUND(G22*H22,2)</f>
        <v>0</v>
      </c>
      <c r="J22" s="110"/>
      <c r="K22" s="160">
        <f>+K21+M21</f>
        <v>0</v>
      </c>
      <c r="L22" s="188">
        <f>'SUB CPIF RATES (ALL)'!E37</f>
        <v>0</v>
      </c>
      <c r="M22" s="113">
        <f>ROUND(K22*L22,2)</f>
        <v>0</v>
      </c>
      <c r="N22" s="110"/>
      <c r="O22" s="160">
        <f>+O21+Q21</f>
        <v>0</v>
      </c>
      <c r="P22" s="188">
        <f>'SUB CPIF RATES (ALL)'!F37</f>
        <v>0</v>
      </c>
      <c r="Q22" s="113">
        <f>ROUND(O22*P22,2)</f>
        <v>0</v>
      </c>
    </row>
    <row r="23" spans="1:17" x14ac:dyDescent="0.25">
      <c r="A23" s="138"/>
      <c r="B23" s="112" t="str">
        <f>'SUB CPIF RATES (ALL)'!B38</f>
        <v>Indirect Labor Category: [G&amp;A]</v>
      </c>
      <c r="C23" s="160">
        <f>+C22+E22</f>
        <v>0</v>
      </c>
      <c r="D23" s="188">
        <f>'SUB CPIF RATES (ALL)'!C38</f>
        <v>0</v>
      </c>
      <c r="E23" s="113">
        <f>ROUND(C23*D23,2)</f>
        <v>0</v>
      </c>
      <c r="F23" s="110"/>
      <c r="G23" s="160">
        <f>+G22+I22</f>
        <v>0</v>
      </c>
      <c r="H23" s="188">
        <f>'SUB CPIF RATES (ALL)'!D38</f>
        <v>0</v>
      </c>
      <c r="I23" s="113">
        <f>ROUND(G23*H23,2)</f>
        <v>0</v>
      </c>
      <c r="J23" s="110"/>
      <c r="K23" s="160">
        <f>+K22+M22</f>
        <v>0</v>
      </c>
      <c r="L23" s="188">
        <f>'SUB CPIF RATES (ALL)'!E38</f>
        <v>0</v>
      </c>
      <c r="M23" s="113">
        <f>ROUND(K23*L23,2)</f>
        <v>0</v>
      </c>
      <c r="N23" s="110"/>
      <c r="O23" s="160">
        <f>+O22+Q22</f>
        <v>0</v>
      </c>
      <c r="P23" s="188">
        <f>'SUB CPIF RATES (ALL)'!F38</f>
        <v>0</v>
      </c>
      <c r="Q23" s="113">
        <f>ROUND(O23*P23,2)</f>
        <v>0</v>
      </c>
    </row>
    <row r="24" spans="1:17" x14ac:dyDescent="0.25">
      <c r="A24" s="138"/>
      <c r="B24" s="112" t="str">
        <f>'SUB CPIF RATES (ALL)'!B39</f>
        <v>Indirect Labor Category: [FCCOM]</v>
      </c>
      <c r="C24" s="160">
        <f>C23+E23</f>
        <v>0</v>
      </c>
      <c r="D24" s="188">
        <f>'SUB CPIF RATES (ALL)'!C39</f>
        <v>0</v>
      </c>
      <c r="E24" s="113">
        <f>ROUND(C24*D24,2)</f>
        <v>0</v>
      </c>
      <c r="F24" s="110"/>
      <c r="G24" s="160">
        <f>G23+I23</f>
        <v>0</v>
      </c>
      <c r="H24" s="188">
        <f>'SUB CPIF RATES (ALL)'!D39</f>
        <v>0</v>
      </c>
      <c r="I24" s="113">
        <f>ROUND(G24*H24,2)</f>
        <v>0</v>
      </c>
      <c r="J24" s="110"/>
      <c r="K24" s="160">
        <f>K23+M23</f>
        <v>0</v>
      </c>
      <c r="L24" s="188">
        <f>'SUB CPIF RATES (ALL)'!E39</f>
        <v>0</v>
      </c>
      <c r="M24" s="113">
        <f>ROUND(K24*L24,2)</f>
        <v>0</v>
      </c>
      <c r="N24" s="110"/>
      <c r="O24" s="160">
        <f>O23+Q23</f>
        <v>0</v>
      </c>
      <c r="P24" s="188">
        <f>'SUB CPIF RATES (ALL)'!F39</f>
        <v>0</v>
      </c>
      <c r="Q24" s="113">
        <f>ROUND(O24*P24,2)</f>
        <v>0</v>
      </c>
    </row>
    <row r="25" spans="1:17" x14ac:dyDescent="0.25">
      <c r="A25" s="138"/>
      <c r="B25" s="112" t="str">
        <f>'SUB CPIF RATES (ALL)'!B40</f>
        <v>Indirect Labor Category: [Target Fee]</v>
      </c>
      <c r="C25" s="160">
        <f>+C23+E23</f>
        <v>0</v>
      </c>
      <c r="D25" s="188">
        <f>'SUB CPIF RATES (ALL)'!C40</f>
        <v>0</v>
      </c>
      <c r="E25" s="113">
        <f>ROUND(C25*D25,2)</f>
        <v>0</v>
      </c>
      <c r="F25" s="110"/>
      <c r="G25" s="160">
        <f>+G23+I23</f>
        <v>0</v>
      </c>
      <c r="H25" s="188">
        <f>'SUB CPIF RATES (ALL)'!D40</f>
        <v>0</v>
      </c>
      <c r="I25" s="113">
        <f>ROUND(G25*H25,2)</f>
        <v>0</v>
      </c>
      <c r="J25" s="110"/>
      <c r="K25" s="160">
        <f>+K23+M23</f>
        <v>0</v>
      </c>
      <c r="L25" s="188">
        <f>'SUB CPIF RATES (ALL)'!E40</f>
        <v>0</v>
      </c>
      <c r="M25" s="113">
        <f>ROUND(K25*L25,2)</f>
        <v>0</v>
      </c>
      <c r="N25" s="110"/>
      <c r="O25" s="160">
        <f>+O23+Q23</f>
        <v>0</v>
      </c>
      <c r="P25" s="188">
        <f>'SUB CPIF RATES (ALL)'!F40</f>
        <v>0</v>
      </c>
      <c r="Q25" s="113">
        <f>ROUND(O25*P25,2)</f>
        <v>0</v>
      </c>
    </row>
    <row r="26" spans="1:17" x14ac:dyDescent="0.25">
      <c r="A26" s="138"/>
      <c r="B26" s="205" t="s">
        <v>185</v>
      </c>
      <c r="C26" s="155"/>
      <c r="D26" s="156"/>
      <c r="E26" s="175">
        <f>ROUND(SUM(E18,E21,E22,E23),2)</f>
        <v>0</v>
      </c>
      <c r="F26" s="110"/>
      <c r="G26" s="151"/>
      <c r="H26" s="152"/>
      <c r="I26" s="175">
        <f>ROUND(SUM(I18,I21,I22,I23),2)</f>
        <v>0</v>
      </c>
      <c r="J26" s="110"/>
      <c r="K26" s="151"/>
      <c r="L26" s="152"/>
      <c r="M26" s="175">
        <f>ROUND(SUM(M18,M21,M22,M23),2)</f>
        <v>0</v>
      </c>
      <c r="N26" s="110"/>
      <c r="O26" s="151"/>
      <c r="P26" s="152"/>
      <c r="Q26" s="175">
        <f>ROUND(SUM(Q18,Q21,Q22,Q23),2)</f>
        <v>0</v>
      </c>
    </row>
    <row r="27" spans="1:17" x14ac:dyDescent="0.25">
      <c r="A27" s="138"/>
      <c r="B27" s="205" t="s">
        <v>72</v>
      </c>
      <c r="C27" s="155"/>
      <c r="D27" s="156"/>
      <c r="E27" s="175">
        <f>ROUND(E24,2)</f>
        <v>0</v>
      </c>
      <c r="F27" s="110"/>
      <c r="G27" s="151"/>
      <c r="H27" s="152"/>
      <c r="I27" s="175">
        <f>ROUND(I24,2)</f>
        <v>0</v>
      </c>
      <c r="J27" s="110"/>
      <c r="K27" s="151"/>
      <c r="L27" s="152"/>
      <c r="M27" s="175">
        <f>ROUND(M24,2)</f>
        <v>0</v>
      </c>
      <c r="N27" s="110"/>
      <c r="O27" s="151"/>
      <c r="P27" s="152"/>
      <c r="Q27" s="175">
        <f>ROUND(Q24,2)</f>
        <v>0</v>
      </c>
    </row>
    <row r="28" spans="1:17" x14ac:dyDescent="0.25">
      <c r="A28" s="138"/>
      <c r="B28" s="205" t="s">
        <v>71</v>
      </c>
      <c r="C28" s="155"/>
      <c r="D28" s="156"/>
      <c r="E28" s="190">
        <f>ROUND(E25,2)</f>
        <v>0</v>
      </c>
      <c r="F28" s="115"/>
      <c r="G28" s="151"/>
      <c r="H28" s="152"/>
      <c r="I28" s="190">
        <f>ROUND(I25,2)</f>
        <v>0</v>
      </c>
      <c r="J28" s="115"/>
      <c r="K28" s="151"/>
      <c r="L28" s="152"/>
      <c r="M28" s="190">
        <f>ROUND(M25,2)</f>
        <v>0</v>
      </c>
      <c r="N28" s="115"/>
      <c r="O28" s="151"/>
      <c r="P28" s="152"/>
      <c r="Q28" s="190">
        <f>ROUND(Q25,2)</f>
        <v>0</v>
      </c>
    </row>
    <row r="29" spans="1:17" ht="16.5" thickBot="1" x14ac:dyDescent="0.3">
      <c r="A29" s="138"/>
      <c r="B29" s="206" t="s">
        <v>73</v>
      </c>
      <c r="C29" s="157"/>
      <c r="D29" s="158"/>
      <c r="E29" s="191">
        <f>SUM(E26:E28)</f>
        <v>0</v>
      </c>
      <c r="F29" s="116"/>
      <c r="G29" s="153"/>
      <c r="H29" s="154"/>
      <c r="I29" s="191">
        <f>SUM(I26:I28)</f>
        <v>0</v>
      </c>
      <c r="J29" s="116"/>
      <c r="K29" s="153"/>
      <c r="L29" s="154"/>
      <c r="M29" s="191">
        <f>SUM(M26:M28)</f>
        <v>0</v>
      </c>
      <c r="N29" s="116"/>
      <c r="O29" s="153"/>
      <c r="P29" s="154"/>
      <c r="Q29" s="191">
        <f>SUM(Q26:Q28)</f>
        <v>0</v>
      </c>
    </row>
    <row r="30" spans="1:17" ht="16.5" thickBot="1" x14ac:dyDescent="0.3">
      <c r="A30" s="138"/>
      <c r="B30" s="117"/>
      <c r="C30" s="118"/>
      <c r="D30" s="118"/>
      <c r="E30" s="199"/>
      <c r="F30" s="199"/>
      <c r="G30" s="199"/>
      <c r="H30" s="199"/>
      <c r="I30" s="199"/>
      <c r="J30" s="199"/>
      <c r="K30" s="199"/>
      <c r="L30" s="118"/>
      <c r="M30" s="118"/>
      <c r="N30" s="110"/>
      <c r="O30" s="118"/>
      <c r="P30" s="118"/>
      <c r="Q30" s="118"/>
    </row>
    <row r="31" spans="1:17" ht="16.5" customHeight="1" thickBot="1" x14ac:dyDescent="0.3">
      <c r="A31" s="138"/>
      <c r="B31" s="523" t="str">
        <f>B14</f>
        <v>CLIN 0002 (CPIF)                                                    TASK 1.01 SUPPORT REQUIRED TO DETERMINE ELEMENTS OF SIMULATOR KIT</v>
      </c>
      <c r="C31" s="490" t="s">
        <v>80</v>
      </c>
      <c r="D31" s="491"/>
      <c r="E31" s="492"/>
      <c r="F31" s="120"/>
      <c r="G31" s="490" t="s">
        <v>80</v>
      </c>
      <c r="H31" s="491"/>
      <c r="I31" s="492"/>
      <c r="J31" s="120"/>
      <c r="K31" s="490" t="s">
        <v>80</v>
      </c>
      <c r="L31" s="491"/>
      <c r="M31" s="492"/>
      <c r="N31" s="120"/>
      <c r="O31" s="490" t="s">
        <v>80</v>
      </c>
      <c r="P31" s="491"/>
      <c r="Q31" s="492"/>
    </row>
    <row r="32" spans="1:17" ht="32.25" customHeight="1" thickBot="1" x14ac:dyDescent="0.3">
      <c r="A32" s="138"/>
      <c r="B32" s="524"/>
      <c r="C32" s="520" t="str">
        <f>C15</f>
        <v>CLIN 0002 - Basic Period (Year 1)</v>
      </c>
      <c r="D32" s="521"/>
      <c r="E32" s="522"/>
      <c r="F32" s="121"/>
      <c r="G32" s="520" t="str">
        <f>G15</f>
        <v>CLIN 0002 - Basic Period (Year 2)</v>
      </c>
      <c r="H32" s="521"/>
      <c r="I32" s="522"/>
      <c r="J32" s="121"/>
      <c r="K32" s="520" t="str">
        <f>K15</f>
        <v>CLIN 0002 - Basic Period (Year 3)</v>
      </c>
      <c r="L32" s="521"/>
      <c r="M32" s="522"/>
      <c r="N32" s="121"/>
      <c r="O32" s="520" t="str">
        <f>O15</f>
        <v>CLIN 0002 - Basic Period (Year 4)</v>
      </c>
      <c r="P32" s="521"/>
      <c r="Q32" s="522"/>
    </row>
    <row r="33" spans="1:17" x14ac:dyDescent="0.25">
      <c r="A33" s="138"/>
      <c r="B33" s="192"/>
      <c r="C33" s="98" t="s">
        <v>289</v>
      </c>
      <c r="D33" s="99" t="s">
        <v>286</v>
      </c>
      <c r="E33" s="100" t="s">
        <v>88</v>
      </c>
      <c r="F33" s="111"/>
      <c r="G33" s="98" t="s">
        <v>289</v>
      </c>
      <c r="H33" s="99" t="s">
        <v>286</v>
      </c>
      <c r="I33" s="100" t="s">
        <v>88</v>
      </c>
      <c r="J33" s="111"/>
      <c r="K33" s="98" t="s">
        <v>289</v>
      </c>
      <c r="L33" s="99" t="s">
        <v>286</v>
      </c>
      <c r="M33" s="100" t="s">
        <v>88</v>
      </c>
      <c r="N33" s="111"/>
      <c r="O33" s="98" t="s">
        <v>289</v>
      </c>
      <c r="P33" s="99" t="s">
        <v>286</v>
      </c>
      <c r="Q33" s="100" t="s">
        <v>58</v>
      </c>
    </row>
    <row r="34" spans="1:17" ht="51.75" x14ac:dyDescent="0.25">
      <c r="A34" s="138"/>
      <c r="B34" s="240" t="s">
        <v>445</v>
      </c>
      <c r="C34" s="176"/>
      <c r="D34" s="177"/>
      <c r="E34" s="310">
        <f>'SUB CPIF TOTAL MATERIAL'!E25</f>
        <v>0</v>
      </c>
      <c r="F34" s="110"/>
      <c r="G34" s="176"/>
      <c r="H34" s="177"/>
      <c r="I34" s="310">
        <f>'SUB CPIF TOTAL MATERIAL'!G25</f>
        <v>0</v>
      </c>
      <c r="J34" s="110"/>
      <c r="K34" s="176"/>
      <c r="L34" s="177"/>
      <c r="M34" s="310">
        <f>'SUB CPIF TOTAL MATERIAL'!I25</f>
        <v>0</v>
      </c>
      <c r="N34" s="110"/>
      <c r="O34" s="176"/>
      <c r="P34" s="177"/>
      <c r="Q34" s="310">
        <f>'SUB CPIF TOTAL MATERIAL'!K25</f>
        <v>0</v>
      </c>
    </row>
    <row r="35" spans="1:17" ht="67.5" customHeight="1" x14ac:dyDescent="0.25">
      <c r="A35" s="138"/>
      <c r="B35" s="261" t="s">
        <v>446</v>
      </c>
      <c r="C35" s="315"/>
      <c r="D35" s="316"/>
      <c r="E35" s="310"/>
      <c r="F35" s="110"/>
      <c r="G35" s="315"/>
      <c r="H35" s="316"/>
      <c r="I35" s="310"/>
      <c r="J35" s="110"/>
      <c r="K35" s="315"/>
      <c r="L35" s="316"/>
      <c r="M35" s="310"/>
      <c r="N35" s="110"/>
      <c r="O35" s="315"/>
      <c r="P35" s="316"/>
      <c r="Q35" s="310"/>
    </row>
    <row r="36" spans="1:17" x14ac:dyDescent="0.25">
      <c r="A36" s="138"/>
      <c r="B36" s="112" t="str">
        <f>'SUB CPIF RATES (ALL)'!B53</f>
        <v>Indirect Category: [Material Overhead]</v>
      </c>
      <c r="C36" s="160">
        <f>+E34</f>
        <v>0</v>
      </c>
      <c r="D36" s="188">
        <f>'SUB CPIF RATES (ALL)'!C53</f>
        <v>0</v>
      </c>
      <c r="E36" s="113">
        <f>ROUND(C36*D36,2)</f>
        <v>0</v>
      </c>
      <c r="F36" s="123"/>
      <c r="G36" s="160">
        <f>+I34</f>
        <v>0</v>
      </c>
      <c r="H36" s="188">
        <f>'SUB CPIF RATES (ALL)'!D53</f>
        <v>0</v>
      </c>
      <c r="I36" s="113">
        <f>ROUND(G36*H36,2)</f>
        <v>0</v>
      </c>
      <c r="J36" s="123"/>
      <c r="K36" s="160">
        <f>+M34</f>
        <v>0</v>
      </c>
      <c r="L36" s="188">
        <f>'SUB CPIF RATES (ALL)'!E53</f>
        <v>0</v>
      </c>
      <c r="M36" s="113">
        <f>ROUND(K36*L36,2)</f>
        <v>0</v>
      </c>
      <c r="N36" s="123"/>
      <c r="O36" s="160">
        <f>+Q34</f>
        <v>0</v>
      </c>
      <c r="P36" s="188">
        <f>'SUB CPIF RATES (ALL)'!F53</f>
        <v>0</v>
      </c>
      <c r="Q36" s="113">
        <f>ROUND(O36*P36,2)</f>
        <v>0</v>
      </c>
    </row>
    <row r="37" spans="1:17" x14ac:dyDescent="0.25">
      <c r="A37" s="138"/>
      <c r="B37" s="112" t="str">
        <f>'SUB CPIF RATES (ALL)'!B54</f>
        <v>Indirect Category: [G&amp;A]</v>
      </c>
      <c r="C37" s="160">
        <f>+C36+E36</f>
        <v>0</v>
      </c>
      <c r="D37" s="188">
        <f>'SUB CPIF RATES (ALL)'!C54</f>
        <v>0</v>
      </c>
      <c r="E37" s="113">
        <f>ROUND(C37*D37,2)</f>
        <v>0</v>
      </c>
      <c r="F37" s="123"/>
      <c r="G37" s="160">
        <f>+G36+I36</f>
        <v>0</v>
      </c>
      <c r="H37" s="188">
        <f>'SUB CPIF RATES (ALL)'!D54</f>
        <v>0</v>
      </c>
      <c r="I37" s="113">
        <f>ROUND(G37*H37,2)</f>
        <v>0</v>
      </c>
      <c r="J37" s="123"/>
      <c r="K37" s="160">
        <f>+K36+M36</f>
        <v>0</v>
      </c>
      <c r="L37" s="188">
        <f>'SUB CPIF RATES (ALL)'!E54</f>
        <v>0</v>
      </c>
      <c r="M37" s="113">
        <f>ROUND(K37*L37,2)</f>
        <v>0</v>
      </c>
      <c r="N37" s="123"/>
      <c r="O37" s="160">
        <f>+O36+Q36</f>
        <v>0</v>
      </c>
      <c r="P37" s="188">
        <f>'SUB CPIF RATES (ALL)'!F54</f>
        <v>0</v>
      </c>
      <c r="Q37" s="113">
        <f>ROUND(O37*P37,2)</f>
        <v>0</v>
      </c>
    </row>
    <row r="38" spans="1:17" x14ac:dyDescent="0.25">
      <c r="A38" s="138"/>
      <c r="B38" s="112" t="str">
        <f>'SUB CPIF RATES (ALL)'!B55</f>
        <v>Indirect Category: [FCCOM]</v>
      </c>
      <c r="C38" s="160">
        <f>C37+E37</f>
        <v>0</v>
      </c>
      <c r="D38" s="188">
        <f>'SUB CPIF RATES (ALL)'!C55</f>
        <v>0</v>
      </c>
      <c r="E38" s="113">
        <f>ROUND(C38*D38,2)</f>
        <v>0</v>
      </c>
      <c r="F38" s="110"/>
      <c r="G38" s="160">
        <f>G37+I37</f>
        <v>0</v>
      </c>
      <c r="H38" s="188">
        <f>'SUB CPIF RATES (ALL)'!D55</f>
        <v>0</v>
      </c>
      <c r="I38" s="113">
        <f>ROUND(G38*H38,2)</f>
        <v>0</v>
      </c>
      <c r="J38" s="110"/>
      <c r="K38" s="160">
        <f>K37+M37</f>
        <v>0</v>
      </c>
      <c r="L38" s="188">
        <f>'SUB CPIF RATES (ALL)'!E55</f>
        <v>0</v>
      </c>
      <c r="M38" s="113">
        <f>ROUND(K38*L38,2)</f>
        <v>0</v>
      </c>
      <c r="N38" s="110"/>
      <c r="O38" s="160">
        <f>O37+Q37</f>
        <v>0</v>
      </c>
      <c r="P38" s="188">
        <f>'SUB CPIF RATES (ALL)'!F55</f>
        <v>0</v>
      </c>
      <c r="Q38" s="113">
        <f>ROUND(O38*P38,2)</f>
        <v>0</v>
      </c>
    </row>
    <row r="39" spans="1:17" x14ac:dyDescent="0.25">
      <c r="A39" s="138"/>
      <c r="B39" s="112" t="str">
        <f>'SUB CPIF RATES (ALL)'!B56</f>
        <v>Indirect Category: [Target Fee]</v>
      </c>
      <c r="C39" s="160">
        <f>+C37+E37</f>
        <v>0</v>
      </c>
      <c r="D39" s="188">
        <f>'SUB CPIF RATES (ALL)'!C56</f>
        <v>0</v>
      </c>
      <c r="E39" s="113">
        <f>ROUND(C39*D39,2)</f>
        <v>0</v>
      </c>
      <c r="F39" s="110"/>
      <c r="G39" s="160">
        <f>+G37+I37</f>
        <v>0</v>
      </c>
      <c r="H39" s="188">
        <f>'SUB CPIF RATES (ALL)'!D56</f>
        <v>0</v>
      </c>
      <c r="I39" s="113">
        <f>ROUND(G39*H39,2)</f>
        <v>0</v>
      </c>
      <c r="J39" s="110"/>
      <c r="K39" s="160">
        <f>+K37+M37</f>
        <v>0</v>
      </c>
      <c r="L39" s="188">
        <f>'SUB CPIF RATES (ALL)'!E56</f>
        <v>0</v>
      </c>
      <c r="M39" s="113">
        <f>ROUND(K39*L39,2)</f>
        <v>0</v>
      </c>
      <c r="N39" s="110"/>
      <c r="O39" s="160">
        <f>+O37+Q37</f>
        <v>0</v>
      </c>
      <c r="P39" s="188">
        <f>'SUB CPIF RATES (ALL)'!F56</f>
        <v>0</v>
      </c>
      <c r="Q39" s="113">
        <f>ROUND(O39*P39,2)</f>
        <v>0</v>
      </c>
    </row>
    <row r="40" spans="1:17" x14ac:dyDescent="0.25">
      <c r="A40" s="138"/>
      <c r="B40" s="186" t="s">
        <v>186</v>
      </c>
      <c r="C40" s="178"/>
      <c r="D40" s="179"/>
      <c r="E40" s="113">
        <f>ROUND(SUM(E34:E37),2)</f>
        <v>0</v>
      </c>
      <c r="F40" s="110"/>
      <c r="G40" s="178"/>
      <c r="H40" s="179"/>
      <c r="I40" s="113">
        <f>+ROUND(SUM(I34:I37),2)</f>
        <v>0</v>
      </c>
      <c r="J40" s="110"/>
      <c r="K40" s="178"/>
      <c r="L40" s="179"/>
      <c r="M40" s="113">
        <f>+ROUND(SUM(M34:M37),2)</f>
        <v>0</v>
      </c>
      <c r="N40" s="110"/>
      <c r="O40" s="178"/>
      <c r="P40" s="358"/>
      <c r="Q40" s="113">
        <f>+ROUND(SUM(Q34:Q37),2)</f>
        <v>0</v>
      </c>
    </row>
    <row r="41" spans="1:17" x14ac:dyDescent="0.25">
      <c r="A41" s="138"/>
      <c r="B41" s="186" t="s">
        <v>72</v>
      </c>
      <c r="C41" s="176"/>
      <c r="D41" s="180"/>
      <c r="E41" s="113">
        <f>ROUND(E38,2)</f>
        <v>0</v>
      </c>
      <c r="F41" s="110"/>
      <c r="G41" s="176"/>
      <c r="H41" s="180"/>
      <c r="I41" s="113">
        <f>+ROUND(I38,2)</f>
        <v>0</v>
      </c>
      <c r="J41" s="110"/>
      <c r="K41" s="176"/>
      <c r="L41" s="180"/>
      <c r="M41" s="113">
        <f>+ROUND(M38,2)</f>
        <v>0</v>
      </c>
      <c r="N41" s="110"/>
      <c r="O41" s="176"/>
      <c r="P41" s="180"/>
      <c r="Q41" s="113">
        <f>+ROUND(Q38,2)</f>
        <v>0</v>
      </c>
    </row>
    <row r="42" spans="1:17" x14ac:dyDescent="0.2">
      <c r="B42" s="186" t="s">
        <v>71</v>
      </c>
      <c r="C42" s="176"/>
      <c r="D42" s="180"/>
      <c r="E42" s="127">
        <f>+ROUND(E39,2)</f>
        <v>0</v>
      </c>
      <c r="F42" s="128"/>
      <c r="G42" s="176"/>
      <c r="H42" s="180"/>
      <c r="I42" s="127">
        <f>+ROUND(I39,2)</f>
        <v>0</v>
      </c>
      <c r="J42" s="128"/>
      <c r="K42" s="176"/>
      <c r="L42" s="180"/>
      <c r="M42" s="127">
        <f>+ROUND(M39,2)</f>
        <v>0</v>
      </c>
      <c r="N42" s="128"/>
      <c r="O42" s="176"/>
      <c r="P42" s="180"/>
      <c r="Q42" s="127">
        <f>+ROUND(Q39,2)</f>
        <v>0</v>
      </c>
    </row>
    <row r="43" spans="1:17" ht="16.5" thickBot="1" x14ac:dyDescent="0.25">
      <c r="B43" s="187" t="s">
        <v>173</v>
      </c>
      <c r="C43" s="181"/>
      <c r="D43" s="182"/>
      <c r="E43" s="105">
        <f t="shared" ref="E43" si="0">SUM(E40:E42)</f>
        <v>0</v>
      </c>
      <c r="F43" s="106"/>
      <c r="G43" s="181"/>
      <c r="H43" s="182"/>
      <c r="I43" s="105">
        <f t="shared" ref="I43" si="1">SUM(I40:I42)</f>
        <v>0</v>
      </c>
      <c r="J43" s="106"/>
      <c r="K43" s="181"/>
      <c r="L43" s="182"/>
      <c r="M43" s="105">
        <f t="shared" ref="M43" si="2">SUM(M40:M42)</f>
        <v>0</v>
      </c>
      <c r="N43" s="106"/>
      <c r="O43" s="181"/>
      <c r="P43" s="182"/>
      <c r="Q43" s="105">
        <f t="shared" ref="Q43" si="3">SUM(Q40:Q42)</f>
        <v>0</v>
      </c>
    </row>
    <row r="44" spans="1:17" ht="16.5" thickBot="1" x14ac:dyDescent="0.25">
      <c r="B44" s="117"/>
      <c r="E44" s="194"/>
      <c r="F44" s="194"/>
      <c r="G44" s="194"/>
      <c r="H44" s="194"/>
      <c r="I44" s="194"/>
      <c r="J44" s="194"/>
      <c r="K44" s="194"/>
      <c r="N44" s="132"/>
    </row>
    <row r="45" spans="1:17" ht="16.5" thickBot="1" x14ac:dyDescent="0.3">
      <c r="B45" s="523" t="str">
        <f>B14</f>
        <v>CLIN 0002 (CPIF)                                                    TASK 1.01 SUPPORT REQUIRED TO DETERMINE ELEMENTS OF SIMULATOR KIT</v>
      </c>
      <c r="C45" s="490" t="s">
        <v>212</v>
      </c>
      <c r="D45" s="491"/>
      <c r="E45" s="492"/>
      <c r="F45" s="120"/>
      <c r="G45" s="490" t="s">
        <v>212</v>
      </c>
      <c r="H45" s="491"/>
      <c r="I45" s="492"/>
      <c r="J45" s="120"/>
      <c r="K45" s="490" t="s">
        <v>212</v>
      </c>
      <c r="L45" s="491"/>
      <c r="M45" s="492"/>
      <c r="N45" s="120"/>
      <c r="O45" s="490" t="s">
        <v>212</v>
      </c>
      <c r="P45" s="491"/>
      <c r="Q45" s="492"/>
    </row>
    <row r="46" spans="1:17" ht="27.75" customHeight="1" thickBot="1" x14ac:dyDescent="0.3">
      <c r="B46" s="524"/>
      <c r="C46" s="520" t="str">
        <f>C32</f>
        <v>CLIN 0002 - Basic Period (Year 1)</v>
      </c>
      <c r="D46" s="521"/>
      <c r="E46" s="522"/>
      <c r="F46" s="121"/>
      <c r="G46" s="520" t="str">
        <f>G32</f>
        <v>CLIN 0002 - Basic Period (Year 2)</v>
      </c>
      <c r="H46" s="521"/>
      <c r="I46" s="522"/>
      <c r="J46" s="121"/>
      <c r="K46" s="520" t="str">
        <f>K32</f>
        <v>CLIN 0002 - Basic Period (Year 3)</v>
      </c>
      <c r="L46" s="521"/>
      <c r="M46" s="522"/>
      <c r="N46" s="121"/>
      <c r="O46" s="520" t="str">
        <f>O32</f>
        <v>CLIN 0002 - Basic Period (Year 4)</v>
      </c>
      <c r="P46" s="521"/>
      <c r="Q46" s="522"/>
    </row>
    <row r="47" spans="1:17" x14ac:dyDescent="0.25">
      <c r="B47" s="193"/>
      <c r="C47" s="98" t="s">
        <v>289</v>
      </c>
      <c r="D47" s="99" t="s">
        <v>286</v>
      </c>
      <c r="E47" s="100" t="s">
        <v>287</v>
      </c>
      <c r="F47" s="111"/>
      <c r="G47" s="98" t="s">
        <v>289</v>
      </c>
      <c r="H47" s="99" t="s">
        <v>286</v>
      </c>
      <c r="I47" s="100" t="s">
        <v>287</v>
      </c>
      <c r="J47" s="111"/>
      <c r="K47" s="98" t="s">
        <v>289</v>
      </c>
      <c r="L47" s="99" t="s">
        <v>286</v>
      </c>
      <c r="M47" s="100" t="s">
        <v>287</v>
      </c>
      <c r="N47" s="111"/>
      <c r="O47" s="98" t="s">
        <v>289</v>
      </c>
      <c r="P47" s="99" t="s">
        <v>286</v>
      </c>
      <c r="Q47" s="100" t="s">
        <v>287</v>
      </c>
    </row>
    <row r="48" spans="1:17" ht="25.5" x14ac:dyDescent="0.2">
      <c r="B48" s="240" t="s">
        <v>447</v>
      </c>
      <c r="C48" s="226"/>
      <c r="D48" s="226"/>
      <c r="E48" s="262">
        <f>'SUB CPIF TOTAL SUB'!E25</f>
        <v>0</v>
      </c>
      <c r="F48" s="229"/>
      <c r="G48" s="176"/>
      <c r="H48" s="226"/>
      <c r="I48" s="262">
        <f>'SUB CPIF TOTAL SUB'!G25</f>
        <v>0</v>
      </c>
      <c r="J48" s="229"/>
      <c r="K48" s="176"/>
      <c r="L48" s="226"/>
      <c r="M48" s="262">
        <f>'SUB CPIF TOTAL SUB'!I25</f>
        <v>0</v>
      </c>
      <c r="N48" s="110"/>
      <c r="O48" s="176"/>
      <c r="P48" s="226"/>
      <c r="Q48" s="262">
        <f>'SUB CPIF TOTAL SUB'!K25</f>
        <v>0</v>
      </c>
    </row>
    <row r="49" spans="1:17" ht="76.5" x14ac:dyDescent="0.2">
      <c r="B49" s="261" t="s">
        <v>448</v>
      </c>
      <c r="C49" s="527" t="s">
        <v>1</v>
      </c>
      <c r="D49" s="528"/>
      <c r="E49" s="529"/>
      <c r="F49" s="123"/>
      <c r="G49" s="530"/>
      <c r="H49" s="528"/>
      <c r="I49" s="529"/>
      <c r="J49" s="123"/>
      <c r="K49" s="530"/>
      <c r="L49" s="528"/>
      <c r="M49" s="529"/>
      <c r="N49" s="123"/>
      <c r="O49" s="530"/>
      <c r="P49" s="528"/>
      <c r="Q49" s="529"/>
    </row>
    <row r="50" spans="1:17" x14ac:dyDescent="0.2">
      <c r="B50" s="228" t="str">
        <f>'SUB CPIF RATES (ALL)'!B45</f>
        <v>Indirect Category: [Overhead]</v>
      </c>
      <c r="C50" s="227">
        <f>E48</f>
        <v>0</v>
      </c>
      <c r="D50" s="188">
        <f>'SUB CPIF RATES (ALL)'!C45</f>
        <v>0</v>
      </c>
      <c r="E50" s="113">
        <f>ROUND(C50*D50,2)</f>
        <v>0</v>
      </c>
      <c r="F50" s="123"/>
      <c r="G50" s="160">
        <f>I48</f>
        <v>0</v>
      </c>
      <c r="H50" s="188">
        <f>'SUB CPIF RATES (ALL)'!D45</f>
        <v>0</v>
      </c>
      <c r="I50" s="113">
        <f>ROUND(G50*H50,2)</f>
        <v>0</v>
      </c>
      <c r="J50" s="123"/>
      <c r="K50" s="160">
        <f>M48</f>
        <v>0</v>
      </c>
      <c r="L50" s="188">
        <f>'SUB CPIF RATES (ALL)'!E45</f>
        <v>0</v>
      </c>
      <c r="M50" s="113">
        <f>ROUND(K50*L50,2)</f>
        <v>0</v>
      </c>
      <c r="N50" s="123"/>
      <c r="O50" s="160">
        <f>Q48</f>
        <v>0</v>
      </c>
      <c r="P50" s="188">
        <f>'SUB CPIF RATES (ALL)'!F45</f>
        <v>0</v>
      </c>
      <c r="Q50" s="113">
        <f>ROUND(O50*P50,2)</f>
        <v>0</v>
      </c>
    </row>
    <row r="51" spans="1:17" x14ac:dyDescent="0.2">
      <c r="B51" s="228" t="str">
        <f>'SUB CPIF RATES (ALL)'!B46</f>
        <v>Indirect Category: [G&amp;A]</v>
      </c>
      <c r="C51" s="227">
        <f>C50+E50</f>
        <v>0</v>
      </c>
      <c r="D51" s="188">
        <f>'SUB CPIF RATES (ALL)'!C46</f>
        <v>0</v>
      </c>
      <c r="E51" s="113">
        <f>ROUND(C51*D51,2)</f>
        <v>0</v>
      </c>
      <c r="F51" s="229"/>
      <c r="G51" s="227">
        <f>G50+I50</f>
        <v>0</v>
      </c>
      <c r="H51" s="188">
        <f>'SUB CPIF RATES (ALL)'!D46</f>
        <v>0</v>
      </c>
      <c r="I51" s="113">
        <f>ROUND(G51*H51,2)</f>
        <v>0</v>
      </c>
      <c r="J51" s="229"/>
      <c r="K51" s="227">
        <f>K50+M50</f>
        <v>0</v>
      </c>
      <c r="L51" s="188">
        <f>'SUB CPIF RATES (ALL)'!E46</f>
        <v>0</v>
      </c>
      <c r="M51" s="113">
        <f>ROUND(K51*L51,2)</f>
        <v>0</v>
      </c>
      <c r="N51" s="110"/>
      <c r="O51" s="227">
        <f>O50+Q50</f>
        <v>0</v>
      </c>
      <c r="P51" s="188">
        <f>'SUB CPIF RATES (ALL)'!F46</f>
        <v>0</v>
      </c>
      <c r="Q51" s="113">
        <f>ROUND(O51*P51,2)</f>
        <v>0</v>
      </c>
    </row>
    <row r="52" spans="1:17" x14ac:dyDescent="0.2">
      <c r="B52" s="266" t="str">
        <f>'SUB CPIF RATES (ALL)'!B47</f>
        <v>Indirect Category: [FCCOM]</v>
      </c>
      <c r="C52" s="160">
        <f>C51+E51</f>
        <v>0</v>
      </c>
      <c r="D52" s="188">
        <f>'SUB CPIF RATES (ALL)'!C47</f>
        <v>0</v>
      </c>
      <c r="E52" s="268">
        <f>ROUND(C52*D52,2)</f>
        <v>0</v>
      </c>
      <c r="F52" s="229"/>
      <c r="G52" s="160">
        <f>G51+I51</f>
        <v>0</v>
      </c>
      <c r="H52" s="188">
        <f>'SUB CPIF RATES (ALL)'!D47</f>
        <v>0</v>
      </c>
      <c r="I52" s="268">
        <f>ROUND(G52*H52,2)</f>
        <v>0</v>
      </c>
      <c r="J52" s="229"/>
      <c r="K52" s="160">
        <f>K51+M51</f>
        <v>0</v>
      </c>
      <c r="L52" s="188">
        <f>'SUB CPIF RATES (ALL)'!E47</f>
        <v>0</v>
      </c>
      <c r="M52" s="268">
        <f>ROUND(K52*L52,2)</f>
        <v>0</v>
      </c>
      <c r="N52" s="110"/>
      <c r="O52" s="160">
        <f>O51+Q51</f>
        <v>0</v>
      </c>
      <c r="P52" s="188">
        <f>'SUB CPIF RATES (ALL)'!F47</f>
        <v>0</v>
      </c>
      <c r="Q52" s="268">
        <f>ROUND(O52*P52,2)</f>
        <v>0</v>
      </c>
    </row>
    <row r="53" spans="1:17" x14ac:dyDescent="0.2">
      <c r="B53" s="112" t="str">
        <f>'SUB CPIF RATES (ALL)'!B48</f>
        <v>Indirect Category: [Target Fee]</v>
      </c>
      <c r="C53" s="159">
        <f>C51+E51</f>
        <v>0</v>
      </c>
      <c r="D53" s="269">
        <f>'SUB CPIF RATES (ALL)'!C48</f>
        <v>0</v>
      </c>
      <c r="E53" s="268">
        <f>ROUND(C53*D53,2)</f>
        <v>0</v>
      </c>
      <c r="F53" s="229"/>
      <c r="G53" s="159">
        <f>G51+I51</f>
        <v>0</v>
      </c>
      <c r="H53" s="269">
        <f>'SUB CPIF RATES (ALL)'!D48</f>
        <v>0</v>
      </c>
      <c r="I53" s="268">
        <f>ROUND(G53*H53,2)</f>
        <v>0</v>
      </c>
      <c r="J53" s="229"/>
      <c r="K53" s="159">
        <f>K51+M51</f>
        <v>0</v>
      </c>
      <c r="L53" s="269">
        <f>'SUB CPIF RATES (ALL)'!E48</f>
        <v>0</v>
      </c>
      <c r="M53" s="268">
        <f>ROUND(K53*L53,2)</f>
        <v>0</v>
      </c>
      <c r="N53" s="110"/>
      <c r="O53" s="159">
        <f>O51+Q51</f>
        <v>0</v>
      </c>
      <c r="P53" s="269">
        <f>'SUB CPIF RATES (ALL)'!F48</f>
        <v>0</v>
      </c>
      <c r="Q53" s="268">
        <f>ROUND(O53*P53,2)</f>
        <v>0</v>
      </c>
    </row>
    <row r="54" spans="1:17" x14ac:dyDescent="0.2">
      <c r="B54" s="186" t="s">
        <v>214</v>
      </c>
      <c r="C54" s="178"/>
      <c r="D54" s="179"/>
      <c r="E54" s="113">
        <f>ROUND(E48+E50+E51,2)</f>
        <v>0</v>
      </c>
      <c r="F54" s="229"/>
      <c r="G54" s="178"/>
      <c r="H54" s="179"/>
      <c r="I54" s="113">
        <f>ROUND(I48+I50+I51,2)</f>
        <v>0</v>
      </c>
      <c r="J54" s="229"/>
      <c r="K54" s="178"/>
      <c r="L54" s="179"/>
      <c r="M54" s="113">
        <f>ROUND(M48+M50+M51,2)</f>
        <v>0</v>
      </c>
      <c r="N54" s="110"/>
      <c r="O54" s="178"/>
      <c r="P54" s="179"/>
      <c r="Q54" s="113">
        <f>ROUND(Q48+Q50+Q51,2)</f>
        <v>0</v>
      </c>
    </row>
    <row r="55" spans="1:17" x14ac:dyDescent="0.2">
      <c r="B55" s="186" t="s">
        <v>204</v>
      </c>
      <c r="C55" s="176"/>
      <c r="D55" s="180"/>
      <c r="E55" s="113">
        <f>ROUND(E52,2)</f>
        <v>0</v>
      </c>
      <c r="F55" s="229"/>
      <c r="G55" s="176"/>
      <c r="H55" s="180"/>
      <c r="I55" s="113">
        <f>ROUND(I52,2)</f>
        <v>0</v>
      </c>
      <c r="J55" s="229"/>
      <c r="K55" s="176"/>
      <c r="L55" s="180"/>
      <c r="M55" s="113">
        <f>ROUND(M52,2)</f>
        <v>0</v>
      </c>
      <c r="N55" s="110"/>
      <c r="O55" s="176"/>
      <c r="P55" s="180"/>
      <c r="Q55" s="113">
        <f>ROUND(Q52,2)</f>
        <v>0</v>
      </c>
    </row>
    <row r="56" spans="1:17" x14ac:dyDescent="0.2">
      <c r="B56" s="186" t="s">
        <v>71</v>
      </c>
      <c r="C56" s="176"/>
      <c r="D56" s="180"/>
      <c r="E56" s="127">
        <f>ROUND(E53,2)</f>
        <v>0</v>
      </c>
      <c r="F56" s="128"/>
      <c r="G56" s="176"/>
      <c r="H56" s="180"/>
      <c r="I56" s="127">
        <f>ROUND(I53,2)</f>
        <v>0</v>
      </c>
      <c r="J56" s="128"/>
      <c r="K56" s="176"/>
      <c r="L56" s="180"/>
      <c r="M56" s="127">
        <f>ROUND(M53,2)</f>
        <v>0</v>
      </c>
      <c r="N56" s="128"/>
      <c r="O56" s="176"/>
      <c r="P56" s="180"/>
      <c r="Q56" s="127">
        <f>ROUND(Q53,2)</f>
        <v>0</v>
      </c>
    </row>
    <row r="57" spans="1:17" ht="16.5" thickBot="1" x14ac:dyDescent="0.25">
      <c r="B57" s="187" t="s">
        <v>215</v>
      </c>
      <c r="C57" s="181"/>
      <c r="D57" s="182"/>
      <c r="E57" s="105">
        <f>SUM(E54:E56)</f>
        <v>0</v>
      </c>
      <c r="F57" s="106"/>
      <c r="G57" s="181"/>
      <c r="H57" s="182"/>
      <c r="I57" s="105">
        <f>SUM(I54:I56)</f>
        <v>0</v>
      </c>
      <c r="J57" s="106"/>
      <c r="K57" s="181"/>
      <c r="L57" s="182"/>
      <c r="M57" s="105">
        <f>SUM(M54:M56)</f>
        <v>0</v>
      </c>
      <c r="N57" s="106"/>
      <c r="O57" s="181"/>
      <c r="P57" s="182"/>
      <c r="Q57" s="105">
        <f>SUM(Q54:Q56)</f>
        <v>0</v>
      </c>
    </row>
    <row r="58" spans="1:17" ht="16.5" thickBot="1" x14ac:dyDescent="0.25">
      <c r="B58" s="117"/>
      <c r="E58" s="194"/>
      <c r="F58" s="194"/>
      <c r="G58" s="194"/>
      <c r="H58" s="194"/>
      <c r="I58" s="194"/>
      <c r="J58" s="194"/>
      <c r="K58" s="194"/>
      <c r="N58" s="132"/>
    </row>
    <row r="59" spans="1:17" ht="16.5" customHeight="1" thickBot="1" x14ac:dyDescent="0.3">
      <c r="A59" s="138"/>
      <c r="B59" s="523" t="str">
        <f>B31</f>
        <v>CLIN 0002 (CPIF)                                                    TASK 1.01 SUPPORT REQUIRED TO DETERMINE ELEMENTS OF SIMULATOR KIT</v>
      </c>
      <c r="C59" s="490" t="s">
        <v>81</v>
      </c>
      <c r="D59" s="491"/>
      <c r="E59" s="492"/>
      <c r="F59" s="120"/>
      <c r="G59" s="490" t="s">
        <v>82</v>
      </c>
      <c r="H59" s="491"/>
      <c r="I59" s="492"/>
      <c r="J59" s="120"/>
      <c r="K59" s="490" t="s">
        <v>82</v>
      </c>
      <c r="L59" s="491"/>
      <c r="M59" s="492"/>
      <c r="N59" s="120"/>
      <c r="O59" s="490" t="s">
        <v>82</v>
      </c>
      <c r="P59" s="491"/>
      <c r="Q59" s="492"/>
    </row>
    <row r="60" spans="1:17" ht="33.75" customHeight="1" thickBot="1" x14ac:dyDescent="0.3">
      <c r="A60" s="138"/>
      <c r="B60" s="524"/>
      <c r="C60" s="520" t="str">
        <f>C32</f>
        <v>CLIN 0002 - Basic Period (Year 1)</v>
      </c>
      <c r="D60" s="521"/>
      <c r="E60" s="522"/>
      <c r="F60" s="121"/>
      <c r="G60" s="520" t="str">
        <f>G32</f>
        <v>CLIN 0002 - Basic Period (Year 2)</v>
      </c>
      <c r="H60" s="521"/>
      <c r="I60" s="522"/>
      <c r="J60" s="121"/>
      <c r="K60" s="520" t="str">
        <f>K32</f>
        <v>CLIN 0002 - Basic Period (Year 3)</v>
      </c>
      <c r="L60" s="521"/>
      <c r="M60" s="522"/>
      <c r="N60" s="121"/>
      <c r="O60" s="520" t="str">
        <f>O32</f>
        <v>CLIN 0002 - Basic Period (Year 4)</v>
      </c>
      <c r="P60" s="521"/>
      <c r="Q60" s="522"/>
    </row>
    <row r="61" spans="1:17" x14ac:dyDescent="0.25">
      <c r="A61" s="138"/>
      <c r="B61" s="193"/>
      <c r="C61" s="98" t="s">
        <v>289</v>
      </c>
      <c r="D61" s="99" t="s">
        <v>286</v>
      </c>
      <c r="E61" s="100" t="s">
        <v>89</v>
      </c>
      <c r="F61" s="111"/>
      <c r="G61" s="98" t="s">
        <v>289</v>
      </c>
      <c r="H61" s="99" t="s">
        <v>286</v>
      </c>
      <c r="I61" s="100" t="s">
        <v>89</v>
      </c>
      <c r="J61" s="111"/>
      <c r="K61" s="98" t="s">
        <v>289</v>
      </c>
      <c r="L61" s="99" t="s">
        <v>286</v>
      </c>
      <c r="M61" s="100" t="s">
        <v>89</v>
      </c>
      <c r="N61" s="111"/>
      <c r="O61" s="98" t="s">
        <v>289</v>
      </c>
      <c r="P61" s="99" t="s">
        <v>286</v>
      </c>
      <c r="Q61" s="100" t="s">
        <v>58</v>
      </c>
    </row>
    <row r="62" spans="1:17" ht="26.25" x14ac:dyDescent="0.25">
      <c r="A62" s="138"/>
      <c r="B62" s="240" t="s">
        <v>449</v>
      </c>
      <c r="C62" s="176"/>
      <c r="D62" s="226"/>
      <c r="E62" s="262">
        <f>'SUB CPIF TOTAL ODC'!E26</f>
        <v>0</v>
      </c>
      <c r="F62" s="229"/>
      <c r="G62" s="176"/>
      <c r="H62" s="226"/>
      <c r="I62" s="262">
        <f>'SUB CPIF TOTAL ODC'!G26</f>
        <v>0</v>
      </c>
      <c r="J62" s="229"/>
      <c r="K62" s="176"/>
      <c r="L62" s="226"/>
      <c r="M62" s="262">
        <f>'SUB CPIF TOTAL ODC'!I26</f>
        <v>0</v>
      </c>
      <c r="N62" s="229"/>
      <c r="O62" s="176"/>
      <c r="P62" s="226"/>
      <c r="Q62" s="378">
        <f>'SUB CPIF TOTAL ODC'!K26</f>
        <v>0</v>
      </c>
    </row>
    <row r="63" spans="1:17" ht="66" customHeight="1" x14ac:dyDescent="0.25">
      <c r="A63" s="138"/>
      <c r="B63" s="374" t="s">
        <v>450</v>
      </c>
      <c r="C63" s="314"/>
      <c r="D63" s="314"/>
      <c r="E63" s="313"/>
      <c r="F63" s="229"/>
      <c r="G63" s="315"/>
      <c r="H63" s="314"/>
      <c r="I63" s="313"/>
      <c r="J63" s="229"/>
      <c r="K63" s="315"/>
      <c r="L63" s="314"/>
      <c r="M63" s="310"/>
      <c r="N63" s="229"/>
      <c r="O63" s="315"/>
      <c r="P63" s="314"/>
      <c r="Q63" s="310"/>
    </row>
    <row r="64" spans="1:17" x14ac:dyDescent="0.25">
      <c r="A64" s="138"/>
      <c r="B64" s="112" t="s">
        <v>60</v>
      </c>
      <c r="C64" s="160">
        <f>+E62</f>
        <v>0</v>
      </c>
      <c r="D64" s="188">
        <f>'SUB CPIF RATES (ALL)'!C61</f>
        <v>0</v>
      </c>
      <c r="E64" s="113">
        <f>ROUND(C64*D64,2)</f>
        <v>0</v>
      </c>
      <c r="F64" s="123"/>
      <c r="G64" s="160">
        <f>+I62</f>
        <v>0</v>
      </c>
      <c r="H64" s="188">
        <f>'SUB CPIF RATES (ALL)'!D61</f>
        <v>0</v>
      </c>
      <c r="I64" s="113">
        <f>ROUND(G64*H64,2)</f>
        <v>0</v>
      </c>
      <c r="J64" s="123"/>
      <c r="K64" s="160">
        <f>+M62</f>
        <v>0</v>
      </c>
      <c r="L64" s="188">
        <f>'SUB CPIF RATES (ALL)'!E61</f>
        <v>0</v>
      </c>
      <c r="M64" s="113">
        <f>ROUND(K64*L64,2)</f>
        <v>0</v>
      </c>
      <c r="N64" s="123"/>
      <c r="O64" s="160">
        <f>+Q62</f>
        <v>0</v>
      </c>
      <c r="P64" s="188">
        <f>'SUB CPIF RATES (ALL)'!F61</f>
        <v>0</v>
      </c>
      <c r="Q64" s="113">
        <f>ROUND(O64*P64,2)</f>
        <v>0</v>
      </c>
    </row>
    <row r="65" spans="1:17" x14ac:dyDescent="0.25">
      <c r="A65" s="138"/>
      <c r="B65" s="112" t="s">
        <v>61</v>
      </c>
      <c r="C65" s="160">
        <f>+C64+E64</f>
        <v>0</v>
      </c>
      <c r="D65" s="188">
        <f>'SUB CPIF RATES (ALL)'!C62</f>
        <v>0</v>
      </c>
      <c r="E65" s="113">
        <f>ROUND(C65*D65,2)</f>
        <v>0</v>
      </c>
      <c r="F65" s="123"/>
      <c r="G65" s="160">
        <f>+G64+I64</f>
        <v>0</v>
      </c>
      <c r="H65" s="188">
        <f>'SUB CPIF RATES (ALL)'!D62</f>
        <v>0</v>
      </c>
      <c r="I65" s="113">
        <f>ROUND(G65*H65,2)</f>
        <v>0</v>
      </c>
      <c r="J65" s="123"/>
      <c r="K65" s="160">
        <f>+K64+M64</f>
        <v>0</v>
      </c>
      <c r="L65" s="188">
        <f>'SUB CPIF RATES (ALL)'!E62</f>
        <v>0</v>
      </c>
      <c r="M65" s="113">
        <f>ROUND(K65*L65,2)</f>
        <v>0</v>
      </c>
      <c r="N65" s="123"/>
      <c r="O65" s="160">
        <f>+O64+Q64</f>
        <v>0</v>
      </c>
      <c r="P65" s="188">
        <f>'SUB CPIF RATES (ALL)'!F62</f>
        <v>0</v>
      </c>
      <c r="Q65" s="113">
        <f>ROUND(O65*P65,2)</f>
        <v>0</v>
      </c>
    </row>
    <row r="66" spans="1:17" x14ac:dyDescent="0.25">
      <c r="A66" s="138"/>
      <c r="B66" s="112" t="s">
        <v>411</v>
      </c>
      <c r="C66" s="160">
        <f>C65+E65</f>
        <v>0</v>
      </c>
      <c r="D66" s="188">
        <f>'SUB CPIF RATES (ALL)'!C63</f>
        <v>0</v>
      </c>
      <c r="E66" s="113">
        <f>ROUND(C66*D66,2)</f>
        <v>0</v>
      </c>
      <c r="F66" s="229"/>
      <c r="G66" s="160">
        <f>G65+I65</f>
        <v>0</v>
      </c>
      <c r="H66" s="188">
        <f>'SUB CPIF RATES (ALL)'!D63</f>
        <v>0</v>
      </c>
      <c r="I66" s="113">
        <f>ROUND(G66*H66,2)</f>
        <v>0</v>
      </c>
      <c r="J66" s="229"/>
      <c r="K66" s="160">
        <f>K65+M65</f>
        <v>0</v>
      </c>
      <c r="L66" s="188">
        <f>'SUB CPIF RATES (ALL)'!E63</f>
        <v>0</v>
      </c>
      <c r="M66" s="113">
        <f>ROUND(K66*L66,2)</f>
        <v>0</v>
      </c>
      <c r="N66" s="229"/>
      <c r="O66" s="160">
        <f>O65+Q65</f>
        <v>0</v>
      </c>
      <c r="P66" s="188">
        <f>'SUB CPIF RATES (ALL)'!F63</f>
        <v>0</v>
      </c>
      <c r="Q66" s="113">
        <f>ROUND(O66*P66,2)</f>
        <v>0</v>
      </c>
    </row>
    <row r="67" spans="1:17" x14ac:dyDescent="0.25">
      <c r="A67" s="138"/>
      <c r="B67" s="112" t="s">
        <v>62</v>
      </c>
      <c r="C67" s="160">
        <f>+C65+E65</f>
        <v>0</v>
      </c>
      <c r="D67" s="269">
        <f>'SUB CPIF RATES (ALL)'!C64</f>
        <v>0</v>
      </c>
      <c r="E67" s="113">
        <f>ROUND(C67*D67,2)</f>
        <v>0</v>
      </c>
      <c r="F67" s="229"/>
      <c r="G67" s="160">
        <f>+G65+I65</f>
        <v>0</v>
      </c>
      <c r="H67" s="269">
        <f>'SUB CPIF RATES (ALL)'!D64</f>
        <v>0</v>
      </c>
      <c r="I67" s="113">
        <f>ROUND(G67*H67,2)</f>
        <v>0</v>
      </c>
      <c r="J67" s="229"/>
      <c r="K67" s="160">
        <f>+K65+M65</f>
        <v>0</v>
      </c>
      <c r="L67" s="269">
        <f>'SUB CPIF RATES (ALL)'!E64</f>
        <v>0</v>
      </c>
      <c r="M67" s="113">
        <f>ROUND(K67*L67,2)</f>
        <v>0</v>
      </c>
      <c r="N67" s="229"/>
      <c r="O67" s="160">
        <f>+O65+Q65</f>
        <v>0</v>
      </c>
      <c r="P67" s="269">
        <f>'SUB CPIF RATES (ALL)'!F64</f>
        <v>0</v>
      </c>
      <c r="Q67" s="113">
        <f>ROUND(O67*P67,2)</f>
        <v>0</v>
      </c>
    </row>
    <row r="68" spans="1:17" x14ac:dyDescent="0.25">
      <c r="A68" s="138"/>
      <c r="B68" s="186" t="s">
        <v>187</v>
      </c>
      <c r="C68" s="178"/>
      <c r="D68" s="179"/>
      <c r="E68" s="113">
        <f>+ROUND(SUM(E62:E65),2)</f>
        <v>0</v>
      </c>
      <c r="F68" s="229"/>
      <c r="G68" s="178"/>
      <c r="H68" s="179"/>
      <c r="I68" s="113">
        <f>+ROUND(SUM(I62:I65),2)</f>
        <v>0</v>
      </c>
      <c r="J68" s="229"/>
      <c r="K68" s="178"/>
      <c r="L68" s="179"/>
      <c r="M68" s="113">
        <f>+ROUND(SUM(M62:M65),2)</f>
        <v>0</v>
      </c>
      <c r="N68" s="229"/>
      <c r="O68" s="178"/>
      <c r="P68" s="179"/>
      <c r="Q68" s="113">
        <f>+ROUND(SUM(Q62:Q65),2)</f>
        <v>0</v>
      </c>
    </row>
    <row r="69" spans="1:17" x14ac:dyDescent="0.25">
      <c r="A69" s="138"/>
      <c r="B69" s="186" t="s">
        <v>72</v>
      </c>
      <c r="C69" s="176"/>
      <c r="D69" s="180"/>
      <c r="E69" s="113">
        <f>+ROUND(E66,2)</f>
        <v>0</v>
      </c>
      <c r="F69" s="229"/>
      <c r="G69" s="176"/>
      <c r="H69" s="180"/>
      <c r="I69" s="113">
        <f>+ROUND(I66,2)</f>
        <v>0</v>
      </c>
      <c r="J69" s="229"/>
      <c r="K69" s="176"/>
      <c r="L69" s="180"/>
      <c r="M69" s="113">
        <f>+ROUND(M66,2)</f>
        <v>0</v>
      </c>
      <c r="N69" s="229"/>
      <c r="O69" s="176"/>
      <c r="P69" s="180"/>
      <c r="Q69" s="113">
        <f>+ROUND(Q66,2)</f>
        <v>0</v>
      </c>
    </row>
    <row r="70" spans="1:17" x14ac:dyDescent="0.2">
      <c r="A70" s="131"/>
      <c r="B70" s="186" t="s">
        <v>71</v>
      </c>
      <c r="C70" s="176"/>
      <c r="D70" s="180"/>
      <c r="E70" s="127">
        <f>+ROUND(E67,2)</f>
        <v>0</v>
      </c>
      <c r="F70" s="128"/>
      <c r="G70" s="176"/>
      <c r="H70" s="180"/>
      <c r="I70" s="127">
        <f>+ROUND(I67,2)</f>
        <v>0</v>
      </c>
      <c r="J70" s="128"/>
      <c r="K70" s="176"/>
      <c r="L70" s="180"/>
      <c r="M70" s="127">
        <f>+ROUND(M67,2)</f>
        <v>0</v>
      </c>
      <c r="N70" s="128"/>
      <c r="O70" s="176"/>
      <c r="P70" s="180"/>
      <c r="Q70" s="127">
        <f>+ROUND(Q67,2)</f>
        <v>0</v>
      </c>
    </row>
    <row r="71" spans="1:17" ht="16.5" thickBot="1" x14ac:dyDescent="0.25">
      <c r="A71" s="131"/>
      <c r="B71" s="187" t="s">
        <v>174</v>
      </c>
      <c r="C71" s="181"/>
      <c r="D71" s="182"/>
      <c r="E71" s="105">
        <f t="shared" ref="E71" si="4">SUM(E68:E70)</f>
        <v>0</v>
      </c>
      <c r="F71" s="106"/>
      <c r="G71" s="181"/>
      <c r="H71" s="182"/>
      <c r="I71" s="105">
        <f t="shared" ref="I71" si="5">SUM(I68:I70)</f>
        <v>0</v>
      </c>
      <c r="J71" s="106"/>
      <c r="K71" s="181"/>
      <c r="L71" s="182"/>
      <c r="M71" s="105">
        <f t="shared" ref="M71" si="6">SUM(M68:M70)</f>
        <v>0</v>
      </c>
      <c r="N71" s="106"/>
      <c r="O71" s="181"/>
      <c r="P71" s="182"/>
      <c r="Q71" s="105">
        <f t="shared" ref="Q71" si="7">SUM(Q68:Q70)</f>
        <v>0</v>
      </c>
    </row>
    <row r="72" spans="1:17" ht="16.5" thickBot="1" x14ac:dyDescent="0.25">
      <c r="A72" s="131"/>
      <c r="B72" s="117"/>
      <c r="E72" s="194"/>
      <c r="F72" s="194"/>
      <c r="G72" s="194"/>
      <c r="H72" s="194"/>
      <c r="I72" s="194"/>
      <c r="J72" s="194"/>
      <c r="K72" s="194"/>
      <c r="N72" s="132"/>
    </row>
    <row r="73" spans="1:17" ht="16.5" thickBot="1" x14ac:dyDescent="0.3">
      <c r="A73" s="131"/>
      <c r="B73" s="531" t="str">
        <f>B59</f>
        <v>CLIN 0002 (CPIF)                                                    TASK 1.01 SUPPORT REQUIRED TO DETERMINE ELEMENTS OF SIMULATOR KIT</v>
      </c>
      <c r="C73" s="517" t="s">
        <v>213</v>
      </c>
      <c r="D73" s="518"/>
      <c r="E73" s="519"/>
      <c r="F73" s="120"/>
      <c r="G73" s="517" t="s">
        <v>213</v>
      </c>
      <c r="H73" s="518"/>
      <c r="I73" s="519"/>
      <c r="J73" s="120"/>
      <c r="K73" s="517" t="s">
        <v>213</v>
      </c>
      <c r="L73" s="518"/>
      <c r="M73" s="519"/>
      <c r="N73" s="120"/>
      <c r="O73" s="517" t="s">
        <v>213</v>
      </c>
      <c r="P73" s="518"/>
      <c r="Q73" s="519"/>
    </row>
    <row r="74" spans="1:17" ht="33.75" customHeight="1" thickBot="1" x14ac:dyDescent="0.3">
      <c r="A74" s="131"/>
      <c r="B74" s="532"/>
      <c r="C74" s="221"/>
      <c r="D74" s="222"/>
      <c r="E74" s="133" t="s">
        <v>238</v>
      </c>
      <c r="F74" s="134"/>
      <c r="G74" s="221"/>
      <c r="H74" s="222"/>
      <c r="I74" s="133" t="s">
        <v>241</v>
      </c>
      <c r="J74" s="134"/>
      <c r="K74" s="221"/>
      <c r="L74" s="222"/>
      <c r="M74" s="133" t="s">
        <v>240</v>
      </c>
      <c r="N74" s="134"/>
      <c r="O74" s="221"/>
      <c r="P74" s="222"/>
      <c r="Q74" s="133" t="s">
        <v>239</v>
      </c>
    </row>
    <row r="75" spans="1:17" x14ac:dyDescent="0.2">
      <c r="A75" s="131"/>
      <c r="B75" s="112" t="s">
        <v>188</v>
      </c>
      <c r="C75" s="223"/>
      <c r="D75" s="223"/>
      <c r="E75" s="135">
        <f>+ROUND(E26+E40+E54+E68,2)</f>
        <v>0</v>
      </c>
      <c r="F75" s="110"/>
      <c r="G75" s="223"/>
      <c r="H75" s="223"/>
      <c r="I75" s="135">
        <f>+ROUND(I26+I40+I54+I68,2)</f>
        <v>0</v>
      </c>
      <c r="J75" s="110"/>
      <c r="K75" s="223"/>
      <c r="L75" s="223"/>
      <c r="M75" s="135">
        <f>+ROUND(M26+M40+M54+M68,2)</f>
        <v>0</v>
      </c>
      <c r="N75" s="110"/>
      <c r="O75" s="223"/>
      <c r="P75" s="223"/>
      <c r="Q75" s="135">
        <f>+ROUND(Q26+Q40+Q54+Q68,2)</f>
        <v>0</v>
      </c>
    </row>
    <row r="76" spans="1:17" x14ac:dyDescent="0.2">
      <c r="A76" s="131"/>
      <c r="B76" s="112" t="s">
        <v>72</v>
      </c>
      <c r="C76" s="223"/>
      <c r="D76" s="223"/>
      <c r="E76" s="113">
        <f>+ROUND(E27+E41+E55+E69,2)</f>
        <v>0</v>
      </c>
      <c r="F76" s="110"/>
      <c r="G76" s="223"/>
      <c r="H76" s="223"/>
      <c r="I76" s="113">
        <f>+ROUND(I27+I41+I55+I69,2)</f>
        <v>0</v>
      </c>
      <c r="J76" s="110"/>
      <c r="K76" s="223"/>
      <c r="L76" s="223"/>
      <c r="M76" s="113">
        <f>+ROUND(M27+M41+M55+M69,2)</f>
        <v>0</v>
      </c>
      <c r="N76" s="110"/>
      <c r="O76" s="223"/>
      <c r="P76" s="223"/>
      <c r="Q76" s="113">
        <f>+ROUND(Q27+Q41+Q55+Q69,2)</f>
        <v>0</v>
      </c>
    </row>
    <row r="77" spans="1:17" x14ac:dyDescent="0.2">
      <c r="A77" s="131"/>
      <c r="B77" s="112" t="s">
        <v>71</v>
      </c>
      <c r="C77" s="223"/>
      <c r="D77" s="223"/>
      <c r="E77" s="114">
        <f>+ROUND(E28+E42+E56+E70,2)</f>
        <v>0</v>
      </c>
      <c r="F77" s="115"/>
      <c r="G77" s="223"/>
      <c r="H77" s="223"/>
      <c r="I77" s="114">
        <f>+ROUND(I28+I42+I56+I70,2)</f>
        <v>0</v>
      </c>
      <c r="J77" s="115"/>
      <c r="K77" s="223"/>
      <c r="L77" s="223"/>
      <c r="M77" s="114">
        <f>+ROUND(M28+M42+M56+M70,2)</f>
        <v>0</v>
      </c>
      <c r="N77" s="115"/>
      <c r="O77" s="223"/>
      <c r="P77" s="223"/>
      <c r="Q77" s="114">
        <f>+ROUND(Q28+Q42+Q56+Q70,2)</f>
        <v>0</v>
      </c>
    </row>
    <row r="78" spans="1:17" ht="32.25" thickBot="1" x14ac:dyDescent="0.3">
      <c r="A78" s="131"/>
      <c r="B78" s="207" t="s">
        <v>372</v>
      </c>
      <c r="C78" s="224"/>
      <c r="D78" s="224"/>
      <c r="E78" s="208">
        <f>SUM(E75:E77)</f>
        <v>0</v>
      </c>
      <c r="F78" s="116"/>
      <c r="G78" s="224"/>
      <c r="H78" s="224"/>
      <c r="I78" s="208">
        <f>SUM(I75:I77)</f>
        <v>0</v>
      </c>
      <c r="J78" s="116"/>
      <c r="K78" s="224"/>
      <c r="L78" s="224"/>
      <c r="M78" s="208">
        <f>SUM(M75:M77)</f>
        <v>0</v>
      </c>
      <c r="N78" s="116"/>
      <c r="O78" s="224"/>
      <c r="P78" s="224"/>
      <c r="Q78" s="208">
        <f>SUM(Q75:Q77)</f>
        <v>0</v>
      </c>
    </row>
    <row r="79" spans="1:17" ht="16.5" thickBot="1" x14ac:dyDescent="0.3"/>
    <row r="80" spans="1:17" ht="31.5" x14ac:dyDescent="0.25">
      <c r="Q80" s="323" t="s">
        <v>373</v>
      </c>
    </row>
    <row r="81" spans="17:17" ht="16.5" thickBot="1" x14ac:dyDescent="0.3">
      <c r="Q81" s="322">
        <f>E78+I78+M78+Q78</f>
        <v>0</v>
      </c>
    </row>
  </sheetData>
  <mergeCells count="46">
    <mergeCell ref="B31:B32"/>
    <mergeCell ref="B73:B74"/>
    <mergeCell ref="C73:E73"/>
    <mergeCell ref="G73:I73"/>
    <mergeCell ref="K73:M73"/>
    <mergeCell ref="C60:E60"/>
    <mergeCell ref="G60:I60"/>
    <mergeCell ref="K60:M60"/>
    <mergeCell ref="B59:B60"/>
    <mergeCell ref="C59:E59"/>
    <mergeCell ref="G59:I59"/>
    <mergeCell ref="K59:M59"/>
    <mergeCell ref="B45:B46"/>
    <mergeCell ref="K45:M45"/>
    <mergeCell ref="C46:E46"/>
    <mergeCell ref="G46:I46"/>
    <mergeCell ref="O73:Q73"/>
    <mergeCell ref="O60:Q60"/>
    <mergeCell ref="O59:Q59"/>
    <mergeCell ref="C49:E49"/>
    <mergeCell ref="G49:I49"/>
    <mergeCell ref="K49:M49"/>
    <mergeCell ref="O31:Q31"/>
    <mergeCell ref="O32:Q32"/>
    <mergeCell ref="C31:E31"/>
    <mergeCell ref="G31:I31"/>
    <mergeCell ref="K31:M31"/>
    <mergeCell ref="C32:E32"/>
    <mergeCell ref="G32:I32"/>
    <mergeCell ref="K32:M32"/>
    <mergeCell ref="O45:Q45"/>
    <mergeCell ref="O46:Q46"/>
    <mergeCell ref="O49:Q49"/>
    <mergeCell ref="C45:E45"/>
    <mergeCell ref="G45:I45"/>
    <mergeCell ref="K46:M46"/>
    <mergeCell ref="O15:Q15"/>
    <mergeCell ref="O14:Q14"/>
    <mergeCell ref="A4:C4"/>
    <mergeCell ref="B14:B15"/>
    <mergeCell ref="C14:E14"/>
    <mergeCell ref="G14:I14"/>
    <mergeCell ref="K14:M14"/>
    <mergeCell ref="C15:E15"/>
    <mergeCell ref="G15:I15"/>
    <mergeCell ref="K15:M15"/>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1B82F6-F8A6-40FF-AFF3-4BA094366D8B}">
  <sheetPr>
    <tabColor theme="0"/>
  </sheetPr>
  <dimension ref="A1:Q81"/>
  <sheetViews>
    <sheetView zoomScale="80" zoomScaleNormal="80" workbookViewId="0">
      <pane ySplit="12" topLeftCell="A60" activePane="bottomLeft" state="frozen"/>
      <selection pane="bottomLeft" activeCell="P66" sqref="P66"/>
    </sheetView>
  </sheetViews>
  <sheetFormatPr defaultColWidth="15.85546875" defaultRowHeight="15.75" x14ac:dyDescent="0.25"/>
  <cols>
    <col min="1" max="1" width="3.42578125" style="136" customWidth="1"/>
    <col min="2" max="2" width="49.140625" style="119" customWidth="1"/>
    <col min="3" max="3" width="18.28515625" style="131" bestFit="1" customWidth="1"/>
    <col min="4" max="4" width="12.42578125" style="131" bestFit="1" customWidth="1"/>
    <col min="5" max="5" width="30.5703125" style="131" bestFit="1" customWidth="1"/>
    <col min="6" max="6" width="1" style="131" customWidth="1"/>
    <col min="7" max="7" width="14.28515625" style="131" customWidth="1"/>
    <col min="8" max="8" width="14.5703125" style="131" customWidth="1"/>
    <col min="9" max="9" width="34.42578125" style="131" bestFit="1" customWidth="1"/>
    <col min="10" max="10" width="1" style="131" customWidth="1"/>
    <col min="11" max="11" width="16.7109375" style="131" customWidth="1"/>
    <col min="12" max="12" width="16.28515625" style="131" customWidth="1"/>
    <col min="13" max="13" width="34.42578125" style="131" bestFit="1" customWidth="1"/>
    <col min="14" max="14" width="0.85546875" style="131" customWidth="1"/>
    <col min="15" max="15" width="16.7109375" style="131" customWidth="1"/>
    <col min="16" max="16" width="16.28515625" style="131" customWidth="1"/>
    <col min="17" max="17" width="34.42578125" style="131" bestFit="1" customWidth="1"/>
    <col min="18" max="16384" width="15.85546875" style="131"/>
  </cols>
  <sheetData>
    <row r="1" spans="1:17" ht="16.5" thickBot="1" x14ac:dyDescent="0.3">
      <c r="B1" s="321" t="s">
        <v>460</v>
      </c>
      <c r="C1" s="394" t="str">
        <f>'SUB CPIF RATES (ALL)'!C1</f>
        <v xml:space="preserve">NAME </v>
      </c>
      <c r="D1" s="393"/>
    </row>
    <row r="2" spans="1:17" ht="16.5" thickBot="1" x14ac:dyDescent="0.3">
      <c r="B2" s="395" t="s">
        <v>459</v>
      </c>
      <c r="C2" s="396" t="str">
        <f>'SUB CPIF RATES (ALL)'!C2</f>
        <v xml:space="preserve">NAME </v>
      </c>
    </row>
    <row r="3" spans="1:17" ht="16.5" thickBot="1" x14ac:dyDescent="0.3"/>
    <row r="4" spans="1:17" ht="52.5" customHeight="1" thickBot="1" x14ac:dyDescent="0.3">
      <c r="A4" s="466" t="s">
        <v>95</v>
      </c>
      <c r="B4" s="467"/>
      <c r="C4" s="468"/>
      <c r="I4" s="194" t="s">
        <v>84</v>
      </c>
    </row>
    <row r="6" spans="1:17" s="202" customFormat="1" ht="17.25" customHeight="1" x14ac:dyDescent="0.2">
      <c r="A6" s="203"/>
      <c r="B6" s="204" t="s">
        <v>65</v>
      </c>
    </row>
    <row r="7" spans="1:17" s="202" customFormat="1" x14ac:dyDescent="0.25">
      <c r="A7" s="201"/>
      <c r="B7" s="201" t="s">
        <v>441</v>
      </c>
    </row>
    <row r="8" spans="1:17" s="202" customFormat="1" x14ac:dyDescent="0.25">
      <c r="A8" s="201"/>
      <c r="B8" s="201" t="s">
        <v>281</v>
      </c>
    </row>
    <row r="9" spans="1:17" s="202" customFormat="1" x14ac:dyDescent="0.25">
      <c r="A9" s="201"/>
      <c r="B9" s="201" t="s">
        <v>442</v>
      </c>
    </row>
    <row r="10" spans="1:17" s="202" customFormat="1" x14ac:dyDescent="0.25">
      <c r="A10" s="201"/>
      <c r="B10" s="201" t="s">
        <v>463</v>
      </c>
    </row>
    <row r="11" spans="1:17" x14ac:dyDescent="0.25">
      <c r="A11" s="137"/>
      <c r="B11" s="201" t="s">
        <v>464</v>
      </c>
      <c r="C11" s="139"/>
    </row>
    <row r="12" spans="1:17" x14ac:dyDescent="0.25">
      <c r="A12" s="137"/>
      <c r="B12" s="201" t="s">
        <v>374</v>
      </c>
      <c r="C12" s="139"/>
    </row>
    <row r="13" spans="1:17" ht="16.5" thickBot="1" x14ac:dyDescent="0.3"/>
    <row r="14" spans="1:17" ht="16.5" thickBot="1" x14ac:dyDescent="0.3">
      <c r="A14" s="138"/>
      <c r="B14" s="523" t="s">
        <v>375</v>
      </c>
      <c r="C14" s="490" t="s">
        <v>69</v>
      </c>
      <c r="D14" s="491"/>
      <c r="E14" s="492"/>
      <c r="F14" s="96"/>
      <c r="G14" s="490" t="s">
        <v>69</v>
      </c>
      <c r="H14" s="491"/>
      <c r="I14" s="492"/>
      <c r="J14" s="96"/>
      <c r="K14" s="490" t="s">
        <v>69</v>
      </c>
      <c r="L14" s="491"/>
      <c r="M14" s="492"/>
      <c r="N14" s="96"/>
      <c r="O14" s="490" t="s">
        <v>69</v>
      </c>
      <c r="P14" s="491"/>
      <c r="Q14" s="492"/>
    </row>
    <row r="15" spans="1:17" ht="32.25" customHeight="1" thickBot="1" x14ac:dyDescent="0.3">
      <c r="A15" s="138"/>
      <c r="B15" s="524"/>
      <c r="C15" s="520" t="s">
        <v>219</v>
      </c>
      <c r="D15" s="521"/>
      <c r="E15" s="522"/>
      <c r="F15" s="97"/>
      <c r="G15" s="520" t="s">
        <v>220</v>
      </c>
      <c r="H15" s="521"/>
      <c r="I15" s="522"/>
      <c r="J15" s="97"/>
      <c r="K15" s="520" t="s">
        <v>221</v>
      </c>
      <c r="L15" s="521"/>
      <c r="M15" s="522"/>
      <c r="N15" s="97"/>
      <c r="O15" s="520" t="s">
        <v>222</v>
      </c>
      <c r="P15" s="521"/>
      <c r="Q15" s="522"/>
    </row>
    <row r="16" spans="1:17" x14ac:dyDescent="0.25">
      <c r="A16" s="138"/>
      <c r="B16" s="98" t="s">
        <v>46</v>
      </c>
      <c r="C16" s="98" t="s">
        <v>29</v>
      </c>
      <c r="D16" s="99" t="s">
        <v>68</v>
      </c>
      <c r="E16" s="100" t="s">
        <v>74</v>
      </c>
      <c r="F16" s="101"/>
      <c r="G16" s="98" t="s">
        <v>29</v>
      </c>
      <c r="H16" s="99" t="s">
        <v>68</v>
      </c>
      <c r="I16" s="100" t="s">
        <v>74</v>
      </c>
      <c r="J16" s="101"/>
      <c r="K16" s="98" t="s">
        <v>29</v>
      </c>
      <c r="L16" s="99" t="s">
        <v>68</v>
      </c>
      <c r="M16" s="100" t="s">
        <v>74</v>
      </c>
      <c r="N16" s="101"/>
      <c r="O16" s="98" t="s">
        <v>29</v>
      </c>
      <c r="P16" s="99" t="s">
        <v>68</v>
      </c>
      <c r="Q16" s="100" t="s">
        <v>74</v>
      </c>
    </row>
    <row r="17" spans="1:17" ht="30" customHeight="1" thickBot="1" x14ac:dyDescent="0.3">
      <c r="A17" s="138"/>
      <c r="B17" s="148" t="s">
        <v>443</v>
      </c>
      <c r="C17" s="230"/>
      <c r="D17" s="231"/>
      <c r="E17" s="232"/>
      <c r="F17" s="101"/>
      <c r="G17" s="230"/>
      <c r="H17" s="231"/>
      <c r="I17" s="232"/>
      <c r="J17" s="101"/>
      <c r="K17" s="230"/>
      <c r="L17" s="231"/>
      <c r="M17" s="232"/>
      <c r="N17" s="101"/>
      <c r="O17" s="230"/>
      <c r="P17" s="231"/>
      <c r="Q17" s="232"/>
    </row>
    <row r="18" spans="1:17" ht="16.5" thickBot="1" x14ac:dyDescent="0.3">
      <c r="A18" s="138"/>
      <c r="B18" s="239" t="s">
        <v>87</v>
      </c>
      <c r="C18" s="108">
        <f>'SUB CPIF LABOR INPUTS'!D281</f>
        <v>0</v>
      </c>
      <c r="D18" s="150"/>
      <c r="E18" s="109">
        <f>'SUB CPIF LABOR INPUTS'!F281</f>
        <v>0</v>
      </c>
      <c r="F18" s="110"/>
      <c r="G18" s="108">
        <f>'SUB CPIF LABOR INPUTS'!H281</f>
        <v>0</v>
      </c>
      <c r="H18" s="150"/>
      <c r="I18" s="109">
        <f>'SUB CPIF LABOR INPUTS'!J281</f>
        <v>0</v>
      </c>
      <c r="J18" s="110"/>
      <c r="K18" s="108">
        <f>'SUB CPIF LABOR INPUTS'!L281</f>
        <v>0</v>
      </c>
      <c r="L18" s="150"/>
      <c r="M18" s="109">
        <f>'SUB CPIF LABOR INPUTS'!N281</f>
        <v>0</v>
      </c>
      <c r="N18" s="110"/>
      <c r="O18" s="108">
        <f>'SUB CPIF LABOR INPUTS'!P281</f>
        <v>0</v>
      </c>
      <c r="P18" s="150"/>
      <c r="Q18" s="109">
        <f>'SUB CPIF LABOR INPUTS'!R281</f>
        <v>0</v>
      </c>
    </row>
    <row r="19" spans="1:17" x14ac:dyDescent="0.25">
      <c r="A19" s="138"/>
      <c r="B19" s="149"/>
      <c r="C19" s="98" t="s">
        <v>289</v>
      </c>
      <c r="D19" s="99" t="s">
        <v>286</v>
      </c>
      <c r="E19" s="100" t="s">
        <v>288</v>
      </c>
      <c r="F19" s="111"/>
      <c r="G19" s="98" t="s">
        <v>289</v>
      </c>
      <c r="H19" s="99" t="s">
        <v>286</v>
      </c>
      <c r="I19" s="100" t="s">
        <v>288</v>
      </c>
      <c r="J19" s="111"/>
      <c r="K19" s="98" t="s">
        <v>289</v>
      </c>
      <c r="L19" s="99" t="s">
        <v>286</v>
      </c>
      <c r="M19" s="100" t="s">
        <v>288</v>
      </c>
      <c r="N19" s="111"/>
      <c r="O19" s="98" t="s">
        <v>289</v>
      </c>
      <c r="P19" s="99" t="s">
        <v>286</v>
      </c>
      <c r="Q19" s="100" t="s">
        <v>288</v>
      </c>
    </row>
    <row r="20" spans="1:17" ht="64.5" x14ac:dyDescent="0.25">
      <c r="A20" s="138"/>
      <c r="B20" s="261" t="s">
        <v>279</v>
      </c>
      <c r="C20" s="230"/>
      <c r="D20" s="231"/>
      <c r="E20" s="232"/>
      <c r="F20" s="147"/>
      <c r="G20" s="230"/>
      <c r="H20" s="231"/>
      <c r="I20" s="232"/>
      <c r="J20" s="147"/>
      <c r="K20" s="230"/>
      <c r="L20" s="231"/>
      <c r="M20" s="232"/>
      <c r="N20" s="147"/>
      <c r="O20" s="230"/>
      <c r="P20" s="231"/>
      <c r="Q20" s="232"/>
    </row>
    <row r="21" spans="1:17" x14ac:dyDescent="0.25">
      <c r="A21" s="138"/>
      <c r="B21" s="112" t="str">
        <f>'SUB CPIF RATES (ALL)'!B36</f>
        <v>Indirect Labor Category:  [Labor Fringe]</v>
      </c>
      <c r="C21" s="160">
        <f>+E18</f>
        <v>0</v>
      </c>
      <c r="D21" s="188">
        <f>'SUB CPIF RATES (ALL)'!C36</f>
        <v>0</v>
      </c>
      <c r="E21" s="113">
        <f>ROUND(C21*D21,2)</f>
        <v>0</v>
      </c>
      <c r="F21" s="110"/>
      <c r="G21" s="160">
        <f>+I18</f>
        <v>0</v>
      </c>
      <c r="H21" s="188">
        <f>'SUB CPIF RATES (ALL)'!D36</f>
        <v>0</v>
      </c>
      <c r="I21" s="113">
        <f>ROUND(G21*H21,2)</f>
        <v>0</v>
      </c>
      <c r="J21" s="110"/>
      <c r="K21" s="160">
        <f>+M18</f>
        <v>0</v>
      </c>
      <c r="L21" s="188">
        <f>'SUB CPIF RATES (ALL)'!E36</f>
        <v>0</v>
      </c>
      <c r="M21" s="113">
        <f>ROUND(K21*L21,2)</f>
        <v>0</v>
      </c>
      <c r="N21" s="110"/>
      <c r="O21" s="160">
        <f>+Q18</f>
        <v>0</v>
      </c>
      <c r="P21" s="188">
        <f>'SUB CPIF RATES (ALL)'!F36</f>
        <v>0</v>
      </c>
      <c r="Q21" s="113">
        <f>ROUND(O21*P21,2)</f>
        <v>0</v>
      </c>
    </row>
    <row r="22" spans="1:17" x14ac:dyDescent="0.25">
      <c r="A22" s="138"/>
      <c r="B22" s="112" t="str">
        <f>'SUB CPIF RATES (ALL)'!B37</f>
        <v>Indirect Labor Category: [Labor Overhead]</v>
      </c>
      <c r="C22" s="160">
        <f>+C21+E21</f>
        <v>0</v>
      </c>
      <c r="D22" s="188">
        <f>'SUB CPIF RATES (ALL)'!C37</f>
        <v>0</v>
      </c>
      <c r="E22" s="113">
        <f>ROUND(C22*D22,2)</f>
        <v>0</v>
      </c>
      <c r="F22" s="110"/>
      <c r="G22" s="160">
        <f>+G21+I21</f>
        <v>0</v>
      </c>
      <c r="H22" s="188">
        <f>'SUB CPIF RATES (ALL)'!D37</f>
        <v>0</v>
      </c>
      <c r="I22" s="113">
        <f>ROUND(G22*H22,2)</f>
        <v>0</v>
      </c>
      <c r="J22" s="110"/>
      <c r="K22" s="160">
        <f>+K21+M21</f>
        <v>0</v>
      </c>
      <c r="L22" s="188">
        <f>'SUB CPIF RATES (ALL)'!E37</f>
        <v>0</v>
      </c>
      <c r="M22" s="113">
        <f>ROUND(K22*L22,2)</f>
        <v>0</v>
      </c>
      <c r="N22" s="110"/>
      <c r="O22" s="160">
        <f>+O21+Q21</f>
        <v>0</v>
      </c>
      <c r="P22" s="188">
        <f>'SUB CPIF RATES (ALL)'!F37</f>
        <v>0</v>
      </c>
      <c r="Q22" s="113">
        <f>ROUND(O22*P22,2)</f>
        <v>0</v>
      </c>
    </row>
    <row r="23" spans="1:17" x14ac:dyDescent="0.25">
      <c r="A23" s="138"/>
      <c r="B23" s="112" t="str">
        <f>'SUB CPIF RATES (ALL)'!B38</f>
        <v>Indirect Labor Category: [G&amp;A]</v>
      </c>
      <c r="C23" s="160">
        <f>+C22+E22</f>
        <v>0</v>
      </c>
      <c r="D23" s="188">
        <f>'SUB CPIF RATES (ALL)'!C38</f>
        <v>0</v>
      </c>
      <c r="E23" s="113">
        <f>ROUND(C23*D23,2)</f>
        <v>0</v>
      </c>
      <c r="F23" s="110"/>
      <c r="G23" s="160">
        <f>+G22+I22</f>
        <v>0</v>
      </c>
      <c r="H23" s="188">
        <f>'SUB CPIF RATES (ALL)'!D38</f>
        <v>0</v>
      </c>
      <c r="I23" s="113">
        <f>ROUND(G23*H23,2)</f>
        <v>0</v>
      </c>
      <c r="J23" s="110"/>
      <c r="K23" s="160">
        <f>+K22+M22</f>
        <v>0</v>
      </c>
      <c r="L23" s="188">
        <f>'SUB CPIF RATES (ALL)'!E38</f>
        <v>0</v>
      </c>
      <c r="M23" s="113">
        <f>ROUND(K23*L23,2)</f>
        <v>0</v>
      </c>
      <c r="N23" s="110"/>
      <c r="O23" s="160">
        <f>+O22+Q22</f>
        <v>0</v>
      </c>
      <c r="P23" s="188">
        <f>'SUB CPIF RATES (ALL)'!F38</f>
        <v>0</v>
      </c>
      <c r="Q23" s="113">
        <f>ROUND(O23*P23,2)</f>
        <v>0</v>
      </c>
    </row>
    <row r="24" spans="1:17" x14ac:dyDescent="0.25">
      <c r="A24" s="138"/>
      <c r="B24" s="112" t="str">
        <f>'SUB CPIF RATES (ALL)'!B39</f>
        <v>Indirect Labor Category: [FCCOM]</v>
      </c>
      <c r="C24" s="160">
        <f>C23+E23</f>
        <v>0</v>
      </c>
      <c r="D24" s="188">
        <f>'SUB CPIF RATES (ALL)'!C39</f>
        <v>0</v>
      </c>
      <c r="E24" s="113">
        <f>ROUND(C24*D24,2)</f>
        <v>0</v>
      </c>
      <c r="F24" s="110"/>
      <c r="G24" s="160">
        <f>G23+I23</f>
        <v>0</v>
      </c>
      <c r="H24" s="188">
        <f>'SUB CPIF RATES (ALL)'!D39</f>
        <v>0</v>
      </c>
      <c r="I24" s="113">
        <f>ROUND(G24*H24,2)</f>
        <v>0</v>
      </c>
      <c r="J24" s="110"/>
      <c r="K24" s="160">
        <f>K23+M23</f>
        <v>0</v>
      </c>
      <c r="L24" s="188">
        <f>'SUB CPIF RATES (ALL)'!E39</f>
        <v>0</v>
      </c>
      <c r="M24" s="113">
        <f>ROUND(K24*L24,2)</f>
        <v>0</v>
      </c>
      <c r="N24" s="110"/>
      <c r="O24" s="160">
        <f>O23+Q23</f>
        <v>0</v>
      </c>
      <c r="P24" s="188">
        <f>'SUB CPIF RATES (ALL)'!F39</f>
        <v>0</v>
      </c>
      <c r="Q24" s="113">
        <f>ROUND(O24*P24,2)</f>
        <v>0</v>
      </c>
    </row>
    <row r="25" spans="1:17" x14ac:dyDescent="0.25">
      <c r="A25" s="138"/>
      <c r="B25" s="112" t="str">
        <f>'SUB CPIF RATES (ALL)'!B40</f>
        <v>Indirect Labor Category: [Target Fee]</v>
      </c>
      <c r="C25" s="160">
        <f>+C23+E23</f>
        <v>0</v>
      </c>
      <c r="D25" s="188">
        <f>'SUB CPIF RATES (ALL)'!C40</f>
        <v>0</v>
      </c>
      <c r="E25" s="113">
        <f>ROUND(C25*D25,2)</f>
        <v>0</v>
      </c>
      <c r="F25" s="110"/>
      <c r="G25" s="160">
        <f>+G23+I23</f>
        <v>0</v>
      </c>
      <c r="H25" s="188">
        <f>'SUB CPIF RATES (ALL)'!D40</f>
        <v>0</v>
      </c>
      <c r="I25" s="113">
        <f>ROUND(G25*H25,2)</f>
        <v>0</v>
      </c>
      <c r="J25" s="110"/>
      <c r="K25" s="160">
        <f>+K23+M23</f>
        <v>0</v>
      </c>
      <c r="L25" s="188">
        <f>'SUB CPIF RATES (ALL)'!E40</f>
        <v>0</v>
      </c>
      <c r="M25" s="113">
        <f>ROUND(K25*L25,2)</f>
        <v>0</v>
      </c>
      <c r="N25" s="110"/>
      <c r="O25" s="160">
        <f>+O23+Q23</f>
        <v>0</v>
      </c>
      <c r="P25" s="188">
        <f>'SUB CPIF RATES (ALL)'!F40</f>
        <v>0</v>
      </c>
      <c r="Q25" s="113">
        <f>ROUND(O25*P25,2)</f>
        <v>0</v>
      </c>
    </row>
    <row r="26" spans="1:17" x14ac:dyDescent="0.25">
      <c r="A26" s="138"/>
      <c r="B26" s="205" t="s">
        <v>185</v>
      </c>
      <c r="C26" s="155"/>
      <c r="D26" s="156"/>
      <c r="E26" s="175">
        <f>ROUND(SUM(E18,E21,E22,E23),2)</f>
        <v>0</v>
      </c>
      <c r="F26" s="110"/>
      <c r="G26" s="151"/>
      <c r="H26" s="152"/>
      <c r="I26" s="175">
        <f>ROUND(SUM(I18,I21,I22,I23),2)</f>
        <v>0</v>
      </c>
      <c r="J26" s="110"/>
      <c r="K26" s="151"/>
      <c r="L26" s="152"/>
      <c r="M26" s="175">
        <f>ROUND(SUM(M18,M21,M22,M23),2)</f>
        <v>0</v>
      </c>
      <c r="N26" s="110"/>
      <c r="O26" s="151"/>
      <c r="P26" s="152"/>
      <c r="Q26" s="175">
        <f>ROUND(SUM(Q18,Q21,Q22,Q23),2)</f>
        <v>0</v>
      </c>
    </row>
    <row r="27" spans="1:17" x14ac:dyDescent="0.25">
      <c r="A27" s="138"/>
      <c r="B27" s="205" t="s">
        <v>72</v>
      </c>
      <c r="C27" s="155"/>
      <c r="D27" s="156"/>
      <c r="E27" s="175">
        <f>ROUND(E24,2)</f>
        <v>0</v>
      </c>
      <c r="F27" s="110"/>
      <c r="G27" s="151"/>
      <c r="H27" s="152"/>
      <c r="I27" s="175">
        <f>ROUND(I24,2)</f>
        <v>0</v>
      </c>
      <c r="J27" s="110"/>
      <c r="K27" s="151"/>
      <c r="L27" s="152"/>
      <c r="M27" s="175">
        <f>ROUND(M24,2)</f>
        <v>0</v>
      </c>
      <c r="N27" s="110"/>
      <c r="O27" s="151"/>
      <c r="P27" s="152"/>
      <c r="Q27" s="175">
        <f>ROUND(Q24,2)</f>
        <v>0</v>
      </c>
    </row>
    <row r="28" spans="1:17" x14ac:dyDescent="0.25">
      <c r="A28" s="138"/>
      <c r="B28" s="205" t="s">
        <v>71</v>
      </c>
      <c r="C28" s="155"/>
      <c r="D28" s="156"/>
      <c r="E28" s="190">
        <f>ROUND(E25,2)</f>
        <v>0</v>
      </c>
      <c r="F28" s="115"/>
      <c r="G28" s="151"/>
      <c r="H28" s="152"/>
      <c r="I28" s="190">
        <f>ROUND(I25,2)</f>
        <v>0</v>
      </c>
      <c r="J28" s="115"/>
      <c r="K28" s="151"/>
      <c r="L28" s="152"/>
      <c r="M28" s="190">
        <f>ROUND(M25,2)</f>
        <v>0</v>
      </c>
      <c r="N28" s="115"/>
      <c r="O28" s="151"/>
      <c r="P28" s="152"/>
      <c r="Q28" s="190">
        <f>ROUND(Q25,2)</f>
        <v>0</v>
      </c>
    </row>
    <row r="29" spans="1:17" ht="16.5" thickBot="1" x14ac:dyDescent="0.3">
      <c r="A29" s="138"/>
      <c r="B29" s="206" t="s">
        <v>73</v>
      </c>
      <c r="C29" s="157"/>
      <c r="D29" s="158"/>
      <c r="E29" s="191">
        <f>SUM(E26:E28)</f>
        <v>0</v>
      </c>
      <c r="F29" s="116"/>
      <c r="G29" s="153"/>
      <c r="H29" s="154"/>
      <c r="I29" s="191">
        <f>SUM(I26:I28)</f>
        <v>0</v>
      </c>
      <c r="J29" s="116"/>
      <c r="K29" s="153"/>
      <c r="L29" s="154"/>
      <c r="M29" s="191">
        <f>SUM(M26:M28)</f>
        <v>0</v>
      </c>
      <c r="N29" s="116"/>
      <c r="O29" s="153"/>
      <c r="P29" s="154"/>
      <c r="Q29" s="191">
        <f>SUM(Q26:Q28)</f>
        <v>0</v>
      </c>
    </row>
    <row r="30" spans="1:17" ht="16.5" thickBot="1" x14ac:dyDescent="0.3">
      <c r="A30" s="138"/>
      <c r="B30" s="117"/>
      <c r="C30" s="118"/>
      <c r="D30" s="118"/>
      <c r="E30" s="199"/>
      <c r="F30" s="199"/>
      <c r="G30" s="199"/>
      <c r="H30" s="199"/>
      <c r="I30" s="199"/>
      <c r="J30" s="199"/>
      <c r="K30" s="199"/>
      <c r="L30" s="118"/>
      <c r="M30" s="118"/>
      <c r="N30" s="110"/>
      <c r="O30" s="199"/>
      <c r="P30" s="118"/>
      <c r="Q30" s="118"/>
    </row>
    <row r="31" spans="1:17" ht="16.5" customHeight="1" thickBot="1" x14ac:dyDescent="0.3">
      <c r="A31" s="138"/>
      <c r="B31" s="523" t="str">
        <f>B14</f>
        <v>CLIN 0002 (CPIF)                                                    TASK 1.02 MATERIAL -1 SIMULATOR KIT</v>
      </c>
      <c r="C31" s="490" t="s">
        <v>80</v>
      </c>
      <c r="D31" s="491"/>
      <c r="E31" s="492"/>
      <c r="F31" s="120"/>
      <c r="G31" s="490" t="s">
        <v>80</v>
      </c>
      <c r="H31" s="491"/>
      <c r="I31" s="492"/>
      <c r="J31" s="120"/>
      <c r="K31" s="490" t="s">
        <v>80</v>
      </c>
      <c r="L31" s="491"/>
      <c r="M31" s="492"/>
      <c r="N31" s="120"/>
      <c r="O31" s="490" t="s">
        <v>80</v>
      </c>
      <c r="P31" s="491"/>
      <c r="Q31" s="492"/>
    </row>
    <row r="32" spans="1:17" ht="32.25" customHeight="1" thickBot="1" x14ac:dyDescent="0.3">
      <c r="A32" s="138"/>
      <c r="B32" s="524"/>
      <c r="C32" s="520" t="str">
        <f>C15</f>
        <v>CLIN 0002 - Basic Period (Year 1)</v>
      </c>
      <c r="D32" s="521"/>
      <c r="E32" s="522"/>
      <c r="F32" s="121"/>
      <c r="G32" s="520" t="str">
        <f>G15</f>
        <v>CLIN 0002 - Basic Period (Year 2)</v>
      </c>
      <c r="H32" s="521"/>
      <c r="I32" s="522"/>
      <c r="J32" s="121"/>
      <c r="K32" s="520" t="str">
        <f>K15</f>
        <v>CLIN 0002 - Basic Period (Year 3)</v>
      </c>
      <c r="L32" s="521"/>
      <c r="M32" s="522"/>
      <c r="N32" s="121"/>
      <c r="O32" s="520" t="str">
        <f>O15</f>
        <v>CLIN 0002 - Basic Period (Year 4)</v>
      </c>
      <c r="P32" s="521"/>
      <c r="Q32" s="522"/>
    </row>
    <row r="33" spans="1:17" x14ac:dyDescent="0.25">
      <c r="A33" s="138"/>
      <c r="B33" s="192"/>
      <c r="C33" s="98" t="s">
        <v>289</v>
      </c>
      <c r="D33" s="99" t="s">
        <v>286</v>
      </c>
      <c r="E33" s="100" t="s">
        <v>88</v>
      </c>
      <c r="F33" s="111"/>
      <c r="G33" s="98" t="s">
        <v>289</v>
      </c>
      <c r="H33" s="99" t="s">
        <v>286</v>
      </c>
      <c r="I33" s="100" t="s">
        <v>88</v>
      </c>
      <c r="J33" s="111"/>
      <c r="K33" s="98" t="s">
        <v>289</v>
      </c>
      <c r="L33" s="99" t="s">
        <v>286</v>
      </c>
      <c r="M33" s="100" t="s">
        <v>88</v>
      </c>
      <c r="N33" s="111"/>
      <c r="O33" s="98" t="s">
        <v>289</v>
      </c>
      <c r="P33" s="99" t="s">
        <v>286</v>
      </c>
      <c r="Q33" s="100" t="s">
        <v>88</v>
      </c>
    </row>
    <row r="34" spans="1:17" ht="51.75" x14ac:dyDescent="0.25">
      <c r="A34" s="138"/>
      <c r="B34" s="240" t="s">
        <v>445</v>
      </c>
      <c r="C34" s="176"/>
      <c r="D34" s="177"/>
      <c r="E34" s="310">
        <f>'SUB CPIF TOTAL MATERIAL'!E26</f>
        <v>0</v>
      </c>
      <c r="F34" s="110"/>
      <c r="G34" s="176"/>
      <c r="H34" s="177"/>
      <c r="I34" s="310">
        <f>'SUB CPIF TOTAL MATERIAL'!G26</f>
        <v>0</v>
      </c>
      <c r="J34" s="110"/>
      <c r="K34" s="176"/>
      <c r="L34" s="177"/>
      <c r="M34" s="310">
        <f>'SUB CPIF TOTAL MATERIAL'!I26</f>
        <v>0</v>
      </c>
      <c r="N34" s="110"/>
      <c r="O34" s="176"/>
      <c r="P34" s="177"/>
      <c r="Q34" s="310">
        <f>'SUB CPIF TOTAL MATERIAL'!K26</f>
        <v>0</v>
      </c>
    </row>
    <row r="35" spans="1:17" ht="67.5" customHeight="1" x14ac:dyDescent="0.25">
      <c r="A35" s="138"/>
      <c r="B35" s="261" t="s">
        <v>446</v>
      </c>
      <c r="C35" s="315"/>
      <c r="D35" s="316"/>
      <c r="E35" s="310"/>
      <c r="F35" s="110"/>
      <c r="G35" s="315"/>
      <c r="H35" s="316"/>
      <c r="I35" s="310"/>
      <c r="J35" s="110"/>
      <c r="K35" s="315"/>
      <c r="L35" s="316"/>
      <c r="M35" s="310"/>
      <c r="N35" s="110"/>
      <c r="O35" s="315"/>
      <c r="P35" s="316"/>
      <c r="Q35" s="310"/>
    </row>
    <row r="36" spans="1:17" x14ac:dyDescent="0.25">
      <c r="A36" s="138"/>
      <c r="B36" s="112" t="str">
        <f>'SUB CPIF RATES (ALL)'!B53</f>
        <v>Indirect Category: [Material Overhead]</v>
      </c>
      <c r="C36" s="160">
        <f>+E34</f>
        <v>0</v>
      </c>
      <c r="D36" s="188">
        <f>'SUB CPIF RATES (ALL)'!C53</f>
        <v>0</v>
      </c>
      <c r="E36" s="113">
        <f>ROUND(C36*D36,2)</f>
        <v>0</v>
      </c>
      <c r="F36" s="123"/>
      <c r="G36" s="160">
        <f>+I34</f>
        <v>0</v>
      </c>
      <c r="H36" s="188">
        <f>'SUB CPIF RATES (ALL)'!D53</f>
        <v>0</v>
      </c>
      <c r="I36" s="113">
        <f>ROUND(G36*H36,2)</f>
        <v>0</v>
      </c>
      <c r="J36" s="123"/>
      <c r="K36" s="160">
        <f>+M34</f>
        <v>0</v>
      </c>
      <c r="L36" s="188">
        <f>'SUB CPIF RATES (ALL)'!E53</f>
        <v>0</v>
      </c>
      <c r="M36" s="113">
        <f>ROUND(K36*L36,2)</f>
        <v>0</v>
      </c>
      <c r="N36" s="123"/>
      <c r="O36" s="160">
        <f>+Q34</f>
        <v>0</v>
      </c>
      <c r="P36" s="188">
        <f>'SUB CPIF RATES (ALL)'!F53</f>
        <v>0</v>
      </c>
      <c r="Q36" s="113">
        <f>ROUND(O36*P36,2)</f>
        <v>0</v>
      </c>
    </row>
    <row r="37" spans="1:17" x14ac:dyDescent="0.25">
      <c r="A37" s="138"/>
      <c r="B37" s="112" t="str">
        <f>'SUB CPIF RATES (ALL)'!B54</f>
        <v>Indirect Category: [G&amp;A]</v>
      </c>
      <c r="C37" s="160">
        <f>+C36+E36</f>
        <v>0</v>
      </c>
      <c r="D37" s="188">
        <f>'SUB CPIF RATES (ALL)'!C54</f>
        <v>0</v>
      </c>
      <c r="E37" s="113">
        <f>ROUND(C37*D37,2)</f>
        <v>0</v>
      </c>
      <c r="F37" s="123"/>
      <c r="G37" s="160">
        <f>+G36+I36</f>
        <v>0</v>
      </c>
      <c r="H37" s="188">
        <f>'SUB CPIF RATES (ALL)'!D54</f>
        <v>0</v>
      </c>
      <c r="I37" s="113">
        <f>ROUND(G37*H37,2)</f>
        <v>0</v>
      </c>
      <c r="J37" s="123"/>
      <c r="K37" s="160">
        <f>+K36+M36</f>
        <v>0</v>
      </c>
      <c r="L37" s="188">
        <f>'SUB CPIF RATES (ALL)'!E54</f>
        <v>0</v>
      </c>
      <c r="M37" s="113">
        <f>ROUND(K37*L37,2)</f>
        <v>0</v>
      </c>
      <c r="N37" s="123"/>
      <c r="O37" s="160">
        <f>+O36+Q36</f>
        <v>0</v>
      </c>
      <c r="P37" s="188">
        <f>'SUB CPIF RATES (ALL)'!F54</f>
        <v>0</v>
      </c>
      <c r="Q37" s="113">
        <f>ROUND(O37*P37,2)</f>
        <v>0</v>
      </c>
    </row>
    <row r="38" spans="1:17" x14ac:dyDescent="0.25">
      <c r="A38" s="138"/>
      <c r="B38" s="112" t="str">
        <f>'SUB CPIF RATES (ALL)'!B55</f>
        <v>Indirect Category: [FCCOM]</v>
      </c>
      <c r="C38" s="160">
        <f>C37+E37</f>
        <v>0</v>
      </c>
      <c r="D38" s="188">
        <f>'SUB CPIF RATES (ALL)'!C55</f>
        <v>0</v>
      </c>
      <c r="E38" s="113">
        <f>ROUND(C38*D38,2)</f>
        <v>0</v>
      </c>
      <c r="F38" s="110"/>
      <c r="G38" s="160">
        <f>G37+I37</f>
        <v>0</v>
      </c>
      <c r="H38" s="188">
        <f>'SUB CPIF RATES (ALL)'!D55</f>
        <v>0</v>
      </c>
      <c r="I38" s="113">
        <f>ROUND(G38*H38,2)</f>
        <v>0</v>
      </c>
      <c r="J38" s="110"/>
      <c r="K38" s="160">
        <f>K37+M37</f>
        <v>0</v>
      </c>
      <c r="L38" s="188">
        <f>'SUB CPIF RATES (ALL)'!E55</f>
        <v>0</v>
      </c>
      <c r="M38" s="113">
        <f>ROUND(K38*L38,2)</f>
        <v>0</v>
      </c>
      <c r="N38" s="110"/>
      <c r="O38" s="160">
        <f>O37+Q37</f>
        <v>0</v>
      </c>
      <c r="P38" s="188">
        <f>'SUB CPIF RATES (ALL)'!F55</f>
        <v>0</v>
      </c>
      <c r="Q38" s="113">
        <f>ROUND(O38*P38,2)</f>
        <v>0</v>
      </c>
    </row>
    <row r="39" spans="1:17" x14ac:dyDescent="0.25">
      <c r="A39" s="138"/>
      <c r="B39" s="112" t="str">
        <f>'SUB CPIF RATES (ALL)'!B56</f>
        <v>Indirect Category: [Target Fee]</v>
      </c>
      <c r="C39" s="160">
        <f>+C37+E37</f>
        <v>0</v>
      </c>
      <c r="D39" s="188">
        <f>'SUB CPIF RATES (ALL)'!C56</f>
        <v>0</v>
      </c>
      <c r="E39" s="113">
        <f>ROUND(C39*D39,2)</f>
        <v>0</v>
      </c>
      <c r="F39" s="110"/>
      <c r="G39" s="160">
        <f>+G37+I37</f>
        <v>0</v>
      </c>
      <c r="H39" s="188">
        <f>'SUB CPIF RATES (ALL)'!D56</f>
        <v>0</v>
      </c>
      <c r="I39" s="113">
        <f>ROUND(G39*H39,2)</f>
        <v>0</v>
      </c>
      <c r="J39" s="110"/>
      <c r="K39" s="160">
        <f>+K37+M37</f>
        <v>0</v>
      </c>
      <c r="L39" s="188">
        <f>'SUB CPIF RATES (ALL)'!E56</f>
        <v>0</v>
      </c>
      <c r="M39" s="113">
        <f>ROUND(K39*L39,2)</f>
        <v>0</v>
      </c>
      <c r="N39" s="110"/>
      <c r="O39" s="160">
        <f>+O37+Q37</f>
        <v>0</v>
      </c>
      <c r="P39" s="188">
        <f>'SUB CPIF RATES (ALL)'!F56</f>
        <v>0</v>
      </c>
      <c r="Q39" s="113">
        <f>ROUND(O39*P39,2)</f>
        <v>0</v>
      </c>
    </row>
    <row r="40" spans="1:17" x14ac:dyDescent="0.25">
      <c r="A40" s="138"/>
      <c r="B40" s="186" t="s">
        <v>186</v>
      </c>
      <c r="C40" s="178"/>
      <c r="D40" s="179"/>
      <c r="E40" s="113">
        <f>+ROUND(SUM(E34:E37),2)</f>
        <v>0</v>
      </c>
      <c r="F40" s="110"/>
      <c r="G40" s="178"/>
      <c r="H40" s="179"/>
      <c r="I40" s="113">
        <f>+ROUND(SUM(I34:I37),2)</f>
        <v>0</v>
      </c>
      <c r="J40" s="110"/>
      <c r="K40" s="178"/>
      <c r="L40" s="179"/>
      <c r="M40" s="113">
        <f>+ROUND(SUM(M34:M37),2)</f>
        <v>0</v>
      </c>
      <c r="N40" s="110"/>
      <c r="O40" s="178"/>
      <c r="P40" s="179"/>
      <c r="Q40" s="113">
        <f>+ROUND(SUM(Q34:Q37),2)</f>
        <v>0</v>
      </c>
    </row>
    <row r="41" spans="1:17" x14ac:dyDescent="0.25">
      <c r="A41" s="138"/>
      <c r="B41" s="186" t="s">
        <v>72</v>
      </c>
      <c r="C41" s="176"/>
      <c r="D41" s="180"/>
      <c r="E41" s="113">
        <f>+ROUND(E38,2)</f>
        <v>0</v>
      </c>
      <c r="F41" s="110"/>
      <c r="G41" s="176"/>
      <c r="H41" s="180"/>
      <c r="I41" s="113">
        <f>+ROUND(I38,2)</f>
        <v>0</v>
      </c>
      <c r="J41" s="110"/>
      <c r="K41" s="176"/>
      <c r="L41" s="180"/>
      <c r="M41" s="113">
        <f>+ROUND(M38,2)</f>
        <v>0</v>
      </c>
      <c r="N41" s="110"/>
      <c r="O41" s="176"/>
      <c r="P41" s="180"/>
      <c r="Q41" s="113">
        <f>+ROUND(Q38,2)</f>
        <v>0</v>
      </c>
    </row>
    <row r="42" spans="1:17" x14ac:dyDescent="0.2">
      <c r="B42" s="186" t="s">
        <v>71</v>
      </c>
      <c r="C42" s="176"/>
      <c r="D42" s="180"/>
      <c r="E42" s="127">
        <f>+ROUND(E39,2)</f>
        <v>0</v>
      </c>
      <c r="F42" s="128"/>
      <c r="G42" s="176"/>
      <c r="H42" s="180"/>
      <c r="I42" s="127">
        <f>+ROUND(I39,2)</f>
        <v>0</v>
      </c>
      <c r="J42" s="128"/>
      <c r="K42" s="176"/>
      <c r="L42" s="180"/>
      <c r="M42" s="127">
        <f>+ROUND(M39,2)</f>
        <v>0</v>
      </c>
      <c r="N42" s="128"/>
      <c r="O42" s="176"/>
      <c r="P42" s="180"/>
      <c r="Q42" s="127">
        <f>+ROUND(Q39,2)</f>
        <v>0</v>
      </c>
    </row>
    <row r="43" spans="1:17" ht="16.5" thickBot="1" x14ac:dyDescent="0.25">
      <c r="B43" s="187" t="s">
        <v>173</v>
      </c>
      <c r="C43" s="181"/>
      <c r="D43" s="182"/>
      <c r="E43" s="105">
        <f t="shared" ref="E43" si="0">SUM(E40:E42)</f>
        <v>0</v>
      </c>
      <c r="F43" s="106"/>
      <c r="G43" s="181"/>
      <c r="H43" s="182"/>
      <c r="I43" s="105">
        <f t="shared" ref="I43" si="1">SUM(I40:I42)</f>
        <v>0</v>
      </c>
      <c r="J43" s="106"/>
      <c r="K43" s="181"/>
      <c r="L43" s="182"/>
      <c r="M43" s="105">
        <f t="shared" ref="M43" si="2">SUM(M40:M42)</f>
        <v>0</v>
      </c>
      <c r="N43" s="106"/>
      <c r="O43" s="181"/>
      <c r="P43" s="182"/>
      <c r="Q43" s="105">
        <f t="shared" ref="Q43" si="3">SUM(Q40:Q42)</f>
        <v>0</v>
      </c>
    </row>
    <row r="44" spans="1:17" ht="12.75" customHeight="1" thickBot="1" x14ac:dyDescent="0.25">
      <c r="B44" s="117"/>
      <c r="E44" s="194"/>
      <c r="F44" s="194"/>
      <c r="G44" s="194"/>
      <c r="H44" s="194"/>
      <c r="I44" s="194"/>
      <c r="J44" s="194"/>
      <c r="K44" s="194"/>
      <c r="N44" s="132"/>
      <c r="O44" s="194"/>
    </row>
    <row r="45" spans="1:17" ht="16.5" thickBot="1" x14ac:dyDescent="0.3">
      <c r="B45" s="523" t="str">
        <f>B14</f>
        <v>CLIN 0002 (CPIF)                                                    TASK 1.02 MATERIAL -1 SIMULATOR KIT</v>
      </c>
      <c r="C45" s="490" t="s">
        <v>212</v>
      </c>
      <c r="D45" s="491"/>
      <c r="E45" s="492"/>
      <c r="F45" s="120"/>
      <c r="G45" s="490" t="s">
        <v>212</v>
      </c>
      <c r="H45" s="491"/>
      <c r="I45" s="492"/>
      <c r="J45" s="120"/>
      <c r="K45" s="490" t="s">
        <v>212</v>
      </c>
      <c r="L45" s="491"/>
      <c r="M45" s="492"/>
      <c r="N45" s="120"/>
      <c r="O45" s="490" t="s">
        <v>212</v>
      </c>
      <c r="P45" s="491"/>
      <c r="Q45" s="492"/>
    </row>
    <row r="46" spans="1:17" ht="27.75" customHeight="1" thickBot="1" x14ac:dyDescent="0.3">
      <c r="B46" s="524"/>
      <c r="C46" s="520" t="str">
        <f>C32</f>
        <v>CLIN 0002 - Basic Period (Year 1)</v>
      </c>
      <c r="D46" s="521"/>
      <c r="E46" s="522"/>
      <c r="F46" s="121"/>
      <c r="G46" s="520" t="str">
        <f>G32</f>
        <v>CLIN 0002 - Basic Period (Year 2)</v>
      </c>
      <c r="H46" s="521"/>
      <c r="I46" s="522"/>
      <c r="J46" s="121"/>
      <c r="K46" s="520" t="str">
        <f>K32</f>
        <v>CLIN 0002 - Basic Period (Year 3)</v>
      </c>
      <c r="L46" s="521"/>
      <c r="M46" s="522"/>
      <c r="N46" s="121"/>
      <c r="O46" s="520" t="str">
        <f>O32</f>
        <v>CLIN 0002 - Basic Period (Year 4)</v>
      </c>
      <c r="P46" s="521"/>
      <c r="Q46" s="522"/>
    </row>
    <row r="47" spans="1:17" x14ac:dyDescent="0.25">
      <c r="B47" s="193"/>
      <c r="C47" s="98" t="s">
        <v>289</v>
      </c>
      <c r="D47" s="99" t="s">
        <v>286</v>
      </c>
      <c r="E47" s="100" t="s">
        <v>287</v>
      </c>
      <c r="F47" s="111"/>
      <c r="G47" s="98" t="s">
        <v>289</v>
      </c>
      <c r="H47" s="99" t="s">
        <v>286</v>
      </c>
      <c r="I47" s="100" t="s">
        <v>287</v>
      </c>
      <c r="J47" s="111"/>
      <c r="K47" s="98" t="s">
        <v>289</v>
      </c>
      <c r="L47" s="99" t="s">
        <v>286</v>
      </c>
      <c r="M47" s="100" t="s">
        <v>287</v>
      </c>
      <c r="N47" s="111"/>
      <c r="O47" s="98" t="s">
        <v>289</v>
      </c>
      <c r="P47" s="99" t="s">
        <v>286</v>
      </c>
      <c r="Q47" s="100" t="s">
        <v>287</v>
      </c>
    </row>
    <row r="48" spans="1:17" ht="25.5" x14ac:dyDescent="0.2">
      <c r="B48" s="240" t="s">
        <v>447</v>
      </c>
      <c r="C48" s="226"/>
      <c r="D48" s="226"/>
      <c r="E48" s="262">
        <f>'SUB CPIF TOTAL SUB'!E26</f>
        <v>0</v>
      </c>
      <c r="F48" s="229"/>
      <c r="G48" s="176"/>
      <c r="H48" s="226"/>
      <c r="I48" s="262">
        <f>'SUB CPIF TOTAL SUB'!G26</f>
        <v>0</v>
      </c>
      <c r="J48" s="229"/>
      <c r="K48" s="176"/>
      <c r="L48" s="226"/>
      <c r="M48" s="262">
        <f>'SUB CPIF TOTAL SUB'!I26</f>
        <v>0</v>
      </c>
      <c r="N48" s="110"/>
      <c r="O48" s="176"/>
      <c r="P48" s="226"/>
      <c r="Q48" s="262">
        <f>'SUB CPIF TOTAL SUB'!K26</f>
        <v>0</v>
      </c>
    </row>
    <row r="49" spans="1:17" ht="76.5" x14ac:dyDescent="0.2">
      <c r="B49" s="261" t="s">
        <v>448</v>
      </c>
      <c r="C49" s="527" t="s">
        <v>1</v>
      </c>
      <c r="D49" s="528"/>
      <c r="E49" s="529"/>
      <c r="F49" s="123"/>
      <c r="G49" s="530"/>
      <c r="H49" s="528"/>
      <c r="I49" s="529"/>
      <c r="J49" s="123"/>
      <c r="K49" s="530"/>
      <c r="L49" s="528"/>
      <c r="M49" s="529"/>
      <c r="N49" s="123"/>
      <c r="O49" s="530"/>
      <c r="P49" s="528"/>
      <c r="Q49" s="529"/>
    </row>
    <row r="50" spans="1:17" x14ac:dyDescent="0.2">
      <c r="B50" s="228" t="str">
        <f>'SUB CPIF RATES (ALL)'!B45</f>
        <v>Indirect Category: [Overhead]</v>
      </c>
      <c r="C50" s="227">
        <f>E48</f>
        <v>0</v>
      </c>
      <c r="D50" s="188">
        <f>'SUB CPIF RATES (ALL)'!C45</f>
        <v>0</v>
      </c>
      <c r="E50" s="113">
        <f>ROUND(C50*D50,2)</f>
        <v>0</v>
      </c>
      <c r="F50" s="123"/>
      <c r="G50" s="160">
        <f>I48</f>
        <v>0</v>
      </c>
      <c r="H50" s="188">
        <f>'SUB CPIF RATES (ALL)'!D45</f>
        <v>0</v>
      </c>
      <c r="I50" s="113">
        <f>ROUND(G50*H50,2)</f>
        <v>0</v>
      </c>
      <c r="J50" s="123"/>
      <c r="K50" s="160">
        <f>M48</f>
        <v>0</v>
      </c>
      <c r="L50" s="188">
        <f>'SUB CPIF RATES (ALL)'!E45</f>
        <v>0</v>
      </c>
      <c r="M50" s="113">
        <f>ROUND(K50*L50,2)</f>
        <v>0</v>
      </c>
      <c r="N50" s="123"/>
      <c r="O50" s="160">
        <f>Q48</f>
        <v>0</v>
      </c>
      <c r="P50" s="188">
        <f>'SUB CPIF RATES (ALL)'!F45</f>
        <v>0</v>
      </c>
      <c r="Q50" s="113">
        <f>ROUND(O50*P50,2)</f>
        <v>0</v>
      </c>
    </row>
    <row r="51" spans="1:17" x14ac:dyDescent="0.2">
      <c r="B51" s="228" t="str">
        <f>'SUB CPIF RATES (ALL)'!B46</f>
        <v>Indirect Category: [G&amp;A]</v>
      </c>
      <c r="C51" s="227">
        <f>C50+E50</f>
        <v>0</v>
      </c>
      <c r="D51" s="188">
        <f>'SUB CPIF RATES (ALL)'!C46</f>
        <v>0</v>
      </c>
      <c r="E51" s="113">
        <f>ROUND(C51*D51,2)</f>
        <v>0</v>
      </c>
      <c r="F51" s="229"/>
      <c r="G51" s="227">
        <f>G50+I50</f>
        <v>0</v>
      </c>
      <c r="H51" s="188">
        <f>'SUB CPIF RATES (ALL)'!D46</f>
        <v>0</v>
      </c>
      <c r="I51" s="113">
        <f>ROUND(G51*H51,2)</f>
        <v>0</v>
      </c>
      <c r="J51" s="229"/>
      <c r="K51" s="227">
        <f>K50+M50</f>
        <v>0</v>
      </c>
      <c r="L51" s="188">
        <f>'SUB CPIF RATES (ALL)'!E46</f>
        <v>0</v>
      </c>
      <c r="M51" s="113">
        <f>ROUND(K51*L51,2)</f>
        <v>0</v>
      </c>
      <c r="N51" s="110"/>
      <c r="O51" s="227">
        <f>O50+Q50</f>
        <v>0</v>
      </c>
      <c r="P51" s="188">
        <f>'SUB CPIF RATES (ALL)'!F46</f>
        <v>0</v>
      </c>
      <c r="Q51" s="113">
        <f>ROUND(O51*P51,2)</f>
        <v>0</v>
      </c>
    </row>
    <row r="52" spans="1:17" x14ac:dyDescent="0.2">
      <c r="B52" s="266" t="str">
        <f>'SUB CPIF RATES (ALL)'!B47</f>
        <v>Indirect Category: [FCCOM]</v>
      </c>
      <c r="C52" s="160">
        <f>C51+E51</f>
        <v>0</v>
      </c>
      <c r="D52" s="188">
        <f>'SUB CPIF RATES (ALL)'!C47</f>
        <v>0</v>
      </c>
      <c r="E52" s="268">
        <f>ROUND(C52*D52,2)</f>
        <v>0</v>
      </c>
      <c r="F52" s="229"/>
      <c r="G52" s="160">
        <f>G51+I51</f>
        <v>0</v>
      </c>
      <c r="H52" s="188">
        <f>'SUB CPIF RATES (ALL)'!D47</f>
        <v>0</v>
      </c>
      <c r="I52" s="268">
        <f>ROUND(G52*H52,2)</f>
        <v>0</v>
      </c>
      <c r="J52" s="229"/>
      <c r="K52" s="160">
        <f>K51+M51</f>
        <v>0</v>
      </c>
      <c r="L52" s="188">
        <f>'SUB CPIF RATES (ALL)'!E47</f>
        <v>0</v>
      </c>
      <c r="M52" s="113">
        <f>ROUND(K52*L52,2)</f>
        <v>0</v>
      </c>
      <c r="N52" s="110"/>
      <c r="O52" s="160">
        <f>O51+Q51</f>
        <v>0</v>
      </c>
      <c r="P52" s="188">
        <f>'SUB CPIF RATES (ALL)'!F47</f>
        <v>0</v>
      </c>
      <c r="Q52" s="113">
        <f>ROUND(O52*P52,2)</f>
        <v>0</v>
      </c>
    </row>
    <row r="53" spans="1:17" x14ac:dyDescent="0.2">
      <c r="B53" s="112" t="str">
        <f>'SUB CPIF RATES (ALL)'!B48</f>
        <v>Indirect Category: [Target Fee]</v>
      </c>
      <c r="C53" s="159">
        <f>C51+E51</f>
        <v>0</v>
      </c>
      <c r="D53" s="269">
        <f>'SUB CPIF RATES (ALL)'!C48</f>
        <v>0</v>
      </c>
      <c r="E53" s="268">
        <f>ROUND(C53*D53,2)</f>
        <v>0</v>
      </c>
      <c r="F53" s="229"/>
      <c r="G53" s="159">
        <f>G51+I51</f>
        <v>0</v>
      </c>
      <c r="H53" s="269">
        <f>'SUB CPIF RATES (ALL)'!D48</f>
        <v>0</v>
      </c>
      <c r="I53" s="268">
        <f>ROUND(G53*H53,2)</f>
        <v>0</v>
      </c>
      <c r="J53" s="229"/>
      <c r="K53" s="159">
        <f>K51+M51</f>
        <v>0</v>
      </c>
      <c r="L53" s="269">
        <f>'SUB CPIF RATES (ALL)'!E48</f>
        <v>0</v>
      </c>
      <c r="M53" s="268">
        <f>ROUND(K53*L53,2)</f>
        <v>0</v>
      </c>
      <c r="N53" s="110"/>
      <c r="O53" s="159">
        <f>O51+Q51</f>
        <v>0</v>
      </c>
      <c r="P53" s="269">
        <f>'SUB CPIF RATES (ALL)'!F48</f>
        <v>0</v>
      </c>
      <c r="Q53" s="268">
        <f>ROUND(O53*P53,2)</f>
        <v>0</v>
      </c>
    </row>
    <row r="54" spans="1:17" x14ac:dyDescent="0.2">
      <c r="B54" s="186" t="s">
        <v>214</v>
      </c>
      <c r="C54" s="178"/>
      <c r="D54" s="179"/>
      <c r="E54" s="113">
        <f>ROUND(E48+E50+E51,2)</f>
        <v>0</v>
      </c>
      <c r="F54" s="229"/>
      <c r="G54" s="178"/>
      <c r="H54" s="179"/>
      <c r="I54" s="113">
        <f>ROUND(I48+I50+I51,2)</f>
        <v>0</v>
      </c>
      <c r="J54" s="229"/>
      <c r="K54" s="178"/>
      <c r="L54" s="179"/>
      <c r="M54" s="113">
        <f>ROUND(M48+M50+M51,2)</f>
        <v>0</v>
      </c>
      <c r="N54" s="110"/>
      <c r="O54" s="178"/>
      <c r="P54" s="179"/>
      <c r="Q54" s="113">
        <f>ROUND(Q48+Q50+Q51,2)</f>
        <v>0</v>
      </c>
    </row>
    <row r="55" spans="1:17" x14ac:dyDescent="0.2">
      <c r="B55" s="186" t="s">
        <v>204</v>
      </c>
      <c r="C55" s="176"/>
      <c r="D55" s="180"/>
      <c r="E55" s="113">
        <f>ROUND(E52,2)</f>
        <v>0</v>
      </c>
      <c r="F55" s="229"/>
      <c r="G55" s="176"/>
      <c r="H55" s="180"/>
      <c r="I55" s="113">
        <f>ROUND(I52,2)</f>
        <v>0</v>
      </c>
      <c r="J55" s="229"/>
      <c r="K55" s="176"/>
      <c r="L55" s="180"/>
      <c r="M55" s="113">
        <f>ROUND(M52,2)</f>
        <v>0</v>
      </c>
      <c r="N55" s="110"/>
      <c r="O55" s="176"/>
      <c r="P55" s="180"/>
      <c r="Q55" s="113">
        <f>ROUND(Q52,2)</f>
        <v>0</v>
      </c>
    </row>
    <row r="56" spans="1:17" x14ac:dyDescent="0.2">
      <c r="B56" s="186" t="s">
        <v>71</v>
      </c>
      <c r="C56" s="176"/>
      <c r="D56" s="180"/>
      <c r="E56" s="127">
        <f>ROUND(E53,2)</f>
        <v>0</v>
      </c>
      <c r="F56" s="128"/>
      <c r="G56" s="176"/>
      <c r="H56" s="180"/>
      <c r="I56" s="127">
        <f>ROUND(I53,2)</f>
        <v>0</v>
      </c>
      <c r="J56" s="128"/>
      <c r="K56" s="176"/>
      <c r="L56" s="180"/>
      <c r="M56" s="127">
        <f>ROUND(M53,2)</f>
        <v>0</v>
      </c>
      <c r="N56" s="128"/>
      <c r="O56" s="176"/>
      <c r="P56" s="180"/>
      <c r="Q56" s="127">
        <f>ROUND(Q53,2)</f>
        <v>0</v>
      </c>
    </row>
    <row r="57" spans="1:17" ht="16.5" thickBot="1" x14ac:dyDescent="0.25">
      <c r="B57" s="187" t="s">
        <v>215</v>
      </c>
      <c r="C57" s="181"/>
      <c r="D57" s="182"/>
      <c r="E57" s="105">
        <f>SUM(E54:E56)</f>
        <v>0</v>
      </c>
      <c r="F57" s="106"/>
      <c r="G57" s="181"/>
      <c r="H57" s="182"/>
      <c r="I57" s="105">
        <f>SUM(I54:I56)</f>
        <v>0</v>
      </c>
      <c r="J57" s="106"/>
      <c r="K57" s="181"/>
      <c r="L57" s="182"/>
      <c r="M57" s="105">
        <f>SUM(M54:M56)</f>
        <v>0</v>
      </c>
      <c r="N57" s="106"/>
      <c r="O57" s="181"/>
      <c r="P57" s="182"/>
      <c r="Q57" s="105">
        <f>SUM(Q54:Q56)</f>
        <v>0</v>
      </c>
    </row>
    <row r="58" spans="1:17" ht="16.5" thickBot="1" x14ac:dyDescent="0.25">
      <c r="B58" s="117"/>
      <c r="E58" s="194"/>
      <c r="F58" s="194"/>
      <c r="G58" s="194"/>
      <c r="H58" s="194"/>
      <c r="I58" s="194"/>
      <c r="J58" s="194"/>
      <c r="K58" s="194"/>
      <c r="N58" s="132"/>
      <c r="O58" s="194"/>
    </row>
    <row r="59" spans="1:17" ht="16.5" customHeight="1" thickBot="1" x14ac:dyDescent="0.3">
      <c r="A59" s="138"/>
      <c r="B59" s="523" t="str">
        <f>B31</f>
        <v>CLIN 0002 (CPIF)                                                    TASK 1.02 MATERIAL -1 SIMULATOR KIT</v>
      </c>
      <c r="C59" s="490" t="s">
        <v>81</v>
      </c>
      <c r="D59" s="491"/>
      <c r="E59" s="492"/>
      <c r="F59" s="120"/>
      <c r="G59" s="490" t="s">
        <v>82</v>
      </c>
      <c r="H59" s="491"/>
      <c r="I59" s="492"/>
      <c r="J59" s="120"/>
      <c r="K59" s="490" t="s">
        <v>82</v>
      </c>
      <c r="L59" s="491"/>
      <c r="M59" s="492"/>
      <c r="N59" s="120"/>
      <c r="O59" s="490" t="s">
        <v>82</v>
      </c>
      <c r="P59" s="491"/>
      <c r="Q59" s="492"/>
    </row>
    <row r="60" spans="1:17" ht="33.75" customHeight="1" thickBot="1" x14ac:dyDescent="0.3">
      <c r="A60" s="138"/>
      <c r="B60" s="524"/>
      <c r="C60" s="520" t="str">
        <f>C32</f>
        <v>CLIN 0002 - Basic Period (Year 1)</v>
      </c>
      <c r="D60" s="521"/>
      <c r="E60" s="522"/>
      <c r="F60" s="121"/>
      <c r="G60" s="520" t="str">
        <f>G32</f>
        <v>CLIN 0002 - Basic Period (Year 2)</v>
      </c>
      <c r="H60" s="521"/>
      <c r="I60" s="522"/>
      <c r="J60" s="121"/>
      <c r="K60" s="520" t="str">
        <f>K32</f>
        <v>CLIN 0002 - Basic Period (Year 3)</v>
      </c>
      <c r="L60" s="521"/>
      <c r="M60" s="522"/>
      <c r="N60" s="121"/>
      <c r="O60" s="520" t="str">
        <f>O32</f>
        <v>CLIN 0002 - Basic Period (Year 4)</v>
      </c>
      <c r="P60" s="521"/>
      <c r="Q60" s="522"/>
    </row>
    <row r="61" spans="1:17" x14ac:dyDescent="0.25">
      <c r="A61" s="138"/>
      <c r="B61" s="193"/>
      <c r="C61" s="98" t="s">
        <v>289</v>
      </c>
      <c r="D61" s="99" t="s">
        <v>286</v>
      </c>
      <c r="E61" s="100" t="s">
        <v>89</v>
      </c>
      <c r="F61" s="111"/>
      <c r="G61" s="98" t="s">
        <v>289</v>
      </c>
      <c r="H61" s="99" t="s">
        <v>286</v>
      </c>
      <c r="I61" s="100" t="s">
        <v>89</v>
      </c>
      <c r="J61" s="111"/>
      <c r="K61" s="98" t="s">
        <v>289</v>
      </c>
      <c r="L61" s="99" t="s">
        <v>286</v>
      </c>
      <c r="M61" s="100" t="s">
        <v>89</v>
      </c>
      <c r="N61" s="111"/>
      <c r="O61" s="98" t="s">
        <v>289</v>
      </c>
      <c r="P61" s="99" t="s">
        <v>286</v>
      </c>
      <c r="Q61" s="100" t="s">
        <v>89</v>
      </c>
    </row>
    <row r="62" spans="1:17" ht="26.25" x14ac:dyDescent="0.25">
      <c r="A62" s="138"/>
      <c r="B62" s="240" t="s">
        <v>449</v>
      </c>
      <c r="C62" s="176"/>
      <c r="D62" s="226"/>
      <c r="E62" s="262">
        <f>'SUB CPIF TOTAL ODC'!E27</f>
        <v>0</v>
      </c>
      <c r="F62" s="229"/>
      <c r="G62" s="176"/>
      <c r="H62" s="226"/>
      <c r="I62" s="262">
        <f>'SUB CPIF TOTAL ODC'!G27</f>
        <v>0</v>
      </c>
      <c r="J62" s="229"/>
      <c r="K62" s="176"/>
      <c r="L62" s="226"/>
      <c r="M62" s="310">
        <f>'SUB CPIF TOTAL ODC'!I27</f>
        <v>0</v>
      </c>
      <c r="N62" s="229"/>
      <c r="O62" s="176"/>
      <c r="P62" s="226"/>
      <c r="Q62" s="310">
        <f>'SUB CPIF TOTAL ODC'!K27</f>
        <v>0</v>
      </c>
    </row>
    <row r="63" spans="1:17" ht="66" customHeight="1" x14ac:dyDescent="0.25">
      <c r="A63" s="138"/>
      <c r="B63" s="374" t="s">
        <v>450</v>
      </c>
      <c r="C63" s="314"/>
      <c r="D63" s="314"/>
      <c r="E63" s="313"/>
      <c r="F63" s="229"/>
      <c r="G63" s="315"/>
      <c r="H63" s="314"/>
      <c r="I63" s="313"/>
      <c r="J63" s="229"/>
      <c r="K63" s="315"/>
      <c r="L63" s="314"/>
      <c r="M63" s="310"/>
      <c r="N63" s="229"/>
      <c r="O63" s="315"/>
      <c r="P63" s="314"/>
      <c r="Q63" s="310"/>
    </row>
    <row r="64" spans="1:17" x14ac:dyDescent="0.25">
      <c r="A64" s="138"/>
      <c r="B64" s="112" t="s">
        <v>60</v>
      </c>
      <c r="C64" s="160">
        <f>+E62</f>
        <v>0</v>
      </c>
      <c r="D64" s="188">
        <f>'SUB CPIF RATES (ALL)'!C61</f>
        <v>0</v>
      </c>
      <c r="E64" s="113">
        <f>ROUND(C64*D64,2)</f>
        <v>0</v>
      </c>
      <c r="F64" s="123"/>
      <c r="G64" s="160">
        <f>+I62</f>
        <v>0</v>
      </c>
      <c r="H64" s="188">
        <f>'SUB CPIF RATES (ALL)'!D61</f>
        <v>0</v>
      </c>
      <c r="I64" s="113">
        <f>ROUND(G64*H64,2)</f>
        <v>0</v>
      </c>
      <c r="J64" s="123"/>
      <c r="K64" s="160">
        <f>+M62</f>
        <v>0</v>
      </c>
      <c r="L64" s="188">
        <f>'SUB CPIF RATES (ALL)'!E61</f>
        <v>0</v>
      </c>
      <c r="M64" s="113">
        <f>ROUND(K64*L64,2)</f>
        <v>0</v>
      </c>
      <c r="N64" s="123"/>
      <c r="O64" s="160">
        <f>+Q62</f>
        <v>0</v>
      </c>
      <c r="P64" s="188">
        <f>'SUB CPIF RATES (ALL)'!F61</f>
        <v>0</v>
      </c>
      <c r="Q64" s="113">
        <f>ROUND(O64*P64,2)</f>
        <v>0</v>
      </c>
    </row>
    <row r="65" spans="1:17" x14ac:dyDescent="0.25">
      <c r="A65" s="138"/>
      <c r="B65" s="112" t="s">
        <v>61</v>
      </c>
      <c r="C65" s="160">
        <f>+C64+E64</f>
        <v>0</v>
      </c>
      <c r="D65" s="188">
        <f>'SUB CPIF RATES (ALL)'!C62</f>
        <v>0</v>
      </c>
      <c r="E65" s="113">
        <f>ROUND(C65*D65,2)</f>
        <v>0</v>
      </c>
      <c r="F65" s="123"/>
      <c r="G65" s="160">
        <f>+G64+I64</f>
        <v>0</v>
      </c>
      <c r="H65" s="188">
        <f>'SUB CPIF RATES (ALL)'!D62</f>
        <v>0</v>
      </c>
      <c r="I65" s="113">
        <f>ROUND(G65*H65,2)</f>
        <v>0</v>
      </c>
      <c r="J65" s="123"/>
      <c r="K65" s="160">
        <f>+K64+M64</f>
        <v>0</v>
      </c>
      <c r="L65" s="188">
        <f>'SUB CPIF RATES (ALL)'!E62</f>
        <v>0</v>
      </c>
      <c r="M65" s="113">
        <f>ROUND(K65*L65,2)</f>
        <v>0</v>
      </c>
      <c r="N65" s="123"/>
      <c r="O65" s="160">
        <f>+O64+Q64</f>
        <v>0</v>
      </c>
      <c r="P65" s="188">
        <f>'SUB CPIF RATES (ALL)'!F62</f>
        <v>0</v>
      </c>
      <c r="Q65" s="113">
        <f>ROUND(O65*P65,2)</f>
        <v>0</v>
      </c>
    </row>
    <row r="66" spans="1:17" x14ac:dyDescent="0.25">
      <c r="A66" s="138"/>
      <c r="B66" s="112" t="s">
        <v>411</v>
      </c>
      <c r="C66" s="160">
        <f>C65+E65</f>
        <v>0</v>
      </c>
      <c r="D66" s="188">
        <f>'SUB CPIF RATES (ALL)'!C63</f>
        <v>0</v>
      </c>
      <c r="E66" s="113">
        <f>ROUND(C66*D66,2)</f>
        <v>0</v>
      </c>
      <c r="F66" s="229"/>
      <c r="G66" s="160">
        <f>G65+I65</f>
        <v>0</v>
      </c>
      <c r="H66" s="188">
        <f>'SUB CPIF RATES (ALL)'!D63</f>
        <v>0</v>
      </c>
      <c r="I66" s="113">
        <f>ROUND(G66*H66,2)</f>
        <v>0</v>
      </c>
      <c r="J66" s="229"/>
      <c r="K66" s="160">
        <f>K65+M65</f>
        <v>0</v>
      </c>
      <c r="L66" s="188">
        <f>'SUB CPIF RATES (ALL)'!E63</f>
        <v>0</v>
      </c>
      <c r="M66" s="113">
        <f>ROUND(K66*L66,2)</f>
        <v>0</v>
      </c>
      <c r="N66" s="229"/>
      <c r="O66" s="160">
        <f>O65+Q65</f>
        <v>0</v>
      </c>
      <c r="P66" s="188">
        <f>'SUB CPIF RATES (ALL)'!F63</f>
        <v>0</v>
      </c>
      <c r="Q66" s="113">
        <f>ROUND(O66*P66,2)</f>
        <v>0</v>
      </c>
    </row>
    <row r="67" spans="1:17" x14ac:dyDescent="0.25">
      <c r="A67" s="138"/>
      <c r="B67" s="112" t="s">
        <v>62</v>
      </c>
      <c r="C67" s="160">
        <f>+C65+E65</f>
        <v>0</v>
      </c>
      <c r="D67" s="269">
        <f>'SUB CPIF RATES (ALL)'!C64</f>
        <v>0</v>
      </c>
      <c r="E67" s="113">
        <f>ROUND(C67*D67,2)</f>
        <v>0</v>
      </c>
      <c r="F67" s="229"/>
      <c r="G67" s="160">
        <f>+G65+I65</f>
        <v>0</v>
      </c>
      <c r="H67" s="269">
        <f>'SUB CPIF RATES (ALL)'!D64</f>
        <v>0</v>
      </c>
      <c r="I67" s="113">
        <f>ROUND(G67*H67,2)</f>
        <v>0</v>
      </c>
      <c r="J67" s="229"/>
      <c r="K67" s="160">
        <f>+K65+M65</f>
        <v>0</v>
      </c>
      <c r="L67" s="269">
        <f>'SUB CPIF RATES (ALL)'!E64</f>
        <v>0</v>
      </c>
      <c r="M67" s="113">
        <f>ROUND(K67*L67,2)</f>
        <v>0</v>
      </c>
      <c r="N67" s="229"/>
      <c r="O67" s="160">
        <f>+O65+Q65</f>
        <v>0</v>
      </c>
      <c r="P67" s="269">
        <f>'SUB CPIF RATES (ALL)'!F64</f>
        <v>0</v>
      </c>
      <c r="Q67" s="113">
        <f>ROUND(O67*P67,2)</f>
        <v>0</v>
      </c>
    </row>
    <row r="68" spans="1:17" x14ac:dyDescent="0.25">
      <c r="A68" s="138"/>
      <c r="B68" s="186" t="s">
        <v>187</v>
      </c>
      <c r="C68" s="124"/>
      <c r="D68" s="125"/>
      <c r="E68" s="113">
        <f>ROUND(SUM(E62:E65),2)</f>
        <v>0</v>
      </c>
      <c r="F68" s="229"/>
      <c r="G68" s="124"/>
      <c r="H68" s="125"/>
      <c r="I68" s="113">
        <f>ROUND(SUM(I62:I65),2)</f>
        <v>0</v>
      </c>
      <c r="J68" s="229"/>
      <c r="K68" s="124"/>
      <c r="L68" s="125"/>
      <c r="M68" s="113">
        <f>ROUND(SUM(M62:M65),2)</f>
        <v>0</v>
      </c>
      <c r="N68" s="229"/>
      <c r="O68" s="124"/>
      <c r="P68" s="125"/>
      <c r="Q68" s="113">
        <f>ROUND(SUM(Q62:Q65),2)</f>
        <v>0</v>
      </c>
    </row>
    <row r="69" spans="1:17" x14ac:dyDescent="0.25">
      <c r="A69" s="138"/>
      <c r="B69" s="186" t="s">
        <v>72</v>
      </c>
      <c r="C69" s="122"/>
      <c r="D69" s="126"/>
      <c r="E69" s="113">
        <f>ROUND(E66,2)</f>
        <v>0</v>
      </c>
      <c r="F69" s="229"/>
      <c r="G69" s="122"/>
      <c r="H69" s="126"/>
      <c r="I69" s="113">
        <f>ROUND(I66,2)</f>
        <v>0</v>
      </c>
      <c r="J69" s="229"/>
      <c r="K69" s="122"/>
      <c r="L69" s="126"/>
      <c r="M69" s="113">
        <f>ROUND(M66,2)</f>
        <v>0</v>
      </c>
      <c r="N69" s="229"/>
      <c r="O69" s="122"/>
      <c r="P69" s="126"/>
      <c r="Q69" s="113">
        <f>ROUND(Q66,2)</f>
        <v>0</v>
      </c>
    </row>
    <row r="70" spans="1:17" x14ac:dyDescent="0.2">
      <c r="A70" s="131"/>
      <c r="B70" s="186" t="s">
        <v>71</v>
      </c>
      <c r="C70" s="122"/>
      <c r="D70" s="126"/>
      <c r="E70" s="127">
        <f>ROUND(E67,2)</f>
        <v>0</v>
      </c>
      <c r="F70" s="128"/>
      <c r="G70" s="122"/>
      <c r="H70" s="126"/>
      <c r="I70" s="127">
        <f>ROUND(I67,2)</f>
        <v>0</v>
      </c>
      <c r="J70" s="128"/>
      <c r="K70" s="122"/>
      <c r="L70" s="126"/>
      <c r="M70" s="127">
        <f>ROUND(M67,2)</f>
        <v>0</v>
      </c>
      <c r="N70" s="128"/>
      <c r="O70" s="122"/>
      <c r="P70" s="126"/>
      <c r="Q70" s="127">
        <f>ROUND(Q67,2)</f>
        <v>0</v>
      </c>
    </row>
    <row r="71" spans="1:17" ht="16.5" thickBot="1" x14ac:dyDescent="0.25">
      <c r="A71" s="131"/>
      <c r="B71" s="187" t="s">
        <v>174</v>
      </c>
      <c r="C71" s="129"/>
      <c r="D71" s="130"/>
      <c r="E71" s="105">
        <f t="shared" ref="E71" si="4">SUM(E68:E70)</f>
        <v>0</v>
      </c>
      <c r="F71" s="106"/>
      <c r="G71" s="129"/>
      <c r="H71" s="130"/>
      <c r="I71" s="105">
        <f t="shared" ref="I71" si="5">SUM(I68:I70)</f>
        <v>0</v>
      </c>
      <c r="J71" s="106"/>
      <c r="K71" s="129"/>
      <c r="L71" s="130"/>
      <c r="M71" s="105">
        <f t="shared" ref="M71" si="6">SUM(M68:M70)</f>
        <v>0</v>
      </c>
      <c r="N71" s="106"/>
      <c r="O71" s="129"/>
      <c r="P71" s="130"/>
      <c r="Q71" s="105">
        <f t="shared" ref="Q71" si="7">SUM(Q68:Q70)</f>
        <v>0</v>
      </c>
    </row>
    <row r="72" spans="1:17" ht="16.5" thickBot="1" x14ac:dyDescent="0.25">
      <c r="A72" s="131"/>
      <c r="B72" s="117"/>
      <c r="E72" s="194"/>
      <c r="F72" s="194"/>
      <c r="G72" s="194"/>
      <c r="H72" s="194"/>
      <c r="I72" s="194"/>
      <c r="J72" s="194"/>
      <c r="K72" s="194"/>
      <c r="N72" s="132"/>
      <c r="O72" s="194"/>
    </row>
    <row r="73" spans="1:17" ht="16.5" thickBot="1" x14ac:dyDescent="0.3">
      <c r="A73" s="131"/>
      <c r="B73" s="531" t="str">
        <f>B59</f>
        <v>CLIN 0002 (CPIF)                                                    TASK 1.02 MATERIAL -1 SIMULATOR KIT</v>
      </c>
      <c r="C73" s="517" t="s">
        <v>213</v>
      </c>
      <c r="D73" s="518"/>
      <c r="E73" s="519"/>
      <c r="F73" s="120"/>
      <c r="G73" s="517" t="s">
        <v>213</v>
      </c>
      <c r="H73" s="518"/>
      <c r="I73" s="519"/>
      <c r="J73" s="120"/>
      <c r="K73" s="517" t="s">
        <v>213</v>
      </c>
      <c r="L73" s="518"/>
      <c r="M73" s="519"/>
      <c r="N73" s="120"/>
      <c r="O73" s="517" t="s">
        <v>213</v>
      </c>
      <c r="P73" s="518"/>
      <c r="Q73" s="519"/>
    </row>
    <row r="74" spans="1:17" ht="33.75" customHeight="1" thickBot="1" x14ac:dyDescent="0.3">
      <c r="A74" s="131"/>
      <c r="B74" s="532"/>
      <c r="C74" s="221"/>
      <c r="D74" s="222"/>
      <c r="E74" s="133" t="s">
        <v>238</v>
      </c>
      <c r="F74" s="134"/>
      <c r="G74" s="221"/>
      <c r="H74" s="222"/>
      <c r="I74" s="133" t="s">
        <v>241</v>
      </c>
      <c r="J74" s="134"/>
      <c r="K74" s="221"/>
      <c r="L74" s="222"/>
      <c r="M74" s="133" t="s">
        <v>240</v>
      </c>
      <c r="N74" s="134"/>
      <c r="O74" s="221"/>
      <c r="P74" s="222"/>
      <c r="Q74" s="133" t="s">
        <v>239</v>
      </c>
    </row>
    <row r="75" spans="1:17" x14ac:dyDescent="0.2">
      <c r="A75" s="131"/>
      <c r="B75" s="112" t="s">
        <v>188</v>
      </c>
      <c r="C75" s="223"/>
      <c r="D75" s="223"/>
      <c r="E75" s="135">
        <f>+ROUND(E26+E40+E54+E68,2)</f>
        <v>0</v>
      </c>
      <c r="F75" s="110"/>
      <c r="G75" s="223"/>
      <c r="H75" s="223"/>
      <c r="I75" s="135">
        <f>+ROUND(I26+I40+I54+I68,2)</f>
        <v>0</v>
      </c>
      <c r="J75" s="110"/>
      <c r="K75" s="223"/>
      <c r="L75" s="223"/>
      <c r="M75" s="135">
        <f>+ROUND(M26+M40+M54+M68,2)</f>
        <v>0</v>
      </c>
      <c r="N75" s="110"/>
      <c r="O75" s="223"/>
      <c r="P75" s="223"/>
      <c r="Q75" s="135">
        <f>+ROUND(Q26+Q40+Q54+Q68,2)</f>
        <v>0</v>
      </c>
    </row>
    <row r="76" spans="1:17" x14ac:dyDescent="0.2">
      <c r="A76" s="131"/>
      <c r="B76" s="112" t="s">
        <v>72</v>
      </c>
      <c r="C76" s="223"/>
      <c r="D76" s="223"/>
      <c r="E76" s="113">
        <f>+ROUND(E27+E41+E55+E69,2)</f>
        <v>0</v>
      </c>
      <c r="F76" s="110"/>
      <c r="G76" s="223"/>
      <c r="H76" s="223"/>
      <c r="I76" s="113">
        <f>+ROUND(I27+I41+I55+I69,2)</f>
        <v>0</v>
      </c>
      <c r="J76" s="110"/>
      <c r="K76" s="223"/>
      <c r="L76" s="223"/>
      <c r="M76" s="113">
        <f>+ROUND(M27+M41+M55+M69,2)</f>
        <v>0</v>
      </c>
      <c r="N76" s="110"/>
      <c r="O76" s="223"/>
      <c r="P76" s="223"/>
      <c r="Q76" s="113">
        <f>+ROUND(Q27+Q41+Q55+Q69,2)</f>
        <v>0</v>
      </c>
    </row>
    <row r="77" spans="1:17" x14ac:dyDescent="0.2">
      <c r="A77" s="131"/>
      <c r="B77" s="112" t="s">
        <v>71</v>
      </c>
      <c r="C77" s="223"/>
      <c r="D77" s="223"/>
      <c r="E77" s="114">
        <f>+ROUND(E28+E42+E56+E70,2)</f>
        <v>0</v>
      </c>
      <c r="F77" s="115"/>
      <c r="G77" s="223"/>
      <c r="H77" s="223"/>
      <c r="I77" s="114">
        <f>+ROUND(I28+I42+I56+I70,2)</f>
        <v>0</v>
      </c>
      <c r="J77" s="115"/>
      <c r="K77" s="223"/>
      <c r="L77" s="223"/>
      <c r="M77" s="114">
        <f>+ROUND(M28+M42+M56+M70,2)</f>
        <v>0</v>
      </c>
      <c r="N77" s="115"/>
      <c r="O77" s="223"/>
      <c r="P77" s="223"/>
      <c r="Q77" s="114">
        <f>+ROUND(Q28+Q42+Q56+Q70,2)</f>
        <v>0</v>
      </c>
    </row>
    <row r="78" spans="1:17" ht="32.25" thickBot="1" x14ac:dyDescent="0.3">
      <c r="A78" s="131"/>
      <c r="B78" s="207" t="s">
        <v>376</v>
      </c>
      <c r="C78" s="224"/>
      <c r="D78" s="224"/>
      <c r="E78" s="208">
        <f>SUM(E75:E77)</f>
        <v>0</v>
      </c>
      <c r="F78" s="116"/>
      <c r="G78" s="224"/>
      <c r="H78" s="224"/>
      <c r="I78" s="208">
        <f>SUM(I75:I77)</f>
        <v>0</v>
      </c>
      <c r="J78" s="116"/>
      <c r="K78" s="224"/>
      <c r="L78" s="224"/>
      <c r="M78" s="208">
        <f>SUM(M75:M77)</f>
        <v>0</v>
      </c>
      <c r="N78" s="116"/>
      <c r="O78" s="224"/>
      <c r="P78" s="224"/>
      <c r="Q78" s="208">
        <f>SUM(Q75:Q77)</f>
        <v>0</v>
      </c>
    </row>
    <row r="79" spans="1:17" ht="16.5" thickBot="1" x14ac:dyDescent="0.3"/>
    <row r="80" spans="1:17" ht="31.5" x14ac:dyDescent="0.25">
      <c r="Q80" s="323" t="s">
        <v>377</v>
      </c>
    </row>
    <row r="81" spans="17:17" ht="16.5" thickBot="1" x14ac:dyDescent="0.3">
      <c r="Q81" s="322">
        <f>E78+I78+M78+Q78</f>
        <v>0</v>
      </c>
    </row>
  </sheetData>
  <mergeCells count="46">
    <mergeCell ref="K59:M59"/>
    <mergeCell ref="K73:M73"/>
    <mergeCell ref="O73:Q73"/>
    <mergeCell ref="C60:E60"/>
    <mergeCell ref="G60:I60"/>
    <mergeCell ref="K60:M60"/>
    <mergeCell ref="O60:Q60"/>
    <mergeCell ref="O59:Q59"/>
    <mergeCell ref="C31:E31"/>
    <mergeCell ref="G31:I31"/>
    <mergeCell ref="B73:B74"/>
    <mergeCell ref="C73:E73"/>
    <mergeCell ref="G73:I73"/>
    <mergeCell ref="B59:B60"/>
    <mergeCell ref="C59:E59"/>
    <mergeCell ref="G59:I59"/>
    <mergeCell ref="C49:E49"/>
    <mergeCell ref="G49:I49"/>
    <mergeCell ref="K31:M31"/>
    <mergeCell ref="O31:Q31"/>
    <mergeCell ref="A4:C4"/>
    <mergeCell ref="B14:B15"/>
    <mergeCell ref="C14:E14"/>
    <mergeCell ref="G14:I14"/>
    <mergeCell ref="K14:M14"/>
    <mergeCell ref="O14:Q14"/>
    <mergeCell ref="C15:E15"/>
    <mergeCell ref="G15:I15"/>
    <mergeCell ref="K15:M15"/>
    <mergeCell ref="O15:Q15"/>
    <mergeCell ref="B31:B32"/>
    <mergeCell ref="C32:E32"/>
    <mergeCell ref="G32:I32"/>
    <mergeCell ref="K32:M32"/>
    <mergeCell ref="K49:M49"/>
    <mergeCell ref="O49:Q49"/>
    <mergeCell ref="O32:Q32"/>
    <mergeCell ref="B45:B46"/>
    <mergeCell ref="C45:E45"/>
    <mergeCell ref="G45:I45"/>
    <mergeCell ref="K45:M45"/>
    <mergeCell ref="O45:Q45"/>
    <mergeCell ref="C46:E46"/>
    <mergeCell ref="G46:I46"/>
    <mergeCell ref="K46:M46"/>
    <mergeCell ref="O46:Q46"/>
  </mergeCell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FEA61D-2955-4C0E-8F94-AD627D7292C7}">
  <sheetPr>
    <tabColor theme="0"/>
  </sheetPr>
  <dimension ref="A1:Q81"/>
  <sheetViews>
    <sheetView zoomScale="80" zoomScaleNormal="80" workbookViewId="0">
      <selection activeCell="P66" sqref="P66"/>
    </sheetView>
  </sheetViews>
  <sheetFormatPr defaultColWidth="15.85546875" defaultRowHeight="15.75" x14ac:dyDescent="0.25"/>
  <cols>
    <col min="1" max="1" width="3.42578125" style="136" customWidth="1"/>
    <col min="2" max="2" width="49.140625" style="119" customWidth="1"/>
    <col min="3" max="3" width="18.28515625" style="131" bestFit="1" customWidth="1"/>
    <col min="4" max="4" width="12.42578125" style="131" bestFit="1" customWidth="1"/>
    <col min="5" max="5" width="30.5703125" style="131" bestFit="1" customWidth="1"/>
    <col min="6" max="6" width="1" style="131" customWidth="1"/>
    <col min="7" max="7" width="14.28515625" style="131" customWidth="1"/>
    <col min="8" max="8" width="14.5703125" style="131" customWidth="1"/>
    <col min="9" max="9" width="34.42578125" style="131" bestFit="1" customWidth="1"/>
    <col min="10" max="10" width="1" style="131" customWidth="1"/>
    <col min="11" max="11" width="16.7109375" style="131" customWidth="1"/>
    <col min="12" max="12" width="16.28515625" style="131" customWidth="1"/>
    <col min="13" max="13" width="34.42578125" style="131" bestFit="1" customWidth="1"/>
    <col min="14" max="14" width="0.85546875" style="131" customWidth="1"/>
    <col min="15" max="15" width="16.7109375" style="131" customWidth="1"/>
    <col min="16" max="16" width="16.28515625" style="131" customWidth="1"/>
    <col min="17" max="17" width="34.42578125" style="131" bestFit="1" customWidth="1"/>
    <col min="18" max="16384" width="15.85546875" style="131"/>
  </cols>
  <sheetData>
    <row r="1" spans="1:17" ht="16.5" thickBot="1" x14ac:dyDescent="0.3">
      <c r="B1" s="321" t="s">
        <v>460</v>
      </c>
      <c r="C1" s="394" t="str">
        <f>'SUB CPIF RATES (ALL)'!C1</f>
        <v xml:space="preserve">NAME </v>
      </c>
      <c r="D1" s="393"/>
    </row>
    <row r="2" spans="1:17" ht="16.5" thickBot="1" x14ac:dyDescent="0.3">
      <c r="B2" s="395" t="s">
        <v>459</v>
      </c>
      <c r="C2" s="396" t="str">
        <f>'SUB CPIF RATES (ALL)'!C2</f>
        <v xml:space="preserve">NAME </v>
      </c>
    </row>
    <row r="3" spans="1:17" ht="16.5" thickBot="1" x14ac:dyDescent="0.3"/>
    <row r="4" spans="1:17" ht="52.5" customHeight="1" thickBot="1" x14ac:dyDescent="0.3">
      <c r="A4" s="466" t="s">
        <v>378</v>
      </c>
      <c r="B4" s="467"/>
      <c r="C4" s="468"/>
      <c r="I4" s="194" t="s">
        <v>84</v>
      </c>
    </row>
    <row r="6" spans="1:17" s="202" customFormat="1" ht="17.25" customHeight="1" x14ac:dyDescent="0.2">
      <c r="A6" s="203"/>
      <c r="B6" s="204" t="s">
        <v>65</v>
      </c>
    </row>
    <row r="7" spans="1:17" s="202" customFormat="1" x14ac:dyDescent="0.25">
      <c r="A7" s="201"/>
      <c r="B7" s="201" t="s">
        <v>441</v>
      </c>
    </row>
    <row r="8" spans="1:17" s="202" customFormat="1" x14ac:dyDescent="0.25">
      <c r="A8" s="201"/>
      <c r="B8" s="201" t="s">
        <v>281</v>
      </c>
    </row>
    <row r="9" spans="1:17" s="202" customFormat="1" x14ac:dyDescent="0.25">
      <c r="A9" s="201"/>
      <c r="B9" s="201" t="s">
        <v>442</v>
      </c>
    </row>
    <row r="10" spans="1:17" s="202" customFormat="1" x14ac:dyDescent="0.25">
      <c r="A10" s="201"/>
      <c r="B10" s="201" t="s">
        <v>463</v>
      </c>
    </row>
    <row r="11" spans="1:17" x14ac:dyDescent="0.25">
      <c r="A11" s="137"/>
      <c r="B11" s="201" t="s">
        <v>464</v>
      </c>
      <c r="C11" s="139"/>
    </row>
    <row r="12" spans="1:17" x14ac:dyDescent="0.25">
      <c r="A12" s="137"/>
      <c r="B12" s="201" t="s">
        <v>379</v>
      </c>
      <c r="C12" s="139"/>
    </row>
    <row r="13" spans="1:17" ht="16.5" thickBot="1" x14ac:dyDescent="0.3"/>
    <row r="14" spans="1:17" ht="16.5" thickBot="1" x14ac:dyDescent="0.3">
      <c r="A14" s="138"/>
      <c r="B14" s="536" t="s">
        <v>380</v>
      </c>
      <c r="C14" s="490" t="s">
        <v>69</v>
      </c>
      <c r="D14" s="491"/>
      <c r="E14" s="492"/>
      <c r="F14" s="96"/>
      <c r="G14" s="490" t="s">
        <v>69</v>
      </c>
      <c r="H14" s="491"/>
      <c r="I14" s="492"/>
      <c r="J14" s="96"/>
      <c r="K14" s="490" t="s">
        <v>69</v>
      </c>
      <c r="L14" s="491"/>
      <c r="M14" s="492"/>
      <c r="N14" s="96"/>
      <c r="O14" s="490" t="s">
        <v>69</v>
      </c>
      <c r="P14" s="491"/>
      <c r="Q14" s="492"/>
    </row>
    <row r="15" spans="1:17" ht="32.25" customHeight="1" thickBot="1" x14ac:dyDescent="0.3">
      <c r="A15" s="138"/>
      <c r="B15" s="537"/>
      <c r="C15" s="520" t="s">
        <v>219</v>
      </c>
      <c r="D15" s="521"/>
      <c r="E15" s="522"/>
      <c r="F15" s="97"/>
      <c r="G15" s="520" t="s">
        <v>220</v>
      </c>
      <c r="H15" s="521"/>
      <c r="I15" s="522"/>
      <c r="J15" s="97"/>
      <c r="K15" s="520" t="s">
        <v>221</v>
      </c>
      <c r="L15" s="521"/>
      <c r="M15" s="522"/>
      <c r="N15" s="97"/>
      <c r="O15" s="520" t="s">
        <v>222</v>
      </c>
      <c r="P15" s="521"/>
      <c r="Q15" s="522"/>
    </row>
    <row r="16" spans="1:17" x14ac:dyDescent="0.25">
      <c r="A16" s="138"/>
      <c r="B16" s="98" t="s">
        <v>46</v>
      </c>
      <c r="C16" s="98" t="s">
        <v>29</v>
      </c>
      <c r="D16" s="99" t="s">
        <v>68</v>
      </c>
      <c r="E16" s="100" t="s">
        <v>74</v>
      </c>
      <c r="F16" s="101"/>
      <c r="G16" s="98" t="s">
        <v>29</v>
      </c>
      <c r="H16" s="99" t="s">
        <v>68</v>
      </c>
      <c r="I16" s="100" t="s">
        <v>74</v>
      </c>
      <c r="J16" s="101"/>
      <c r="K16" s="98" t="s">
        <v>29</v>
      </c>
      <c r="L16" s="99" t="s">
        <v>68</v>
      </c>
      <c r="M16" s="100" t="s">
        <v>74</v>
      </c>
      <c r="N16" s="101"/>
      <c r="O16" s="98" t="s">
        <v>29</v>
      </c>
      <c r="P16" s="99" t="s">
        <v>68</v>
      </c>
      <c r="Q16" s="100" t="s">
        <v>74</v>
      </c>
    </row>
    <row r="17" spans="1:17" ht="30" customHeight="1" thickBot="1" x14ac:dyDescent="0.3">
      <c r="A17" s="138"/>
      <c r="B17" s="148" t="s">
        <v>443</v>
      </c>
      <c r="C17" s="230"/>
      <c r="D17" s="231"/>
      <c r="E17" s="232"/>
      <c r="F17" s="101"/>
      <c r="G17" s="230"/>
      <c r="H17" s="231"/>
      <c r="I17" s="232"/>
      <c r="J17" s="101"/>
      <c r="K17" s="230"/>
      <c r="L17" s="231"/>
      <c r="M17" s="232"/>
      <c r="N17" s="101"/>
      <c r="O17" s="230"/>
      <c r="P17" s="231"/>
      <c r="Q17" s="232"/>
    </row>
    <row r="18" spans="1:17" ht="16.5" thickBot="1" x14ac:dyDescent="0.3">
      <c r="A18" s="138"/>
      <c r="B18" s="239" t="s">
        <v>87</v>
      </c>
      <c r="C18" s="108">
        <f>'SUB CPIF LABOR INPUTS'!D302</f>
        <v>0</v>
      </c>
      <c r="D18" s="150"/>
      <c r="E18" s="109">
        <f>'SUB CPIF LABOR INPUTS'!F302</f>
        <v>0</v>
      </c>
      <c r="F18" s="110"/>
      <c r="G18" s="108">
        <f>'SUB CPIF LABOR INPUTS'!H302</f>
        <v>0</v>
      </c>
      <c r="H18" s="150"/>
      <c r="I18" s="109">
        <f>'SUB CPIF LABOR INPUTS'!J302</f>
        <v>0</v>
      </c>
      <c r="J18" s="110"/>
      <c r="K18" s="108">
        <f>'SUB CPIF LABOR INPUTS'!L302</f>
        <v>0</v>
      </c>
      <c r="L18" s="150"/>
      <c r="M18" s="109">
        <f>'SUB CPIF LABOR INPUTS'!N302</f>
        <v>0</v>
      </c>
      <c r="N18" s="110"/>
      <c r="O18" s="108">
        <f>'SUB CPIF LABOR INPUTS'!P302</f>
        <v>0</v>
      </c>
      <c r="P18" s="150"/>
      <c r="Q18" s="109">
        <f>'SUB CPIF LABOR INPUTS'!R302</f>
        <v>0</v>
      </c>
    </row>
    <row r="19" spans="1:17" x14ac:dyDescent="0.25">
      <c r="A19" s="138"/>
      <c r="B19" s="149"/>
      <c r="C19" s="98" t="s">
        <v>289</v>
      </c>
      <c r="D19" s="99" t="s">
        <v>286</v>
      </c>
      <c r="E19" s="100" t="s">
        <v>288</v>
      </c>
      <c r="F19" s="111"/>
      <c r="G19" s="98" t="s">
        <v>289</v>
      </c>
      <c r="H19" s="99" t="s">
        <v>286</v>
      </c>
      <c r="I19" s="100" t="s">
        <v>288</v>
      </c>
      <c r="J19" s="111"/>
      <c r="K19" s="98" t="s">
        <v>289</v>
      </c>
      <c r="L19" s="99" t="s">
        <v>286</v>
      </c>
      <c r="M19" s="100" t="s">
        <v>288</v>
      </c>
      <c r="N19" s="111"/>
      <c r="O19" s="98" t="s">
        <v>289</v>
      </c>
      <c r="P19" s="99" t="s">
        <v>286</v>
      </c>
      <c r="Q19" s="100" t="s">
        <v>288</v>
      </c>
    </row>
    <row r="20" spans="1:17" ht="64.5" x14ac:dyDescent="0.25">
      <c r="A20" s="138"/>
      <c r="B20" s="261" t="s">
        <v>279</v>
      </c>
      <c r="C20" s="230"/>
      <c r="D20" s="231"/>
      <c r="E20" s="232"/>
      <c r="F20" s="147"/>
      <c r="G20" s="230"/>
      <c r="H20" s="231"/>
      <c r="I20" s="232"/>
      <c r="J20" s="147"/>
      <c r="K20" s="230"/>
      <c r="L20" s="231"/>
      <c r="M20" s="232"/>
      <c r="N20" s="147"/>
      <c r="O20" s="230"/>
      <c r="P20" s="231"/>
      <c r="Q20" s="232"/>
    </row>
    <row r="21" spans="1:17" x14ac:dyDescent="0.25">
      <c r="A21" s="138"/>
      <c r="B21" s="112" t="str">
        <f>'SUB CPIF RATES (ALL)'!B36</f>
        <v>Indirect Labor Category:  [Labor Fringe]</v>
      </c>
      <c r="C21" s="160">
        <f>+E18</f>
        <v>0</v>
      </c>
      <c r="D21" s="188">
        <f>'SUB CPIF RATES (ALL)'!C36</f>
        <v>0</v>
      </c>
      <c r="E21" s="113">
        <f>ROUND(C21*D21,2)</f>
        <v>0</v>
      </c>
      <c r="F21" s="110"/>
      <c r="G21" s="160">
        <f>+I18</f>
        <v>0</v>
      </c>
      <c r="H21" s="188">
        <f>'SUB CPIF RATES (ALL)'!D36</f>
        <v>0</v>
      </c>
      <c r="I21" s="113">
        <f>ROUND(G21*H21,2)</f>
        <v>0</v>
      </c>
      <c r="J21" s="110"/>
      <c r="K21" s="160">
        <f>+M18</f>
        <v>0</v>
      </c>
      <c r="L21" s="188">
        <f>'SUB CPIF RATES (ALL)'!E36</f>
        <v>0</v>
      </c>
      <c r="M21" s="113">
        <f>ROUND(K21*L21,2)</f>
        <v>0</v>
      </c>
      <c r="N21" s="110"/>
      <c r="O21" s="160">
        <f>+Q18</f>
        <v>0</v>
      </c>
      <c r="P21" s="188">
        <f>'SUB CPIF RATES (ALL)'!F36</f>
        <v>0</v>
      </c>
      <c r="Q21" s="113">
        <f>ROUND(O21*P21,2)</f>
        <v>0</v>
      </c>
    </row>
    <row r="22" spans="1:17" x14ac:dyDescent="0.25">
      <c r="A22" s="138"/>
      <c r="B22" s="112" t="str">
        <f>'SUB CPIF RATES (ALL)'!B37</f>
        <v>Indirect Labor Category: [Labor Overhead]</v>
      </c>
      <c r="C22" s="160">
        <f>+C21+E21</f>
        <v>0</v>
      </c>
      <c r="D22" s="188">
        <f>'SUB CPIF RATES (ALL)'!C37</f>
        <v>0</v>
      </c>
      <c r="E22" s="113">
        <f>ROUND(C22*D22,2)</f>
        <v>0</v>
      </c>
      <c r="F22" s="110"/>
      <c r="G22" s="160">
        <f>+G21+I21</f>
        <v>0</v>
      </c>
      <c r="H22" s="188">
        <f>'SUB CPIF RATES (ALL)'!D37</f>
        <v>0</v>
      </c>
      <c r="I22" s="113">
        <f>ROUND(G22*H22,2)</f>
        <v>0</v>
      </c>
      <c r="J22" s="110"/>
      <c r="K22" s="160">
        <f>+K21+M21</f>
        <v>0</v>
      </c>
      <c r="L22" s="188">
        <f>'SUB CPIF RATES (ALL)'!E37</f>
        <v>0</v>
      </c>
      <c r="M22" s="113">
        <f>ROUND(K22*L22,2)</f>
        <v>0</v>
      </c>
      <c r="N22" s="110"/>
      <c r="O22" s="160">
        <f>+O21+Q21</f>
        <v>0</v>
      </c>
      <c r="P22" s="188">
        <f>'SUB CPIF RATES (ALL)'!F37</f>
        <v>0</v>
      </c>
      <c r="Q22" s="113">
        <f>ROUND(O22*P22,2)</f>
        <v>0</v>
      </c>
    </row>
    <row r="23" spans="1:17" x14ac:dyDescent="0.25">
      <c r="A23" s="138"/>
      <c r="B23" s="112" t="str">
        <f>'SUB CPIF RATES (ALL)'!B38</f>
        <v>Indirect Labor Category: [G&amp;A]</v>
      </c>
      <c r="C23" s="160">
        <f>+C22+E22</f>
        <v>0</v>
      </c>
      <c r="D23" s="188">
        <f>'SUB CPIF RATES (ALL)'!C38</f>
        <v>0</v>
      </c>
      <c r="E23" s="113">
        <f>ROUND(C23*D23,2)</f>
        <v>0</v>
      </c>
      <c r="F23" s="110"/>
      <c r="G23" s="160">
        <f>+G22+I22</f>
        <v>0</v>
      </c>
      <c r="H23" s="188">
        <f>'SUB CPIF RATES (ALL)'!D38</f>
        <v>0</v>
      </c>
      <c r="I23" s="113">
        <f>ROUND(G23*H23,2)</f>
        <v>0</v>
      </c>
      <c r="J23" s="110"/>
      <c r="K23" s="160">
        <f>+K22+M22</f>
        <v>0</v>
      </c>
      <c r="L23" s="188">
        <f>'SUB CPIF RATES (ALL)'!E38</f>
        <v>0</v>
      </c>
      <c r="M23" s="113">
        <f>ROUND(K23*L23,2)</f>
        <v>0</v>
      </c>
      <c r="N23" s="110"/>
      <c r="O23" s="160">
        <f>+O22+Q22</f>
        <v>0</v>
      </c>
      <c r="P23" s="188">
        <f>'SUB CPIF RATES (ALL)'!F38</f>
        <v>0</v>
      </c>
      <c r="Q23" s="113">
        <f>ROUND(O23*P23,2)</f>
        <v>0</v>
      </c>
    </row>
    <row r="24" spans="1:17" x14ac:dyDescent="0.25">
      <c r="A24" s="138"/>
      <c r="B24" s="112" t="str">
        <f>'SUB CPIF RATES (ALL)'!B39</f>
        <v>Indirect Labor Category: [FCCOM]</v>
      </c>
      <c r="C24" s="160">
        <f>C23+E23</f>
        <v>0</v>
      </c>
      <c r="D24" s="188">
        <f>'SUB CPIF RATES (ALL)'!C39</f>
        <v>0</v>
      </c>
      <c r="E24" s="113">
        <f>ROUND(C24*D24,2)</f>
        <v>0</v>
      </c>
      <c r="F24" s="110"/>
      <c r="G24" s="160">
        <f>G23+I23</f>
        <v>0</v>
      </c>
      <c r="H24" s="188">
        <f>'SUB CPIF RATES (ALL)'!D39</f>
        <v>0</v>
      </c>
      <c r="I24" s="113">
        <f>ROUND(G24*H24,2)</f>
        <v>0</v>
      </c>
      <c r="J24" s="110"/>
      <c r="K24" s="160">
        <f>K23+M23</f>
        <v>0</v>
      </c>
      <c r="L24" s="188">
        <f>'SUB CPIF RATES (ALL)'!E39</f>
        <v>0</v>
      </c>
      <c r="M24" s="113">
        <f>ROUND(K24*L24,2)</f>
        <v>0</v>
      </c>
      <c r="N24" s="110"/>
      <c r="O24" s="160">
        <f>O23+Q23</f>
        <v>0</v>
      </c>
      <c r="P24" s="188">
        <f>'SUB CPIF RATES (ALL)'!F39</f>
        <v>0</v>
      </c>
      <c r="Q24" s="113">
        <f>ROUND(O24*P24,2)</f>
        <v>0</v>
      </c>
    </row>
    <row r="25" spans="1:17" x14ac:dyDescent="0.25">
      <c r="A25" s="138"/>
      <c r="B25" s="112" t="str">
        <f>'SUB CPIF RATES (ALL)'!B40</f>
        <v>Indirect Labor Category: [Target Fee]</v>
      </c>
      <c r="C25" s="160">
        <f>+C23+E23</f>
        <v>0</v>
      </c>
      <c r="D25" s="188">
        <f>'SUB CPIF RATES (ALL)'!C40</f>
        <v>0</v>
      </c>
      <c r="E25" s="113">
        <f>ROUND(C25*D25,2)</f>
        <v>0</v>
      </c>
      <c r="F25" s="110"/>
      <c r="G25" s="160">
        <f>+G23+I23</f>
        <v>0</v>
      </c>
      <c r="H25" s="188">
        <f>'SUB CPIF RATES (ALL)'!D40</f>
        <v>0</v>
      </c>
      <c r="I25" s="113">
        <f>ROUND(G25*H25,2)</f>
        <v>0</v>
      </c>
      <c r="J25" s="110"/>
      <c r="K25" s="160">
        <f>+K23+M23</f>
        <v>0</v>
      </c>
      <c r="L25" s="188">
        <f>'SUB CPIF RATES (ALL)'!E40</f>
        <v>0</v>
      </c>
      <c r="M25" s="113">
        <f>ROUND(K25*L25,2)</f>
        <v>0</v>
      </c>
      <c r="N25" s="110"/>
      <c r="O25" s="160">
        <f>+O23+Q23</f>
        <v>0</v>
      </c>
      <c r="P25" s="188">
        <f>'SUB CPIF RATES (ALL)'!F40</f>
        <v>0</v>
      </c>
      <c r="Q25" s="113">
        <f>ROUND(O25*P25,2)</f>
        <v>0</v>
      </c>
    </row>
    <row r="26" spans="1:17" x14ac:dyDescent="0.25">
      <c r="A26" s="138"/>
      <c r="B26" s="205" t="s">
        <v>185</v>
      </c>
      <c r="C26" s="155"/>
      <c r="D26" s="156"/>
      <c r="E26" s="175">
        <f>ROUND(SUM(E18,E21,E22,E23),2)</f>
        <v>0</v>
      </c>
      <c r="F26" s="110"/>
      <c r="G26" s="151"/>
      <c r="H26" s="152"/>
      <c r="I26" s="175">
        <f>ROUND(SUM(I18,I21,I22,I23),2)</f>
        <v>0</v>
      </c>
      <c r="J26" s="110"/>
      <c r="K26" s="151"/>
      <c r="L26" s="152"/>
      <c r="M26" s="175">
        <f>ROUND(SUM(M18,M21,M22,M23),2)</f>
        <v>0</v>
      </c>
      <c r="N26" s="110"/>
      <c r="O26" s="151"/>
      <c r="P26" s="152"/>
      <c r="Q26" s="175">
        <f>ROUND(SUM(Q18,Q21,Q22,Q23),2)</f>
        <v>0</v>
      </c>
    </row>
    <row r="27" spans="1:17" x14ac:dyDescent="0.25">
      <c r="A27" s="138"/>
      <c r="B27" s="205" t="s">
        <v>72</v>
      </c>
      <c r="C27" s="155"/>
      <c r="D27" s="156"/>
      <c r="E27" s="175">
        <f>ROUND(E24,2)</f>
        <v>0</v>
      </c>
      <c r="F27" s="110"/>
      <c r="G27" s="151"/>
      <c r="H27" s="152"/>
      <c r="I27" s="175">
        <f>ROUND(I24,2)</f>
        <v>0</v>
      </c>
      <c r="J27" s="110"/>
      <c r="K27" s="151"/>
      <c r="L27" s="152"/>
      <c r="M27" s="175">
        <f>ROUND(M24,2)</f>
        <v>0</v>
      </c>
      <c r="N27" s="110"/>
      <c r="O27" s="151"/>
      <c r="P27" s="152"/>
      <c r="Q27" s="175">
        <f>ROUND(Q24,2)</f>
        <v>0</v>
      </c>
    </row>
    <row r="28" spans="1:17" x14ac:dyDescent="0.25">
      <c r="A28" s="138"/>
      <c r="B28" s="205" t="s">
        <v>71</v>
      </c>
      <c r="C28" s="155"/>
      <c r="D28" s="156"/>
      <c r="E28" s="190">
        <f>ROUND(E25,2)</f>
        <v>0</v>
      </c>
      <c r="F28" s="115"/>
      <c r="G28" s="151"/>
      <c r="H28" s="152"/>
      <c r="I28" s="190">
        <f>ROUND(I25,2)</f>
        <v>0</v>
      </c>
      <c r="J28" s="115"/>
      <c r="K28" s="151"/>
      <c r="L28" s="152"/>
      <c r="M28" s="190">
        <f>ROUND(M25,2)</f>
        <v>0</v>
      </c>
      <c r="N28" s="115"/>
      <c r="O28" s="151"/>
      <c r="P28" s="152"/>
      <c r="Q28" s="190">
        <f>ROUND(Q25,2)</f>
        <v>0</v>
      </c>
    </row>
    <row r="29" spans="1:17" ht="16.5" thickBot="1" x14ac:dyDescent="0.3">
      <c r="A29" s="138"/>
      <c r="B29" s="206" t="s">
        <v>73</v>
      </c>
      <c r="C29" s="157"/>
      <c r="D29" s="158"/>
      <c r="E29" s="191">
        <f>SUM(E26:E28)</f>
        <v>0</v>
      </c>
      <c r="F29" s="116"/>
      <c r="G29" s="153"/>
      <c r="H29" s="154"/>
      <c r="I29" s="191">
        <f>SUM(I26:I28)</f>
        <v>0</v>
      </c>
      <c r="J29" s="116"/>
      <c r="K29" s="153"/>
      <c r="L29" s="154"/>
      <c r="M29" s="191">
        <f>SUM(M26:M28)</f>
        <v>0</v>
      </c>
      <c r="N29" s="116"/>
      <c r="O29" s="153"/>
      <c r="P29" s="154"/>
      <c r="Q29" s="191">
        <f>SUM(Q26:Q28)</f>
        <v>0</v>
      </c>
    </row>
    <row r="30" spans="1:17" ht="16.5" thickBot="1" x14ac:dyDescent="0.3">
      <c r="A30" s="138"/>
      <c r="B30" s="117"/>
      <c r="C30" s="118"/>
      <c r="D30" s="118"/>
      <c r="E30" s="199"/>
      <c r="F30" s="199"/>
      <c r="G30" s="199"/>
      <c r="H30" s="199"/>
      <c r="I30" s="199"/>
      <c r="J30" s="199"/>
      <c r="K30" s="199"/>
      <c r="L30" s="118"/>
      <c r="M30" s="118"/>
      <c r="N30" s="110"/>
      <c r="O30" s="199"/>
      <c r="P30" s="118"/>
      <c r="Q30" s="118"/>
    </row>
    <row r="31" spans="1:17" ht="16.5" customHeight="1" thickBot="1" x14ac:dyDescent="0.3">
      <c r="A31" s="138"/>
      <c r="B31" s="523" t="str">
        <f>B14</f>
        <v>CLIN 0002 (CPIF)                                                     TASK 1.03 DELIVERY OF MATERIAL TO SIMULATOR SPO</v>
      </c>
      <c r="C31" s="490" t="s">
        <v>80</v>
      </c>
      <c r="D31" s="491"/>
      <c r="E31" s="492"/>
      <c r="F31" s="120"/>
      <c r="G31" s="490" t="s">
        <v>80</v>
      </c>
      <c r="H31" s="491"/>
      <c r="I31" s="492"/>
      <c r="J31" s="120"/>
      <c r="K31" s="490" t="s">
        <v>80</v>
      </c>
      <c r="L31" s="491"/>
      <c r="M31" s="492"/>
      <c r="N31" s="120"/>
      <c r="O31" s="490" t="s">
        <v>80</v>
      </c>
      <c r="P31" s="491"/>
      <c r="Q31" s="492"/>
    </row>
    <row r="32" spans="1:17" ht="32.25" customHeight="1" thickBot="1" x14ac:dyDescent="0.3">
      <c r="A32" s="138"/>
      <c r="B32" s="524"/>
      <c r="C32" s="520" t="str">
        <f>C15</f>
        <v>CLIN 0002 - Basic Period (Year 1)</v>
      </c>
      <c r="D32" s="521"/>
      <c r="E32" s="522"/>
      <c r="F32" s="121"/>
      <c r="G32" s="520" t="str">
        <f>G15</f>
        <v>CLIN 0002 - Basic Period (Year 2)</v>
      </c>
      <c r="H32" s="521"/>
      <c r="I32" s="522"/>
      <c r="J32" s="121"/>
      <c r="K32" s="520" t="str">
        <f>K15</f>
        <v>CLIN 0002 - Basic Period (Year 3)</v>
      </c>
      <c r="L32" s="521"/>
      <c r="M32" s="522"/>
      <c r="N32" s="121"/>
      <c r="O32" s="520" t="str">
        <f>O15</f>
        <v>CLIN 0002 - Basic Period (Year 4)</v>
      </c>
      <c r="P32" s="521"/>
      <c r="Q32" s="522"/>
    </row>
    <row r="33" spans="1:17" x14ac:dyDescent="0.25">
      <c r="A33" s="138"/>
      <c r="B33" s="192"/>
      <c r="C33" s="98" t="s">
        <v>289</v>
      </c>
      <c r="D33" s="99" t="s">
        <v>286</v>
      </c>
      <c r="E33" s="100" t="s">
        <v>88</v>
      </c>
      <c r="F33" s="111"/>
      <c r="G33" s="98" t="s">
        <v>289</v>
      </c>
      <c r="H33" s="99" t="s">
        <v>286</v>
      </c>
      <c r="I33" s="100" t="s">
        <v>88</v>
      </c>
      <c r="J33" s="111"/>
      <c r="K33" s="98" t="s">
        <v>289</v>
      </c>
      <c r="L33" s="99" t="s">
        <v>286</v>
      </c>
      <c r="M33" s="100" t="s">
        <v>88</v>
      </c>
      <c r="N33" s="111"/>
      <c r="O33" s="98" t="s">
        <v>289</v>
      </c>
      <c r="P33" s="99" t="s">
        <v>286</v>
      </c>
      <c r="Q33" s="100" t="s">
        <v>88</v>
      </c>
    </row>
    <row r="34" spans="1:17" ht="51.75" x14ac:dyDescent="0.25">
      <c r="A34" s="138"/>
      <c r="B34" s="240" t="s">
        <v>445</v>
      </c>
      <c r="C34" s="176"/>
      <c r="D34" s="177"/>
      <c r="E34" s="310">
        <f>'SUB CPIF TOTAL MATERIAL'!E27</f>
        <v>0</v>
      </c>
      <c r="F34" s="110"/>
      <c r="G34" s="176"/>
      <c r="H34" s="177"/>
      <c r="I34" s="310">
        <f>'SUB CPIF TOTAL MATERIAL'!G27</f>
        <v>0</v>
      </c>
      <c r="J34" s="110"/>
      <c r="K34" s="176"/>
      <c r="L34" s="177"/>
      <c r="M34" s="310">
        <f>'SUB CPIF TOTAL MATERIAL'!I27</f>
        <v>0</v>
      </c>
      <c r="N34" s="110"/>
      <c r="O34" s="176"/>
      <c r="P34" s="177"/>
      <c r="Q34" s="310">
        <f>'SUB CPIF TOTAL MATERIAL'!K27</f>
        <v>0</v>
      </c>
    </row>
    <row r="35" spans="1:17" ht="67.5" customHeight="1" x14ac:dyDescent="0.25">
      <c r="A35" s="138"/>
      <c r="B35" s="261" t="s">
        <v>446</v>
      </c>
      <c r="C35" s="315"/>
      <c r="D35" s="316"/>
      <c r="E35" s="310"/>
      <c r="F35" s="110"/>
      <c r="G35" s="315"/>
      <c r="H35" s="316"/>
      <c r="I35" s="310"/>
      <c r="J35" s="110"/>
      <c r="K35" s="315"/>
      <c r="L35" s="316"/>
      <c r="M35" s="310"/>
      <c r="N35" s="110"/>
      <c r="O35" s="315"/>
      <c r="P35" s="316"/>
      <c r="Q35" s="310"/>
    </row>
    <row r="36" spans="1:17" x14ac:dyDescent="0.25">
      <c r="A36" s="138"/>
      <c r="B36" s="112" t="str">
        <f>'SUB CPIF RATES (ALL)'!B53</f>
        <v>Indirect Category: [Material Overhead]</v>
      </c>
      <c r="C36" s="160">
        <f>+E34</f>
        <v>0</v>
      </c>
      <c r="D36" s="188">
        <f>'SUB CPIF RATES (ALL)'!C53</f>
        <v>0</v>
      </c>
      <c r="E36" s="113">
        <f>ROUND(C36*D36,2)</f>
        <v>0</v>
      </c>
      <c r="F36" s="123"/>
      <c r="G36" s="160">
        <f>+I34</f>
        <v>0</v>
      </c>
      <c r="H36" s="188">
        <f>'SUB CPIF RATES (ALL)'!D53</f>
        <v>0</v>
      </c>
      <c r="I36" s="113">
        <f>ROUND(G36*H36,2)</f>
        <v>0</v>
      </c>
      <c r="J36" s="123"/>
      <c r="K36" s="160">
        <f>+M34</f>
        <v>0</v>
      </c>
      <c r="L36" s="188">
        <f>'SUB CPIF RATES (ALL)'!E53</f>
        <v>0</v>
      </c>
      <c r="M36" s="113">
        <f>ROUND(K36*L36,2)</f>
        <v>0</v>
      </c>
      <c r="N36" s="123"/>
      <c r="O36" s="160">
        <f>+Q34</f>
        <v>0</v>
      </c>
      <c r="P36" s="188">
        <f>'SUB CPIF RATES (ALL)'!F53</f>
        <v>0</v>
      </c>
      <c r="Q36" s="113">
        <f>ROUND(O36*P36,2)</f>
        <v>0</v>
      </c>
    </row>
    <row r="37" spans="1:17" x14ac:dyDescent="0.25">
      <c r="A37" s="138"/>
      <c r="B37" s="112" t="str">
        <f>'SUB CPIF RATES (ALL)'!B54</f>
        <v>Indirect Category: [G&amp;A]</v>
      </c>
      <c r="C37" s="160">
        <f>+C36+E36</f>
        <v>0</v>
      </c>
      <c r="D37" s="188">
        <f>'SUB CPIF RATES (ALL)'!C54</f>
        <v>0</v>
      </c>
      <c r="E37" s="113">
        <f>ROUND(C37*D37,2)</f>
        <v>0</v>
      </c>
      <c r="F37" s="123"/>
      <c r="G37" s="160">
        <f>+G36+I36</f>
        <v>0</v>
      </c>
      <c r="H37" s="188">
        <f>'SUB CPIF RATES (ALL)'!D54</f>
        <v>0</v>
      </c>
      <c r="I37" s="113">
        <f>ROUND(G37*H37,2)</f>
        <v>0</v>
      </c>
      <c r="J37" s="123"/>
      <c r="K37" s="160">
        <f>+K36+M36</f>
        <v>0</v>
      </c>
      <c r="L37" s="188">
        <f>'SUB CPIF RATES (ALL)'!E54</f>
        <v>0</v>
      </c>
      <c r="M37" s="113">
        <f>ROUND(K37*L37,2)</f>
        <v>0</v>
      </c>
      <c r="N37" s="123"/>
      <c r="O37" s="160">
        <f>+O36+Q36</f>
        <v>0</v>
      </c>
      <c r="P37" s="188">
        <f>'SUB CPIF RATES (ALL)'!F54</f>
        <v>0</v>
      </c>
      <c r="Q37" s="113">
        <f>ROUND(O37*P37,2)</f>
        <v>0</v>
      </c>
    </row>
    <row r="38" spans="1:17" x14ac:dyDescent="0.25">
      <c r="A38" s="138"/>
      <c r="B38" s="112" t="str">
        <f>'SUB CPIF RATES (ALL)'!B55</f>
        <v>Indirect Category: [FCCOM]</v>
      </c>
      <c r="C38" s="160">
        <f>C37+E37</f>
        <v>0</v>
      </c>
      <c r="D38" s="188">
        <f>'SUB CPIF RATES (ALL)'!C55</f>
        <v>0</v>
      </c>
      <c r="E38" s="113">
        <f>ROUND(C38*D38,2)</f>
        <v>0</v>
      </c>
      <c r="F38" s="110"/>
      <c r="G38" s="160">
        <f>G37+I37</f>
        <v>0</v>
      </c>
      <c r="H38" s="188">
        <f>'SUB CPIF RATES (ALL)'!D55</f>
        <v>0</v>
      </c>
      <c r="I38" s="113">
        <f>ROUND(G38*H38,2)</f>
        <v>0</v>
      </c>
      <c r="J38" s="110"/>
      <c r="K38" s="160">
        <f>K37+M37</f>
        <v>0</v>
      </c>
      <c r="L38" s="188">
        <f>'SUB CPIF RATES (ALL)'!E55</f>
        <v>0</v>
      </c>
      <c r="M38" s="113">
        <f>ROUND(K38*L38,2)</f>
        <v>0</v>
      </c>
      <c r="N38" s="110"/>
      <c r="O38" s="160">
        <f>O37+Q37</f>
        <v>0</v>
      </c>
      <c r="P38" s="188">
        <f>'SUB CPIF RATES (ALL)'!F55</f>
        <v>0</v>
      </c>
      <c r="Q38" s="113">
        <f>ROUND(O38*P38,2)</f>
        <v>0</v>
      </c>
    </row>
    <row r="39" spans="1:17" x14ac:dyDescent="0.25">
      <c r="A39" s="138"/>
      <c r="B39" s="112" t="str">
        <f>'SUB CPIF RATES (ALL)'!B56</f>
        <v>Indirect Category: [Target Fee]</v>
      </c>
      <c r="C39" s="160">
        <f>+C37+E37</f>
        <v>0</v>
      </c>
      <c r="D39" s="188">
        <f>'SUB CPIF RATES (ALL)'!C56</f>
        <v>0</v>
      </c>
      <c r="E39" s="113">
        <f>ROUND(C39*D39,2)</f>
        <v>0</v>
      </c>
      <c r="F39" s="110"/>
      <c r="G39" s="160">
        <f>+G37+I37</f>
        <v>0</v>
      </c>
      <c r="H39" s="188">
        <f>'SUB CPIF RATES (ALL)'!D56</f>
        <v>0</v>
      </c>
      <c r="I39" s="113">
        <f>ROUND(G39*H39,2)</f>
        <v>0</v>
      </c>
      <c r="J39" s="110"/>
      <c r="K39" s="160">
        <f>+K37+M37</f>
        <v>0</v>
      </c>
      <c r="L39" s="188">
        <f>'SUB CPIF RATES (ALL)'!E56</f>
        <v>0</v>
      </c>
      <c r="M39" s="113">
        <f>ROUND(K39*L39,2)</f>
        <v>0</v>
      </c>
      <c r="N39" s="110"/>
      <c r="O39" s="160">
        <f>+O37+Q37</f>
        <v>0</v>
      </c>
      <c r="P39" s="188">
        <f>'SUB CPIF RATES (ALL)'!F56</f>
        <v>0</v>
      </c>
      <c r="Q39" s="113">
        <f>ROUND(O39*P39,2)</f>
        <v>0</v>
      </c>
    </row>
    <row r="40" spans="1:17" x14ac:dyDescent="0.25">
      <c r="A40" s="138"/>
      <c r="B40" s="186" t="s">
        <v>186</v>
      </c>
      <c r="C40" s="178"/>
      <c r="D40" s="179"/>
      <c r="E40" s="113">
        <f>ROUND(SUM(E34:E37),2)</f>
        <v>0</v>
      </c>
      <c r="F40" s="110"/>
      <c r="G40" s="178"/>
      <c r="H40" s="179"/>
      <c r="I40" s="113">
        <f>ROUND(SUM(I34:I37),2)</f>
        <v>0</v>
      </c>
      <c r="J40" s="110"/>
      <c r="K40" s="178"/>
      <c r="L40" s="179"/>
      <c r="M40" s="113">
        <f>ROUND(SUM(M34:M37),2)</f>
        <v>0</v>
      </c>
      <c r="N40" s="110"/>
      <c r="O40" s="178"/>
      <c r="P40" s="179"/>
      <c r="Q40" s="113">
        <f>ROUND(SUM(Q34:Q37),2)</f>
        <v>0</v>
      </c>
    </row>
    <row r="41" spans="1:17" x14ac:dyDescent="0.25">
      <c r="A41" s="138"/>
      <c r="B41" s="186" t="s">
        <v>72</v>
      </c>
      <c r="C41" s="176"/>
      <c r="D41" s="180"/>
      <c r="E41" s="113">
        <f>ROUND(E38,2)</f>
        <v>0</v>
      </c>
      <c r="F41" s="110"/>
      <c r="G41" s="176"/>
      <c r="H41" s="180"/>
      <c r="I41" s="113">
        <f>ROUND(I38,2)</f>
        <v>0</v>
      </c>
      <c r="J41" s="110"/>
      <c r="K41" s="176"/>
      <c r="L41" s="180"/>
      <c r="M41" s="113">
        <f>ROUND(M38,2)</f>
        <v>0</v>
      </c>
      <c r="N41" s="110"/>
      <c r="O41" s="176"/>
      <c r="P41" s="180"/>
      <c r="Q41" s="113">
        <f>ROUND(Q38,2)</f>
        <v>0</v>
      </c>
    </row>
    <row r="42" spans="1:17" x14ac:dyDescent="0.2">
      <c r="B42" s="186" t="s">
        <v>71</v>
      </c>
      <c r="C42" s="176"/>
      <c r="D42" s="180"/>
      <c r="E42" s="127">
        <f>ROUND(E39,2)</f>
        <v>0</v>
      </c>
      <c r="F42" s="128"/>
      <c r="G42" s="176"/>
      <c r="H42" s="180"/>
      <c r="I42" s="127">
        <f>ROUND(I39,2)</f>
        <v>0</v>
      </c>
      <c r="J42" s="128"/>
      <c r="K42" s="176"/>
      <c r="L42" s="180"/>
      <c r="M42" s="127">
        <f>ROUND(M39,2)</f>
        <v>0</v>
      </c>
      <c r="N42" s="128"/>
      <c r="O42" s="176"/>
      <c r="P42" s="180"/>
      <c r="Q42" s="127">
        <f>ROUND(Q39,2)</f>
        <v>0</v>
      </c>
    </row>
    <row r="43" spans="1:17" ht="16.5" thickBot="1" x14ac:dyDescent="0.25">
      <c r="B43" s="187" t="s">
        <v>173</v>
      </c>
      <c r="C43" s="181"/>
      <c r="D43" s="182"/>
      <c r="E43" s="105">
        <f t="shared" ref="E43" si="0">SUM(E40:E42)</f>
        <v>0</v>
      </c>
      <c r="F43" s="106"/>
      <c r="G43" s="181"/>
      <c r="H43" s="182"/>
      <c r="I43" s="105">
        <f t="shared" ref="I43" si="1">SUM(I40:I42)</f>
        <v>0</v>
      </c>
      <c r="J43" s="106"/>
      <c r="K43" s="181"/>
      <c r="L43" s="182"/>
      <c r="M43" s="105">
        <f t="shared" ref="M43" si="2">SUM(M40:M42)</f>
        <v>0</v>
      </c>
      <c r="N43" s="106"/>
      <c r="O43" s="181"/>
      <c r="P43" s="182"/>
      <c r="Q43" s="105">
        <f t="shared" ref="Q43" si="3">SUM(Q40:Q42)</f>
        <v>0</v>
      </c>
    </row>
    <row r="44" spans="1:17" ht="16.5" thickBot="1" x14ac:dyDescent="0.25">
      <c r="B44" s="117"/>
      <c r="E44" s="194"/>
      <c r="F44" s="194"/>
      <c r="G44" s="194"/>
      <c r="H44" s="194"/>
      <c r="I44" s="194"/>
      <c r="J44" s="194"/>
      <c r="K44" s="194"/>
      <c r="N44" s="132"/>
      <c r="O44" s="194"/>
    </row>
    <row r="45" spans="1:17" ht="16.5" thickBot="1" x14ac:dyDescent="0.3">
      <c r="B45" s="523" t="str">
        <f>B14</f>
        <v>CLIN 0002 (CPIF)                                                     TASK 1.03 DELIVERY OF MATERIAL TO SIMULATOR SPO</v>
      </c>
      <c r="C45" s="490" t="s">
        <v>212</v>
      </c>
      <c r="D45" s="491"/>
      <c r="E45" s="492"/>
      <c r="F45" s="120"/>
      <c r="G45" s="490" t="s">
        <v>212</v>
      </c>
      <c r="H45" s="491"/>
      <c r="I45" s="492"/>
      <c r="J45" s="120"/>
      <c r="K45" s="490" t="s">
        <v>212</v>
      </c>
      <c r="L45" s="491"/>
      <c r="M45" s="492"/>
      <c r="N45" s="120"/>
      <c r="O45" s="490" t="s">
        <v>212</v>
      </c>
      <c r="P45" s="491"/>
      <c r="Q45" s="492"/>
    </row>
    <row r="46" spans="1:17" ht="27.75" customHeight="1" thickBot="1" x14ac:dyDescent="0.3">
      <c r="B46" s="524"/>
      <c r="C46" s="520" t="str">
        <f>C32</f>
        <v>CLIN 0002 - Basic Period (Year 1)</v>
      </c>
      <c r="D46" s="521"/>
      <c r="E46" s="522"/>
      <c r="F46" s="121"/>
      <c r="G46" s="520" t="str">
        <f>G32</f>
        <v>CLIN 0002 - Basic Period (Year 2)</v>
      </c>
      <c r="H46" s="521"/>
      <c r="I46" s="522"/>
      <c r="J46" s="121"/>
      <c r="K46" s="520" t="str">
        <f>K32</f>
        <v>CLIN 0002 - Basic Period (Year 3)</v>
      </c>
      <c r="L46" s="521"/>
      <c r="M46" s="522"/>
      <c r="N46" s="121"/>
      <c r="O46" s="520" t="str">
        <f>O32</f>
        <v>CLIN 0002 - Basic Period (Year 4)</v>
      </c>
      <c r="P46" s="521"/>
      <c r="Q46" s="522"/>
    </row>
    <row r="47" spans="1:17" x14ac:dyDescent="0.25">
      <c r="B47" s="193"/>
      <c r="C47" s="98" t="s">
        <v>289</v>
      </c>
      <c r="D47" s="99" t="s">
        <v>286</v>
      </c>
      <c r="E47" s="100" t="s">
        <v>287</v>
      </c>
      <c r="F47" s="111"/>
      <c r="G47" s="98" t="s">
        <v>289</v>
      </c>
      <c r="H47" s="99" t="s">
        <v>286</v>
      </c>
      <c r="I47" s="100" t="s">
        <v>287</v>
      </c>
      <c r="J47" s="111"/>
      <c r="K47" s="98" t="s">
        <v>289</v>
      </c>
      <c r="L47" s="99" t="s">
        <v>286</v>
      </c>
      <c r="M47" s="100" t="s">
        <v>287</v>
      </c>
      <c r="N47" s="111"/>
      <c r="O47" s="98" t="s">
        <v>289</v>
      </c>
      <c r="P47" s="99" t="s">
        <v>286</v>
      </c>
      <c r="Q47" s="100" t="s">
        <v>287</v>
      </c>
    </row>
    <row r="48" spans="1:17" ht="25.5" x14ac:dyDescent="0.2">
      <c r="B48" s="240" t="s">
        <v>407</v>
      </c>
      <c r="C48" s="226"/>
      <c r="D48" s="226"/>
      <c r="E48" s="262">
        <f>'SUB CPIF TOTAL SUB'!E27</f>
        <v>0</v>
      </c>
      <c r="F48" s="229"/>
      <c r="G48" s="176"/>
      <c r="H48" s="226"/>
      <c r="I48" s="262">
        <f>'SUB CPIF TOTAL SUB'!G27</f>
        <v>0</v>
      </c>
      <c r="J48" s="229"/>
      <c r="K48" s="176"/>
      <c r="L48" s="226"/>
      <c r="M48" s="262">
        <f>'SUB CPIF TOTAL SUB'!I27</f>
        <v>0</v>
      </c>
      <c r="N48" s="110"/>
      <c r="O48" s="176"/>
      <c r="P48" s="226"/>
      <c r="Q48" s="262">
        <f>'SUB CPIF TOTAL SUB'!K27</f>
        <v>0</v>
      </c>
    </row>
    <row r="49" spans="1:17" ht="76.5" x14ac:dyDescent="0.2">
      <c r="B49" s="261" t="s">
        <v>280</v>
      </c>
      <c r="C49" s="527" t="s">
        <v>1</v>
      </c>
      <c r="D49" s="528"/>
      <c r="E49" s="529"/>
      <c r="F49" s="123"/>
      <c r="G49" s="530"/>
      <c r="H49" s="528"/>
      <c r="I49" s="529"/>
      <c r="J49" s="123"/>
      <c r="K49" s="530"/>
      <c r="L49" s="528"/>
      <c r="M49" s="529"/>
      <c r="N49" s="123"/>
      <c r="O49" s="530"/>
      <c r="P49" s="528"/>
      <c r="Q49" s="529"/>
    </row>
    <row r="50" spans="1:17" x14ac:dyDescent="0.2">
      <c r="B50" s="228" t="str">
        <f>'SUB CPIF RATES (ALL)'!B45</f>
        <v>Indirect Category: [Overhead]</v>
      </c>
      <c r="C50" s="227">
        <f>E48</f>
        <v>0</v>
      </c>
      <c r="D50" s="188">
        <f>'SUB CPIF RATES (ALL)'!C45</f>
        <v>0</v>
      </c>
      <c r="E50" s="113">
        <f>ROUND(C50*D50,2)</f>
        <v>0</v>
      </c>
      <c r="F50" s="123"/>
      <c r="G50" s="160">
        <f>I48</f>
        <v>0</v>
      </c>
      <c r="H50" s="188">
        <f>'SUB CPIF RATES (ALL)'!D45</f>
        <v>0</v>
      </c>
      <c r="I50" s="113">
        <f>ROUND(G50*H50,2)</f>
        <v>0</v>
      </c>
      <c r="J50" s="123"/>
      <c r="K50" s="160">
        <f>M48</f>
        <v>0</v>
      </c>
      <c r="L50" s="188">
        <f>'SUB CPIF RATES (ALL)'!E45</f>
        <v>0</v>
      </c>
      <c r="M50" s="113">
        <f>ROUND(K50*L50,2)</f>
        <v>0</v>
      </c>
      <c r="N50" s="123"/>
      <c r="O50" s="160">
        <f>Q48</f>
        <v>0</v>
      </c>
      <c r="P50" s="188">
        <f>'SUB CPIF RATES (ALL)'!F45</f>
        <v>0</v>
      </c>
      <c r="Q50" s="113">
        <f>ROUND(O50*P50,2)</f>
        <v>0</v>
      </c>
    </row>
    <row r="51" spans="1:17" x14ac:dyDescent="0.2">
      <c r="B51" s="228" t="str">
        <f>'SUB CPIF RATES (ALL)'!B46</f>
        <v>Indirect Category: [G&amp;A]</v>
      </c>
      <c r="C51" s="227">
        <f>C50+E50</f>
        <v>0</v>
      </c>
      <c r="D51" s="188">
        <f>'SUB CPIF RATES (ALL)'!C46</f>
        <v>0</v>
      </c>
      <c r="E51" s="113">
        <f>ROUND(C51*D51,2)</f>
        <v>0</v>
      </c>
      <c r="F51" s="229"/>
      <c r="G51" s="227">
        <f>G50+I50</f>
        <v>0</v>
      </c>
      <c r="H51" s="188">
        <f>'SUB CPIF RATES (ALL)'!D46</f>
        <v>0</v>
      </c>
      <c r="I51" s="113">
        <f>ROUND(G51*H51,2)</f>
        <v>0</v>
      </c>
      <c r="J51" s="229"/>
      <c r="K51" s="227">
        <f>K50+M50</f>
        <v>0</v>
      </c>
      <c r="L51" s="188">
        <f>'SUB CPIF RATES (ALL)'!E46</f>
        <v>0</v>
      </c>
      <c r="M51" s="113">
        <f>ROUND(K51*L51,2)</f>
        <v>0</v>
      </c>
      <c r="N51" s="110"/>
      <c r="O51" s="227">
        <f>O50+Q50</f>
        <v>0</v>
      </c>
      <c r="P51" s="188">
        <f>'SUB CPIF RATES (ALL)'!F46</f>
        <v>0</v>
      </c>
      <c r="Q51" s="113">
        <f>ROUND(O51*P51,2)</f>
        <v>0</v>
      </c>
    </row>
    <row r="52" spans="1:17" x14ac:dyDescent="0.2">
      <c r="B52" s="266" t="str">
        <f>'SUB CPIF RATES (ALL)'!B47</f>
        <v>Indirect Category: [FCCOM]</v>
      </c>
      <c r="C52" s="160">
        <f>C51+E51</f>
        <v>0</v>
      </c>
      <c r="D52" s="188">
        <f>'SUB CPIF RATES (ALL)'!C47</f>
        <v>0</v>
      </c>
      <c r="E52" s="268">
        <f>ROUND(C52*D52,2)</f>
        <v>0</v>
      </c>
      <c r="F52" s="229"/>
      <c r="G52" s="160">
        <f>G51+I51</f>
        <v>0</v>
      </c>
      <c r="H52" s="188">
        <f>'SUB CPIF RATES (ALL)'!D47</f>
        <v>0</v>
      </c>
      <c r="I52" s="268">
        <f>ROUND(G52*H52,2)</f>
        <v>0</v>
      </c>
      <c r="J52" s="229"/>
      <c r="K52" s="160">
        <f>K51+M51</f>
        <v>0</v>
      </c>
      <c r="L52" s="188">
        <f>'SUB CPIF RATES (ALL)'!E47</f>
        <v>0</v>
      </c>
      <c r="M52" s="113">
        <f>ROUND(K52*L52,2)</f>
        <v>0</v>
      </c>
      <c r="N52" s="110"/>
      <c r="O52" s="160">
        <f>O51+Q51</f>
        <v>0</v>
      </c>
      <c r="P52" s="188">
        <f>'SUB CPIF RATES (ALL)'!F47</f>
        <v>0</v>
      </c>
      <c r="Q52" s="113">
        <f>ROUND(O52*P52,2)</f>
        <v>0</v>
      </c>
    </row>
    <row r="53" spans="1:17" x14ac:dyDescent="0.2">
      <c r="B53" s="112" t="str">
        <f>'SUB CPIF RATES (ALL)'!B48</f>
        <v>Indirect Category: [Target Fee]</v>
      </c>
      <c r="C53" s="159">
        <f>C51+E51</f>
        <v>0</v>
      </c>
      <c r="D53" s="269">
        <f>'SUB CPIF RATES (ALL)'!C48</f>
        <v>0</v>
      </c>
      <c r="E53" s="268">
        <f>ROUND(C53*D53,2)</f>
        <v>0</v>
      </c>
      <c r="F53" s="229"/>
      <c r="G53" s="159">
        <f>G51+I51</f>
        <v>0</v>
      </c>
      <c r="H53" s="269">
        <f>'SUB CPIF RATES (ALL)'!D48</f>
        <v>0</v>
      </c>
      <c r="I53" s="268">
        <f>ROUND(G53*H53,2)</f>
        <v>0</v>
      </c>
      <c r="J53" s="229"/>
      <c r="K53" s="159">
        <f>K51+M51</f>
        <v>0</v>
      </c>
      <c r="L53" s="269">
        <f>'SUB CPIF RATES (ALL)'!E48</f>
        <v>0</v>
      </c>
      <c r="M53" s="268">
        <f>ROUND(K53*L53,2)</f>
        <v>0</v>
      </c>
      <c r="N53" s="110"/>
      <c r="O53" s="159">
        <f>O51+Q51</f>
        <v>0</v>
      </c>
      <c r="P53" s="269">
        <f>'SUB CPIF RATES (ALL)'!F48</f>
        <v>0</v>
      </c>
      <c r="Q53" s="268">
        <f>ROUND(O53*P53,2)</f>
        <v>0</v>
      </c>
    </row>
    <row r="54" spans="1:17" x14ac:dyDescent="0.2">
      <c r="B54" s="186" t="s">
        <v>214</v>
      </c>
      <c r="C54" s="178"/>
      <c r="D54" s="179"/>
      <c r="E54" s="113">
        <f>ROUND(E48+E50+E51,2)</f>
        <v>0</v>
      </c>
      <c r="F54" s="229"/>
      <c r="G54" s="178"/>
      <c r="H54" s="179"/>
      <c r="I54" s="113">
        <f>ROUND(I48+I50+I51,2)</f>
        <v>0</v>
      </c>
      <c r="J54" s="229"/>
      <c r="K54" s="178"/>
      <c r="L54" s="179"/>
      <c r="M54" s="113">
        <f>ROUND(M48+M50+M51,2)</f>
        <v>0</v>
      </c>
      <c r="N54" s="110"/>
      <c r="O54" s="178"/>
      <c r="P54" s="179"/>
      <c r="Q54" s="113">
        <f>ROUND(Q48+Q50+Q51,2)</f>
        <v>0</v>
      </c>
    </row>
    <row r="55" spans="1:17" x14ac:dyDescent="0.2">
      <c r="B55" s="186" t="s">
        <v>204</v>
      </c>
      <c r="C55" s="176"/>
      <c r="D55" s="180"/>
      <c r="E55" s="113">
        <f>ROUND(E52,2)</f>
        <v>0</v>
      </c>
      <c r="F55" s="229"/>
      <c r="G55" s="176"/>
      <c r="H55" s="180"/>
      <c r="I55" s="113">
        <f>ROUND(I52,2)</f>
        <v>0</v>
      </c>
      <c r="J55" s="229"/>
      <c r="K55" s="176"/>
      <c r="L55" s="180"/>
      <c r="M55" s="113">
        <f>ROUND(M52,2)</f>
        <v>0</v>
      </c>
      <c r="N55" s="110"/>
      <c r="O55" s="176"/>
      <c r="P55" s="180"/>
      <c r="Q55" s="113">
        <f>ROUND(Q52,2)</f>
        <v>0</v>
      </c>
    </row>
    <row r="56" spans="1:17" x14ac:dyDescent="0.2">
      <c r="B56" s="186" t="s">
        <v>71</v>
      </c>
      <c r="C56" s="176"/>
      <c r="D56" s="180"/>
      <c r="E56" s="127">
        <f>ROUND(E53,2)</f>
        <v>0</v>
      </c>
      <c r="F56" s="128"/>
      <c r="G56" s="176"/>
      <c r="H56" s="180"/>
      <c r="I56" s="127">
        <f>ROUND(I53,2)</f>
        <v>0</v>
      </c>
      <c r="J56" s="128"/>
      <c r="K56" s="176"/>
      <c r="L56" s="180"/>
      <c r="M56" s="127">
        <f>ROUND(M53,2)</f>
        <v>0</v>
      </c>
      <c r="N56" s="128"/>
      <c r="O56" s="176"/>
      <c r="P56" s="180"/>
      <c r="Q56" s="127">
        <f>ROUND(Q53,2)</f>
        <v>0</v>
      </c>
    </row>
    <row r="57" spans="1:17" ht="16.5" thickBot="1" x14ac:dyDescent="0.25">
      <c r="B57" s="187" t="s">
        <v>215</v>
      </c>
      <c r="C57" s="181"/>
      <c r="D57" s="182"/>
      <c r="E57" s="105">
        <f>SUM(E54:E56)</f>
        <v>0</v>
      </c>
      <c r="F57" s="106"/>
      <c r="G57" s="181"/>
      <c r="H57" s="182"/>
      <c r="I57" s="105">
        <f>SUM(I54:I56)</f>
        <v>0</v>
      </c>
      <c r="J57" s="106"/>
      <c r="K57" s="181"/>
      <c r="L57" s="182"/>
      <c r="M57" s="105">
        <f>SUM(M54:M56)</f>
        <v>0</v>
      </c>
      <c r="N57" s="106"/>
      <c r="O57" s="181"/>
      <c r="P57" s="182"/>
      <c r="Q57" s="105">
        <f>SUM(Q54:Q56)</f>
        <v>0</v>
      </c>
    </row>
    <row r="58" spans="1:17" ht="16.5" thickBot="1" x14ac:dyDescent="0.25">
      <c r="B58" s="117"/>
      <c r="E58" s="194"/>
      <c r="F58" s="194"/>
      <c r="G58" s="194"/>
      <c r="H58" s="194"/>
      <c r="I58" s="194"/>
      <c r="J58" s="194"/>
      <c r="K58" s="194"/>
      <c r="N58" s="132"/>
      <c r="O58" s="194"/>
    </row>
    <row r="59" spans="1:17" ht="16.5" customHeight="1" thickBot="1" x14ac:dyDescent="0.3">
      <c r="A59" s="138"/>
      <c r="B59" s="523" t="str">
        <f>B31</f>
        <v>CLIN 0002 (CPIF)                                                     TASK 1.03 DELIVERY OF MATERIAL TO SIMULATOR SPO</v>
      </c>
      <c r="C59" s="490" t="s">
        <v>81</v>
      </c>
      <c r="D59" s="491"/>
      <c r="E59" s="492"/>
      <c r="F59" s="120"/>
      <c r="G59" s="490" t="s">
        <v>82</v>
      </c>
      <c r="H59" s="491"/>
      <c r="I59" s="492"/>
      <c r="J59" s="120"/>
      <c r="K59" s="490" t="s">
        <v>82</v>
      </c>
      <c r="L59" s="491"/>
      <c r="M59" s="492"/>
      <c r="N59" s="120"/>
      <c r="O59" s="490" t="s">
        <v>82</v>
      </c>
      <c r="P59" s="491"/>
      <c r="Q59" s="492"/>
    </row>
    <row r="60" spans="1:17" ht="33.75" customHeight="1" thickBot="1" x14ac:dyDescent="0.3">
      <c r="A60" s="138"/>
      <c r="B60" s="524"/>
      <c r="C60" s="520" t="str">
        <f>C32</f>
        <v>CLIN 0002 - Basic Period (Year 1)</v>
      </c>
      <c r="D60" s="521"/>
      <c r="E60" s="522"/>
      <c r="F60" s="121"/>
      <c r="G60" s="520" t="str">
        <f>G32</f>
        <v>CLIN 0002 - Basic Period (Year 2)</v>
      </c>
      <c r="H60" s="521"/>
      <c r="I60" s="522"/>
      <c r="J60" s="121"/>
      <c r="K60" s="520" t="str">
        <f>K32</f>
        <v>CLIN 0002 - Basic Period (Year 3)</v>
      </c>
      <c r="L60" s="521"/>
      <c r="M60" s="522"/>
      <c r="N60" s="121"/>
      <c r="O60" s="520" t="str">
        <f>O32</f>
        <v>CLIN 0002 - Basic Period (Year 4)</v>
      </c>
      <c r="P60" s="521"/>
      <c r="Q60" s="522"/>
    </row>
    <row r="61" spans="1:17" x14ac:dyDescent="0.25">
      <c r="A61" s="138"/>
      <c r="B61" s="193"/>
      <c r="C61" s="98" t="s">
        <v>289</v>
      </c>
      <c r="D61" s="99" t="s">
        <v>286</v>
      </c>
      <c r="E61" s="100" t="s">
        <v>89</v>
      </c>
      <c r="F61" s="111"/>
      <c r="G61" s="98" t="s">
        <v>289</v>
      </c>
      <c r="H61" s="99" t="s">
        <v>286</v>
      </c>
      <c r="I61" s="100" t="s">
        <v>89</v>
      </c>
      <c r="J61" s="111"/>
      <c r="K61" s="98" t="s">
        <v>289</v>
      </c>
      <c r="L61" s="99" t="s">
        <v>286</v>
      </c>
      <c r="M61" s="100" t="s">
        <v>89</v>
      </c>
      <c r="N61" s="111"/>
      <c r="O61" s="98" t="s">
        <v>289</v>
      </c>
      <c r="P61" s="99" t="s">
        <v>286</v>
      </c>
      <c r="Q61" s="100" t="s">
        <v>89</v>
      </c>
    </row>
    <row r="62" spans="1:17" ht="26.25" x14ac:dyDescent="0.25">
      <c r="A62" s="138"/>
      <c r="B62" s="240" t="s">
        <v>449</v>
      </c>
      <c r="C62" s="176"/>
      <c r="D62" s="226"/>
      <c r="E62" s="262">
        <f>'SUB CPIF TOTAL ODC'!E28</f>
        <v>0</v>
      </c>
      <c r="F62" s="229"/>
      <c r="G62" s="176"/>
      <c r="H62" s="226"/>
      <c r="I62" s="262">
        <f>'SUB CPIF TOTAL ODC'!G28</f>
        <v>0</v>
      </c>
      <c r="J62" s="229"/>
      <c r="K62" s="176"/>
      <c r="L62" s="226"/>
      <c r="M62" s="310">
        <f>'SUB CPIF TOTAL ODC'!I28</f>
        <v>0</v>
      </c>
      <c r="N62" s="229"/>
      <c r="O62" s="176"/>
      <c r="P62" s="226"/>
      <c r="Q62" s="310">
        <f>'SUB CPIF TOTAL ODC'!K28</f>
        <v>0</v>
      </c>
    </row>
    <row r="63" spans="1:17" ht="66" customHeight="1" x14ac:dyDescent="0.25">
      <c r="A63" s="138"/>
      <c r="B63" s="374" t="s">
        <v>450</v>
      </c>
      <c r="C63" s="314"/>
      <c r="D63" s="314"/>
      <c r="E63" s="313"/>
      <c r="F63" s="229"/>
      <c r="G63" s="315"/>
      <c r="H63" s="314"/>
      <c r="I63" s="313"/>
      <c r="J63" s="229"/>
      <c r="K63" s="315"/>
      <c r="L63" s="314"/>
      <c r="M63" s="310"/>
      <c r="N63" s="229"/>
      <c r="O63" s="315"/>
      <c r="P63" s="314"/>
      <c r="Q63" s="310"/>
    </row>
    <row r="64" spans="1:17" x14ac:dyDescent="0.25">
      <c r="A64" s="138"/>
      <c r="B64" s="112" t="s">
        <v>60</v>
      </c>
      <c r="C64" s="160">
        <f>+E62</f>
        <v>0</v>
      </c>
      <c r="D64" s="188">
        <f>'SUB CPIF RATES (ALL)'!C61</f>
        <v>0</v>
      </c>
      <c r="E64" s="113">
        <f>ROUND(C64*D64,2)</f>
        <v>0</v>
      </c>
      <c r="F64" s="123"/>
      <c r="G64" s="160">
        <f>+I62</f>
        <v>0</v>
      </c>
      <c r="H64" s="188">
        <f>'SUB CPIF RATES (ALL)'!D61</f>
        <v>0</v>
      </c>
      <c r="I64" s="113">
        <f>ROUND(G64*H64,2)</f>
        <v>0</v>
      </c>
      <c r="J64" s="123"/>
      <c r="K64" s="160">
        <f>+M62</f>
        <v>0</v>
      </c>
      <c r="L64" s="188">
        <f>'SUB CPIF RATES (ALL)'!E61</f>
        <v>0</v>
      </c>
      <c r="M64" s="113">
        <f>ROUND(K64*L64,2)</f>
        <v>0</v>
      </c>
      <c r="N64" s="123"/>
      <c r="O64" s="160">
        <f>+Q62</f>
        <v>0</v>
      </c>
      <c r="P64" s="188">
        <f>'SUB CPIF RATES (ALL)'!F61</f>
        <v>0</v>
      </c>
      <c r="Q64" s="113">
        <f>ROUND(O64*P64,2)</f>
        <v>0</v>
      </c>
    </row>
    <row r="65" spans="1:17" x14ac:dyDescent="0.25">
      <c r="A65" s="138"/>
      <c r="B65" s="112" t="s">
        <v>61</v>
      </c>
      <c r="C65" s="160">
        <f>+C64+E64</f>
        <v>0</v>
      </c>
      <c r="D65" s="188">
        <f>'SUB CPIF RATES (ALL)'!C62</f>
        <v>0</v>
      </c>
      <c r="E65" s="113">
        <f>ROUND(C65*D65,2)</f>
        <v>0</v>
      </c>
      <c r="F65" s="123"/>
      <c r="G65" s="160">
        <f>+G64+I64</f>
        <v>0</v>
      </c>
      <c r="H65" s="188">
        <f>'SUB CPIF RATES (ALL)'!D62</f>
        <v>0</v>
      </c>
      <c r="I65" s="113">
        <f>ROUND(G65*H65,2)</f>
        <v>0</v>
      </c>
      <c r="J65" s="123"/>
      <c r="K65" s="160">
        <f>+K64+M64</f>
        <v>0</v>
      </c>
      <c r="L65" s="188">
        <f>'SUB CPIF RATES (ALL)'!E62</f>
        <v>0</v>
      </c>
      <c r="M65" s="113">
        <f>ROUND(K65*L65,2)</f>
        <v>0</v>
      </c>
      <c r="N65" s="123"/>
      <c r="O65" s="160">
        <f>+O64+Q64</f>
        <v>0</v>
      </c>
      <c r="P65" s="188">
        <f>'SUB CPIF RATES (ALL)'!F62</f>
        <v>0</v>
      </c>
      <c r="Q65" s="113">
        <f>ROUND(O65*P65,2)</f>
        <v>0</v>
      </c>
    </row>
    <row r="66" spans="1:17" x14ac:dyDescent="0.25">
      <c r="A66" s="138"/>
      <c r="B66" s="112" t="s">
        <v>411</v>
      </c>
      <c r="C66" s="160">
        <f>C65+E65</f>
        <v>0</v>
      </c>
      <c r="D66" s="188">
        <f>'SUB CPIF RATES (ALL)'!C63</f>
        <v>0</v>
      </c>
      <c r="E66" s="113">
        <f>ROUND(C66*D66,2)</f>
        <v>0</v>
      </c>
      <c r="F66" s="229"/>
      <c r="G66" s="160">
        <f>G65+I65</f>
        <v>0</v>
      </c>
      <c r="H66" s="188">
        <f>'SUB CPIF RATES (ALL)'!D63</f>
        <v>0</v>
      </c>
      <c r="I66" s="113">
        <f>ROUND(G66*H66,2)</f>
        <v>0</v>
      </c>
      <c r="J66" s="229"/>
      <c r="K66" s="160">
        <f>K65+M65</f>
        <v>0</v>
      </c>
      <c r="L66" s="188">
        <f>'SUB CPIF RATES (ALL)'!E63</f>
        <v>0</v>
      </c>
      <c r="M66" s="113">
        <f>ROUND(K66*L66,2)</f>
        <v>0</v>
      </c>
      <c r="N66" s="229"/>
      <c r="O66" s="160">
        <f>O65+Q65</f>
        <v>0</v>
      </c>
      <c r="P66" s="188">
        <f>'SUB CPIF RATES (ALL)'!F63</f>
        <v>0</v>
      </c>
      <c r="Q66" s="113">
        <f>ROUND(O66*P66,2)</f>
        <v>0</v>
      </c>
    </row>
    <row r="67" spans="1:17" x14ac:dyDescent="0.25">
      <c r="A67" s="138"/>
      <c r="B67" s="112" t="s">
        <v>62</v>
      </c>
      <c r="C67" s="160">
        <f>+C65+E65</f>
        <v>0</v>
      </c>
      <c r="D67" s="269">
        <f>'SUB CPIF RATES (ALL)'!C64</f>
        <v>0</v>
      </c>
      <c r="E67" s="113">
        <f>ROUND(C67*D67,2)</f>
        <v>0</v>
      </c>
      <c r="F67" s="229"/>
      <c r="G67" s="160">
        <f>+G65+I65</f>
        <v>0</v>
      </c>
      <c r="H67" s="269">
        <f>'SUB CPIF RATES (ALL)'!D64</f>
        <v>0</v>
      </c>
      <c r="I67" s="113">
        <f>ROUND(G67*H67,2)</f>
        <v>0</v>
      </c>
      <c r="J67" s="229"/>
      <c r="K67" s="160">
        <f>+K65+M65</f>
        <v>0</v>
      </c>
      <c r="L67" s="269">
        <f>'SUB CPIF RATES (ALL)'!E64</f>
        <v>0</v>
      </c>
      <c r="M67" s="113">
        <f>ROUND(K67*L67,2)</f>
        <v>0</v>
      </c>
      <c r="N67" s="229"/>
      <c r="O67" s="160">
        <f>+O65+Q65</f>
        <v>0</v>
      </c>
      <c r="P67" s="269">
        <f>'SUB CPIF RATES (ALL)'!F64</f>
        <v>0</v>
      </c>
      <c r="Q67" s="113">
        <f>ROUND(O67*P67,2)</f>
        <v>0</v>
      </c>
    </row>
    <row r="68" spans="1:17" x14ac:dyDescent="0.25">
      <c r="A68" s="138"/>
      <c r="B68" s="186" t="s">
        <v>187</v>
      </c>
      <c r="C68" s="178"/>
      <c r="D68" s="179"/>
      <c r="E68" s="113">
        <f>ROUND(SUM(E62:E65),2)</f>
        <v>0</v>
      </c>
      <c r="F68" s="229"/>
      <c r="G68" s="178"/>
      <c r="H68" s="179"/>
      <c r="I68" s="113">
        <f>ROUND(SUM(I62:I65),2)</f>
        <v>0</v>
      </c>
      <c r="J68" s="229"/>
      <c r="K68" s="178"/>
      <c r="L68" s="179"/>
      <c r="M68" s="113">
        <f>ROUND(SUM(M62:M65),2)</f>
        <v>0</v>
      </c>
      <c r="N68" s="229"/>
      <c r="O68" s="178"/>
      <c r="P68" s="179"/>
      <c r="Q68" s="113">
        <f>ROUND(SUM(Q62:Q65),2)</f>
        <v>0</v>
      </c>
    </row>
    <row r="69" spans="1:17" x14ac:dyDescent="0.25">
      <c r="A69" s="138"/>
      <c r="B69" s="186" t="s">
        <v>72</v>
      </c>
      <c r="C69" s="176"/>
      <c r="D69" s="180"/>
      <c r="E69" s="113">
        <f>ROUND(E66,2)</f>
        <v>0</v>
      </c>
      <c r="F69" s="229"/>
      <c r="G69" s="176"/>
      <c r="H69" s="180"/>
      <c r="I69" s="113">
        <f>ROUND(I66,2)</f>
        <v>0</v>
      </c>
      <c r="J69" s="229"/>
      <c r="K69" s="176"/>
      <c r="L69" s="180"/>
      <c r="M69" s="113">
        <f>ROUND(M66,2)</f>
        <v>0</v>
      </c>
      <c r="N69" s="229"/>
      <c r="O69" s="176"/>
      <c r="P69" s="180"/>
      <c r="Q69" s="113">
        <f>ROUND(Q66,2)</f>
        <v>0</v>
      </c>
    </row>
    <row r="70" spans="1:17" ht="16.5" thickBot="1" x14ac:dyDescent="0.25">
      <c r="A70" s="131"/>
      <c r="B70" s="187" t="s">
        <v>71</v>
      </c>
      <c r="C70" s="181"/>
      <c r="D70" s="182"/>
      <c r="E70" s="376">
        <f>ROUND(E67,2)</f>
        <v>0</v>
      </c>
      <c r="F70" s="377"/>
      <c r="G70" s="181"/>
      <c r="H70" s="182"/>
      <c r="I70" s="376">
        <f>ROUND(I67,2)</f>
        <v>0</v>
      </c>
      <c r="J70" s="377"/>
      <c r="K70" s="181"/>
      <c r="L70" s="182"/>
      <c r="M70" s="376">
        <f>ROUND(M67,2)</f>
        <v>0</v>
      </c>
      <c r="N70" s="377"/>
      <c r="O70" s="181"/>
      <c r="P70" s="182"/>
      <c r="Q70" s="376">
        <f>ROUND(Q67,2)</f>
        <v>0</v>
      </c>
    </row>
    <row r="71" spans="1:17" ht="16.5" thickBot="1" x14ac:dyDescent="0.25">
      <c r="A71" s="131"/>
      <c r="B71" s="187" t="s">
        <v>174</v>
      </c>
      <c r="C71" s="181"/>
      <c r="D71" s="182"/>
      <c r="E71" s="375">
        <f t="shared" ref="E71" si="4">SUM(E68:E70)</f>
        <v>0</v>
      </c>
      <c r="F71" s="106"/>
      <c r="G71" s="181"/>
      <c r="H71" s="182"/>
      <c r="I71" s="375">
        <f t="shared" ref="I71" si="5">SUM(I68:I70)</f>
        <v>0</v>
      </c>
      <c r="J71" s="106"/>
      <c r="K71" s="181"/>
      <c r="L71" s="182"/>
      <c r="M71" s="375">
        <f t="shared" ref="M71" si="6">SUM(M68:M70)</f>
        <v>0</v>
      </c>
      <c r="N71" s="106"/>
      <c r="O71" s="181"/>
      <c r="P71" s="182"/>
      <c r="Q71" s="375">
        <f t="shared" ref="Q71" si="7">SUM(Q68:Q70)</f>
        <v>0</v>
      </c>
    </row>
    <row r="72" spans="1:17" ht="16.5" thickBot="1" x14ac:dyDescent="0.25">
      <c r="A72" s="131"/>
      <c r="B72" s="117"/>
      <c r="E72" s="194"/>
      <c r="F72" s="194"/>
      <c r="G72" s="194"/>
      <c r="H72" s="194"/>
      <c r="I72" s="194"/>
      <c r="J72" s="194"/>
      <c r="K72" s="194"/>
      <c r="N72" s="132"/>
      <c r="O72" s="194"/>
    </row>
    <row r="73" spans="1:17" ht="16.5" thickBot="1" x14ac:dyDescent="0.3">
      <c r="A73" s="131"/>
      <c r="B73" s="531" t="str">
        <f>B59</f>
        <v>CLIN 0002 (CPIF)                                                     TASK 1.03 DELIVERY OF MATERIAL TO SIMULATOR SPO</v>
      </c>
      <c r="C73" s="517" t="s">
        <v>213</v>
      </c>
      <c r="D73" s="518"/>
      <c r="E73" s="519"/>
      <c r="F73" s="120"/>
      <c r="G73" s="517" t="s">
        <v>213</v>
      </c>
      <c r="H73" s="518"/>
      <c r="I73" s="519"/>
      <c r="J73" s="120"/>
      <c r="K73" s="517" t="s">
        <v>213</v>
      </c>
      <c r="L73" s="518"/>
      <c r="M73" s="519"/>
      <c r="N73" s="120"/>
      <c r="O73" s="517" t="s">
        <v>213</v>
      </c>
      <c r="P73" s="518"/>
      <c r="Q73" s="519"/>
    </row>
    <row r="74" spans="1:17" ht="33.75" customHeight="1" thickBot="1" x14ac:dyDescent="0.3">
      <c r="A74" s="131"/>
      <c r="B74" s="532"/>
      <c r="C74" s="221"/>
      <c r="D74" s="222"/>
      <c r="E74" s="133" t="s">
        <v>238</v>
      </c>
      <c r="F74" s="134"/>
      <c r="G74" s="221"/>
      <c r="H74" s="222"/>
      <c r="I74" s="133" t="s">
        <v>241</v>
      </c>
      <c r="J74" s="134"/>
      <c r="K74" s="221"/>
      <c r="L74" s="222"/>
      <c r="M74" s="133" t="s">
        <v>240</v>
      </c>
      <c r="N74" s="134"/>
      <c r="O74" s="221"/>
      <c r="P74" s="222"/>
      <c r="Q74" s="133" t="s">
        <v>239</v>
      </c>
    </row>
    <row r="75" spans="1:17" x14ac:dyDescent="0.2">
      <c r="A75" s="131"/>
      <c r="B75" s="112" t="s">
        <v>188</v>
      </c>
      <c r="C75" s="223"/>
      <c r="D75" s="223"/>
      <c r="E75" s="135">
        <f>+ROUND(E26+E40+E54+E68,2)</f>
        <v>0</v>
      </c>
      <c r="F75" s="110"/>
      <c r="G75" s="223"/>
      <c r="H75" s="223"/>
      <c r="I75" s="135">
        <f>+ROUND(I26+I40+I54+I68,2)</f>
        <v>0</v>
      </c>
      <c r="J75" s="110"/>
      <c r="K75" s="223"/>
      <c r="L75" s="223"/>
      <c r="M75" s="135">
        <f>+ROUND(M26+M40+M54+M68,2)</f>
        <v>0</v>
      </c>
      <c r="N75" s="110"/>
      <c r="O75" s="223"/>
      <c r="P75" s="223"/>
      <c r="Q75" s="135">
        <f>+ROUND(Q26+Q40+Q54+Q68,2)</f>
        <v>0</v>
      </c>
    </row>
    <row r="76" spans="1:17" x14ac:dyDescent="0.2">
      <c r="A76" s="131"/>
      <c r="B76" s="112" t="s">
        <v>72</v>
      </c>
      <c r="C76" s="223"/>
      <c r="D76" s="223"/>
      <c r="E76" s="113">
        <f>+ROUND(E27+E41+E55+E69,2)</f>
        <v>0</v>
      </c>
      <c r="F76" s="110"/>
      <c r="G76" s="223"/>
      <c r="H76" s="223"/>
      <c r="I76" s="113">
        <f>+ROUND(I27+I41+I55+I69,2)</f>
        <v>0</v>
      </c>
      <c r="J76" s="110"/>
      <c r="K76" s="223"/>
      <c r="L76" s="223"/>
      <c r="M76" s="113">
        <f>+ROUND(M27+M41+M55+M69,2)</f>
        <v>0</v>
      </c>
      <c r="N76" s="110"/>
      <c r="O76" s="223"/>
      <c r="P76" s="223"/>
      <c r="Q76" s="113">
        <f>+ROUND(Q27+Q41+Q55+Q69,2)</f>
        <v>0</v>
      </c>
    </row>
    <row r="77" spans="1:17" x14ac:dyDescent="0.2">
      <c r="A77" s="131"/>
      <c r="B77" s="112" t="s">
        <v>71</v>
      </c>
      <c r="C77" s="223"/>
      <c r="D77" s="223"/>
      <c r="E77" s="114">
        <f>+ROUND(E28+E42+E56+E70,2)</f>
        <v>0</v>
      </c>
      <c r="F77" s="115"/>
      <c r="G77" s="223"/>
      <c r="H77" s="223"/>
      <c r="I77" s="114">
        <f>+ROUND(I28+I42+I56+I70,2)</f>
        <v>0</v>
      </c>
      <c r="J77" s="115"/>
      <c r="K77" s="223"/>
      <c r="L77" s="223"/>
      <c r="M77" s="114">
        <f>+ROUND(M28+M42+M56+M70,2)</f>
        <v>0</v>
      </c>
      <c r="N77" s="115"/>
      <c r="O77" s="223"/>
      <c r="P77" s="223"/>
      <c r="Q77" s="114">
        <f>+ROUND(Q28+Q42+Q56+Q70,2)</f>
        <v>0</v>
      </c>
    </row>
    <row r="78" spans="1:17" ht="32.25" thickBot="1" x14ac:dyDescent="0.3">
      <c r="A78" s="131"/>
      <c r="B78" s="207" t="s">
        <v>381</v>
      </c>
      <c r="C78" s="224"/>
      <c r="D78" s="224"/>
      <c r="E78" s="208">
        <f>SUM(E75:E77)</f>
        <v>0</v>
      </c>
      <c r="F78" s="116"/>
      <c r="G78" s="224"/>
      <c r="H78" s="224"/>
      <c r="I78" s="208">
        <f>SUM(I75:I77)</f>
        <v>0</v>
      </c>
      <c r="J78" s="116"/>
      <c r="K78" s="224"/>
      <c r="L78" s="224"/>
      <c r="M78" s="208">
        <f>SUM(M75:M77)</f>
        <v>0</v>
      </c>
      <c r="N78" s="116"/>
      <c r="O78" s="224"/>
      <c r="P78" s="224"/>
      <c r="Q78" s="208">
        <f>SUM(Q75:Q77)</f>
        <v>0</v>
      </c>
    </row>
    <row r="79" spans="1:17" ht="16.5" thickBot="1" x14ac:dyDescent="0.3"/>
    <row r="80" spans="1:17" ht="31.5" x14ac:dyDescent="0.25">
      <c r="Q80" s="323" t="s">
        <v>382</v>
      </c>
    </row>
    <row r="81" spans="17:17" ht="16.5" thickBot="1" x14ac:dyDescent="0.3">
      <c r="Q81" s="322">
        <f>E78+I78+M78+Q78</f>
        <v>0</v>
      </c>
    </row>
  </sheetData>
  <mergeCells count="46">
    <mergeCell ref="O73:Q73"/>
    <mergeCell ref="C49:E49"/>
    <mergeCell ref="G49:I49"/>
    <mergeCell ref="K49:M49"/>
    <mergeCell ref="B73:B74"/>
    <mergeCell ref="C73:E73"/>
    <mergeCell ref="G73:I73"/>
    <mergeCell ref="K73:M73"/>
    <mergeCell ref="B59:B60"/>
    <mergeCell ref="C59:E59"/>
    <mergeCell ref="G59:I59"/>
    <mergeCell ref="K59:M59"/>
    <mergeCell ref="O60:Q60"/>
    <mergeCell ref="C60:E60"/>
    <mergeCell ref="G60:I60"/>
    <mergeCell ref="K60:M60"/>
    <mergeCell ref="B31:B32"/>
    <mergeCell ref="C31:E31"/>
    <mergeCell ref="G31:I31"/>
    <mergeCell ref="K31:M31"/>
    <mergeCell ref="C32:E32"/>
    <mergeCell ref="G32:I32"/>
    <mergeCell ref="K32:M32"/>
    <mergeCell ref="A4:C4"/>
    <mergeCell ref="B14:B15"/>
    <mergeCell ref="C14:E14"/>
    <mergeCell ref="G14:I14"/>
    <mergeCell ref="K14:M14"/>
    <mergeCell ref="C15:E15"/>
    <mergeCell ref="G15:I15"/>
    <mergeCell ref="K15:M15"/>
    <mergeCell ref="O14:Q14"/>
    <mergeCell ref="O15:Q15"/>
    <mergeCell ref="O31:Q31"/>
    <mergeCell ref="O32:Q32"/>
    <mergeCell ref="O59:Q59"/>
    <mergeCell ref="O49:Q49"/>
    <mergeCell ref="B45:B46"/>
    <mergeCell ref="C45:E45"/>
    <mergeCell ref="G45:I45"/>
    <mergeCell ref="K45:M45"/>
    <mergeCell ref="O45:Q45"/>
    <mergeCell ref="C46:E46"/>
    <mergeCell ref="G46:I46"/>
    <mergeCell ref="K46:M46"/>
    <mergeCell ref="O46:Q46"/>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64A973-E965-4811-AAD8-7C1531727A6D}">
  <dimension ref="A1:S75"/>
  <sheetViews>
    <sheetView zoomScale="80" zoomScaleNormal="80" workbookViewId="0">
      <pane ySplit="8" topLeftCell="A9" activePane="bottomLeft" state="frozen"/>
      <selection pane="bottomLeft" activeCell="C3" sqref="C3"/>
    </sheetView>
  </sheetViews>
  <sheetFormatPr defaultColWidth="15.85546875" defaultRowHeight="15.75" x14ac:dyDescent="0.25"/>
  <cols>
    <col min="1" max="1" width="9.5703125" style="136" customWidth="1"/>
    <col min="2" max="2" width="49.140625" style="119" customWidth="1"/>
    <col min="3" max="3" width="18.28515625" style="131" bestFit="1" customWidth="1"/>
    <col min="4" max="4" width="12.42578125" style="131" bestFit="1" customWidth="1"/>
    <col min="5" max="5" width="32" style="131" customWidth="1"/>
    <col min="6" max="6" width="1" style="131" customWidth="1"/>
    <col min="7" max="7" width="14.28515625" style="131" customWidth="1"/>
    <col min="8" max="8" width="14.5703125" style="131" customWidth="1"/>
    <col min="9" max="9" width="33.28515625" style="131" customWidth="1"/>
    <col min="10" max="10" width="1" style="131" customWidth="1"/>
    <col min="11" max="11" width="16.7109375" style="131" customWidth="1"/>
    <col min="12" max="12" width="16.28515625" style="131" customWidth="1"/>
    <col min="13" max="13" width="34" style="131" bestFit="1" customWidth="1"/>
    <col min="14" max="14" width="0.85546875" style="131" customWidth="1"/>
    <col min="15" max="15" width="16.7109375" style="131" customWidth="1"/>
    <col min="16" max="16" width="16.28515625" style="131" customWidth="1"/>
    <col min="17" max="17" width="34" style="131" bestFit="1" customWidth="1"/>
    <col min="18" max="18" width="6.28515625" style="131" customWidth="1"/>
    <col min="19" max="16384" width="15.85546875" style="131"/>
  </cols>
  <sheetData>
    <row r="1" spans="1:17" ht="16.5" thickBot="1" x14ac:dyDescent="0.3">
      <c r="B1" s="321" t="s">
        <v>460</v>
      </c>
      <c r="C1" s="394" t="str">
        <f>'SUB CPIF RATES (ALL)'!C1</f>
        <v xml:space="preserve">NAME </v>
      </c>
    </row>
    <row r="2" spans="1:17" ht="16.5" thickBot="1" x14ac:dyDescent="0.3">
      <c r="B2" s="395" t="s">
        <v>459</v>
      </c>
      <c r="C2" s="396" t="str">
        <f>'SUB CPIF RATES (ALL)'!C2</f>
        <v xml:space="preserve">NAME </v>
      </c>
    </row>
    <row r="3" spans="1:17" ht="16.5" thickBot="1" x14ac:dyDescent="0.3"/>
    <row r="4" spans="1:17" ht="52.5" customHeight="1" thickBot="1" x14ac:dyDescent="0.3">
      <c r="A4" s="466" t="s">
        <v>100</v>
      </c>
      <c r="B4" s="467"/>
      <c r="C4" s="468"/>
      <c r="E4" s="194" t="s">
        <v>1</v>
      </c>
      <c r="I4" s="194"/>
      <c r="J4" s="194"/>
      <c r="K4" s="194"/>
      <c r="L4" s="194"/>
      <c r="O4" s="194"/>
      <c r="P4" s="194"/>
    </row>
    <row r="5" spans="1:17" x14ac:dyDescent="0.25">
      <c r="I5" s="194"/>
      <c r="J5" s="194"/>
      <c r="K5" s="194"/>
      <c r="L5" s="194"/>
      <c r="O5" s="194" t="s">
        <v>1</v>
      </c>
      <c r="P5" s="194"/>
    </row>
    <row r="6" spans="1:17" x14ac:dyDescent="0.2">
      <c r="B6" s="204" t="s">
        <v>65</v>
      </c>
      <c r="C6" s="139"/>
    </row>
    <row r="7" spans="1:17" x14ac:dyDescent="0.25">
      <c r="A7" s="137"/>
      <c r="B7" s="201" t="s">
        <v>99</v>
      </c>
      <c r="C7" s="139"/>
    </row>
    <row r="8" spans="1:17" x14ac:dyDescent="0.25">
      <c r="A8" s="137"/>
      <c r="B8" s="201" t="s">
        <v>452</v>
      </c>
      <c r="C8" s="139"/>
    </row>
    <row r="9" spans="1:17" ht="16.5" thickBot="1" x14ac:dyDescent="0.3"/>
    <row r="10" spans="1:17" ht="16.5" customHeight="1" thickBot="1" x14ac:dyDescent="0.3">
      <c r="A10" s="138"/>
      <c r="B10" s="536" t="s">
        <v>242</v>
      </c>
      <c r="C10" s="490" t="s">
        <v>69</v>
      </c>
      <c r="D10" s="491"/>
      <c r="E10" s="492"/>
      <c r="F10" s="96"/>
      <c r="G10" s="490" t="s">
        <v>69</v>
      </c>
      <c r="H10" s="491"/>
      <c r="I10" s="492"/>
      <c r="J10" s="96"/>
      <c r="K10" s="490" t="s">
        <v>69</v>
      </c>
      <c r="L10" s="491"/>
      <c r="M10" s="492"/>
      <c r="N10" s="96"/>
      <c r="O10" s="490" t="s">
        <v>69</v>
      </c>
      <c r="P10" s="491"/>
      <c r="Q10" s="492"/>
    </row>
    <row r="11" spans="1:17" ht="32.25" customHeight="1" thickBot="1" x14ac:dyDescent="0.3">
      <c r="A11" s="138"/>
      <c r="B11" s="537"/>
      <c r="C11" s="520" t="s">
        <v>219</v>
      </c>
      <c r="D11" s="521"/>
      <c r="E11" s="522"/>
      <c r="F11" s="97"/>
      <c r="G11" s="520" t="s">
        <v>220</v>
      </c>
      <c r="H11" s="521"/>
      <c r="I11" s="522"/>
      <c r="J11" s="97"/>
      <c r="K11" s="520" t="s">
        <v>221</v>
      </c>
      <c r="L11" s="521"/>
      <c r="M11" s="522"/>
      <c r="N11" s="97"/>
      <c r="O11" s="520" t="s">
        <v>222</v>
      </c>
      <c r="P11" s="521"/>
      <c r="Q11" s="522"/>
    </row>
    <row r="12" spans="1:17" x14ac:dyDescent="0.25">
      <c r="A12" s="138"/>
      <c r="B12" s="98" t="s">
        <v>46</v>
      </c>
      <c r="C12" s="98" t="s">
        <v>29</v>
      </c>
      <c r="D12" s="99" t="s">
        <v>68</v>
      </c>
      <c r="E12" s="100" t="s">
        <v>74</v>
      </c>
      <c r="F12" s="101"/>
      <c r="G12" s="98" t="s">
        <v>29</v>
      </c>
      <c r="H12" s="99" t="s">
        <v>68</v>
      </c>
      <c r="I12" s="100" t="s">
        <v>74</v>
      </c>
      <c r="J12" s="101"/>
      <c r="K12" s="98" t="s">
        <v>29</v>
      </c>
      <c r="L12" s="99" t="s">
        <v>68</v>
      </c>
      <c r="M12" s="100" t="s">
        <v>74</v>
      </c>
      <c r="N12" s="101"/>
      <c r="O12" s="98" t="s">
        <v>29</v>
      </c>
      <c r="P12" s="99" t="s">
        <v>68</v>
      </c>
      <c r="Q12" s="100" t="s">
        <v>74</v>
      </c>
    </row>
    <row r="13" spans="1:17" ht="16.5" thickBot="1" x14ac:dyDescent="0.3">
      <c r="A13" s="138"/>
      <c r="B13" s="148" t="s">
        <v>1</v>
      </c>
      <c r="C13" s="230"/>
      <c r="D13" s="231"/>
      <c r="E13" s="232"/>
      <c r="F13" s="101"/>
      <c r="G13" s="230"/>
      <c r="H13" s="231"/>
      <c r="I13" s="232"/>
      <c r="J13" s="101"/>
      <c r="K13" s="230"/>
      <c r="L13" s="231"/>
      <c r="M13" s="232"/>
      <c r="N13" s="101"/>
      <c r="O13" s="230"/>
      <c r="P13" s="231"/>
      <c r="Q13" s="232"/>
    </row>
    <row r="14" spans="1:17" ht="16.5" thickBot="1" x14ac:dyDescent="0.3">
      <c r="A14" s="138"/>
      <c r="B14" s="239" t="s">
        <v>87</v>
      </c>
      <c r="C14" s="108">
        <f>'CPIF CLIN 0002-TASK 1.01 INPUTS'!C18+'CPIF CLIN 0002-TASK 1.02 INPUTS'!C18+'CPIF CLIN 0002-TASK 1.03 INPUTS'!C18</f>
        <v>0</v>
      </c>
      <c r="D14" s="150"/>
      <c r="E14" s="108">
        <f>'CPIF CLIN 0002-TASK 1.01 INPUTS'!E18+'CPIF CLIN 0002-TASK 1.02 INPUTS'!E18+'CPIF CLIN 0002-TASK 1.03 INPUTS'!E18</f>
        <v>0</v>
      </c>
      <c r="F14" s="110"/>
      <c r="G14" s="108">
        <f>'CPIF CLIN 0002-TASK 1.01 INPUTS'!G18+'CPIF CLIN 0002-TASK 1.02 INPUTS'!G18+'CPIF CLIN 0002-TASK 1.03 INPUTS'!G18</f>
        <v>0</v>
      </c>
      <c r="H14" s="150"/>
      <c r="I14" s="108">
        <f>'CPIF CLIN 0002-TASK 1.01 INPUTS'!I18+'CPIF CLIN 0002-TASK 1.02 INPUTS'!I18+'CPIF CLIN 0002-TASK 1.03 INPUTS'!I18</f>
        <v>0</v>
      </c>
      <c r="J14" s="110"/>
      <c r="K14" s="108">
        <f>'CPIF CLIN 0002-TASK 1.01 INPUTS'!K18+'CPIF CLIN 0002-TASK 1.02 INPUTS'!K18+'CPIF CLIN 0002-TASK 1.03 INPUTS'!K18</f>
        <v>0</v>
      </c>
      <c r="L14" s="150"/>
      <c r="M14" s="108">
        <f>'CPIF CLIN 0002-TASK 1.01 INPUTS'!M18+'CPIF CLIN 0002-TASK 1.02 INPUTS'!M18+'CPIF CLIN 0002-TASK 1.03 INPUTS'!M18</f>
        <v>0</v>
      </c>
      <c r="N14" s="110"/>
      <c r="O14" s="108">
        <f>'CPIF CLIN 0002-TASK 1.01 INPUTS'!O18+'CPIF CLIN 0002-TASK 1.02 INPUTS'!O18+'CPIF CLIN 0002-TASK 1.03 INPUTS'!O18</f>
        <v>0</v>
      </c>
      <c r="P14" s="150"/>
      <c r="Q14" s="108">
        <f>'CPIF CLIN 0002-TASK 1.01 INPUTS'!Q18+'CPIF CLIN 0002-TASK 1.02 INPUTS'!Q18+'CPIF CLIN 0002-TASK 1.03 INPUTS'!Q18</f>
        <v>0</v>
      </c>
    </row>
    <row r="15" spans="1:17" x14ac:dyDescent="0.25">
      <c r="A15" s="138"/>
      <c r="B15" s="149"/>
      <c r="C15" s="98" t="s">
        <v>289</v>
      </c>
      <c r="D15" s="99" t="s">
        <v>286</v>
      </c>
      <c r="E15" s="100" t="s">
        <v>288</v>
      </c>
      <c r="F15" s="111"/>
      <c r="G15" s="98" t="s">
        <v>289</v>
      </c>
      <c r="H15" s="99" t="s">
        <v>286</v>
      </c>
      <c r="I15" s="100" t="s">
        <v>288</v>
      </c>
      <c r="J15" s="111"/>
      <c r="K15" s="98" t="s">
        <v>289</v>
      </c>
      <c r="L15" s="99" t="s">
        <v>286</v>
      </c>
      <c r="M15" s="100" t="s">
        <v>288</v>
      </c>
      <c r="N15" s="111"/>
      <c r="O15" s="98" t="s">
        <v>289</v>
      </c>
      <c r="P15" s="99" t="s">
        <v>286</v>
      </c>
      <c r="Q15" s="100" t="s">
        <v>288</v>
      </c>
    </row>
    <row r="16" spans="1:17" x14ac:dyDescent="0.25">
      <c r="A16" s="138"/>
      <c r="B16" s="148" t="s">
        <v>1</v>
      </c>
      <c r="C16" s="230"/>
      <c r="D16" s="231"/>
      <c r="E16" s="232"/>
      <c r="F16" s="147"/>
      <c r="G16" s="230"/>
      <c r="H16" s="231"/>
      <c r="I16" s="232"/>
      <c r="J16" s="147"/>
      <c r="K16" s="230"/>
      <c r="L16" s="231"/>
      <c r="M16" s="232"/>
      <c r="N16" s="147"/>
      <c r="O16" s="230"/>
      <c r="P16" s="231"/>
      <c r="Q16" s="232"/>
    </row>
    <row r="17" spans="1:17" x14ac:dyDescent="0.25">
      <c r="A17" s="138"/>
      <c r="B17" s="112" t="str">
        <f>'SUB CPIF RATES (ALL)'!B36</f>
        <v>Indirect Labor Category:  [Labor Fringe]</v>
      </c>
      <c r="C17" s="160"/>
      <c r="D17" s="188"/>
      <c r="E17" s="113">
        <f>'CPIF CLIN 0002-TASK 1.01 INPUTS'!E21+'CPIF CLIN 0002-TASK 1.02 INPUTS'!E21+'CPIF CLIN 0002-TASK 1.03 INPUTS'!E21</f>
        <v>0</v>
      </c>
      <c r="F17" s="110"/>
      <c r="G17" s="160"/>
      <c r="H17" s="188"/>
      <c r="I17" s="113">
        <f>'CPIF CLIN 0002-TASK 1.01 INPUTS'!I21+'CPIF CLIN 0002-TASK 1.02 INPUTS'!I21+'CPIF CLIN 0002-TASK 1.03 INPUTS'!I21</f>
        <v>0</v>
      </c>
      <c r="J17" s="110"/>
      <c r="K17" s="160"/>
      <c r="L17" s="188"/>
      <c r="M17" s="113">
        <f>'CPIF CLIN 0002-TASK 1.01 INPUTS'!M21+'CPIF CLIN 0002-TASK 1.02 INPUTS'!M21+'CPIF CLIN 0002-TASK 1.03 INPUTS'!M21</f>
        <v>0</v>
      </c>
      <c r="N17" s="110"/>
      <c r="O17" s="160"/>
      <c r="P17" s="188"/>
      <c r="Q17" s="113">
        <f>'CPIF CLIN 0002-TASK 1.01 INPUTS'!Q21+'CPIF CLIN 0002-TASK 1.02 INPUTS'!Q21+'CPIF CLIN 0002-TASK 1.03 INPUTS'!Q21</f>
        <v>0</v>
      </c>
    </row>
    <row r="18" spans="1:17" x14ac:dyDescent="0.25">
      <c r="A18" s="138"/>
      <c r="B18" s="112" t="str">
        <f>'SUB CPIF RATES (ALL)'!B37</f>
        <v>Indirect Labor Category: [Labor Overhead]</v>
      </c>
      <c r="C18" s="160"/>
      <c r="D18" s="188"/>
      <c r="E18" s="113">
        <f>'CPIF CLIN 0002-TASK 1.01 INPUTS'!E22+'CPIF CLIN 0002-TASK 1.02 INPUTS'!E22+'CPIF CLIN 0002-TASK 1.03 INPUTS'!E22</f>
        <v>0</v>
      </c>
      <c r="F18" s="110"/>
      <c r="G18" s="160"/>
      <c r="H18" s="188"/>
      <c r="I18" s="113">
        <f>'CPIF CLIN 0002-TASK 1.01 INPUTS'!I22+'CPIF CLIN 0002-TASK 1.02 INPUTS'!I22+'CPIF CLIN 0002-TASK 1.03 INPUTS'!I22</f>
        <v>0</v>
      </c>
      <c r="J18" s="110"/>
      <c r="K18" s="160"/>
      <c r="L18" s="188"/>
      <c r="M18" s="113">
        <f>'CPIF CLIN 0002-TASK 1.01 INPUTS'!M22+'CPIF CLIN 0002-TASK 1.02 INPUTS'!M22+'CPIF CLIN 0002-TASK 1.03 INPUTS'!M22</f>
        <v>0</v>
      </c>
      <c r="N18" s="110"/>
      <c r="O18" s="160"/>
      <c r="P18" s="188"/>
      <c r="Q18" s="113">
        <f>'CPIF CLIN 0002-TASK 1.01 INPUTS'!Q22+'CPIF CLIN 0002-TASK 1.02 INPUTS'!Q22+'CPIF CLIN 0002-TASK 1.03 INPUTS'!Q22</f>
        <v>0</v>
      </c>
    </row>
    <row r="19" spans="1:17" x14ac:dyDescent="0.25">
      <c r="A19" s="138"/>
      <c r="B19" s="112" t="str">
        <f>'SUB CPIF RATES (ALL)'!B38</f>
        <v>Indirect Labor Category: [G&amp;A]</v>
      </c>
      <c r="C19" s="160"/>
      <c r="D19" s="188"/>
      <c r="E19" s="113">
        <f>'CPIF CLIN 0002-TASK 1.01 INPUTS'!E23+'CPIF CLIN 0002-TASK 1.02 INPUTS'!E23+'CPIF CLIN 0002-TASK 1.03 INPUTS'!E23</f>
        <v>0</v>
      </c>
      <c r="F19" s="110"/>
      <c r="G19" s="160"/>
      <c r="H19" s="188"/>
      <c r="I19" s="113">
        <f>'CPIF CLIN 0002-TASK 1.01 INPUTS'!I23+'CPIF CLIN 0002-TASK 1.02 INPUTS'!I23+'CPIF CLIN 0002-TASK 1.03 INPUTS'!I23</f>
        <v>0</v>
      </c>
      <c r="J19" s="110"/>
      <c r="K19" s="160"/>
      <c r="L19" s="188"/>
      <c r="M19" s="113">
        <f>'CPIF CLIN 0002-TASK 1.01 INPUTS'!M23+'CPIF CLIN 0002-TASK 1.02 INPUTS'!M23+'CPIF CLIN 0002-TASK 1.03 INPUTS'!M23</f>
        <v>0</v>
      </c>
      <c r="N19" s="110"/>
      <c r="O19" s="160"/>
      <c r="P19" s="188"/>
      <c r="Q19" s="113">
        <f>'CPIF CLIN 0002-TASK 1.01 INPUTS'!Q23+'CPIF CLIN 0002-TASK 1.02 INPUTS'!Q23+'CPIF CLIN 0002-TASK 1.03 INPUTS'!Q23</f>
        <v>0</v>
      </c>
    </row>
    <row r="20" spans="1:17" x14ac:dyDescent="0.25">
      <c r="A20" s="138"/>
      <c r="B20" s="112" t="str">
        <f>'SUB CPIF RATES (ALL)'!B39</f>
        <v>Indirect Labor Category: [FCCOM]</v>
      </c>
      <c r="C20" s="160"/>
      <c r="D20" s="356"/>
      <c r="E20" s="113">
        <f>'CPIF CLIN 0002-TASK 1.01 INPUTS'!E24+'CPIF CLIN 0002-TASK 1.02 INPUTS'!E24+'CPIF CLIN 0002-TASK 1.03 INPUTS'!E24</f>
        <v>0</v>
      </c>
      <c r="F20" s="110"/>
      <c r="G20" s="160"/>
      <c r="H20" s="358"/>
      <c r="I20" s="113">
        <f>'CPIF CLIN 0002-TASK 1.01 INPUTS'!I24+'CPIF CLIN 0002-TASK 1.02 INPUTS'!I24+'CPIF CLIN 0002-TASK 1.03 INPUTS'!I24</f>
        <v>0</v>
      </c>
      <c r="J20" s="110"/>
      <c r="K20" s="160"/>
      <c r="L20" s="358"/>
      <c r="M20" s="113">
        <f>'CPIF CLIN 0002-TASK 1.01 INPUTS'!M24+'CPIF CLIN 0002-TASK 1.02 INPUTS'!M24+'CPIF CLIN 0002-TASK 1.03 INPUTS'!M24</f>
        <v>0</v>
      </c>
      <c r="N20" s="110"/>
      <c r="O20" s="160"/>
      <c r="P20" s="358"/>
      <c r="Q20" s="113">
        <f>'CPIF CLIN 0002-TASK 1.01 INPUTS'!Q24+'CPIF CLIN 0002-TASK 1.02 INPUTS'!Q24+'CPIF CLIN 0002-TASK 1.03 INPUTS'!Q24</f>
        <v>0</v>
      </c>
    </row>
    <row r="21" spans="1:17" x14ac:dyDescent="0.25">
      <c r="A21" s="138"/>
      <c r="B21" s="112" t="str">
        <f>'SUB CPIF RATES (ALL)'!B40</f>
        <v>Indirect Labor Category: [Target Fee]</v>
      </c>
      <c r="C21" s="160"/>
      <c r="D21" s="188"/>
      <c r="E21" s="113">
        <f>'CPIF CLIN 0002-TASK 1.01 INPUTS'!E25+'CPIF CLIN 0002-TASK 1.02 INPUTS'!E25+'CPIF CLIN 0002-TASK 1.03 INPUTS'!E25</f>
        <v>0</v>
      </c>
      <c r="F21" s="110"/>
      <c r="G21" s="160"/>
      <c r="H21" s="188"/>
      <c r="I21" s="113">
        <f>'CPIF CLIN 0002-TASK 1.01 INPUTS'!I25+'CPIF CLIN 0002-TASK 1.02 INPUTS'!I25+'CPIF CLIN 0002-TASK 1.03 INPUTS'!I25</f>
        <v>0</v>
      </c>
      <c r="J21" s="110"/>
      <c r="K21" s="160"/>
      <c r="L21" s="188"/>
      <c r="M21" s="113">
        <f>'CPIF CLIN 0002-TASK 1.01 INPUTS'!M25+'CPIF CLIN 0002-TASK 1.02 INPUTS'!M25+'CPIF CLIN 0002-TASK 1.03 INPUTS'!M25</f>
        <v>0</v>
      </c>
      <c r="N21" s="110"/>
      <c r="O21" s="160"/>
      <c r="P21" s="188"/>
      <c r="Q21" s="113">
        <f>'CPIF CLIN 0002-TASK 1.01 INPUTS'!Q25+'CPIF CLIN 0002-TASK 1.02 INPUTS'!Q25+'CPIF CLIN 0002-TASK 1.03 INPUTS'!Q25</f>
        <v>0</v>
      </c>
    </row>
    <row r="22" spans="1:17" x14ac:dyDescent="0.25">
      <c r="A22" s="138"/>
      <c r="B22" s="205" t="s">
        <v>185</v>
      </c>
      <c r="C22" s="155"/>
      <c r="D22" s="156"/>
      <c r="E22" s="175">
        <f>ROUND(SUM(E14,E17,E18,E19),2)</f>
        <v>0</v>
      </c>
      <c r="F22" s="110"/>
      <c r="G22" s="151"/>
      <c r="H22" s="152"/>
      <c r="I22" s="175">
        <f>ROUND(SUM(I14,I17,I18,I19),2)</f>
        <v>0</v>
      </c>
      <c r="J22" s="110"/>
      <c r="K22" s="151"/>
      <c r="L22" s="152"/>
      <c r="M22" s="175">
        <f>ROUND(SUM(M14,M17,M18,M19),2)</f>
        <v>0</v>
      </c>
      <c r="N22" s="110"/>
      <c r="O22" s="151"/>
      <c r="P22" s="152"/>
      <c r="Q22" s="175">
        <f>ROUND(SUM(Q14,Q17,Q18,Q19),2)</f>
        <v>0</v>
      </c>
    </row>
    <row r="23" spans="1:17" x14ac:dyDescent="0.25">
      <c r="A23" s="138"/>
      <c r="B23" s="205" t="s">
        <v>72</v>
      </c>
      <c r="C23" s="155"/>
      <c r="D23" s="156"/>
      <c r="E23" s="175">
        <f>ROUND(E20,2)</f>
        <v>0</v>
      </c>
      <c r="F23" s="110"/>
      <c r="G23" s="151"/>
      <c r="H23" s="152"/>
      <c r="I23" s="175">
        <f>ROUND(I20,2)</f>
        <v>0</v>
      </c>
      <c r="J23" s="110"/>
      <c r="K23" s="151"/>
      <c r="L23" s="152"/>
      <c r="M23" s="175">
        <f>ROUND(M20,2)</f>
        <v>0</v>
      </c>
      <c r="N23" s="110"/>
      <c r="O23" s="151"/>
      <c r="P23" s="152"/>
      <c r="Q23" s="175">
        <f>ROUND(Q20,2)</f>
        <v>0</v>
      </c>
    </row>
    <row r="24" spans="1:17" x14ac:dyDescent="0.25">
      <c r="A24" s="138"/>
      <c r="B24" s="205" t="s">
        <v>71</v>
      </c>
      <c r="C24" s="155"/>
      <c r="D24" s="156"/>
      <c r="E24" s="190">
        <f>ROUND(E21,2)</f>
        <v>0</v>
      </c>
      <c r="F24" s="115"/>
      <c r="G24" s="151"/>
      <c r="H24" s="152"/>
      <c r="I24" s="190">
        <f>ROUND(I21,2)</f>
        <v>0</v>
      </c>
      <c r="J24" s="115"/>
      <c r="K24" s="151"/>
      <c r="L24" s="152"/>
      <c r="M24" s="190">
        <f>ROUND(M21,2)</f>
        <v>0</v>
      </c>
      <c r="N24" s="115"/>
      <c r="O24" s="151"/>
      <c r="P24" s="152"/>
      <c r="Q24" s="190">
        <f>ROUND(Q21,2)</f>
        <v>0</v>
      </c>
    </row>
    <row r="25" spans="1:17" ht="16.5" thickBot="1" x14ac:dyDescent="0.3">
      <c r="A25" s="138"/>
      <c r="B25" s="206" t="s">
        <v>73</v>
      </c>
      <c r="C25" s="157"/>
      <c r="D25" s="158"/>
      <c r="E25" s="191">
        <f>SUM(E22:E24)</f>
        <v>0</v>
      </c>
      <c r="F25" s="116"/>
      <c r="G25" s="153"/>
      <c r="H25" s="154"/>
      <c r="I25" s="191">
        <f>SUM(I22:I24)</f>
        <v>0</v>
      </c>
      <c r="J25" s="116"/>
      <c r="K25" s="153"/>
      <c r="L25" s="154"/>
      <c r="M25" s="191">
        <f>SUM(M22:M24)</f>
        <v>0</v>
      </c>
      <c r="N25" s="116"/>
      <c r="O25" s="153"/>
      <c r="P25" s="154"/>
      <c r="Q25" s="191">
        <f>SUM(Q22:Q24)</f>
        <v>0</v>
      </c>
    </row>
    <row r="26" spans="1:17" ht="16.5" thickBot="1" x14ac:dyDescent="0.3">
      <c r="A26" s="138"/>
      <c r="B26" s="117"/>
      <c r="C26" s="118"/>
      <c r="D26" s="118"/>
      <c r="E26" s="118" t="s">
        <v>1</v>
      </c>
      <c r="F26" s="110"/>
      <c r="G26" s="118"/>
      <c r="H26" s="118"/>
      <c r="I26" s="362" t="s">
        <v>1</v>
      </c>
      <c r="J26" s="110"/>
      <c r="K26" s="118"/>
      <c r="L26" s="118"/>
      <c r="M26" s="118"/>
      <c r="N26" s="110"/>
      <c r="O26" s="118"/>
      <c r="P26" s="118"/>
      <c r="Q26" s="118"/>
    </row>
    <row r="27" spans="1:17" ht="16.5" customHeight="1" thickBot="1" x14ac:dyDescent="0.3">
      <c r="A27" s="138"/>
      <c r="B27" s="523" t="str">
        <f>B10</f>
        <v>CLIN 0002 (CPIF)                                                     TOTAL</v>
      </c>
      <c r="C27" s="490" t="s">
        <v>80</v>
      </c>
      <c r="D27" s="491"/>
      <c r="E27" s="492"/>
      <c r="F27" s="120"/>
      <c r="G27" s="490" t="s">
        <v>80</v>
      </c>
      <c r="H27" s="491"/>
      <c r="I27" s="492"/>
      <c r="J27" s="120"/>
      <c r="K27" s="490" t="s">
        <v>80</v>
      </c>
      <c r="L27" s="491"/>
      <c r="M27" s="492"/>
      <c r="N27" s="120"/>
      <c r="O27" s="490" t="s">
        <v>80</v>
      </c>
      <c r="P27" s="491"/>
      <c r="Q27" s="492"/>
    </row>
    <row r="28" spans="1:17" ht="32.25" customHeight="1" thickBot="1" x14ac:dyDescent="0.3">
      <c r="A28" s="138"/>
      <c r="B28" s="524"/>
      <c r="C28" s="520" t="str">
        <f>C11</f>
        <v>CLIN 0002 - Basic Period (Year 1)</v>
      </c>
      <c r="D28" s="521"/>
      <c r="E28" s="522"/>
      <c r="F28" s="121"/>
      <c r="G28" s="520" t="str">
        <f>G11</f>
        <v>CLIN 0002 - Basic Period (Year 2)</v>
      </c>
      <c r="H28" s="521"/>
      <c r="I28" s="522"/>
      <c r="J28" s="121"/>
      <c r="K28" s="520" t="str">
        <f>K11</f>
        <v>CLIN 0002 - Basic Period (Year 3)</v>
      </c>
      <c r="L28" s="521"/>
      <c r="M28" s="522"/>
      <c r="N28" s="121"/>
      <c r="O28" s="520" t="str">
        <f>O11</f>
        <v>CLIN 0002 - Basic Period (Year 4)</v>
      </c>
      <c r="P28" s="521"/>
      <c r="Q28" s="522"/>
    </row>
    <row r="29" spans="1:17" x14ac:dyDescent="0.25">
      <c r="A29" s="138"/>
      <c r="B29" s="192"/>
      <c r="C29" s="98" t="s">
        <v>289</v>
      </c>
      <c r="D29" s="99" t="s">
        <v>286</v>
      </c>
      <c r="E29" s="100" t="s">
        <v>88</v>
      </c>
      <c r="F29" s="111"/>
      <c r="G29" s="98" t="s">
        <v>289</v>
      </c>
      <c r="H29" s="99" t="s">
        <v>286</v>
      </c>
      <c r="I29" s="100" t="s">
        <v>88</v>
      </c>
      <c r="J29" s="111"/>
      <c r="K29" s="98" t="s">
        <v>289</v>
      </c>
      <c r="L29" s="99" t="s">
        <v>286</v>
      </c>
      <c r="M29" s="100" t="s">
        <v>88</v>
      </c>
      <c r="N29" s="111"/>
      <c r="O29" s="98" t="s">
        <v>289</v>
      </c>
      <c r="P29" s="99" t="s">
        <v>286</v>
      </c>
      <c r="Q29" s="100" t="s">
        <v>88</v>
      </c>
    </row>
    <row r="30" spans="1:17" x14ac:dyDescent="0.25">
      <c r="A30" s="138"/>
      <c r="B30" s="215" t="s">
        <v>1</v>
      </c>
      <c r="C30" s="176"/>
      <c r="D30" s="177"/>
      <c r="E30" s="161">
        <f>'CPIF CLIN 0002-TASK 1.01 INPUTS'!E34+'CPIF CLIN 0002-TASK 1.02 INPUTS'!E34+'CPIF CLIN 0002-TASK 1.03 INPUTS'!E34</f>
        <v>0</v>
      </c>
      <c r="F30" s="110"/>
      <c r="G30" s="176"/>
      <c r="H30" s="177"/>
      <c r="I30" s="161">
        <f>'CPIF CLIN 0002-TASK 1.01 INPUTS'!I34+'CPIF CLIN 0002-TASK 1.02 INPUTS'!I34+'CPIF CLIN 0002-TASK 1.03 INPUTS'!I34</f>
        <v>0</v>
      </c>
      <c r="J30" s="110"/>
      <c r="K30" s="176"/>
      <c r="L30" s="177"/>
      <c r="M30" s="161">
        <f>'CPIF CLIN 0002-TASK 1.01 INPUTS'!M34+'CPIF CLIN 0002-TASK 1.02 INPUTS'!M34+'CPIF CLIN 0002-TASK 1.03 INPUTS'!M34</f>
        <v>0</v>
      </c>
      <c r="N30" s="110"/>
      <c r="O30" s="176"/>
      <c r="P30" s="177"/>
      <c r="Q30" s="161">
        <f>'CPIF CLIN 0002-TASK 1.01 INPUTS'!Q34+'CPIF CLIN 0002-TASK 1.02 INPUTS'!Q34+'CPIF CLIN 0002-TASK 1.03 INPUTS'!Q34</f>
        <v>0</v>
      </c>
    </row>
    <row r="31" spans="1:17" x14ac:dyDescent="0.25">
      <c r="A31" s="138"/>
      <c r="B31" s="112" t="str">
        <f>'SUB CPIF RATES (ALL)'!B53</f>
        <v>Indirect Category: [Material Overhead]</v>
      </c>
      <c r="C31" s="160"/>
      <c r="D31" s="188"/>
      <c r="E31" s="113">
        <f>'CPIF CLIN 0002-TASK 1.01 INPUTS'!E36+'CPIF CLIN 0002-TASK 1.02 INPUTS'!E36+'CPIF CLIN 0002-TASK 1.03 INPUTS'!E36</f>
        <v>0</v>
      </c>
      <c r="F31" s="123"/>
      <c r="G31" s="160"/>
      <c r="H31" s="188"/>
      <c r="I31" s="113">
        <f>'CPIF CLIN 0002-TASK 1.01 INPUTS'!I36+'CPIF CLIN 0002-TASK 1.02 INPUTS'!I36+'CPIF CLIN 0002-TASK 1.03 INPUTS'!I36</f>
        <v>0</v>
      </c>
      <c r="J31" s="123"/>
      <c r="K31" s="160"/>
      <c r="L31" s="188"/>
      <c r="M31" s="113">
        <f>'CPIF CLIN 0002-TASK 1.01 INPUTS'!M36+'CPIF CLIN 0002-TASK 1.02 INPUTS'!M36+'CPIF CLIN 0002-TASK 1.03 INPUTS'!M36</f>
        <v>0</v>
      </c>
      <c r="N31" s="123"/>
      <c r="O31" s="160"/>
      <c r="P31" s="188"/>
      <c r="Q31" s="113">
        <f>'CPIF CLIN 0002-TASK 1.01 INPUTS'!Q36+'CPIF CLIN 0002-TASK 1.02 INPUTS'!Q36+'CPIF CLIN 0002-TASK 1.03 INPUTS'!Q36</f>
        <v>0</v>
      </c>
    </row>
    <row r="32" spans="1:17" x14ac:dyDescent="0.25">
      <c r="A32" s="138"/>
      <c r="B32" s="112" t="str">
        <f>'SUB CPIF RATES (ALL)'!B54</f>
        <v>Indirect Category: [G&amp;A]</v>
      </c>
      <c r="C32" s="160"/>
      <c r="D32" s="188"/>
      <c r="E32" s="113">
        <f>'CPIF CLIN 0002-TASK 1.01 INPUTS'!E37+'CPIF CLIN 0002-TASK 1.02 INPUTS'!E37+'CPIF CLIN 0002-TASK 1.03 INPUTS'!E37</f>
        <v>0</v>
      </c>
      <c r="F32" s="123"/>
      <c r="G32" s="160"/>
      <c r="H32" s="188"/>
      <c r="I32" s="113">
        <f>'CPIF CLIN 0002-TASK 1.01 INPUTS'!I37+'CPIF CLIN 0002-TASK 1.02 INPUTS'!I37+'CPIF CLIN 0002-TASK 1.03 INPUTS'!I37</f>
        <v>0</v>
      </c>
      <c r="J32" s="123"/>
      <c r="K32" s="160"/>
      <c r="L32" s="188"/>
      <c r="M32" s="113">
        <f>'CPIF CLIN 0002-TASK 1.01 INPUTS'!M37+'CPIF CLIN 0002-TASK 1.02 INPUTS'!M37+'CPIF CLIN 0002-TASK 1.03 INPUTS'!M37</f>
        <v>0</v>
      </c>
      <c r="N32" s="123"/>
      <c r="O32" s="160"/>
      <c r="P32" s="188"/>
      <c r="Q32" s="113">
        <f>'CPIF CLIN 0002-TASK 1.01 INPUTS'!Q37+'CPIF CLIN 0002-TASK 1.02 INPUTS'!Q37+'CPIF CLIN 0002-TASK 1.03 INPUTS'!Q37</f>
        <v>0</v>
      </c>
    </row>
    <row r="33" spans="1:17" x14ac:dyDescent="0.25">
      <c r="A33" s="138"/>
      <c r="B33" s="112" t="str">
        <f>'SUB CPIF RATES (ALL)'!B55</f>
        <v>Indirect Category: [FCCOM]</v>
      </c>
      <c r="C33" s="160"/>
      <c r="D33" s="358"/>
      <c r="E33" s="113">
        <f>'CPIF CLIN 0002-TASK 1.01 INPUTS'!E38+'CPIF CLIN 0002-TASK 1.02 INPUTS'!E38+'CPIF CLIN 0002-TASK 1.03 INPUTS'!E38</f>
        <v>0</v>
      </c>
      <c r="F33" s="110"/>
      <c r="G33" s="160"/>
      <c r="H33" s="358"/>
      <c r="I33" s="113">
        <f>'CPIF CLIN 0002-TASK 1.01 INPUTS'!I38+'CPIF CLIN 0002-TASK 1.02 INPUTS'!I38+'CPIF CLIN 0002-TASK 1.03 INPUTS'!I38</f>
        <v>0</v>
      </c>
      <c r="J33" s="110"/>
      <c r="K33" s="160"/>
      <c r="L33" s="358"/>
      <c r="M33" s="113">
        <f>'CPIF CLIN 0002-TASK 1.01 INPUTS'!M38+'CPIF CLIN 0002-TASK 1.02 INPUTS'!M38+'CPIF CLIN 0002-TASK 1.03 INPUTS'!M38</f>
        <v>0</v>
      </c>
      <c r="N33" s="110"/>
      <c r="O33" s="160"/>
      <c r="P33" s="358"/>
      <c r="Q33" s="113">
        <f>'CPIF CLIN 0002-TASK 1.01 INPUTS'!Q38+'CPIF CLIN 0002-TASK 1.02 INPUTS'!Q38+'CPIF CLIN 0002-TASK 1.03 INPUTS'!Q38</f>
        <v>0</v>
      </c>
    </row>
    <row r="34" spans="1:17" x14ac:dyDescent="0.25">
      <c r="A34" s="138"/>
      <c r="B34" s="112" t="str">
        <f>'SUB CPIF RATES (ALL)'!B56</f>
        <v>Indirect Category: [Target Fee]</v>
      </c>
      <c r="C34" s="160"/>
      <c r="D34" s="188"/>
      <c r="E34" s="113">
        <f>'CPIF CLIN 0002-TASK 1.01 INPUTS'!E39+'CPIF CLIN 0002-TASK 1.02 INPUTS'!E39+'CPIF CLIN 0002-TASK 1.03 INPUTS'!E39</f>
        <v>0</v>
      </c>
      <c r="F34" s="110"/>
      <c r="G34" s="160"/>
      <c r="H34" s="188"/>
      <c r="I34" s="113">
        <f>'CPIF CLIN 0002-TASK 1.01 INPUTS'!I39+'CPIF CLIN 0002-TASK 1.02 INPUTS'!I39+'CPIF CLIN 0002-TASK 1.03 INPUTS'!I39</f>
        <v>0</v>
      </c>
      <c r="J34" s="110"/>
      <c r="K34" s="160"/>
      <c r="L34" s="188"/>
      <c r="M34" s="113">
        <f>'CPIF CLIN 0002-TASK 1.01 INPUTS'!M39+'CPIF CLIN 0002-TASK 1.02 INPUTS'!M39+'CPIF CLIN 0002-TASK 1.03 INPUTS'!M39</f>
        <v>0</v>
      </c>
      <c r="N34" s="110"/>
      <c r="O34" s="160"/>
      <c r="P34" s="188"/>
      <c r="Q34" s="113">
        <f>'CPIF CLIN 0002-TASK 1.01 INPUTS'!Q39+'CPIF CLIN 0002-TASK 1.02 INPUTS'!Q39+'CPIF CLIN 0002-TASK 1.03 INPUTS'!Q39</f>
        <v>0</v>
      </c>
    </row>
    <row r="35" spans="1:17" x14ac:dyDescent="0.25">
      <c r="A35" s="138"/>
      <c r="B35" s="186" t="s">
        <v>186</v>
      </c>
      <c r="C35" s="178"/>
      <c r="D35" s="179"/>
      <c r="E35" s="113">
        <f>ROUND(SUM(E30:E32),2)</f>
        <v>0</v>
      </c>
      <c r="F35" s="110"/>
      <c r="G35" s="178"/>
      <c r="H35" s="179"/>
      <c r="I35" s="113">
        <f>ROUND(SUM(I30:I32),2)</f>
        <v>0</v>
      </c>
      <c r="J35" s="110"/>
      <c r="K35" s="178"/>
      <c r="L35" s="179"/>
      <c r="M35" s="113">
        <f>ROUND(SUM(M30:M32),2)</f>
        <v>0</v>
      </c>
      <c r="N35" s="110"/>
      <c r="O35" s="178"/>
      <c r="P35" s="179"/>
      <c r="Q35" s="113">
        <f>ROUND(SUM(Q30:Q32),2)</f>
        <v>0</v>
      </c>
    </row>
    <row r="36" spans="1:17" x14ac:dyDescent="0.25">
      <c r="A36" s="138"/>
      <c r="B36" s="186" t="s">
        <v>72</v>
      </c>
      <c r="C36" s="176"/>
      <c r="D36" s="180"/>
      <c r="E36" s="113">
        <f>ROUND(E33,2)</f>
        <v>0</v>
      </c>
      <c r="F36" s="110"/>
      <c r="G36" s="176"/>
      <c r="H36" s="180"/>
      <c r="I36" s="113">
        <f>ROUND(I33,2)</f>
        <v>0</v>
      </c>
      <c r="J36" s="110"/>
      <c r="K36" s="176"/>
      <c r="L36" s="180"/>
      <c r="M36" s="113">
        <f>ROUND(M33,2)</f>
        <v>0</v>
      </c>
      <c r="N36" s="110"/>
      <c r="O36" s="176"/>
      <c r="P36" s="180"/>
      <c r="Q36" s="113">
        <f>ROUND(Q33,2)</f>
        <v>0</v>
      </c>
    </row>
    <row r="37" spans="1:17" x14ac:dyDescent="0.2">
      <c r="B37" s="186" t="s">
        <v>71</v>
      </c>
      <c r="C37" s="176"/>
      <c r="D37" s="180"/>
      <c r="E37" s="127">
        <f>ROUND(E34,2)</f>
        <v>0</v>
      </c>
      <c r="F37" s="128"/>
      <c r="G37" s="176"/>
      <c r="H37" s="180"/>
      <c r="I37" s="127">
        <f>ROUND(I34,2)</f>
        <v>0</v>
      </c>
      <c r="J37" s="128"/>
      <c r="K37" s="176"/>
      <c r="L37" s="180"/>
      <c r="M37" s="127">
        <f>ROUND(M34,2)</f>
        <v>0</v>
      </c>
      <c r="N37" s="128"/>
      <c r="O37" s="176"/>
      <c r="P37" s="180"/>
      <c r="Q37" s="127">
        <f>ROUND(Q34,2)</f>
        <v>0</v>
      </c>
    </row>
    <row r="38" spans="1:17" ht="16.5" thickBot="1" x14ac:dyDescent="0.25">
      <c r="B38" s="187" t="s">
        <v>173</v>
      </c>
      <c r="C38" s="181"/>
      <c r="D38" s="182"/>
      <c r="E38" s="105">
        <f>SUM(E35:E37)</f>
        <v>0</v>
      </c>
      <c r="F38" s="106"/>
      <c r="G38" s="181"/>
      <c r="H38" s="182"/>
      <c r="I38" s="105">
        <f>SUM(I35:I37)</f>
        <v>0</v>
      </c>
      <c r="J38" s="106"/>
      <c r="K38" s="181"/>
      <c r="L38" s="182"/>
      <c r="M38" s="105">
        <f>SUM(M35:M37)</f>
        <v>0</v>
      </c>
      <c r="N38" s="106"/>
      <c r="O38" s="181"/>
      <c r="P38" s="182"/>
      <c r="Q38" s="105">
        <f>SUM(Q35:Q37)</f>
        <v>0</v>
      </c>
    </row>
    <row r="39" spans="1:17" ht="16.5" thickBot="1" x14ac:dyDescent="0.25">
      <c r="B39" s="117"/>
      <c r="E39" s="360" t="s">
        <v>1</v>
      </c>
      <c r="F39" s="132"/>
      <c r="I39" s="139" t="s">
        <v>1</v>
      </c>
      <c r="J39" s="132"/>
      <c r="N39" s="132"/>
    </row>
    <row r="40" spans="1:17" ht="16.5" thickBot="1" x14ac:dyDescent="0.3">
      <c r="B40" s="523" t="str">
        <f>B10</f>
        <v>CLIN 0002 (CPIF)                                                     TOTAL</v>
      </c>
      <c r="C40" s="490" t="s">
        <v>212</v>
      </c>
      <c r="D40" s="491"/>
      <c r="E40" s="492"/>
      <c r="F40" s="120"/>
      <c r="G40" s="490" t="s">
        <v>212</v>
      </c>
      <c r="H40" s="491"/>
      <c r="I40" s="492"/>
      <c r="J40" s="120"/>
      <c r="K40" s="490" t="s">
        <v>212</v>
      </c>
      <c r="L40" s="491"/>
      <c r="M40" s="492"/>
      <c r="N40" s="120"/>
      <c r="O40" s="490" t="s">
        <v>212</v>
      </c>
      <c r="P40" s="491"/>
      <c r="Q40" s="492"/>
    </row>
    <row r="41" spans="1:17" ht="27.75" customHeight="1" thickBot="1" x14ac:dyDescent="0.3">
      <c r="B41" s="524"/>
      <c r="C41" s="520" t="str">
        <f>C28</f>
        <v>CLIN 0002 - Basic Period (Year 1)</v>
      </c>
      <c r="D41" s="521"/>
      <c r="E41" s="522"/>
      <c r="F41" s="121"/>
      <c r="G41" s="520" t="str">
        <f>G28</f>
        <v>CLIN 0002 - Basic Period (Year 2)</v>
      </c>
      <c r="H41" s="521"/>
      <c r="I41" s="522"/>
      <c r="J41" s="121"/>
      <c r="K41" s="520" t="str">
        <f>K28</f>
        <v>CLIN 0002 - Basic Period (Year 3)</v>
      </c>
      <c r="L41" s="521"/>
      <c r="M41" s="522"/>
      <c r="N41" s="121"/>
      <c r="O41" s="520" t="str">
        <f>O28</f>
        <v>CLIN 0002 - Basic Period (Year 4)</v>
      </c>
      <c r="P41" s="521"/>
      <c r="Q41" s="522"/>
    </row>
    <row r="42" spans="1:17" x14ac:dyDescent="0.25">
      <c r="B42" s="193"/>
      <c r="C42" s="98" t="s">
        <v>289</v>
      </c>
      <c r="D42" s="99" t="s">
        <v>286</v>
      </c>
      <c r="E42" s="100" t="s">
        <v>287</v>
      </c>
      <c r="F42" s="111"/>
      <c r="G42" s="98" t="s">
        <v>289</v>
      </c>
      <c r="H42" s="99" t="s">
        <v>286</v>
      </c>
      <c r="I42" s="100" t="s">
        <v>287</v>
      </c>
      <c r="J42" s="111"/>
      <c r="K42" s="98" t="s">
        <v>289</v>
      </c>
      <c r="L42" s="99" t="s">
        <v>286</v>
      </c>
      <c r="M42" s="100" t="s">
        <v>287</v>
      </c>
      <c r="N42" s="111"/>
      <c r="O42" s="98" t="s">
        <v>289</v>
      </c>
      <c r="P42" s="99" t="s">
        <v>286</v>
      </c>
      <c r="Q42" s="100" t="s">
        <v>287</v>
      </c>
    </row>
    <row r="43" spans="1:17" x14ac:dyDescent="0.2">
      <c r="B43" s="261" t="s">
        <v>1</v>
      </c>
      <c r="C43" s="226"/>
      <c r="D43" s="226"/>
      <c r="E43" s="262">
        <f>'SUB CPIF TOTAL SUB'!E28</f>
        <v>0</v>
      </c>
      <c r="F43" s="229"/>
      <c r="G43" s="176"/>
      <c r="H43" s="226"/>
      <c r="I43" s="262">
        <f>'SUB CPIF TOTAL SUB'!G28</f>
        <v>0</v>
      </c>
      <c r="J43" s="229"/>
      <c r="K43" s="176"/>
      <c r="L43" s="226"/>
      <c r="M43" s="262">
        <f>'SUB CPIF TOTAL SUB'!I28</f>
        <v>0</v>
      </c>
      <c r="N43" s="110"/>
      <c r="O43" s="176"/>
      <c r="P43" s="226"/>
      <c r="Q43" s="262">
        <f>'SUB CPIF TOTAL SUB'!K28</f>
        <v>0</v>
      </c>
    </row>
    <row r="44" spans="1:17" x14ac:dyDescent="0.2">
      <c r="A44" s="136" t="s">
        <v>1</v>
      </c>
      <c r="B44" s="228" t="str">
        <f>'SUB CPIF RATES (ALL)'!B45</f>
        <v>Indirect Category: [Overhead]</v>
      </c>
      <c r="C44" s="227"/>
      <c r="D44" s="188"/>
      <c r="E44" s="113">
        <f>'CPIF CLIN 0002-TASK 1.01 INPUTS'!E50+'CPIF CLIN 0002-TASK 1.02 INPUTS'!E50+'CPIF CLIN 0002-TASK 1.03 INPUTS'!E50</f>
        <v>0</v>
      </c>
      <c r="F44" s="123"/>
      <c r="G44" s="160"/>
      <c r="H44" s="188"/>
      <c r="I44" s="113">
        <f>'CPIF CLIN 0002-TASK 1.01 INPUTS'!I50+'CPIF CLIN 0002-TASK 1.02 INPUTS'!I50+'CPIF CLIN 0002-TASK 1.03 INPUTS'!I50</f>
        <v>0</v>
      </c>
      <c r="J44" s="123"/>
      <c r="K44" s="160"/>
      <c r="L44" s="188"/>
      <c r="M44" s="113">
        <f>'CPIF CLIN 0002-TASK 1.01 INPUTS'!M50+'CPIF CLIN 0002-TASK 1.02 INPUTS'!M50+'CPIF CLIN 0002-TASK 1.03 INPUTS'!M50</f>
        <v>0</v>
      </c>
      <c r="N44" s="123"/>
      <c r="O44" s="160"/>
      <c r="P44" s="188"/>
      <c r="Q44" s="113">
        <f>'CPIF CLIN 0002-TASK 1.01 INPUTS'!Q50+'CPIF CLIN 0002-TASK 1.02 INPUTS'!Q50+'CPIF CLIN 0002-TASK 1.03 INPUTS'!Q50</f>
        <v>0</v>
      </c>
    </row>
    <row r="45" spans="1:17" x14ac:dyDescent="0.2">
      <c r="B45" s="228" t="str">
        <f>'SUB CPIF RATES (ALL)'!B46</f>
        <v>Indirect Category: [G&amp;A]</v>
      </c>
      <c r="C45" s="227"/>
      <c r="D45" s="188"/>
      <c r="E45" s="113">
        <f>'CPIF CLIN 0002-TASK 1.01 INPUTS'!E51+'CPIF CLIN 0002-TASK 1.02 INPUTS'!E51+'CPIF CLIN 0002-TASK 1.03 INPUTS'!E51</f>
        <v>0</v>
      </c>
      <c r="F45" s="229"/>
      <c r="G45" s="227"/>
      <c r="H45" s="188"/>
      <c r="I45" s="113">
        <f>'CPIF CLIN 0002-TASK 1.01 INPUTS'!I51+'CPIF CLIN 0002-TASK 1.02 INPUTS'!I51+'CPIF CLIN 0002-TASK 1.03 INPUTS'!I51</f>
        <v>0</v>
      </c>
      <c r="J45" s="229"/>
      <c r="K45" s="227"/>
      <c r="L45" s="188"/>
      <c r="M45" s="113">
        <f>'CPIF CLIN 0002-TASK 1.01 INPUTS'!M51+'CPIF CLIN 0002-TASK 1.02 INPUTS'!M51+'CPIF CLIN 0002-TASK 1.03 INPUTS'!M51</f>
        <v>0</v>
      </c>
      <c r="N45" s="110"/>
      <c r="O45" s="227"/>
      <c r="P45" s="188"/>
      <c r="Q45" s="113">
        <f>'CPIF CLIN 0002-TASK 1.01 INPUTS'!Q51+'CPIF CLIN 0002-TASK 1.02 INPUTS'!Q51+'CPIF CLIN 0002-TASK 1.03 INPUTS'!Q51</f>
        <v>0</v>
      </c>
    </row>
    <row r="46" spans="1:17" x14ac:dyDescent="0.2">
      <c r="B46" s="266" t="str">
        <f>'SUB CPIF RATES (ALL)'!B47</f>
        <v>Indirect Category: [FCCOM]</v>
      </c>
      <c r="C46" s="160"/>
      <c r="D46" s="359"/>
      <c r="E46" s="113">
        <f>'CPIF CLIN 0002-TASK 1.01 INPUTS'!E52+'CPIF CLIN 0002-TASK 1.02 INPUTS'!E52+'CPIF CLIN 0002-TASK 1.03 INPUTS'!E52</f>
        <v>0</v>
      </c>
      <c r="F46" s="229"/>
      <c r="G46" s="160"/>
      <c r="H46" s="359"/>
      <c r="I46" s="113">
        <f>'CPIF CLIN 0002-TASK 1.01 INPUTS'!I52+'CPIF CLIN 0002-TASK 1.02 INPUTS'!I52+'CPIF CLIN 0002-TASK 1.03 INPUTS'!I52</f>
        <v>0</v>
      </c>
      <c r="J46" s="229"/>
      <c r="K46" s="160"/>
      <c r="L46" s="359"/>
      <c r="M46" s="113">
        <f>'CPIF CLIN 0002-TASK 1.01 INPUTS'!M52+'CPIF CLIN 0002-TASK 1.02 INPUTS'!M52+'CPIF CLIN 0002-TASK 1.03 INPUTS'!M52</f>
        <v>0</v>
      </c>
      <c r="N46" s="110"/>
      <c r="O46" s="160"/>
      <c r="P46" s="359"/>
      <c r="Q46" s="113">
        <f>'CPIF CLIN 0002-TASK 1.01 INPUTS'!Q52+'CPIF CLIN 0002-TASK 1.02 INPUTS'!Q52+'CPIF CLIN 0002-TASK 1.03 INPUTS'!Q52</f>
        <v>0</v>
      </c>
    </row>
    <row r="47" spans="1:17" x14ac:dyDescent="0.2">
      <c r="B47" s="112" t="str">
        <f>'SUB CPIF RATES (ALL)'!B48</f>
        <v>Indirect Category: [Target Fee]</v>
      </c>
      <c r="C47" s="159"/>
      <c r="D47" s="269"/>
      <c r="E47" s="113">
        <f>'CPIF CLIN 0002-TASK 1.01 INPUTS'!E53+'CPIF CLIN 0002-TASK 1.02 INPUTS'!E53+'CPIF CLIN 0002-TASK 1.03 INPUTS'!E53</f>
        <v>0</v>
      </c>
      <c r="F47" s="229"/>
      <c r="G47" s="159"/>
      <c r="H47" s="269"/>
      <c r="I47" s="113">
        <f>'CPIF CLIN 0002-TASK 1.01 INPUTS'!I53+'CPIF CLIN 0002-TASK 1.02 INPUTS'!I53+'CPIF CLIN 0002-TASK 1.03 INPUTS'!I53</f>
        <v>0</v>
      </c>
      <c r="J47" s="229"/>
      <c r="K47" s="159"/>
      <c r="L47" s="269"/>
      <c r="M47" s="113">
        <f>'CPIF CLIN 0002-TASK 1.01 INPUTS'!M53+'CPIF CLIN 0002-TASK 1.02 INPUTS'!M53+'CPIF CLIN 0002-TASK 1.03 INPUTS'!M53</f>
        <v>0</v>
      </c>
      <c r="N47" s="110"/>
      <c r="O47" s="159"/>
      <c r="P47" s="269"/>
      <c r="Q47" s="113">
        <f>'CPIF CLIN 0002-TASK 1.01 INPUTS'!Q53+'CPIF CLIN 0002-TASK 1.02 INPUTS'!Q53+'CPIF CLIN 0002-TASK 1.03 INPUTS'!Q53</f>
        <v>0</v>
      </c>
    </row>
    <row r="48" spans="1:17" x14ac:dyDescent="0.2">
      <c r="B48" s="186" t="s">
        <v>214</v>
      </c>
      <c r="C48" s="178"/>
      <c r="D48" s="179"/>
      <c r="E48" s="113">
        <f>ROUND(E43+E44+E45,2)</f>
        <v>0</v>
      </c>
      <c r="F48" s="229"/>
      <c r="G48" s="178"/>
      <c r="H48" s="179"/>
      <c r="I48" s="113">
        <f>ROUND(I43+I44+I45,2)</f>
        <v>0</v>
      </c>
      <c r="J48" s="229"/>
      <c r="K48" s="178"/>
      <c r="L48" s="179"/>
      <c r="M48" s="113">
        <f>ROUND(M43+M44+M45,2)</f>
        <v>0</v>
      </c>
      <c r="N48" s="110"/>
      <c r="O48" s="178"/>
      <c r="P48" s="179"/>
      <c r="Q48" s="113">
        <f>ROUND(Q43+Q44+Q45,2)</f>
        <v>0</v>
      </c>
    </row>
    <row r="49" spans="1:17" x14ac:dyDescent="0.2">
      <c r="B49" s="186" t="s">
        <v>204</v>
      </c>
      <c r="C49" s="176"/>
      <c r="D49" s="180"/>
      <c r="E49" s="113">
        <f>ROUND(E46,2)</f>
        <v>0</v>
      </c>
      <c r="F49" s="229"/>
      <c r="G49" s="176"/>
      <c r="H49" s="180"/>
      <c r="I49" s="113">
        <f>ROUND(I46,2)</f>
        <v>0</v>
      </c>
      <c r="J49" s="229"/>
      <c r="K49" s="176"/>
      <c r="L49" s="180"/>
      <c r="M49" s="113">
        <f>ROUND(M46,2)</f>
        <v>0</v>
      </c>
      <c r="N49" s="110"/>
      <c r="O49" s="176"/>
      <c r="P49" s="180"/>
      <c r="Q49" s="113">
        <f>ROUND(Q46,2)</f>
        <v>0</v>
      </c>
    </row>
    <row r="50" spans="1:17" x14ac:dyDescent="0.2">
      <c r="B50" s="186" t="s">
        <v>71</v>
      </c>
      <c r="C50" s="176"/>
      <c r="D50" s="180"/>
      <c r="E50" s="127">
        <f>ROUND(E47,2)</f>
        <v>0</v>
      </c>
      <c r="F50" s="128"/>
      <c r="G50" s="176"/>
      <c r="H50" s="180"/>
      <c r="I50" s="127">
        <f>ROUND(I47,2)</f>
        <v>0</v>
      </c>
      <c r="J50" s="128"/>
      <c r="K50" s="176"/>
      <c r="L50" s="180"/>
      <c r="M50" s="127">
        <f>ROUND(M47,2)</f>
        <v>0</v>
      </c>
      <c r="N50" s="128"/>
      <c r="O50" s="176"/>
      <c r="P50" s="180"/>
      <c r="Q50" s="127">
        <f>ROUND(Q47,2)</f>
        <v>0</v>
      </c>
    </row>
    <row r="51" spans="1:17" ht="16.5" thickBot="1" x14ac:dyDescent="0.25">
      <c r="B51" s="187" t="s">
        <v>215</v>
      </c>
      <c r="C51" s="181"/>
      <c r="D51" s="182"/>
      <c r="E51" s="105">
        <f>SUM(E48:E50)</f>
        <v>0</v>
      </c>
      <c r="F51" s="106"/>
      <c r="G51" s="181"/>
      <c r="H51" s="182"/>
      <c r="I51" s="105">
        <f>SUM(I48:I50)</f>
        <v>0</v>
      </c>
      <c r="J51" s="106"/>
      <c r="K51" s="181"/>
      <c r="L51" s="182"/>
      <c r="M51" s="105">
        <f>SUM(M48:M50)</f>
        <v>0</v>
      </c>
      <c r="N51" s="106"/>
      <c r="O51" s="181"/>
      <c r="P51" s="182"/>
      <c r="Q51" s="105">
        <f>SUM(Q48:Q50)</f>
        <v>0</v>
      </c>
    </row>
    <row r="52" spans="1:17" ht="16.5" thickBot="1" x14ac:dyDescent="0.25">
      <c r="B52" s="117"/>
      <c r="E52" s="139" t="s">
        <v>1</v>
      </c>
      <c r="F52" s="132"/>
      <c r="I52" s="139" t="s">
        <v>1</v>
      </c>
      <c r="J52" s="132"/>
      <c r="N52" s="132"/>
    </row>
    <row r="53" spans="1:17" ht="16.5" customHeight="1" thickBot="1" x14ac:dyDescent="0.3">
      <c r="A53" s="138"/>
      <c r="B53" s="523" t="str">
        <f>B27</f>
        <v>CLIN 0002 (CPIF)                                                     TOTAL</v>
      </c>
      <c r="C53" s="490" t="s">
        <v>81</v>
      </c>
      <c r="D53" s="491"/>
      <c r="E53" s="492"/>
      <c r="F53" s="120"/>
      <c r="G53" s="490" t="s">
        <v>82</v>
      </c>
      <c r="H53" s="491"/>
      <c r="I53" s="492"/>
      <c r="J53" s="120"/>
      <c r="K53" s="490" t="s">
        <v>82</v>
      </c>
      <c r="L53" s="491"/>
      <c r="M53" s="492"/>
      <c r="N53" s="120"/>
      <c r="O53" s="490" t="s">
        <v>82</v>
      </c>
      <c r="P53" s="491"/>
      <c r="Q53" s="492"/>
    </row>
    <row r="54" spans="1:17" ht="33.75" customHeight="1" thickBot="1" x14ac:dyDescent="0.3">
      <c r="A54" s="138"/>
      <c r="B54" s="524"/>
      <c r="C54" s="520" t="str">
        <f>C28</f>
        <v>CLIN 0002 - Basic Period (Year 1)</v>
      </c>
      <c r="D54" s="521"/>
      <c r="E54" s="522"/>
      <c r="F54" s="121"/>
      <c r="G54" s="520" t="str">
        <f>G28</f>
        <v>CLIN 0002 - Basic Period (Year 2)</v>
      </c>
      <c r="H54" s="521"/>
      <c r="I54" s="522"/>
      <c r="J54" s="121"/>
      <c r="K54" s="520" t="str">
        <f>K28</f>
        <v>CLIN 0002 - Basic Period (Year 3)</v>
      </c>
      <c r="L54" s="521"/>
      <c r="M54" s="522"/>
      <c r="N54" s="121"/>
      <c r="O54" s="520" t="str">
        <f>O28</f>
        <v>CLIN 0002 - Basic Period (Year 4)</v>
      </c>
      <c r="P54" s="521"/>
      <c r="Q54" s="522"/>
    </row>
    <row r="55" spans="1:17" x14ac:dyDescent="0.25">
      <c r="A55" s="138"/>
      <c r="B55" s="193"/>
      <c r="C55" s="98" t="s">
        <v>289</v>
      </c>
      <c r="D55" s="99" t="s">
        <v>286</v>
      </c>
      <c r="E55" s="100" t="s">
        <v>89</v>
      </c>
      <c r="F55" s="111"/>
      <c r="G55" s="98" t="s">
        <v>289</v>
      </c>
      <c r="H55" s="99" t="s">
        <v>286</v>
      </c>
      <c r="I55" s="100" t="s">
        <v>89</v>
      </c>
      <c r="J55" s="111"/>
      <c r="K55" s="98" t="s">
        <v>289</v>
      </c>
      <c r="L55" s="99" t="s">
        <v>286</v>
      </c>
      <c r="M55" s="100" t="s">
        <v>89</v>
      </c>
      <c r="N55" s="111"/>
      <c r="O55" s="98" t="s">
        <v>289</v>
      </c>
      <c r="P55" s="99" t="s">
        <v>286</v>
      </c>
      <c r="Q55" s="100" t="s">
        <v>89</v>
      </c>
    </row>
    <row r="56" spans="1:17" x14ac:dyDescent="0.25">
      <c r="A56" s="138"/>
      <c r="B56" s="240" t="s">
        <v>1</v>
      </c>
      <c r="C56" s="176"/>
      <c r="D56" s="177"/>
      <c r="E56" s="159">
        <f>'CPIF CLIN 0002-TASK 1.01 INPUTS'!E62+'CPIF CLIN 0002-TASK 1.02 INPUTS'!E62+'CPIF CLIN 0002-TASK 1.03 INPUTS'!E62</f>
        <v>0</v>
      </c>
      <c r="F56" s="110"/>
      <c r="G56" s="176"/>
      <c r="H56" s="177"/>
      <c r="I56" s="159">
        <f>'CPIF CLIN 0002-TASK 1.01 INPUTS'!I62+'CPIF CLIN 0002-TASK 1.02 INPUTS'!I62+'CPIF CLIN 0002-TASK 1.03 INPUTS'!I62</f>
        <v>0</v>
      </c>
      <c r="J56" s="110"/>
      <c r="K56" s="176"/>
      <c r="L56" s="177"/>
      <c r="M56" s="161">
        <f>'CPIF CLIN 0002-TASK 1.01 INPUTS'!M62+'CPIF CLIN 0002-TASK 1.02 INPUTS'!M62+'CPIF CLIN 0002-TASK 1.03 INPUTS'!M62</f>
        <v>0</v>
      </c>
      <c r="N56" s="110"/>
      <c r="O56" s="176"/>
      <c r="P56" s="177"/>
      <c r="Q56" s="161">
        <f>'CPIF CLIN 0002-TASK 1.01 INPUTS'!Q62+'CPIF CLIN 0002-TASK 1.02 INPUTS'!Q62+'CPIF CLIN 0002-TASK 1.03 INPUTS'!Q62</f>
        <v>0</v>
      </c>
    </row>
    <row r="57" spans="1:17" x14ac:dyDescent="0.25">
      <c r="A57" s="138"/>
      <c r="B57" s="112" t="s">
        <v>60</v>
      </c>
      <c r="C57" s="160"/>
      <c r="D57" s="188"/>
      <c r="E57" s="113">
        <f>'CPIF CLIN 0002-TASK 1.01 INPUTS'!E64+'CPIF CLIN 0002-TASK 1.02 INPUTS'!E64+'CPIF CLIN 0002-TASK 1.03 INPUTS'!E64</f>
        <v>0</v>
      </c>
      <c r="F57" s="123"/>
      <c r="G57" s="160"/>
      <c r="H57" s="188"/>
      <c r="I57" s="113">
        <f>'CPIF CLIN 0002-TASK 1.01 INPUTS'!I64+'CPIF CLIN 0002-TASK 1.02 INPUTS'!I64+'CPIF CLIN 0002-TASK 1.03 INPUTS'!I64</f>
        <v>0</v>
      </c>
      <c r="J57" s="123"/>
      <c r="K57" s="160"/>
      <c r="L57" s="188"/>
      <c r="M57" s="113">
        <f>'CPIF CLIN 0002-TASK 1.01 INPUTS'!M64+'CPIF CLIN 0002-TASK 1.02 INPUTS'!M64+'CPIF CLIN 0002-TASK 1.03 INPUTS'!M64</f>
        <v>0</v>
      </c>
      <c r="N57" s="123"/>
      <c r="O57" s="160"/>
      <c r="P57" s="188"/>
      <c r="Q57" s="113">
        <f>'CPIF CLIN 0002-TASK 1.01 INPUTS'!Q64+'CPIF CLIN 0002-TASK 1.02 INPUTS'!Q64+'CPIF CLIN 0002-TASK 1.03 INPUTS'!Q64</f>
        <v>0</v>
      </c>
    </row>
    <row r="58" spans="1:17" x14ac:dyDescent="0.25">
      <c r="A58" s="138"/>
      <c r="B58" s="112" t="s">
        <v>61</v>
      </c>
      <c r="C58" s="160"/>
      <c r="D58" s="188"/>
      <c r="E58" s="113">
        <f>'CPIF CLIN 0002-TASK 1.01 INPUTS'!E65+'CPIF CLIN 0002-TASK 1.02 INPUTS'!E65+'CPIF CLIN 0002-TASK 1.03 INPUTS'!E65</f>
        <v>0</v>
      </c>
      <c r="F58" s="123"/>
      <c r="G58" s="160"/>
      <c r="H58" s="188"/>
      <c r="I58" s="113">
        <f>'CPIF CLIN 0002-TASK 1.01 INPUTS'!I65+'CPIF CLIN 0002-TASK 1.02 INPUTS'!I65+'CPIF CLIN 0002-TASK 1.03 INPUTS'!I65</f>
        <v>0</v>
      </c>
      <c r="J58" s="123"/>
      <c r="K58" s="160"/>
      <c r="L58" s="188"/>
      <c r="M58" s="113">
        <f>'CPIF CLIN 0002-TASK 1.01 INPUTS'!M65+'CPIF CLIN 0002-TASK 1.02 INPUTS'!M65+'CPIF CLIN 0002-TASK 1.03 INPUTS'!M65</f>
        <v>0</v>
      </c>
      <c r="N58" s="123"/>
      <c r="O58" s="160"/>
      <c r="P58" s="188"/>
      <c r="Q58" s="113">
        <f>'CPIF CLIN 0002-TASK 1.01 INPUTS'!Q65+'CPIF CLIN 0002-TASK 1.02 INPUTS'!Q65+'CPIF CLIN 0002-TASK 1.03 INPUTS'!Q65</f>
        <v>0</v>
      </c>
    </row>
    <row r="59" spans="1:17" x14ac:dyDescent="0.25">
      <c r="A59" s="138"/>
      <c r="B59" s="112" t="s">
        <v>411</v>
      </c>
      <c r="C59" s="160"/>
      <c r="D59" s="357"/>
      <c r="E59" s="113">
        <f>'CPIF CLIN 0002-TASK 1.01 INPUTS'!E66+'CPIF CLIN 0002-TASK 1.02 INPUTS'!E66+'CPIF CLIN 0002-TASK 1.03 INPUTS'!E66</f>
        <v>0</v>
      </c>
      <c r="F59" s="110"/>
      <c r="G59" s="160"/>
      <c r="H59" s="357"/>
      <c r="I59" s="113">
        <f>'CPIF CLIN 0002-TASK 1.01 INPUTS'!I66+'CPIF CLIN 0002-TASK 1.02 INPUTS'!I66+'CPIF CLIN 0002-TASK 1.03 INPUTS'!I66</f>
        <v>0</v>
      </c>
      <c r="J59" s="110"/>
      <c r="K59" s="160"/>
      <c r="L59" s="357"/>
      <c r="M59" s="113">
        <f>'CPIF CLIN 0002-TASK 1.01 INPUTS'!M66+'CPIF CLIN 0002-TASK 1.02 INPUTS'!M66+'CPIF CLIN 0002-TASK 1.03 INPUTS'!M66</f>
        <v>0</v>
      </c>
      <c r="N59" s="110"/>
      <c r="O59" s="160"/>
      <c r="P59" s="357"/>
      <c r="Q59" s="113">
        <f>'CPIF CLIN 0002-TASK 1.01 INPUTS'!Q66+'CPIF CLIN 0002-TASK 1.02 INPUTS'!Q66+'CPIF CLIN 0002-TASK 1.03 INPUTS'!Q66</f>
        <v>0</v>
      </c>
    </row>
    <row r="60" spans="1:17" x14ac:dyDescent="0.25">
      <c r="A60" s="138"/>
      <c r="B60" s="112" t="s">
        <v>62</v>
      </c>
      <c r="C60" s="160"/>
      <c r="D60" s="269"/>
      <c r="E60" s="113">
        <f>'CPIF CLIN 0002-TASK 1.01 INPUTS'!E67+'CPIF CLIN 0002-TASK 1.02 INPUTS'!E67+'CPIF CLIN 0002-TASK 1.03 INPUTS'!E67</f>
        <v>0</v>
      </c>
      <c r="F60" s="110"/>
      <c r="G60" s="160"/>
      <c r="H60" s="269"/>
      <c r="I60" s="113">
        <f>'CPIF CLIN 0002-TASK 1.01 INPUTS'!I67+'CPIF CLIN 0002-TASK 1.02 INPUTS'!I67+'CPIF CLIN 0002-TASK 1.03 INPUTS'!I67</f>
        <v>0</v>
      </c>
      <c r="J60" s="110"/>
      <c r="K60" s="160"/>
      <c r="L60" s="269"/>
      <c r="M60" s="113">
        <f>'CPIF CLIN 0002-TASK 1.01 INPUTS'!M67+'CPIF CLIN 0002-TASK 1.02 INPUTS'!M67+'CPIF CLIN 0002-TASK 1.03 INPUTS'!M67</f>
        <v>0</v>
      </c>
      <c r="N60" s="110"/>
      <c r="O60" s="160"/>
      <c r="P60" s="269"/>
      <c r="Q60" s="113">
        <f>'CPIF CLIN 0002-TASK 1.01 INPUTS'!Q67+'CPIF CLIN 0002-TASK 1.02 INPUTS'!Q67+'CPIF CLIN 0002-TASK 1.03 INPUTS'!Q67</f>
        <v>0</v>
      </c>
    </row>
    <row r="61" spans="1:17" x14ac:dyDescent="0.25">
      <c r="A61" s="138"/>
      <c r="B61" s="186" t="s">
        <v>187</v>
      </c>
      <c r="C61" s="178"/>
      <c r="D61" s="179"/>
      <c r="E61" s="113">
        <f>ROUND(SUM(E56:E58),2)</f>
        <v>0</v>
      </c>
      <c r="F61" s="110"/>
      <c r="G61" s="178"/>
      <c r="H61" s="179"/>
      <c r="I61" s="113">
        <f>ROUND(SUM(I56:I58),2)</f>
        <v>0</v>
      </c>
      <c r="J61" s="110"/>
      <c r="K61" s="178"/>
      <c r="L61" s="179"/>
      <c r="M61" s="113">
        <f>ROUND(SUM(M56:M58),2)</f>
        <v>0</v>
      </c>
      <c r="N61" s="110"/>
      <c r="O61" s="178"/>
      <c r="P61" s="179"/>
      <c r="Q61" s="113">
        <f>ROUND(SUM(Q56:Q58),2)</f>
        <v>0</v>
      </c>
    </row>
    <row r="62" spans="1:17" x14ac:dyDescent="0.25">
      <c r="A62" s="138"/>
      <c r="B62" s="186" t="s">
        <v>72</v>
      </c>
      <c r="C62" s="176"/>
      <c r="D62" s="180"/>
      <c r="E62" s="113">
        <f>ROUND(E59,2)</f>
        <v>0</v>
      </c>
      <c r="F62" s="110"/>
      <c r="G62" s="176"/>
      <c r="H62" s="180"/>
      <c r="I62" s="113">
        <f>ROUND(I59,2)</f>
        <v>0</v>
      </c>
      <c r="J62" s="110"/>
      <c r="K62" s="176"/>
      <c r="L62" s="180"/>
      <c r="M62" s="113">
        <f>ROUND(M59,2)</f>
        <v>0</v>
      </c>
      <c r="N62" s="110"/>
      <c r="O62" s="176"/>
      <c r="P62" s="180"/>
      <c r="Q62" s="113">
        <f>ROUND(Q59,2)</f>
        <v>0</v>
      </c>
    </row>
    <row r="63" spans="1:17" x14ac:dyDescent="0.2">
      <c r="A63" s="131"/>
      <c r="B63" s="186" t="s">
        <v>71</v>
      </c>
      <c r="C63" s="176"/>
      <c r="D63" s="180"/>
      <c r="E63" s="127">
        <f>ROUND(E60,2)</f>
        <v>0</v>
      </c>
      <c r="F63" s="128"/>
      <c r="G63" s="176"/>
      <c r="H63" s="180"/>
      <c r="I63" s="127">
        <f>ROUND(I60,2)</f>
        <v>0</v>
      </c>
      <c r="J63" s="128"/>
      <c r="K63" s="176"/>
      <c r="L63" s="180"/>
      <c r="M63" s="127">
        <f>ROUND(M60,2)</f>
        <v>0</v>
      </c>
      <c r="N63" s="128"/>
      <c r="O63" s="176"/>
      <c r="P63" s="180"/>
      <c r="Q63" s="127">
        <f>ROUND(Q60,2)</f>
        <v>0</v>
      </c>
    </row>
    <row r="64" spans="1:17" ht="16.5" thickBot="1" x14ac:dyDescent="0.25">
      <c r="A64" s="131"/>
      <c r="B64" s="187" t="s">
        <v>174</v>
      </c>
      <c r="C64" s="181"/>
      <c r="D64" s="182"/>
      <c r="E64" s="105">
        <f t="shared" ref="E64" si="0">SUM(E61:E63)</f>
        <v>0</v>
      </c>
      <c r="F64" s="106"/>
      <c r="G64" s="181"/>
      <c r="H64" s="182"/>
      <c r="I64" s="105">
        <f t="shared" ref="I64" si="1">SUM(I61:I63)</f>
        <v>0</v>
      </c>
      <c r="J64" s="106"/>
      <c r="K64" s="181"/>
      <c r="L64" s="182"/>
      <c r="M64" s="105">
        <f t="shared" ref="M64" si="2">SUM(M61:M63)</f>
        <v>0</v>
      </c>
      <c r="N64" s="106"/>
      <c r="O64" s="181"/>
      <c r="P64" s="182"/>
      <c r="Q64" s="105">
        <f t="shared" ref="Q64" si="3">SUM(Q61:Q63)</f>
        <v>0</v>
      </c>
    </row>
    <row r="65" spans="1:19" ht="16.5" thickBot="1" x14ac:dyDescent="0.25">
      <c r="A65" s="131"/>
      <c r="B65" s="117"/>
      <c r="E65" s="139" t="s">
        <v>1</v>
      </c>
      <c r="F65" s="132"/>
      <c r="I65" s="139" t="s">
        <v>1</v>
      </c>
      <c r="J65" s="132"/>
      <c r="N65" s="132"/>
    </row>
    <row r="66" spans="1:19" ht="16.5" thickBot="1" x14ac:dyDescent="0.3">
      <c r="A66" s="131"/>
      <c r="B66" s="531" t="str">
        <f>B53</f>
        <v>CLIN 0002 (CPIF)                                                     TOTAL</v>
      </c>
      <c r="C66" s="517" t="s">
        <v>213</v>
      </c>
      <c r="D66" s="518"/>
      <c r="E66" s="519"/>
      <c r="F66" s="120"/>
      <c r="G66" s="517" t="s">
        <v>213</v>
      </c>
      <c r="H66" s="518"/>
      <c r="I66" s="519"/>
      <c r="J66" s="120"/>
      <c r="K66" s="517" t="s">
        <v>213</v>
      </c>
      <c r="L66" s="518"/>
      <c r="M66" s="519"/>
      <c r="N66" s="120"/>
      <c r="O66" s="517" t="s">
        <v>213</v>
      </c>
      <c r="P66" s="518"/>
      <c r="Q66" s="519"/>
    </row>
    <row r="67" spans="1:19" ht="33.75" customHeight="1" thickBot="1" x14ac:dyDescent="0.3">
      <c r="A67" s="131"/>
      <c r="B67" s="532"/>
      <c r="C67" s="221"/>
      <c r="D67" s="222"/>
      <c r="E67" s="133" t="s">
        <v>238</v>
      </c>
      <c r="F67" s="134"/>
      <c r="G67" s="221"/>
      <c r="H67" s="222"/>
      <c r="I67" s="133" t="s">
        <v>241</v>
      </c>
      <c r="J67" s="134"/>
      <c r="K67" s="221"/>
      <c r="L67" s="222"/>
      <c r="M67" s="133" t="s">
        <v>240</v>
      </c>
      <c r="N67" s="134"/>
      <c r="O67" s="221"/>
      <c r="P67" s="222"/>
      <c r="Q67" s="133" t="s">
        <v>239</v>
      </c>
      <c r="S67" s="365" t="s">
        <v>12</v>
      </c>
    </row>
    <row r="68" spans="1:19" x14ac:dyDescent="0.2">
      <c r="A68" s="131"/>
      <c r="B68" s="112" t="s">
        <v>188</v>
      </c>
      <c r="C68" s="223"/>
      <c r="D68" s="223"/>
      <c r="E68" s="135">
        <f>+ROUND(E22+E35+E48+E61,2)</f>
        <v>0</v>
      </c>
      <c r="F68" s="110"/>
      <c r="G68" s="223"/>
      <c r="H68" s="223"/>
      <c r="I68" s="135">
        <f>+ROUND(I22+I35+I48+I61,2)</f>
        <v>0</v>
      </c>
      <c r="J68" s="110"/>
      <c r="K68" s="223"/>
      <c r="L68" s="223"/>
      <c r="M68" s="135">
        <f>+ROUND(M22+M35+M48+M61,2)</f>
        <v>0</v>
      </c>
      <c r="N68" s="110"/>
      <c r="O68" s="223"/>
      <c r="P68" s="223"/>
      <c r="Q68" s="135">
        <f>+ROUND(Q22+Q35+Q48+Q61,2)</f>
        <v>0</v>
      </c>
      <c r="S68" s="355">
        <f>E68+I68+M68+Q68</f>
        <v>0</v>
      </c>
    </row>
    <row r="69" spans="1:19" x14ac:dyDescent="0.2">
      <c r="A69" s="131"/>
      <c r="B69" s="112" t="s">
        <v>72</v>
      </c>
      <c r="C69" s="223"/>
      <c r="D69" s="223"/>
      <c r="E69" s="113">
        <f>+ROUND(E23+E36+E49+E62,2)</f>
        <v>0</v>
      </c>
      <c r="F69" s="110"/>
      <c r="G69" s="223"/>
      <c r="H69" s="223"/>
      <c r="I69" s="113">
        <f>+ROUND(I23+I36+I49+I62,2)</f>
        <v>0</v>
      </c>
      <c r="J69" s="110"/>
      <c r="K69" s="223"/>
      <c r="L69" s="223"/>
      <c r="M69" s="113">
        <f>+ROUND(M23+M36+M49+M62,2)</f>
        <v>0</v>
      </c>
      <c r="N69" s="110"/>
      <c r="O69" s="223"/>
      <c r="P69" s="223"/>
      <c r="Q69" s="113">
        <f>+ROUND(Q23+Q36+Q49+Q62,2)</f>
        <v>0</v>
      </c>
      <c r="S69" s="355">
        <f t="shared" ref="S69:S71" si="4">E69+I69+M69+Q69</f>
        <v>0</v>
      </c>
    </row>
    <row r="70" spans="1:19" x14ac:dyDescent="0.2">
      <c r="A70" s="131"/>
      <c r="B70" s="112" t="s">
        <v>71</v>
      </c>
      <c r="C70" s="223"/>
      <c r="D70" s="223"/>
      <c r="E70" s="114">
        <f>+ROUND(E24+E37+E50+E63,2)</f>
        <v>0</v>
      </c>
      <c r="F70" s="115"/>
      <c r="G70" s="223"/>
      <c r="H70" s="223"/>
      <c r="I70" s="114">
        <f>+ROUND(I24+I37+I50+I63,2)</f>
        <v>0</v>
      </c>
      <c r="J70" s="115"/>
      <c r="K70" s="223"/>
      <c r="L70" s="223"/>
      <c r="M70" s="114">
        <f>+ROUND(M24+M37+M50+M63,2)</f>
        <v>0</v>
      </c>
      <c r="N70" s="115"/>
      <c r="O70" s="223"/>
      <c r="P70" s="223"/>
      <c r="Q70" s="114">
        <f>+ROUND(Q24+Q37+Q50+Q63,2)</f>
        <v>0</v>
      </c>
      <c r="S70" s="355">
        <f t="shared" si="4"/>
        <v>0</v>
      </c>
    </row>
    <row r="71" spans="1:19" ht="18" customHeight="1" thickBot="1" x14ac:dyDescent="0.3">
      <c r="A71" s="131"/>
      <c r="B71" s="209" t="s">
        <v>245</v>
      </c>
      <c r="C71" s="224"/>
      <c r="D71" s="224"/>
      <c r="E71" s="208">
        <f>SUM(E68:E70)</f>
        <v>0</v>
      </c>
      <c r="F71" s="116"/>
      <c r="G71" s="224"/>
      <c r="H71" s="224"/>
      <c r="I71" s="208">
        <f>SUM(I68:I70)</f>
        <v>0</v>
      </c>
      <c r="J71" s="116"/>
      <c r="K71" s="224"/>
      <c r="L71" s="224"/>
      <c r="M71" s="208">
        <f>SUM(M68:M70)</f>
        <v>0</v>
      </c>
      <c r="N71" s="116"/>
      <c r="O71" s="224"/>
      <c r="P71" s="224"/>
      <c r="Q71" s="208">
        <f>SUM(Q68:Q70)</f>
        <v>0</v>
      </c>
      <c r="S71" s="364">
        <f t="shared" si="4"/>
        <v>0</v>
      </c>
    </row>
    <row r="72" spans="1:19" ht="16.5" thickBot="1" x14ac:dyDescent="0.3"/>
    <row r="73" spans="1:19" ht="95.25" thickBot="1" x14ac:dyDescent="0.3">
      <c r="D73" s="139"/>
      <c r="P73" s="319" t="s">
        <v>283</v>
      </c>
      <c r="Q73" s="320">
        <f>E71+I71+M71+Q71</f>
        <v>0</v>
      </c>
    </row>
    <row r="74" spans="1:19" x14ac:dyDescent="0.25">
      <c r="E74" s="139"/>
      <c r="F74" s="139"/>
      <c r="G74" s="139"/>
      <c r="H74" s="139"/>
      <c r="I74" s="139"/>
      <c r="J74" s="139"/>
      <c r="K74" s="139"/>
      <c r="L74" s="139"/>
      <c r="M74" s="139"/>
      <c r="N74" s="139"/>
      <c r="O74" s="139"/>
      <c r="P74" s="139"/>
      <c r="Q74" s="139" t="s">
        <v>1</v>
      </c>
      <c r="R74" s="355" t="s">
        <v>1</v>
      </c>
    </row>
    <row r="75" spans="1:19" x14ac:dyDescent="0.25">
      <c r="E75" s="355"/>
      <c r="I75" s="355"/>
      <c r="M75" s="355"/>
      <c r="P75" s="366" t="s">
        <v>13</v>
      </c>
      <c r="Q75" s="367">
        <f>'CPIF CLIN 0002-TASK 1.01 INPUTS'!Q81+'CPIF CLIN 0002-TASK 1.02 INPUTS'!Q81+'CPIF CLIN 0002-TASK 1.03 INPUTS'!Q81</f>
        <v>0</v>
      </c>
    </row>
  </sheetData>
  <mergeCells count="42">
    <mergeCell ref="B53:B54"/>
    <mergeCell ref="C53:E53"/>
    <mergeCell ref="G53:I53"/>
    <mergeCell ref="K53:M53"/>
    <mergeCell ref="B66:B67"/>
    <mergeCell ref="C66:E66"/>
    <mergeCell ref="G66:I66"/>
    <mergeCell ref="K66:M66"/>
    <mergeCell ref="C54:E54"/>
    <mergeCell ref="G54:I54"/>
    <mergeCell ref="K54:M54"/>
    <mergeCell ref="B27:B28"/>
    <mergeCell ref="C27:E27"/>
    <mergeCell ref="G27:I27"/>
    <mergeCell ref="K27:M27"/>
    <mergeCell ref="C28:E28"/>
    <mergeCell ref="G28:I28"/>
    <mergeCell ref="K28:M28"/>
    <mergeCell ref="C11:E11"/>
    <mergeCell ref="G11:I11"/>
    <mergeCell ref="K11:M11"/>
    <mergeCell ref="A4:C4"/>
    <mergeCell ref="B10:B11"/>
    <mergeCell ref="C10:E10"/>
    <mergeCell ref="G10:I10"/>
    <mergeCell ref="K10:M10"/>
    <mergeCell ref="B40:B41"/>
    <mergeCell ref="C40:E40"/>
    <mergeCell ref="G40:I40"/>
    <mergeCell ref="K40:M40"/>
    <mergeCell ref="C41:E41"/>
    <mergeCell ref="G41:I41"/>
    <mergeCell ref="K41:M41"/>
    <mergeCell ref="O53:Q53"/>
    <mergeCell ref="O54:Q54"/>
    <mergeCell ref="O66:Q66"/>
    <mergeCell ref="O10:Q10"/>
    <mergeCell ref="O11:Q11"/>
    <mergeCell ref="O27:Q27"/>
    <mergeCell ref="O28:Q28"/>
    <mergeCell ref="O40:Q40"/>
    <mergeCell ref="O41:Q41"/>
  </mergeCell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A39316-14C3-4A79-8884-7F7406022B60}">
  <dimension ref="A1:W741"/>
  <sheetViews>
    <sheetView zoomScale="90" zoomScaleNormal="90" workbookViewId="0">
      <pane xSplit="3" topLeftCell="D1" activePane="topRight" state="frozen"/>
      <selection pane="topRight" activeCell="A4" sqref="A4"/>
    </sheetView>
  </sheetViews>
  <sheetFormatPr defaultColWidth="9.140625" defaultRowHeight="15" x14ac:dyDescent="0.25"/>
  <cols>
    <col min="1" max="1" width="20.5703125" style="31" customWidth="1"/>
    <col min="2" max="2" width="9.28515625" style="32" customWidth="1"/>
    <col min="3" max="3" width="52.28515625" style="32" bestFit="1" customWidth="1"/>
    <col min="4" max="4" width="7.5703125" style="2" customWidth="1"/>
    <col min="5" max="5" width="12.28515625" style="7" customWidth="1"/>
    <col min="6" max="6" width="15.7109375" style="7" customWidth="1"/>
    <col min="7" max="7" width="18.140625" style="7" customWidth="1"/>
    <col min="8" max="8" width="2.42578125" style="2" customWidth="1"/>
    <col min="9" max="9" width="12.28515625" style="7" bestFit="1" customWidth="1"/>
    <col min="10" max="10" width="15.7109375" style="33" customWidth="1"/>
    <col min="11" max="11" width="17" style="34" customWidth="1"/>
    <col min="12" max="12" width="1.7109375" style="2" customWidth="1"/>
    <col min="13" max="13" width="12.28515625" style="7" bestFit="1" customWidth="1"/>
    <col min="14" max="14" width="15.7109375" style="33" customWidth="1"/>
    <col min="15" max="15" width="20.7109375" style="34" customWidth="1"/>
    <col min="16" max="16" width="1.7109375" style="2" customWidth="1"/>
    <col min="17" max="17" width="12.28515625" style="7" customWidth="1"/>
    <col min="18" max="18" width="15.7109375" style="33" customWidth="1"/>
    <col min="19" max="19" width="20.7109375" style="34" customWidth="1"/>
    <col min="20" max="20" width="1.140625" style="20" customWidth="1"/>
    <col min="21" max="21" width="22.7109375" style="7" customWidth="1"/>
    <col min="22" max="22" width="18.28515625" style="35" customWidth="1"/>
    <col min="23" max="23" width="15.7109375" style="7" customWidth="1"/>
    <col min="24" max="16384" width="9.140625" style="7"/>
  </cols>
  <sheetData>
    <row r="1" spans="1:23" ht="15.75" thickBot="1" x14ac:dyDescent="0.3">
      <c r="B1" s="71" t="s">
        <v>460</v>
      </c>
      <c r="C1" s="390" t="str">
        <f>'SUB CPIF RATES (ALL)'!C1</f>
        <v xml:space="preserve">NAME </v>
      </c>
      <c r="J1" s="22"/>
      <c r="N1" s="22"/>
      <c r="R1" s="22"/>
      <c r="V1" s="20"/>
    </row>
    <row r="2" spans="1:23" ht="15.75" thickBot="1" x14ac:dyDescent="0.3">
      <c r="A2" s="71" t="s">
        <v>459</v>
      </c>
      <c r="B2" s="211"/>
      <c r="C2" s="390" t="str">
        <f>'SUB CPIF RATES (ALL)'!C2</f>
        <v xml:space="preserve">NAME </v>
      </c>
      <c r="J2" s="22"/>
      <c r="N2" s="22"/>
      <c r="R2" s="22"/>
      <c r="V2" s="20"/>
    </row>
    <row r="3" spans="1:23" x14ac:dyDescent="0.25">
      <c r="A3" s="71"/>
      <c r="B3" s="211"/>
      <c r="C3" s="211"/>
      <c r="J3" s="22"/>
      <c r="N3" s="22"/>
      <c r="R3" s="22"/>
      <c r="V3" s="20"/>
    </row>
    <row r="4" spans="1:23" x14ac:dyDescent="0.25">
      <c r="A4" s="399" t="s">
        <v>383</v>
      </c>
      <c r="B4" s="211"/>
      <c r="C4" s="211"/>
      <c r="J4" s="22"/>
      <c r="N4" s="22"/>
      <c r="R4" s="22"/>
      <c r="V4" s="20"/>
    </row>
    <row r="5" spans="1:23" ht="15.75" thickBot="1" x14ac:dyDescent="0.3">
      <c r="J5" s="22"/>
      <c r="N5" s="22"/>
      <c r="R5" s="22"/>
      <c r="V5" s="20"/>
    </row>
    <row r="6" spans="1:23" ht="48" customHeight="1" thickBot="1" x14ac:dyDescent="0.3">
      <c r="A6" s="466" t="s">
        <v>255</v>
      </c>
      <c r="B6" s="467"/>
      <c r="C6" s="468"/>
      <c r="D6" s="5"/>
      <c r="E6" s="514" t="s">
        <v>197</v>
      </c>
      <c r="F6" s="515"/>
      <c r="G6" s="516"/>
      <c r="H6" s="5"/>
      <c r="I6" s="514" t="s">
        <v>211</v>
      </c>
      <c r="J6" s="515"/>
      <c r="K6" s="516"/>
      <c r="L6" s="5"/>
      <c r="M6" s="514" t="s">
        <v>198</v>
      </c>
      <c r="N6" s="515"/>
      <c r="O6" s="516"/>
      <c r="P6" s="5"/>
      <c r="Q6" s="514" t="s">
        <v>199</v>
      </c>
      <c r="R6" s="515"/>
      <c r="S6" s="516"/>
      <c r="T6" s="3"/>
      <c r="U6" s="5"/>
      <c r="V6" s="6"/>
    </row>
    <row r="7" spans="1:23" ht="45" x14ac:dyDescent="0.25">
      <c r="A7" s="338" t="s">
        <v>406</v>
      </c>
      <c r="B7" s="40" t="s">
        <v>1</v>
      </c>
      <c r="C7" s="41"/>
      <c r="D7" s="51" t="s">
        <v>85</v>
      </c>
      <c r="E7" s="55" t="s">
        <v>86</v>
      </c>
      <c r="F7" s="43" t="s">
        <v>7</v>
      </c>
      <c r="G7" s="252" t="s">
        <v>66</v>
      </c>
      <c r="H7" s="52"/>
      <c r="I7" s="55" t="s">
        <v>86</v>
      </c>
      <c r="J7" s="43" t="s">
        <v>7</v>
      </c>
      <c r="K7" s="252" t="s">
        <v>66</v>
      </c>
      <c r="L7" s="52"/>
      <c r="M7" s="55" t="s">
        <v>86</v>
      </c>
      <c r="N7" s="43" t="s">
        <v>7</v>
      </c>
      <c r="O7" s="297" t="s">
        <v>66</v>
      </c>
      <c r="P7" s="52"/>
      <c r="Q7" s="55" t="s">
        <v>6</v>
      </c>
      <c r="R7" s="43" t="s">
        <v>7</v>
      </c>
      <c r="S7" s="297" t="s">
        <v>66</v>
      </c>
      <c r="T7" s="3"/>
      <c r="U7" s="48" t="s">
        <v>256</v>
      </c>
      <c r="V7" s="7"/>
    </row>
    <row r="8" spans="1:23" ht="17.25" customHeight="1" x14ac:dyDescent="0.25">
      <c r="A8" s="286" t="s">
        <v>45</v>
      </c>
      <c r="B8" s="346" t="s">
        <v>191</v>
      </c>
      <c r="C8" s="64" t="s">
        <v>183</v>
      </c>
      <c r="D8" s="52"/>
      <c r="E8" s="55"/>
      <c r="F8" s="43"/>
      <c r="G8" s="252"/>
      <c r="H8" s="52"/>
      <c r="I8" s="55"/>
      <c r="J8" s="43"/>
      <c r="K8" s="252"/>
      <c r="L8" s="52"/>
      <c r="M8" s="55"/>
      <c r="N8" s="43"/>
      <c r="O8" s="252"/>
      <c r="P8" s="52"/>
      <c r="Q8" s="55"/>
      <c r="R8" s="305"/>
      <c r="S8" s="252"/>
      <c r="T8" s="3"/>
      <c r="U8" s="210"/>
      <c r="V8" s="7"/>
    </row>
    <row r="9" spans="1:23" x14ac:dyDescent="0.25">
      <c r="A9" s="67">
        <v>1.01</v>
      </c>
      <c r="B9" s="11"/>
      <c r="C9" s="70" t="s">
        <v>96</v>
      </c>
      <c r="D9" s="250" t="s">
        <v>27</v>
      </c>
      <c r="E9" s="253">
        <v>1</v>
      </c>
      <c r="F9" s="45">
        <f>'CPIF CLIN 0003-TASK 1.01 INPUTS'!E78</f>
        <v>0</v>
      </c>
      <c r="G9" s="58">
        <f>ROUND(E9*F9,2)</f>
        <v>0</v>
      </c>
      <c r="H9" s="304"/>
      <c r="I9" s="253">
        <v>1</v>
      </c>
      <c r="J9" s="45">
        <f>'CPIF CLIN 0003-TASK 1.01 INPUTS'!I78</f>
        <v>0</v>
      </c>
      <c r="K9" s="58">
        <f>ROUND(I9*J9,2)</f>
        <v>0</v>
      </c>
      <c r="L9" s="304"/>
      <c r="M9" s="253">
        <v>1</v>
      </c>
      <c r="N9" s="45">
        <f>'CPIF CLIN 0003-TASK 1.01 INPUTS'!M78</f>
        <v>0</v>
      </c>
      <c r="O9" s="58">
        <f>ROUND(M9*N9,2)</f>
        <v>0</v>
      </c>
      <c r="P9" s="298"/>
      <c r="Q9" s="299">
        <v>1</v>
      </c>
      <c r="R9" s="296">
        <f>'CPIF CLIN 0003-TASK 1.01 INPUTS'!Q78</f>
        <v>0</v>
      </c>
      <c r="S9" s="58">
        <f>ROUND(Q9*R9,2)</f>
        <v>0</v>
      </c>
      <c r="T9" s="3"/>
      <c r="U9" s="12">
        <f>G9+K9+O9+S9</f>
        <v>0</v>
      </c>
      <c r="V9" s="7"/>
    </row>
    <row r="10" spans="1:23" x14ac:dyDescent="0.25">
      <c r="A10" s="66">
        <v>1.02</v>
      </c>
      <c r="B10" s="64"/>
      <c r="C10" s="70" t="s">
        <v>97</v>
      </c>
      <c r="D10" s="251" t="s">
        <v>27</v>
      </c>
      <c r="E10" s="253">
        <v>1</v>
      </c>
      <c r="F10" s="45">
        <f>'CPIF CLIN 0003-TASK 1.02 INPUTS'!E78</f>
        <v>0</v>
      </c>
      <c r="G10" s="58">
        <f>ROUND(E10*F10,2)</f>
        <v>0</v>
      </c>
      <c r="H10" s="304"/>
      <c r="I10" s="253">
        <v>1</v>
      </c>
      <c r="J10" s="45">
        <f>'CPIF CLIN 0003-TASK 1.02 INPUTS'!I78</f>
        <v>0</v>
      </c>
      <c r="K10" s="58">
        <f>ROUND(I10*J10,2)</f>
        <v>0</v>
      </c>
      <c r="L10" s="304"/>
      <c r="M10" s="253">
        <v>1</v>
      </c>
      <c r="N10" s="45">
        <f>'CPIF CLIN 0003-TASK 1.02 INPUTS'!M78</f>
        <v>0</v>
      </c>
      <c r="O10" s="58">
        <f>ROUND(M10*N10,2)</f>
        <v>0</v>
      </c>
      <c r="P10" s="298"/>
      <c r="Q10" s="299">
        <v>1</v>
      </c>
      <c r="R10" s="296">
        <f>'CPIF CLIN 0003-TASK 1.02 INPUTS'!Q78</f>
        <v>0</v>
      </c>
      <c r="S10" s="58">
        <f>ROUND(Q10*R10,2)</f>
        <v>0</v>
      </c>
      <c r="T10" s="3"/>
      <c r="U10" s="12">
        <f t="shared" ref="U10:U12" si="0">G10+K10+O10+S10</f>
        <v>0</v>
      </c>
      <c r="V10" s="7"/>
    </row>
    <row r="11" spans="1:23" x14ac:dyDescent="0.25">
      <c r="A11" s="68">
        <v>1.03</v>
      </c>
      <c r="B11" s="38"/>
      <c r="C11" s="70" t="s">
        <v>98</v>
      </c>
      <c r="D11" s="245" t="s">
        <v>27</v>
      </c>
      <c r="E11" s="253">
        <v>1</v>
      </c>
      <c r="F11" s="45">
        <f>'CPIF CLIN 0003-TASK 1.03 INPUTS'!E78</f>
        <v>0</v>
      </c>
      <c r="G11" s="58">
        <f>ROUND(E11*F11,2)</f>
        <v>0</v>
      </c>
      <c r="H11" s="304"/>
      <c r="I11" s="253">
        <v>1</v>
      </c>
      <c r="J11" s="45">
        <f>'CPIF CLIN 0003-TASK 1.03 INPUTS'!I78</f>
        <v>0</v>
      </c>
      <c r="K11" s="58">
        <f>ROUND(I11*J11,2)</f>
        <v>0</v>
      </c>
      <c r="L11" s="304"/>
      <c r="M11" s="253">
        <v>1</v>
      </c>
      <c r="N11" s="45">
        <f>'CPIF CLIN 0003-TASK 1.03 INPUTS'!M78</f>
        <v>0</v>
      </c>
      <c r="O11" s="58">
        <f>ROUND(M11*N11,2)</f>
        <v>0</v>
      </c>
      <c r="P11" s="298"/>
      <c r="Q11" s="299">
        <v>1</v>
      </c>
      <c r="R11" s="296">
        <f>'CPIF CLIN 0003-TASK 1.03 INPUTS'!Q78</f>
        <v>0</v>
      </c>
      <c r="S11" s="58">
        <f>ROUND(Q11*R11,2)</f>
        <v>0</v>
      </c>
      <c r="T11" s="3"/>
      <c r="U11" s="12">
        <f t="shared" si="0"/>
        <v>0</v>
      </c>
      <c r="V11" s="7"/>
    </row>
    <row r="12" spans="1:23" ht="15.75" thickBot="1" x14ac:dyDescent="0.3">
      <c r="A12" s="68">
        <v>1.04</v>
      </c>
      <c r="B12" s="38"/>
      <c r="C12" s="70" t="s">
        <v>44</v>
      </c>
      <c r="D12" s="245" t="s">
        <v>27</v>
      </c>
      <c r="E12" s="254">
        <v>1</v>
      </c>
      <c r="F12" s="59">
        <f>'CPIF CLIN 0003-TASK 1.04 INPUTS'!E78</f>
        <v>0</v>
      </c>
      <c r="G12" s="60">
        <f>ROUND(E12*F12,2)</f>
        <v>0</v>
      </c>
      <c r="H12" s="304"/>
      <c r="I12" s="254">
        <v>1</v>
      </c>
      <c r="J12" s="59">
        <f>'CPIF CLIN 0003-TASK 1.04 INPUTS'!I78</f>
        <v>0</v>
      </c>
      <c r="K12" s="60">
        <f>ROUND(I12*J12,2)</f>
        <v>0</v>
      </c>
      <c r="L12" s="304"/>
      <c r="M12" s="254">
        <v>1</v>
      </c>
      <c r="N12" s="59">
        <f>'CPIF CLIN 0003-TASK 1.04 INPUTS'!M78</f>
        <v>0</v>
      </c>
      <c r="O12" s="60">
        <f>ROUND(M12*N12,2)</f>
        <v>0</v>
      </c>
      <c r="P12" s="298"/>
      <c r="Q12" s="299">
        <v>1</v>
      </c>
      <c r="R12" s="303">
        <f>'CPIF CLIN 0003-TASK 1.04 INPUTS'!Q78</f>
        <v>0</v>
      </c>
      <c r="S12" s="60">
        <f>ROUND(Q12*R12,2)</f>
        <v>0</v>
      </c>
      <c r="T12" s="3"/>
      <c r="U12" s="12">
        <f t="shared" si="0"/>
        <v>0</v>
      </c>
      <c r="V12" s="7"/>
    </row>
    <row r="13" spans="1:23" ht="31.5" customHeight="1" thickBot="1" x14ac:dyDescent="0.3">
      <c r="A13" s="4"/>
      <c r="B13" s="14"/>
      <c r="C13" s="8"/>
      <c r="D13" s="15"/>
      <c r="E13" s="13"/>
      <c r="F13" s="257" t="s">
        <v>257</v>
      </c>
      <c r="G13" s="54">
        <f>SUM(G9:G12)</f>
        <v>0</v>
      </c>
      <c r="H13" s="15"/>
      <c r="J13" s="257" t="s">
        <v>258</v>
      </c>
      <c r="K13" s="54">
        <f>SUM(K9:K12)</f>
        <v>0</v>
      </c>
      <c r="L13" s="15"/>
      <c r="M13" s="16"/>
      <c r="N13" s="257" t="s">
        <v>259</v>
      </c>
      <c r="O13" s="54">
        <f>SUM(O9:O12)</f>
        <v>0</v>
      </c>
      <c r="P13" s="15"/>
      <c r="R13" s="257" t="s">
        <v>260</v>
      </c>
      <c r="S13" s="54">
        <f>SUM(S9:S12)</f>
        <v>0</v>
      </c>
      <c r="T13" s="17"/>
      <c r="U13" s="46">
        <f>SUM(U9:U12)</f>
        <v>0</v>
      </c>
      <c r="V13" s="285" t="s">
        <v>256</v>
      </c>
      <c r="W13" s="20"/>
    </row>
    <row r="14" spans="1:23" s="20" customFormat="1" ht="15.75" thickBot="1" x14ac:dyDescent="0.3">
      <c r="A14" s="26"/>
      <c r="B14" s="21"/>
      <c r="C14" s="21"/>
      <c r="D14" s="22"/>
      <c r="H14" s="22"/>
      <c r="J14" s="22"/>
      <c r="K14" s="27"/>
      <c r="L14" s="22"/>
      <c r="N14" s="22"/>
      <c r="O14" s="27"/>
      <c r="P14" s="22"/>
      <c r="R14" s="22"/>
      <c r="S14" s="27"/>
    </row>
    <row r="15" spans="1:23" s="20" customFormat="1" ht="15.75" thickBot="1" x14ac:dyDescent="0.3">
      <c r="A15" s="26"/>
      <c r="B15" s="21"/>
      <c r="C15" s="21"/>
      <c r="D15" s="22"/>
      <c r="H15" s="22"/>
      <c r="J15" s="22"/>
      <c r="K15" s="27"/>
      <c r="L15" s="22"/>
      <c r="N15" s="22"/>
      <c r="O15" s="27"/>
      <c r="P15" s="22"/>
      <c r="R15" s="22"/>
      <c r="S15" s="27"/>
      <c r="U15" s="46">
        <f>G13+K13+O13+S13</f>
        <v>0</v>
      </c>
      <c r="V15" s="47" t="s">
        <v>13</v>
      </c>
    </row>
    <row r="16" spans="1:23" s="20" customFormat="1" x14ac:dyDescent="0.25">
      <c r="A16" s="26"/>
      <c r="B16" s="21"/>
      <c r="C16" s="21"/>
      <c r="D16" s="22"/>
      <c r="H16" s="22"/>
      <c r="J16" s="22"/>
      <c r="K16" s="27"/>
      <c r="L16" s="22"/>
      <c r="N16" s="22"/>
      <c r="O16" s="27"/>
      <c r="P16" s="22"/>
      <c r="R16" s="22"/>
      <c r="S16" s="27"/>
      <c r="U16" s="28">
        <f>U13-U15</f>
        <v>0</v>
      </c>
      <c r="V16" s="29" t="s">
        <v>14</v>
      </c>
    </row>
    <row r="17" spans="1:19" s="20" customFormat="1" x14ac:dyDescent="0.25">
      <c r="A17" s="26"/>
      <c r="B17" s="21"/>
      <c r="C17" s="21"/>
      <c r="D17" s="22"/>
      <c r="H17" s="22"/>
      <c r="J17" s="22"/>
      <c r="K17" s="27"/>
      <c r="L17" s="22"/>
      <c r="N17" s="22"/>
      <c r="O17" s="27"/>
      <c r="P17" s="22"/>
      <c r="R17" s="22"/>
      <c r="S17" s="27"/>
    </row>
    <row r="18" spans="1:19" s="20" customFormat="1" x14ac:dyDescent="0.25">
      <c r="A18" s="26"/>
      <c r="B18" s="21"/>
      <c r="C18" s="21"/>
      <c r="D18" s="22"/>
      <c r="H18" s="22"/>
      <c r="J18" s="22"/>
      <c r="K18" s="27"/>
      <c r="L18" s="22"/>
      <c r="N18" s="22"/>
      <c r="O18" s="27"/>
      <c r="P18" s="22"/>
      <c r="R18" s="22"/>
      <c r="S18" s="27"/>
    </row>
    <row r="19" spans="1:19" s="20" customFormat="1" x14ac:dyDescent="0.25">
      <c r="A19" s="26"/>
      <c r="B19" s="21"/>
      <c r="C19" s="21"/>
      <c r="D19" s="22"/>
      <c r="H19" s="22"/>
      <c r="J19" s="22"/>
      <c r="K19" s="27"/>
      <c r="L19" s="22"/>
      <c r="N19" s="22"/>
      <c r="O19" s="27"/>
      <c r="P19" s="22"/>
      <c r="R19" s="22"/>
      <c r="S19" s="27"/>
    </row>
    <row r="20" spans="1:19" s="20" customFormat="1" x14ac:dyDescent="0.25">
      <c r="A20" s="26"/>
      <c r="B20" s="21"/>
      <c r="C20" s="21"/>
      <c r="D20" s="22"/>
      <c r="H20" s="22"/>
      <c r="J20" s="22"/>
      <c r="K20" s="27"/>
      <c r="L20" s="22"/>
      <c r="N20" s="22"/>
      <c r="O20" s="27"/>
      <c r="P20" s="22"/>
      <c r="R20" s="22"/>
      <c r="S20" s="27"/>
    </row>
    <row r="21" spans="1:19" s="20" customFormat="1" x14ac:dyDescent="0.25">
      <c r="A21" s="26"/>
      <c r="B21" s="21"/>
      <c r="C21" s="21"/>
      <c r="D21" s="22"/>
      <c r="H21" s="22"/>
      <c r="J21" s="22"/>
      <c r="K21" s="27"/>
      <c r="L21" s="22"/>
      <c r="N21" s="22"/>
      <c r="O21" s="27"/>
      <c r="P21" s="22"/>
      <c r="R21" s="22"/>
      <c r="S21" s="27"/>
    </row>
    <row r="22" spans="1:19" s="20" customFormat="1" x14ac:dyDescent="0.25">
      <c r="A22" s="26"/>
      <c r="B22" s="21"/>
      <c r="C22" s="21"/>
      <c r="D22" s="22"/>
      <c r="H22" s="22"/>
      <c r="J22" s="22"/>
      <c r="K22" s="27"/>
      <c r="L22" s="22"/>
      <c r="N22" s="22"/>
      <c r="O22" s="27"/>
      <c r="P22" s="22"/>
      <c r="R22" s="22"/>
      <c r="S22" s="27"/>
    </row>
    <row r="23" spans="1:19" s="20" customFormat="1" x14ac:dyDescent="0.25">
      <c r="A23" s="26"/>
      <c r="B23" s="21"/>
      <c r="C23" s="21"/>
      <c r="D23" s="22"/>
      <c r="H23" s="22"/>
      <c r="J23" s="22"/>
      <c r="K23" s="27"/>
      <c r="L23" s="22"/>
      <c r="N23" s="22"/>
      <c r="O23" s="27"/>
      <c r="P23" s="22"/>
      <c r="R23" s="22"/>
      <c r="S23" s="27"/>
    </row>
    <row r="24" spans="1:19" s="20" customFormat="1" x14ac:dyDescent="0.25">
      <c r="A24" s="26"/>
      <c r="B24" s="21"/>
      <c r="C24" s="21"/>
      <c r="D24" s="22"/>
      <c r="H24" s="22"/>
      <c r="J24" s="22"/>
      <c r="K24" s="27"/>
      <c r="L24" s="22"/>
      <c r="N24" s="22"/>
      <c r="O24" s="27"/>
      <c r="P24" s="22"/>
      <c r="R24" s="22"/>
      <c r="S24" s="27"/>
    </row>
    <row r="25" spans="1:19" s="20" customFormat="1" x14ac:dyDescent="0.25">
      <c r="A25" s="26"/>
      <c r="B25" s="21"/>
      <c r="C25" s="21"/>
      <c r="D25" s="22"/>
      <c r="H25" s="22"/>
      <c r="J25" s="22"/>
      <c r="K25" s="27"/>
      <c r="L25" s="22"/>
      <c r="N25" s="22"/>
      <c r="O25" s="27"/>
      <c r="P25" s="22"/>
      <c r="R25" s="22"/>
      <c r="S25" s="27"/>
    </row>
    <row r="26" spans="1:19" s="20" customFormat="1" x14ac:dyDescent="0.25">
      <c r="A26" s="26"/>
      <c r="B26" s="21"/>
      <c r="C26" s="21"/>
      <c r="D26" s="22"/>
      <c r="H26" s="22"/>
      <c r="J26" s="22"/>
      <c r="K26" s="27"/>
      <c r="L26" s="22"/>
      <c r="N26" s="22"/>
      <c r="O26" s="27"/>
      <c r="P26" s="22"/>
      <c r="R26" s="22"/>
      <c r="S26" s="27"/>
    </row>
    <row r="27" spans="1:19" s="20" customFormat="1" x14ac:dyDescent="0.25">
      <c r="A27" s="26"/>
      <c r="B27" s="21"/>
      <c r="C27" s="21"/>
      <c r="D27" s="22"/>
      <c r="H27" s="22"/>
      <c r="J27" s="22"/>
      <c r="K27" s="27"/>
      <c r="L27" s="22"/>
      <c r="N27" s="22"/>
      <c r="O27" s="27"/>
      <c r="P27" s="22"/>
      <c r="R27" s="22"/>
      <c r="S27" s="27"/>
    </row>
    <row r="28" spans="1:19" s="20" customFormat="1" x14ac:dyDescent="0.25">
      <c r="A28" s="26"/>
      <c r="B28" s="21"/>
      <c r="C28" s="21"/>
      <c r="D28" s="22"/>
      <c r="H28" s="22"/>
      <c r="J28" s="22"/>
      <c r="K28" s="27"/>
      <c r="L28" s="22"/>
      <c r="N28" s="22"/>
      <c r="O28" s="27"/>
      <c r="P28" s="22"/>
      <c r="R28" s="22"/>
      <c r="S28" s="27"/>
    </row>
    <row r="29" spans="1:19" s="20" customFormat="1" x14ac:dyDescent="0.25">
      <c r="A29" s="26"/>
      <c r="B29" s="21"/>
      <c r="C29" s="21"/>
      <c r="D29" s="22"/>
      <c r="H29" s="22"/>
      <c r="J29" s="22"/>
      <c r="K29" s="27"/>
      <c r="L29" s="22"/>
      <c r="N29" s="22"/>
      <c r="O29" s="27"/>
      <c r="P29" s="22"/>
      <c r="R29" s="22"/>
      <c r="S29" s="27"/>
    </row>
    <row r="30" spans="1:19" s="20" customFormat="1" x14ac:dyDescent="0.25">
      <c r="A30" s="26"/>
      <c r="B30" s="21"/>
      <c r="C30" s="21"/>
      <c r="D30" s="22"/>
      <c r="H30" s="22"/>
      <c r="J30" s="22"/>
      <c r="K30" s="27"/>
      <c r="L30" s="22"/>
      <c r="N30" s="22"/>
      <c r="O30" s="27"/>
      <c r="P30" s="22"/>
      <c r="R30" s="22"/>
      <c r="S30" s="27"/>
    </row>
    <row r="31" spans="1:19" s="20" customFormat="1" x14ac:dyDescent="0.25">
      <c r="A31" s="26"/>
      <c r="B31" s="21"/>
      <c r="C31" s="21"/>
      <c r="D31" s="22"/>
      <c r="H31" s="22"/>
      <c r="J31" s="22"/>
      <c r="K31" s="27"/>
      <c r="L31" s="22"/>
      <c r="N31" s="22"/>
      <c r="O31" s="27"/>
      <c r="P31" s="22"/>
      <c r="R31" s="22"/>
      <c r="S31" s="27"/>
    </row>
    <row r="32" spans="1:19" s="20" customFormat="1" x14ac:dyDescent="0.25">
      <c r="A32" s="26"/>
      <c r="B32" s="21"/>
      <c r="C32" s="21"/>
      <c r="D32" s="22"/>
      <c r="H32" s="22"/>
      <c r="J32" s="22"/>
      <c r="K32" s="27"/>
      <c r="L32" s="22"/>
      <c r="N32" s="22"/>
      <c r="O32" s="27"/>
      <c r="P32" s="22"/>
      <c r="R32" s="22"/>
      <c r="S32" s="27"/>
    </row>
    <row r="33" spans="1:19" s="20" customFormat="1" x14ac:dyDescent="0.25">
      <c r="A33" s="26"/>
      <c r="B33" s="21"/>
      <c r="C33" s="21"/>
      <c r="D33" s="22"/>
      <c r="H33" s="22"/>
      <c r="J33" s="22"/>
      <c r="K33" s="27"/>
      <c r="L33" s="22"/>
      <c r="N33" s="22"/>
      <c r="O33" s="27"/>
      <c r="P33" s="22"/>
      <c r="R33" s="22"/>
      <c r="S33" s="27"/>
    </row>
    <row r="34" spans="1:19" s="20" customFormat="1" x14ac:dyDescent="0.25">
      <c r="A34" s="26"/>
      <c r="B34" s="21"/>
      <c r="C34" s="21"/>
      <c r="D34" s="22"/>
      <c r="H34" s="22"/>
      <c r="J34" s="22"/>
      <c r="K34" s="27"/>
      <c r="L34" s="22"/>
      <c r="N34" s="22"/>
      <c r="O34" s="27"/>
      <c r="P34" s="22"/>
      <c r="R34" s="22"/>
      <c r="S34" s="27"/>
    </row>
    <row r="35" spans="1:19" s="20" customFormat="1" x14ac:dyDescent="0.25">
      <c r="A35" s="26"/>
      <c r="B35" s="21"/>
      <c r="C35" s="21"/>
      <c r="D35" s="22"/>
      <c r="H35" s="22"/>
      <c r="J35" s="22"/>
      <c r="K35" s="27"/>
      <c r="L35" s="22"/>
      <c r="N35" s="22"/>
      <c r="O35" s="27"/>
      <c r="P35" s="22"/>
      <c r="R35" s="22"/>
      <c r="S35" s="27"/>
    </row>
    <row r="36" spans="1:19" s="20" customFormat="1" x14ac:dyDescent="0.25">
      <c r="A36" s="26"/>
      <c r="B36" s="21"/>
      <c r="C36" s="21"/>
      <c r="D36" s="22"/>
      <c r="H36" s="22"/>
      <c r="J36" s="22"/>
      <c r="K36" s="27"/>
      <c r="L36" s="22"/>
      <c r="N36" s="22"/>
      <c r="O36" s="27"/>
      <c r="P36" s="22"/>
      <c r="R36" s="22"/>
      <c r="S36" s="27"/>
    </row>
    <row r="37" spans="1:19" s="20" customFormat="1" x14ac:dyDescent="0.25">
      <c r="A37" s="26"/>
      <c r="B37" s="21"/>
      <c r="C37" s="21"/>
      <c r="D37" s="22"/>
      <c r="H37" s="22"/>
      <c r="J37" s="22"/>
      <c r="K37" s="27"/>
      <c r="L37" s="22"/>
      <c r="N37" s="22"/>
      <c r="O37" s="27"/>
      <c r="P37" s="22"/>
      <c r="R37" s="22"/>
      <c r="S37" s="27"/>
    </row>
    <row r="38" spans="1:19" s="20" customFormat="1" x14ac:dyDescent="0.25">
      <c r="A38" s="26"/>
      <c r="B38" s="21"/>
      <c r="C38" s="21"/>
      <c r="D38" s="22"/>
      <c r="H38" s="22"/>
      <c r="J38" s="22"/>
      <c r="K38" s="27"/>
      <c r="L38" s="22"/>
      <c r="N38" s="22"/>
      <c r="O38" s="27"/>
      <c r="P38" s="22"/>
      <c r="R38" s="22"/>
      <c r="S38" s="27"/>
    </row>
    <row r="39" spans="1:19" s="20" customFormat="1" x14ac:dyDescent="0.25">
      <c r="A39" s="26"/>
      <c r="B39" s="21"/>
      <c r="C39" s="21"/>
      <c r="D39" s="22"/>
      <c r="H39" s="22"/>
      <c r="J39" s="22"/>
      <c r="K39" s="27"/>
      <c r="L39" s="22"/>
      <c r="N39" s="22"/>
      <c r="O39" s="27"/>
      <c r="P39" s="22"/>
      <c r="R39" s="22"/>
      <c r="S39" s="27"/>
    </row>
    <row r="40" spans="1:19" s="20" customFormat="1" x14ac:dyDescent="0.25">
      <c r="A40" s="26"/>
      <c r="B40" s="21"/>
      <c r="C40" s="21"/>
      <c r="D40" s="22"/>
      <c r="H40" s="22"/>
      <c r="J40" s="22"/>
      <c r="K40" s="27"/>
      <c r="L40" s="22"/>
      <c r="N40" s="22"/>
      <c r="O40" s="27"/>
      <c r="P40" s="22"/>
      <c r="R40" s="22"/>
      <c r="S40" s="27"/>
    </row>
    <row r="41" spans="1:19" s="20" customFormat="1" x14ac:dyDescent="0.25">
      <c r="A41" s="26"/>
      <c r="B41" s="21"/>
      <c r="C41" s="21"/>
      <c r="D41" s="22"/>
      <c r="H41" s="22"/>
      <c r="J41" s="22"/>
      <c r="K41" s="27"/>
      <c r="L41" s="22"/>
      <c r="N41" s="22"/>
      <c r="O41" s="27"/>
      <c r="P41" s="22"/>
      <c r="R41" s="22"/>
      <c r="S41" s="27"/>
    </row>
    <row r="42" spans="1:19" s="20" customFormat="1" x14ac:dyDescent="0.25">
      <c r="A42" s="26"/>
      <c r="B42" s="21"/>
      <c r="C42" s="21"/>
      <c r="D42" s="22"/>
      <c r="H42" s="22"/>
      <c r="J42" s="22"/>
      <c r="K42" s="27"/>
      <c r="L42" s="22"/>
      <c r="N42" s="22"/>
      <c r="O42" s="27"/>
      <c r="P42" s="22"/>
      <c r="R42" s="22"/>
      <c r="S42" s="27"/>
    </row>
    <row r="43" spans="1:19" s="20" customFormat="1" x14ac:dyDescent="0.25">
      <c r="A43" s="26"/>
      <c r="B43" s="21"/>
      <c r="C43" s="21"/>
      <c r="D43" s="22"/>
      <c r="H43" s="22"/>
      <c r="J43" s="22"/>
      <c r="K43" s="27"/>
      <c r="L43" s="22"/>
      <c r="N43" s="22"/>
      <c r="O43" s="27"/>
      <c r="P43" s="22"/>
      <c r="R43" s="22"/>
      <c r="S43" s="27"/>
    </row>
    <row r="44" spans="1:19" s="20" customFormat="1" x14ac:dyDescent="0.25">
      <c r="A44" s="26"/>
      <c r="B44" s="21"/>
      <c r="C44" s="21"/>
      <c r="D44" s="22"/>
      <c r="H44" s="22"/>
      <c r="J44" s="22"/>
      <c r="K44" s="27"/>
      <c r="L44" s="22"/>
      <c r="N44" s="22"/>
      <c r="O44" s="27"/>
      <c r="P44" s="22"/>
      <c r="R44" s="22"/>
      <c r="S44" s="27"/>
    </row>
    <row r="45" spans="1:19" s="20" customFormat="1" x14ac:dyDescent="0.25">
      <c r="A45" s="26"/>
      <c r="B45" s="21"/>
      <c r="C45" s="21"/>
      <c r="D45" s="22"/>
      <c r="H45" s="22"/>
      <c r="J45" s="22"/>
      <c r="K45" s="27"/>
      <c r="L45" s="22"/>
      <c r="N45" s="22"/>
      <c r="O45" s="27"/>
      <c r="P45" s="22"/>
      <c r="R45" s="22"/>
      <c r="S45" s="27"/>
    </row>
    <row r="46" spans="1:19" s="20" customFormat="1" x14ac:dyDescent="0.25">
      <c r="A46" s="26"/>
      <c r="B46" s="21"/>
      <c r="C46" s="21"/>
      <c r="D46" s="22"/>
      <c r="H46" s="22"/>
      <c r="J46" s="22"/>
      <c r="K46" s="27"/>
      <c r="L46" s="22"/>
      <c r="N46" s="22"/>
      <c r="O46" s="27"/>
      <c r="P46" s="22"/>
      <c r="R46" s="22"/>
      <c r="S46" s="27"/>
    </row>
    <row r="47" spans="1:19" s="20" customFormat="1" x14ac:dyDescent="0.25">
      <c r="A47" s="26"/>
      <c r="B47" s="21"/>
      <c r="C47" s="21"/>
      <c r="D47" s="22"/>
      <c r="H47" s="22"/>
      <c r="J47" s="22"/>
      <c r="K47" s="27"/>
      <c r="L47" s="22"/>
      <c r="N47" s="22"/>
      <c r="O47" s="27"/>
      <c r="P47" s="22"/>
      <c r="R47" s="22"/>
      <c r="S47" s="27"/>
    </row>
    <row r="48" spans="1:19" s="20" customFormat="1" x14ac:dyDescent="0.25">
      <c r="A48" s="26"/>
      <c r="B48" s="21"/>
      <c r="C48" s="21"/>
      <c r="D48" s="22"/>
      <c r="H48" s="22"/>
      <c r="J48" s="22"/>
      <c r="K48" s="27"/>
      <c r="L48" s="22"/>
      <c r="N48" s="22"/>
      <c r="O48" s="27"/>
      <c r="P48" s="22"/>
      <c r="R48" s="22"/>
      <c r="S48" s="27"/>
    </row>
    <row r="49" spans="1:19" s="20" customFormat="1" x14ac:dyDescent="0.25">
      <c r="A49" s="26"/>
      <c r="B49" s="21"/>
      <c r="C49" s="21"/>
      <c r="D49" s="22"/>
      <c r="H49" s="22"/>
      <c r="J49" s="22"/>
      <c r="K49" s="27"/>
      <c r="L49" s="22"/>
      <c r="N49" s="22"/>
      <c r="O49" s="27"/>
      <c r="P49" s="22"/>
      <c r="R49" s="22"/>
      <c r="S49" s="27"/>
    </row>
    <row r="50" spans="1:19" s="20" customFormat="1" x14ac:dyDescent="0.25">
      <c r="A50" s="26"/>
      <c r="B50" s="21"/>
      <c r="C50" s="21"/>
      <c r="D50" s="22"/>
      <c r="H50" s="22"/>
      <c r="J50" s="22"/>
      <c r="K50" s="27"/>
      <c r="L50" s="22"/>
      <c r="N50" s="22"/>
      <c r="O50" s="27"/>
      <c r="P50" s="22"/>
      <c r="R50" s="22"/>
      <c r="S50" s="27"/>
    </row>
    <row r="51" spans="1:19" s="20" customFormat="1" x14ac:dyDescent="0.25">
      <c r="A51" s="26"/>
      <c r="B51" s="21"/>
      <c r="C51" s="21"/>
      <c r="D51" s="22"/>
      <c r="H51" s="22"/>
      <c r="J51" s="22"/>
      <c r="K51" s="27"/>
      <c r="L51" s="22"/>
      <c r="N51" s="22"/>
      <c r="O51" s="27"/>
      <c r="P51" s="22"/>
      <c r="R51" s="22"/>
      <c r="S51" s="27"/>
    </row>
    <row r="52" spans="1:19" s="20" customFormat="1" x14ac:dyDescent="0.25">
      <c r="A52" s="26"/>
      <c r="B52" s="21"/>
      <c r="C52" s="21"/>
      <c r="D52" s="22"/>
      <c r="H52" s="22"/>
      <c r="J52" s="22"/>
      <c r="K52" s="27"/>
      <c r="L52" s="22"/>
      <c r="N52" s="22"/>
      <c r="O52" s="27"/>
      <c r="P52" s="22"/>
      <c r="R52" s="22"/>
      <c r="S52" s="27"/>
    </row>
    <row r="53" spans="1:19" s="20" customFormat="1" x14ac:dyDescent="0.25">
      <c r="A53" s="26"/>
      <c r="B53" s="21"/>
      <c r="C53" s="21"/>
      <c r="D53" s="22"/>
      <c r="H53" s="22"/>
      <c r="J53" s="22"/>
      <c r="K53" s="27"/>
      <c r="L53" s="22"/>
      <c r="N53" s="22"/>
      <c r="O53" s="27"/>
      <c r="P53" s="22"/>
      <c r="R53" s="22"/>
      <c r="S53" s="27"/>
    </row>
    <row r="54" spans="1:19" s="20" customFormat="1" x14ac:dyDescent="0.25">
      <c r="A54" s="26"/>
      <c r="B54" s="21"/>
      <c r="C54" s="21"/>
      <c r="D54" s="22"/>
      <c r="H54" s="22"/>
      <c r="J54" s="22"/>
      <c r="K54" s="27"/>
      <c r="L54" s="22"/>
      <c r="N54" s="22"/>
      <c r="O54" s="27"/>
      <c r="P54" s="22"/>
      <c r="R54" s="22"/>
      <c r="S54" s="27"/>
    </row>
    <row r="55" spans="1:19" s="20" customFormat="1" x14ac:dyDescent="0.25">
      <c r="A55" s="26"/>
      <c r="B55" s="21"/>
      <c r="C55" s="21"/>
      <c r="D55" s="22"/>
      <c r="H55" s="22"/>
      <c r="J55" s="22"/>
      <c r="K55" s="27"/>
      <c r="L55" s="22"/>
      <c r="N55" s="22"/>
      <c r="O55" s="27"/>
      <c r="P55" s="22"/>
      <c r="R55" s="22"/>
      <c r="S55" s="27"/>
    </row>
    <row r="56" spans="1:19" s="20" customFormat="1" x14ac:dyDescent="0.25">
      <c r="A56" s="26"/>
      <c r="B56" s="21"/>
      <c r="C56" s="21"/>
      <c r="D56" s="22"/>
      <c r="H56" s="22"/>
      <c r="J56" s="22"/>
      <c r="K56" s="27"/>
      <c r="L56" s="22"/>
      <c r="N56" s="22"/>
      <c r="O56" s="27"/>
      <c r="P56" s="22"/>
      <c r="R56" s="22"/>
      <c r="S56" s="27"/>
    </row>
    <row r="57" spans="1:19" s="20" customFormat="1" x14ac:dyDescent="0.25">
      <c r="A57" s="26"/>
      <c r="B57" s="21"/>
      <c r="C57" s="21"/>
      <c r="D57" s="22"/>
      <c r="H57" s="22"/>
      <c r="J57" s="22"/>
      <c r="K57" s="27"/>
      <c r="L57" s="22"/>
      <c r="N57" s="22"/>
      <c r="O57" s="27"/>
      <c r="P57" s="22"/>
      <c r="R57" s="22"/>
      <c r="S57" s="27"/>
    </row>
    <row r="58" spans="1:19" s="20" customFormat="1" x14ac:dyDescent="0.25">
      <c r="A58" s="26"/>
      <c r="B58" s="21"/>
      <c r="C58" s="21"/>
      <c r="D58" s="22"/>
      <c r="H58" s="22"/>
      <c r="J58" s="22"/>
      <c r="K58" s="27"/>
      <c r="L58" s="22"/>
      <c r="N58" s="22"/>
      <c r="O58" s="27"/>
      <c r="P58" s="22"/>
      <c r="R58" s="22"/>
      <c r="S58" s="27"/>
    </row>
    <row r="59" spans="1:19" s="20" customFormat="1" x14ac:dyDescent="0.25">
      <c r="A59" s="26"/>
      <c r="B59" s="21"/>
      <c r="C59" s="21"/>
      <c r="D59" s="22"/>
      <c r="H59" s="22"/>
      <c r="J59" s="22"/>
      <c r="K59" s="27"/>
      <c r="L59" s="22"/>
      <c r="N59" s="22"/>
      <c r="O59" s="27"/>
      <c r="P59" s="22"/>
      <c r="R59" s="22"/>
      <c r="S59" s="27"/>
    </row>
    <row r="60" spans="1:19" s="20" customFormat="1" x14ac:dyDescent="0.25">
      <c r="A60" s="26"/>
      <c r="B60" s="21"/>
      <c r="C60" s="21"/>
      <c r="D60" s="22"/>
      <c r="H60" s="22"/>
      <c r="J60" s="22"/>
      <c r="K60" s="27"/>
      <c r="L60" s="22"/>
      <c r="N60" s="22"/>
      <c r="O60" s="27"/>
      <c r="P60" s="22"/>
      <c r="R60" s="22"/>
      <c r="S60" s="27"/>
    </row>
    <row r="61" spans="1:19" s="20" customFormat="1" x14ac:dyDescent="0.25">
      <c r="A61" s="26"/>
      <c r="B61" s="21"/>
      <c r="C61" s="21"/>
      <c r="D61" s="22"/>
      <c r="H61" s="22"/>
      <c r="J61" s="22"/>
      <c r="K61" s="27"/>
      <c r="L61" s="22"/>
      <c r="N61" s="22"/>
      <c r="O61" s="27"/>
      <c r="P61" s="22"/>
      <c r="R61" s="22"/>
      <c r="S61" s="27"/>
    </row>
    <row r="62" spans="1:19" s="20" customFormat="1" x14ac:dyDescent="0.25">
      <c r="A62" s="26"/>
      <c r="B62" s="21"/>
      <c r="C62" s="21"/>
      <c r="D62" s="22"/>
      <c r="H62" s="22"/>
      <c r="J62" s="22"/>
      <c r="K62" s="27"/>
      <c r="L62" s="22"/>
      <c r="N62" s="22"/>
      <c r="O62" s="27"/>
      <c r="P62" s="22"/>
      <c r="R62" s="22"/>
      <c r="S62" s="27"/>
    </row>
    <row r="63" spans="1:19" s="20" customFormat="1" x14ac:dyDescent="0.25">
      <c r="A63" s="26"/>
      <c r="B63" s="21"/>
      <c r="C63" s="21"/>
      <c r="D63" s="22"/>
      <c r="H63" s="22"/>
      <c r="J63" s="22"/>
      <c r="K63" s="27"/>
      <c r="L63" s="22"/>
      <c r="N63" s="22"/>
      <c r="O63" s="27"/>
      <c r="P63" s="22"/>
      <c r="R63" s="22"/>
      <c r="S63" s="27"/>
    </row>
    <row r="64" spans="1:19" s="20" customFormat="1" x14ac:dyDescent="0.25">
      <c r="A64" s="26"/>
      <c r="B64" s="21"/>
      <c r="C64" s="21"/>
      <c r="D64" s="22"/>
      <c r="H64" s="22"/>
      <c r="J64" s="22"/>
      <c r="K64" s="27"/>
      <c r="L64" s="22"/>
      <c r="N64" s="22"/>
      <c r="O64" s="27"/>
      <c r="P64" s="22"/>
      <c r="R64" s="22"/>
      <c r="S64" s="27"/>
    </row>
    <row r="65" spans="1:19" s="20" customFormat="1" x14ac:dyDescent="0.25">
      <c r="A65" s="26"/>
      <c r="B65" s="21"/>
      <c r="C65" s="21"/>
      <c r="D65" s="22"/>
      <c r="H65" s="22"/>
      <c r="J65" s="22"/>
      <c r="K65" s="27"/>
      <c r="L65" s="22"/>
      <c r="N65" s="22"/>
      <c r="O65" s="27"/>
      <c r="P65" s="22"/>
      <c r="R65" s="22"/>
      <c r="S65" s="27"/>
    </row>
    <row r="66" spans="1:19" s="20" customFormat="1" x14ac:dyDescent="0.25">
      <c r="A66" s="26"/>
      <c r="B66" s="21"/>
      <c r="C66" s="21"/>
      <c r="D66" s="22"/>
      <c r="H66" s="22"/>
      <c r="J66" s="22"/>
      <c r="K66" s="27"/>
      <c r="L66" s="22"/>
      <c r="N66" s="22"/>
      <c r="O66" s="27"/>
      <c r="P66" s="22"/>
      <c r="R66" s="22"/>
      <c r="S66" s="27"/>
    </row>
    <row r="67" spans="1:19" s="20" customFormat="1" x14ac:dyDescent="0.25">
      <c r="A67" s="26"/>
      <c r="B67" s="21"/>
      <c r="C67" s="21"/>
      <c r="D67" s="22"/>
      <c r="H67" s="22"/>
      <c r="J67" s="22"/>
      <c r="K67" s="27"/>
      <c r="L67" s="22"/>
      <c r="N67" s="22"/>
      <c r="O67" s="27"/>
      <c r="P67" s="22"/>
      <c r="R67" s="22"/>
      <c r="S67" s="27"/>
    </row>
    <row r="68" spans="1:19" s="20" customFormat="1" x14ac:dyDescent="0.25">
      <c r="A68" s="26"/>
      <c r="B68" s="21"/>
      <c r="C68" s="21"/>
      <c r="D68" s="22"/>
      <c r="H68" s="22"/>
      <c r="J68" s="22"/>
      <c r="K68" s="27"/>
      <c r="L68" s="22"/>
      <c r="N68" s="22"/>
      <c r="O68" s="27"/>
      <c r="P68" s="22"/>
      <c r="R68" s="22"/>
      <c r="S68" s="27"/>
    </row>
    <row r="69" spans="1:19" s="20" customFormat="1" x14ac:dyDescent="0.25">
      <c r="A69" s="26"/>
      <c r="B69" s="21"/>
      <c r="C69" s="21"/>
      <c r="D69" s="22"/>
      <c r="H69" s="22"/>
      <c r="J69" s="22"/>
      <c r="K69" s="27"/>
      <c r="L69" s="22"/>
      <c r="N69" s="22"/>
      <c r="O69" s="27"/>
      <c r="P69" s="22"/>
      <c r="R69" s="22"/>
      <c r="S69" s="27"/>
    </row>
    <row r="70" spans="1:19" s="20" customFormat="1" x14ac:dyDescent="0.25">
      <c r="A70" s="26"/>
      <c r="B70" s="21"/>
      <c r="C70" s="21"/>
      <c r="D70" s="22"/>
      <c r="H70" s="22"/>
      <c r="J70" s="22"/>
      <c r="K70" s="27"/>
      <c r="L70" s="22"/>
      <c r="N70" s="22"/>
      <c r="O70" s="27"/>
      <c r="P70" s="22"/>
      <c r="R70" s="22"/>
      <c r="S70" s="27"/>
    </row>
    <row r="71" spans="1:19" s="20" customFormat="1" x14ac:dyDescent="0.25">
      <c r="A71" s="26"/>
      <c r="B71" s="21"/>
      <c r="C71" s="21"/>
      <c r="D71" s="22"/>
      <c r="H71" s="22"/>
      <c r="J71" s="22"/>
      <c r="K71" s="27"/>
      <c r="L71" s="22"/>
      <c r="N71" s="22"/>
      <c r="O71" s="27"/>
      <c r="P71" s="22"/>
      <c r="R71" s="22"/>
      <c r="S71" s="27"/>
    </row>
    <row r="72" spans="1:19" s="20" customFormat="1" x14ac:dyDescent="0.25">
      <c r="A72" s="26"/>
      <c r="B72" s="21"/>
      <c r="C72" s="21"/>
      <c r="D72" s="22"/>
      <c r="H72" s="22"/>
      <c r="J72" s="22"/>
      <c r="K72" s="27"/>
      <c r="L72" s="22"/>
      <c r="N72" s="22"/>
      <c r="O72" s="27"/>
      <c r="P72" s="22"/>
      <c r="R72" s="22"/>
      <c r="S72" s="27"/>
    </row>
    <row r="73" spans="1:19" s="20" customFormat="1" x14ac:dyDescent="0.25">
      <c r="A73" s="26"/>
      <c r="B73" s="21"/>
      <c r="C73" s="21"/>
      <c r="D73" s="22"/>
      <c r="H73" s="22"/>
      <c r="J73" s="22"/>
      <c r="K73" s="27"/>
      <c r="L73" s="22"/>
      <c r="N73" s="22"/>
      <c r="O73" s="27"/>
      <c r="P73" s="22"/>
      <c r="R73" s="22"/>
      <c r="S73" s="27"/>
    </row>
    <row r="74" spans="1:19" s="20" customFormat="1" x14ac:dyDescent="0.25">
      <c r="A74" s="26"/>
      <c r="B74" s="21"/>
      <c r="C74" s="21"/>
      <c r="D74" s="22"/>
      <c r="H74" s="22"/>
      <c r="J74" s="22"/>
      <c r="K74" s="27"/>
      <c r="L74" s="22"/>
      <c r="N74" s="22"/>
      <c r="O74" s="27"/>
      <c r="P74" s="22"/>
      <c r="R74" s="22"/>
      <c r="S74" s="27"/>
    </row>
    <row r="75" spans="1:19" s="20" customFormat="1" x14ac:dyDescent="0.25">
      <c r="A75" s="26"/>
      <c r="B75" s="21"/>
      <c r="C75" s="21"/>
      <c r="D75" s="22"/>
      <c r="H75" s="22"/>
      <c r="J75" s="22"/>
      <c r="K75" s="27"/>
      <c r="L75" s="22"/>
      <c r="N75" s="22"/>
      <c r="O75" s="27"/>
      <c r="P75" s="22"/>
      <c r="R75" s="22"/>
      <c r="S75" s="27"/>
    </row>
    <row r="76" spans="1:19" s="20" customFormat="1" x14ac:dyDescent="0.25">
      <c r="A76" s="26"/>
      <c r="B76" s="21"/>
      <c r="C76" s="21"/>
      <c r="D76" s="22"/>
      <c r="H76" s="22"/>
      <c r="J76" s="22"/>
      <c r="K76" s="27"/>
      <c r="L76" s="22"/>
      <c r="N76" s="22"/>
      <c r="O76" s="27"/>
      <c r="P76" s="22"/>
      <c r="R76" s="22"/>
      <c r="S76" s="27"/>
    </row>
    <row r="77" spans="1:19" s="20" customFormat="1" x14ac:dyDescent="0.25">
      <c r="A77" s="26"/>
      <c r="B77" s="21"/>
      <c r="C77" s="21"/>
      <c r="D77" s="22"/>
      <c r="H77" s="22"/>
      <c r="J77" s="22"/>
      <c r="K77" s="27"/>
      <c r="L77" s="22"/>
      <c r="N77" s="22"/>
      <c r="O77" s="27"/>
      <c r="P77" s="22"/>
      <c r="R77" s="22"/>
      <c r="S77" s="27"/>
    </row>
    <row r="78" spans="1:19" s="20" customFormat="1" x14ac:dyDescent="0.25">
      <c r="A78" s="26"/>
      <c r="B78" s="21"/>
      <c r="C78" s="21"/>
      <c r="D78" s="22"/>
      <c r="H78" s="22"/>
      <c r="J78" s="22"/>
      <c r="K78" s="27"/>
      <c r="L78" s="22"/>
      <c r="N78" s="22"/>
      <c r="O78" s="27"/>
      <c r="P78" s="22"/>
      <c r="R78" s="22"/>
      <c r="S78" s="27"/>
    </row>
    <row r="79" spans="1:19" s="20" customFormat="1" x14ac:dyDescent="0.25">
      <c r="A79" s="26"/>
      <c r="B79" s="21"/>
      <c r="C79" s="21"/>
      <c r="D79" s="22"/>
      <c r="H79" s="22"/>
      <c r="J79" s="22"/>
      <c r="K79" s="27"/>
      <c r="L79" s="22"/>
      <c r="N79" s="22"/>
      <c r="O79" s="27"/>
      <c r="P79" s="22"/>
      <c r="R79" s="22"/>
      <c r="S79" s="27"/>
    </row>
    <row r="80" spans="1:19" s="20" customFormat="1" x14ac:dyDescent="0.25">
      <c r="A80" s="26"/>
      <c r="B80" s="21"/>
      <c r="C80" s="21"/>
      <c r="D80" s="22"/>
      <c r="H80" s="22"/>
      <c r="J80" s="22"/>
      <c r="K80" s="27"/>
      <c r="L80" s="22"/>
      <c r="N80" s="22"/>
      <c r="O80" s="27"/>
      <c r="P80" s="22"/>
      <c r="R80" s="22"/>
      <c r="S80" s="27"/>
    </row>
    <row r="81" spans="1:19" s="20" customFormat="1" x14ac:dyDescent="0.25">
      <c r="A81" s="26"/>
      <c r="B81" s="21"/>
      <c r="C81" s="21"/>
      <c r="D81" s="22"/>
      <c r="H81" s="22"/>
      <c r="J81" s="22"/>
      <c r="K81" s="27"/>
      <c r="L81" s="22"/>
      <c r="N81" s="22"/>
      <c r="O81" s="27"/>
      <c r="P81" s="22"/>
      <c r="R81" s="22"/>
      <c r="S81" s="27"/>
    </row>
    <row r="82" spans="1:19" s="20" customFormat="1" x14ac:dyDescent="0.25">
      <c r="A82" s="26"/>
      <c r="B82" s="21"/>
      <c r="C82" s="21"/>
      <c r="D82" s="22"/>
      <c r="H82" s="22"/>
      <c r="J82" s="22"/>
      <c r="K82" s="27"/>
      <c r="L82" s="22"/>
      <c r="N82" s="22"/>
      <c r="O82" s="27"/>
      <c r="P82" s="22"/>
      <c r="R82" s="22"/>
      <c r="S82" s="27"/>
    </row>
    <row r="83" spans="1:19" s="20" customFormat="1" x14ac:dyDescent="0.25">
      <c r="A83" s="26"/>
      <c r="B83" s="21"/>
      <c r="C83" s="21"/>
      <c r="D83" s="22"/>
      <c r="H83" s="22"/>
      <c r="J83" s="22"/>
      <c r="K83" s="27"/>
      <c r="L83" s="22"/>
      <c r="N83" s="22"/>
      <c r="O83" s="27"/>
      <c r="P83" s="22"/>
      <c r="R83" s="22"/>
      <c r="S83" s="27"/>
    </row>
    <row r="84" spans="1:19" s="20" customFormat="1" x14ac:dyDescent="0.25">
      <c r="A84" s="26"/>
      <c r="B84" s="21"/>
      <c r="C84" s="21"/>
      <c r="D84" s="22"/>
      <c r="H84" s="22"/>
      <c r="J84" s="22"/>
      <c r="K84" s="27"/>
      <c r="L84" s="22"/>
      <c r="N84" s="22"/>
      <c r="O84" s="27"/>
      <c r="P84" s="22"/>
      <c r="R84" s="22"/>
      <c r="S84" s="27"/>
    </row>
    <row r="85" spans="1:19" s="20" customFormat="1" x14ac:dyDescent="0.25">
      <c r="A85" s="26"/>
      <c r="B85" s="21"/>
      <c r="C85" s="21"/>
      <c r="D85" s="22"/>
      <c r="H85" s="22"/>
      <c r="J85" s="22"/>
      <c r="K85" s="27"/>
      <c r="L85" s="22"/>
      <c r="N85" s="22"/>
      <c r="O85" s="27"/>
      <c r="P85" s="22"/>
      <c r="R85" s="22"/>
      <c r="S85" s="27"/>
    </row>
    <row r="86" spans="1:19" s="20" customFormat="1" x14ac:dyDescent="0.25">
      <c r="A86" s="26"/>
      <c r="B86" s="21"/>
      <c r="C86" s="21"/>
      <c r="D86" s="22"/>
      <c r="H86" s="22"/>
      <c r="J86" s="22"/>
      <c r="K86" s="27"/>
      <c r="L86" s="22"/>
      <c r="N86" s="22"/>
      <c r="O86" s="27"/>
      <c r="P86" s="22"/>
      <c r="R86" s="22"/>
      <c r="S86" s="27"/>
    </row>
    <row r="87" spans="1:19" s="20" customFormat="1" x14ac:dyDescent="0.25">
      <c r="A87" s="26"/>
      <c r="B87" s="21"/>
      <c r="C87" s="21"/>
      <c r="D87" s="22"/>
      <c r="H87" s="22"/>
      <c r="J87" s="22"/>
      <c r="K87" s="27"/>
      <c r="L87" s="22"/>
      <c r="N87" s="22"/>
      <c r="O87" s="27"/>
      <c r="P87" s="22"/>
      <c r="R87" s="22"/>
      <c r="S87" s="27"/>
    </row>
    <row r="88" spans="1:19" s="20" customFormat="1" x14ac:dyDescent="0.25">
      <c r="A88" s="26"/>
      <c r="B88" s="21"/>
      <c r="C88" s="21"/>
      <c r="D88" s="22"/>
      <c r="H88" s="22"/>
      <c r="J88" s="22"/>
      <c r="K88" s="27"/>
      <c r="L88" s="22"/>
      <c r="N88" s="22"/>
      <c r="O88" s="27"/>
      <c r="P88" s="22"/>
      <c r="R88" s="22"/>
      <c r="S88" s="27"/>
    </row>
    <row r="89" spans="1:19" s="20" customFormat="1" x14ac:dyDescent="0.25">
      <c r="A89" s="26"/>
      <c r="B89" s="21"/>
      <c r="C89" s="21"/>
      <c r="D89" s="22"/>
      <c r="H89" s="22"/>
      <c r="J89" s="22"/>
      <c r="K89" s="27"/>
      <c r="L89" s="22"/>
      <c r="N89" s="22"/>
      <c r="O89" s="27"/>
      <c r="P89" s="22"/>
      <c r="R89" s="22"/>
      <c r="S89" s="27"/>
    </row>
    <row r="90" spans="1:19" s="20" customFormat="1" x14ac:dyDescent="0.25">
      <c r="A90" s="26"/>
      <c r="B90" s="21"/>
      <c r="C90" s="21"/>
      <c r="D90" s="22"/>
      <c r="H90" s="22"/>
      <c r="J90" s="22"/>
      <c r="K90" s="27"/>
      <c r="L90" s="22"/>
      <c r="N90" s="22"/>
      <c r="O90" s="27"/>
      <c r="P90" s="22"/>
      <c r="R90" s="22"/>
      <c r="S90" s="27"/>
    </row>
    <row r="91" spans="1:19" s="20" customFormat="1" x14ac:dyDescent="0.25">
      <c r="A91" s="26"/>
      <c r="B91" s="21"/>
      <c r="C91" s="21"/>
      <c r="D91" s="22"/>
      <c r="H91" s="22"/>
      <c r="J91" s="22"/>
      <c r="K91" s="27"/>
      <c r="L91" s="22"/>
      <c r="N91" s="22"/>
      <c r="O91" s="27"/>
      <c r="P91" s="22"/>
      <c r="R91" s="22"/>
      <c r="S91" s="27"/>
    </row>
    <row r="92" spans="1:19" s="20" customFormat="1" x14ac:dyDescent="0.25">
      <c r="A92" s="26"/>
      <c r="B92" s="21"/>
      <c r="C92" s="21"/>
      <c r="D92" s="22"/>
      <c r="H92" s="22"/>
      <c r="J92" s="22"/>
      <c r="K92" s="27"/>
      <c r="L92" s="22"/>
      <c r="N92" s="22"/>
      <c r="O92" s="27"/>
      <c r="P92" s="22"/>
      <c r="R92" s="22"/>
      <c r="S92" s="27"/>
    </row>
    <row r="93" spans="1:19" s="20" customFormat="1" x14ac:dyDescent="0.25">
      <c r="A93" s="26"/>
      <c r="B93" s="21"/>
      <c r="C93" s="21"/>
      <c r="D93" s="22"/>
      <c r="H93" s="22"/>
      <c r="J93" s="22"/>
      <c r="K93" s="27"/>
      <c r="L93" s="22"/>
      <c r="N93" s="22"/>
      <c r="O93" s="27"/>
      <c r="P93" s="22"/>
      <c r="R93" s="22"/>
      <c r="S93" s="27"/>
    </row>
    <row r="94" spans="1:19" s="20" customFormat="1" x14ac:dyDescent="0.25">
      <c r="A94" s="26"/>
      <c r="B94" s="21"/>
      <c r="C94" s="21"/>
      <c r="D94" s="22"/>
      <c r="H94" s="22"/>
      <c r="J94" s="22"/>
      <c r="K94" s="27"/>
      <c r="L94" s="22"/>
      <c r="N94" s="22"/>
      <c r="O94" s="27"/>
      <c r="P94" s="22"/>
      <c r="R94" s="22"/>
      <c r="S94" s="27"/>
    </row>
    <row r="95" spans="1:19" s="20" customFormat="1" x14ac:dyDescent="0.25">
      <c r="A95" s="26"/>
      <c r="B95" s="21"/>
      <c r="C95" s="21"/>
      <c r="D95" s="22"/>
      <c r="H95" s="22"/>
      <c r="J95" s="22"/>
      <c r="K95" s="27"/>
      <c r="L95" s="22"/>
      <c r="N95" s="22"/>
      <c r="O95" s="27"/>
      <c r="P95" s="22"/>
      <c r="R95" s="22"/>
      <c r="S95" s="27"/>
    </row>
    <row r="96" spans="1:19" s="20" customFormat="1" x14ac:dyDescent="0.25">
      <c r="A96" s="26"/>
      <c r="B96" s="21"/>
      <c r="C96" s="21"/>
      <c r="D96" s="22"/>
      <c r="H96" s="22"/>
      <c r="J96" s="22"/>
      <c r="K96" s="27"/>
      <c r="L96" s="22"/>
      <c r="N96" s="22"/>
      <c r="O96" s="27"/>
      <c r="P96" s="22"/>
      <c r="R96" s="22"/>
      <c r="S96" s="27"/>
    </row>
    <row r="97" spans="1:19" s="20" customFormat="1" x14ac:dyDescent="0.25">
      <c r="A97" s="26"/>
      <c r="B97" s="21"/>
      <c r="C97" s="21"/>
      <c r="D97" s="22"/>
      <c r="H97" s="22"/>
      <c r="J97" s="22"/>
      <c r="K97" s="27"/>
      <c r="L97" s="22"/>
      <c r="N97" s="22"/>
      <c r="O97" s="27"/>
      <c r="P97" s="22"/>
      <c r="R97" s="22"/>
      <c r="S97" s="27"/>
    </row>
    <row r="98" spans="1:19" s="20" customFormat="1" x14ac:dyDescent="0.25">
      <c r="A98" s="26"/>
      <c r="B98" s="21"/>
      <c r="C98" s="21"/>
      <c r="D98" s="22"/>
      <c r="H98" s="22"/>
      <c r="J98" s="22"/>
      <c r="K98" s="27"/>
      <c r="L98" s="22"/>
      <c r="N98" s="22"/>
      <c r="O98" s="27"/>
      <c r="P98" s="22"/>
      <c r="R98" s="22"/>
      <c r="S98" s="27"/>
    </row>
    <row r="99" spans="1:19" s="20" customFormat="1" x14ac:dyDescent="0.25">
      <c r="A99" s="26"/>
      <c r="B99" s="21"/>
      <c r="C99" s="21"/>
      <c r="D99" s="22"/>
      <c r="H99" s="22"/>
      <c r="J99" s="22"/>
      <c r="K99" s="27"/>
      <c r="L99" s="22"/>
      <c r="N99" s="22"/>
      <c r="O99" s="27"/>
      <c r="P99" s="22"/>
      <c r="R99" s="22"/>
      <c r="S99" s="27"/>
    </row>
    <row r="100" spans="1:19" s="20" customFormat="1" x14ac:dyDescent="0.25">
      <c r="A100" s="26"/>
      <c r="B100" s="21"/>
      <c r="C100" s="21"/>
      <c r="D100" s="22"/>
      <c r="H100" s="22"/>
      <c r="J100" s="22"/>
      <c r="K100" s="27"/>
      <c r="L100" s="22"/>
      <c r="N100" s="22"/>
      <c r="O100" s="27"/>
      <c r="P100" s="22"/>
      <c r="R100" s="22"/>
      <c r="S100" s="27"/>
    </row>
    <row r="101" spans="1:19" s="20" customFormat="1" x14ac:dyDescent="0.25">
      <c r="A101" s="26"/>
      <c r="B101" s="21"/>
      <c r="C101" s="21"/>
      <c r="D101" s="22"/>
      <c r="H101" s="22"/>
      <c r="J101" s="22"/>
      <c r="K101" s="27"/>
      <c r="L101" s="22"/>
      <c r="N101" s="22"/>
      <c r="O101" s="27"/>
      <c r="P101" s="22"/>
      <c r="R101" s="22"/>
      <c r="S101" s="27"/>
    </row>
    <row r="102" spans="1:19" s="20" customFormat="1" x14ac:dyDescent="0.25">
      <c r="A102" s="26"/>
      <c r="B102" s="21"/>
      <c r="C102" s="21"/>
      <c r="D102" s="22"/>
      <c r="H102" s="22"/>
      <c r="J102" s="22"/>
      <c r="K102" s="27"/>
      <c r="L102" s="22"/>
      <c r="N102" s="22"/>
      <c r="O102" s="27"/>
      <c r="P102" s="22"/>
      <c r="R102" s="22"/>
      <c r="S102" s="27"/>
    </row>
    <row r="103" spans="1:19" s="20" customFormat="1" x14ac:dyDescent="0.25">
      <c r="A103" s="26"/>
      <c r="B103" s="21"/>
      <c r="C103" s="21"/>
      <c r="D103" s="22"/>
      <c r="H103" s="22"/>
      <c r="J103" s="22"/>
      <c r="K103" s="27"/>
      <c r="L103" s="22"/>
      <c r="N103" s="22"/>
      <c r="O103" s="27"/>
      <c r="P103" s="22"/>
      <c r="R103" s="22"/>
      <c r="S103" s="27"/>
    </row>
    <row r="104" spans="1:19" s="20" customFormat="1" x14ac:dyDescent="0.25">
      <c r="A104" s="26"/>
      <c r="B104" s="21"/>
      <c r="C104" s="21"/>
      <c r="D104" s="22"/>
      <c r="H104" s="22"/>
      <c r="J104" s="22"/>
      <c r="K104" s="27"/>
      <c r="L104" s="22"/>
      <c r="N104" s="22"/>
      <c r="O104" s="27"/>
      <c r="P104" s="22"/>
      <c r="R104" s="22"/>
      <c r="S104" s="27"/>
    </row>
    <row r="105" spans="1:19" s="20" customFormat="1" x14ac:dyDescent="0.25">
      <c r="A105" s="26"/>
      <c r="B105" s="21"/>
      <c r="C105" s="21"/>
      <c r="D105" s="22"/>
      <c r="H105" s="22"/>
      <c r="J105" s="22"/>
      <c r="K105" s="27"/>
      <c r="L105" s="22"/>
      <c r="N105" s="22"/>
      <c r="O105" s="27"/>
      <c r="P105" s="22"/>
      <c r="R105" s="22"/>
      <c r="S105" s="27"/>
    </row>
    <row r="106" spans="1:19" s="20" customFormat="1" x14ac:dyDescent="0.25">
      <c r="A106" s="26"/>
      <c r="B106" s="21"/>
      <c r="C106" s="21"/>
      <c r="D106" s="22"/>
      <c r="H106" s="22"/>
      <c r="J106" s="22"/>
      <c r="K106" s="27"/>
      <c r="L106" s="22"/>
      <c r="N106" s="22"/>
      <c r="O106" s="27"/>
      <c r="P106" s="22"/>
      <c r="R106" s="22"/>
      <c r="S106" s="27"/>
    </row>
    <row r="107" spans="1:19" s="20" customFormat="1" x14ac:dyDescent="0.25">
      <c r="A107" s="26"/>
      <c r="B107" s="21"/>
      <c r="C107" s="21"/>
      <c r="D107" s="22"/>
      <c r="H107" s="22"/>
      <c r="J107" s="22"/>
      <c r="K107" s="27"/>
      <c r="L107" s="22"/>
      <c r="N107" s="22"/>
      <c r="O107" s="27"/>
      <c r="P107" s="22"/>
      <c r="R107" s="22"/>
      <c r="S107" s="27"/>
    </row>
    <row r="108" spans="1:19" s="20" customFormat="1" x14ac:dyDescent="0.25">
      <c r="A108" s="26"/>
      <c r="B108" s="21"/>
      <c r="C108" s="21"/>
      <c r="D108" s="22"/>
      <c r="H108" s="22"/>
      <c r="J108" s="22"/>
      <c r="K108" s="27"/>
      <c r="L108" s="22"/>
      <c r="N108" s="22"/>
      <c r="O108" s="27"/>
      <c r="P108" s="22"/>
      <c r="R108" s="22"/>
      <c r="S108" s="27"/>
    </row>
    <row r="109" spans="1:19" s="20" customFormat="1" x14ac:dyDescent="0.25">
      <c r="A109" s="26"/>
      <c r="B109" s="21"/>
      <c r="C109" s="21"/>
      <c r="D109" s="22"/>
      <c r="H109" s="22"/>
      <c r="J109" s="22"/>
      <c r="K109" s="27"/>
      <c r="L109" s="22"/>
      <c r="N109" s="22"/>
      <c r="O109" s="27"/>
      <c r="P109" s="22"/>
      <c r="R109" s="22"/>
      <c r="S109" s="27"/>
    </row>
    <row r="110" spans="1:19" s="20" customFormat="1" x14ac:dyDescent="0.25">
      <c r="A110" s="26"/>
      <c r="B110" s="21"/>
      <c r="C110" s="21"/>
      <c r="D110" s="22"/>
      <c r="H110" s="22"/>
      <c r="J110" s="22"/>
      <c r="K110" s="27"/>
      <c r="L110" s="22"/>
      <c r="N110" s="22"/>
      <c r="O110" s="27"/>
      <c r="P110" s="22"/>
      <c r="R110" s="22"/>
      <c r="S110" s="27"/>
    </row>
    <row r="111" spans="1:19" s="20" customFormat="1" x14ac:dyDescent="0.25">
      <c r="A111" s="26"/>
      <c r="B111" s="21"/>
      <c r="C111" s="21"/>
      <c r="D111" s="22"/>
      <c r="H111" s="22"/>
      <c r="J111" s="22"/>
      <c r="K111" s="27"/>
      <c r="L111" s="22"/>
      <c r="N111" s="22"/>
      <c r="O111" s="27"/>
      <c r="P111" s="22"/>
      <c r="R111" s="22"/>
      <c r="S111" s="27"/>
    </row>
    <row r="112" spans="1:19" s="20" customFormat="1" x14ac:dyDescent="0.25">
      <c r="A112" s="26"/>
      <c r="B112" s="21"/>
      <c r="C112" s="21"/>
      <c r="D112" s="22"/>
      <c r="H112" s="22"/>
      <c r="J112" s="22"/>
      <c r="K112" s="27"/>
      <c r="L112" s="22"/>
      <c r="N112" s="22"/>
      <c r="O112" s="27"/>
      <c r="P112" s="22"/>
      <c r="R112" s="22"/>
      <c r="S112" s="27"/>
    </row>
    <row r="113" spans="1:19" s="20" customFormat="1" x14ac:dyDescent="0.25">
      <c r="A113" s="26"/>
      <c r="B113" s="21"/>
      <c r="C113" s="21"/>
      <c r="D113" s="22"/>
      <c r="H113" s="22"/>
      <c r="J113" s="22"/>
      <c r="K113" s="27"/>
      <c r="L113" s="22"/>
      <c r="N113" s="22"/>
      <c r="O113" s="27"/>
      <c r="P113" s="22"/>
      <c r="R113" s="22"/>
      <c r="S113" s="27"/>
    </row>
    <row r="114" spans="1:19" s="20" customFormat="1" x14ac:dyDescent="0.25">
      <c r="A114" s="26"/>
      <c r="B114" s="21"/>
      <c r="C114" s="21"/>
      <c r="D114" s="22"/>
      <c r="H114" s="22"/>
      <c r="J114" s="22"/>
      <c r="K114" s="27"/>
      <c r="L114" s="22"/>
      <c r="N114" s="22"/>
      <c r="O114" s="27"/>
      <c r="P114" s="22"/>
      <c r="R114" s="22"/>
      <c r="S114" s="27"/>
    </row>
    <row r="115" spans="1:19" s="20" customFormat="1" x14ac:dyDescent="0.25">
      <c r="A115" s="26"/>
      <c r="B115" s="21"/>
      <c r="C115" s="21"/>
      <c r="D115" s="22"/>
      <c r="H115" s="22"/>
      <c r="J115" s="22"/>
      <c r="K115" s="27"/>
      <c r="L115" s="22"/>
      <c r="N115" s="22"/>
      <c r="O115" s="27"/>
      <c r="P115" s="22"/>
      <c r="R115" s="22"/>
      <c r="S115" s="27"/>
    </row>
    <row r="116" spans="1:19" s="20" customFormat="1" x14ac:dyDescent="0.25">
      <c r="A116" s="26"/>
      <c r="B116" s="21"/>
      <c r="C116" s="21"/>
      <c r="D116" s="22"/>
      <c r="H116" s="22"/>
      <c r="J116" s="22"/>
      <c r="K116" s="27"/>
      <c r="L116" s="22"/>
      <c r="N116" s="22"/>
      <c r="O116" s="27"/>
      <c r="P116" s="22"/>
      <c r="R116" s="22"/>
      <c r="S116" s="27"/>
    </row>
    <row r="117" spans="1:19" s="20" customFormat="1" x14ac:dyDescent="0.25">
      <c r="A117" s="26"/>
      <c r="B117" s="21"/>
      <c r="C117" s="21"/>
      <c r="D117" s="22"/>
      <c r="H117" s="22"/>
      <c r="J117" s="22"/>
      <c r="K117" s="27"/>
      <c r="L117" s="22"/>
      <c r="N117" s="22"/>
      <c r="O117" s="27"/>
      <c r="P117" s="22"/>
      <c r="R117" s="22"/>
      <c r="S117" s="27"/>
    </row>
    <row r="118" spans="1:19" s="20" customFormat="1" x14ac:dyDescent="0.25">
      <c r="A118" s="26"/>
      <c r="B118" s="21"/>
      <c r="C118" s="21"/>
      <c r="D118" s="22"/>
      <c r="H118" s="22"/>
      <c r="J118" s="22"/>
      <c r="K118" s="27"/>
      <c r="L118" s="22"/>
      <c r="N118" s="22"/>
      <c r="O118" s="27"/>
      <c r="P118" s="22"/>
      <c r="R118" s="22"/>
      <c r="S118" s="27"/>
    </row>
    <row r="119" spans="1:19" s="20" customFormat="1" x14ac:dyDescent="0.25">
      <c r="A119" s="26"/>
      <c r="B119" s="21"/>
      <c r="C119" s="21"/>
      <c r="D119" s="22"/>
      <c r="H119" s="22"/>
      <c r="J119" s="22"/>
      <c r="K119" s="27"/>
      <c r="L119" s="22"/>
      <c r="N119" s="22"/>
      <c r="O119" s="27"/>
      <c r="P119" s="22"/>
      <c r="R119" s="22"/>
      <c r="S119" s="27"/>
    </row>
    <row r="120" spans="1:19" s="20" customFormat="1" x14ac:dyDescent="0.25">
      <c r="A120" s="26"/>
      <c r="B120" s="21"/>
      <c r="C120" s="21"/>
      <c r="D120" s="22"/>
      <c r="H120" s="22"/>
      <c r="J120" s="22"/>
      <c r="K120" s="27"/>
      <c r="L120" s="22"/>
      <c r="N120" s="22"/>
      <c r="O120" s="27"/>
      <c r="P120" s="22"/>
      <c r="R120" s="22"/>
      <c r="S120" s="27"/>
    </row>
    <row r="121" spans="1:19" s="20" customFormat="1" x14ac:dyDescent="0.25">
      <c r="A121" s="26"/>
      <c r="B121" s="21"/>
      <c r="C121" s="21"/>
      <c r="D121" s="22"/>
      <c r="H121" s="22"/>
      <c r="J121" s="22"/>
      <c r="K121" s="27"/>
      <c r="L121" s="22"/>
      <c r="N121" s="22"/>
      <c r="O121" s="27"/>
      <c r="P121" s="22"/>
      <c r="R121" s="22"/>
      <c r="S121" s="27"/>
    </row>
    <row r="122" spans="1:19" s="20" customFormat="1" x14ac:dyDescent="0.25">
      <c r="A122" s="26"/>
      <c r="B122" s="21"/>
      <c r="C122" s="21"/>
      <c r="D122" s="22"/>
      <c r="H122" s="22"/>
      <c r="J122" s="22"/>
      <c r="K122" s="27"/>
      <c r="L122" s="22"/>
      <c r="N122" s="22"/>
      <c r="O122" s="27"/>
      <c r="P122" s="22"/>
      <c r="R122" s="22"/>
      <c r="S122" s="27"/>
    </row>
    <row r="123" spans="1:19" s="20" customFormat="1" x14ac:dyDescent="0.25">
      <c r="A123" s="26"/>
      <c r="B123" s="21"/>
      <c r="C123" s="21"/>
      <c r="D123" s="22"/>
      <c r="H123" s="22"/>
      <c r="J123" s="22"/>
      <c r="K123" s="27"/>
      <c r="L123" s="22"/>
      <c r="N123" s="22"/>
      <c r="O123" s="27"/>
      <c r="P123" s="22"/>
      <c r="R123" s="22"/>
      <c r="S123" s="27"/>
    </row>
    <row r="124" spans="1:19" s="20" customFormat="1" x14ac:dyDescent="0.25">
      <c r="A124" s="26"/>
      <c r="B124" s="21"/>
      <c r="C124" s="21"/>
      <c r="D124" s="22"/>
      <c r="H124" s="22"/>
      <c r="J124" s="22"/>
      <c r="K124" s="27"/>
      <c r="L124" s="22"/>
      <c r="N124" s="22"/>
      <c r="O124" s="27"/>
      <c r="P124" s="22"/>
      <c r="R124" s="22"/>
      <c r="S124" s="27"/>
    </row>
    <row r="125" spans="1:19" s="20" customFormat="1" x14ac:dyDescent="0.25">
      <c r="A125" s="26"/>
      <c r="B125" s="21"/>
      <c r="C125" s="21"/>
      <c r="D125" s="22"/>
      <c r="H125" s="22"/>
      <c r="J125" s="22"/>
      <c r="K125" s="27"/>
      <c r="L125" s="22"/>
      <c r="N125" s="22"/>
      <c r="O125" s="27"/>
      <c r="P125" s="22"/>
      <c r="R125" s="22"/>
      <c r="S125" s="27"/>
    </row>
    <row r="126" spans="1:19" s="20" customFormat="1" x14ac:dyDescent="0.25">
      <c r="A126" s="26"/>
      <c r="B126" s="21"/>
      <c r="C126" s="21"/>
      <c r="D126" s="22"/>
      <c r="H126" s="22"/>
      <c r="J126" s="22"/>
      <c r="K126" s="27"/>
      <c r="L126" s="22"/>
      <c r="N126" s="22"/>
      <c r="O126" s="27"/>
      <c r="P126" s="22"/>
      <c r="R126" s="22"/>
      <c r="S126" s="27"/>
    </row>
    <row r="127" spans="1:19" s="20" customFormat="1" x14ac:dyDescent="0.25">
      <c r="A127" s="26"/>
      <c r="B127" s="21"/>
      <c r="C127" s="21"/>
      <c r="D127" s="22"/>
      <c r="H127" s="22"/>
      <c r="J127" s="22"/>
      <c r="K127" s="27"/>
      <c r="L127" s="22"/>
      <c r="N127" s="22"/>
      <c r="O127" s="27"/>
      <c r="P127" s="22"/>
      <c r="R127" s="22"/>
      <c r="S127" s="27"/>
    </row>
    <row r="128" spans="1:19" s="20" customFormat="1" x14ac:dyDescent="0.25">
      <c r="A128" s="26"/>
      <c r="B128" s="21"/>
      <c r="C128" s="21"/>
      <c r="D128" s="22"/>
      <c r="H128" s="22"/>
      <c r="J128" s="22"/>
      <c r="K128" s="27"/>
      <c r="L128" s="22"/>
      <c r="N128" s="22"/>
      <c r="O128" s="27"/>
      <c r="P128" s="22"/>
      <c r="R128" s="22"/>
      <c r="S128" s="27"/>
    </row>
    <row r="129" spans="1:19" s="20" customFormat="1" x14ac:dyDescent="0.25">
      <c r="A129" s="26"/>
      <c r="B129" s="21"/>
      <c r="C129" s="21"/>
      <c r="D129" s="22"/>
      <c r="H129" s="22"/>
      <c r="J129" s="22"/>
      <c r="K129" s="27"/>
      <c r="L129" s="22"/>
      <c r="N129" s="22"/>
      <c r="O129" s="27"/>
      <c r="P129" s="22"/>
      <c r="R129" s="22"/>
      <c r="S129" s="27"/>
    </row>
    <row r="130" spans="1:19" s="20" customFormat="1" x14ac:dyDescent="0.25">
      <c r="A130" s="26"/>
      <c r="B130" s="21"/>
      <c r="C130" s="21"/>
      <c r="D130" s="22"/>
      <c r="H130" s="22"/>
      <c r="J130" s="22"/>
      <c r="K130" s="27"/>
      <c r="L130" s="22"/>
      <c r="N130" s="22"/>
      <c r="O130" s="27"/>
      <c r="P130" s="22"/>
      <c r="R130" s="22"/>
      <c r="S130" s="27"/>
    </row>
    <row r="131" spans="1:19" s="20" customFormat="1" x14ac:dyDescent="0.25">
      <c r="A131" s="26"/>
      <c r="B131" s="21"/>
      <c r="C131" s="21"/>
      <c r="D131" s="22"/>
      <c r="H131" s="22"/>
      <c r="J131" s="22"/>
      <c r="K131" s="27"/>
      <c r="L131" s="22"/>
      <c r="N131" s="22"/>
      <c r="O131" s="27"/>
      <c r="P131" s="22"/>
      <c r="R131" s="22"/>
      <c r="S131" s="27"/>
    </row>
    <row r="132" spans="1:19" s="20" customFormat="1" x14ac:dyDescent="0.25">
      <c r="A132" s="26"/>
      <c r="B132" s="21"/>
      <c r="C132" s="21"/>
      <c r="D132" s="22"/>
      <c r="H132" s="22"/>
      <c r="J132" s="22"/>
      <c r="K132" s="27"/>
      <c r="L132" s="22"/>
      <c r="N132" s="22"/>
      <c r="O132" s="27"/>
      <c r="P132" s="22"/>
      <c r="R132" s="22"/>
      <c r="S132" s="27"/>
    </row>
    <row r="133" spans="1:19" s="20" customFormat="1" x14ac:dyDescent="0.25">
      <c r="A133" s="26"/>
      <c r="B133" s="21"/>
      <c r="C133" s="21"/>
      <c r="D133" s="22"/>
      <c r="H133" s="22"/>
      <c r="J133" s="22"/>
      <c r="K133" s="27"/>
      <c r="L133" s="22"/>
      <c r="N133" s="22"/>
      <c r="O133" s="27"/>
      <c r="P133" s="22"/>
      <c r="R133" s="22"/>
      <c r="S133" s="27"/>
    </row>
    <row r="134" spans="1:19" s="20" customFormat="1" x14ac:dyDescent="0.25">
      <c r="A134" s="26"/>
      <c r="B134" s="21"/>
      <c r="C134" s="21"/>
      <c r="D134" s="22"/>
      <c r="H134" s="22"/>
      <c r="J134" s="22"/>
      <c r="K134" s="27"/>
      <c r="L134" s="22"/>
      <c r="N134" s="22"/>
      <c r="O134" s="27"/>
      <c r="P134" s="22"/>
      <c r="R134" s="22"/>
      <c r="S134" s="27"/>
    </row>
    <row r="135" spans="1:19" s="20" customFormat="1" x14ac:dyDescent="0.25">
      <c r="A135" s="26"/>
      <c r="B135" s="21"/>
      <c r="C135" s="21"/>
      <c r="D135" s="22"/>
      <c r="H135" s="22"/>
      <c r="J135" s="22"/>
      <c r="K135" s="27"/>
      <c r="L135" s="22"/>
      <c r="N135" s="22"/>
      <c r="O135" s="27"/>
      <c r="P135" s="22"/>
      <c r="R135" s="22"/>
      <c r="S135" s="27"/>
    </row>
    <row r="136" spans="1:19" s="20" customFormat="1" x14ac:dyDescent="0.25">
      <c r="A136" s="26"/>
      <c r="B136" s="21"/>
      <c r="C136" s="21"/>
      <c r="D136" s="22"/>
      <c r="H136" s="22"/>
      <c r="J136" s="22"/>
      <c r="K136" s="27"/>
      <c r="L136" s="22"/>
      <c r="N136" s="22"/>
      <c r="O136" s="27"/>
      <c r="P136" s="22"/>
      <c r="R136" s="22"/>
      <c r="S136" s="27"/>
    </row>
    <row r="137" spans="1:19" s="20" customFormat="1" x14ac:dyDescent="0.25">
      <c r="A137" s="26"/>
      <c r="B137" s="21"/>
      <c r="C137" s="21"/>
      <c r="D137" s="22"/>
      <c r="H137" s="22"/>
      <c r="J137" s="22"/>
      <c r="K137" s="27"/>
      <c r="L137" s="22"/>
      <c r="N137" s="22"/>
      <c r="O137" s="27"/>
      <c r="P137" s="22"/>
      <c r="R137" s="22"/>
      <c r="S137" s="27"/>
    </row>
    <row r="138" spans="1:19" s="20" customFormat="1" x14ac:dyDescent="0.25">
      <c r="A138" s="26"/>
      <c r="B138" s="21"/>
      <c r="C138" s="21"/>
      <c r="D138" s="22"/>
      <c r="H138" s="22"/>
      <c r="J138" s="22"/>
      <c r="K138" s="27"/>
      <c r="L138" s="22"/>
      <c r="N138" s="22"/>
      <c r="O138" s="27"/>
      <c r="P138" s="22"/>
      <c r="R138" s="22"/>
      <c r="S138" s="27"/>
    </row>
    <row r="139" spans="1:19" s="20" customFormat="1" x14ac:dyDescent="0.25">
      <c r="A139" s="26"/>
      <c r="B139" s="21"/>
      <c r="C139" s="21"/>
      <c r="D139" s="22"/>
      <c r="H139" s="22"/>
      <c r="J139" s="22"/>
      <c r="K139" s="27"/>
      <c r="L139" s="22"/>
      <c r="N139" s="22"/>
      <c r="O139" s="27"/>
      <c r="P139" s="22"/>
      <c r="R139" s="22"/>
      <c r="S139" s="27"/>
    </row>
    <row r="140" spans="1:19" s="20" customFormat="1" x14ac:dyDescent="0.25">
      <c r="A140" s="26"/>
      <c r="B140" s="21"/>
      <c r="C140" s="21"/>
      <c r="D140" s="22"/>
      <c r="H140" s="22"/>
      <c r="J140" s="22"/>
      <c r="K140" s="27"/>
      <c r="L140" s="22"/>
      <c r="N140" s="22"/>
      <c r="O140" s="27"/>
      <c r="P140" s="22"/>
      <c r="R140" s="22"/>
      <c r="S140" s="27"/>
    </row>
    <row r="141" spans="1:19" s="20" customFormat="1" x14ac:dyDescent="0.25">
      <c r="A141" s="26"/>
      <c r="B141" s="21"/>
      <c r="C141" s="21"/>
      <c r="D141" s="22"/>
      <c r="H141" s="22"/>
      <c r="J141" s="22"/>
      <c r="K141" s="27"/>
      <c r="L141" s="22"/>
      <c r="N141" s="22"/>
      <c r="O141" s="27"/>
      <c r="P141" s="22"/>
      <c r="R141" s="22"/>
      <c r="S141" s="27"/>
    </row>
    <row r="142" spans="1:19" s="20" customFormat="1" x14ac:dyDescent="0.25">
      <c r="A142" s="26"/>
      <c r="B142" s="21"/>
      <c r="C142" s="21"/>
      <c r="D142" s="22"/>
      <c r="H142" s="22"/>
      <c r="J142" s="22"/>
      <c r="K142" s="27"/>
      <c r="L142" s="22"/>
      <c r="N142" s="22"/>
      <c r="O142" s="27"/>
      <c r="P142" s="22"/>
      <c r="R142" s="22"/>
      <c r="S142" s="27"/>
    </row>
    <row r="143" spans="1:19" s="20" customFormat="1" x14ac:dyDescent="0.25">
      <c r="A143" s="26"/>
      <c r="B143" s="21"/>
      <c r="C143" s="21"/>
      <c r="D143" s="22"/>
      <c r="H143" s="22"/>
      <c r="J143" s="22"/>
      <c r="K143" s="27"/>
      <c r="L143" s="22"/>
      <c r="N143" s="22"/>
      <c r="O143" s="27"/>
      <c r="P143" s="22"/>
      <c r="R143" s="22"/>
      <c r="S143" s="27"/>
    </row>
    <row r="144" spans="1:19" s="20" customFormat="1" x14ac:dyDescent="0.25">
      <c r="A144" s="26"/>
      <c r="B144" s="21"/>
      <c r="C144" s="21"/>
      <c r="D144" s="22"/>
      <c r="H144" s="22"/>
      <c r="J144" s="22"/>
      <c r="K144" s="27"/>
      <c r="L144" s="22"/>
      <c r="N144" s="22"/>
      <c r="O144" s="27"/>
      <c r="P144" s="22"/>
      <c r="R144" s="22"/>
      <c r="S144" s="27"/>
    </row>
    <row r="145" spans="1:19" s="20" customFormat="1" x14ac:dyDescent="0.25">
      <c r="A145" s="26"/>
      <c r="B145" s="21"/>
      <c r="C145" s="21"/>
      <c r="D145" s="22"/>
      <c r="H145" s="22"/>
      <c r="J145" s="22"/>
      <c r="K145" s="27"/>
      <c r="L145" s="22"/>
      <c r="N145" s="22"/>
      <c r="O145" s="27"/>
      <c r="P145" s="22"/>
      <c r="R145" s="22"/>
      <c r="S145" s="27"/>
    </row>
    <row r="146" spans="1:19" s="20" customFormat="1" x14ac:dyDescent="0.25">
      <c r="A146" s="26"/>
      <c r="B146" s="21"/>
      <c r="C146" s="21"/>
      <c r="D146" s="22"/>
      <c r="H146" s="22"/>
      <c r="J146" s="22"/>
      <c r="K146" s="27"/>
      <c r="L146" s="22"/>
      <c r="N146" s="22"/>
      <c r="O146" s="27"/>
      <c r="P146" s="22"/>
      <c r="R146" s="22"/>
      <c r="S146" s="27"/>
    </row>
    <row r="147" spans="1:19" s="20" customFormat="1" x14ac:dyDescent="0.25">
      <c r="A147" s="26"/>
      <c r="B147" s="21"/>
      <c r="C147" s="21"/>
      <c r="D147" s="22"/>
      <c r="H147" s="22"/>
      <c r="J147" s="22"/>
      <c r="K147" s="27"/>
      <c r="L147" s="22"/>
      <c r="N147" s="22"/>
      <c r="O147" s="27"/>
      <c r="P147" s="22"/>
      <c r="R147" s="22"/>
      <c r="S147" s="27"/>
    </row>
    <row r="148" spans="1:19" s="20" customFormat="1" x14ac:dyDescent="0.25">
      <c r="A148" s="26"/>
      <c r="B148" s="21"/>
      <c r="C148" s="21"/>
      <c r="D148" s="22"/>
      <c r="H148" s="22"/>
      <c r="J148" s="22"/>
      <c r="K148" s="27"/>
      <c r="L148" s="22"/>
      <c r="N148" s="22"/>
      <c r="O148" s="27"/>
      <c r="P148" s="22"/>
      <c r="R148" s="22"/>
      <c r="S148" s="27"/>
    </row>
    <row r="149" spans="1:19" s="20" customFormat="1" x14ac:dyDescent="0.25">
      <c r="A149" s="26"/>
      <c r="B149" s="21"/>
      <c r="C149" s="21"/>
      <c r="D149" s="22"/>
      <c r="H149" s="22"/>
      <c r="J149" s="22"/>
      <c r="K149" s="27"/>
      <c r="L149" s="22"/>
      <c r="N149" s="22"/>
      <c r="O149" s="27"/>
      <c r="P149" s="22"/>
      <c r="R149" s="22"/>
      <c r="S149" s="27"/>
    </row>
    <row r="150" spans="1:19" s="20" customFormat="1" x14ac:dyDescent="0.25">
      <c r="A150" s="26"/>
      <c r="B150" s="21"/>
      <c r="C150" s="21"/>
      <c r="D150" s="22"/>
      <c r="H150" s="22"/>
      <c r="J150" s="22"/>
      <c r="K150" s="27"/>
      <c r="L150" s="22"/>
      <c r="N150" s="22"/>
      <c r="O150" s="27"/>
      <c r="P150" s="22"/>
      <c r="R150" s="22"/>
      <c r="S150" s="27"/>
    </row>
    <row r="151" spans="1:19" s="20" customFormat="1" x14ac:dyDescent="0.25">
      <c r="A151" s="26"/>
      <c r="B151" s="21"/>
      <c r="C151" s="21"/>
      <c r="D151" s="22"/>
      <c r="H151" s="22"/>
      <c r="J151" s="22"/>
      <c r="K151" s="27"/>
      <c r="L151" s="22"/>
      <c r="N151" s="22"/>
      <c r="O151" s="27"/>
      <c r="P151" s="22"/>
      <c r="R151" s="22"/>
      <c r="S151" s="27"/>
    </row>
    <row r="152" spans="1:19" s="20" customFormat="1" x14ac:dyDescent="0.25">
      <c r="A152" s="26"/>
      <c r="B152" s="21"/>
      <c r="C152" s="21"/>
      <c r="D152" s="22"/>
      <c r="H152" s="22"/>
      <c r="J152" s="22"/>
      <c r="K152" s="27"/>
      <c r="L152" s="22"/>
      <c r="N152" s="22"/>
      <c r="O152" s="27"/>
      <c r="P152" s="22"/>
      <c r="R152" s="22"/>
      <c r="S152" s="27"/>
    </row>
    <row r="153" spans="1:19" s="20" customFormat="1" x14ac:dyDescent="0.25">
      <c r="A153" s="26"/>
      <c r="B153" s="21"/>
      <c r="C153" s="21"/>
      <c r="D153" s="22"/>
      <c r="H153" s="22"/>
      <c r="J153" s="22"/>
      <c r="K153" s="27"/>
      <c r="L153" s="22"/>
      <c r="N153" s="22"/>
      <c r="O153" s="27"/>
      <c r="P153" s="22"/>
      <c r="R153" s="22"/>
      <c r="S153" s="27"/>
    </row>
    <row r="154" spans="1:19" s="20" customFormat="1" x14ac:dyDescent="0.25">
      <c r="A154" s="26"/>
      <c r="B154" s="21"/>
      <c r="C154" s="21"/>
      <c r="D154" s="22"/>
      <c r="H154" s="22"/>
      <c r="J154" s="22"/>
      <c r="K154" s="27"/>
      <c r="L154" s="22"/>
      <c r="N154" s="22"/>
      <c r="O154" s="27"/>
      <c r="P154" s="22"/>
      <c r="R154" s="22"/>
      <c r="S154" s="27"/>
    </row>
    <row r="155" spans="1:19" s="20" customFormat="1" x14ac:dyDescent="0.25">
      <c r="A155" s="26"/>
      <c r="B155" s="21"/>
      <c r="C155" s="21"/>
      <c r="D155" s="22"/>
      <c r="H155" s="22"/>
      <c r="J155" s="22"/>
      <c r="K155" s="27"/>
      <c r="L155" s="22"/>
      <c r="N155" s="22"/>
      <c r="O155" s="27"/>
      <c r="P155" s="22"/>
      <c r="R155" s="22"/>
      <c r="S155" s="27"/>
    </row>
    <row r="156" spans="1:19" s="20" customFormat="1" x14ac:dyDescent="0.25">
      <c r="A156" s="26"/>
      <c r="B156" s="21"/>
      <c r="C156" s="21"/>
      <c r="D156" s="22"/>
      <c r="H156" s="22"/>
      <c r="J156" s="22"/>
      <c r="K156" s="27"/>
      <c r="L156" s="22"/>
      <c r="N156" s="22"/>
      <c r="O156" s="27"/>
      <c r="P156" s="22"/>
      <c r="R156" s="22"/>
      <c r="S156" s="27"/>
    </row>
    <row r="157" spans="1:19" s="20" customFormat="1" x14ac:dyDescent="0.25">
      <c r="A157" s="26"/>
      <c r="B157" s="21"/>
      <c r="C157" s="21"/>
      <c r="D157" s="22"/>
      <c r="H157" s="22"/>
      <c r="J157" s="22"/>
      <c r="K157" s="27"/>
      <c r="L157" s="22"/>
      <c r="N157" s="22"/>
      <c r="O157" s="27"/>
      <c r="P157" s="22"/>
      <c r="R157" s="22"/>
      <c r="S157" s="27"/>
    </row>
    <row r="158" spans="1:19" s="20" customFormat="1" x14ac:dyDescent="0.25">
      <c r="A158" s="26"/>
      <c r="B158" s="21"/>
      <c r="C158" s="21"/>
      <c r="D158" s="22"/>
      <c r="H158" s="22"/>
      <c r="J158" s="22"/>
      <c r="K158" s="27"/>
      <c r="L158" s="22"/>
      <c r="N158" s="22"/>
      <c r="O158" s="27"/>
      <c r="P158" s="22"/>
      <c r="R158" s="22"/>
      <c r="S158" s="27"/>
    </row>
    <row r="159" spans="1:19" s="20" customFormat="1" x14ac:dyDescent="0.25">
      <c r="A159" s="26"/>
      <c r="B159" s="21"/>
      <c r="C159" s="21"/>
      <c r="D159" s="22"/>
      <c r="H159" s="22"/>
      <c r="J159" s="22"/>
      <c r="K159" s="27"/>
      <c r="L159" s="22"/>
      <c r="N159" s="22"/>
      <c r="O159" s="27"/>
      <c r="P159" s="22"/>
      <c r="R159" s="22"/>
      <c r="S159" s="27"/>
    </row>
    <row r="160" spans="1:19" s="20" customFormat="1" x14ac:dyDescent="0.25">
      <c r="A160" s="26"/>
      <c r="B160" s="21"/>
      <c r="C160" s="21"/>
      <c r="D160" s="22"/>
      <c r="H160" s="22"/>
      <c r="J160" s="22"/>
      <c r="K160" s="27"/>
      <c r="L160" s="22"/>
      <c r="N160" s="22"/>
      <c r="O160" s="27"/>
      <c r="P160" s="22"/>
      <c r="R160" s="22"/>
      <c r="S160" s="27"/>
    </row>
    <row r="161" spans="1:19" s="20" customFormat="1" x14ac:dyDescent="0.25">
      <c r="A161" s="26"/>
      <c r="B161" s="21"/>
      <c r="C161" s="21"/>
      <c r="D161" s="22"/>
      <c r="H161" s="22"/>
      <c r="J161" s="22"/>
      <c r="K161" s="27"/>
      <c r="L161" s="22"/>
      <c r="N161" s="22"/>
      <c r="O161" s="27"/>
      <c r="P161" s="22"/>
      <c r="R161" s="22"/>
      <c r="S161" s="27"/>
    </row>
    <row r="162" spans="1:19" s="20" customFormat="1" x14ac:dyDescent="0.25">
      <c r="A162" s="26"/>
      <c r="B162" s="21"/>
      <c r="C162" s="21"/>
      <c r="D162" s="22"/>
      <c r="H162" s="22"/>
      <c r="J162" s="22"/>
      <c r="K162" s="27"/>
      <c r="L162" s="22"/>
      <c r="N162" s="22"/>
      <c r="O162" s="27"/>
      <c r="P162" s="22"/>
      <c r="R162" s="22"/>
      <c r="S162" s="27"/>
    </row>
    <row r="163" spans="1:19" s="20" customFormat="1" x14ac:dyDescent="0.25">
      <c r="A163" s="26"/>
      <c r="B163" s="21"/>
      <c r="C163" s="21"/>
      <c r="D163" s="22"/>
      <c r="H163" s="22"/>
      <c r="J163" s="22"/>
      <c r="K163" s="27"/>
      <c r="L163" s="22"/>
      <c r="N163" s="22"/>
      <c r="O163" s="27"/>
      <c r="P163" s="22"/>
      <c r="R163" s="22"/>
      <c r="S163" s="27"/>
    </row>
    <row r="164" spans="1:19" s="20" customFormat="1" x14ac:dyDescent="0.25">
      <c r="A164" s="26"/>
      <c r="B164" s="21"/>
      <c r="C164" s="21"/>
      <c r="D164" s="22"/>
      <c r="H164" s="22"/>
      <c r="J164" s="22"/>
      <c r="K164" s="27"/>
      <c r="L164" s="22"/>
      <c r="N164" s="22"/>
      <c r="O164" s="27"/>
      <c r="P164" s="22"/>
      <c r="R164" s="22"/>
      <c r="S164" s="27"/>
    </row>
    <row r="165" spans="1:19" s="20" customFormat="1" x14ac:dyDescent="0.25">
      <c r="A165" s="26"/>
      <c r="B165" s="21"/>
      <c r="C165" s="21"/>
      <c r="D165" s="22"/>
      <c r="H165" s="22"/>
      <c r="J165" s="22"/>
      <c r="K165" s="27"/>
      <c r="L165" s="22"/>
      <c r="N165" s="22"/>
      <c r="O165" s="27"/>
      <c r="P165" s="22"/>
      <c r="R165" s="22"/>
      <c r="S165" s="27"/>
    </row>
    <row r="166" spans="1:19" s="20" customFormat="1" x14ac:dyDescent="0.25">
      <c r="A166" s="26"/>
      <c r="B166" s="21"/>
      <c r="C166" s="21"/>
      <c r="D166" s="22"/>
      <c r="H166" s="22"/>
      <c r="J166" s="22"/>
      <c r="K166" s="27"/>
      <c r="L166" s="22"/>
      <c r="N166" s="22"/>
      <c r="O166" s="27"/>
      <c r="P166" s="22"/>
      <c r="R166" s="22"/>
      <c r="S166" s="27"/>
    </row>
    <row r="167" spans="1:19" s="20" customFormat="1" x14ac:dyDescent="0.25">
      <c r="A167" s="26"/>
      <c r="B167" s="21"/>
      <c r="C167" s="21"/>
      <c r="D167" s="22"/>
      <c r="H167" s="22"/>
      <c r="J167" s="22"/>
      <c r="K167" s="27"/>
      <c r="L167" s="22"/>
      <c r="N167" s="22"/>
      <c r="O167" s="27"/>
      <c r="P167" s="22"/>
      <c r="R167" s="22"/>
      <c r="S167" s="27"/>
    </row>
    <row r="168" spans="1:19" s="20" customFormat="1" x14ac:dyDescent="0.25">
      <c r="A168" s="26"/>
      <c r="B168" s="21"/>
      <c r="C168" s="21"/>
      <c r="D168" s="22"/>
      <c r="H168" s="22"/>
      <c r="J168" s="22"/>
      <c r="K168" s="27"/>
      <c r="L168" s="22"/>
      <c r="N168" s="22"/>
      <c r="O168" s="27"/>
      <c r="P168" s="22"/>
      <c r="R168" s="22"/>
      <c r="S168" s="27"/>
    </row>
    <row r="169" spans="1:19" s="20" customFormat="1" x14ac:dyDescent="0.25">
      <c r="A169" s="26"/>
      <c r="B169" s="21"/>
      <c r="C169" s="21"/>
      <c r="D169" s="22"/>
      <c r="H169" s="22"/>
      <c r="J169" s="22"/>
      <c r="K169" s="27"/>
      <c r="L169" s="22"/>
      <c r="N169" s="22"/>
      <c r="O169" s="27"/>
      <c r="P169" s="22"/>
      <c r="R169" s="22"/>
      <c r="S169" s="27"/>
    </row>
    <row r="170" spans="1:19" s="20" customFormat="1" x14ac:dyDescent="0.25">
      <c r="A170" s="26"/>
      <c r="B170" s="21"/>
      <c r="C170" s="21"/>
      <c r="D170" s="22"/>
      <c r="H170" s="22"/>
      <c r="J170" s="22"/>
      <c r="K170" s="27"/>
      <c r="L170" s="22"/>
      <c r="N170" s="22"/>
      <c r="O170" s="27"/>
      <c r="P170" s="22"/>
      <c r="R170" s="22"/>
      <c r="S170" s="27"/>
    </row>
    <row r="171" spans="1:19" s="20" customFormat="1" x14ac:dyDescent="0.25">
      <c r="A171" s="26"/>
      <c r="B171" s="21"/>
      <c r="C171" s="21"/>
      <c r="D171" s="22"/>
      <c r="H171" s="22"/>
      <c r="J171" s="22"/>
      <c r="K171" s="27"/>
      <c r="L171" s="22"/>
      <c r="N171" s="22"/>
      <c r="O171" s="27"/>
      <c r="P171" s="22"/>
      <c r="R171" s="22"/>
      <c r="S171" s="27"/>
    </row>
    <row r="172" spans="1:19" s="20" customFormat="1" x14ac:dyDescent="0.25">
      <c r="A172" s="26"/>
      <c r="B172" s="21"/>
      <c r="C172" s="21"/>
      <c r="D172" s="22"/>
      <c r="H172" s="22"/>
      <c r="J172" s="22"/>
      <c r="K172" s="27"/>
      <c r="L172" s="22"/>
      <c r="N172" s="22"/>
      <c r="O172" s="27"/>
      <c r="P172" s="22"/>
      <c r="R172" s="22"/>
      <c r="S172" s="27"/>
    </row>
    <row r="173" spans="1:19" s="20" customFormat="1" x14ac:dyDescent="0.25">
      <c r="A173" s="26"/>
      <c r="B173" s="21"/>
      <c r="C173" s="21"/>
      <c r="D173" s="22"/>
      <c r="H173" s="22"/>
      <c r="J173" s="22"/>
      <c r="K173" s="27"/>
      <c r="L173" s="22"/>
      <c r="N173" s="22"/>
      <c r="O173" s="27"/>
      <c r="P173" s="22"/>
      <c r="R173" s="22"/>
      <c r="S173" s="27"/>
    </row>
    <row r="174" spans="1:19" s="20" customFormat="1" x14ac:dyDescent="0.25">
      <c r="A174" s="26"/>
      <c r="B174" s="21"/>
      <c r="C174" s="21"/>
      <c r="D174" s="22"/>
      <c r="H174" s="22"/>
      <c r="J174" s="22"/>
      <c r="K174" s="27"/>
      <c r="L174" s="22"/>
      <c r="N174" s="22"/>
      <c r="O174" s="27"/>
      <c r="P174" s="22"/>
      <c r="R174" s="22"/>
      <c r="S174" s="27"/>
    </row>
    <row r="175" spans="1:19" s="20" customFormat="1" x14ac:dyDescent="0.25">
      <c r="A175" s="26"/>
      <c r="B175" s="21"/>
      <c r="C175" s="21"/>
      <c r="D175" s="22"/>
      <c r="H175" s="22"/>
      <c r="J175" s="22"/>
      <c r="K175" s="27"/>
      <c r="L175" s="22"/>
      <c r="N175" s="22"/>
      <c r="O175" s="27"/>
      <c r="P175" s="22"/>
      <c r="R175" s="22"/>
      <c r="S175" s="27"/>
    </row>
    <row r="176" spans="1:19" s="20" customFormat="1" x14ac:dyDescent="0.25">
      <c r="A176" s="26"/>
      <c r="B176" s="21"/>
      <c r="C176" s="21"/>
      <c r="D176" s="22"/>
      <c r="H176" s="22"/>
      <c r="J176" s="22"/>
      <c r="K176" s="27"/>
      <c r="L176" s="22"/>
      <c r="N176" s="22"/>
      <c r="O176" s="27"/>
      <c r="P176" s="22"/>
      <c r="R176" s="22"/>
      <c r="S176" s="27"/>
    </row>
    <row r="177" spans="1:19" s="20" customFormat="1" x14ac:dyDescent="0.25">
      <c r="A177" s="26"/>
      <c r="B177" s="21"/>
      <c r="C177" s="21"/>
      <c r="D177" s="22"/>
      <c r="H177" s="22"/>
      <c r="J177" s="22"/>
      <c r="K177" s="27"/>
      <c r="L177" s="22"/>
      <c r="N177" s="22"/>
      <c r="O177" s="27"/>
      <c r="P177" s="22"/>
      <c r="R177" s="22"/>
      <c r="S177" s="27"/>
    </row>
    <row r="178" spans="1:19" s="20" customFormat="1" x14ac:dyDescent="0.25">
      <c r="A178" s="26"/>
      <c r="B178" s="21"/>
      <c r="C178" s="21"/>
      <c r="D178" s="22"/>
      <c r="H178" s="22"/>
      <c r="J178" s="22"/>
      <c r="K178" s="27"/>
      <c r="L178" s="22"/>
      <c r="N178" s="22"/>
      <c r="O178" s="27"/>
      <c r="P178" s="22"/>
      <c r="R178" s="22"/>
      <c r="S178" s="27"/>
    </row>
    <row r="179" spans="1:19" s="20" customFormat="1" x14ac:dyDescent="0.25">
      <c r="A179" s="26"/>
      <c r="B179" s="21"/>
      <c r="C179" s="21"/>
      <c r="D179" s="22"/>
      <c r="H179" s="22"/>
      <c r="J179" s="22"/>
      <c r="K179" s="27"/>
      <c r="L179" s="22"/>
      <c r="N179" s="22"/>
      <c r="O179" s="27"/>
      <c r="P179" s="22"/>
      <c r="R179" s="22"/>
      <c r="S179" s="27"/>
    </row>
    <row r="180" spans="1:19" s="20" customFormat="1" x14ac:dyDescent="0.25">
      <c r="A180" s="26"/>
      <c r="B180" s="21"/>
      <c r="C180" s="21"/>
      <c r="D180" s="22"/>
      <c r="H180" s="22"/>
      <c r="J180" s="22"/>
      <c r="K180" s="27"/>
      <c r="L180" s="22"/>
      <c r="N180" s="22"/>
      <c r="O180" s="27"/>
      <c r="P180" s="22"/>
      <c r="R180" s="22"/>
      <c r="S180" s="27"/>
    </row>
    <row r="181" spans="1:19" s="20" customFormat="1" x14ac:dyDescent="0.25">
      <c r="A181" s="26"/>
      <c r="B181" s="21"/>
      <c r="C181" s="21"/>
      <c r="D181" s="22"/>
      <c r="H181" s="22"/>
      <c r="J181" s="22"/>
      <c r="K181" s="27"/>
      <c r="L181" s="22"/>
      <c r="N181" s="22"/>
      <c r="O181" s="27"/>
      <c r="P181" s="22"/>
      <c r="R181" s="22"/>
      <c r="S181" s="27"/>
    </row>
    <row r="182" spans="1:19" s="20" customFormat="1" x14ac:dyDescent="0.25">
      <c r="A182" s="26"/>
      <c r="B182" s="21"/>
      <c r="C182" s="21"/>
      <c r="D182" s="22"/>
      <c r="H182" s="22"/>
      <c r="J182" s="22"/>
      <c r="K182" s="27"/>
      <c r="L182" s="22"/>
      <c r="N182" s="22"/>
      <c r="O182" s="27"/>
      <c r="P182" s="22"/>
      <c r="R182" s="22"/>
      <c r="S182" s="27"/>
    </row>
    <row r="183" spans="1:19" s="20" customFormat="1" x14ac:dyDescent="0.25">
      <c r="A183" s="26"/>
      <c r="B183" s="21"/>
      <c r="C183" s="21"/>
      <c r="D183" s="22"/>
      <c r="H183" s="22"/>
      <c r="J183" s="22"/>
      <c r="K183" s="27"/>
      <c r="L183" s="22"/>
      <c r="N183" s="22"/>
      <c r="O183" s="27"/>
      <c r="P183" s="22"/>
      <c r="R183" s="22"/>
      <c r="S183" s="27"/>
    </row>
    <row r="184" spans="1:19" s="20" customFormat="1" x14ac:dyDescent="0.25">
      <c r="A184" s="26"/>
      <c r="B184" s="21"/>
      <c r="C184" s="21"/>
      <c r="D184" s="22"/>
      <c r="H184" s="22"/>
      <c r="J184" s="22"/>
      <c r="K184" s="27"/>
      <c r="L184" s="22"/>
      <c r="N184" s="22"/>
      <c r="O184" s="27"/>
      <c r="P184" s="22"/>
      <c r="R184" s="22"/>
      <c r="S184" s="27"/>
    </row>
    <row r="185" spans="1:19" s="20" customFormat="1" x14ac:dyDescent="0.25">
      <c r="A185" s="26"/>
      <c r="B185" s="21"/>
      <c r="C185" s="21"/>
      <c r="D185" s="22"/>
      <c r="H185" s="22"/>
      <c r="J185" s="22"/>
      <c r="K185" s="27"/>
      <c r="L185" s="22"/>
      <c r="N185" s="22"/>
      <c r="O185" s="27"/>
      <c r="P185" s="22"/>
      <c r="R185" s="22"/>
      <c r="S185" s="27"/>
    </row>
    <row r="186" spans="1:19" s="20" customFormat="1" x14ac:dyDescent="0.25">
      <c r="A186" s="26"/>
      <c r="B186" s="21"/>
      <c r="C186" s="21"/>
      <c r="D186" s="22"/>
      <c r="H186" s="22"/>
      <c r="J186" s="22"/>
      <c r="K186" s="27"/>
      <c r="L186" s="22"/>
      <c r="N186" s="22"/>
      <c r="O186" s="27"/>
      <c r="P186" s="22"/>
      <c r="R186" s="22"/>
      <c r="S186" s="27"/>
    </row>
    <row r="187" spans="1:19" s="20" customFormat="1" x14ac:dyDescent="0.25">
      <c r="A187" s="26"/>
      <c r="B187" s="21"/>
      <c r="C187" s="21"/>
      <c r="D187" s="22"/>
      <c r="H187" s="22"/>
      <c r="J187" s="22"/>
      <c r="K187" s="27"/>
      <c r="L187" s="22"/>
      <c r="N187" s="22"/>
      <c r="O187" s="27"/>
      <c r="P187" s="22"/>
      <c r="R187" s="22"/>
      <c r="S187" s="27"/>
    </row>
    <row r="188" spans="1:19" s="20" customFormat="1" x14ac:dyDescent="0.25">
      <c r="A188" s="26"/>
      <c r="B188" s="21"/>
      <c r="C188" s="21"/>
      <c r="D188" s="22"/>
      <c r="H188" s="22"/>
      <c r="J188" s="22"/>
      <c r="K188" s="27"/>
      <c r="L188" s="22"/>
      <c r="N188" s="22"/>
      <c r="O188" s="27"/>
      <c r="P188" s="22"/>
      <c r="R188" s="22"/>
      <c r="S188" s="27"/>
    </row>
    <row r="189" spans="1:19" s="20" customFormat="1" x14ac:dyDescent="0.25">
      <c r="A189" s="26"/>
      <c r="B189" s="21"/>
      <c r="C189" s="21"/>
      <c r="D189" s="22"/>
      <c r="H189" s="22"/>
      <c r="J189" s="22"/>
      <c r="K189" s="27"/>
      <c r="L189" s="22"/>
      <c r="N189" s="22"/>
      <c r="O189" s="27"/>
      <c r="P189" s="22"/>
      <c r="R189" s="22"/>
      <c r="S189" s="27"/>
    </row>
    <row r="190" spans="1:19" s="20" customFormat="1" x14ac:dyDescent="0.25">
      <c r="A190" s="26"/>
      <c r="B190" s="21"/>
      <c r="C190" s="21"/>
      <c r="D190" s="22"/>
      <c r="H190" s="22"/>
      <c r="J190" s="22"/>
      <c r="K190" s="27"/>
      <c r="L190" s="22"/>
      <c r="N190" s="22"/>
      <c r="O190" s="27"/>
      <c r="P190" s="22"/>
      <c r="R190" s="22"/>
      <c r="S190" s="27"/>
    </row>
    <row r="191" spans="1:19" s="20" customFormat="1" x14ac:dyDescent="0.25">
      <c r="A191" s="26"/>
      <c r="B191" s="21"/>
      <c r="C191" s="21"/>
      <c r="D191" s="22"/>
      <c r="H191" s="22"/>
      <c r="J191" s="22"/>
      <c r="K191" s="27"/>
      <c r="L191" s="22"/>
      <c r="N191" s="22"/>
      <c r="O191" s="27"/>
      <c r="P191" s="22"/>
      <c r="R191" s="22"/>
      <c r="S191" s="27"/>
    </row>
    <row r="192" spans="1:19" s="20" customFormat="1" x14ac:dyDescent="0.25">
      <c r="A192" s="26"/>
      <c r="B192" s="21"/>
      <c r="C192" s="21"/>
      <c r="D192" s="22"/>
      <c r="H192" s="22"/>
      <c r="J192" s="22"/>
      <c r="K192" s="27"/>
      <c r="L192" s="22"/>
      <c r="N192" s="22"/>
      <c r="O192" s="27"/>
      <c r="P192" s="22"/>
      <c r="R192" s="22"/>
      <c r="S192" s="27"/>
    </row>
    <row r="193" spans="1:19" s="20" customFormat="1" x14ac:dyDescent="0.25">
      <c r="A193" s="26"/>
      <c r="B193" s="21"/>
      <c r="C193" s="21"/>
      <c r="D193" s="22"/>
      <c r="H193" s="22"/>
      <c r="J193" s="22"/>
      <c r="K193" s="27"/>
      <c r="L193" s="22"/>
      <c r="N193" s="22"/>
      <c r="O193" s="27"/>
      <c r="P193" s="22"/>
      <c r="R193" s="22"/>
      <c r="S193" s="27"/>
    </row>
    <row r="194" spans="1:19" s="20" customFormat="1" x14ac:dyDescent="0.25">
      <c r="A194" s="26"/>
      <c r="B194" s="21"/>
      <c r="C194" s="21"/>
      <c r="D194" s="22"/>
      <c r="H194" s="22"/>
      <c r="J194" s="22"/>
      <c r="K194" s="27"/>
      <c r="L194" s="22"/>
      <c r="N194" s="22"/>
      <c r="O194" s="27"/>
      <c r="P194" s="22"/>
      <c r="R194" s="22"/>
      <c r="S194" s="27"/>
    </row>
    <row r="195" spans="1:19" s="20" customFormat="1" x14ac:dyDescent="0.25">
      <c r="A195" s="26"/>
      <c r="B195" s="21"/>
      <c r="C195" s="21"/>
      <c r="D195" s="22"/>
      <c r="H195" s="22"/>
      <c r="J195" s="22"/>
      <c r="K195" s="27"/>
      <c r="L195" s="22"/>
      <c r="N195" s="22"/>
      <c r="O195" s="27"/>
      <c r="P195" s="22"/>
      <c r="R195" s="22"/>
      <c r="S195" s="27"/>
    </row>
    <row r="196" spans="1:19" s="20" customFormat="1" x14ac:dyDescent="0.25">
      <c r="A196" s="26"/>
      <c r="B196" s="21"/>
      <c r="C196" s="21"/>
      <c r="D196" s="22"/>
      <c r="H196" s="22"/>
      <c r="J196" s="22"/>
      <c r="K196" s="27"/>
      <c r="L196" s="22"/>
      <c r="N196" s="22"/>
      <c r="O196" s="27"/>
      <c r="P196" s="22"/>
      <c r="R196" s="22"/>
      <c r="S196" s="27"/>
    </row>
    <row r="197" spans="1:19" s="20" customFormat="1" x14ac:dyDescent="0.25">
      <c r="A197" s="26"/>
      <c r="B197" s="21"/>
      <c r="C197" s="21"/>
      <c r="D197" s="22"/>
      <c r="H197" s="22"/>
      <c r="J197" s="22"/>
      <c r="K197" s="27"/>
      <c r="L197" s="22"/>
      <c r="N197" s="22"/>
      <c r="O197" s="27"/>
      <c r="P197" s="22"/>
      <c r="R197" s="22"/>
      <c r="S197" s="27"/>
    </row>
    <row r="198" spans="1:19" s="20" customFormat="1" x14ac:dyDescent="0.25">
      <c r="A198" s="26"/>
      <c r="B198" s="21"/>
      <c r="C198" s="21"/>
      <c r="D198" s="22"/>
      <c r="H198" s="22"/>
      <c r="J198" s="22"/>
      <c r="K198" s="27"/>
      <c r="L198" s="22"/>
      <c r="N198" s="22"/>
      <c r="O198" s="27"/>
      <c r="P198" s="22"/>
      <c r="R198" s="22"/>
      <c r="S198" s="27"/>
    </row>
    <row r="199" spans="1:19" s="20" customFormat="1" x14ac:dyDescent="0.25">
      <c r="A199" s="26"/>
      <c r="B199" s="21"/>
      <c r="C199" s="21"/>
      <c r="D199" s="22"/>
      <c r="H199" s="22"/>
      <c r="J199" s="22"/>
      <c r="K199" s="27"/>
      <c r="L199" s="22"/>
      <c r="N199" s="22"/>
      <c r="O199" s="27"/>
      <c r="P199" s="22"/>
      <c r="R199" s="22"/>
      <c r="S199" s="27"/>
    </row>
    <row r="200" spans="1:19" s="20" customFormat="1" x14ac:dyDescent="0.25">
      <c r="A200" s="26"/>
      <c r="B200" s="21"/>
      <c r="C200" s="21"/>
      <c r="D200" s="22"/>
      <c r="H200" s="22"/>
      <c r="J200" s="22"/>
      <c r="K200" s="27"/>
      <c r="L200" s="22"/>
      <c r="N200" s="22"/>
      <c r="O200" s="27"/>
      <c r="P200" s="22"/>
      <c r="R200" s="22"/>
      <c r="S200" s="27"/>
    </row>
    <row r="201" spans="1:19" s="20" customFormat="1" x14ac:dyDescent="0.25">
      <c r="A201" s="26"/>
      <c r="B201" s="21"/>
      <c r="C201" s="21"/>
      <c r="D201" s="22"/>
      <c r="H201" s="22"/>
      <c r="J201" s="22"/>
      <c r="K201" s="27"/>
      <c r="L201" s="22"/>
      <c r="N201" s="22"/>
      <c r="O201" s="27"/>
      <c r="P201" s="22"/>
      <c r="R201" s="22"/>
      <c r="S201" s="27"/>
    </row>
    <row r="202" spans="1:19" s="20" customFormat="1" x14ac:dyDescent="0.25">
      <c r="A202" s="26"/>
      <c r="B202" s="21"/>
      <c r="C202" s="21"/>
      <c r="D202" s="22"/>
      <c r="H202" s="22"/>
      <c r="J202" s="22"/>
      <c r="K202" s="27"/>
      <c r="L202" s="22"/>
      <c r="N202" s="22"/>
      <c r="O202" s="27"/>
      <c r="P202" s="22"/>
      <c r="R202" s="22"/>
      <c r="S202" s="27"/>
    </row>
    <row r="203" spans="1:19" s="20" customFormat="1" x14ac:dyDescent="0.25">
      <c r="A203" s="26"/>
      <c r="B203" s="21"/>
      <c r="C203" s="21"/>
      <c r="D203" s="22"/>
      <c r="H203" s="22"/>
      <c r="J203" s="22"/>
      <c r="K203" s="27"/>
      <c r="L203" s="22"/>
      <c r="N203" s="22"/>
      <c r="O203" s="27"/>
      <c r="P203" s="22"/>
      <c r="R203" s="22"/>
      <c r="S203" s="27"/>
    </row>
    <row r="204" spans="1:19" s="20" customFormat="1" x14ac:dyDescent="0.25">
      <c r="A204" s="26"/>
      <c r="B204" s="21"/>
      <c r="C204" s="21"/>
      <c r="D204" s="22"/>
      <c r="H204" s="22"/>
      <c r="J204" s="22"/>
      <c r="K204" s="27"/>
      <c r="L204" s="22"/>
      <c r="N204" s="22"/>
      <c r="O204" s="27"/>
      <c r="P204" s="22"/>
      <c r="R204" s="22"/>
      <c r="S204" s="27"/>
    </row>
    <row r="205" spans="1:19" s="20" customFormat="1" x14ac:dyDescent="0.25">
      <c r="A205" s="26"/>
      <c r="B205" s="21"/>
      <c r="C205" s="21"/>
      <c r="D205" s="22"/>
      <c r="H205" s="22"/>
      <c r="J205" s="22"/>
      <c r="K205" s="27"/>
      <c r="L205" s="22"/>
      <c r="N205" s="22"/>
      <c r="O205" s="27"/>
      <c r="P205" s="22"/>
      <c r="R205" s="22"/>
      <c r="S205" s="27"/>
    </row>
    <row r="206" spans="1:19" s="20" customFormat="1" x14ac:dyDescent="0.25">
      <c r="A206" s="26"/>
      <c r="B206" s="21"/>
      <c r="C206" s="21"/>
      <c r="D206" s="22"/>
      <c r="H206" s="22"/>
      <c r="J206" s="22"/>
      <c r="K206" s="27"/>
      <c r="L206" s="22"/>
      <c r="N206" s="22"/>
      <c r="O206" s="27"/>
      <c r="P206" s="22"/>
      <c r="R206" s="22"/>
      <c r="S206" s="27"/>
    </row>
    <row r="207" spans="1:19" s="20" customFormat="1" x14ac:dyDescent="0.25">
      <c r="A207" s="26"/>
      <c r="B207" s="21"/>
      <c r="C207" s="21"/>
      <c r="D207" s="22"/>
      <c r="H207" s="22"/>
      <c r="J207" s="22"/>
      <c r="K207" s="27"/>
      <c r="L207" s="22"/>
      <c r="N207" s="22"/>
      <c r="O207" s="27"/>
      <c r="P207" s="22"/>
      <c r="R207" s="22"/>
      <c r="S207" s="27"/>
    </row>
    <row r="208" spans="1:19" s="20" customFormat="1" x14ac:dyDescent="0.25">
      <c r="A208" s="26"/>
      <c r="B208" s="21"/>
      <c r="C208" s="21"/>
      <c r="D208" s="22"/>
      <c r="H208" s="22"/>
      <c r="J208" s="22"/>
      <c r="K208" s="27"/>
      <c r="L208" s="22"/>
      <c r="N208" s="22"/>
      <c r="O208" s="27"/>
      <c r="P208" s="22"/>
      <c r="R208" s="22"/>
      <c r="S208" s="27"/>
    </row>
    <row r="209" spans="1:19" s="20" customFormat="1" x14ac:dyDescent="0.25">
      <c r="A209" s="26"/>
      <c r="B209" s="21"/>
      <c r="C209" s="21"/>
      <c r="D209" s="22"/>
      <c r="H209" s="22"/>
      <c r="J209" s="22"/>
      <c r="K209" s="27"/>
      <c r="L209" s="22"/>
      <c r="N209" s="22"/>
      <c r="O209" s="27"/>
      <c r="P209" s="22"/>
      <c r="R209" s="22"/>
      <c r="S209" s="27"/>
    </row>
    <row r="210" spans="1:19" s="20" customFormat="1" x14ac:dyDescent="0.25">
      <c r="A210" s="26"/>
      <c r="B210" s="21"/>
      <c r="C210" s="21"/>
      <c r="D210" s="22"/>
      <c r="H210" s="22"/>
      <c r="J210" s="22"/>
      <c r="K210" s="27"/>
      <c r="L210" s="22"/>
      <c r="N210" s="22"/>
      <c r="O210" s="27"/>
      <c r="P210" s="22"/>
      <c r="R210" s="22"/>
      <c r="S210" s="27"/>
    </row>
    <row r="211" spans="1:19" s="20" customFormat="1" x14ac:dyDescent="0.25">
      <c r="A211" s="26"/>
      <c r="B211" s="21"/>
      <c r="C211" s="21"/>
      <c r="D211" s="22"/>
      <c r="H211" s="22"/>
      <c r="J211" s="22"/>
      <c r="K211" s="27"/>
      <c r="L211" s="22"/>
      <c r="N211" s="22"/>
      <c r="O211" s="27"/>
      <c r="P211" s="22"/>
      <c r="R211" s="22"/>
      <c r="S211" s="27"/>
    </row>
    <row r="212" spans="1:19" s="20" customFormat="1" x14ac:dyDescent="0.25">
      <c r="A212" s="26"/>
      <c r="B212" s="21"/>
      <c r="C212" s="21"/>
      <c r="D212" s="22"/>
      <c r="H212" s="22"/>
      <c r="J212" s="22"/>
      <c r="K212" s="27"/>
      <c r="L212" s="22"/>
      <c r="N212" s="22"/>
      <c r="O212" s="27"/>
      <c r="P212" s="22"/>
      <c r="R212" s="22"/>
      <c r="S212" s="27"/>
    </row>
    <row r="213" spans="1:19" s="20" customFormat="1" x14ac:dyDescent="0.25">
      <c r="A213" s="26"/>
      <c r="B213" s="21"/>
      <c r="C213" s="21"/>
      <c r="D213" s="22"/>
      <c r="H213" s="22"/>
      <c r="J213" s="22"/>
      <c r="K213" s="27"/>
      <c r="L213" s="22"/>
      <c r="N213" s="22"/>
      <c r="O213" s="27"/>
      <c r="P213" s="22"/>
      <c r="R213" s="22"/>
      <c r="S213" s="27"/>
    </row>
    <row r="214" spans="1:19" s="20" customFormat="1" x14ac:dyDescent="0.25">
      <c r="A214" s="26"/>
      <c r="B214" s="21"/>
      <c r="C214" s="21"/>
      <c r="D214" s="22"/>
      <c r="H214" s="22"/>
      <c r="J214" s="22"/>
      <c r="K214" s="27"/>
      <c r="L214" s="22"/>
      <c r="N214" s="22"/>
      <c r="O214" s="27"/>
      <c r="P214" s="22"/>
      <c r="R214" s="22"/>
      <c r="S214" s="27"/>
    </row>
    <row r="215" spans="1:19" s="20" customFormat="1" x14ac:dyDescent="0.25">
      <c r="A215" s="26"/>
      <c r="B215" s="21"/>
      <c r="C215" s="21"/>
      <c r="D215" s="22"/>
      <c r="H215" s="22"/>
      <c r="J215" s="22"/>
      <c r="K215" s="27"/>
      <c r="L215" s="22"/>
      <c r="N215" s="22"/>
      <c r="O215" s="27"/>
      <c r="P215" s="22"/>
      <c r="R215" s="22"/>
      <c r="S215" s="27"/>
    </row>
    <row r="216" spans="1:19" s="20" customFormat="1" x14ac:dyDescent="0.25">
      <c r="A216" s="26"/>
      <c r="B216" s="21"/>
      <c r="C216" s="21"/>
      <c r="D216" s="22"/>
      <c r="H216" s="22"/>
      <c r="J216" s="22"/>
      <c r="K216" s="27"/>
      <c r="L216" s="22"/>
      <c r="N216" s="22"/>
      <c r="O216" s="27"/>
      <c r="P216" s="22"/>
      <c r="R216" s="22"/>
      <c r="S216" s="27"/>
    </row>
    <row r="217" spans="1:19" s="20" customFormat="1" x14ac:dyDescent="0.25">
      <c r="A217" s="26"/>
      <c r="B217" s="21"/>
      <c r="C217" s="21"/>
      <c r="D217" s="22"/>
      <c r="H217" s="22"/>
      <c r="J217" s="22"/>
      <c r="K217" s="27"/>
      <c r="L217" s="22"/>
      <c r="N217" s="22"/>
      <c r="O217" s="27"/>
      <c r="P217" s="22"/>
      <c r="R217" s="22"/>
      <c r="S217" s="27"/>
    </row>
    <row r="218" spans="1:19" s="20" customFormat="1" x14ac:dyDescent="0.25">
      <c r="A218" s="26"/>
      <c r="B218" s="21"/>
      <c r="C218" s="21"/>
      <c r="D218" s="22"/>
      <c r="H218" s="22"/>
      <c r="J218" s="22"/>
      <c r="K218" s="27"/>
      <c r="L218" s="22"/>
      <c r="N218" s="22"/>
      <c r="O218" s="27"/>
      <c r="P218" s="22"/>
      <c r="R218" s="22"/>
      <c r="S218" s="27"/>
    </row>
    <row r="219" spans="1:19" s="20" customFormat="1" x14ac:dyDescent="0.25">
      <c r="A219" s="26"/>
      <c r="B219" s="21"/>
      <c r="C219" s="21"/>
      <c r="D219" s="22"/>
      <c r="H219" s="22"/>
      <c r="J219" s="22"/>
      <c r="K219" s="27"/>
      <c r="L219" s="22"/>
      <c r="N219" s="22"/>
      <c r="O219" s="27"/>
      <c r="P219" s="22"/>
      <c r="R219" s="22"/>
      <c r="S219" s="27"/>
    </row>
    <row r="220" spans="1:19" s="20" customFormat="1" x14ac:dyDescent="0.25">
      <c r="A220" s="26"/>
      <c r="B220" s="21"/>
      <c r="C220" s="21"/>
      <c r="D220" s="22"/>
      <c r="H220" s="22"/>
      <c r="J220" s="22"/>
      <c r="K220" s="27"/>
      <c r="L220" s="22"/>
      <c r="N220" s="22"/>
      <c r="O220" s="27"/>
      <c r="P220" s="22"/>
      <c r="R220" s="22"/>
      <c r="S220" s="27"/>
    </row>
    <row r="221" spans="1:19" s="20" customFormat="1" x14ac:dyDescent="0.25">
      <c r="A221" s="26"/>
      <c r="B221" s="21"/>
      <c r="C221" s="21"/>
      <c r="D221" s="22"/>
      <c r="H221" s="22"/>
      <c r="J221" s="22"/>
      <c r="K221" s="27"/>
      <c r="L221" s="22"/>
      <c r="N221" s="22"/>
      <c r="O221" s="27"/>
      <c r="P221" s="22"/>
      <c r="R221" s="22"/>
      <c r="S221" s="27"/>
    </row>
    <row r="222" spans="1:19" s="20" customFormat="1" x14ac:dyDescent="0.25">
      <c r="A222" s="26"/>
      <c r="B222" s="21"/>
      <c r="C222" s="21"/>
      <c r="D222" s="22"/>
      <c r="H222" s="22"/>
      <c r="J222" s="22"/>
      <c r="K222" s="27"/>
      <c r="L222" s="22"/>
      <c r="N222" s="22"/>
      <c r="O222" s="27"/>
      <c r="P222" s="22"/>
      <c r="R222" s="22"/>
      <c r="S222" s="27"/>
    </row>
    <row r="223" spans="1:19" s="20" customFormat="1" x14ac:dyDescent="0.25">
      <c r="A223" s="26"/>
      <c r="B223" s="21"/>
      <c r="C223" s="21"/>
      <c r="D223" s="22"/>
      <c r="H223" s="22"/>
      <c r="J223" s="22"/>
      <c r="K223" s="27"/>
      <c r="L223" s="22"/>
      <c r="N223" s="22"/>
      <c r="O223" s="27"/>
      <c r="P223" s="22"/>
      <c r="R223" s="22"/>
      <c r="S223" s="27"/>
    </row>
    <row r="224" spans="1:19" s="20" customFormat="1" x14ac:dyDescent="0.25">
      <c r="A224" s="26"/>
      <c r="B224" s="21"/>
      <c r="C224" s="21"/>
      <c r="D224" s="22"/>
      <c r="H224" s="22"/>
      <c r="J224" s="22"/>
      <c r="K224" s="27"/>
      <c r="L224" s="22"/>
      <c r="N224" s="22"/>
      <c r="O224" s="27"/>
      <c r="P224" s="22"/>
      <c r="R224" s="22"/>
      <c r="S224" s="27"/>
    </row>
    <row r="225" spans="1:19" s="20" customFormat="1" x14ac:dyDescent="0.25">
      <c r="A225" s="26"/>
      <c r="B225" s="21"/>
      <c r="C225" s="21"/>
      <c r="D225" s="22"/>
      <c r="H225" s="22"/>
      <c r="J225" s="22"/>
      <c r="K225" s="27"/>
      <c r="L225" s="22"/>
      <c r="N225" s="22"/>
      <c r="O225" s="27"/>
      <c r="P225" s="22"/>
      <c r="R225" s="22"/>
      <c r="S225" s="27"/>
    </row>
    <row r="226" spans="1:19" s="20" customFormat="1" x14ac:dyDescent="0.25">
      <c r="A226" s="26"/>
      <c r="B226" s="21"/>
      <c r="C226" s="21"/>
      <c r="D226" s="22"/>
      <c r="H226" s="22"/>
      <c r="J226" s="22"/>
      <c r="K226" s="27"/>
      <c r="L226" s="22"/>
      <c r="N226" s="22"/>
      <c r="O226" s="27"/>
      <c r="P226" s="22"/>
      <c r="R226" s="22"/>
      <c r="S226" s="27"/>
    </row>
    <row r="227" spans="1:19" s="20" customFormat="1" x14ac:dyDescent="0.25">
      <c r="A227" s="26"/>
      <c r="B227" s="21"/>
      <c r="C227" s="21"/>
      <c r="D227" s="22"/>
      <c r="H227" s="22"/>
      <c r="J227" s="22"/>
      <c r="K227" s="27"/>
      <c r="L227" s="22"/>
      <c r="N227" s="22"/>
      <c r="O227" s="27"/>
      <c r="P227" s="22"/>
      <c r="R227" s="22"/>
      <c r="S227" s="27"/>
    </row>
    <row r="228" spans="1:19" s="20" customFormat="1" x14ac:dyDescent="0.25">
      <c r="A228" s="26"/>
      <c r="B228" s="21"/>
      <c r="C228" s="21"/>
      <c r="D228" s="22"/>
      <c r="H228" s="22"/>
      <c r="J228" s="22"/>
      <c r="K228" s="27"/>
      <c r="L228" s="22"/>
      <c r="N228" s="22"/>
      <c r="O228" s="27"/>
      <c r="P228" s="22"/>
      <c r="R228" s="22"/>
      <c r="S228" s="27"/>
    </row>
    <row r="229" spans="1:19" s="20" customFormat="1" x14ac:dyDescent="0.25">
      <c r="A229" s="26"/>
      <c r="B229" s="21"/>
      <c r="C229" s="21"/>
      <c r="D229" s="22"/>
      <c r="H229" s="22"/>
      <c r="J229" s="22"/>
      <c r="K229" s="27"/>
      <c r="L229" s="22"/>
      <c r="N229" s="22"/>
      <c r="O229" s="27"/>
      <c r="P229" s="22"/>
      <c r="R229" s="22"/>
      <c r="S229" s="27"/>
    </row>
    <row r="230" spans="1:19" s="20" customFormat="1" x14ac:dyDescent="0.25">
      <c r="A230" s="26"/>
      <c r="B230" s="21"/>
      <c r="C230" s="21"/>
      <c r="D230" s="22"/>
      <c r="H230" s="22"/>
      <c r="J230" s="22"/>
      <c r="K230" s="27"/>
      <c r="L230" s="22"/>
      <c r="N230" s="22"/>
      <c r="O230" s="27"/>
      <c r="P230" s="22"/>
      <c r="R230" s="22"/>
      <c r="S230" s="27"/>
    </row>
    <row r="231" spans="1:19" s="20" customFormat="1" x14ac:dyDescent="0.25">
      <c r="A231" s="26"/>
      <c r="B231" s="21"/>
      <c r="C231" s="21"/>
      <c r="D231" s="22"/>
      <c r="H231" s="22"/>
      <c r="J231" s="22"/>
      <c r="K231" s="27"/>
      <c r="L231" s="22"/>
      <c r="N231" s="22"/>
      <c r="O231" s="27"/>
      <c r="P231" s="22"/>
      <c r="R231" s="22"/>
      <c r="S231" s="27"/>
    </row>
    <row r="232" spans="1:19" s="20" customFormat="1" x14ac:dyDescent="0.25">
      <c r="A232" s="26"/>
      <c r="B232" s="21"/>
      <c r="C232" s="21"/>
      <c r="D232" s="22"/>
      <c r="H232" s="22"/>
      <c r="J232" s="22"/>
      <c r="K232" s="27"/>
      <c r="L232" s="22"/>
      <c r="N232" s="22"/>
      <c r="O232" s="27"/>
      <c r="P232" s="22"/>
      <c r="R232" s="22"/>
      <c r="S232" s="27"/>
    </row>
    <row r="233" spans="1:19" s="20" customFormat="1" x14ac:dyDescent="0.25">
      <c r="A233" s="26"/>
      <c r="B233" s="21"/>
      <c r="C233" s="21"/>
      <c r="D233" s="22"/>
      <c r="H233" s="22"/>
      <c r="J233" s="22"/>
      <c r="K233" s="27"/>
      <c r="L233" s="22"/>
      <c r="N233" s="22"/>
      <c r="O233" s="27"/>
      <c r="P233" s="22"/>
      <c r="R233" s="22"/>
      <c r="S233" s="27"/>
    </row>
    <row r="234" spans="1:19" s="20" customFormat="1" x14ac:dyDescent="0.25">
      <c r="A234" s="26"/>
      <c r="B234" s="21"/>
      <c r="C234" s="21"/>
      <c r="D234" s="22"/>
      <c r="H234" s="22"/>
      <c r="J234" s="22"/>
      <c r="K234" s="27"/>
      <c r="L234" s="22"/>
      <c r="N234" s="22"/>
      <c r="O234" s="27"/>
      <c r="P234" s="22"/>
      <c r="R234" s="22"/>
      <c r="S234" s="27"/>
    </row>
    <row r="235" spans="1:19" s="20" customFormat="1" x14ac:dyDescent="0.25">
      <c r="A235" s="26"/>
      <c r="B235" s="21"/>
      <c r="C235" s="21"/>
      <c r="D235" s="22"/>
      <c r="H235" s="22"/>
      <c r="J235" s="22"/>
      <c r="K235" s="27"/>
      <c r="L235" s="22"/>
      <c r="N235" s="22"/>
      <c r="O235" s="27"/>
      <c r="P235" s="22"/>
      <c r="R235" s="22"/>
      <c r="S235" s="27"/>
    </row>
    <row r="236" spans="1:19" s="20" customFormat="1" x14ac:dyDescent="0.25">
      <c r="A236" s="26"/>
      <c r="B236" s="21"/>
      <c r="C236" s="21"/>
      <c r="D236" s="22"/>
      <c r="H236" s="22"/>
      <c r="J236" s="22"/>
      <c r="K236" s="27"/>
      <c r="L236" s="22"/>
      <c r="N236" s="22"/>
      <c r="O236" s="27"/>
      <c r="P236" s="22"/>
      <c r="R236" s="22"/>
      <c r="S236" s="27"/>
    </row>
    <row r="237" spans="1:19" s="20" customFormat="1" x14ac:dyDescent="0.25">
      <c r="A237" s="26"/>
      <c r="B237" s="21"/>
      <c r="C237" s="21"/>
      <c r="D237" s="22"/>
      <c r="H237" s="22"/>
      <c r="J237" s="22"/>
      <c r="K237" s="27"/>
      <c r="L237" s="22"/>
      <c r="N237" s="22"/>
      <c r="O237" s="27"/>
      <c r="P237" s="22"/>
      <c r="R237" s="22"/>
      <c r="S237" s="27"/>
    </row>
    <row r="238" spans="1:19" s="20" customFormat="1" x14ac:dyDescent="0.25">
      <c r="A238" s="26"/>
      <c r="B238" s="21"/>
      <c r="C238" s="21"/>
      <c r="D238" s="22"/>
      <c r="H238" s="22"/>
      <c r="J238" s="22"/>
      <c r="K238" s="27"/>
      <c r="L238" s="22"/>
      <c r="N238" s="22"/>
      <c r="O238" s="27"/>
      <c r="P238" s="22"/>
      <c r="R238" s="22"/>
      <c r="S238" s="27"/>
    </row>
    <row r="239" spans="1:19" s="20" customFormat="1" x14ac:dyDescent="0.25">
      <c r="A239" s="26"/>
      <c r="B239" s="21"/>
      <c r="C239" s="21"/>
      <c r="D239" s="22"/>
      <c r="H239" s="22"/>
      <c r="J239" s="22"/>
      <c r="K239" s="27"/>
      <c r="L239" s="22"/>
      <c r="N239" s="22"/>
      <c r="O239" s="27"/>
      <c r="P239" s="22"/>
      <c r="R239" s="22"/>
      <c r="S239" s="27"/>
    </row>
    <row r="240" spans="1:19" s="20" customFormat="1" x14ac:dyDescent="0.25">
      <c r="A240" s="26"/>
      <c r="B240" s="21"/>
      <c r="C240" s="21"/>
      <c r="D240" s="22"/>
      <c r="H240" s="22"/>
      <c r="J240" s="22"/>
      <c r="K240" s="27"/>
      <c r="L240" s="22"/>
      <c r="N240" s="22"/>
      <c r="O240" s="27"/>
      <c r="P240" s="22"/>
      <c r="R240" s="22"/>
      <c r="S240" s="27"/>
    </row>
    <row r="241" spans="1:19" s="20" customFormat="1" x14ac:dyDescent="0.25">
      <c r="A241" s="26"/>
      <c r="B241" s="21"/>
      <c r="C241" s="21"/>
      <c r="D241" s="22"/>
      <c r="H241" s="22"/>
      <c r="J241" s="22"/>
      <c r="K241" s="27"/>
      <c r="L241" s="22"/>
      <c r="N241" s="22"/>
      <c r="O241" s="27"/>
      <c r="P241" s="22"/>
      <c r="R241" s="22"/>
      <c r="S241" s="27"/>
    </row>
    <row r="242" spans="1:19" s="20" customFormat="1" x14ac:dyDescent="0.25">
      <c r="A242" s="26"/>
      <c r="B242" s="21"/>
      <c r="C242" s="21"/>
      <c r="D242" s="22"/>
      <c r="H242" s="22"/>
      <c r="J242" s="22"/>
      <c r="K242" s="27"/>
      <c r="L242" s="22"/>
      <c r="N242" s="22"/>
      <c r="O242" s="27"/>
      <c r="P242" s="22"/>
      <c r="R242" s="22"/>
      <c r="S242" s="27"/>
    </row>
    <row r="243" spans="1:19" s="20" customFormat="1" x14ac:dyDescent="0.25">
      <c r="A243" s="26"/>
      <c r="B243" s="21"/>
      <c r="C243" s="21"/>
      <c r="D243" s="22"/>
      <c r="H243" s="22"/>
      <c r="J243" s="22"/>
      <c r="K243" s="27"/>
      <c r="L243" s="22"/>
      <c r="N243" s="22"/>
      <c r="O243" s="27"/>
      <c r="P243" s="22"/>
      <c r="R243" s="22"/>
      <c r="S243" s="27"/>
    </row>
    <row r="244" spans="1:19" s="20" customFormat="1" x14ac:dyDescent="0.25">
      <c r="A244" s="26"/>
      <c r="B244" s="21"/>
      <c r="C244" s="21"/>
      <c r="D244" s="22"/>
      <c r="H244" s="22"/>
      <c r="J244" s="22"/>
      <c r="K244" s="27"/>
      <c r="L244" s="22"/>
      <c r="N244" s="22"/>
      <c r="O244" s="27"/>
      <c r="P244" s="22"/>
      <c r="R244" s="22"/>
      <c r="S244" s="27"/>
    </row>
    <row r="245" spans="1:19" s="20" customFormat="1" x14ac:dyDescent="0.25">
      <c r="A245" s="26"/>
      <c r="B245" s="21"/>
      <c r="C245" s="21"/>
      <c r="D245" s="22"/>
      <c r="H245" s="22"/>
      <c r="J245" s="22"/>
      <c r="K245" s="27"/>
      <c r="L245" s="22"/>
      <c r="N245" s="22"/>
      <c r="O245" s="27"/>
      <c r="P245" s="22"/>
      <c r="R245" s="22"/>
      <c r="S245" s="27"/>
    </row>
    <row r="246" spans="1:19" s="20" customFormat="1" x14ac:dyDescent="0.25">
      <c r="A246" s="26"/>
      <c r="B246" s="21"/>
      <c r="C246" s="21"/>
      <c r="D246" s="22"/>
      <c r="H246" s="22"/>
      <c r="J246" s="22"/>
      <c r="K246" s="27"/>
      <c r="L246" s="22"/>
      <c r="N246" s="22"/>
      <c r="O246" s="27"/>
      <c r="P246" s="22"/>
      <c r="R246" s="22"/>
      <c r="S246" s="27"/>
    </row>
    <row r="247" spans="1:19" s="20" customFormat="1" x14ac:dyDescent="0.25">
      <c r="A247" s="26"/>
      <c r="B247" s="21"/>
      <c r="C247" s="21"/>
      <c r="D247" s="22"/>
      <c r="H247" s="22"/>
      <c r="J247" s="22"/>
      <c r="K247" s="27"/>
      <c r="L247" s="22"/>
      <c r="N247" s="22"/>
      <c r="O247" s="27"/>
      <c r="P247" s="22"/>
      <c r="R247" s="22"/>
      <c r="S247" s="27"/>
    </row>
    <row r="248" spans="1:19" s="20" customFormat="1" x14ac:dyDescent="0.25">
      <c r="A248" s="26"/>
      <c r="B248" s="21"/>
      <c r="C248" s="21"/>
      <c r="D248" s="22"/>
      <c r="H248" s="22"/>
      <c r="J248" s="22"/>
      <c r="K248" s="27"/>
      <c r="L248" s="22"/>
      <c r="N248" s="22"/>
      <c r="O248" s="27"/>
      <c r="P248" s="22"/>
      <c r="R248" s="22"/>
      <c r="S248" s="27"/>
    </row>
    <row r="249" spans="1:19" s="20" customFormat="1" x14ac:dyDescent="0.25">
      <c r="A249" s="26"/>
      <c r="B249" s="21"/>
      <c r="C249" s="21"/>
      <c r="D249" s="22"/>
      <c r="H249" s="22"/>
      <c r="J249" s="22"/>
      <c r="K249" s="27"/>
      <c r="L249" s="22"/>
      <c r="N249" s="22"/>
      <c r="O249" s="27"/>
      <c r="P249" s="22"/>
      <c r="R249" s="22"/>
      <c r="S249" s="27"/>
    </row>
    <row r="250" spans="1:19" s="20" customFormat="1" x14ac:dyDescent="0.25">
      <c r="A250" s="26"/>
      <c r="B250" s="21"/>
      <c r="C250" s="21"/>
      <c r="D250" s="22"/>
      <c r="H250" s="22"/>
      <c r="J250" s="22"/>
      <c r="K250" s="27"/>
      <c r="L250" s="22"/>
      <c r="N250" s="22"/>
      <c r="O250" s="27"/>
      <c r="P250" s="22"/>
      <c r="R250" s="22"/>
      <c r="S250" s="27"/>
    </row>
    <row r="251" spans="1:19" s="20" customFormat="1" x14ac:dyDescent="0.25">
      <c r="A251" s="26"/>
      <c r="B251" s="21"/>
      <c r="C251" s="21"/>
      <c r="D251" s="22"/>
      <c r="H251" s="22"/>
      <c r="J251" s="22"/>
      <c r="K251" s="27"/>
      <c r="L251" s="22"/>
      <c r="N251" s="22"/>
      <c r="O251" s="27"/>
      <c r="P251" s="22"/>
      <c r="R251" s="22"/>
      <c r="S251" s="27"/>
    </row>
    <row r="252" spans="1:19" s="20" customFormat="1" x14ac:dyDescent="0.25">
      <c r="A252" s="26"/>
      <c r="B252" s="21"/>
      <c r="C252" s="21"/>
      <c r="D252" s="22"/>
      <c r="H252" s="22"/>
      <c r="J252" s="22"/>
      <c r="K252" s="27"/>
      <c r="L252" s="22"/>
      <c r="N252" s="22"/>
      <c r="O252" s="27"/>
      <c r="P252" s="22"/>
      <c r="R252" s="22"/>
      <c r="S252" s="27"/>
    </row>
    <row r="253" spans="1:19" s="20" customFormat="1" x14ac:dyDescent="0.25">
      <c r="A253" s="26"/>
      <c r="B253" s="21"/>
      <c r="C253" s="21"/>
      <c r="D253" s="22"/>
      <c r="H253" s="22"/>
      <c r="J253" s="22"/>
      <c r="K253" s="27"/>
      <c r="L253" s="22"/>
      <c r="N253" s="22"/>
      <c r="O253" s="27"/>
      <c r="P253" s="22"/>
      <c r="R253" s="22"/>
      <c r="S253" s="27"/>
    </row>
    <row r="254" spans="1:19" s="20" customFormat="1" x14ac:dyDescent="0.25">
      <c r="A254" s="26"/>
      <c r="B254" s="21"/>
      <c r="C254" s="21"/>
      <c r="D254" s="22"/>
      <c r="H254" s="22"/>
      <c r="J254" s="22"/>
      <c r="K254" s="27"/>
      <c r="L254" s="22"/>
      <c r="N254" s="22"/>
      <c r="O254" s="27"/>
      <c r="P254" s="22"/>
      <c r="R254" s="22"/>
      <c r="S254" s="27"/>
    </row>
    <row r="255" spans="1:19" s="20" customFormat="1" x14ac:dyDescent="0.25">
      <c r="A255" s="26"/>
      <c r="B255" s="21"/>
      <c r="C255" s="21"/>
      <c r="D255" s="22"/>
      <c r="H255" s="22"/>
      <c r="J255" s="22"/>
      <c r="K255" s="27"/>
      <c r="L255" s="22"/>
      <c r="N255" s="22"/>
      <c r="O255" s="27"/>
      <c r="P255" s="22"/>
      <c r="R255" s="22"/>
      <c r="S255" s="27"/>
    </row>
    <row r="256" spans="1:19" s="20" customFormat="1" x14ac:dyDescent="0.25">
      <c r="A256" s="26"/>
      <c r="B256" s="21"/>
      <c r="C256" s="21"/>
      <c r="D256" s="22"/>
      <c r="H256" s="22"/>
      <c r="J256" s="22"/>
      <c r="K256" s="27"/>
      <c r="L256" s="22"/>
      <c r="N256" s="22"/>
      <c r="O256" s="27"/>
      <c r="P256" s="22"/>
      <c r="R256" s="22"/>
      <c r="S256" s="27"/>
    </row>
    <row r="257" spans="1:19" s="20" customFormat="1" x14ac:dyDescent="0.25">
      <c r="A257" s="26"/>
      <c r="B257" s="21"/>
      <c r="C257" s="21"/>
      <c r="D257" s="22"/>
      <c r="H257" s="22"/>
      <c r="J257" s="22"/>
      <c r="K257" s="27"/>
      <c r="L257" s="22"/>
      <c r="N257" s="22"/>
      <c r="O257" s="27"/>
      <c r="P257" s="22"/>
      <c r="R257" s="22"/>
      <c r="S257" s="27"/>
    </row>
    <row r="258" spans="1:19" s="20" customFormat="1" x14ac:dyDescent="0.25">
      <c r="A258" s="26"/>
      <c r="B258" s="21"/>
      <c r="C258" s="21"/>
      <c r="D258" s="22"/>
      <c r="H258" s="22"/>
      <c r="J258" s="22"/>
      <c r="K258" s="27"/>
      <c r="L258" s="22"/>
      <c r="N258" s="22"/>
      <c r="O258" s="27"/>
      <c r="P258" s="22"/>
      <c r="R258" s="22"/>
      <c r="S258" s="27"/>
    </row>
    <row r="259" spans="1:19" s="20" customFormat="1" x14ac:dyDescent="0.25">
      <c r="A259" s="26"/>
      <c r="B259" s="21"/>
      <c r="C259" s="21"/>
      <c r="D259" s="22"/>
      <c r="H259" s="22"/>
      <c r="J259" s="22"/>
      <c r="K259" s="27"/>
      <c r="L259" s="22"/>
      <c r="N259" s="22"/>
      <c r="O259" s="27"/>
      <c r="P259" s="22"/>
      <c r="R259" s="22"/>
      <c r="S259" s="27"/>
    </row>
    <row r="260" spans="1:19" s="20" customFormat="1" x14ac:dyDescent="0.25">
      <c r="A260" s="26"/>
      <c r="B260" s="21"/>
      <c r="C260" s="21"/>
      <c r="D260" s="22"/>
      <c r="H260" s="22"/>
      <c r="J260" s="22"/>
      <c r="K260" s="27"/>
      <c r="L260" s="22"/>
      <c r="N260" s="22"/>
      <c r="O260" s="27"/>
      <c r="P260" s="22"/>
      <c r="R260" s="22"/>
      <c r="S260" s="27"/>
    </row>
    <row r="261" spans="1:19" s="20" customFormat="1" x14ac:dyDescent="0.25">
      <c r="A261" s="26"/>
      <c r="B261" s="21"/>
      <c r="C261" s="21"/>
      <c r="D261" s="22"/>
      <c r="H261" s="22"/>
      <c r="J261" s="22"/>
      <c r="K261" s="27"/>
      <c r="L261" s="22"/>
      <c r="N261" s="22"/>
      <c r="O261" s="27"/>
      <c r="P261" s="22"/>
      <c r="R261" s="22"/>
      <c r="S261" s="27"/>
    </row>
    <row r="262" spans="1:19" s="20" customFormat="1" x14ac:dyDescent="0.25">
      <c r="A262" s="26"/>
      <c r="B262" s="21"/>
      <c r="C262" s="21"/>
      <c r="D262" s="22"/>
      <c r="H262" s="22"/>
      <c r="J262" s="22"/>
      <c r="K262" s="27"/>
      <c r="L262" s="22"/>
      <c r="N262" s="22"/>
      <c r="O262" s="27"/>
      <c r="P262" s="22"/>
      <c r="R262" s="22"/>
      <c r="S262" s="27"/>
    </row>
    <row r="263" spans="1:19" s="20" customFormat="1" x14ac:dyDescent="0.25">
      <c r="A263" s="26"/>
      <c r="B263" s="21"/>
      <c r="C263" s="21"/>
      <c r="D263" s="22"/>
      <c r="H263" s="22"/>
      <c r="J263" s="22"/>
      <c r="K263" s="27"/>
      <c r="L263" s="22"/>
      <c r="N263" s="22"/>
      <c r="O263" s="27"/>
      <c r="P263" s="22"/>
      <c r="R263" s="22"/>
      <c r="S263" s="27"/>
    </row>
    <row r="264" spans="1:19" s="20" customFormat="1" x14ac:dyDescent="0.25">
      <c r="A264" s="26"/>
      <c r="B264" s="21"/>
      <c r="C264" s="21"/>
      <c r="D264" s="22"/>
      <c r="H264" s="22"/>
      <c r="J264" s="22"/>
      <c r="K264" s="27"/>
      <c r="L264" s="22"/>
      <c r="N264" s="22"/>
      <c r="O264" s="27"/>
      <c r="P264" s="22"/>
      <c r="R264" s="22"/>
      <c r="S264" s="27"/>
    </row>
    <row r="265" spans="1:19" s="20" customFormat="1" x14ac:dyDescent="0.25">
      <c r="A265" s="26"/>
      <c r="B265" s="21"/>
      <c r="C265" s="21"/>
      <c r="D265" s="22"/>
      <c r="H265" s="22"/>
      <c r="J265" s="22"/>
      <c r="K265" s="27"/>
      <c r="L265" s="22"/>
      <c r="N265" s="22"/>
      <c r="O265" s="27"/>
      <c r="P265" s="22"/>
      <c r="R265" s="22"/>
      <c r="S265" s="27"/>
    </row>
    <row r="266" spans="1:19" s="20" customFormat="1" x14ac:dyDescent="0.25">
      <c r="A266" s="26"/>
      <c r="B266" s="21"/>
      <c r="C266" s="21"/>
      <c r="D266" s="22"/>
      <c r="H266" s="22"/>
      <c r="J266" s="22"/>
      <c r="K266" s="27"/>
      <c r="L266" s="22"/>
      <c r="N266" s="22"/>
      <c r="O266" s="27"/>
      <c r="P266" s="22"/>
      <c r="R266" s="22"/>
      <c r="S266" s="27"/>
    </row>
    <row r="267" spans="1:19" s="20" customFormat="1" x14ac:dyDescent="0.25">
      <c r="A267" s="26"/>
      <c r="B267" s="21"/>
      <c r="C267" s="21"/>
      <c r="D267" s="22"/>
      <c r="H267" s="22"/>
      <c r="J267" s="22"/>
      <c r="K267" s="27"/>
      <c r="L267" s="22"/>
      <c r="N267" s="22"/>
      <c r="O267" s="27"/>
      <c r="P267" s="22"/>
      <c r="R267" s="22"/>
      <c r="S267" s="27"/>
    </row>
    <row r="268" spans="1:19" s="20" customFormat="1" x14ac:dyDescent="0.25">
      <c r="A268" s="26"/>
      <c r="B268" s="21"/>
      <c r="C268" s="21"/>
      <c r="D268" s="22"/>
      <c r="H268" s="22"/>
      <c r="J268" s="22"/>
      <c r="K268" s="27"/>
      <c r="L268" s="22"/>
      <c r="N268" s="22"/>
      <c r="O268" s="27"/>
      <c r="P268" s="22"/>
      <c r="R268" s="22"/>
      <c r="S268" s="27"/>
    </row>
    <row r="269" spans="1:19" s="20" customFormat="1" x14ac:dyDescent="0.25">
      <c r="A269" s="26"/>
      <c r="B269" s="21"/>
      <c r="C269" s="21"/>
      <c r="D269" s="22"/>
      <c r="H269" s="22"/>
      <c r="J269" s="22"/>
      <c r="K269" s="27"/>
      <c r="L269" s="22"/>
      <c r="N269" s="22"/>
      <c r="O269" s="27"/>
      <c r="P269" s="22"/>
      <c r="R269" s="22"/>
      <c r="S269" s="27"/>
    </row>
    <row r="270" spans="1:19" s="20" customFormat="1" x14ac:dyDescent="0.25">
      <c r="A270" s="26"/>
      <c r="B270" s="21"/>
      <c r="C270" s="21"/>
      <c r="D270" s="22"/>
      <c r="H270" s="22"/>
      <c r="J270" s="22"/>
      <c r="K270" s="27"/>
      <c r="L270" s="22"/>
      <c r="N270" s="22"/>
      <c r="O270" s="27"/>
      <c r="P270" s="22"/>
      <c r="R270" s="22"/>
      <c r="S270" s="27"/>
    </row>
    <row r="271" spans="1:19" s="20" customFormat="1" x14ac:dyDescent="0.25">
      <c r="A271" s="26"/>
      <c r="B271" s="21"/>
      <c r="C271" s="21"/>
      <c r="D271" s="22"/>
      <c r="H271" s="22"/>
      <c r="J271" s="22"/>
      <c r="K271" s="27"/>
      <c r="L271" s="22"/>
      <c r="N271" s="22"/>
      <c r="O271" s="27"/>
      <c r="P271" s="22"/>
      <c r="R271" s="22"/>
      <c r="S271" s="27"/>
    </row>
    <row r="272" spans="1:19" s="20" customFormat="1" x14ac:dyDescent="0.25">
      <c r="A272" s="26"/>
      <c r="B272" s="21"/>
      <c r="C272" s="21"/>
      <c r="D272" s="22"/>
      <c r="H272" s="22"/>
      <c r="J272" s="22"/>
      <c r="K272" s="27"/>
      <c r="L272" s="22"/>
      <c r="N272" s="22"/>
      <c r="O272" s="27"/>
      <c r="P272" s="22"/>
      <c r="R272" s="22"/>
      <c r="S272" s="27"/>
    </row>
    <row r="273" spans="1:19" s="20" customFormat="1" x14ac:dyDescent="0.25">
      <c r="A273" s="26"/>
      <c r="B273" s="21"/>
      <c r="C273" s="21"/>
      <c r="D273" s="22"/>
      <c r="H273" s="22"/>
      <c r="J273" s="22"/>
      <c r="K273" s="27"/>
      <c r="L273" s="22"/>
      <c r="N273" s="22"/>
      <c r="O273" s="27"/>
      <c r="P273" s="22"/>
      <c r="R273" s="22"/>
      <c r="S273" s="27"/>
    </row>
    <row r="274" spans="1:19" s="20" customFormat="1" x14ac:dyDescent="0.25">
      <c r="A274" s="26"/>
      <c r="B274" s="21"/>
      <c r="C274" s="21"/>
      <c r="D274" s="22"/>
      <c r="H274" s="22"/>
      <c r="J274" s="22"/>
      <c r="K274" s="27"/>
      <c r="L274" s="22"/>
      <c r="N274" s="22"/>
      <c r="O274" s="27"/>
      <c r="P274" s="22"/>
      <c r="R274" s="22"/>
      <c r="S274" s="27"/>
    </row>
    <row r="275" spans="1:19" s="20" customFormat="1" x14ac:dyDescent="0.25">
      <c r="A275" s="26"/>
      <c r="B275" s="21"/>
      <c r="C275" s="21"/>
      <c r="D275" s="22"/>
      <c r="H275" s="22"/>
      <c r="J275" s="22"/>
      <c r="K275" s="27"/>
      <c r="L275" s="22"/>
      <c r="N275" s="22"/>
      <c r="O275" s="27"/>
      <c r="P275" s="22"/>
      <c r="R275" s="22"/>
      <c r="S275" s="27"/>
    </row>
    <row r="276" spans="1:19" s="20" customFormat="1" x14ac:dyDescent="0.25">
      <c r="A276" s="26"/>
      <c r="B276" s="21"/>
      <c r="C276" s="21"/>
      <c r="D276" s="22"/>
      <c r="H276" s="22"/>
      <c r="J276" s="22"/>
      <c r="K276" s="27"/>
      <c r="L276" s="22"/>
      <c r="N276" s="22"/>
      <c r="O276" s="27"/>
      <c r="P276" s="22"/>
      <c r="R276" s="22"/>
      <c r="S276" s="27"/>
    </row>
    <row r="277" spans="1:19" s="20" customFormat="1" x14ac:dyDescent="0.25">
      <c r="A277" s="26"/>
      <c r="B277" s="21"/>
      <c r="C277" s="21"/>
      <c r="D277" s="22"/>
      <c r="H277" s="22"/>
      <c r="J277" s="22"/>
      <c r="K277" s="27"/>
      <c r="L277" s="22"/>
      <c r="N277" s="22"/>
      <c r="O277" s="27"/>
      <c r="P277" s="22"/>
      <c r="R277" s="22"/>
      <c r="S277" s="27"/>
    </row>
    <row r="278" spans="1:19" s="20" customFormat="1" x14ac:dyDescent="0.25">
      <c r="A278" s="26"/>
      <c r="B278" s="21"/>
      <c r="C278" s="21"/>
      <c r="D278" s="22"/>
      <c r="H278" s="22"/>
      <c r="J278" s="22"/>
      <c r="K278" s="27"/>
      <c r="L278" s="22"/>
      <c r="N278" s="22"/>
      <c r="O278" s="27"/>
      <c r="P278" s="22"/>
      <c r="R278" s="22"/>
      <c r="S278" s="27"/>
    </row>
    <row r="279" spans="1:19" s="20" customFormat="1" x14ac:dyDescent="0.25">
      <c r="A279" s="26"/>
      <c r="B279" s="21"/>
      <c r="C279" s="21"/>
      <c r="D279" s="22"/>
      <c r="H279" s="22"/>
      <c r="J279" s="22"/>
      <c r="K279" s="27"/>
      <c r="L279" s="22"/>
      <c r="N279" s="22"/>
      <c r="O279" s="27"/>
      <c r="P279" s="22"/>
      <c r="R279" s="22"/>
      <c r="S279" s="27"/>
    </row>
    <row r="280" spans="1:19" s="20" customFormat="1" x14ac:dyDescent="0.25">
      <c r="A280" s="26"/>
      <c r="B280" s="21"/>
      <c r="C280" s="21"/>
      <c r="D280" s="22"/>
      <c r="H280" s="22"/>
      <c r="J280" s="22"/>
      <c r="K280" s="27"/>
      <c r="L280" s="22"/>
      <c r="N280" s="22"/>
      <c r="O280" s="27"/>
      <c r="P280" s="22"/>
      <c r="R280" s="22"/>
      <c r="S280" s="27"/>
    </row>
    <row r="281" spans="1:19" s="20" customFormat="1" x14ac:dyDescent="0.25">
      <c r="A281" s="26"/>
      <c r="B281" s="21"/>
      <c r="C281" s="21"/>
      <c r="D281" s="22"/>
      <c r="H281" s="22"/>
      <c r="J281" s="22"/>
      <c r="K281" s="27"/>
      <c r="L281" s="22"/>
      <c r="N281" s="22"/>
      <c r="O281" s="27"/>
      <c r="P281" s="22"/>
      <c r="R281" s="22"/>
      <c r="S281" s="27"/>
    </row>
    <row r="282" spans="1:19" s="20" customFormat="1" x14ac:dyDescent="0.25">
      <c r="A282" s="26"/>
      <c r="B282" s="21"/>
      <c r="C282" s="21"/>
      <c r="D282" s="22"/>
      <c r="H282" s="22"/>
      <c r="J282" s="22"/>
      <c r="K282" s="27"/>
      <c r="L282" s="22"/>
      <c r="N282" s="22"/>
      <c r="O282" s="27"/>
      <c r="P282" s="22"/>
      <c r="R282" s="22"/>
      <c r="S282" s="27"/>
    </row>
    <row r="283" spans="1:19" s="20" customFormat="1" x14ac:dyDescent="0.25">
      <c r="A283" s="26"/>
      <c r="B283" s="21"/>
      <c r="C283" s="21"/>
      <c r="D283" s="22"/>
      <c r="H283" s="22"/>
      <c r="J283" s="22"/>
      <c r="K283" s="27"/>
      <c r="L283" s="22"/>
      <c r="N283" s="22"/>
      <c r="O283" s="27"/>
      <c r="P283" s="22"/>
      <c r="R283" s="22"/>
      <c r="S283" s="27"/>
    </row>
    <row r="284" spans="1:19" s="20" customFormat="1" x14ac:dyDescent="0.25">
      <c r="A284" s="26"/>
      <c r="B284" s="21"/>
      <c r="C284" s="21"/>
      <c r="D284" s="22"/>
      <c r="H284" s="22"/>
      <c r="J284" s="22"/>
      <c r="K284" s="27"/>
      <c r="L284" s="22"/>
      <c r="N284" s="22"/>
      <c r="O284" s="27"/>
      <c r="P284" s="22"/>
      <c r="R284" s="22"/>
      <c r="S284" s="27"/>
    </row>
    <row r="285" spans="1:19" s="20" customFormat="1" x14ac:dyDescent="0.25">
      <c r="A285" s="26"/>
      <c r="B285" s="21"/>
      <c r="C285" s="21"/>
      <c r="D285" s="22"/>
      <c r="H285" s="22"/>
      <c r="J285" s="22"/>
      <c r="K285" s="27"/>
      <c r="L285" s="22"/>
      <c r="N285" s="22"/>
      <c r="O285" s="27"/>
      <c r="P285" s="22"/>
      <c r="R285" s="22"/>
      <c r="S285" s="27"/>
    </row>
    <row r="286" spans="1:19" s="20" customFormat="1" x14ac:dyDescent="0.25">
      <c r="A286" s="26"/>
      <c r="B286" s="21"/>
      <c r="C286" s="21"/>
      <c r="D286" s="22"/>
      <c r="H286" s="22"/>
      <c r="J286" s="22"/>
      <c r="K286" s="27"/>
      <c r="L286" s="22"/>
      <c r="N286" s="22"/>
      <c r="O286" s="27"/>
      <c r="P286" s="22"/>
      <c r="R286" s="22"/>
      <c r="S286" s="27"/>
    </row>
    <row r="287" spans="1:19" s="20" customFormat="1" x14ac:dyDescent="0.25">
      <c r="A287" s="26"/>
      <c r="B287" s="21"/>
      <c r="C287" s="21"/>
      <c r="D287" s="22"/>
      <c r="H287" s="22"/>
      <c r="J287" s="22"/>
      <c r="K287" s="27"/>
      <c r="L287" s="22"/>
      <c r="N287" s="22"/>
      <c r="O287" s="27"/>
      <c r="P287" s="22"/>
      <c r="R287" s="22"/>
      <c r="S287" s="27"/>
    </row>
    <row r="288" spans="1:19" s="20" customFormat="1" x14ac:dyDescent="0.25">
      <c r="A288" s="26"/>
      <c r="B288" s="21"/>
      <c r="C288" s="21"/>
      <c r="D288" s="22"/>
      <c r="H288" s="22"/>
      <c r="J288" s="22"/>
      <c r="K288" s="27"/>
      <c r="L288" s="22"/>
      <c r="N288" s="22"/>
      <c r="O288" s="27"/>
      <c r="P288" s="22"/>
      <c r="R288" s="22"/>
      <c r="S288" s="27"/>
    </row>
    <row r="289" spans="1:19" s="20" customFormat="1" x14ac:dyDescent="0.25">
      <c r="A289" s="26"/>
      <c r="B289" s="21"/>
      <c r="C289" s="21"/>
      <c r="D289" s="22"/>
      <c r="H289" s="22"/>
      <c r="J289" s="22"/>
      <c r="K289" s="27"/>
      <c r="L289" s="22"/>
      <c r="N289" s="22"/>
      <c r="O289" s="27"/>
      <c r="P289" s="22"/>
      <c r="R289" s="22"/>
      <c r="S289" s="27"/>
    </row>
    <row r="290" spans="1:19" s="20" customFormat="1" x14ac:dyDescent="0.25">
      <c r="A290" s="26"/>
      <c r="B290" s="21"/>
      <c r="C290" s="21"/>
      <c r="D290" s="22"/>
      <c r="H290" s="22"/>
      <c r="J290" s="22"/>
      <c r="K290" s="27"/>
      <c r="L290" s="22"/>
      <c r="N290" s="22"/>
      <c r="O290" s="27"/>
      <c r="P290" s="22"/>
      <c r="R290" s="22"/>
      <c r="S290" s="27"/>
    </row>
    <row r="291" spans="1:19" s="20" customFormat="1" x14ac:dyDescent="0.25">
      <c r="A291" s="26"/>
      <c r="B291" s="21"/>
      <c r="C291" s="21"/>
      <c r="D291" s="22"/>
      <c r="H291" s="22"/>
      <c r="J291" s="22"/>
      <c r="K291" s="27"/>
      <c r="L291" s="22"/>
      <c r="N291" s="22"/>
      <c r="O291" s="27"/>
      <c r="P291" s="22"/>
      <c r="R291" s="22"/>
      <c r="S291" s="27"/>
    </row>
    <row r="292" spans="1:19" s="20" customFormat="1" x14ac:dyDescent="0.25">
      <c r="A292" s="26"/>
      <c r="B292" s="21"/>
      <c r="C292" s="21"/>
      <c r="D292" s="22"/>
      <c r="H292" s="22"/>
      <c r="J292" s="22"/>
      <c r="K292" s="27"/>
      <c r="L292" s="22"/>
      <c r="N292" s="22"/>
      <c r="O292" s="27"/>
      <c r="P292" s="22"/>
      <c r="R292" s="22"/>
      <c r="S292" s="27"/>
    </row>
    <row r="293" spans="1:19" s="20" customFormat="1" x14ac:dyDescent="0.25">
      <c r="A293" s="26"/>
      <c r="B293" s="21"/>
      <c r="C293" s="21"/>
      <c r="D293" s="22"/>
      <c r="H293" s="22"/>
      <c r="J293" s="22"/>
      <c r="K293" s="27"/>
      <c r="L293" s="22"/>
      <c r="N293" s="22"/>
      <c r="O293" s="27"/>
      <c r="P293" s="22"/>
      <c r="R293" s="22"/>
      <c r="S293" s="27"/>
    </row>
    <row r="294" spans="1:19" s="20" customFormat="1" x14ac:dyDescent="0.25">
      <c r="A294" s="26"/>
      <c r="B294" s="21"/>
      <c r="C294" s="21"/>
      <c r="D294" s="22"/>
      <c r="H294" s="22"/>
      <c r="J294" s="22"/>
      <c r="K294" s="27"/>
      <c r="L294" s="22"/>
      <c r="N294" s="22"/>
      <c r="O294" s="27"/>
      <c r="P294" s="22"/>
      <c r="R294" s="22"/>
      <c r="S294" s="27"/>
    </row>
    <row r="295" spans="1:19" s="20" customFormat="1" x14ac:dyDescent="0.25">
      <c r="A295" s="26"/>
      <c r="B295" s="21"/>
      <c r="C295" s="21"/>
      <c r="D295" s="22"/>
      <c r="H295" s="22"/>
      <c r="J295" s="22"/>
      <c r="K295" s="27"/>
      <c r="L295" s="22"/>
      <c r="N295" s="22"/>
      <c r="O295" s="27"/>
      <c r="P295" s="22"/>
      <c r="R295" s="22"/>
      <c r="S295" s="27"/>
    </row>
    <row r="296" spans="1:19" s="20" customFormat="1" x14ac:dyDescent="0.25">
      <c r="A296" s="26"/>
      <c r="B296" s="21"/>
      <c r="C296" s="21"/>
      <c r="D296" s="22"/>
      <c r="H296" s="22"/>
      <c r="J296" s="22"/>
      <c r="K296" s="27"/>
      <c r="L296" s="22"/>
      <c r="N296" s="22"/>
      <c r="O296" s="27"/>
      <c r="P296" s="22"/>
      <c r="R296" s="22"/>
      <c r="S296" s="27"/>
    </row>
    <row r="297" spans="1:19" s="20" customFormat="1" x14ac:dyDescent="0.25">
      <c r="A297" s="26"/>
      <c r="B297" s="21"/>
      <c r="C297" s="21"/>
      <c r="D297" s="22"/>
      <c r="H297" s="22"/>
      <c r="J297" s="22"/>
      <c r="K297" s="27"/>
      <c r="L297" s="22"/>
      <c r="N297" s="22"/>
      <c r="O297" s="27"/>
      <c r="P297" s="22"/>
      <c r="R297" s="22"/>
      <c r="S297" s="27"/>
    </row>
    <row r="298" spans="1:19" s="20" customFormat="1" x14ac:dyDescent="0.25">
      <c r="A298" s="26"/>
      <c r="B298" s="21"/>
      <c r="C298" s="21"/>
      <c r="D298" s="22"/>
      <c r="H298" s="22"/>
      <c r="J298" s="22"/>
      <c r="K298" s="27"/>
      <c r="L298" s="22"/>
      <c r="N298" s="22"/>
      <c r="O298" s="27"/>
      <c r="P298" s="22"/>
      <c r="R298" s="22"/>
      <c r="S298" s="27"/>
    </row>
    <row r="299" spans="1:19" s="20" customFormat="1" x14ac:dyDescent="0.25">
      <c r="A299" s="26"/>
      <c r="B299" s="21"/>
      <c r="C299" s="21"/>
      <c r="D299" s="22"/>
      <c r="H299" s="22"/>
      <c r="J299" s="22"/>
      <c r="K299" s="27"/>
      <c r="L299" s="22"/>
      <c r="N299" s="22"/>
      <c r="O299" s="27"/>
      <c r="P299" s="22"/>
      <c r="R299" s="22"/>
      <c r="S299" s="27"/>
    </row>
    <row r="300" spans="1:19" s="20" customFormat="1" x14ac:dyDescent="0.25">
      <c r="A300" s="26"/>
      <c r="B300" s="21"/>
      <c r="C300" s="21"/>
      <c r="D300" s="22"/>
      <c r="H300" s="22"/>
      <c r="J300" s="22"/>
      <c r="K300" s="27"/>
      <c r="L300" s="22"/>
      <c r="N300" s="22"/>
      <c r="O300" s="27"/>
      <c r="P300" s="22"/>
      <c r="R300" s="22"/>
      <c r="S300" s="27"/>
    </row>
    <row r="301" spans="1:19" s="20" customFormat="1" x14ac:dyDescent="0.25">
      <c r="A301" s="26"/>
      <c r="B301" s="21"/>
      <c r="C301" s="21"/>
      <c r="D301" s="22"/>
      <c r="H301" s="22"/>
      <c r="J301" s="22"/>
      <c r="K301" s="27"/>
      <c r="L301" s="22"/>
      <c r="N301" s="22"/>
      <c r="O301" s="27"/>
      <c r="P301" s="22"/>
      <c r="R301" s="22"/>
      <c r="S301" s="27"/>
    </row>
    <row r="302" spans="1:19" s="20" customFormat="1" x14ac:dyDescent="0.25">
      <c r="A302" s="26"/>
      <c r="B302" s="21"/>
      <c r="C302" s="21"/>
      <c r="D302" s="22"/>
      <c r="H302" s="22"/>
      <c r="J302" s="22"/>
      <c r="K302" s="27"/>
      <c r="L302" s="22"/>
      <c r="N302" s="22"/>
      <c r="O302" s="27"/>
      <c r="P302" s="22"/>
      <c r="R302" s="22"/>
      <c r="S302" s="27"/>
    </row>
    <row r="303" spans="1:19" s="20" customFormat="1" x14ac:dyDescent="0.25">
      <c r="A303" s="26"/>
      <c r="B303" s="21"/>
      <c r="C303" s="21"/>
      <c r="D303" s="22"/>
      <c r="H303" s="22"/>
      <c r="J303" s="22"/>
      <c r="K303" s="27"/>
      <c r="L303" s="22"/>
      <c r="N303" s="22"/>
      <c r="O303" s="27"/>
      <c r="P303" s="22"/>
      <c r="R303" s="22"/>
      <c r="S303" s="27"/>
    </row>
    <row r="304" spans="1:19" s="20" customFormat="1" x14ac:dyDescent="0.25">
      <c r="A304" s="26"/>
      <c r="B304" s="21"/>
      <c r="C304" s="21"/>
      <c r="D304" s="22"/>
      <c r="H304" s="22"/>
      <c r="J304" s="22"/>
      <c r="K304" s="27"/>
      <c r="L304" s="22"/>
      <c r="N304" s="22"/>
      <c r="O304" s="27"/>
      <c r="P304" s="22"/>
      <c r="R304" s="22"/>
      <c r="S304" s="27"/>
    </row>
    <row r="305" spans="1:19" s="20" customFormat="1" x14ac:dyDescent="0.25">
      <c r="A305" s="26"/>
      <c r="B305" s="21"/>
      <c r="C305" s="21"/>
      <c r="D305" s="22"/>
      <c r="H305" s="22"/>
      <c r="J305" s="22"/>
      <c r="K305" s="27"/>
      <c r="L305" s="22"/>
      <c r="N305" s="22"/>
      <c r="O305" s="27"/>
      <c r="P305" s="22"/>
      <c r="R305" s="22"/>
      <c r="S305" s="27"/>
    </row>
    <row r="306" spans="1:19" s="20" customFormat="1" x14ac:dyDescent="0.25">
      <c r="A306" s="26"/>
      <c r="B306" s="21"/>
      <c r="C306" s="21"/>
      <c r="D306" s="22"/>
      <c r="H306" s="22"/>
      <c r="J306" s="22"/>
      <c r="K306" s="27"/>
      <c r="L306" s="22"/>
      <c r="N306" s="22"/>
      <c r="O306" s="27"/>
      <c r="P306" s="22"/>
      <c r="R306" s="22"/>
      <c r="S306" s="27"/>
    </row>
    <row r="307" spans="1:19" s="20" customFormat="1" x14ac:dyDescent="0.25">
      <c r="A307" s="26"/>
      <c r="B307" s="21"/>
      <c r="C307" s="21"/>
      <c r="D307" s="22"/>
      <c r="H307" s="22"/>
      <c r="J307" s="22"/>
      <c r="K307" s="27"/>
      <c r="L307" s="22"/>
      <c r="N307" s="22"/>
      <c r="O307" s="27"/>
      <c r="P307" s="22"/>
      <c r="R307" s="22"/>
      <c r="S307" s="27"/>
    </row>
    <row r="308" spans="1:19" s="20" customFormat="1" x14ac:dyDescent="0.25">
      <c r="A308" s="26"/>
      <c r="B308" s="21"/>
      <c r="C308" s="21"/>
      <c r="D308" s="22"/>
      <c r="H308" s="22"/>
      <c r="J308" s="22"/>
      <c r="K308" s="27"/>
      <c r="L308" s="22"/>
      <c r="N308" s="22"/>
      <c r="O308" s="27"/>
      <c r="P308" s="22"/>
      <c r="R308" s="22"/>
      <c r="S308" s="27"/>
    </row>
    <row r="309" spans="1:19" s="20" customFormat="1" x14ac:dyDescent="0.25">
      <c r="A309" s="26"/>
      <c r="B309" s="21"/>
      <c r="C309" s="21"/>
      <c r="D309" s="22"/>
      <c r="H309" s="22"/>
      <c r="J309" s="22"/>
      <c r="K309" s="27"/>
      <c r="L309" s="22"/>
      <c r="N309" s="22"/>
      <c r="O309" s="27"/>
      <c r="P309" s="22"/>
      <c r="R309" s="22"/>
      <c r="S309" s="27"/>
    </row>
    <row r="310" spans="1:19" s="20" customFormat="1" x14ac:dyDescent="0.25">
      <c r="A310" s="26"/>
      <c r="B310" s="21"/>
      <c r="C310" s="21"/>
      <c r="D310" s="22"/>
      <c r="H310" s="22"/>
      <c r="J310" s="22"/>
      <c r="K310" s="27"/>
      <c r="L310" s="22"/>
      <c r="N310" s="22"/>
      <c r="O310" s="27"/>
      <c r="P310" s="22"/>
      <c r="R310" s="22"/>
      <c r="S310" s="27"/>
    </row>
    <row r="311" spans="1:19" s="20" customFormat="1" x14ac:dyDescent="0.25">
      <c r="A311" s="26"/>
      <c r="B311" s="21"/>
      <c r="C311" s="21"/>
      <c r="D311" s="22"/>
      <c r="H311" s="22"/>
      <c r="J311" s="22"/>
      <c r="K311" s="27"/>
      <c r="L311" s="22"/>
      <c r="N311" s="22"/>
      <c r="O311" s="27"/>
      <c r="P311" s="22"/>
      <c r="R311" s="22"/>
      <c r="S311" s="27"/>
    </row>
    <row r="312" spans="1:19" s="20" customFormat="1" x14ac:dyDescent="0.25">
      <c r="A312" s="26"/>
      <c r="B312" s="21"/>
      <c r="C312" s="21"/>
      <c r="D312" s="22"/>
      <c r="H312" s="22"/>
      <c r="J312" s="22"/>
      <c r="K312" s="27"/>
      <c r="L312" s="22"/>
      <c r="N312" s="22"/>
      <c r="O312" s="27"/>
      <c r="P312" s="22"/>
      <c r="R312" s="22"/>
      <c r="S312" s="27"/>
    </row>
    <row r="313" spans="1:19" s="20" customFormat="1" x14ac:dyDescent="0.25">
      <c r="A313" s="26"/>
      <c r="B313" s="21"/>
      <c r="C313" s="21"/>
      <c r="D313" s="22"/>
      <c r="H313" s="22"/>
      <c r="J313" s="22"/>
      <c r="K313" s="27"/>
      <c r="L313" s="22"/>
      <c r="N313" s="22"/>
      <c r="O313" s="27"/>
      <c r="P313" s="22"/>
      <c r="R313" s="22"/>
      <c r="S313" s="27"/>
    </row>
    <row r="314" spans="1:19" s="20" customFormat="1" x14ac:dyDescent="0.25">
      <c r="A314" s="26"/>
      <c r="B314" s="21"/>
      <c r="C314" s="21"/>
      <c r="D314" s="22"/>
      <c r="H314" s="22"/>
      <c r="J314" s="22"/>
      <c r="K314" s="27"/>
      <c r="L314" s="22"/>
      <c r="N314" s="22"/>
      <c r="O314" s="27"/>
      <c r="P314" s="22"/>
      <c r="R314" s="22"/>
      <c r="S314" s="27"/>
    </row>
    <row r="315" spans="1:19" s="20" customFormat="1" x14ac:dyDescent="0.25">
      <c r="A315" s="26"/>
      <c r="B315" s="21"/>
      <c r="C315" s="21"/>
      <c r="D315" s="22"/>
      <c r="H315" s="22"/>
      <c r="J315" s="22"/>
      <c r="K315" s="27"/>
      <c r="L315" s="22"/>
      <c r="N315" s="22"/>
      <c r="O315" s="27"/>
      <c r="P315" s="22"/>
      <c r="R315" s="22"/>
      <c r="S315" s="27"/>
    </row>
    <row r="316" spans="1:19" s="20" customFormat="1" x14ac:dyDescent="0.25">
      <c r="A316" s="26"/>
      <c r="B316" s="21"/>
      <c r="C316" s="21"/>
      <c r="D316" s="22"/>
      <c r="H316" s="22"/>
      <c r="J316" s="22"/>
      <c r="K316" s="27"/>
      <c r="L316" s="22"/>
      <c r="N316" s="22"/>
      <c r="O316" s="27"/>
      <c r="P316" s="22"/>
      <c r="R316" s="22"/>
      <c r="S316" s="27"/>
    </row>
    <row r="317" spans="1:19" s="20" customFormat="1" x14ac:dyDescent="0.25">
      <c r="A317" s="26"/>
      <c r="B317" s="21"/>
      <c r="C317" s="21"/>
      <c r="D317" s="22"/>
      <c r="H317" s="22"/>
      <c r="J317" s="22"/>
      <c r="K317" s="27"/>
      <c r="L317" s="22"/>
      <c r="N317" s="22"/>
      <c r="O317" s="27"/>
      <c r="P317" s="22"/>
      <c r="R317" s="22"/>
      <c r="S317" s="27"/>
    </row>
    <row r="318" spans="1:19" s="20" customFormat="1" x14ac:dyDescent="0.25">
      <c r="A318" s="26"/>
      <c r="B318" s="21"/>
      <c r="C318" s="21"/>
      <c r="D318" s="22"/>
      <c r="H318" s="22"/>
      <c r="J318" s="22"/>
      <c r="K318" s="27"/>
      <c r="L318" s="22"/>
      <c r="N318" s="22"/>
      <c r="O318" s="27"/>
      <c r="P318" s="22"/>
      <c r="R318" s="22"/>
      <c r="S318" s="27"/>
    </row>
    <row r="319" spans="1:19" s="20" customFormat="1" x14ac:dyDescent="0.25">
      <c r="A319" s="26"/>
      <c r="B319" s="21"/>
      <c r="C319" s="21"/>
      <c r="D319" s="22"/>
      <c r="H319" s="22"/>
      <c r="J319" s="22"/>
      <c r="K319" s="27"/>
      <c r="L319" s="22"/>
      <c r="N319" s="22"/>
      <c r="O319" s="27"/>
      <c r="P319" s="22"/>
      <c r="R319" s="22"/>
      <c r="S319" s="27"/>
    </row>
    <row r="320" spans="1:19" s="20" customFormat="1" x14ac:dyDescent="0.25">
      <c r="A320" s="26"/>
      <c r="B320" s="21"/>
      <c r="C320" s="21"/>
      <c r="D320" s="22"/>
      <c r="H320" s="22"/>
      <c r="J320" s="22"/>
      <c r="K320" s="27"/>
      <c r="L320" s="22"/>
      <c r="N320" s="22"/>
      <c r="O320" s="27"/>
      <c r="P320" s="22"/>
      <c r="R320" s="22"/>
      <c r="S320" s="27"/>
    </row>
    <row r="321" spans="1:19" s="20" customFormat="1" x14ac:dyDescent="0.25">
      <c r="A321" s="26"/>
      <c r="B321" s="21"/>
      <c r="C321" s="21"/>
      <c r="D321" s="22"/>
      <c r="H321" s="22"/>
      <c r="J321" s="22"/>
      <c r="K321" s="27"/>
      <c r="L321" s="22"/>
      <c r="N321" s="22"/>
      <c r="O321" s="27"/>
      <c r="P321" s="22"/>
      <c r="R321" s="22"/>
      <c r="S321" s="27"/>
    </row>
    <row r="322" spans="1:19" s="20" customFormat="1" x14ac:dyDescent="0.25">
      <c r="A322" s="26"/>
      <c r="B322" s="21"/>
      <c r="C322" s="21"/>
      <c r="D322" s="22"/>
      <c r="H322" s="22"/>
      <c r="J322" s="22"/>
      <c r="K322" s="27"/>
      <c r="L322" s="22"/>
      <c r="N322" s="22"/>
      <c r="O322" s="27"/>
      <c r="P322" s="22"/>
      <c r="R322" s="22"/>
      <c r="S322" s="27"/>
    </row>
    <row r="323" spans="1:19" s="20" customFormat="1" x14ac:dyDescent="0.25">
      <c r="A323" s="26"/>
      <c r="B323" s="21"/>
      <c r="C323" s="21"/>
      <c r="D323" s="22"/>
      <c r="H323" s="22"/>
      <c r="J323" s="22"/>
      <c r="K323" s="27"/>
      <c r="L323" s="22"/>
      <c r="N323" s="22"/>
      <c r="O323" s="27"/>
      <c r="P323" s="22"/>
      <c r="R323" s="22"/>
      <c r="S323" s="27"/>
    </row>
    <row r="324" spans="1:19" s="20" customFormat="1" x14ac:dyDescent="0.25">
      <c r="A324" s="26"/>
      <c r="B324" s="21"/>
      <c r="C324" s="21"/>
      <c r="D324" s="22"/>
      <c r="H324" s="22"/>
      <c r="J324" s="22"/>
      <c r="K324" s="27"/>
      <c r="L324" s="22"/>
      <c r="N324" s="22"/>
      <c r="O324" s="27"/>
      <c r="P324" s="22"/>
      <c r="R324" s="22"/>
      <c r="S324" s="27"/>
    </row>
    <row r="325" spans="1:19" s="20" customFormat="1" x14ac:dyDescent="0.25">
      <c r="A325" s="26"/>
      <c r="B325" s="21"/>
      <c r="C325" s="21"/>
      <c r="D325" s="22"/>
      <c r="H325" s="22"/>
      <c r="J325" s="22"/>
      <c r="K325" s="27"/>
      <c r="L325" s="22"/>
      <c r="N325" s="22"/>
      <c r="O325" s="27"/>
      <c r="P325" s="22"/>
      <c r="R325" s="22"/>
      <c r="S325" s="27"/>
    </row>
    <row r="326" spans="1:19" s="20" customFormat="1" x14ac:dyDescent="0.25">
      <c r="A326" s="26"/>
      <c r="B326" s="21"/>
      <c r="C326" s="21"/>
      <c r="D326" s="22"/>
      <c r="H326" s="22"/>
      <c r="J326" s="22"/>
      <c r="K326" s="27"/>
      <c r="L326" s="22"/>
      <c r="N326" s="22"/>
      <c r="O326" s="27"/>
      <c r="P326" s="22"/>
      <c r="R326" s="22"/>
      <c r="S326" s="27"/>
    </row>
    <row r="327" spans="1:19" s="20" customFormat="1" x14ac:dyDescent="0.25">
      <c r="A327" s="26"/>
      <c r="B327" s="21"/>
      <c r="C327" s="21"/>
      <c r="D327" s="22"/>
      <c r="H327" s="22"/>
      <c r="J327" s="22"/>
      <c r="K327" s="27"/>
      <c r="L327" s="22"/>
      <c r="N327" s="22"/>
      <c r="O327" s="27"/>
      <c r="P327" s="22"/>
      <c r="R327" s="22"/>
      <c r="S327" s="27"/>
    </row>
    <row r="328" spans="1:19" s="20" customFormat="1" x14ac:dyDescent="0.25">
      <c r="A328" s="26"/>
      <c r="B328" s="21"/>
      <c r="C328" s="21"/>
      <c r="D328" s="22"/>
      <c r="H328" s="22"/>
      <c r="J328" s="22"/>
      <c r="K328" s="27"/>
      <c r="L328" s="22"/>
      <c r="N328" s="22"/>
      <c r="O328" s="27"/>
      <c r="P328" s="22"/>
      <c r="R328" s="22"/>
      <c r="S328" s="27"/>
    </row>
    <row r="329" spans="1:19" s="20" customFormat="1" x14ac:dyDescent="0.25">
      <c r="A329" s="26"/>
      <c r="B329" s="21"/>
      <c r="C329" s="21"/>
      <c r="D329" s="22"/>
      <c r="H329" s="22"/>
      <c r="J329" s="22"/>
      <c r="K329" s="27"/>
      <c r="L329" s="22"/>
      <c r="N329" s="22"/>
      <c r="O329" s="27"/>
      <c r="P329" s="22"/>
      <c r="R329" s="22"/>
      <c r="S329" s="27"/>
    </row>
    <row r="330" spans="1:19" s="20" customFormat="1" x14ac:dyDescent="0.25">
      <c r="A330" s="26"/>
      <c r="B330" s="21"/>
      <c r="C330" s="21"/>
      <c r="D330" s="22"/>
      <c r="H330" s="22"/>
      <c r="J330" s="22"/>
      <c r="K330" s="27"/>
      <c r="L330" s="22"/>
      <c r="N330" s="22"/>
      <c r="O330" s="27"/>
      <c r="P330" s="22"/>
      <c r="R330" s="22"/>
      <c r="S330" s="27"/>
    </row>
    <row r="331" spans="1:19" s="20" customFormat="1" x14ac:dyDescent="0.25">
      <c r="A331" s="26"/>
      <c r="B331" s="21"/>
      <c r="C331" s="21"/>
      <c r="D331" s="22"/>
      <c r="H331" s="22"/>
      <c r="J331" s="22"/>
      <c r="K331" s="27"/>
      <c r="L331" s="22"/>
      <c r="N331" s="22"/>
      <c r="O331" s="27"/>
      <c r="P331" s="22"/>
      <c r="R331" s="22"/>
      <c r="S331" s="27"/>
    </row>
    <row r="332" spans="1:19" s="20" customFormat="1" x14ac:dyDescent="0.25">
      <c r="A332" s="26"/>
      <c r="B332" s="21"/>
      <c r="C332" s="21"/>
      <c r="D332" s="22"/>
      <c r="H332" s="22"/>
      <c r="J332" s="22"/>
      <c r="K332" s="27"/>
      <c r="L332" s="22"/>
      <c r="N332" s="22"/>
      <c r="O332" s="27"/>
      <c r="P332" s="22"/>
      <c r="R332" s="22"/>
      <c r="S332" s="27"/>
    </row>
    <row r="333" spans="1:19" s="20" customFormat="1" x14ac:dyDescent="0.25">
      <c r="A333" s="26"/>
      <c r="B333" s="21"/>
      <c r="C333" s="21"/>
      <c r="D333" s="22"/>
      <c r="H333" s="22"/>
      <c r="J333" s="22"/>
      <c r="K333" s="27"/>
      <c r="L333" s="22"/>
      <c r="N333" s="22"/>
      <c r="O333" s="27"/>
      <c r="P333" s="22"/>
      <c r="R333" s="22"/>
      <c r="S333" s="27"/>
    </row>
    <row r="334" spans="1:19" s="20" customFormat="1" x14ac:dyDescent="0.25">
      <c r="A334" s="26"/>
      <c r="B334" s="21"/>
      <c r="C334" s="21"/>
      <c r="D334" s="22"/>
      <c r="H334" s="22"/>
      <c r="J334" s="22"/>
      <c r="K334" s="27"/>
      <c r="L334" s="22"/>
      <c r="N334" s="22"/>
      <c r="O334" s="27"/>
      <c r="P334" s="22"/>
      <c r="R334" s="22"/>
      <c r="S334" s="27"/>
    </row>
    <row r="335" spans="1:19" s="20" customFormat="1" x14ac:dyDescent="0.25">
      <c r="A335" s="26"/>
      <c r="B335" s="21"/>
      <c r="C335" s="21"/>
      <c r="D335" s="22"/>
      <c r="H335" s="22"/>
      <c r="J335" s="22"/>
      <c r="K335" s="27"/>
      <c r="L335" s="22"/>
      <c r="N335" s="22"/>
      <c r="O335" s="27"/>
      <c r="P335" s="22"/>
      <c r="R335" s="22"/>
      <c r="S335" s="27"/>
    </row>
    <row r="336" spans="1:19" s="20" customFormat="1" x14ac:dyDescent="0.25">
      <c r="A336" s="26"/>
      <c r="B336" s="21"/>
      <c r="C336" s="21"/>
      <c r="D336" s="22"/>
      <c r="H336" s="22"/>
      <c r="J336" s="22"/>
      <c r="K336" s="27"/>
      <c r="L336" s="22"/>
      <c r="N336" s="22"/>
      <c r="O336" s="27"/>
      <c r="P336" s="22"/>
      <c r="R336" s="22"/>
      <c r="S336" s="27"/>
    </row>
    <row r="337" spans="1:19" s="20" customFormat="1" x14ac:dyDescent="0.25">
      <c r="A337" s="26"/>
      <c r="B337" s="21"/>
      <c r="C337" s="21"/>
      <c r="D337" s="22"/>
      <c r="H337" s="22"/>
      <c r="J337" s="22"/>
      <c r="K337" s="27"/>
      <c r="L337" s="22"/>
      <c r="N337" s="22"/>
      <c r="O337" s="27"/>
      <c r="P337" s="22"/>
      <c r="R337" s="22"/>
      <c r="S337" s="27"/>
    </row>
    <row r="338" spans="1:19" s="20" customFormat="1" x14ac:dyDescent="0.25">
      <c r="A338" s="26"/>
      <c r="B338" s="21"/>
      <c r="C338" s="21"/>
      <c r="D338" s="22"/>
      <c r="H338" s="22"/>
      <c r="J338" s="22"/>
      <c r="K338" s="27"/>
      <c r="L338" s="22"/>
      <c r="N338" s="22"/>
      <c r="O338" s="27"/>
      <c r="P338" s="22"/>
      <c r="R338" s="22"/>
      <c r="S338" s="27"/>
    </row>
    <row r="339" spans="1:19" s="20" customFormat="1" x14ac:dyDescent="0.25">
      <c r="A339" s="26"/>
      <c r="B339" s="21"/>
      <c r="C339" s="21"/>
      <c r="D339" s="22"/>
      <c r="H339" s="22"/>
      <c r="J339" s="22"/>
      <c r="K339" s="27"/>
      <c r="L339" s="22"/>
      <c r="N339" s="22"/>
      <c r="O339" s="27"/>
      <c r="P339" s="22"/>
      <c r="R339" s="22"/>
      <c r="S339" s="27"/>
    </row>
    <row r="340" spans="1:19" s="20" customFormat="1" x14ac:dyDescent="0.25">
      <c r="A340" s="26"/>
      <c r="B340" s="21"/>
      <c r="C340" s="21"/>
      <c r="D340" s="22"/>
      <c r="H340" s="22"/>
      <c r="J340" s="22"/>
      <c r="K340" s="27"/>
      <c r="L340" s="22"/>
      <c r="N340" s="22"/>
      <c r="O340" s="27"/>
      <c r="P340" s="22"/>
      <c r="R340" s="22"/>
      <c r="S340" s="27"/>
    </row>
    <row r="341" spans="1:19" s="20" customFormat="1" x14ac:dyDescent="0.25">
      <c r="A341" s="26"/>
      <c r="B341" s="21"/>
      <c r="C341" s="21"/>
      <c r="D341" s="22"/>
      <c r="H341" s="22"/>
      <c r="J341" s="22"/>
      <c r="K341" s="27"/>
      <c r="L341" s="22"/>
      <c r="N341" s="22"/>
      <c r="O341" s="27"/>
      <c r="P341" s="22"/>
      <c r="R341" s="22"/>
      <c r="S341" s="27"/>
    </row>
    <row r="342" spans="1:19" s="20" customFormat="1" x14ac:dyDescent="0.25">
      <c r="A342" s="26"/>
      <c r="B342" s="21"/>
      <c r="C342" s="21"/>
      <c r="D342" s="22"/>
      <c r="H342" s="22"/>
      <c r="J342" s="22"/>
      <c r="K342" s="27"/>
      <c r="L342" s="22"/>
      <c r="N342" s="22"/>
      <c r="O342" s="27"/>
      <c r="P342" s="22"/>
      <c r="R342" s="22"/>
      <c r="S342" s="27"/>
    </row>
    <row r="343" spans="1:19" s="20" customFormat="1" x14ac:dyDescent="0.25">
      <c r="A343" s="26"/>
      <c r="B343" s="21"/>
      <c r="C343" s="21"/>
      <c r="D343" s="22"/>
      <c r="H343" s="22"/>
      <c r="J343" s="22"/>
      <c r="K343" s="27"/>
      <c r="L343" s="22"/>
      <c r="N343" s="22"/>
      <c r="O343" s="27"/>
      <c r="P343" s="22"/>
      <c r="R343" s="22"/>
      <c r="S343" s="27"/>
    </row>
    <row r="344" spans="1:19" s="20" customFormat="1" x14ac:dyDescent="0.25">
      <c r="A344" s="26"/>
      <c r="B344" s="21"/>
      <c r="C344" s="21"/>
      <c r="D344" s="22"/>
      <c r="H344" s="22"/>
      <c r="J344" s="22"/>
      <c r="K344" s="27"/>
      <c r="L344" s="22"/>
      <c r="N344" s="22"/>
      <c r="O344" s="27"/>
      <c r="P344" s="22"/>
      <c r="R344" s="22"/>
      <c r="S344" s="27"/>
    </row>
    <row r="345" spans="1:19" s="20" customFormat="1" x14ac:dyDescent="0.25">
      <c r="A345" s="26"/>
      <c r="B345" s="21"/>
      <c r="C345" s="21"/>
      <c r="D345" s="22"/>
      <c r="H345" s="22"/>
      <c r="J345" s="22"/>
      <c r="K345" s="27"/>
      <c r="L345" s="22"/>
      <c r="N345" s="22"/>
      <c r="O345" s="27"/>
      <c r="P345" s="22"/>
      <c r="R345" s="22"/>
      <c r="S345" s="27"/>
    </row>
    <row r="346" spans="1:19" s="20" customFormat="1" x14ac:dyDescent="0.25">
      <c r="A346" s="26"/>
      <c r="B346" s="21"/>
      <c r="C346" s="21"/>
      <c r="D346" s="22"/>
      <c r="H346" s="22"/>
      <c r="J346" s="22"/>
      <c r="K346" s="27"/>
      <c r="L346" s="22"/>
      <c r="N346" s="22"/>
      <c r="O346" s="27"/>
      <c r="P346" s="22"/>
      <c r="R346" s="22"/>
      <c r="S346" s="27"/>
    </row>
    <row r="347" spans="1:19" s="20" customFormat="1" x14ac:dyDescent="0.25">
      <c r="A347" s="26"/>
      <c r="B347" s="21"/>
      <c r="C347" s="21"/>
      <c r="D347" s="22"/>
      <c r="H347" s="22"/>
      <c r="J347" s="22"/>
      <c r="K347" s="27"/>
      <c r="L347" s="22"/>
      <c r="N347" s="22"/>
      <c r="O347" s="27"/>
      <c r="P347" s="22"/>
      <c r="R347" s="22"/>
      <c r="S347" s="27"/>
    </row>
    <row r="348" spans="1:19" s="20" customFormat="1" x14ac:dyDescent="0.25">
      <c r="A348" s="26"/>
      <c r="B348" s="21"/>
      <c r="C348" s="21"/>
      <c r="D348" s="22"/>
      <c r="H348" s="22"/>
      <c r="J348" s="22"/>
      <c r="K348" s="27"/>
      <c r="L348" s="22"/>
      <c r="N348" s="22"/>
      <c r="O348" s="27"/>
      <c r="P348" s="22"/>
      <c r="R348" s="22"/>
      <c r="S348" s="27"/>
    </row>
    <row r="349" spans="1:19" s="20" customFormat="1" x14ac:dyDescent="0.25">
      <c r="A349" s="26"/>
      <c r="B349" s="21"/>
      <c r="C349" s="21"/>
      <c r="D349" s="22"/>
      <c r="H349" s="22"/>
      <c r="J349" s="22"/>
      <c r="K349" s="27"/>
      <c r="L349" s="22"/>
      <c r="N349" s="22"/>
      <c r="O349" s="27"/>
      <c r="P349" s="22"/>
      <c r="R349" s="22"/>
      <c r="S349" s="27"/>
    </row>
    <row r="350" spans="1:19" s="20" customFormat="1" x14ac:dyDescent="0.25">
      <c r="A350" s="26"/>
      <c r="B350" s="21"/>
      <c r="C350" s="21"/>
      <c r="D350" s="22"/>
      <c r="H350" s="22"/>
      <c r="J350" s="22"/>
      <c r="K350" s="27"/>
      <c r="L350" s="22"/>
      <c r="N350" s="22"/>
      <c r="O350" s="27"/>
      <c r="P350" s="22"/>
      <c r="R350" s="22"/>
      <c r="S350" s="27"/>
    </row>
    <row r="351" spans="1:19" s="20" customFormat="1" x14ac:dyDescent="0.25">
      <c r="A351" s="26"/>
      <c r="B351" s="21"/>
      <c r="C351" s="21"/>
      <c r="D351" s="22"/>
      <c r="H351" s="22"/>
      <c r="J351" s="22"/>
      <c r="K351" s="27"/>
      <c r="L351" s="22"/>
      <c r="N351" s="22"/>
      <c r="O351" s="27"/>
      <c r="P351" s="22"/>
      <c r="R351" s="22"/>
      <c r="S351" s="27"/>
    </row>
    <row r="352" spans="1:19" s="20" customFormat="1" x14ac:dyDescent="0.25">
      <c r="A352" s="26"/>
      <c r="B352" s="21"/>
      <c r="C352" s="21"/>
      <c r="D352" s="22"/>
      <c r="H352" s="22"/>
      <c r="J352" s="22"/>
      <c r="K352" s="27"/>
      <c r="L352" s="22"/>
      <c r="N352" s="22"/>
      <c r="O352" s="27"/>
      <c r="P352" s="22"/>
      <c r="R352" s="22"/>
      <c r="S352" s="27"/>
    </row>
    <row r="353" spans="1:19" s="20" customFormat="1" x14ac:dyDescent="0.25">
      <c r="A353" s="26"/>
      <c r="B353" s="21"/>
      <c r="C353" s="21"/>
      <c r="D353" s="22"/>
      <c r="H353" s="22"/>
      <c r="J353" s="22"/>
      <c r="K353" s="27"/>
      <c r="L353" s="22"/>
      <c r="N353" s="22"/>
      <c r="O353" s="27"/>
      <c r="P353" s="22"/>
      <c r="R353" s="22"/>
      <c r="S353" s="27"/>
    </row>
    <row r="354" spans="1:19" s="20" customFormat="1" x14ac:dyDescent="0.25">
      <c r="A354" s="26"/>
      <c r="B354" s="21"/>
      <c r="C354" s="21"/>
      <c r="D354" s="22"/>
      <c r="H354" s="22"/>
      <c r="J354" s="22"/>
      <c r="K354" s="27"/>
      <c r="L354" s="22"/>
      <c r="N354" s="22"/>
      <c r="O354" s="27"/>
      <c r="P354" s="22"/>
      <c r="R354" s="22"/>
      <c r="S354" s="27"/>
    </row>
    <row r="355" spans="1:19" s="20" customFormat="1" x14ac:dyDescent="0.25">
      <c r="A355" s="26"/>
      <c r="B355" s="21"/>
      <c r="C355" s="21"/>
      <c r="D355" s="22"/>
      <c r="H355" s="22"/>
      <c r="J355" s="22"/>
      <c r="K355" s="27"/>
      <c r="L355" s="22"/>
      <c r="N355" s="22"/>
      <c r="O355" s="27"/>
      <c r="P355" s="22"/>
      <c r="R355" s="22"/>
      <c r="S355" s="27"/>
    </row>
    <row r="356" spans="1:19" s="20" customFormat="1" x14ac:dyDescent="0.25">
      <c r="A356" s="26"/>
      <c r="B356" s="21"/>
      <c r="C356" s="21"/>
      <c r="D356" s="22"/>
      <c r="H356" s="22"/>
      <c r="J356" s="22"/>
      <c r="K356" s="27"/>
      <c r="L356" s="22"/>
      <c r="N356" s="22"/>
      <c r="O356" s="27"/>
      <c r="P356" s="22"/>
      <c r="R356" s="22"/>
      <c r="S356" s="27"/>
    </row>
    <row r="357" spans="1:19" s="20" customFormat="1" x14ac:dyDescent="0.25">
      <c r="A357" s="26"/>
      <c r="B357" s="21"/>
      <c r="C357" s="21"/>
      <c r="D357" s="22"/>
      <c r="H357" s="22"/>
      <c r="J357" s="22"/>
      <c r="K357" s="27"/>
      <c r="L357" s="22"/>
      <c r="N357" s="22"/>
      <c r="O357" s="27"/>
      <c r="P357" s="22"/>
      <c r="R357" s="22"/>
      <c r="S357" s="27"/>
    </row>
    <row r="358" spans="1:19" s="20" customFormat="1" x14ac:dyDescent="0.25">
      <c r="A358" s="26"/>
      <c r="B358" s="21"/>
      <c r="C358" s="21"/>
      <c r="D358" s="22"/>
      <c r="H358" s="22"/>
      <c r="J358" s="22"/>
      <c r="K358" s="27"/>
      <c r="L358" s="22"/>
      <c r="N358" s="22"/>
      <c r="O358" s="27"/>
      <c r="P358" s="22"/>
      <c r="R358" s="22"/>
      <c r="S358" s="27"/>
    </row>
    <row r="359" spans="1:19" s="20" customFormat="1" x14ac:dyDescent="0.25">
      <c r="A359" s="26"/>
      <c r="B359" s="21"/>
      <c r="C359" s="21"/>
      <c r="D359" s="22"/>
      <c r="H359" s="22"/>
      <c r="J359" s="22"/>
      <c r="K359" s="27"/>
      <c r="L359" s="22"/>
      <c r="N359" s="22"/>
      <c r="O359" s="27"/>
      <c r="P359" s="22"/>
      <c r="R359" s="22"/>
      <c r="S359" s="27"/>
    </row>
    <row r="360" spans="1:19" s="20" customFormat="1" x14ac:dyDescent="0.25">
      <c r="A360" s="26"/>
      <c r="B360" s="21"/>
      <c r="C360" s="21"/>
      <c r="D360" s="22"/>
      <c r="H360" s="22"/>
      <c r="J360" s="22"/>
      <c r="K360" s="27"/>
      <c r="L360" s="22"/>
      <c r="N360" s="22"/>
      <c r="O360" s="27"/>
      <c r="P360" s="22"/>
      <c r="R360" s="22"/>
      <c r="S360" s="27"/>
    </row>
    <row r="361" spans="1:19" s="20" customFormat="1" x14ac:dyDescent="0.25">
      <c r="A361" s="26"/>
      <c r="B361" s="21"/>
      <c r="C361" s="21"/>
      <c r="D361" s="22"/>
      <c r="H361" s="22"/>
      <c r="J361" s="22"/>
      <c r="K361" s="27"/>
      <c r="L361" s="22"/>
      <c r="N361" s="22"/>
      <c r="O361" s="27"/>
      <c r="P361" s="22"/>
      <c r="R361" s="22"/>
      <c r="S361" s="27"/>
    </row>
    <row r="362" spans="1:19" s="20" customFormat="1" x14ac:dyDescent="0.25">
      <c r="A362" s="26"/>
      <c r="B362" s="21"/>
      <c r="C362" s="21"/>
      <c r="D362" s="22"/>
      <c r="H362" s="22"/>
      <c r="J362" s="22"/>
      <c r="K362" s="27"/>
      <c r="L362" s="22"/>
      <c r="N362" s="22"/>
      <c r="O362" s="27"/>
      <c r="P362" s="22"/>
      <c r="R362" s="22"/>
      <c r="S362" s="27"/>
    </row>
    <row r="363" spans="1:19" s="20" customFormat="1" x14ac:dyDescent="0.25">
      <c r="A363" s="26"/>
      <c r="B363" s="21"/>
      <c r="C363" s="21"/>
      <c r="D363" s="22"/>
      <c r="H363" s="22"/>
      <c r="J363" s="22"/>
      <c r="K363" s="27"/>
      <c r="L363" s="22"/>
      <c r="N363" s="22"/>
      <c r="O363" s="27"/>
      <c r="P363" s="22"/>
      <c r="R363" s="22"/>
      <c r="S363" s="27"/>
    </row>
    <row r="364" spans="1:19" s="20" customFormat="1" x14ac:dyDescent="0.25">
      <c r="A364" s="26"/>
      <c r="B364" s="21"/>
      <c r="C364" s="21"/>
      <c r="D364" s="22"/>
      <c r="H364" s="22"/>
      <c r="J364" s="22"/>
      <c r="K364" s="27"/>
      <c r="L364" s="22"/>
      <c r="N364" s="22"/>
      <c r="O364" s="27"/>
      <c r="P364" s="22"/>
      <c r="R364" s="22"/>
      <c r="S364" s="27"/>
    </row>
    <row r="365" spans="1:19" s="20" customFormat="1" x14ac:dyDescent="0.25">
      <c r="A365" s="26"/>
      <c r="B365" s="21"/>
      <c r="C365" s="21"/>
      <c r="D365" s="22"/>
      <c r="H365" s="22"/>
      <c r="J365" s="22"/>
      <c r="K365" s="27"/>
      <c r="L365" s="22"/>
      <c r="N365" s="22"/>
      <c r="O365" s="27"/>
      <c r="P365" s="22"/>
      <c r="R365" s="22"/>
      <c r="S365" s="27"/>
    </row>
    <row r="366" spans="1:19" s="20" customFormat="1" x14ac:dyDescent="0.25">
      <c r="A366" s="26"/>
      <c r="B366" s="21"/>
      <c r="C366" s="21"/>
      <c r="D366" s="22"/>
      <c r="H366" s="22"/>
      <c r="J366" s="22"/>
      <c r="K366" s="27"/>
      <c r="L366" s="22"/>
      <c r="N366" s="22"/>
      <c r="O366" s="27"/>
      <c r="P366" s="22"/>
      <c r="R366" s="22"/>
      <c r="S366" s="27"/>
    </row>
    <row r="367" spans="1:19" s="20" customFormat="1" x14ac:dyDescent="0.25">
      <c r="A367" s="26"/>
      <c r="B367" s="21"/>
      <c r="C367" s="21"/>
      <c r="D367" s="22"/>
      <c r="H367" s="22"/>
      <c r="J367" s="22"/>
      <c r="K367" s="27"/>
      <c r="L367" s="22"/>
      <c r="N367" s="22"/>
      <c r="O367" s="27"/>
      <c r="P367" s="22"/>
      <c r="R367" s="22"/>
      <c r="S367" s="27"/>
    </row>
    <row r="368" spans="1:19" s="20" customFormat="1" x14ac:dyDescent="0.25">
      <c r="A368" s="26"/>
      <c r="B368" s="21"/>
      <c r="C368" s="21"/>
      <c r="D368" s="22"/>
      <c r="H368" s="22"/>
      <c r="J368" s="22"/>
      <c r="K368" s="27"/>
      <c r="L368" s="22"/>
      <c r="N368" s="22"/>
      <c r="O368" s="27"/>
      <c r="P368" s="22"/>
      <c r="R368" s="22"/>
      <c r="S368" s="27"/>
    </row>
    <row r="369" spans="1:19" s="20" customFormat="1" x14ac:dyDescent="0.25">
      <c r="A369" s="26"/>
      <c r="B369" s="21"/>
      <c r="C369" s="21"/>
      <c r="D369" s="22"/>
      <c r="H369" s="22"/>
      <c r="J369" s="22"/>
      <c r="K369" s="27"/>
      <c r="L369" s="22"/>
      <c r="N369" s="22"/>
      <c r="O369" s="27"/>
      <c r="P369" s="22"/>
      <c r="R369" s="22"/>
      <c r="S369" s="27"/>
    </row>
    <row r="370" spans="1:19" s="20" customFormat="1" x14ac:dyDescent="0.25">
      <c r="A370" s="26"/>
      <c r="B370" s="21"/>
      <c r="C370" s="21"/>
      <c r="D370" s="22"/>
      <c r="H370" s="22"/>
      <c r="J370" s="22"/>
      <c r="K370" s="27"/>
      <c r="L370" s="22"/>
      <c r="N370" s="22"/>
      <c r="O370" s="27"/>
      <c r="P370" s="22"/>
      <c r="R370" s="22"/>
      <c r="S370" s="27"/>
    </row>
    <row r="371" spans="1:19" s="20" customFormat="1" x14ac:dyDescent="0.25">
      <c r="A371" s="26"/>
      <c r="B371" s="21"/>
      <c r="C371" s="21"/>
      <c r="D371" s="22"/>
      <c r="H371" s="22"/>
      <c r="J371" s="22"/>
      <c r="K371" s="27"/>
      <c r="L371" s="22"/>
      <c r="N371" s="22"/>
      <c r="O371" s="27"/>
      <c r="P371" s="22"/>
      <c r="R371" s="22"/>
      <c r="S371" s="27"/>
    </row>
    <row r="372" spans="1:19" s="20" customFormat="1" x14ac:dyDescent="0.25">
      <c r="A372" s="26"/>
      <c r="B372" s="21"/>
      <c r="C372" s="21"/>
      <c r="D372" s="22"/>
      <c r="H372" s="22"/>
      <c r="J372" s="22"/>
      <c r="K372" s="27"/>
      <c r="L372" s="22"/>
      <c r="N372" s="22"/>
      <c r="O372" s="27"/>
      <c r="P372" s="22"/>
      <c r="R372" s="22"/>
      <c r="S372" s="27"/>
    </row>
    <row r="373" spans="1:19" s="20" customFormat="1" x14ac:dyDescent="0.25">
      <c r="A373" s="26"/>
      <c r="B373" s="21"/>
      <c r="C373" s="21"/>
      <c r="D373" s="22"/>
      <c r="H373" s="22"/>
      <c r="J373" s="22"/>
      <c r="K373" s="27"/>
      <c r="L373" s="22"/>
      <c r="N373" s="22"/>
      <c r="O373" s="27"/>
      <c r="P373" s="22"/>
      <c r="R373" s="22"/>
      <c r="S373" s="27"/>
    </row>
    <row r="374" spans="1:19" s="20" customFormat="1" x14ac:dyDescent="0.25">
      <c r="A374" s="26"/>
      <c r="B374" s="21"/>
      <c r="C374" s="21"/>
      <c r="D374" s="22"/>
      <c r="H374" s="22"/>
      <c r="J374" s="22"/>
      <c r="K374" s="27"/>
      <c r="L374" s="22"/>
      <c r="N374" s="22"/>
      <c r="O374" s="27"/>
      <c r="P374" s="22"/>
      <c r="R374" s="22"/>
      <c r="S374" s="27"/>
    </row>
    <row r="375" spans="1:19" s="20" customFormat="1" x14ac:dyDescent="0.25">
      <c r="A375" s="26"/>
      <c r="B375" s="21"/>
      <c r="C375" s="21"/>
      <c r="D375" s="22"/>
      <c r="H375" s="22"/>
      <c r="J375" s="22"/>
      <c r="K375" s="27"/>
      <c r="L375" s="22"/>
      <c r="N375" s="22"/>
      <c r="O375" s="27"/>
      <c r="P375" s="22"/>
      <c r="R375" s="22"/>
      <c r="S375" s="27"/>
    </row>
    <row r="376" spans="1:19" s="20" customFormat="1" x14ac:dyDescent="0.25">
      <c r="A376" s="26"/>
      <c r="B376" s="21"/>
      <c r="C376" s="21"/>
      <c r="D376" s="22"/>
      <c r="H376" s="22"/>
      <c r="J376" s="22"/>
      <c r="K376" s="27"/>
      <c r="L376" s="22"/>
      <c r="N376" s="22"/>
      <c r="O376" s="27"/>
      <c r="P376" s="22"/>
      <c r="R376" s="22"/>
      <c r="S376" s="27"/>
    </row>
    <row r="377" spans="1:19" s="20" customFormat="1" x14ac:dyDescent="0.25">
      <c r="A377" s="26"/>
      <c r="B377" s="21"/>
      <c r="C377" s="21"/>
      <c r="D377" s="22"/>
      <c r="H377" s="22"/>
      <c r="J377" s="22"/>
      <c r="K377" s="27"/>
      <c r="L377" s="22"/>
      <c r="N377" s="22"/>
      <c r="O377" s="27"/>
      <c r="P377" s="22"/>
      <c r="R377" s="22"/>
      <c r="S377" s="27"/>
    </row>
    <row r="378" spans="1:19" s="20" customFormat="1" x14ac:dyDescent="0.25">
      <c r="A378" s="26"/>
      <c r="B378" s="21"/>
      <c r="C378" s="21"/>
      <c r="D378" s="22"/>
      <c r="H378" s="22"/>
      <c r="J378" s="22"/>
      <c r="K378" s="27"/>
      <c r="L378" s="22"/>
      <c r="N378" s="22"/>
      <c r="O378" s="27"/>
      <c r="P378" s="22"/>
      <c r="R378" s="22"/>
      <c r="S378" s="27"/>
    </row>
    <row r="379" spans="1:19" s="20" customFormat="1" x14ac:dyDescent="0.25">
      <c r="A379" s="26"/>
      <c r="B379" s="21"/>
      <c r="C379" s="21"/>
      <c r="D379" s="22"/>
      <c r="H379" s="22"/>
      <c r="J379" s="22"/>
      <c r="K379" s="27"/>
      <c r="L379" s="22"/>
      <c r="N379" s="22"/>
      <c r="O379" s="27"/>
      <c r="P379" s="22"/>
      <c r="R379" s="22"/>
      <c r="S379" s="27"/>
    </row>
    <row r="380" spans="1:19" s="20" customFormat="1" x14ac:dyDescent="0.25">
      <c r="A380" s="26"/>
      <c r="B380" s="21"/>
      <c r="C380" s="21"/>
      <c r="D380" s="22"/>
      <c r="H380" s="22"/>
      <c r="J380" s="22"/>
      <c r="K380" s="27"/>
      <c r="L380" s="22"/>
      <c r="N380" s="22"/>
      <c r="O380" s="27"/>
      <c r="P380" s="22"/>
      <c r="R380" s="22"/>
      <c r="S380" s="27"/>
    </row>
    <row r="381" spans="1:19" s="20" customFormat="1" x14ac:dyDescent="0.25">
      <c r="A381" s="26"/>
      <c r="B381" s="21"/>
      <c r="C381" s="21"/>
      <c r="D381" s="22"/>
      <c r="H381" s="22"/>
      <c r="J381" s="22"/>
      <c r="K381" s="27"/>
      <c r="L381" s="22"/>
      <c r="N381" s="22"/>
      <c r="O381" s="27"/>
      <c r="P381" s="22"/>
      <c r="R381" s="22"/>
      <c r="S381" s="27"/>
    </row>
    <row r="382" spans="1:19" s="20" customFormat="1" x14ac:dyDescent="0.25">
      <c r="A382" s="26"/>
      <c r="B382" s="21"/>
      <c r="C382" s="21"/>
      <c r="D382" s="22"/>
      <c r="H382" s="22"/>
      <c r="J382" s="22"/>
      <c r="K382" s="27"/>
      <c r="L382" s="22"/>
      <c r="N382" s="22"/>
      <c r="O382" s="27"/>
      <c r="P382" s="22"/>
      <c r="R382" s="22"/>
      <c r="S382" s="27"/>
    </row>
    <row r="383" spans="1:19" s="20" customFormat="1" x14ac:dyDescent="0.25">
      <c r="A383" s="26"/>
      <c r="B383" s="21"/>
      <c r="C383" s="21"/>
      <c r="D383" s="22"/>
      <c r="H383" s="22"/>
      <c r="J383" s="22"/>
      <c r="K383" s="27"/>
      <c r="L383" s="22"/>
      <c r="N383" s="22"/>
      <c r="O383" s="27"/>
      <c r="P383" s="22"/>
      <c r="R383" s="22"/>
      <c r="S383" s="27"/>
    </row>
    <row r="384" spans="1:19" s="20" customFormat="1" x14ac:dyDescent="0.25">
      <c r="A384" s="26"/>
      <c r="B384" s="21"/>
      <c r="C384" s="21"/>
      <c r="D384" s="22"/>
      <c r="H384" s="22"/>
      <c r="J384" s="22"/>
      <c r="K384" s="27"/>
      <c r="L384" s="22"/>
      <c r="N384" s="22"/>
      <c r="O384" s="27"/>
      <c r="P384" s="22"/>
      <c r="R384" s="22"/>
      <c r="S384" s="27"/>
    </row>
    <row r="385" spans="1:19" s="20" customFormat="1" x14ac:dyDescent="0.25">
      <c r="A385" s="26"/>
      <c r="B385" s="21"/>
      <c r="C385" s="21"/>
      <c r="D385" s="22"/>
      <c r="H385" s="22"/>
      <c r="J385" s="22"/>
      <c r="K385" s="27"/>
      <c r="L385" s="22"/>
      <c r="N385" s="22"/>
      <c r="O385" s="27"/>
      <c r="P385" s="22"/>
      <c r="R385" s="22"/>
      <c r="S385" s="27"/>
    </row>
    <row r="386" spans="1:19" s="20" customFormat="1" x14ac:dyDescent="0.25">
      <c r="A386" s="26"/>
      <c r="B386" s="21"/>
      <c r="C386" s="21"/>
      <c r="D386" s="22"/>
      <c r="H386" s="22"/>
      <c r="J386" s="22"/>
      <c r="K386" s="27"/>
      <c r="L386" s="22"/>
      <c r="N386" s="22"/>
      <c r="O386" s="27"/>
      <c r="P386" s="22"/>
      <c r="R386" s="22"/>
      <c r="S386" s="27"/>
    </row>
    <row r="387" spans="1:19" s="20" customFormat="1" x14ac:dyDescent="0.25">
      <c r="A387" s="26"/>
      <c r="B387" s="21"/>
      <c r="C387" s="21"/>
      <c r="D387" s="22"/>
      <c r="H387" s="22"/>
      <c r="J387" s="22"/>
      <c r="K387" s="27"/>
      <c r="L387" s="22"/>
      <c r="N387" s="22"/>
      <c r="O387" s="27"/>
      <c r="P387" s="22"/>
      <c r="R387" s="22"/>
      <c r="S387" s="27"/>
    </row>
    <row r="388" spans="1:19" s="20" customFormat="1" x14ac:dyDescent="0.25">
      <c r="A388" s="26"/>
      <c r="B388" s="21"/>
      <c r="C388" s="21"/>
      <c r="D388" s="22"/>
      <c r="H388" s="22"/>
      <c r="J388" s="22"/>
      <c r="K388" s="27"/>
      <c r="L388" s="22"/>
      <c r="N388" s="22"/>
      <c r="O388" s="27"/>
      <c r="P388" s="22"/>
      <c r="R388" s="22"/>
      <c r="S388" s="27"/>
    </row>
    <row r="389" spans="1:19" s="20" customFormat="1" x14ac:dyDescent="0.25">
      <c r="A389" s="26"/>
      <c r="B389" s="21"/>
      <c r="C389" s="21"/>
      <c r="D389" s="22"/>
      <c r="H389" s="22"/>
      <c r="J389" s="22"/>
      <c r="K389" s="27"/>
      <c r="L389" s="22"/>
      <c r="N389" s="22"/>
      <c r="O389" s="27"/>
      <c r="P389" s="22"/>
      <c r="R389" s="22"/>
      <c r="S389" s="27"/>
    </row>
    <row r="390" spans="1:19" s="20" customFormat="1" x14ac:dyDescent="0.25">
      <c r="A390" s="26"/>
      <c r="B390" s="21"/>
      <c r="C390" s="21"/>
      <c r="D390" s="22"/>
      <c r="H390" s="22"/>
      <c r="J390" s="22"/>
      <c r="K390" s="27"/>
      <c r="L390" s="22"/>
      <c r="N390" s="22"/>
      <c r="O390" s="27"/>
      <c r="P390" s="22"/>
      <c r="R390" s="22"/>
      <c r="S390" s="27"/>
    </row>
    <row r="391" spans="1:19" s="20" customFormat="1" x14ac:dyDescent="0.25">
      <c r="A391" s="26"/>
      <c r="B391" s="21"/>
      <c r="C391" s="21"/>
      <c r="D391" s="22"/>
      <c r="H391" s="22"/>
      <c r="J391" s="22"/>
      <c r="K391" s="27"/>
      <c r="L391" s="22"/>
      <c r="N391" s="22"/>
      <c r="O391" s="27"/>
      <c r="P391" s="22"/>
      <c r="R391" s="22"/>
      <c r="S391" s="27"/>
    </row>
    <row r="392" spans="1:19" s="20" customFormat="1" x14ac:dyDescent="0.25">
      <c r="A392" s="26"/>
      <c r="B392" s="21"/>
      <c r="C392" s="21"/>
      <c r="D392" s="22"/>
      <c r="H392" s="22"/>
      <c r="J392" s="22"/>
      <c r="K392" s="27"/>
      <c r="L392" s="22"/>
      <c r="N392" s="22"/>
      <c r="O392" s="27"/>
      <c r="P392" s="22"/>
      <c r="R392" s="22"/>
      <c r="S392" s="27"/>
    </row>
    <row r="393" spans="1:19" s="20" customFormat="1" x14ac:dyDescent="0.25">
      <c r="A393" s="26"/>
      <c r="B393" s="21"/>
      <c r="C393" s="21"/>
      <c r="D393" s="22"/>
      <c r="H393" s="22"/>
      <c r="J393" s="22"/>
      <c r="K393" s="27"/>
      <c r="L393" s="22"/>
      <c r="N393" s="22"/>
      <c r="O393" s="27"/>
      <c r="P393" s="22"/>
      <c r="R393" s="22"/>
      <c r="S393" s="27"/>
    </row>
    <row r="394" spans="1:19" s="20" customFormat="1" x14ac:dyDescent="0.25">
      <c r="A394" s="26"/>
      <c r="B394" s="21"/>
      <c r="C394" s="21"/>
      <c r="D394" s="22"/>
      <c r="H394" s="22"/>
      <c r="J394" s="22"/>
      <c r="K394" s="27"/>
      <c r="L394" s="22"/>
      <c r="N394" s="22"/>
      <c r="O394" s="27"/>
      <c r="P394" s="22"/>
      <c r="R394" s="22"/>
      <c r="S394" s="27"/>
    </row>
    <row r="395" spans="1:19" s="20" customFormat="1" x14ac:dyDescent="0.25">
      <c r="A395" s="26"/>
      <c r="B395" s="21"/>
      <c r="C395" s="21"/>
      <c r="D395" s="22"/>
      <c r="H395" s="22"/>
      <c r="J395" s="22"/>
      <c r="K395" s="27"/>
      <c r="L395" s="22"/>
      <c r="N395" s="22"/>
      <c r="O395" s="27"/>
      <c r="P395" s="22"/>
      <c r="R395" s="22"/>
      <c r="S395" s="27"/>
    </row>
    <row r="396" spans="1:19" s="20" customFormat="1" x14ac:dyDescent="0.25">
      <c r="A396" s="26"/>
      <c r="B396" s="21"/>
      <c r="C396" s="21"/>
      <c r="D396" s="22"/>
      <c r="H396" s="22"/>
      <c r="J396" s="22"/>
      <c r="K396" s="27"/>
      <c r="L396" s="22"/>
      <c r="N396" s="22"/>
      <c r="O396" s="27"/>
      <c r="P396" s="22"/>
      <c r="R396" s="22"/>
      <c r="S396" s="27"/>
    </row>
    <row r="397" spans="1:19" s="20" customFormat="1" x14ac:dyDescent="0.25">
      <c r="A397" s="26"/>
      <c r="B397" s="21"/>
      <c r="C397" s="21"/>
      <c r="D397" s="22"/>
      <c r="H397" s="22"/>
      <c r="J397" s="22"/>
      <c r="K397" s="27"/>
      <c r="L397" s="22"/>
      <c r="N397" s="22"/>
      <c r="O397" s="27"/>
      <c r="P397" s="22"/>
      <c r="R397" s="22"/>
      <c r="S397" s="27"/>
    </row>
    <row r="398" spans="1:19" s="20" customFormat="1" x14ac:dyDescent="0.25">
      <c r="A398" s="26"/>
      <c r="B398" s="21"/>
      <c r="C398" s="21"/>
      <c r="D398" s="22"/>
      <c r="H398" s="22"/>
      <c r="J398" s="22"/>
      <c r="K398" s="27"/>
      <c r="L398" s="22"/>
      <c r="N398" s="22"/>
      <c r="O398" s="27"/>
      <c r="P398" s="22"/>
      <c r="R398" s="22"/>
      <c r="S398" s="27"/>
    </row>
    <row r="399" spans="1:19" s="20" customFormat="1" x14ac:dyDescent="0.25">
      <c r="A399" s="26"/>
      <c r="B399" s="21"/>
      <c r="C399" s="21"/>
      <c r="D399" s="22"/>
      <c r="H399" s="22"/>
      <c r="J399" s="22"/>
      <c r="K399" s="27"/>
      <c r="L399" s="22"/>
      <c r="N399" s="22"/>
      <c r="O399" s="27"/>
      <c r="P399" s="22"/>
      <c r="R399" s="22"/>
      <c r="S399" s="27"/>
    </row>
    <row r="400" spans="1:19" s="20" customFormat="1" x14ac:dyDescent="0.25">
      <c r="A400" s="26"/>
      <c r="B400" s="21"/>
      <c r="C400" s="21"/>
      <c r="D400" s="22"/>
      <c r="H400" s="22"/>
      <c r="J400" s="22"/>
      <c r="K400" s="27"/>
      <c r="L400" s="22"/>
      <c r="N400" s="22"/>
      <c r="O400" s="27"/>
      <c r="P400" s="22"/>
      <c r="R400" s="22"/>
      <c r="S400" s="27"/>
    </row>
    <row r="401" spans="1:19" s="20" customFormat="1" x14ac:dyDescent="0.25">
      <c r="A401" s="26"/>
      <c r="B401" s="21"/>
      <c r="C401" s="21"/>
      <c r="D401" s="22"/>
      <c r="H401" s="22"/>
      <c r="J401" s="22"/>
      <c r="K401" s="27"/>
      <c r="L401" s="22"/>
      <c r="N401" s="22"/>
      <c r="O401" s="27"/>
      <c r="P401" s="22"/>
      <c r="R401" s="22"/>
      <c r="S401" s="27"/>
    </row>
    <row r="402" spans="1:19" s="20" customFormat="1" x14ac:dyDescent="0.25">
      <c r="A402" s="26"/>
      <c r="B402" s="21"/>
      <c r="C402" s="21"/>
      <c r="D402" s="22"/>
      <c r="H402" s="22"/>
      <c r="J402" s="22"/>
      <c r="K402" s="27"/>
      <c r="L402" s="22"/>
      <c r="N402" s="22"/>
      <c r="O402" s="27"/>
      <c r="P402" s="22"/>
      <c r="R402" s="22"/>
      <c r="S402" s="27"/>
    </row>
    <row r="403" spans="1:19" s="20" customFormat="1" x14ac:dyDescent="0.25">
      <c r="A403" s="26"/>
      <c r="B403" s="21"/>
      <c r="C403" s="21"/>
      <c r="D403" s="22"/>
      <c r="H403" s="22"/>
      <c r="J403" s="22"/>
      <c r="K403" s="27"/>
      <c r="L403" s="22"/>
      <c r="N403" s="22"/>
      <c r="O403" s="27"/>
      <c r="P403" s="22"/>
      <c r="R403" s="22"/>
      <c r="S403" s="27"/>
    </row>
    <row r="404" spans="1:19" s="20" customFormat="1" x14ac:dyDescent="0.25">
      <c r="A404" s="26"/>
      <c r="B404" s="21"/>
      <c r="C404" s="21"/>
      <c r="D404" s="22"/>
      <c r="H404" s="22"/>
      <c r="J404" s="22"/>
      <c r="K404" s="27"/>
      <c r="L404" s="22"/>
      <c r="N404" s="22"/>
      <c r="O404" s="27"/>
      <c r="P404" s="22"/>
      <c r="R404" s="22"/>
      <c r="S404" s="27"/>
    </row>
    <row r="405" spans="1:19" s="20" customFormat="1" x14ac:dyDescent="0.25">
      <c r="A405" s="26"/>
      <c r="B405" s="21"/>
      <c r="C405" s="21"/>
      <c r="D405" s="22"/>
      <c r="H405" s="22"/>
      <c r="J405" s="22"/>
      <c r="K405" s="27"/>
      <c r="L405" s="22"/>
      <c r="N405" s="22"/>
      <c r="O405" s="27"/>
      <c r="P405" s="22"/>
      <c r="R405" s="22"/>
      <c r="S405" s="27"/>
    </row>
    <row r="406" spans="1:19" s="20" customFormat="1" x14ac:dyDescent="0.25">
      <c r="A406" s="26"/>
      <c r="B406" s="21"/>
      <c r="C406" s="21"/>
      <c r="D406" s="22"/>
      <c r="H406" s="22"/>
      <c r="J406" s="22"/>
      <c r="K406" s="27"/>
      <c r="L406" s="22"/>
      <c r="N406" s="22"/>
      <c r="O406" s="27"/>
      <c r="P406" s="22"/>
      <c r="R406" s="22"/>
      <c r="S406" s="27"/>
    </row>
    <row r="407" spans="1:19" s="20" customFormat="1" x14ac:dyDescent="0.25">
      <c r="A407" s="26"/>
      <c r="B407" s="21"/>
      <c r="C407" s="21"/>
      <c r="D407" s="22"/>
      <c r="H407" s="22"/>
      <c r="J407" s="22"/>
      <c r="K407" s="27"/>
      <c r="L407" s="22"/>
      <c r="N407" s="22"/>
      <c r="O407" s="27"/>
      <c r="P407" s="22"/>
      <c r="R407" s="22"/>
      <c r="S407" s="27"/>
    </row>
    <row r="408" spans="1:19" s="20" customFormat="1" x14ac:dyDescent="0.25">
      <c r="A408" s="26"/>
      <c r="B408" s="21"/>
      <c r="C408" s="21"/>
      <c r="D408" s="22"/>
      <c r="H408" s="22"/>
      <c r="J408" s="22"/>
      <c r="K408" s="27"/>
      <c r="L408" s="22"/>
      <c r="N408" s="22"/>
      <c r="O408" s="27"/>
      <c r="P408" s="22"/>
      <c r="R408" s="22"/>
      <c r="S408" s="27"/>
    </row>
    <row r="409" spans="1:19" s="20" customFormat="1" x14ac:dyDescent="0.25">
      <c r="A409" s="26"/>
      <c r="B409" s="21"/>
      <c r="C409" s="21"/>
      <c r="D409" s="22"/>
      <c r="H409" s="22"/>
      <c r="J409" s="22"/>
      <c r="K409" s="27"/>
      <c r="L409" s="22"/>
      <c r="N409" s="22"/>
      <c r="O409" s="27"/>
      <c r="P409" s="22"/>
      <c r="R409" s="22"/>
      <c r="S409" s="27"/>
    </row>
    <row r="410" spans="1:19" s="20" customFormat="1" x14ac:dyDescent="0.25">
      <c r="A410" s="26"/>
      <c r="B410" s="21"/>
      <c r="C410" s="21"/>
      <c r="D410" s="22"/>
      <c r="H410" s="22"/>
      <c r="J410" s="22"/>
      <c r="K410" s="27"/>
      <c r="L410" s="22"/>
      <c r="N410" s="22"/>
      <c r="O410" s="27"/>
      <c r="P410" s="22"/>
      <c r="R410" s="22"/>
      <c r="S410" s="27"/>
    </row>
    <row r="411" spans="1:19" s="20" customFormat="1" x14ac:dyDescent="0.25">
      <c r="A411" s="26"/>
      <c r="B411" s="21"/>
      <c r="C411" s="21"/>
      <c r="D411" s="22"/>
      <c r="H411" s="22"/>
      <c r="J411" s="22"/>
      <c r="K411" s="27"/>
      <c r="L411" s="22"/>
      <c r="N411" s="22"/>
      <c r="O411" s="27"/>
      <c r="P411" s="22"/>
      <c r="R411" s="22"/>
      <c r="S411" s="27"/>
    </row>
    <row r="412" spans="1:19" s="20" customFormat="1" x14ac:dyDescent="0.25">
      <c r="A412" s="26"/>
      <c r="B412" s="21"/>
      <c r="C412" s="21"/>
      <c r="D412" s="22"/>
      <c r="H412" s="22"/>
      <c r="J412" s="22"/>
      <c r="K412" s="27"/>
      <c r="L412" s="22"/>
      <c r="N412" s="22"/>
      <c r="O412" s="27"/>
      <c r="P412" s="22"/>
      <c r="R412" s="22"/>
      <c r="S412" s="27"/>
    </row>
    <row r="413" spans="1:19" s="20" customFormat="1" x14ac:dyDescent="0.25">
      <c r="A413" s="26"/>
      <c r="B413" s="21"/>
      <c r="C413" s="21"/>
      <c r="D413" s="22"/>
      <c r="H413" s="22"/>
      <c r="J413" s="22"/>
      <c r="K413" s="27"/>
      <c r="L413" s="22"/>
      <c r="N413" s="22"/>
      <c r="O413" s="27"/>
      <c r="P413" s="22"/>
      <c r="R413" s="22"/>
      <c r="S413" s="27"/>
    </row>
    <row r="414" spans="1:19" s="20" customFormat="1" x14ac:dyDescent="0.25">
      <c r="A414" s="26"/>
      <c r="B414" s="21"/>
      <c r="C414" s="21"/>
      <c r="D414" s="22"/>
      <c r="H414" s="22"/>
      <c r="J414" s="22"/>
      <c r="K414" s="27"/>
      <c r="L414" s="22"/>
      <c r="N414" s="22"/>
      <c r="O414" s="27"/>
      <c r="P414" s="22"/>
      <c r="R414" s="22"/>
      <c r="S414" s="27"/>
    </row>
    <row r="415" spans="1:19" s="20" customFormat="1" x14ac:dyDescent="0.25">
      <c r="A415" s="26"/>
      <c r="B415" s="21"/>
      <c r="C415" s="21"/>
      <c r="D415" s="22"/>
      <c r="H415" s="22"/>
      <c r="J415" s="22"/>
      <c r="K415" s="27"/>
      <c r="L415" s="22"/>
      <c r="N415" s="22"/>
      <c r="O415" s="27"/>
      <c r="P415" s="22"/>
      <c r="R415" s="22"/>
      <c r="S415" s="27"/>
    </row>
    <row r="416" spans="1:19" s="20" customFormat="1" x14ac:dyDescent="0.25">
      <c r="A416" s="26"/>
      <c r="B416" s="21"/>
      <c r="C416" s="21"/>
      <c r="D416" s="22"/>
      <c r="H416" s="22"/>
      <c r="J416" s="22"/>
      <c r="K416" s="27"/>
      <c r="L416" s="22"/>
      <c r="N416" s="22"/>
      <c r="O416" s="27"/>
      <c r="P416" s="22"/>
      <c r="R416" s="22"/>
      <c r="S416" s="27"/>
    </row>
    <row r="417" spans="1:19" s="20" customFormat="1" x14ac:dyDescent="0.25">
      <c r="A417" s="26"/>
      <c r="B417" s="21"/>
      <c r="C417" s="21"/>
      <c r="D417" s="22"/>
      <c r="H417" s="22"/>
      <c r="J417" s="22"/>
      <c r="K417" s="27"/>
      <c r="L417" s="22"/>
      <c r="N417" s="22"/>
      <c r="O417" s="27"/>
      <c r="P417" s="22"/>
      <c r="R417" s="22"/>
      <c r="S417" s="27"/>
    </row>
    <row r="418" spans="1:19" s="20" customFormat="1" x14ac:dyDescent="0.25">
      <c r="A418" s="26"/>
      <c r="B418" s="21"/>
      <c r="C418" s="21"/>
      <c r="D418" s="22"/>
      <c r="H418" s="22"/>
      <c r="J418" s="22"/>
      <c r="K418" s="27"/>
      <c r="L418" s="22"/>
      <c r="N418" s="22"/>
      <c r="O418" s="27"/>
      <c r="P418" s="22"/>
      <c r="R418" s="22"/>
      <c r="S418" s="27"/>
    </row>
    <row r="419" spans="1:19" s="20" customFormat="1" x14ac:dyDescent="0.25">
      <c r="A419" s="26"/>
      <c r="B419" s="21"/>
      <c r="C419" s="21"/>
      <c r="D419" s="22"/>
      <c r="H419" s="22"/>
      <c r="J419" s="22"/>
      <c r="K419" s="27"/>
      <c r="L419" s="22"/>
      <c r="N419" s="22"/>
      <c r="O419" s="27"/>
      <c r="P419" s="22"/>
      <c r="R419" s="22"/>
      <c r="S419" s="27"/>
    </row>
    <row r="420" spans="1:19" s="20" customFormat="1" x14ac:dyDescent="0.25">
      <c r="A420" s="26"/>
      <c r="B420" s="21"/>
      <c r="C420" s="21"/>
      <c r="D420" s="22"/>
      <c r="H420" s="22"/>
      <c r="J420" s="22"/>
      <c r="K420" s="27"/>
      <c r="L420" s="22"/>
      <c r="N420" s="22"/>
      <c r="O420" s="27"/>
      <c r="P420" s="22"/>
      <c r="R420" s="22"/>
      <c r="S420" s="27"/>
    </row>
    <row r="421" spans="1:19" s="20" customFormat="1" x14ac:dyDescent="0.25">
      <c r="A421" s="26"/>
      <c r="B421" s="21"/>
      <c r="C421" s="21"/>
      <c r="D421" s="22"/>
      <c r="H421" s="22"/>
      <c r="J421" s="22"/>
      <c r="K421" s="27"/>
      <c r="L421" s="22"/>
      <c r="N421" s="22"/>
      <c r="O421" s="27"/>
      <c r="P421" s="22"/>
      <c r="R421" s="22"/>
      <c r="S421" s="27"/>
    </row>
    <row r="422" spans="1:19" s="20" customFormat="1" x14ac:dyDescent="0.25">
      <c r="A422" s="26"/>
      <c r="B422" s="21"/>
      <c r="C422" s="21"/>
      <c r="D422" s="22"/>
      <c r="H422" s="22"/>
      <c r="J422" s="22"/>
      <c r="K422" s="27"/>
      <c r="L422" s="22"/>
      <c r="N422" s="22"/>
      <c r="O422" s="27"/>
      <c r="P422" s="22"/>
      <c r="R422" s="22"/>
      <c r="S422" s="27"/>
    </row>
    <row r="423" spans="1:19" s="20" customFormat="1" x14ac:dyDescent="0.25">
      <c r="A423" s="26"/>
      <c r="B423" s="21"/>
      <c r="C423" s="21"/>
      <c r="D423" s="22"/>
      <c r="H423" s="22"/>
      <c r="J423" s="22"/>
      <c r="K423" s="27"/>
      <c r="L423" s="22"/>
      <c r="N423" s="22"/>
      <c r="O423" s="27"/>
      <c r="P423" s="22"/>
      <c r="R423" s="22"/>
      <c r="S423" s="27"/>
    </row>
    <row r="424" spans="1:19" s="20" customFormat="1" x14ac:dyDescent="0.25">
      <c r="A424" s="26"/>
      <c r="B424" s="21"/>
      <c r="C424" s="21"/>
      <c r="D424" s="22"/>
      <c r="H424" s="22"/>
      <c r="J424" s="22"/>
      <c r="K424" s="27"/>
      <c r="L424" s="22"/>
      <c r="N424" s="22"/>
      <c r="O424" s="27"/>
      <c r="P424" s="22"/>
      <c r="R424" s="22"/>
      <c r="S424" s="27"/>
    </row>
    <row r="425" spans="1:19" s="20" customFormat="1" x14ac:dyDescent="0.25">
      <c r="A425" s="26"/>
      <c r="B425" s="21"/>
      <c r="C425" s="21"/>
      <c r="D425" s="22"/>
      <c r="H425" s="22"/>
      <c r="J425" s="22"/>
      <c r="K425" s="27"/>
      <c r="L425" s="22"/>
      <c r="N425" s="22"/>
      <c r="O425" s="27"/>
      <c r="P425" s="22"/>
      <c r="R425" s="22"/>
      <c r="S425" s="27"/>
    </row>
    <row r="426" spans="1:19" s="20" customFormat="1" x14ac:dyDescent="0.25">
      <c r="A426" s="26"/>
      <c r="B426" s="21"/>
      <c r="C426" s="21"/>
      <c r="D426" s="22"/>
      <c r="H426" s="22"/>
      <c r="J426" s="22"/>
      <c r="K426" s="27"/>
      <c r="L426" s="22"/>
      <c r="N426" s="22"/>
      <c r="O426" s="27"/>
      <c r="P426" s="22"/>
      <c r="R426" s="22"/>
      <c r="S426" s="27"/>
    </row>
    <row r="427" spans="1:19" s="20" customFormat="1" x14ac:dyDescent="0.25">
      <c r="A427" s="26"/>
      <c r="B427" s="21"/>
      <c r="C427" s="21"/>
      <c r="D427" s="22"/>
      <c r="H427" s="22"/>
      <c r="J427" s="22"/>
      <c r="K427" s="27"/>
      <c r="L427" s="22"/>
      <c r="N427" s="22"/>
      <c r="O427" s="27"/>
      <c r="P427" s="22"/>
      <c r="R427" s="22"/>
      <c r="S427" s="27"/>
    </row>
    <row r="428" spans="1:19" s="20" customFormat="1" x14ac:dyDescent="0.25">
      <c r="A428" s="26"/>
      <c r="B428" s="21"/>
      <c r="C428" s="21"/>
      <c r="D428" s="22"/>
      <c r="H428" s="22"/>
      <c r="J428" s="22"/>
      <c r="K428" s="27"/>
      <c r="L428" s="22"/>
      <c r="N428" s="22"/>
      <c r="O428" s="27"/>
      <c r="P428" s="22"/>
      <c r="R428" s="22"/>
      <c r="S428" s="27"/>
    </row>
    <row r="429" spans="1:19" s="20" customFormat="1" x14ac:dyDescent="0.25">
      <c r="A429" s="26"/>
      <c r="B429" s="21"/>
      <c r="C429" s="21"/>
      <c r="D429" s="22"/>
      <c r="H429" s="22"/>
      <c r="J429" s="22"/>
      <c r="K429" s="27"/>
      <c r="L429" s="22"/>
      <c r="N429" s="22"/>
      <c r="O429" s="27"/>
      <c r="P429" s="22"/>
      <c r="R429" s="22"/>
      <c r="S429" s="27"/>
    </row>
    <row r="430" spans="1:19" s="20" customFormat="1" x14ac:dyDescent="0.25">
      <c r="A430" s="26"/>
      <c r="B430" s="21"/>
      <c r="C430" s="21"/>
      <c r="D430" s="22"/>
      <c r="H430" s="22"/>
      <c r="J430" s="22"/>
      <c r="K430" s="27"/>
      <c r="L430" s="22"/>
      <c r="N430" s="22"/>
      <c r="O430" s="27"/>
      <c r="P430" s="22"/>
      <c r="R430" s="22"/>
      <c r="S430" s="27"/>
    </row>
    <row r="431" spans="1:19" s="20" customFormat="1" x14ac:dyDescent="0.25">
      <c r="A431" s="26"/>
      <c r="B431" s="21"/>
      <c r="C431" s="21"/>
      <c r="D431" s="22"/>
      <c r="H431" s="22"/>
      <c r="J431" s="22"/>
      <c r="K431" s="27"/>
      <c r="L431" s="22"/>
      <c r="N431" s="22"/>
      <c r="O431" s="27"/>
      <c r="P431" s="22"/>
      <c r="R431" s="22"/>
      <c r="S431" s="27"/>
    </row>
    <row r="432" spans="1:19" s="20" customFormat="1" x14ac:dyDescent="0.25">
      <c r="A432" s="26"/>
      <c r="B432" s="21"/>
      <c r="C432" s="21"/>
      <c r="D432" s="22"/>
      <c r="H432" s="22"/>
      <c r="J432" s="22"/>
      <c r="K432" s="27"/>
      <c r="L432" s="22"/>
      <c r="N432" s="22"/>
      <c r="O432" s="27"/>
      <c r="P432" s="22"/>
      <c r="R432" s="22"/>
      <c r="S432" s="27"/>
    </row>
    <row r="433" spans="1:19" s="20" customFormat="1" x14ac:dyDescent="0.25">
      <c r="A433" s="26"/>
      <c r="B433" s="21"/>
      <c r="C433" s="21"/>
      <c r="D433" s="22"/>
      <c r="H433" s="22"/>
      <c r="J433" s="22"/>
      <c r="K433" s="27"/>
      <c r="L433" s="22"/>
      <c r="N433" s="22"/>
      <c r="O433" s="27"/>
      <c r="P433" s="22"/>
      <c r="R433" s="22"/>
      <c r="S433" s="27"/>
    </row>
    <row r="434" spans="1:19" s="20" customFormat="1" x14ac:dyDescent="0.25">
      <c r="A434" s="26"/>
      <c r="B434" s="21"/>
      <c r="C434" s="21"/>
      <c r="D434" s="22"/>
      <c r="H434" s="22"/>
      <c r="J434" s="22"/>
      <c r="K434" s="27"/>
      <c r="L434" s="22"/>
      <c r="N434" s="22"/>
      <c r="O434" s="27"/>
      <c r="P434" s="22"/>
      <c r="R434" s="22"/>
      <c r="S434" s="27"/>
    </row>
    <row r="435" spans="1:19" s="20" customFormat="1" x14ac:dyDescent="0.25">
      <c r="A435" s="26"/>
      <c r="B435" s="21"/>
      <c r="C435" s="21"/>
      <c r="D435" s="22"/>
      <c r="H435" s="22"/>
      <c r="J435" s="22"/>
      <c r="K435" s="27"/>
      <c r="L435" s="22"/>
      <c r="N435" s="22"/>
      <c r="O435" s="27"/>
      <c r="P435" s="22"/>
      <c r="R435" s="22"/>
      <c r="S435" s="27"/>
    </row>
    <row r="436" spans="1:19" s="20" customFormat="1" x14ac:dyDescent="0.25">
      <c r="A436" s="26"/>
      <c r="B436" s="21"/>
      <c r="C436" s="21"/>
      <c r="D436" s="22"/>
      <c r="H436" s="22"/>
      <c r="J436" s="22"/>
      <c r="K436" s="27"/>
      <c r="L436" s="22"/>
      <c r="N436" s="22"/>
      <c r="O436" s="27"/>
      <c r="P436" s="22"/>
      <c r="R436" s="22"/>
      <c r="S436" s="27"/>
    </row>
    <row r="437" spans="1:19" s="20" customFormat="1" x14ac:dyDescent="0.25">
      <c r="A437" s="26"/>
      <c r="B437" s="21"/>
      <c r="C437" s="21"/>
      <c r="D437" s="22"/>
      <c r="H437" s="22"/>
      <c r="J437" s="22"/>
      <c r="K437" s="27"/>
      <c r="L437" s="22"/>
      <c r="N437" s="22"/>
      <c r="O437" s="27"/>
      <c r="P437" s="22"/>
      <c r="R437" s="22"/>
      <c r="S437" s="27"/>
    </row>
    <row r="438" spans="1:19" s="20" customFormat="1" x14ac:dyDescent="0.25">
      <c r="A438" s="26"/>
      <c r="B438" s="21"/>
      <c r="C438" s="21"/>
      <c r="D438" s="22"/>
      <c r="H438" s="22"/>
      <c r="J438" s="22"/>
      <c r="K438" s="27"/>
      <c r="L438" s="22"/>
      <c r="N438" s="22"/>
      <c r="O438" s="27"/>
      <c r="P438" s="22"/>
      <c r="R438" s="22"/>
      <c r="S438" s="27"/>
    </row>
    <row r="439" spans="1:19" s="20" customFormat="1" x14ac:dyDescent="0.25">
      <c r="A439" s="26"/>
      <c r="B439" s="21"/>
      <c r="C439" s="21"/>
      <c r="D439" s="22"/>
      <c r="H439" s="22"/>
      <c r="J439" s="22"/>
      <c r="K439" s="27"/>
      <c r="L439" s="22"/>
      <c r="N439" s="22"/>
      <c r="O439" s="27"/>
      <c r="P439" s="22"/>
      <c r="R439" s="22"/>
      <c r="S439" s="27"/>
    </row>
    <row r="440" spans="1:19" s="20" customFormat="1" x14ac:dyDescent="0.25">
      <c r="A440" s="26"/>
      <c r="B440" s="21"/>
      <c r="C440" s="21"/>
      <c r="D440" s="22"/>
      <c r="H440" s="22"/>
      <c r="J440" s="22"/>
      <c r="K440" s="27"/>
      <c r="L440" s="22"/>
      <c r="N440" s="22"/>
      <c r="O440" s="27"/>
      <c r="P440" s="22"/>
      <c r="R440" s="22"/>
      <c r="S440" s="27"/>
    </row>
    <row r="441" spans="1:19" s="20" customFormat="1" x14ac:dyDescent="0.25">
      <c r="A441" s="26"/>
      <c r="B441" s="21"/>
      <c r="C441" s="21"/>
      <c r="D441" s="22"/>
      <c r="H441" s="22"/>
      <c r="J441" s="22"/>
      <c r="K441" s="27"/>
      <c r="L441" s="22"/>
      <c r="N441" s="22"/>
      <c r="O441" s="27"/>
      <c r="P441" s="22"/>
      <c r="R441" s="22"/>
      <c r="S441" s="27"/>
    </row>
    <row r="442" spans="1:19" s="20" customFormat="1" x14ac:dyDescent="0.25">
      <c r="A442" s="26"/>
      <c r="B442" s="21"/>
      <c r="C442" s="21"/>
      <c r="D442" s="22"/>
      <c r="H442" s="22"/>
      <c r="J442" s="22"/>
      <c r="K442" s="27"/>
      <c r="L442" s="22"/>
      <c r="N442" s="22"/>
      <c r="O442" s="27"/>
      <c r="P442" s="22"/>
      <c r="R442" s="22"/>
      <c r="S442" s="27"/>
    </row>
    <row r="443" spans="1:19" s="20" customFormat="1" x14ac:dyDescent="0.25">
      <c r="A443" s="26"/>
      <c r="B443" s="21"/>
      <c r="C443" s="21"/>
      <c r="D443" s="22"/>
      <c r="H443" s="22"/>
      <c r="J443" s="22"/>
      <c r="K443" s="27"/>
      <c r="L443" s="22"/>
      <c r="N443" s="22"/>
      <c r="O443" s="27"/>
      <c r="P443" s="22"/>
      <c r="R443" s="22"/>
      <c r="S443" s="27"/>
    </row>
    <row r="444" spans="1:19" s="20" customFormat="1" x14ac:dyDescent="0.25">
      <c r="A444" s="26"/>
      <c r="B444" s="21"/>
      <c r="C444" s="21"/>
      <c r="D444" s="22"/>
      <c r="H444" s="22"/>
      <c r="J444" s="22"/>
      <c r="K444" s="27"/>
      <c r="L444" s="22"/>
      <c r="N444" s="22"/>
      <c r="O444" s="27"/>
      <c r="P444" s="22"/>
      <c r="R444" s="22"/>
      <c r="S444" s="27"/>
    </row>
    <row r="445" spans="1:19" s="20" customFormat="1" x14ac:dyDescent="0.25">
      <c r="A445" s="26"/>
      <c r="B445" s="21"/>
      <c r="C445" s="21"/>
      <c r="D445" s="22"/>
      <c r="H445" s="22"/>
      <c r="J445" s="22"/>
      <c r="K445" s="27"/>
      <c r="L445" s="22"/>
      <c r="N445" s="22"/>
      <c r="O445" s="27"/>
      <c r="P445" s="22"/>
      <c r="R445" s="22"/>
      <c r="S445" s="27"/>
    </row>
    <row r="446" spans="1:19" s="20" customFormat="1" x14ac:dyDescent="0.25">
      <c r="A446" s="26"/>
      <c r="B446" s="21"/>
      <c r="C446" s="21"/>
      <c r="D446" s="22"/>
      <c r="H446" s="22"/>
      <c r="J446" s="22"/>
      <c r="K446" s="27"/>
      <c r="L446" s="22"/>
      <c r="N446" s="22"/>
      <c r="O446" s="27"/>
      <c r="P446" s="22"/>
      <c r="R446" s="22"/>
      <c r="S446" s="27"/>
    </row>
    <row r="447" spans="1:19" s="20" customFormat="1" x14ac:dyDescent="0.25">
      <c r="A447" s="26"/>
      <c r="B447" s="21"/>
      <c r="C447" s="21"/>
      <c r="D447" s="22"/>
      <c r="H447" s="22"/>
      <c r="J447" s="22"/>
      <c r="K447" s="27"/>
      <c r="L447" s="22"/>
      <c r="N447" s="22"/>
      <c r="O447" s="27"/>
      <c r="P447" s="22"/>
      <c r="R447" s="22"/>
      <c r="S447" s="27"/>
    </row>
    <row r="448" spans="1:19" s="20" customFormat="1" x14ac:dyDescent="0.25">
      <c r="A448" s="26"/>
      <c r="B448" s="21"/>
      <c r="C448" s="21"/>
      <c r="D448" s="22"/>
      <c r="H448" s="22"/>
      <c r="J448" s="22"/>
      <c r="K448" s="27"/>
      <c r="L448" s="22"/>
      <c r="N448" s="22"/>
      <c r="O448" s="27"/>
      <c r="P448" s="22"/>
      <c r="R448" s="22"/>
      <c r="S448" s="27"/>
    </row>
    <row r="449" spans="1:19" s="20" customFormat="1" x14ac:dyDescent="0.25">
      <c r="A449" s="26"/>
      <c r="B449" s="21"/>
      <c r="C449" s="21"/>
      <c r="D449" s="22"/>
      <c r="H449" s="22"/>
      <c r="J449" s="22"/>
      <c r="K449" s="27"/>
      <c r="L449" s="22"/>
      <c r="N449" s="22"/>
      <c r="O449" s="27"/>
      <c r="P449" s="22"/>
      <c r="R449" s="22"/>
      <c r="S449" s="27"/>
    </row>
    <row r="450" spans="1:19" s="20" customFormat="1" x14ac:dyDescent="0.25">
      <c r="A450" s="26"/>
      <c r="B450" s="21"/>
      <c r="C450" s="21"/>
      <c r="D450" s="22"/>
      <c r="H450" s="22"/>
      <c r="J450" s="22"/>
      <c r="K450" s="27"/>
      <c r="L450" s="22"/>
      <c r="N450" s="22"/>
      <c r="O450" s="27"/>
      <c r="P450" s="22"/>
      <c r="R450" s="22"/>
      <c r="S450" s="27"/>
    </row>
    <row r="451" spans="1:19" s="20" customFormat="1" x14ac:dyDescent="0.25">
      <c r="A451" s="26"/>
      <c r="B451" s="21"/>
      <c r="C451" s="21"/>
      <c r="D451" s="22"/>
      <c r="H451" s="22"/>
      <c r="J451" s="22"/>
      <c r="K451" s="27"/>
      <c r="L451" s="22"/>
      <c r="N451" s="22"/>
      <c r="O451" s="27"/>
      <c r="P451" s="22"/>
      <c r="R451" s="22"/>
      <c r="S451" s="27"/>
    </row>
    <row r="452" spans="1:19" s="20" customFormat="1" x14ac:dyDescent="0.25">
      <c r="A452" s="26"/>
      <c r="B452" s="21"/>
      <c r="C452" s="21"/>
      <c r="D452" s="22"/>
      <c r="H452" s="22"/>
      <c r="J452" s="22"/>
      <c r="K452" s="27"/>
      <c r="L452" s="22"/>
      <c r="N452" s="22"/>
      <c r="O452" s="27"/>
      <c r="P452" s="22"/>
      <c r="R452" s="22"/>
      <c r="S452" s="27"/>
    </row>
    <row r="453" spans="1:19" s="20" customFormat="1" x14ac:dyDescent="0.25">
      <c r="A453" s="26"/>
      <c r="B453" s="21"/>
      <c r="C453" s="21"/>
      <c r="D453" s="22"/>
      <c r="H453" s="22"/>
      <c r="J453" s="22"/>
      <c r="K453" s="27"/>
      <c r="L453" s="22"/>
      <c r="N453" s="22"/>
      <c r="O453" s="27"/>
      <c r="P453" s="22"/>
      <c r="R453" s="22"/>
      <c r="S453" s="27"/>
    </row>
    <row r="454" spans="1:19" s="20" customFormat="1" x14ac:dyDescent="0.25">
      <c r="A454" s="26"/>
      <c r="B454" s="21"/>
      <c r="C454" s="21"/>
      <c r="D454" s="22"/>
      <c r="H454" s="22"/>
      <c r="J454" s="22"/>
      <c r="K454" s="27"/>
      <c r="L454" s="22"/>
      <c r="N454" s="22"/>
      <c r="O454" s="27"/>
      <c r="P454" s="22"/>
      <c r="R454" s="22"/>
      <c r="S454" s="27"/>
    </row>
    <row r="455" spans="1:19" s="20" customFormat="1" x14ac:dyDescent="0.25">
      <c r="A455" s="26"/>
      <c r="B455" s="21"/>
      <c r="C455" s="21"/>
      <c r="D455" s="22"/>
      <c r="H455" s="22"/>
      <c r="J455" s="22"/>
      <c r="K455" s="27"/>
      <c r="L455" s="22"/>
      <c r="N455" s="22"/>
      <c r="O455" s="27"/>
      <c r="P455" s="22"/>
      <c r="R455" s="22"/>
      <c r="S455" s="27"/>
    </row>
    <row r="456" spans="1:19" s="20" customFormat="1" x14ac:dyDescent="0.25">
      <c r="A456" s="26"/>
      <c r="B456" s="21"/>
      <c r="C456" s="21"/>
      <c r="D456" s="22"/>
      <c r="H456" s="22"/>
      <c r="J456" s="22"/>
      <c r="K456" s="27"/>
      <c r="L456" s="22"/>
      <c r="N456" s="22"/>
      <c r="O456" s="27"/>
      <c r="P456" s="22"/>
      <c r="R456" s="22"/>
      <c r="S456" s="27"/>
    </row>
    <row r="457" spans="1:19" s="20" customFormat="1" x14ac:dyDescent="0.25">
      <c r="A457" s="26"/>
      <c r="B457" s="21"/>
      <c r="C457" s="21"/>
      <c r="D457" s="22"/>
      <c r="H457" s="22"/>
      <c r="J457" s="22"/>
      <c r="K457" s="27"/>
      <c r="L457" s="22"/>
      <c r="N457" s="22"/>
      <c r="O457" s="27"/>
      <c r="P457" s="22"/>
      <c r="R457" s="22"/>
      <c r="S457" s="27"/>
    </row>
    <row r="458" spans="1:19" s="20" customFormat="1" x14ac:dyDescent="0.25">
      <c r="A458" s="26"/>
      <c r="B458" s="21"/>
      <c r="C458" s="21"/>
      <c r="D458" s="22"/>
      <c r="H458" s="22"/>
      <c r="J458" s="22"/>
      <c r="K458" s="27"/>
      <c r="L458" s="22"/>
      <c r="N458" s="22"/>
      <c r="O458" s="27"/>
      <c r="P458" s="22"/>
      <c r="R458" s="22"/>
      <c r="S458" s="27"/>
    </row>
    <row r="459" spans="1:19" s="20" customFormat="1" x14ac:dyDescent="0.25">
      <c r="A459" s="26"/>
      <c r="B459" s="21"/>
      <c r="C459" s="21"/>
      <c r="D459" s="22"/>
      <c r="H459" s="22"/>
      <c r="J459" s="22"/>
      <c r="K459" s="27"/>
      <c r="L459" s="22"/>
      <c r="N459" s="22"/>
      <c r="O459" s="27"/>
      <c r="P459" s="22"/>
      <c r="R459" s="22"/>
      <c r="S459" s="27"/>
    </row>
    <row r="460" spans="1:19" s="20" customFormat="1" x14ac:dyDescent="0.25">
      <c r="A460" s="26"/>
      <c r="B460" s="21"/>
      <c r="C460" s="21"/>
      <c r="D460" s="22"/>
      <c r="H460" s="22"/>
      <c r="J460" s="22"/>
      <c r="K460" s="27"/>
      <c r="L460" s="22"/>
      <c r="N460" s="22"/>
      <c r="O460" s="27"/>
      <c r="P460" s="22"/>
      <c r="R460" s="22"/>
      <c r="S460" s="27"/>
    </row>
    <row r="461" spans="1:19" s="20" customFormat="1" x14ac:dyDescent="0.25">
      <c r="A461" s="26"/>
      <c r="B461" s="21"/>
      <c r="C461" s="21"/>
      <c r="D461" s="22"/>
      <c r="H461" s="22"/>
      <c r="J461" s="22"/>
      <c r="K461" s="27"/>
      <c r="L461" s="22"/>
      <c r="N461" s="22"/>
      <c r="O461" s="27"/>
      <c r="P461" s="22"/>
      <c r="R461" s="22"/>
      <c r="S461" s="27"/>
    </row>
    <row r="462" spans="1:19" s="20" customFormat="1" x14ac:dyDescent="0.25">
      <c r="A462" s="26"/>
      <c r="B462" s="21"/>
      <c r="C462" s="21"/>
      <c r="D462" s="22"/>
      <c r="H462" s="22"/>
      <c r="J462" s="22"/>
      <c r="K462" s="27"/>
      <c r="L462" s="22"/>
      <c r="N462" s="22"/>
      <c r="O462" s="27"/>
      <c r="P462" s="22"/>
      <c r="R462" s="22"/>
      <c r="S462" s="27"/>
    </row>
    <row r="463" spans="1:19" s="20" customFormat="1" x14ac:dyDescent="0.25">
      <c r="A463" s="26"/>
      <c r="B463" s="21"/>
      <c r="C463" s="21"/>
      <c r="D463" s="22"/>
      <c r="H463" s="22"/>
      <c r="J463" s="22"/>
      <c r="K463" s="27"/>
      <c r="L463" s="22"/>
      <c r="N463" s="22"/>
      <c r="O463" s="27"/>
      <c r="P463" s="22"/>
      <c r="R463" s="22"/>
      <c r="S463" s="27"/>
    </row>
    <row r="464" spans="1:19" s="20" customFormat="1" x14ac:dyDescent="0.25">
      <c r="A464" s="26"/>
      <c r="B464" s="21"/>
      <c r="C464" s="21"/>
      <c r="D464" s="22"/>
      <c r="H464" s="22"/>
      <c r="J464" s="22"/>
      <c r="K464" s="27"/>
      <c r="L464" s="22"/>
      <c r="N464" s="22"/>
      <c r="O464" s="27"/>
      <c r="P464" s="22"/>
      <c r="R464" s="22"/>
      <c r="S464" s="27"/>
    </row>
    <row r="465" spans="1:19" s="20" customFormat="1" x14ac:dyDescent="0.25">
      <c r="A465" s="26"/>
      <c r="B465" s="21"/>
      <c r="C465" s="21"/>
      <c r="D465" s="22"/>
      <c r="H465" s="22"/>
      <c r="J465" s="22"/>
      <c r="K465" s="27"/>
      <c r="L465" s="22"/>
      <c r="N465" s="22"/>
      <c r="O465" s="27"/>
      <c r="P465" s="22"/>
      <c r="R465" s="22"/>
      <c r="S465" s="27"/>
    </row>
    <row r="466" spans="1:19" s="20" customFormat="1" x14ac:dyDescent="0.25">
      <c r="A466" s="26"/>
      <c r="B466" s="21"/>
      <c r="C466" s="21"/>
      <c r="D466" s="22"/>
      <c r="H466" s="22"/>
      <c r="J466" s="22"/>
      <c r="K466" s="27"/>
      <c r="L466" s="22"/>
      <c r="N466" s="22"/>
      <c r="O466" s="27"/>
      <c r="P466" s="22"/>
      <c r="R466" s="22"/>
      <c r="S466" s="27"/>
    </row>
    <row r="467" spans="1:19" s="20" customFormat="1" x14ac:dyDescent="0.25">
      <c r="A467" s="26"/>
      <c r="B467" s="21"/>
      <c r="C467" s="21"/>
      <c r="D467" s="22"/>
      <c r="H467" s="22"/>
      <c r="J467" s="22"/>
      <c r="K467" s="27"/>
      <c r="L467" s="22"/>
      <c r="N467" s="22"/>
      <c r="O467" s="27"/>
      <c r="P467" s="22"/>
      <c r="R467" s="22"/>
      <c r="S467" s="27"/>
    </row>
    <row r="468" spans="1:19" s="20" customFormat="1" x14ac:dyDescent="0.25">
      <c r="A468" s="26"/>
      <c r="B468" s="21"/>
      <c r="C468" s="21"/>
      <c r="D468" s="22"/>
      <c r="H468" s="22"/>
      <c r="J468" s="22"/>
      <c r="K468" s="27"/>
      <c r="L468" s="22"/>
      <c r="N468" s="22"/>
      <c r="O468" s="27"/>
      <c r="P468" s="22"/>
      <c r="R468" s="22"/>
      <c r="S468" s="27"/>
    </row>
    <row r="469" spans="1:19" s="20" customFormat="1" x14ac:dyDescent="0.25">
      <c r="A469" s="26"/>
      <c r="B469" s="21"/>
      <c r="C469" s="21"/>
      <c r="D469" s="22"/>
      <c r="H469" s="22"/>
      <c r="J469" s="22"/>
      <c r="K469" s="27"/>
      <c r="L469" s="22"/>
      <c r="N469" s="22"/>
      <c r="O469" s="27"/>
      <c r="P469" s="22"/>
      <c r="R469" s="22"/>
      <c r="S469" s="27"/>
    </row>
    <row r="470" spans="1:19" s="20" customFormat="1" x14ac:dyDescent="0.25">
      <c r="A470" s="26"/>
      <c r="B470" s="21"/>
      <c r="C470" s="21"/>
      <c r="D470" s="22"/>
      <c r="H470" s="22"/>
      <c r="J470" s="22"/>
      <c r="K470" s="27"/>
      <c r="L470" s="22"/>
      <c r="N470" s="22"/>
      <c r="O470" s="27"/>
      <c r="P470" s="22"/>
      <c r="R470" s="22"/>
      <c r="S470" s="27"/>
    </row>
    <row r="471" spans="1:19" s="20" customFormat="1" x14ac:dyDescent="0.25">
      <c r="A471" s="26"/>
      <c r="B471" s="21"/>
      <c r="C471" s="21"/>
      <c r="D471" s="22"/>
      <c r="H471" s="22"/>
      <c r="J471" s="22"/>
      <c r="K471" s="27"/>
      <c r="L471" s="22"/>
      <c r="N471" s="22"/>
      <c r="O471" s="27"/>
      <c r="P471" s="22"/>
      <c r="R471" s="22"/>
      <c r="S471" s="27"/>
    </row>
    <row r="472" spans="1:19" s="20" customFormat="1" x14ac:dyDescent="0.25">
      <c r="A472" s="26"/>
      <c r="B472" s="21"/>
      <c r="C472" s="21"/>
      <c r="D472" s="22"/>
      <c r="H472" s="22"/>
      <c r="J472" s="22"/>
      <c r="K472" s="27"/>
      <c r="L472" s="22"/>
      <c r="N472" s="22"/>
      <c r="O472" s="27"/>
      <c r="P472" s="22"/>
      <c r="R472" s="22"/>
      <c r="S472" s="27"/>
    </row>
    <row r="473" spans="1:19" s="20" customFormat="1" x14ac:dyDescent="0.25">
      <c r="A473" s="26"/>
      <c r="B473" s="21"/>
      <c r="C473" s="21"/>
      <c r="D473" s="22"/>
      <c r="H473" s="22"/>
      <c r="J473" s="22"/>
      <c r="K473" s="27"/>
      <c r="L473" s="22"/>
      <c r="N473" s="22"/>
      <c r="O473" s="27"/>
      <c r="P473" s="22"/>
      <c r="R473" s="22"/>
      <c r="S473" s="27"/>
    </row>
    <row r="474" spans="1:19" s="20" customFormat="1" x14ac:dyDescent="0.25">
      <c r="A474" s="26"/>
      <c r="B474" s="21"/>
      <c r="C474" s="21"/>
      <c r="D474" s="22"/>
      <c r="H474" s="22"/>
      <c r="J474" s="22"/>
      <c r="K474" s="27"/>
      <c r="L474" s="22"/>
      <c r="N474" s="22"/>
      <c r="O474" s="27"/>
      <c r="P474" s="22"/>
      <c r="R474" s="22"/>
      <c r="S474" s="27"/>
    </row>
    <row r="475" spans="1:19" s="20" customFormat="1" x14ac:dyDescent="0.25">
      <c r="A475" s="26"/>
      <c r="B475" s="21"/>
      <c r="C475" s="21"/>
      <c r="D475" s="22"/>
      <c r="H475" s="22"/>
      <c r="J475" s="22"/>
      <c r="K475" s="27"/>
      <c r="L475" s="22"/>
      <c r="N475" s="22"/>
      <c r="O475" s="27"/>
      <c r="P475" s="22"/>
      <c r="R475" s="22"/>
      <c r="S475" s="27"/>
    </row>
    <row r="476" spans="1:19" s="20" customFormat="1" x14ac:dyDescent="0.25">
      <c r="A476" s="26"/>
      <c r="B476" s="21"/>
      <c r="C476" s="21"/>
      <c r="D476" s="22"/>
      <c r="H476" s="22"/>
      <c r="J476" s="22"/>
      <c r="K476" s="27"/>
      <c r="L476" s="22"/>
      <c r="N476" s="22"/>
      <c r="O476" s="27"/>
      <c r="P476" s="22"/>
      <c r="R476" s="22"/>
      <c r="S476" s="27"/>
    </row>
    <row r="477" spans="1:19" s="20" customFormat="1" x14ac:dyDescent="0.25">
      <c r="A477" s="26"/>
      <c r="B477" s="21"/>
      <c r="C477" s="21"/>
      <c r="D477" s="22"/>
      <c r="H477" s="22"/>
      <c r="J477" s="22"/>
      <c r="K477" s="27"/>
      <c r="L477" s="22"/>
      <c r="N477" s="22"/>
      <c r="O477" s="27"/>
      <c r="P477" s="22"/>
      <c r="R477" s="22"/>
      <c r="S477" s="27"/>
    </row>
    <row r="478" spans="1:19" s="20" customFormat="1" x14ac:dyDescent="0.25">
      <c r="A478" s="26"/>
      <c r="B478" s="21"/>
      <c r="C478" s="21"/>
      <c r="D478" s="22"/>
      <c r="H478" s="22"/>
      <c r="J478" s="22"/>
      <c r="K478" s="27"/>
      <c r="L478" s="22"/>
      <c r="N478" s="22"/>
      <c r="O478" s="27"/>
      <c r="P478" s="22"/>
      <c r="R478" s="22"/>
      <c r="S478" s="27"/>
    </row>
    <row r="479" spans="1:19" s="20" customFormat="1" x14ac:dyDescent="0.25">
      <c r="A479" s="26"/>
      <c r="B479" s="21"/>
      <c r="C479" s="21"/>
      <c r="D479" s="22"/>
      <c r="H479" s="22"/>
      <c r="J479" s="22"/>
      <c r="K479" s="27"/>
      <c r="L479" s="22"/>
      <c r="N479" s="22"/>
      <c r="O479" s="27"/>
      <c r="P479" s="22"/>
      <c r="R479" s="22"/>
      <c r="S479" s="27"/>
    </row>
    <row r="480" spans="1:19" s="20" customFormat="1" x14ac:dyDescent="0.25">
      <c r="A480" s="26"/>
      <c r="B480" s="21"/>
      <c r="C480" s="21"/>
      <c r="D480" s="22"/>
      <c r="H480" s="22"/>
      <c r="J480" s="22"/>
      <c r="K480" s="27"/>
      <c r="L480" s="22"/>
      <c r="N480" s="22"/>
      <c r="O480" s="27"/>
      <c r="P480" s="22"/>
      <c r="R480" s="22"/>
      <c r="S480" s="27"/>
    </row>
    <row r="481" spans="1:19" s="20" customFormat="1" x14ac:dyDescent="0.25">
      <c r="A481" s="26"/>
      <c r="B481" s="21"/>
      <c r="C481" s="21"/>
      <c r="D481" s="22"/>
      <c r="H481" s="22"/>
      <c r="J481" s="22"/>
      <c r="K481" s="27"/>
      <c r="L481" s="22"/>
      <c r="N481" s="22"/>
      <c r="O481" s="27"/>
      <c r="P481" s="22"/>
      <c r="R481" s="22"/>
      <c r="S481" s="27"/>
    </row>
    <row r="482" spans="1:19" s="20" customFormat="1" x14ac:dyDescent="0.25">
      <c r="A482" s="26"/>
      <c r="B482" s="21"/>
      <c r="C482" s="21"/>
      <c r="D482" s="22"/>
      <c r="H482" s="22"/>
      <c r="J482" s="22"/>
      <c r="K482" s="27"/>
      <c r="L482" s="22"/>
      <c r="N482" s="22"/>
      <c r="O482" s="27"/>
      <c r="P482" s="22"/>
      <c r="R482" s="22"/>
      <c r="S482" s="27"/>
    </row>
    <row r="483" spans="1:19" s="20" customFormat="1" x14ac:dyDescent="0.25">
      <c r="A483" s="26"/>
      <c r="B483" s="21"/>
      <c r="C483" s="21"/>
      <c r="D483" s="22"/>
      <c r="H483" s="22"/>
      <c r="J483" s="22"/>
      <c r="K483" s="27"/>
      <c r="L483" s="22"/>
      <c r="N483" s="22"/>
      <c r="O483" s="27"/>
      <c r="P483" s="22"/>
      <c r="R483" s="22"/>
      <c r="S483" s="27"/>
    </row>
    <row r="484" spans="1:19" s="20" customFormat="1" x14ac:dyDescent="0.25">
      <c r="A484" s="26"/>
      <c r="B484" s="21"/>
      <c r="C484" s="21"/>
      <c r="D484" s="22"/>
      <c r="H484" s="22"/>
      <c r="J484" s="22"/>
      <c r="K484" s="27"/>
      <c r="L484" s="22"/>
      <c r="N484" s="22"/>
      <c r="O484" s="27"/>
      <c r="P484" s="22"/>
      <c r="R484" s="22"/>
      <c r="S484" s="27"/>
    </row>
    <row r="485" spans="1:19" s="20" customFormat="1" x14ac:dyDescent="0.25">
      <c r="A485" s="26"/>
      <c r="B485" s="21"/>
      <c r="C485" s="21"/>
      <c r="D485" s="22"/>
      <c r="H485" s="22"/>
      <c r="J485" s="22"/>
      <c r="K485" s="27"/>
      <c r="L485" s="22"/>
      <c r="N485" s="22"/>
      <c r="O485" s="27"/>
      <c r="P485" s="22"/>
      <c r="R485" s="22"/>
      <c r="S485" s="27"/>
    </row>
    <row r="486" spans="1:19" s="20" customFormat="1" x14ac:dyDescent="0.25">
      <c r="A486" s="26"/>
      <c r="B486" s="21"/>
      <c r="C486" s="21"/>
      <c r="D486" s="22"/>
      <c r="H486" s="22"/>
      <c r="J486" s="22"/>
      <c r="K486" s="27"/>
      <c r="L486" s="22"/>
      <c r="N486" s="22"/>
      <c r="O486" s="27"/>
      <c r="P486" s="22"/>
      <c r="R486" s="22"/>
      <c r="S486" s="27"/>
    </row>
    <row r="487" spans="1:19" s="20" customFormat="1" x14ac:dyDescent="0.25">
      <c r="A487" s="26"/>
      <c r="B487" s="21"/>
      <c r="C487" s="21"/>
      <c r="D487" s="22"/>
      <c r="H487" s="22"/>
      <c r="J487" s="22"/>
      <c r="K487" s="27"/>
      <c r="L487" s="22"/>
      <c r="N487" s="22"/>
      <c r="O487" s="27"/>
      <c r="P487" s="22"/>
      <c r="R487" s="22"/>
      <c r="S487" s="27"/>
    </row>
    <row r="488" spans="1:19" s="20" customFormat="1" x14ac:dyDescent="0.25">
      <c r="A488" s="26"/>
      <c r="B488" s="21"/>
      <c r="C488" s="21"/>
      <c r="D488" s="22"/>
      <c r="H488" s="22"/>
      <c r="J488" s="22"/>
      <c r="K488" s="27"/>
      <c r="L488" s="22"/>
      <c r="N488" s="22"/>
      <c r="O488" s="27"/>
      <c r="P488" s="22"/>
      <c r="R488" s="22"/>
      <c r="S488" s="27"/>
    </row>
    <row r="489" spans="1:19" s="20" customFormat="1" x14ac:dyDescent="0.25">
      <c r="A489" s="26"/>
      <c r="B489" s="21"/>
      <c r="C489" s="21"/>
      <c r="D489" s="22"/>
      <c r="H489" s="22"/>
      <c r="J489" s="22"/>
      <c r="K489" s="27"/>
      <c r="L489" s="22"/>
      <c r="N489" s="22"/>
      <c r="O489" s="27"/>
      <c r="P489" s="22"/>
      <c r="R489" s="22"/>
      <c r="S489" s="27"/>
    </row>
    <row r="490" spans="1:19" s="20" customFormat="1" x14ac:dyDescent="0.25">
      <c r="A490" s="26"/>
      <c r="B490" s="21"/>
      <c r="C490" s="21"/>
      <c r="D490" s="22"/>
      <c r="H490" s="22"/>
      <c r="J490" s="22"/>
      <c r="K490" s="27"/>
      <c r="L490" s="22"/>
      <c r="N490" s="22"/>
      <c r="O490" s="27"/>
      <c r="P490" s="22"/>
      <c r="R490" s="22"/>
      <c r="S490" s="27"/>
    </row>
    <row r="491" spans="1:19" s="20" customFormat="1" x14ac:dyDescent="0.25">
      <c r="A491" s="26"/>
      <c r="B491" s="21"/>
      <c r="C491" s="21"/>
      <c r="D491" s="22"/>
      <c r="H491" s="22"/>
      <c r="J491" s="22"/>
      <c r="K491" s="27"/>
      <c r="L491" s="22"/>
      <c r="N491" s="22"/>
      <c r="O491" s="27"/>
      <c r="P491" s="22"/>
      <c r="R491" s="22"/>
      <c r="S491" s="27"/>
    </row>
    <row r="492" spans="1:19" s="20" customFormat="1" x14ac:dyDescent="0.25">
      <c r="A492" s="26"/>
      <c r="B492" s="21"/>
      <c r="C492" s="21"/>
      <c r="D492" s="22"/>
      <c r="H492" s="22"/>
      <c r="J492" s="22"/>
      <c r="K492" s="27"/>
      <c r="L492" s="22"/>
      <c r="N492" s="22"/>
      <c r="O492" s="27"/>
      <c r="P492" s="22"/>
      <c r="R492" s="22"/>
      <c r="S492" s="27"/>
    </row>
    <row r="493" spans="1:19" s="20" customFormat="1" x14ac:dyDescent="0.25">
      <c r="A493" s="26"/>
      <c r="B493" s="21"/>
      <c r="C493" s="21"/>
      <c r="D493" s="22"/>
      <c r="H493" s="22"/>
      <c r="J493" s="22"/>
      <c r="K493" s="27"/>
      <c r="L493" s="22"/>
      <c r="N493" s="22"/>
      <c r="O493" s="27"/>
      <c r="P493" s="22"/>
      <c r="R493" s="22"/>
      <c r="S493" s="27"/>
    </row>
    <row r="494" spans="1:19" s="20" customFormat="1" x14ac:dyDescent="0.25">
      <c r="A494" s="26"/>
      <c r="B494" s="21"/>
      <c r="C494" s="21"/>
      <c r="D494" s="22"/>
      <c r="H494" s="22"/>
      <c r="J494" s="22"/>
      <c r="K494" s="27"/>
      <c r="L494" s="22"/>
      <c r="N494" s="22"/>
      <c r="O494" s="27"/>
      <c r="P494" s="22"/>
      <c r="R494" s="22"/>
      <c r="S494" s="27"/>
    </row>
    <row r="495" spans="1:19" s="20" customFormat="1" x14ac:dyDescent="0.25">
      <c r="A495" s="26"/>
      <c r="B495" s="21"/>
      <c r="C495" s="21"/>
      <c r="D495" s="22"/>
      <c r="H495" s="22"/>
      <c r="J495" s="22"/>
      <c r="K495" s="27"/>
      <c r="L495" s="22"/>
      <c r="N495" s="22"/>
      <c r="O495" s="27"/>
      <c r="P495" s="22"/>
      <c r="R495" s="22"/>
      <c r="S495" s="27"/>
    </row>
    <row r="496" spans="1:19" s="20" customFormat="1" x14ac:dyDescent="0.25">
      <c r="A496" s="26"/>
      <c r="B496" s="21"/>
      <c r="C496" s="21"/>
      <c r="D496" s="22"/>
      <c r="H496" s="22"/>
      <c r="J496" s="22"/>
      <c r="K496" s="27"/>
      <c r="L496" s="22"/>
      <c r="N496" s="22"/>
      <c r="O496" s="27"/>
      <c r="P496" s="22"/>
      <c r="R496" s="22"/>
      <c r="S496" s="27"/>
    </row>
    <row r="497" spans="1:19" s="20" customFormat="1" x14ac:dyDescent="0.25">
      <c r="A497" s="26"/>
      <c r="B497" s="21"/>
      <c r="C497" s="21"/>
      <c r="D497" s="22"/>
      <c r="H497" s="22"/>
      <c r="J497" s="22"/>
      <c r="K497" s="27"/>
      <c r="L497" s="22"/>
      <c r="N497" s="22"/>
      <c r="O497" s="27"/>
      <c r="P497" s="22"/>
      <c r="R497" s="22"/>
      <c r="S497" s="27"/>
    </row>
    <row r="498" spans="1:19" s="20" customFormat="1" x14ac:dyDescent="0.25">
      <c r="A498" s="26"/>
      <c r="B498" s="21"/>
      <c r="C498" s="21"/>
      <c r="D498" s="22"/>
      <c r="H498" s="22"/>
      <c r="J498" s="22"/>
      <c r="K498" s="27"/>
      <c r="L498" s="22"/>
      <c r="N498" s="22"/>
      <c r="O498" s="27"/>
      <c r="P498" s="22"/>
      <c r="R498" s="22"/>
      <c r="S498" s="27"/>
    </row>
    <row r="499" spans="1:19" s="20" customFormat="1" x14ac:dyDescent="0.25">
      <c r="A499" s="26"/>
      <c r="B499" s="21"/>
      <c r="C499" s="21"/>
      <c r="D499" s="22"/>
      <c r="H499" s="22"/>
      <c r="J499" s="22"/>
      <c r="K499" s="27"/>
      <c r="L499" s="22"/>
      <c r="N499" s="22"/>
      <c r="O499" s="27"/>
      <c r="P499" s="22"/>
      <c r="R499" s="22"/>
      <c r="S499" s="27"/>
    </row>
    <row r="500" spans="1:19" s="20" customFormat="1" x14ac:dyDescent="0.25">
      <c r="A500" s="26"/>
      <c r="B500" s="21"/>
      <c r="C500" s="21"/>
      <c r="D500" s="22"/>
      <c r="H500" s="22"/>
      <c r="J500" s="22"/>
      <c r="K500" s="27"/>
      <c r="L500" s="22"/>
      <c r="N500" s="22"/>
      <c r="O500" s="27"/>
      <c r="P500" s="22"/>
      <c r="R500" s="22"/>
      <c r="S500" s="27"/>
    </row>
    <row r="501" spans="1:19" s="20" customFormat="1" x14ac:dyDescent="0.25">
      <c r="A501" s="26"/>
      <c r="B501" s="21"/>
      <c r="C501" s="21"/>
      <c r="D501" s="22"/>
      <c r="H501" s="22"/>
      <c r="J501" s="22"/>
      <c r="K501" s="27"/>
      <c r="L501" s="22"/>
      <c r="N501" s="22"/>
      <c r="O501" s="27"/>
      <c r="P501" s="22"/>
      <c r="R501" s="22"/>
      <c r="S501" s="27"/>
    </row>
    <row r="502" spans="1:19" s="20" customFormat="1" x14ac:dyDescent="0.25">
      <c r="A502" s="26"/>
      <c r="B502" s="21"/>
      <c r="C502" s="21"/>
      <c r="D502" s="22"/>
      <c r="H502" s="22"/>
      <c r="J502" s="22"/>
      <c r="K502" s="27"/>
      <c r="L502" s="22"/>
      <c r="N502" s="22"/>
      <c r="O502" s="27"/>
      <c r="P502" s="22"/>
      <c r="R502" s="22"/>
      <c r="S502" s="27"/>
    </row>
    <row r="503" spans="1:19" s="20" customFormat="1" x14ac:dyDescent="0.25">
      <c r="A503" s="26"/>
      <c r="B503" s="21"/>
      <c r="C503" s="21"/>
      <c r="D503" s="22"/>
      <c r="H503" s="22"/>
      <c r="J503" s="22"/>
      <c r="K503" s="27"/>
      <c r="L503" s="22"/>
      <c r="N503" s="22"/>
      <c r="O503" s="27"/>
      <c r="P503" s="22"/>
      <c r="R503" s="22"/>
      <c r="S503" s="27"/>
    </row>
    <row r="504" spans="1:19" s="20" customFormat="1" x14ac:dyDescent="0.25">
      <c r="A504" s="26"/>
      <c r="B504" s="21"/>
      <c r="C504" s="21"/>
      <c r="D504" s="22"/>
      <c r="H504" s="22"/>
      <c r="J504" s="22"/>
      <c r="K504" s="27"/>
      <c r="L504" s="22"/>
      <c r="N504" s="22"/>
      <c r="O504" s="27"/>
      <c r="P504" s="22"/>
      <c r="R504" s="22"/>
      <c r="S504" s="27"/>
    </row>
    <row r="505" spans="1:19" s="20" customFormat="1" x14ac:dyDescent="0.25">
      <c r="A505" s="26"/>
      <c r="B505" s="21"/>
      <c r="C505" s="21"/>
      <c r="D505" s="22"/>
      <c r="H505" s="22"/>
      <c r="J505" s="22"/>
      <c r="K505" s="27"/>
      <c r="L505" s="22"/>
      <c r="N505" s="22"/>
      <c r="O505" s="27"/>
      <c r="P505" s="22"/>
      <c r="R505" s="22"/>
      <c r="S505" s="27"/>
    </row>
    <row r="506" spans="1:19" s="20" customFormat="1" x14ac:dyDescent="0.25">
      <c r="A506" s="26"/>
      <c r="B506" s="21"/>
      <c r="C506" s="21"/>
      <c r="D506" s="22"/>
      <c r="H506" s="22"/>
      <c r="J506" s="22"/>
      <c r="K506" s="27"/>
      <c r="L506" s="22"/>
      <c r="N506" s="22"/>
      <c r="O506" s="27"/>
      <c r="P506" s="22"/>
      <c r="R506" s="22"/>
      <c r="S506" s="27"/>
    </row>
    <row r="507" spans="1:19" s="20" customFormat="1" x14ac:dyDescent="0.25">
      <c r="A507" s="26"/>
      <c r="B507" s="21"/>
      <c r="C507" s="21"/>
      <c r="D507" s="22"/>
      <c r="H507" s="22"/>
      <c r="J507" s="22"/>
      <c r="K507" s="27"/>
      <c r="L507" s="22"/>
      <c r="N507" s="22"/>
      <c r="O507" s="27"/>
      <c r="P507" s="22"/>
      <c r="R507" s="22"/>
      <c r="S507" s="27"/>
    </row>
    <row r="508" spans="1:19" s="20" customFormat="1" x14ac:dyDescent="0.25">
      <c r="A508" s="26"/>
      <c r="B508" s="21"/>
      <c r="C508" s="21"/>
      <c r="D508" s="22"/>
      <c r="H508" s="22"/>
      <c r="J508" s="22"/>
      <c r="K508" s="27"/>
      <c r="L508" s="22"/>
      <c r="N508" s="22"/>
      <c r="O508" s="27"/>
      <c r="P508" s="22"/>
      <c r="R508" s="22"/>
      <c r="S508" s="27"/>
    </row>
    <row r="509" spans="1:19" s="20" customFormat="1" x14ac:dyDescent="0.25">
      <c r="A509" s="26"/>
      <c r="B509" s="21"/>
      <c r="C509" s="21"/>
      <c r="D509" s="22"/>
      <c r="H509" s="22"/>
      <c r="J509" s="22"/>
      <c r="K509" s="27"/>
      <c r="L509" s="22"/>
      <c r="N509" s="22"/>
      <c r="O509" s="27"/>
      <c r="P509" s="22"/>
      <c r="R509" s="22"/>
      <c r="S509" s="27"/>
    </row>
    <row r="510" spans="1:19" s="20" customFormat="1" x14ac:dyDescent="0.25">
      <c r="A510" s="26"/>
      <c r="B510" s="21"/>
      <c r="C510" s="21"/>
      <c r="D510" s="22"/>
      <c r="H510" s="22"/>
      <c r="J510" s="22"/>
      <c r="K510" s="27"/>
      <c r="L510" s="22"/>
      <c r="N510" s="22"/>
      <c r="O510" s="27"/>
      <c r="P510" s="22"/>
      <c r="R510" s="22"/>
      <c r="S510" s="27"/>
    </row>
    <row r="511" spans="1:19" s="20" customFormat="1" x14ac:dyDescent="0.25">
      <c r="A511" s="26"/>
      <c r="B511" s="21"/>
      <c r="C511" s="21"/>
      <c r="D511" s="22"/>
      <c r="H511" s="22"/>
      <c r="J511" s="22"/>
      <c r="K511" s="27"/>
      <c r="L511" s="22"/>
      <c r="N511" s="22"/>
      <c r="O511" s="27"/>
      <c r="P511" s="22"/>
      <c r="R511" s="22"/>
      <c r="S511" s="27"/>
    </row>
    <row r="512" spans="1:19" s="20" customFormat="1" x14ac:dyDescent="0.25">
      <c r="A512" s="26"/>
      <c r="B512" s="21"/>
      <c r="C512" s="21"/>
      <c r="D512" s="22"/>
      <c r="H512" s="22"/>
      <c r="J512" s="22"/>
      <c r="K512" s="27"/>
      <c r="L512" s="22"/>
      <c r="N512" s="22"/>
      <c r="O512" s="27"/>
      <c r="P512" s="22"/>
      <c r="R512" s="22"/>
      <c r="S512" s="27"/>
    </row>
    <row r="513" spans="1:19" s="20" customFormat="1" x14ac:dyDescent="0.25">
      <c r="A513" s="26"/>
      <c r="B513" s="21"/>
      <c r="C513" s="21"/>
      <c r="D513" s="22"/>
      <c r="H513" s="22"/>
      <c r="J513" s="22"/>
      <c r="K513" s="27"/>
      <c r="L513" s="22"/>
      <c r="N513" s="22"/>
      <c r="O513" s="27"/>
      <c r="P513" s="22"/>
      <c r="R513" s="22"/>
      <c r="S513" s="27"/>
    </row>
    <row r="514" spans="1:19" s="20" customFormat="1" x14ac:dyDescent="0.25">
      <c r="A514" s="26"/>
      <c r="B514" s="21"/>
      <c r="C514" s="21"/>
      <c r="D514" s="22"/>
      <c r="H514" s="22"/>
      <c r="J514" s="22"/>
      <c r="K514" s="27"/>
      <c r="L514" s="22"/>
      <c r="N514" s="22"/>
      <c r="O514" s="27"/>
      <c r="P514" s="22"/>
      <c r="R514" s="22"/>
      <c r="S514" s="27"/>
    </row>
    <row r="515" spans="1:19" s="20" customFormat="1" x14ac:dyDescent="0.25">
      <c r="A515" s="26"/>
      <c r="B515" s="21"/>
      <c r="C515" s="21"/>
      <c r="D515" s="22"/>
      <c r="H515" s="22"/>
      <c r="J515" s="22"/>
      <c r="K515" s="27"/>
      <c r="L515" s="22"/>
      <c r="N515" s="22"/>
      <c r="O515" s="27"/>
      <c r="P515" s="22"/>
      <c r="R515" s="22"/>
      <c r="S515" s="27"/>
    </row>
    <row r="516" spans="1:19" s="20" customFormat="1" x14ac:dyDescent="0.25">
      <c r="A516" s="26"/>
      <c r="B516" s="21"/>
      <c r="C516" s="21"/>
      <c r="D516" s="22"/>
      <c r="H516" s="22"/>
      <c r="J516" s="22"/>
      <c r="K516" s="27"/>
      <c r="L516" s="22"/>
      <c r="N516" s="22"/>
      <c r="O516" s="27"/>
      <c r="P516" s="22"/>
      <c r="R516" s="22"/>
      <c r="S516" s="27"/>
    </row>
    <row r="517" spans="1:19" s="20" customFormat="1" x14ac:dyDescent="0.25">
      <c r="A517" s="26"/>
      <c r="B517" s="21"/>
      <c r="C517" s="21"/>
      <c r="D517" s="22"/>
      <c r="H517" s="22"/>
      <c r="J517" s="22"/>
      <c r="K517" s="27"/>
      <c r="L517" s="22"/>
      <c r="N517" s="22"/>
      <c r="O517" s="27"/>
      <c r="P517" s="22"/>
      <c r="R517" s="22"/>
      <c r="S517" s="27"/>
    </row>
    <row r="518" spans="1:19" s="20" customFormat="1" x14ac:dyDescent="0.25">
      <c r="A518" s="26"/>
      <c r="B518" s="21"/>
      <c r="C518" s="21"/>
      <c r="D518" s="22"/>
      <c r="H518" s="22"/>
      <c r="J518" s="22"/>
      <c r="K518" s="27"/>
      <c r="L518" s="22"/>
      <c r="N518" s="22"/>
      <c r="O518" s="27"/>
      <c r="P518" s="22"/>
      <c r="R518" s="22"/>
      <c r="S518" s="27"/>
    </row>
    <row r="519" spans="1:19" s="20" customFormat="1" x14ac:dyDescent="0.25">
      <c r="A519" s="26"/>
      <c r="B519" s="21"/>
      <c r="C519" s="21"/>
      <c r="D519" s="22"/>
      <c r="H519" s="22"/>
      <c r="J519" s="22"/>
      <c r="K519" s="27"/>
      <c r="L519" s="22"/>
      <c r="N519" s="22"/>
      <c r="O519" s="27"/>
      <c r="P519" s="22"/>
      <c r="R519" s="22"/>
      <c r="S519" s="27"/>
    </row>
    <row r="520" spans="1:19" s="20" customFormat="1" x14ac:dyDescent="0.25">
      <c r="A520" s="26"/>
      <c r="B520" s="21"/>
      <c r="C520" s="21"/>
      <c r="D520" s="22"/>
      <c r="H520" s="22"/>
      <c r="J520" s="22"/>
      <c r="K520" s="27"/>
      <c r="L520" s="22"/>
      <c r="N520" s="22"/>
      <c r="O520" s="27"/>
      <c r="P520" s="22"/>
      <c r="R520" s="22"/>
      <c r="S520" s="27"/>
    </row>
    <row r="521" spans="1:19" s="20" customFormat="1" x14ac:dyDescent="0.25">
      <c r="A521" s="26"/>
      <c r="B521" s="21"/>
      <c r="C521" s="21"/>
      <c r="D521" s="22"/>
      <c r="H521" s="22"/>
      <c r="J521" s="22"/>
      <c r="K521" s="27"/>
      <c r="L521" s="22"/>
      <c r="N521" s="22"/>
      <c r="O521" s="27"/>
      <c r="P521" s="22"/>
      <c r="R521" s="22"/>
      <c r="S521" s="27"/>
    </row>
    <row r="522" spans="1:19" s="20" customFormat="1" x14ac:dyDescent="0.25">
      <c r="A522" s="26"/>
      <c r="B522" s="21"/>
      <c r="C522" s="21"/>
      <c r="D522" s="22"/>
      <c r="H522" s="22"/>
      <c r="J522" s="22"/>
      <c r="K522" s="27"/>
      <c r="L522" s="22"/>
      <c r="N522" s="22"/>
      <c r="O522" s="27"/>
      <c r="P522" s="22"/>
      <c r="R522" s="22"/>
      <c r="S522" s="27"/>
    </row>
    <row r="523" spans="1:19" s="20" customFormat="1" x14ac:dyDescent="0.25">
      <c r="A523" s="26"/>
      <c r="B523" s="21"/>
      <c r="C523" s="21"/>
      <c r="D523" s="22"/>
      <c r="H523" s="22"/>
      <c r="J523" s="22"/>
      <c r="K523" s="27"/>
      <c r="L523" s="22"/>
      <c r="N523" s="22"/>
      <c r="O523" s="27"/>
      <c r="P523" s="22"/>
      <c r="R523" s="22"/>
      <c r="S523" s="27"/>
    </row>
    <row r="524" spans="1:19" s="20" customFormat="1" x14ac:dyDescent="0.25">
      <c r="A524" s="26"/>
      <c r="B524" s="21"/>
      <c r="C524" s="21"/>
      <c r="D524" s="22"/>
      <c r="H524" s="22"/>
      <c r="J524" s="22"/>
      <c r="K524" s="27"/>
      <c r="L524" s="22"/>
      <c r="N524" s="22"/>
      <c r="O524" s="27"/>
      <c r="P524" s="22"/>
      <c r="R524" s="22"/>
      <c r="S524" s="27"/>
    </row>
    <row r="525" spans="1:19" s="20" customFormat="1" x14ac:dyDescent="0.25">
      <c r="A525" s="26"/>
      <c r="B525" s="21"/>
      <c r="C525" s="21"/>
      <c r="D525" s="22"/>
      <c r="H525" s="22"/>
      <c r="J525" s="22"/>
      <c r="K525" s="27"/>
      <c r="L525" s="22"/>
      <c r="N525" s="22"/>
      <c r="O525" s="27"/>
      <c r="P525" s="22"/>
      <c r="R525" s="22"/>
      <c r="S525" s="27"/>
    </row>
    <row r="526" spans="1:19" s="20" customFormat="1" x14ac:dyDescent="0.25">
      <c r="A526" s="26"/>
      <c r="B526" s="21"/>
      <c r="C526" s="21"/>
      <c r="D526" s="22"/>
      <c r="H526" s="22"/>
      <c r="J526" s="22"/>
      <c r="K526" s="27"/>
      <c r="L526" s="22"/>
      <c r="N526" s="22"/>
      <c r="O526" s="27"/>
      <c r="P526" s="22"/>
      <c r="R526" s="22"/>
      <c r="S526" s="27"/>
    </row>
    <row r="527" spans="1:19" s="20" customFormat="1" x14ac:dyDescent="0.25">
      <c r="A527" s="26"/>
      <c r="B527" s="21"/>
      <c r="C527" s="21"/>
      <c r="D527" s="22"/>
      <c r="H527" s="22"/>
      <c r="J527" s="22"/>
      <c r="K527" s="27"/>
      <c r="L527" s="22"/>
      <c r="N527" s="22"/>
      <c r="O527" s="27"/>
      <c r="P527" s="22"/>
      <c r="R527" s="22"/>
      <c r="S527" s="27"/>
    </row>
    <row r="528" spans="1:19" s="20" customFormat="1" x14ac:dyDescent="0.25">
      <c r="A528" s="26"/>
      <c r="B528" s="21"/>
      <c r="C528" s="21"/>
      <c r="D528" s="22"/>
      <c r="H528" s="22"/>
      <c r="J528" s="22"/>
      <c r="K528" s="27"/>
      <c r="L528" s="22"/>
      <c r="N528" s="22"/>
      <c r="O528" s="27"/>
      <c r="P528" s="22"/>
      <c r="R528" s="22"/>
      <c r="S528" s="27"/>
    </row>
    <row r="529" spans="1:19" s="20" customFormat="1" x14ac:dyDescent="0.25">
      <c r="A529" s="26"/>
      <c r="B529" s="21"/>
      <c r="C529" s="21"/>
      <c r="D529" s="22"/>
      <c r="H529" s="22"/>
      <c r="J529" s="22"/>
      <c r="K529" s="27"/>
      <c r="L529" s="22"/>
      <c r="N529" s="22"/>
      <c r="O529" s="27"/>
      <c r="P529" s="22"/>
      <c r="R529" s="22"/>
      <c r="S529" s="27"/>
    </row>
    <row r="530" spans="1:19" s="20" customFormat="1" x14ac:dyDescent="0.25">
      <c r="A530" s="26"/>
      <c r="B530" s="21"/>
      <c r="C530" s="21"/>
      <c r="D530" s="22"/>
      <c r="H530" s="22"/>
      <c r="J530" s="22"/>
      <c r="K530" s="27"/>
      <c r="L530" s="22"/>
      <c r="N530" s="22"/>
      <c r="O530" s="27"/>
      <c r="P530" s="22"/>
      <c r="R530" s="22"/>
      <c r="S530" s="27"/>
    </row>
    <row r="531" spans="1:19" s="20" customFormat="1" x14ac:dyDescent="0.25">
      <c r="A531" s="26"/>
      <c r="B531" s="21"/>
      <c r="C531" s="21"/>
      <c r="D531" s="22"/>
      <c r="H531" s="22"/>
      <c r="J531" s="22"/>
      <c r="K531" s="27"/>
      <c r="L531" s="22"/>
      <c r="N531" s="22"/>
      <c r="O531" s="27"/>
      <c r="P531" s="22"/>
      <c r="R531" s="22"/>
      <c r="S531" s="27"/>
    </row>
    <row r="532" spans="1:19" s="20" customFormat="1" x14ac:dyDescent="0.25">
      <c r="A532" s="26"/>
      <c r="B532" s="21"/>
      <c r="C532" s="21"/>
      <c r="D532" s="22"/>
      <c r="H532" s="22"/>
      <c r="J532" s="22"/>
      <c r="K532" s="27"/>
      <c r="L532" s="22"/>
      <c r="N532" s="22"/>
      <c r="O532" s="27"/>
      <c r="P532" s="22"/>
      <c r="R532" s="22"/>
      <c r="S532" s="27"/>
    </row>
    <row r="533" spans="1:19" s="20" customFormat="1" x14ac:dyDescent="0.25">
      <c r="A533" s="26"/>
      <c r="B533" s="21"/>
      <c r="C533" s="21"/>
      <c r="D533" s="22"/>
      <c r="H533" s="22"/>
      <c r="J533" s="22"/>
      <c r="K533" s="27"/>
      <c r="L533" s="22"/>
      <c r="N533" s="22"/>
      <c r="O533" s="27"/>
      <c r="P533" s="22"/>
      <c r="R533" s="22"/>
      <c r="S533" s="27"/>
    </row>
    <row r="534" spans="1:19" s="20" customFormat="1" x14ac:dyDescent="0.25">
      <c r="A534" s="26"/>
      <c r="B534" s="21"/>
      <c r="C534" s="21"/>
      <c r="D534" s="22"/>
      <c r="H534" s="22"/>
      <c r="J534" s="22"/>
      <c r="K534" s="27"/>
      <c r="L534" s="22"/>
      <c r="N534" s="22"/>
      <c r="O534" s="27"/>
      <c r="P534" s="22"/>
      <c r="R534" s="22"/>
      <c r="S534" s="27"/>
    </row>
    <row r="535" spans="1:19" s="20" customFormat="1" x14ac:dyDescent="0.25">
      <c r="A535" s="26"/>
      <c r="B535" s="21"/>
      <c r="C535" s="21"/>
      <c r="D535" s="22"/>
      <c r="H535" s="22"/>
      <c r="J535" s="22"/>
      <c r="K535" s="27"/>
      <c r="L535" s="22"/>
      <c r="N535" s="22"/>
      <c r="O535" s="27"/>
      <c r="P535" s="22"/>
      <c r="R535" s="22"/>
      <c r="S535" s="27"/>
    </row>
    <row r="536" spans="1:19" s="20" customFormat="1" x14ac:dyDescent="0.25">
      <c r="A536" s="26"/>
      <c r="B536" s="21"/>
      <c r="C536" s="21"/>
      <c r="D536" s="22"/>
      <c r="H536" s="22"/>
      <c r="J536" s="22"/>
      <c r="K536" s="27"/>
      <c r="L536" s="22"/>
      <c r="N536" s="22"/>
      <c r="O536" s="27"/>
      <c r="P536" s="22"/>
      <c r="R536" s="22"/>
      <c r="S536" s="27"/>
    </row>
    <row r="537" spans="1:19" s="20" customFormat="1" x14ac:dyDescent="0.25">
      <c r="A537" s="26"/>
      <c r="B537" s="21"/>
      <c r="C537" s="21"/>
      <c r="D537" s="22"/>
      <c r="H537" s="22"/>
      <c r="J537" s="22"/>
      <c r="K537" s="27"/>
      <c r="L537" s="22"/>
      <c r="N537" s="22"/>
      <c r="O537" s="27"/>
      <c r="P537" s="22"/>
      <c r="R537" s="22"/>
      <c r="S537" s="27"/>
    </row>
    <row r="538" spans="1:19" s="20" customFormat="1" x14ac:dyDescent="0.25">
      <c r="A538" s="26"/>
      <c r="B538" s="21"/>
      <c r="C538" s="21"/>
      <c r="D538" s="22"/>
      <c r="H538" s="22"/>
      <c r="J538" s="22"/>
      <c r="K538" s="27"/>
      <c r="L538" s="22"/>
      <c r="N538" s="22"/>
      <c r="O538" s="27"/>
      <c r="P538" s="22"/>
      <c r="R538" s="22"/>
      <c r="S538" s="27"/>
    </row>
    <row r="539" spans="1:19" s="20" customFormat="1" x14ac:dyDescent="0.25">
      <c r="A539" s="26"/>
      <c r="B539" s="21"/>
      <c r="C539" s="21"/>
      <c r="D539" s="22"/>
      <c r="H539" s="22"/>
      <c r="J539" s="22"/>
      <c r="K539" s="27"/>
      <c r="L539" s="22"/>
      <c r="N539" s="22"/>
      <c r="O539" s="27"/>
      <c r="P539" s="22"/>
      <c r="R539" s="22"/>
      <c r="S539" s="27"/>
    </row>
    <row r="540" spans="1:19" s="20" customFormat="1" x14ac:dyDescent="0.25">
      <c r="A540" s="26"/>
      <c r="B540" s="21"/>
      <c r="C540" s="21"/>
      <c r="D540" s="22"/>
      <c r="H540" s="22"/>
      <c r="J540" s="22"/>
      <c r="K540" s="27"/>
      <c r="L540" s="22"/>
      <c r="N540" s="22"/>
      <c r="O540" s="27"/>
      <c r="P540" s="22"/>
      <c r="R540" s="22"/>
      <c r="S540" s="27"/>
    </row>
    <row r="541" spans="1:19" s="20" customFormat="1" x14ac:dyDescent="0.25">
      <c r="A541" s="26"/>
      <c r="B541" s="21"/>
      <c r="C541" s="21"/>
      <c r="D541" s="22"/>
      <c r="H541" s="22"/>
      <c r="J541" s="22"/>
      <c r="K541" s="27"/>
      <c r="L541" s="22"/>
      <c r="N541" s="22"/>
      <c r="O541" s="27"/>
      <c r="P541" s="22"/>
      <c r="R541" s="22"/>
      <c r="S541" s="27"/>
    </row>
    <row r="542" spans="1:19" s="20" customFormat="1" x14ac:dyDescent="0.25">
      <c r="A542" s="26"/>
      <c r="B542" s="21"/>
      <c r="C542" s="21"/>
      <c r="D542" s="22"/>
      <c r="H542" s="22"/>
      <c r="J542" s="22"/>
      <c r="K542" s="27"/>
      <c r="L542" s="22"/>
      <c r="N542" s="22"/>
      <c r="O542" s="27"/>
      <c r="P542" s="22"/>
      <c r="R542" s="22"/>
      <c r="S542" s="27"/>
    </row>
    <row r="543" spans="1:19" s="20" customFormat="1" x14ac:dyDescent="0.25">
      <c r="A543" s="26"/>
      <c r="B543" s="21"/>
      <c r="C543" s="21"/>
      <c r="D543" s="22"/>
      <c r="H543" s="22"/>
      <c r="J543" s="22"/>
      <c r="K543" s="27"/>
      <c r="L543" s="22"/>
      <c r="N543" s="22"/>
      <c r="O543" s="27"/>
      <c r="P543" s="22"/>
      <c r="R543" s="22"/>
      <c r="S543" s="27"/>
    </row>
    <row r="544" spans="1:19" s="20" customFormat="1" x14ac:dyDescent="0.25">
      <c r="A544" s="26"/>
      <c r="B544" s="21"/>
      <c r="C544" s="21"/>
      <c r="D544" s="22"/>
      <c r="H544" s="22"/>
      <c r="J544" s="22"/>
      <c r="K544" s="27"/>
      <c r="L544" s="22"/>
      <c r="N544" s="22"/>
      <c r="O544" s="27"/>
      <c r="P544" s="22"/>
      <c r="R544" s="22"/>
      <c r="S544" s="27"/>
    </row>
    <row r="545" spans="1:19" s="20" customFormat="1" x14ac:dyDescent="0.25">
      <c r="A545" s="26"/>
      <c r="B545" s="21"/>
      <c r="C545" s="21"/>
      <c r="D545" s="22"/>
      <c r="H545" s="22"/>
      <c r="J545" s="22"/>
      <c r="K545" s="27"/>
      <c r="L545" s="22"/>
      <c r="N545" s="22"/>
      <c r="O545" s="27"/>
      <c r="P545" s="22"/>
      <c r="R545" s="22"/>
      <c r="S545" s="27"/>
    </row>
    <row r="546" spans="1:19" s="20" customFormat="1" x14ac:dyDescent="0.25">
      <c r="A546" s="26"/>
      <c r="B546" s="21"/>
      <c r="C546" s="21"/>
      <c r="D546" s="22"/>
      <c r="H546" s="22"/>
      <c r="J546" s="22"/>
      <c r="K546" s="27"/>
      <c r="L546" s="22"/>
      <c r="N546" s="22"/>
      <c r="O546" s="27"/>
      <c r="P546" s="22"/>
      <c r="R546" s="22"/>
      <c r="S546" s="27"/>
    </row>
    <row r="547" spans="1:19" s="20" customFormat="1" x14ac:dyDescent="0.25">
      <c r="A547" s="26"/>
      <c r="B547" s="21"/>
      <c r="C547" s="21"/>
      <c r="D547" s="22"/>
      <c r="H547" s="22"/>
      <c r="J547" s="22"/>
      <c r="K547" s="27"/>
      <c r="L547" s="22"/>
      <c r="N547" s="22"/>
      <c r="O547" s="27"/>
      <c r="P547" s="22"/>
      <c r="R547" s="22"/>
      <c r="S547" s="27"/>
    </row>
    <row r="548" spans="1:19" s="20" customFormat="1" x14ac:dyDescent="0.25">
      <c r="A548" s="26"/>
      <c r="B548" s="21"/>
      <c r="C548" s="21"/>
      <c r="D548" s="22"/>
      <c r="H548" s="22"/>
      <c r="J548" s="22"/>
      <c r="K548" s="27"/>
      <c r="L548" s="22"/>
      <c r="N548" s="22"/>
      <c r="O548" s="27"/>
      <c r="P548" s="22"/>
      <c r="R548" s="22"/>
      <c r="S548" s="27"/>
    </row>
    <row r="549" spans="1:19" s="20" customFormat="1" x14ac:dyDescent="0.25">
      <c r="A549" s="26"/>
      <c r="B549" s="21"/>
      <c r="C549" s="21"/>
      <c r="D549" s="22"/>
      <c r="H549" s="22"/>
      <c r="J549" s="22"/>
      <c r="K549" s="27"/>
      <c r="L549" s="22"/>
      <c r="N549" s="22"/>
      <c r="O549" s="27"/>
      <c r="P549" s="22"/>
      <c r="R549" s="22"/>
      <c r="S549" s="27"/>
    </row>
    <row r="550" spans="1:19" s="20" customFormat="1" x14ac:dyDescent="0.25">
      <c r="A550" s="26"/>
      <c r="B550" s="21"/>
      <c r="C550" s="21"/>
      <c r="D550" s="22"/>
      <c r="H550" s="22"/>
      <c r="J550" s="22"/>
      <c r="K550" s="27"/>
      <c r="L550" s="22"/>
      <c r="N550" s="22"/>
      <c r="O550" s="27"/>
      <c r="P550" s="22"/>
      <c r="R550" s="22"/>
      <c r="S550" s="27"/>
    </row>
    <row r="551" spans="1:19" s="20" customFormat="1" x14ac:dyDescent="0.25">
      <c r="A551" s="26"/>
      <c r="B551" s="21"/>
      <c r="C551" s="21"/>
      <c r="D551" s="22"/>
      <c r="H551" s="22"/>
      <c r="J551" s="22"/>
      <c r="K551" s="27"/>
      <c r="L551" s="22"/>
      <c r="N551" s="22"/>
      <c r="O551" s="27"/>
      <c r="P551" s="22"/>
      <c r="R551" s="22"/>
      <c r="S551" s="27"/>
    </row>
    <row r="552" spans="1:19" s="20" customFormat="1" x14ac:dyDescent="0.25">
      <c r="A552" s="26"/>
      <c r="B552" s="21"/>
      <c r="C552" s="21"/>
      <c r="D552" s="22"/>
      <c r="H552" s="22"/>
      <c r="J552" s="22"/>
      <c r="K552" s="27"/>
      <c r="L552" s="22"/>
      <c r="N552" s="22"/>
      <c r="O552" s="27"/>
      <c r="P552" s="22"/>
      <c r="R552" s="22"/>
      <c r="S552" s="27"/>
    </row>
    <row r="553" spans="1:19" s="20" customFormat="1" x14ac:dyDescent="0.25">
      <c r="A553" s="26"/>
      <c r="B553" s="21"/>
      <c r="C553" s="21"/>
      <c r="D553" s="22"/>
      <c r="H553" s="22"/>
      <c r="J553" s="22"/>
      <c r="K553" s="27"/>
      <c r="L553" s="22"/>
      <c r="N553" s="22"/>
      <c r="O553" s="27"/>
      <c r="P553" s="22"/>
      <c r="R553" s="22"/>
      <c r="S553" s="27"/>
    </row>
    <row r="554" spans="1:19" s="20" customFormat="1" x14ac:dyDescent="0.25">
      <c r="A554" s="26"/>
      <c r="B554" s="21"/>
      <c r="C554" s="21"/>
      <c r="D554" s="22"/>
      <c r="H554" s="22"/>
      <c r="J554" s="22"/>
      <c r="K554" s="27"/>
      <c r="L554" s="22"/>
      <c r="N554" s="22"/>
      <c r="O554" s="27"/>
      <c r="P554" s="22"/>
      <c r="R554" s="22"/>
      <c r="S554" s="27"/>
    </row>
    <row r="555" spans="1:19" s="20" customFormat="1" x14ac:dyDescent="0.25">
      <c r="A555" s="26"/>
      <c r="B555" s="21"/>
      <c r="C555" s="21"/>
      <c r="D555" s="22"/>
      <c r="H555" s="22"/>
      <c r="J555" s="22"/>
      <c r="K555" s="27"/>
      <c r="L555" s="22"/>
      <c r="N555" s="22"/>
      <c r="O555" s="27"/>
      <c r="P555" s="22"/>
      <c r="R555" s="22"/>
      <c r="S555" s="27"/>
    </row>
    <row r="556" spans="1:19" s="20" customFormat="1" x14ac:dyDescent="0.25">
      <c r="A556" s="26"/>
      <c r="B556" s="21"/>
      <c r="C556" s="21"/>
      <c r="D556" s="22"/>
      <c r="H556" s="22"/>
      <c r="J556" s="22"/>
      <c r="K556" s="27"/>
      <c r="L556" s="22"/>
      <c r="N556" s="22"/>
      <c r="O556" s="27"/>
      <c r="P556" s="22"/>
      <c r="R556" s="22"/>
      <c r="S556" s="27"/>
    </row>
    <row r="557" spans="1:19" s="20" customFormat="1" x14ac:dyDescent="0.25">
      <c r="A557" s="26"/>
      <c r="B557" s="21"/>
      <c r="C557" s="21"/>
      <c r="D557" s="22"/>
      <c r="H557" s="22"/>
      <c r="J557" s="22"/>
      <c r="K557" s="27"/>
      <c r="L557" s="22"/>
      <c r="N557" s="22"/>
      <c r="O557" s="27"/>
      <c r="P557" s="22"/>
      <c r="R557" s="22"/>
      <c r="S557" s="27"/>
    </row>
    <row r="558" spans="1:19" s="20" customFormat="1" x14ac:dyDescent="0.25">
      <c r="A558" s="26"/>
      <c r="B558" s="21"/>
      <c r="C558" s="21"/>
      <c r="D558" s="22"/>
      <c r="H558" s="22"/>
      <c r="J558" s="22"/>
      <c r="K558" s="27"/>
      <c r="L558" s="22"/>
      <c r="N558" s="22"/>
      <c r="O558" s="27"/>
      <c r="P558" s="22"/>
      <c r="R558" s="22"/>
      <c r="S558" s="27"/>
    </row>
    <row r="559" spans="1:19" s="20" customFormat="1" x14ac:dyDescent="0.25">
      <c r="A559" s="26"/>
      <c r="B559" s="21"/>
      <c r="C559" s="21"/>
      <c r="D559" s="22"/>
      <c r="H559" s="22"/>
      <c r="J559" s="22"/>
      <c r="K559" s="27"/>
      <c r="L559" s="22"/>
      <c r="N559" s="22"/>
      <c r="O559" s="27"/>
      <c r="P559" s="22"/>
      <c r="R559" s="22"/>
      <c r="S559" s="27"/>
    </row>
    <row r="560" spans="1:19" s="20" customFormat="1" x14ac:dyDescent="0.25">
      <c r="A560" s="26"/>
      <c r="B560" s="21"/>
      <c r="C560" s="21"/>
      <c r="D560" s="22"/>
      <c r="H560" s="22"/>
      <c r="J560" s="22"/>
      <c r="K560" s="27"/>
      <c r="L560" s="22"/>
      <c r="N560" s="22"/>
      <c r="O560" s="27"/>
      <c r="P560" s="22"/>
      <c r="R560" s="22"/>
      <c r="S560" s="27"/>
    </row>
    <row r="561" spans="1:19" s="20" customFormat="1" x14ac:dyDescent="0.25">
      <c r="A561" s="26"/>
      <c r="B561" s="21"/>
      <c r="C561" s="21"/>
      <c r="D561" s="22"/>
      <c r="H561" s="22"/>
      <c r="J561" s="22"/>
      <c r="K561" s="27"/>
      <c r="L561" s="22"/>
      <c r="N561" s="22"/>
      <c r="O561" s="27"/>
      <c r="P561" s="22"/>
      <c r="R561" s="22"/>
      <c r="S561" s="27"/>
    </row>
    <row r="562" spans="1:19" s="20" customFormat="1" x14ac:dyDescent="0.25">
      <c r="A562" s="26"/>
      <c r="B562" s="21"/>
      <c r="C562" s="21"/>
      <c r="D562" s="22"/>
      <c r="H562" s="22"/>
      <c r="J562" s="22"/>
      <c r="K562" s="27"/>
      <c r="L562" s="22"/>
      <c r="N562" s="22"/>
      <c r="O562" s="27"/>
      <c r="P562" s="22"/>
      <c r="R562" s="22"/>
      <c r="S562" s="27"/>
    </row>
    <row r="563" spans="1:19" s="20" customFormat="1" x14ac:dyDescent="0.25">
      <c r="A563" s="26"/>
      <c r="B563" s="21"/>
      <c r="C563" s="21"/>
      <c r="D563" s="22"/>
      <c r="H563" s="22"/>
      <c r="J563" s="22"/>
      <c r="K563" s="27"/>
      <c r="L563" s="22"/>
      <c r="N563" s="22"/>
      <c r="O563" s="27"/>
      <c r="P563" s="22"/>
      <c r="R563" s="22"/>
      <c r="S563" s="27"/>
    </row>
    <row r="564" spans="1:19" s="20" customFormat="1" x14ac:dyDescent="0.25">
      <c r="A564" s="26"/>
      <c r="B564" s="21"/>
      <c r="C564" s="21"/>
      <c r="D564" s="22"/>
      <c r="H564" s="22"/>
      <c r="J564" s="22"/>
      <c r="K564" s="27"/>
      <c r="L564" s="22"/>
      <c r="N564" s="22"/>
      <c r="O564" s="27"/>
      <c r="P564" s="22"/>
      <c r="R564" s="22"/>
      <c r="S564" s="27"/>
    </row>
    <row r="565" spans="1:19" s="20" customFormat="1" x14ac:dyDescent="0.25">
      <c r="A565" s="26"/>
      <c r="B565" s="21"/>
      <c r="C565" s="21"/>
      <c r="D565" s="22"/>
      <c r="H565" s="22"/>
      <c r="J565" s="22"/>
      <c r="K565" s="27"/>
      <c r="L565" s="22"/>
      <c r="N565" s="22"/>
      <c r="O565" s="27"/>
      <c r="P565" s="22"/>
      <c r="R565" s="22"/>
      <c r="S565" s="27"/>
    </row>
    <row r="566" spans="1:19" s="20" customFormat="1" x14ac:dyDescent="0.25">
      <c r="A566" s="26"/>
      <c r="B566" s="21"/>
      <c r="C566" s="21"/>
      <c r="D566" s="22"/>
      <c r="H566" s="22"/>
      <c r="J566" s="22"/>
      <c r="K566" s="27"/>
      <c r="L566" s="22"/>
      <c r="N566" s="22"/>
      <c r="O566" s="27"/>
      <c r="P566" s="22"/>
      <c r="R566" s="22"/>
      <c r="S566" s="27"/>
    </row>
    <row r="567" spans="1:19" s="20" customFormat="1" x14ac:dyDescent="0.25">
      <c r="A567" s="26"/>
      <c r="B567" s="21"/>
      <c r="C567" s="21"/>
      <c r="D567" s="22"/>
      <c r="H567" s="22"/>
      <c r="J567" s="22"/>
      <c r="K567" s="27"/>
      <c r="L567" s="22"/>
      <c r="N567" s="22"/>
      <c r="O567" s="27"/>
      <c r="P567" s="22"/>
      <c r="R567" s="22"/>
      <c r="S567" s="27"/>
    </row>
    <row r="568" spans="1:19" s="20" customFormat="1" x14ac:dyDescent="0.25">
      <c r="A568" s="26"/>
      <c r="B568" s="21"/>
      <c r="C568" s="21"/>
      <c r="D568" s="22"/>
      <c r="H568" s="22"/>
      <c r="J568" s="22"/>
      <c r="K568" s="27"/>
      <c r="L568" s="22"/>
      <c r="N568" s="22"/>
      <c r="O568" s="27"/>
      <c r="P568" s="22"/>
      <c r="R568" s="22"/>
      <c r="S568" s="27"/>
    </row>
    <row r="569" spans="1:19" s="20" customFormat="1" x14ac:dyDescent="0.25">
      <c r="A569" s="26"/>
      <c r="B569" s="21"/>
      <c r="C569" s="21"/>
      <c r="D569" s="22"/>
      <c r="H569" s="22"/>
      <c r="J569" s="22"/>
      <c r="K569" s="27"/>
      <c r="L569" s="22"/>
      <c r="N569" s="22"/>
      <c r="O569" s="27"/>
      <c r="P569" s="22"/>
      <c r="R569" s="22"/>
      <c r="S569" s="27"/>
    </row>
    <row r="570" spans="1:19" s="20" customFormat="1" x14ac:dyDescent="0.25">
      <c r="A570" s="26"/>
      <c r="B570" s="21"/>
      <c r="C570" s="21"/>
      <c r="D570" s="22"/>
      <c r="H570" s="22"/>
      <c r="J570" s="22"/>
      <c r="K570" s="27"/>
      <c r="L570" s="22"/>
      <c r="N570" s="22"/>
      <c r="O570" s="27"/>
      <c r="P570" s="22"/>
      <c r="R570" s="22"/>
      <c r="S570" s="27"/>
    </row>
    <row r="571" spans="1:19" s="20" customFormat="1" x14ac:dyDescent="0.25">
      <c r="A571" s="26"/>
      <c r="B571" s="21"/>
      <c r="C571" s="21"/>
      <c r="D571" s="22"/>
      <c r="H571" s="22"/>
      <c r="J571" s="22"/>
      <c r="K571" s="27"/>
      <c r="L571" s="22"/>
      <c r="N571" s="22"/>
      <c r="O571" s="27"/>
      <c r="P571" s="22"/>
      <c r="R571" s="22"/>
      <c r="S571" s="27"/>
    </row>
    <row r="572" spans="1:19" s="20" customFormat="1" x14ac:dyDescent="0.25">
      <c r="A572" s="26"/>
      <c r="B572" s="21"/>
      <c r="C572" s="21"/>
      <c r="D572" s="22"/>
      <c r="H572" s="22"/>
      <c r="J572" s="22"/>
      <c r="K572" s="27"/>
      <c r="L572" s="22"/>
      <c r="N572" s="22"/>
      <c r="O572" s="27"/>
      <c r="P572" s="22"/>
      <c r="R572" s="22"/>
      <c r="S572" s="27"/>
    </row>
    <row r="573" spans="1:19" s="20" customFormat="1" x14ac:dyDescent="0.25">
      <c r="A573" s="26"/>
      <c r="B573" s="21"/>
      <c r="C573" s="21"/>
      <c r="D573" s="22"/>
      <c r="H573" s="22"/>
      <c r="J573" s="22"/>
      <c r="K573" s="27"/>
      <c r="L573" s="22"/>
      <c r="N573" s="22"/>
      <c r="O573" s="27"/>
      <c r="P573" s="22"/>
      <c r="R573" s="22"/>
      <c r="S573" s="27"/>
    </row>
    <row r="574" spans="1:19" s="20" customFormat="1" x14ac:dyDescent="0.25">
      <c r="A574" s="26"/>
      <c r="B574" s="21"/>
      <c r="C574" s="21"/>
      <c r="D574" s="22"/>
      <c r="H574" s="22"/>
      <c r="J574" s="22"/>
      <c r="K574" s="27"/>
      <c r="L574" s="22"/>
      <c r="N574" s="22"/>
      <c r="O574" s="27"/>
      <c r="P574" s="22"/>
      <c r="R574" s="22"/>
      <c r="S574" s="27"/>
    </row>
    <row r="575" spans="1:19" s="20" customFormat="1" x14ac:dyDescent="0.25">
      <c r="A575" s="26"/>
      <c r="B575" s="21"/>
      <c r="C575" s="21"/>
      <c r="D575" s="22"/>
      <c r="H575" s="22"/>
      <c r="J575" s="22"/>
      <c r="K575" s="27"/>
      <c r="L575" s="22"/>
      <c r="N575" s="22"/>
      <c r="O575" s="27"/>
      <c r="P575" s="22"/>
      <c r="R575" s="22"/>
      <c r="S575" s="27"/>
    </row>
    <row r="576" spans="1:19" s="20" customFormat="1" x14ac:dyDescent="0.25">
      <c r="A576" s="26"/>
      <c r="B576" s="21"/>
      <c r="C576" s="21"/>
      <c r="D576" s="22"/>
      <c r="H576" s="22"/>
      <c r="J576" s="22"/>
      <c r="K576" s="27"/>
      <c r="L576" s="22"/>
      <c r="N576" s="22"/>
      <c r="O576" s="27"/>
      <c r="P576" s="22"/>
      <c r="R576" s="22"/>
      <c r="S576" s="27"/>
    </row>
    <row r="577" spans="1:19" s="20" customFormat="1" x14ac:dyDescent="0.25">
      <c r="A577" s="26"/>
      <c r="B577" s="21"/>
      <c r="C577" s="21"/>
      <c r="D577" s="22"/>
      <c r="H577" s="22"/>
      <c r="J577" s="22"/>
      <c r="K577" s="27"/>
      <c r="L577" s="22"/>
      <c r="N577" s="22"/>
      <c r="O577" s="27"/>
      <c r="P577" s="22"/>
      <c r="R577" s="22"/>
      <c r="S577" s="27"/>
    </row>
    <row r="578" spans="1:19" s="20" customFormat="1" x14ac:dyDescent="0.25">
      <c r="A578" s="26"/>
      <c r="B578" s="21"/>
      <c r="C578" s="21"/>
      <c r="D578" s="22"/>
      <c r="H578" s="22"/>
      <c r="J578" s="22"/>
      <c r="K578" s="27"/>
      <c r="L578" s="22"/>
      <c r="N578" s="22"/>
      <c r="O578" s="27"/>
      <c r="P578" s="22"/>
      <c r="R578" s="22"/>
      <c r="S578" s="27"/>
    </row>
    <row r="579" spans="1:19" s="20" customFormat="1" x14ac:dyDescent="0.25">
      <c r="A579" s="26"/>
      <c r="B579" s="21"/>
      <c r="C579" s="21"/>
      <c r="D579" s="22"/>
      <c r="H579" s="22"/>
      <c r="J579" s="22"/>
      <c r="K579" s="27"/>
      <c r="L579" s="22"/>
      <c r="N579" s="22"/>
      <c r="O579" s="27"/>
      <c r="P579" s="22"/>
      <c r="R579" s="22"/>
      <c r="S579" s="27"/>
    </row>
    <row r="580" spans="1:19" s="20" customFormat="1" x14ac:dyDescent="0.25">
      <c r="A580" s="26"/>
      <c r="B580" s="21"/>
      <c r="C580" s="21"/>
      <c r="D580" s="22"/>
      <c r="H580" s="22"/>
      <c r="J580" s="22"/>
      <c r="K580" s="27"/>
      <c r="L580" s="22"/>
      <c r="N580" s="22"/>
      <c r="O580" s="27"/>
      <c r="P580" s="22"/>
      <c r="R580" s="22"/>
      <c r="S580" s="27"/>
    </row>
    <row r="581" spans="1:19" s="20" customFormat="1" x14ac:dyDescent="0.25">
      <c r="A581" s="26"/>
      <c r="B581" s="21"/>
      <c r="C581" s="21"/>
      <c r="D581" s="22"/>
      <c r="H581" s="22"/>
      <c r="J581" s="22"/>
      <c r="K581" s="27"/>
      <c r="L581" s="22"/>
      <c r="N581" s="22"/>
      <c r="O581" s="27"/>
      <c r="P581" s="22"/>
      <c r="R581" s="22"/>
      <c r="S581" s="27"/>
    </row>
    <row r="582" spans="1:19" s="20" customFormat="1" x14ac:dyDescent="0.25">
      <c r="A582" s="26"/>
      <c r="B582" s="21"/>
      <c r="C582" s="21"/>
      <c r="D582" s="22"/>
      <c r="H582" s="22"/>
      <c r="J582" s="22"/>
      <c r="K582" s="27"/>
      <c r="L582" s="22"/>
      <c r="N582" s="22"/>
      <c r="O582" s="27"/>
      <c r="P582" s="22"/>
      <c r="R582" s="22"/>
      <c r="S582" s="27"/>
    </row>
    <row r="583" spans="1:19" s="20" customFormat="1" x14ac:dyDescent="0.25">
      <c r="A583" s="26"/>
      <c r="B583" s="21"/>
      <c r="C583" s="21"/>
      <c r="D583" s="22"/>
      <c r="H583" s="22"/>
      <c r="J583" s="22"/>
      <c r="K583" s="27"/>
      <c r="L583" s="22"/>
      <c r="N583" s="22"/>
      <c r="O583" s="27"/>
      <c r="P583" s="22"/>
      <c r="R583" s="22"/>
      <c r="S583" s="27"/>
    </row>
    <row r="584" spans="1:19" s="20" customFormat="1" x14ac:dyDescent="0.25">
      <c r="A584" s="26"/>
      <c r="B584" s="21"/>
      <c r="C584" s="21"/>
      <c r="D584" s="22"/>
      <c r="H584" s="22"/>
      <c r="J584" s="22"/>
      <c r="K584" s="27"/>
      <c r="L584" s="22"/>
      <c r="N584" s="22"/>
      <c r="O584" s="27"/>
      <c r="P584" s="22"/>
      <c r="R584" s="22"/>
      <c r="S584" s="27"/>
    </row>
    <row r="585" spans="1:19" s="20" customFormat="1" x14ac:dyDescent="0.25">
      <c r="A585" s="26"/>
      <c r="B585" s="21"/>
      <c r="C585" s="21"/>
      <c r="D585" s="22"/>
      <c r="H585" s="22"/>
      <c r="J585" s="22"/>
      <c r="K585" s="27"/>
      <c r="L585" s="22"/>
      <c r="N585" s="22"/>
      <c r="O585" s="27"/>
      <c r="P585" s="22"/>
      <c r="R585" s="22"/>
      <c r="S585" s="27"/>
    </row>
    <row r="586" spans="1:19" s="20" customFormat="1" x14ac:dyDescent="0.25">
      <c r="A586" s="26"/>
      <c r="B586" s="21"/>
      <c r="C586" s="21"/>
      <c r="D586" s="22"/>
      <c r="H586" s="22"/>
      <c r="J586" s="22"/>
      <c r="K586" s="27"/>
      <c r="L586" s="22"/>
      <c r="N586" s="22"/>
      <c r="O586" s="27"/>
      <c r="P586" s="22"/>
      <c r="R586" s="22"/>
      <c r="S586" s="27"/>
    </row>
    <row r="587" spans="1:19" s="20" customFormat="1" x14ac:dyDescent="0.25">
      <c r="A587" s="26"/>
      <c r="B587" s="21"/>
      <c r="C587" s="21"/>
      <c r="D587" s="22"/>
      <c r="H587" s="22"/>
      <c r="J587" s="22"/>
      <c r="K587" s="27"/>
      <c r="L587" s="22"/>
      <c r="N587" s="22"/>
      <c r="O587" s="27"/>
      <c r="P587" s="22"/>
      <c r="R587" s="22"/>
      <c r="S587" s="27"/>
    </row>
    <row r="588" spans="1:19" s="20" customFormat="1" x14ac:dyDescent="0.25">
      <c r="A588" s="26"/>
      <c r="B588" s="21"/>
      <c r="C588" s="21"/>
      <c r="D588" s="22"/>
      <c r="H588" s="22"/>
      <c r="J588" s="22"/>
      <c r="K588" s="27"/>
      <c r="L588" s="22"/>
      <c r="N588" s="22"/>
      <c r="O588" s="27"/>
      <c r="P588" s="22"/>
      <c r="R588" s="22"/>
      <c r="S588" s="27"/>
    </row>
    <row r="589" spans="1:19" s="20" customFormat="1" x14ac:dyDescent="0.25">
      <c r="A589" s="26"/>
      <c r="B589" s="21"/>
      <c r="C589" s="21"/>
      <c r="D589" s="22"/>
      <c r="H589" s="22"/>
      <c r="J589" s="22"/>
      <c r="K589" s="27"/>
      <c r="L589" s="22"/>
      <c r="N589" s="22"/>
      <c r="O589" s="27"/>
      <c r="P589" s="22"/>
      <c r="R589" s="22"/>
      <c r="S589" s="27"/>
    </row>
    <row r="590" spans="1:19" s="20" customFormat="1" x14ac:dyDescent="0.25">
      <c r="A590" s="26"/>
      <c r="B590" s="21"/>
      <c r="C590" s="21"/>
      <c r="D590" s="22"/>
      <c r="H590" s="22"/>
      <c r="J590" s="22"/>
      <c r="K590" s="27"/>
      <c r="L590" s="22"/>
      <c r="N590" s="22"/>
      <c r="O590" s="27"/>
      <c r="P590" s="22"/>
      <c r="R590" s="22"/>
      <c r="S590" s="27"/>
    </row>
    <row r="591" spans="1:19" s="20" customFormat="1" x14ac:dyDescent="0.25">
      <c r="A591" s="26"/>
      <c r="B591" s="21"/>
      <c r="C591" s="21"/>
      <c r="D591" s="22"/>
      <c r="H591" s="22"/>
      <c r="J591" s="22"/>
      <c r="K591" s="27"/>
      <c r="L591" s="22"/>
      <c r="N591" s="22"/>
      <c r="O591" s="27"/>
      <c r="P591" s="22"/>
      <c r="R591" s="22"/>
      <c r="S591" s="27"/>
    </row>
    <row r="592" spans="1:19" s="20" customFormat="1" x14ac:dyDescent="0.25">
      <c r="A592" s="26"/>
      <c r="B592" s="21"/>
      <c r="C592" s="21"/>
      <c r="D592" s="22"/>
      <c r="H592" s="22"/>
      <c r="J592" s="22"/>
      <c r="K592" s="27"/>
      <c r="L592" s="22"/>
      <c r="N592" s="22"/>
      <c r="O592" s="27"/>
      <c r="P592" s="22"/>
      <c r="R592" s="22"/>
      <c r="S592" s="27"/>
    </row>
    <row r="593" spans="1:19" s="20" customFormat="1" x14ac:dyDescent="0.25">
      <c r="A593" s="26"/>
      <c r="B593" s="21"/>
      <c r="C593" s="21"/>
      <c r="D593" s="22"/>
      <c r="H593" s="22"/>
      <c r="J593" s="22"/>
      <c r="K593" s="27"/>
      <c r="L593" s="22"/>
      <c r="N593" s="22"/>
      <c r="O593" s="27"/>
      <c r="P593" s="22"/>
      <c r="R593" s="22"/>
      <c r="S593" s="27"/>
    </row>
    <row r="594" spans="1:19" s="20" customFormat="1" x14ac:dyDescent="0.25">
      <c r="A594" s="26"/>
      <c r="B594" s="21"/>
      <c r="C594" s="21"/>
      <c r="D594" s="22"/>
      <c r="H594" s="22"/>
      <c r="J594" s="22"/>
      <c r="K594" s="27"/>
      <c r="L594" s="22"/>
      <c r="N594" s="22"/>
      <c r="O594" s="27"/>
      <c r="P594" s="22"/>
      <c r="R594" s="22"/>
      <c r="S594" s="27"/>
    </row>
    <row r="595" spans="1:19" s="20" customFormat="1" x14ac:dyDescent="0.25">
      <c r="A595" s="26"/>
      <c r="B595" s="21"/>
      <c r="C595" s="21"/>
      <c r="D595" s="22"/>
      <c r="H595" s="22"/>
      <c r="J595" s="22"/>
      <c r="K595" s="27"/>
      <c r="L595" s="22"/>
      <c r="N595" s="22"/>
      <c r="O595" s="27"/>
      <c r="P595" s="22"/>
      <c r="R595" s="22"/>
      <c r="S595" s="27"/>
    </row>
    <row r="596" spans="1:19" s="20" customFormat="1" x14ac:dyDescent="0.25">
      <c r="A596" s="26"/>
      <c r="B596" s="21"/>
      <c r="C596" s="21"/>
      <c r="D596" s="22"/>
      <c r="H596" s="22"/>
      <c r="J596" s="22"/>
      <c r="K596" s="27"/>
      <c r="L596" s="22"/>
      <c r="N596" s="22"/>
      <c r="O596" s="27"/>
      <c r="P596" s="22"/>
      <c r="R596" s="22"/>
      <c r="S596" s="27"/>
    </row>
    <row r="597" spans="1:19" s="20" customFormat="1" x14ac:dyDescent="0.25">
      <c r="A597" s="26"/>
      <c r="B597" s="21"/>
      <c r="C597" s="21"/>
      <c r="D597" s="22"/>
      <c r="H597" s="22"/>
      <c r="J597" s="22"/>
      <c r="K597" s="27"/>
      <c r="L597" s="22"/>
      <c r="N597" s="22"/>
      <c r="O597" s="27"/>
      <c r="P597" s="22"/>
      <c r="R597" s="22"/>
      <c r="S597" s="27"/>
    </row>
    <row r="598" spans="1:19" s="20" customFormat="1" x14ac:dyDescent="0.25">
      <c r="A598" s="26"/>
      <c r="B598" s="21"/>
      <c r="C598" s="21"/>
      <c r="D598" s="22"/>
      <c r="H598" s="22"/>
      <c r="J598" s="22"/>
      <c r="K598" s="27"/>
      <c r="L598" s="22"/>
      <c r="N598" s="22"/>
      <c r="O598" s="27"/>
      <c r="P598" s="22"/>
      <c r="R598" s="22"/>
      <c r="S598" s="27"/>
    </row>
    <row r="599" spans="1:19" s="20" customFormat="1" x14ac:dyDescent="0.25">
      <c r="A599" s="26"/>
      <c r="B599" s="21"/>
      <c r="C599" s="21"/>
      <c r="D599" s="22"/>
      <c r="H599" s="22"/>
      <c r="J599" s="22"/>
      <c r="K599" s="27"/>
      <c r="L599" s="22"/>
      <c r="N599" s="22"/>
      <c r="O599" s="27"/>
      <c r="P599" s="22"/>
      <c r="R599" s="22"/>
      <c r="S599" s="27"/>
    </row>
    <row r="600" spans="1:19" s="20" customFormat="1" x14ac:dyDescent="0.25">
      <c r="A600" s="26"/>
      <c r="B600" s="21"/>
      <c r="C600" s="21"/>
      <c r="D600" s="22"/>
      <c r="H600" s="22"/>
      <c r="J600" s="22"/>
      <c r="K600" s="27"/>
      <c r="L600" s="22"/>
      <c r="N600" s="22"/>
      <c r="O600" s="27"/>
      <c r="P600" s="22"/>
      <c r="R600" s="22"/>
      <c r="S600" s="27"/>
    </row>
    <row r="601" spans="1:19" s="20" customFormat="1" x14ac:dyDescent="0.25">
      <c r="A601" s="26"/>
      <c r="B601" s="21"/>
      <c r="C601" s="21"/>
      <c r="D601" s="22"/>
      <c r="H601" s="22"/>
      <c r="J601" s="22"/>
      <c r="K601" s="27"/>
      <c r="L601" s="22"/>
      <c r="N601" s="22"/>
      <c r="O601" s="27"/>
      <c r="P601" s="22"/>
      <c r="R601" s="22"/>
      <c r="S601" s="27"/>
    </row>
    <row r="602" spans="1:19" s="20" customFormat="1" x14ac:dyDescent="0.25">
      <c r="A602" s="26"/>
      <c r="B602" s="21"/>
      <c r="C602" s="21"/>
      <c r="D602" s="22"/>
      <c r="H602" s="22"/>
      <c r="J602" s="22"/>
      <c r="K602" s="27"/>
      <c r="L602" s="22"/>
      <c r="N602" s="22"/>
      <c r="O602" s="27"/>
      <c r="P602" s="22"/>
      <c r="R602" s="22"/>
      <c r="S602" s="27"/>
    </row>
    <row r="603" spans="1:19" s="20" customFormat="1" x14ac:dyDescent="0.25">
      <c r="A603" s="26"/>
      <c r="B603" s="21"/>
      <c r="C603" s="21"/>
      <c r="D603" s="22"/>
      <c r="H603" s="22"/>
      <c r="J603" s="22"/>
      <c r="K603" s="27"/>
      <c r="L603" s="22"/>
      <c r="N603" s="22"/>
      <c r="O603" s="27"/>
      <c r="P603" s="22"/>
      <c r="R603" s="22"/>
      <c r="S603" s="27"/>
    </row>
    <row r="604" spans="1:19" s="20" customFormat="1" x14ac:dyDescent="0.25">
      <c r="A604" s="26"/>
      <c r="B604" s="21"/>
      <c r="C604" s="21"/>
      <c r="D604" s="22"/>
      <c r="H604" s="22"/>
      <c r="J604" s="22"/>
      <c r="K604" s="27"/>
      <c r="L604" s="22"/>
      <c r="N604" s="22"/>
      <c r="O604" s="27"/>
      <c r="P604" s="22"/>
      <c r="R604" s="22"/>
      <c r="S604" s="27"/>
    </row>
    <row r="605" spans="1:19" s="20" customFormat="1" x14ac:dyDescent="0.25">
      <c r="A605" s="26"/>
      <c r="B605" s="21"/>
      <c r="C605" s="21"/>
      <c r="D605" s="22"/>
      <c r="H605" s="22"/>
      <c r="J605" s="22"/>
      <c r="K605" s="27"/>
      <c r="L605" s="22"/>
      <c r="N605" s="22"/>
      <c r="O605" s="27"/>
      <c r="P605" s="22"/>
      <c r="R605" s="22"/>
      <c r="S605" s="27"/>
    </row>
    <row r="606" spans="1:19" s="20" customFormat="1" x14ac:dyDescent="0.25">
      <c r="A606" s="26"/>
      <c r="B606" s="21"/>
      <c r="C606" s="21"/>
      <c r="D606" s="22"/>
      <c r="H606" s="22"/>
      <c r="J606" s="22"/>
      <c r="K606" s="27"/>
      <c r="L606" s="22"/>
      <c r="N606" s="22"/>
      <c r="O606" s="27"/>
      <c r="P606" s="22"/>
      <c r="R606" s="22"/>
      <c r="S606" s="27"/>
    </row>
    <row r="607" spans="1:19" s="20" customFormat="1" x14ac:dyDescent="0.25">
      <c r="A607" s="26"/>
      <c r="B607" s="21"/>
      <c r="C607" s="21"/>
      <c r="D607" s="22"/>
      <c r="H607" s="22"/>
      <c r="J607" s="22"/>
      <c r="K607" s="27"/>
      <c r="L607" s="22"/>
      <c r="N607" s="22"/>
      <c r="O607" s="27"/>
      <c r="P607" s="22"/>
      <c r="R607" s="22"/>
      <c r="S607" s="27"/>
    </row>
    <row r="608" spans="1:19" s="20" customFormat="1" x14ac:dyDescent="0.25">
      <c r="A608" s="26"/>
      <c r="B608" s="21"/>
      <c r="C608" s="21"/>
      <c r="D608" s="22"/>
      <c r="H608" s="22"/>
      <c r="J608" s="22"/>
      <c r="K608" s="27"/>
      <c r="L608" s="22"/>
      <c r="N608" s="22"/>
      <c r="O608" s="27"/>
      <c r="P608" s="22"/>
      <c r="R608" s="22"/>
      <c r="S608" s="27"/>
    </row>
    <row r="609" spans="1:19" s="20" customFormat="1" x14ac:dyDescent="0.25">
      <c r="A609" s="26"/>
      <c r="B609" s="21"/>
      <c r="C609" s="21"/>
      <c r="D609" s="22"/>
      <c r="H609" s="22"/>
      <c r="J609" s="22"/>
      <c r="K609" s="27"/>
      <c r="L609" s="22"/>
      <c r="N609" s="22"/>
      <c r="O609" s="27"/>
      <c r="P609" s="22"/>
      <c r="R609" s="22"/>
      <c r="S609" s="27"/>
    </row>
    <row r="610" spans="1:19" s="20" customFormat="1" x14ac:dyDescent="0.25">
      <c r="A610" s="26"/>
      <c r="B610" s="21"/>
      <c r="C610" s="21"/>
      <c r="D610" s="22"/>
      <c r="H610" s="22"/>
      <c r="J610" s="22"/>
      <c r="K610" s="27"/>
      <c r="L610" s="22"/>
      <c r="N610" s="22"/>
      <c r="O610" s="27"/>
      <c r="P610" s="22"/>
      <c r="R610" s="22"/>
      <c r="S610" s="27"/>
    </row>
    <row r="611" spans="1:19" s="20" customFormat="1" x14ac:dyDescent="0.25">
      <c r="A611" s="26"/>
      <c r="B611" s="21"/>
      <c r="C611" s="21"/>
      <c r="D611" s="22"/>
      <c r="H611" s="22"/>
      <c r="J611" s="22"/>
      <c r="K611" s="27"/>
      <c r="L611" s="22"/>
      <c r="N611" s="22"/>
      <c r="O611" s="27"/>
      <c r="P611" s="22"/>
      <c r="R611" s="22"/>
      <c r="S611" s="27"/>
    </row>
    <row r="612" spans="1:19" s="20" customFormat="1" x14ac:dyDescent="0.25">
      <c r="A612" s="26"/>
      <c r="B612" s="21"/>
      <c r="C612" s="21"/>
      <c r="D612" s="22"/>
      <c r="H612" s="22"/>
      <c r="J612" s="22"/>
      <c r="K612" s="27"/>
      <c r="L612" s="22"/>
      <c r="N612" s="22"/>
      <c r="O612" s="27"/>
      <c r="P612" s="22"/>
      <c r="R612" s="22"/>
      <c r="S612" s="27"/>
    </row>
    <row r="613" spans="1:19" s="20" customFormat="1" x14ac:dyDescent="0.25">
      <c r="A613" s="26"/>
      <c r="B613" s="21"/>
      <c r="C613" s="21"/>
      <c r="D613" s="22"/>
      <c r="H613" s="22"/>
      <c r="J613" s="22"/>
      <c r="K613" s="27"/>
      <c r="L613" s="22"/>
      <c r="N613" s="22"/>
      <c r="O613" s="27"/>
      <c r="P613" s="22"/>
      <c r="R613" s="22"/>
      <c r="S613" s="27"/>
    </row>
    <row r="614" spans="1:19" s="20" customFormat="1" x14ac:dyDescent="0.25">
      <c r="A614" s="26"/>
      <c r="B614" s="21"/>
      <c r="C614" s="21"/>
      <c r="D614" s="22"/>
      <c r="H614" s="22"/>
      <c r="J614" s="22"/>
      <c r="K614" s="27"/>
      <c r="L614" s="22"/>
      <c r="N614" s="22"/>
      <c r="O614" s="27"/>
      <c r="P614" s="22"/>
      <c r="R614" s="22"/>
      <c r="S614" s="27"/>
    </row>
    <row r="615" spans="1:19" s="20" customFormat="1" x14ac:dyDescent="0.25">
      <c r="A615" s="26"/>
      <c r="B615" s="21"/>
      <c r="C615" s="21"/>
      <c r="D615" s="22"/>
      <c r="H615" s="22"/>
      <c r="J615" s="22"/>
      <c r="K615" s="27"/>
      <c r="L615" s="22"/>
      <c r="N615" s="22"/>
      <c r="O615" s="27"/>
      <c r="P615" s="22"/>
      <c r="R615" s="22"/>
      <c r="S615" s="27"/>
    </row>
    <row r="616" spans="1:19" s="20" customFormat="1" x14ac:dyDescent="0.25">
      <c r="A616" s="26"/>
      <c r="B616" s="21"/>
      <c r="C616" s="21"/>
      <c r="D616" s="22"/>
      <c r="H616" s="22"/>
      <c r="J616" s="22"/>
      <c r="K616" s="27"/>
      <c r="L616" s="22"/>
      <c r="N616" s="22"/>
      <c r="O616" s="27"/>
      <c r="P616" s="22"/>
      <c r="R616" s="22"/>
      <c r="S616" s="27"/>
    </row>
    <row r="617" spans="1:19" s="20" customFormat="1" x14ac:dyDescent="0.25">
      <c r="A617" s="26"/>
      <c r="B617" s="21"/>
      <c r="C617" s="21"/>
      <c r="D617" s="22"/>
      <c r="H617" s="22"/>
      <c r="J617" s="22"/>
      <c r="K617" s="27"/>
      <c r="L617" s="22"/>
      <c r="N617" s="22"/>
      <c r="O617" s="27"/>
      <c r="P617" s="22"/>
      <c r="R617" s="22"/>
      <c r="S617" s="27"/>
    </row>
    <row r="618" spans="1:19" s="20" customFormat="1" x14ac:dyDescent="0.25">
      <c r="A618" s="26"/>
      <c r="B618" s="21"/>
      <c r="C618" s="21"/>
      <c r="D618" s="22"/>
      <c r="H618" s="22"/>
      <c r="J618" s="22"/>
      <c r="K618" s="27"/>
      <c r="L618" s="22"/>
      <c r="N618" s="22"/>
      <c r="O618" s="27"/>
      <c r="P618" s="22"/>
      <c r="R618" s="22"/>
      <c r="S618" s="27"/>
    </row>
    <row r="619" spans="1:19" s="20" customFormat="1" x14ac:dyDescent="0.25">
      <c r="A619" s="26"/>
      <c r="B619" s="21"/>
      <c r="C619" s="21"/>
      <c r="D619" s="22"/>
      <c r="H619" s="22"/>
      <c r="J619" s="22"/>
      <c r="K619" s="27"/>
      <c r="L619" s="22"/>
      <c r="N619" s="22"/>
      <c r="O619" s="27"/>
      <c r="P619" s="22"/>
      <c r="R619" s="22"/>
      <c r="S619" s="27"/>
    </row>
    <row r="620" spans="1:19" s="20" customFormat="1" x14ac:dyDescent="0.25">
      <c r="A620" s="26"/>
      <c r="B620" s="21"/>
      <c r="C620" s="21"/>
      <c r="D620" s="22"/>
      <c r="H620" s="22"/>
      <c r="J620" s="22"/>
      <c r="K620" s="27"/>
      <c r="L620" s="22"/>
      <c r="N620" s="22"/>
      <c r="O620" s="27"/>
      <c r="P620" s="22"/>
      <c r="R620" s="22"/>
      <c r="S620" s="27"/>
    </row>
    <row r="621" spans="1:19" s="20" customFormat="1" x14ac:dyDescent="0.25">
      <c r="A621" s="26"/>
      <c r="B621" s="21"/>
      <c r="C621" s="21"/>
      <c r="D621" s="22"/>
      <c r="H621" s="22"/>
      <c r="J621" s="22"/>
      <c r="K621" s="27"/>
      <c r="L621" s="22"/>
      <c r="N621" s="22"/>
      <c r="O621" s="27"/>
      <c r="P621" s="22"/>
      <c r="R621" s="22"/>
      <c r="S621" s="27"/>
    </row>
    <row r="622" spans="1:19" s="20" customFormat="1" x14ac:dyDescent="0.25">
      <c r="A622" s="26"/>
      <c r="B622" s="21"/>
      <c r="C622" s="21"/>
      <c r="D622" s="22"/>
      <c r="H622" s="22"/>
      <c r="J622" s="22"/>
      <c r="K622" s="27"/>
      <c r="L622" s="22"/>
      <c r="N622" s="22"/>
      <c r="O622" s="27"/>
      <c r="P622" s="22"/>
      <c r="R622" s="22"/>
      <c r="S622" s="27"/>
    </row>
    <row r="623" spans="1:19" s="20" customFormat="1" x14ac:dyDescent="0.25">
      <c r="A623" s="26"/>
      <c r="B623" s="21"/>
      <c r="C623" s="21"/>
      <c r="D623" s="22"/>
      <c r="H623" s="22"/>
      <c r="J623" s="22"/>
      <c r="K623" s="27"/>
      <c r="L623" s="22"/>
      <c r="N623" s="22"/>
      <c r="O623" s="27"/>
      <c r="P623" s="22"/>
      <c r="R623" s="22"/>
      <c r="S623" s="27"/>
    </row>
    <row r="624" spans="1:19" s="20" customFormat="1" x14ac:dyDescent="0.25">
      <c r="A624" s="26"/>
      <c r="B624" s="21"/>
      <c r="C624" s="21"/>
      <c r="D624" s="22"/>
      <c r="H624" s="22"/>
      <c r="J624" s="22"/>
      <c r="K624" s="27"/>
      <c r="L624" s="22"/>
      <c r="N624" s="22"/>
      <c r="O624" s="27"/>
      <c r="P624" s="22"/>
      <c r="R624" s="22"/>
      <c r="S624" s="27"/>
    </row>
    <row r="625" spans="1:19" s="20" customFormat="1" x14ac:dyDescent="0.25">
      <c r="A625" s="26"/>
      <c r="B625" s="21"/>
      <c r="C625" s="21"/>
      <c r="D625" s="22"/>
      <c r="H625" s="22"/>
      <c r="J625" s="22"/>
      <c r="K625" s="27"/>
      <c r="L625" s="22"/>
      <c r="N625" s="22"/>
      <c r="O625" s="27"/>
      <c r="P625" s="22"/>
      <c r="R625" s="22"/>
      <c r="S625" s="27"/>
    </row>
    <row r="626" spans="1:19" s="20" customFormat="1" x14ac:dyDescent="0.25">
      <c r="A626" s="26"/>
      <c r="B626" s="21"/>
      <c r="C626" s="21"/>
      <c r="D626" s="22"/>
      <c r="H626" s="22"/>
      <c r="J626" s="22"/>
      <c r="K626" s="27"/>
      <c r="L626" s="22"/>
      <c r="N626" s="22"/>
      <c r="O626" s="27"/>
      <c r="P626" s="22"/>
      <c r="R626" s="22"/>
      <c r="S626" s="27"/>
    </row>
    <row r="627" spans="1:19" s="20" customFormat="1" x14ac:dyDescent="0.25">
      <c r="A627" s="26"/>
      <c r="B627" s="21"/>
      <c r="C627" s="21"/>
      <c r="D627" s="22"/>
      <c r="H627" s="22"/>
      <c r="J627" s="22"/>
      <c r="K627" s="27"/>
      <c r="L627" s="22"/>
      <c r="N627" s="22"/>
      <c r="O627" s="27"/>
      <c r="P627" s="22"/>
      <c r="R627" s="22"/>
      <c r="S627" s="27"/>
    </row>
    <row r="628" spans="1:19" s="20" customFormat="1" x14ac:dyDescent="0.25">
      <c r="A628" s="26"/>
      <c r="B628" s="21"/>
      <c r="C628" s="21"/>
      <c r="D628" s="22"/>
      <c r="H628" s="22"/>
      <c r="J628" s="22"/>
      <c r="K628" s="27"/>
      <c r="L628" s="22"/>
      <c r="N628" s="22"/>
      <c r="O628" s="27"/>
      <c r="P628" s="22"/>
      <c r="R628" s="22"/>
      <c r="S628" s="27"/>
    </row>
    <row r="629" spans="1:19" s="20" customFormat="1" x14ac:dyDescent="0.25">
      <c r="A629" s="26"/>
      <c r="B629" s="21"/>
      <c r="C629" s="21"/>
      <c r="D629" s="22"/>
      <c r="H629" s="22"/>
      <c r="J629" s="22"/>
      <c r="K629" s="27"/>
      <c r="L629" s="22"/>
      <c r="N629" s="22"/>
      <c r="O629" s="27"/>
      <c r="P629" s="22"/>
      <c r="R629" s="22"/>
      <c r="S629" s="27"/>
    </row>
    <row r="630" spans="1:19" s="20" customFormat="1" x14ac:dyDescent="0.25">
      <c r="A630" s="26"/>
      <c r="B630" s="21"/>
      <c r="C630" s="21"/>
      <c r="D630" s="22"/>
      <c r="H630" s="22"/>
      <c r="J630" s="22"/>
      <c r="K630" s="27"/>
      <c r="L630" s="22"/>
      <c r="N630" s="22"/>
      <c r="O630" s="27"/>
      <c r="P630" s="22"/>
      <c r="R630" s="22"/>
      <c r="S630" s="27"/>
    </row>
    <row r="631" spans="1:19" s="20" customFormat="1" x14ac:dyDescent="0.25">
      <c r="A631" s="26"/>
      <c r="B631" s="21"/>
      <c r="C631" s="21"/>
      <c r="D631" s="22"/>
      <c r="H631" s="22"/>
      <c r="J631" s="22"/>
      <c r="K631" s="27"/>
      <c r="L631" s="22"/>
      <c r="N631" s="22"/>
      <c r="O631" s="27"/>
      <c r="P631" s="22"/>
      <c r="R631" s="22"/>
      <c r="S631" s="27"/>
    </row>
    <row r="632" spans="1:19" s="20" customFormat="1" x14ac:dyDescent="0.25">
      <c r="A632" s="26"/>
      <c r="B632" s="21"/>
      <c r="C632" s="21"/>
      <c r="D632" s="22"/>
      <c r="H632" s="22"/>
      <c r="J632" s="22"/>
      <c r="K632" s="27"/>
      <c r="L632" s="22"/>
      <c r="N632" s="22"/>
      <c r="O632" s="27"/>
      <c r="P632" s="22"/>
      <c r="R632" s="22"/>
      <c r="S632" s="27"/>
    </row>
    <row r="633" spans="1:19" s="20" customFormat="1" x14ac:dyDescent="0.25">
      <c r="A633" s="26"/>
      <c r="B633" s="21"/>
      <c r="C633" s="21"/>
      <c r="D633" s="22"/>
      <c r="H633" s="22"/>
      <c r="J633" s="22"/>
      <c r="K633" s="27"/>
      <c r="L633" s="22"/>
      <c r="N633" s="22"/>
      <c r="O633" s="27"/>
      <c r="P633" s="22"/>
      <c r="R633" s="22"/>
      <c r="S633" s="27"/>
    </row>
    <row r="634" spans="1:19" s="20" customFormat="1" x14ac:dyDescent="0.25">
      <c r="A634" s="26"/>
      <c r="B634" s="21"/>
      <c r="C634" s="21"/>
      <c r="D634" s="22"/>
      <c r="H634" s="22"/>
      <c r="J634" s="22"/>
      <c r="K634" s="27"/>
      <c r="L634" s="22"/>
      <c r="N634" s="22"/>
      <c r="O634" s="27"/>
      <c r="P634" s="22"/>
      <c r="R634" s="22"/>
      <c r="S634" s="27"/>
    </row>
    <row r="635" spans="1:19" s="20" customFormat="1" x14ac:dyDescent="0.25">
      <c r="A635" s="26"/>
      <c r="B635" s="21"/>
      <c r="C635" s="21"/>
      <c r="D635" s="22"/>
      <c r="H635" s="22"/>
      <c r="J635" s="22"/>
      <c r="K635" s="27"/>
      <c r="L635" s="22"/>
      <c r="N635" s="22"/>
      <c r="O635" s="27"/>
      <c r="P635" s="22"/>
      <c r="R635" s="22"/>
      <c r="S635" s="27"/>
    </row>
    <row r="636" spans="1:19" s="20" customFormat="1" x14ac:dyDescent="0.25">
      <c r="A636" s="26"/>
      <c r="B636" s="21"/>
      <c r="C636" s="21"/>
      <c r="D636" s="22"/>
      <c r="H636" s="22"/>
      <c r="J636" s="22"/>
      <c r="K636" s="27"/>
      <c r="L636" s="22"/>
      <c r="N636" s="22"/>
      <c r="O636" s="27"/>
      <c r="P636" s="22"/>
      <c r="R636" s="22"/>
      <c r="S636" s="27"/>
    </row>
    <row r="637" spans="1:19" s="20" customFormat="1" x14ac:dyDescent="0.25">
      <c r="A637" s="26"/>
      <c r="B637" s="21"/>
      <c r="C637" s="21"/>
      <c r="D637" s="22"/>
      <c r="H637" s="22"/>
      <c r="J637" s="22"/>
      <c r="K637" s="27"/>
      <c r="L637" s="22"/>
      <c r="N637" s="22"/>
      <c r="O637" s="27"/>
      <c r="P637" s="22"/>
      <c r="R637" s="22"/>
      <c r="S637" s="27"/>
    </row>
    <row r="638" spans="1:19" s="20" customFormat="1" x14ac:dyDescent="0.25">
      <c r="A638" s="26"/>
      <c r="B638" s="21"/>
      <c r="C638" s="21"/>
      <c r="D638" s="22"/>
      <c r="H638" s="22"/>
      <c r="J638" s="22"/>
      <c r="K638" s="27"/>
      <c r="L638" s="22"/>
      <c r="N638" s="22"/>
      <c r="O638" s="27"/>
      <c r="P638" s="22"/>
      <c r="R638" s="22"/>
      <c r="S638" s="27"/>
    </row>
    <row r="639" spans="1:19" s="20" customFormat="1" x14ac:dyDescent="0.25">
      <c r="A639" s="26"/>
      <c r="B639" s="21"/>
      <c r="C639" s="21"/>
      <c r="D639" s="22"/>
      <c r="H639" s="22"/>
      <c r="J639" s="22"/>
      <c r="K639" s="27"/>
      <c r="L639" s="22"/>
      <c r="N639" s="22"/>
      <c r="O639" s="27"/>
      <c r="P639" s="22"/>
      <c r="R639" s="22"/>
      <c r="S639" s="27"/>
    </row>
    <row r="640" spans="1:19" s="20" customFormat="1" x14ac:dyDescent="0.25">
      <c r="A640" s="26"/>
      <c r="B640" s="21"/>
      <c r="C640" s="21"/>
      <c r="D640" s="22"/>
      <c r="H640" s="22"/>
      <c r="J640" s="22"/>
      <c r="K640" s="27"/>
      <c r="L640" s="22"/>
      <c r="N640" s="22"/>
      <c r="O640" s="27"/>
      <c r="P640" s="22"/>
      <c r="R640" s="22"/>
      <c r="S640" s="27"/>
    </row>
    <row r="641" spans="1:19" s="20" customFormat="1" x14ac:dyDescent="0.25">
      <c r="A641" s="26"/>
      <c r="B641" s="21"/>
      <c r="C641" s="21"/>
      <c r="D641" s="22"/>
      <c r="H641" s="22"/>
      <c r="J641" s="22"/>
      <c r="K641" s="27"/>
      <c r="L641" s="22"/>
      <c r="N641" s="22"/>
      <c r="O641" s="27"/>
      <c r="P641" s="22"/>
      <c r="R641" s="22"/>
      <c r="S641" s="27"/>
    </row>
    <row r="642" spans="1:19" s="20" customFormat="1" x14ac:dyDescent="0.25">
      <c r="A642" s="26"/>
      <c r="B642" s="21"/>
      <c r="C642" s="21"/>
      <c r="D642" s="22"/>
      <c r="H642" s="22"/>
      <c r="J642" s="22"/>
      <c r="K642" s="27"/>
      <c r="L642" s="22"/>
      <c r="N642" s="22"/>
      <c r="O642" s="27"/>
      <c r="P642" s="22"/>
      <c r="R642" s="22"/>
      <c r="S642" s="27"/>
    </row>
    <row r="643" spans="1:19" s="20" customFormat="1" x14ac:dyDescent="0.25">
      <c r="A643" s="26"/>
      <c r="B643" s="21"/>
      <c r="C643" s="21"/>
      <c r="D643" s="22"/>
      <c r="H643" s="22"/>
      <c r="J643" s="22"/>
      <c r="K643" s="27"/>
      <c r="L643" s="22"/>
      <c r="N643" s="22"/>
      <c r="O643" s="27"/>
      <c r="P643" s="22"/>
      <c r="R643" s="22"/>
      <c r="S643" s="27"/>
    </row>
    <row r="644" spans="1:19" s="20" customFormat="1" x14ac:dyDescent="0.25">
      <c r="A644" s="26"/>
      <c r="B644" s="21"/>
      <c r="C644" s="21"/>
      <c r="D644" s="22"/>
      <c r="H644" s="22"/>
      <c r="J644" s="22"/>
      <c r="K644" s="27"/>
      <c r="L644" s="22"/>
      <c r="N644" s="22"/>
      <c r="O644" s="27"/>
      <c r="P644" s="22"/>
      <c r="R644" s="22"/>
      <c r="S644" s="27"/>
    </row>
    <row r="645" spans="1:19" s="20" customFormat="1" x14ac:dyDescent="0.25">
      <c r="A645" s="26"/>
      <c r="B645" s="21"/>
      <c r="C645" s="21"/>
      <c r="D645" s="22"/>
      <c r="H645" s="22"/>
      <c r="J645" s="22"/>
      <c r="K645" s="27"/>
      <c r="L645" s="22"/>
      <c r="N645" s="22"/>
      <c r="O645" s="27"/>
      <c r="P645" s="22"/>
      <c r="R645" s="22"/>
      <c r="S645" s="27"/>
    </row>
    <row r="646" spans="1:19" s="20" customFormat="1" x14ac:dyDescent="0.25">
      <c r="A646" s="26"/>
      <c r="B646" s="21"/>
      <c r="C646" s="21"/>
      <c r="D646" s="22"/>
      <c r="H646" s="22"/>
      <c r="J646" s="22"/>
      <c r="K646" s="27"/>
      <c r="L646" s="22"/>
      <c r="N646" s="22"/>
      <c r="O646" s="27"/>
      <c r="P646" s="22"/>
      <c r="R646" s="22"/>
      <c r="S646" s="27"/>
    </row>
    <row r="647" spans="1:19" s="20" customFormat="1" x14ac:dyDescent="0.25">
      <c r="A647" s="26"/>
      <c r="B647" s="21"/>
      <c r="C647" s="21"/>
      <c r="D647" s="22"/>
      <c r="H647" s="22"/>
      <c r="J647" s="22"/>
      <c r="K647" s="27"/>
      <c r="L647" s="22"/>
      <c r="N647" s="22"/>
      <c r="O647" s="27"/>
      <c r="P647" s="22"/>
      <c r="R647" s="22"/>
      <c r="S647" s="27"/>
    </row>
    <row r="648" spans="1:19" s="20" customFormat="1" x14ac:dyDescent="0.25">
      <c r="A648" s="26"/>
      <c r="B648" s="21"/>
      <c r="C648" s="21"/>
      <c r="D648" s="22"/>
      <c r="H648" s="22"/>
      <c r="J648" s="22"/>
      <c r="K648" s="27"/>
      <c r="L648" s="22"/>
      <c r="N648" s="22"/>
      <c r="O648" s="27"/>
      <c r="P648" s="22"/>
      <c r="R648" s="22"/>
      <c r="S648" s="27"/>
    </row>
    <row r="649" spans="1:19" s="20" customFormat="1" x14ac:dyDescent="0.25">
      <c r="A649" s="26"/>
      <c r="B649" s="21"/>
      <c r="C649" s="21"/>
      <c r="D649" s="22"/>
      <c r="H649" s="22"/>
      <c r="J649" s="22"/>
      <c r="K649" s="27"/>
      <c r="L649" s="22"/>
      <c r="N649" s="22"/>
      <c r="O649" s="27"/>
      <c r="P649" s="22"/>
      <c r="R649" s="22"/>
      <c r="S649" s="27"/>
    </row>
    <row r="650" spans="1:19" s="20" customFormat="1" x14ac:dyDescent="0.25">
      <c r="A650" s="26"/>
      <c r="B650" s="21"/>
      <c r="C650" s="21"/>
      <c r="D650" s="22"/>
      <c r="H650" s="22"/>
      <c r="J650" s="22"/>
      <c r="K650" s="27"/>
      <c r="L650" s="22"/>
      <c r="N650" s="22"/>
      <c r="O650" s="27"/>
      <c r="P650" s="22"/>
      <c r="R650" s="22"/>
      <c r="S650" s="27"/>
    </row>
    <row r="651" spans="1:19" s="20" customFormat="1" x14ac:dyDescent="0.25">
      <c r="A651" s="26"/>
      <c r="B651" s="21"/>
      <c r="C651" s="21"/>
      <c r="D651" s="22"/>
      <c r="H651" s="22"/>
      <c r="J651" s="22"/>
      <c r="K651" s="27"/>
      <c r="L651" s="22"/>
      <c r="N651" s="22"/>
      <c r="O651" s="27"/>
      <c r="P651" s="22"/>
      <c r="R651" s="22"/>
      <c r="S651" s="27"/>
    </row>
    <row r="652" spans="1:19" s="20" customFormat="1" x14ac:dyDescent="0.25">
      <c r="A652" s="26"/>
      <c r="B652" s="21"/>
      <c r="C652" s="21"/>
      <c r="D652" s="22"/>
      <c r="H652" s="22"/>
      <c r="J652" s="22"/>
      <c r="K652" s="27"/>
      <c r="L652" s="22"/>
      <c r="N652" s="22"/>
      <c r="O652" s="27"/>
      <c r="P652" s="22"/>
      <c r="R652" s="22"/>
      <c r="S652" s="27"/>
    </row>
    <row r="653" spans="1:19" s="20" customFormat="1" x14ac:dyDescent="0.25">
      <c r="A653" s="26"/>
      <c r="B653" s="21"/>
      <c r="C653" s="21"/>
      <c r="D653" s="22"/>
      <c r="H653" s="22"/>
      <c r="J653" s="22"/>
      <c r="K653" s="27"/>
      <c r="L653" s="22"/>
      <c r="N653" s="22"/>
      <c r="O653" s="27"/>
      <c r="P653" s="22"/>
      <c r="R653" s="22"/>
      <c r="S653" s="27"/>
    </row>
    <row r="654" spans="1:19" s="20" customFormat="1" x14ac:dyDescent="0.25">
      <c r="A654" s="26"/>
      <c r="B654" s="21"/>
      <c r="C654" s="21"/>
      <c r="D654" s="22"/>
      <c r="H654" s="22"/>
      <c r="J654" s="22"/>
      <c r="K654" s="27"/>
      <c r="L654" s="22"/>
      <c r="N654" s="22"/>
      <c r="O654" s="27"/>
      <c r="P654" s="22"/>
      <c r="R654" s="22"/>
      <c r="S654" s="27"/>
    </row>
    <row r="655" spans="1:19" s="20" customFormat="1" x14ac:dyDescent="0.25">
      <c r="A655" s="26"/>
      <c r="B655" s="21"/>
      <c r="C655" s="21"/>
      <c r="D655" s="22"/>
      <c r="H655" s="22"/>
      <c r="J655" s="22"/>
      <c r="K655" s="27"/>
      <c r="L655" s="22"/>
      <c r="N655" s="22"/>
      <c r="O655" s="27"/>
      <c r="P655" s="22"/>
      <c r="R655" s="22"/>
      <c r="S655" s="27"/>
    </row>
    <row r="656" spans="1:19" s="20" customFormat="1" x14ac:dyDescent="0.25">
      <c r="A656" s="26"/>
      <c r="B656" s="21"/>
      <c r="C656" s="21"/>
      <c r="D656" s="22"/>
      <c r="H656" s="22"/>
      <c r="J656" s="22"/>
      <c r="K656" s="27"/>
      <c r="L656" s="22"/>
      <c r="N656" s="22"/>
      <c r="O656" s="27"/>
      <c r="P656" s="22"/>
      <c r="R656" s="22"/>
      <c r="S656" s="27"/>
    </row>
    <row r="657" spans="1:19" s="20" customFormat="1" x14ac:dyDescent="0.25">
      <c r="A657" s="26"/>
      <c r="B657" s="21"/>
      <c r="C657" s="21"/>
      <c r="D657" s="22"/>
      <c r="H657" s="22"/>
      <c r="J657" s="22"/>
      <c r="K657" s="27"/>
      <c r="L657" s="22"/>
      <c r="N657" s="22"/>
      <c r="O657" s="27"/>
      <c r="P657" s="22"/>
      <c r="R657" s="22"/>
      <c r="S657" s="27"/>
    </row>
    <row r="658" spans="1:19" s="20" customFormat="1" x14ac:dyDescent="0.25">
      <c r="A658" s="26"/>
      <c r="B658" s="21"/>
      <c r="C658" s="21"/>
      <c r="D658" s="22"/>
      <c r="H658" s="22"/>
      <c r="J658" s="22"/>
      <c r="K658" s="27"/>
      <c r="L658" s="22"/>
      <c r="N658" s="22"/>
      <c r="O658" s="27"/>
      <c r="P658" s="22"/>
      <c r="R658" s="22"/>
      <c r="S658" s="27"/>
    </row>
    <row r="659" spans="1:19" s="20" customFormat="1" x14ac:dyDescent="0.25">
      <c r="A659" s="26"/>
      <c r="B659" s="21"/>
      <c r="C659" s="21"/>
      <c r="D659" s="22"/>
      <c r="H659" s="22"/>
      <c r="J659" s="22"/>
      <c r="K659" s="27"/>
      <c r="L659" s="22"/>
      <c r="N659" s="22"/>
      <c r="O659" s="27"/>
      <c r="P659" s="22"/>
      <c r="R659" s="22"/>
      <c r="S659" s="27"/>
    </row>
    <row r="660" spans="1:19" s="20" customFormat="1" x14ac:dyDescent="0.25">
      <c r="A660" s="26"/>
      <c r="B660" s="21"/>
      <c r="C660" s="21"/>
      <c r="D660" s="22"/>
      <c r="H660" s="22"/>
      <c r="J660" s="22"/>
      <c r="K660" s="27"/>
      <c r="L660" s="22"/>
      <c r="N660" s="22"/>
      <c r="O660" s="27"/>
      <c r="P660" s="22"/>
      <c r="R660" s="22"/>
      <c r="S660" s="27"/>
    </row>
    <row r="661" spans="1:19" s="20" customFormat="1" x14ac:dyDescent="0.25">
      <c r="A661" s="26"/>
      <c r="B661" s="21"/>
      <c r="C661" s="21"/>
      <c r="D661" s="22"/>
      <c r="H661" s="22"/>
      <c r="J661" s="22"/>
      <c r="K661" s="27"/>
      <c r="L661" s="22"/>
      <c r="N661" s="22"/>
      <c r="O661" s="27"/>
      <c r="P661" s="22"/>
      <c r="R661" s="22"/>
      <c r="S661" s="27"/>
    </row>
    <row r="662" spans="1:19" s="20" customFormat="1" x14ac:dyDescent="0.25">
      <c r="A662" s="26"/>
      <c r="B662" s="21"/>
      <c r="C662" s="21"/>
      <c r="D662" s="22"/>
      <c r="H662" s="22"/>
      <c r="J662" s="22"/>
      <c r="K662" s="27"/>
      <c r="L662" s="22"/>
      <c r="N662" s="22"/>
      <c r="O662" s="27"/>
      <c r="P662" s="22"/>
      <c r="R662" s="22"/>
      <c r="S662" s="27"/>
    </row>
    <row r="663" spans="1:19" s="20" customFormat="1" x14ac:dyDescent="0.25">
      <c r="A663" s="26"/>
      <c r="B663" s="21"/>
      <c r="C663" s="21"/>
      <c r="D663" s="22"/>
      <c r="H663" s="22"/>
      <c r="J663" s="22"/>
      <c r="K663" s="27"/>
      <c r="L663" s="22"/>
      <c r="N663" s="22"/>
      <c r="O663" s="27"/>
      <c r="P663" s="22"/>
      <c r="R663" s="22"/>
      <c r="S663" s="27"/>
    </row>
    <row r="664" spans="1:19" s="20" customFormat="1" x14ac:dyDescent="0.25">
      <c r="A664" s="26"/>
      <c r="B664" s="21"/>
      <c r="C664" s="21"/>
      <c r="D664" s="22"/>
      <c r="H664" s="22"/>
      <c r="J664" s="22"/>
      <c r="K664" s="27"/>
      <c r="L664" s="22"/>
      <c r="N664" s="22"/>
      <c r="O664" s="27"/>
      <c r="P664" s="22"/>
      <c r="R664" s="22"/>
      <c r="S664" s="27"/>
    </row>
    <row r="665" spans="1:19" s="20" customFormat="1" x14ac:dyDescent="0.25">
      <c r="A665" s="26"/>
      <c r="B665" s="21"/>
      <c r="C665" s="21"/>
      <c r="D665" s="22"/>
      <c r="H665" s="22"/>
      <c r="J665" s="22"/>
      <c r="K665" s="27"/>
      <c r="L665" s="22"/>
      <c r="N665" s="22"/>
      <c r="O665" s="27"/>
      <c r="P665" s="22"/>
      <c r="R665" s="22"/>
      <c r="S665" s="27"/>
    </row>
    <row r="666" spans="1:19" s="20" customFormat="1" x14ac:dyDescent="0.25">
      <c r="A666" s="26"/>
      <c r="B666" s="21"/>
      <c r="C666" s="21"/>
      <c r="D666" s="22"/>
      <c r="H666" s="22"/>
      <c r="J666" s="22"/>
      <c r="K666" s="27"/>
      <c r="L666" s="22"/>
      <c r="N666" s="22"/>
      <c r="O666" s="27"/>
      <c r="P666" s="22"/>
      <c r="R666" s="22"/>
      <c r="S666" s="27"/>
    </row>
    <row r="667" spans="1:19" s="20" customFormat="1" x14ac:dyDescent="0.25">
      <c r="A667" s="26"/>
      <c r="B667" s="21"/>
      <c r="C667" s="21"/>
      <c r="D667" s="22"/>
      <c r="H667" s="22"/>
      <c r="J667" s="22"/>
      <c r="K667" s="27"/>
      <c r="L667" s="22"/>
      <c r="N667" s="22"/>
      <c r="O667" s="27"/>
      <c r="P667" s="22"/>
      <c r="R667" s="22"/>
      <c r="S667" s="27"/>
    </row>
    <row r="668" spans="1:19" s="20" customFormat="1" x14ac:dyDescent="0.25">
      <c r="A668" s="26"/>
      <c r="B668" s="21"/>
      <c r="C668" s="21"/>
      <c r="D668" s="22"/>
      <c r="H668" s="22"/>
      <c r="J668" s="22"/>
      <c r="K668" s="27"/>
      <c r="L668" s="22"/>
      <c r="N668" s="22"/>
      <c r="O668" s="27"/>
      <c r="P668" s="22"/>
      <c r="R668" s="22"/>
      <c r="S668" s="27"/>
    </row>
    <row r="669" spans="1:19" s="20" customFormat="1" x14ac:dyDescent="0.25">
      <c r="A669" s="26"/>
      <c r="B669" s="21"/>
      <c r="C669" s="21"/>
      <c r="D669" s="22"/>
      <c r="H669" s="22"/>
      <c r="J669" s="22"/>
      <c r="K669" s="27"/>
      <c r="L669" s="22"/>
      <c r="N669" s="22"/>
      <c r="O669" s="27"/>
      <c r="P669" s="22"/>
      <c r="R669" s="22"/>
      <c r="S669" s="27"/>
    </row>
    <row r="670" spans="1:19" s="20" customFormat="1" x14ac:dyDescent="0.25">
      <c r="A670" s="26"/>
      <c r="B670" s="21"/>
      <c r="C670" s="21"/>
      <c r="D670" s="22"/>
      <c r="H670" s="22"/>
      <c r="J670" s="22"/>
      <c r="K670" s="27"/>
      <c r="L670" s="22"/>
      <c r="N670" s="22"/>
      <c r="O670" s="27"/>
      <c r="P670" s="22"/>
      <c r="R670" s="22"/>
      <c r="S670" s="27"/>
    </row>
    <row r="671" spans="1:19" s="20" customFormat="1" x14ac:dyDescent="0.25">
      <c r="A671" s="26"/>
      <c r="B671" s="21"/>
      <c r="C671" s="21"/>
      <c r="D671" s="22"/>
      <c r="H671" s="22"/>
      <c r="J671" s="22"/>
      <c r="K671" s="27"/>
      <c r="L671" s="22"/>
      <c r="N671" s="22"/>
      <c r="O671" s="27"/>
      <c r="P671" s="22"/>
      <c r="R671" s="22"/>
      <c r="S671" s="27"/>
    </row>
    <row r="672" spans="1:19" s="20" customFormat="1" x14ac:dyDescent="0.25">
      <c r="A672" s="26"/>
      <c r="B672" s="21"/>
      <c r="C672" s="21"/>
      <c r="D672" s="22"/>
      <c r="H672" s="22"/>
      <c r="J672" s="22"/>
      <c r="K672" s="27"/>
      <c r="L672" s="22"/>
      <c r="N672" s="22"/>
      <c r="O672" s="27"/>
      <c r="P672" s="22"/>
      <c r="R672" s="22"/>
      <c r="S672" s="27"/>
    </row>
    <row r="673" spans="1:19" s="20" customFormat="1" x14ac:dyDescent="0.25">
      <c r="A673" s="26"/>
      <c r="B673" s="21"/>
      <c r="C673" s="21"/>
      <c r="D673" s="22"/>
      <c r="H673" s="22"/>
      <c r="J673" s="22"/>
      <c r="K673" s="27"/>
      <c r="L673" s="22"/>
      <c r="N673" s="22"/>
      <c r="O673" s="27"/>
      <c r="P673" s="22"/>
      <c r="R673" s="22"/>
      <c r="S673" s="27"/>
    </row>
    <row r="674" spans="1:19" s="20" customFormat="1" x14ac:dyDescent="0.25">
      <c r="A674" s="26"/>
      <c r="B674" s="21"/>
      <c r="C674" s="21"/>
      <c r="D674" s="22"/>
      <c r="H674" s="22"/>
      <c r="J674" s="22"/>
      <c r="K674" s="27"/>
      <c r="L674" s="22"/>
      <c r="N674" s="22"/>
      <c r="O674" s="27"/>
      <c r="P674" s="22"/>
      <c r="R674" s="22"/>
      <c r="S674" s="27"/>
    </row>
    <row r="675" spans="1:19" s="20" customFormat="1" x14ac:dyDescent="0.25">
      <c r="A675" s="26"/>
      <c r="B675" s="21"/>
      <c r="C675" s="21"/>
      <c r="D675" s="22"/>
      <c r="H675" s="22"/>
      <c r="J675" s="22"/>
      <c r="K675" s="27"/>
      <c r="L675" s="22"/>
      <c r="N675" s="22"/>
      <c r="O675" s="27"/>
      <c r="P675" s="22"/>
      <c r="R675" s="22"/>
      <c r="S675" s="27"/>
    </row>
    <row r="676" spans="1:19" s="20" customFormat="1" x14ac:dyDescent="0.25">
      <c r="A676" s="26"/>
      <c r="B676" s="21"/>
      <c r="C676" s="21"/>
      <c r="D676" s="22"/>
      <c r="H676" s="22"/>
      <c r="J676" s="22"/>
      <c r="K676" s="27"/>
      <c r="L676" s="22"/>
      <c r="N676" s="22"/>
      <c r="O676" s="27"/>
      <c r="P676" s="22"/>
      <c r="R676" s="22"/>
      <c r="S676" s="27"/>
    </row>
    <row r="677" spans="1:19" s="20" customFormat="1" x14ac:dyDescent="0.25">
      <c r="A677" s="26"/>
      <c r="B677" s="21"/>
      <c r="C677" s="21"/>
      <c r="D677" s="22"/>
      <c r="H677" s="22"/>
      <c r="J677" s="22"/>
      <c r="K677" s="27"/>
      <c r="L677" s="22"/>
      <c r="N677" s="22"/>
      <c r="O677" s="27"/>
      <c r="P677" s="22"/>
      <c r="R677" s="22"/>
      <c r="S677" s="27"/>
    </row>
    <row r="678" spans="1:19" s="20" customFormat="1" x14ac:dyDescent="0.25">
      <c r="A678" s="26"/>
      <c r="B678" s="21"/>
      <c r="C678" s="21"/>
      <c r="D678" s="22"/>
      <c r="H678" s="22"/>
      <c r="J678" s="22"/>
      <c r="K678" s="27"/>
      <c r="L678" s="22"/>
      <c r="N678" s="22"/>
      <c r="O678" s="27"/>
      <c r="P678" s="22"/>
      <c r="R678" s="22"/>
      <c r="S678" s="27"/>
    </row>
    <row r="679" spans="1:19" s="20" customFormat="1" x14ac:dyDescent="0.25">
      <c r="A679" s="26"/>
      <c r="B679" s="21"/>
      <c r="C679" s="21"/>
      <c r="D679" s="22"/>
      <c r="H679" s="22"/>
      <c r="J679" s="22"/>
      <c r="K679" s="27"/>
      <c r="L679" s="22"/>
      <c r="N679" s="22"/>
      <c r="O679" s="27"/>
      <c r="P679" s="22"/>
      <c r="R679" s="22"/>
      <c r="S679" s="27"/>
    </row>
    <row r="680" spans="1:19" s="20" customFormat="1" x14ac:dyDescent="0.25">
      <c r="A680" s="26"/>
      <c r="B680" s="21"/>
      <c r="C680" s="21"/>
      <c r="D680" s="22"/>
      <c r="H680" s="22"/>
      <c r="J680" s="22"/>
      <c r="K680" s="27"/>
      <c r="L680" s="22"/>
      <c r="N680" s="22"/>
      <c r="O680" s="27"/>
      <c r="P680" s="22"/>
      <c r="R680" s="22"/>
      <c r="S680" s="27"/>
    </row>
    <row r="681" spans="1:19" s="20" customFormat="1" x14ac:dyDescent="0.25">
      <c r="A681" s="26"/>
      <c r="B681" s="21"/>
      <c r="C681" s="21"/>
      <c r="D681" s="22"/>
      <c r="H681" s="22"/>
      <c r="J681" s="22"/>
      <c r="K681" s="27"/>
      <c r="L681" s="22"/>
      <c r="N681" s="22"/>
      <c r="O681" s="27"/>
      <c r="P681" s="22"/>
      <c r="R681" s="22"/>
      <c r="S681" s="27"/>
    </row>
    <row r="682" spans="1:19" s="20" customFormat="1" x14ac:dyDescent="0.25">
      <c r="A682" s="26"/>
      <c r="B682" s="21"/>
      <c r="C682" s="21"/>
      <c r="D682" s="22"/>
      <c r="H682" s="22"/>
      <c r="J682" s="22"/>
      <c r="K682" s="27"/>
      <c r="L682" s="22"/>
      <c r="N682" s="22"/>
      <c r="O682" s="27"/>
      <c r="P682" s="22"/>
      <c r="R682" s="22"/>
      <c r="S682" s="27"/>
    </row>
    <row r="683" spans="1:19" s="20" customFormat="1" x14ac:dyDescent="0.25">
      <c r="A683" s="26"/>
      <c r="B683" s="21"/>
      <c r="C683" s="21"/>
      <c r="D683" s="22"/>
      <c r="H683" s="22"/>
      <c r="J683" s="22"/>
      <c r="K683" s="27"/>
      <c r="L683" s="22"/>
      <c r="N683" s="22"/>
      <c r="O683" s="27"/>
      <c r="P683" s="22"/>
      <c r="R683" s="22"/>
      <c r="S683" s="27"/>
    </row>
    <row r="684" spans="1:19" s="20" customFormat="1" x14ac:dyDescent="0.25">
      <c r="A684" s="26"/>
      <c r="B684" s="21"/>
      <c r="C684" s="21"/>
      <c r="D684" s="22"/>
      <c r="H684" s="22"/>
      <c r="J684" s="22"/>
      <c r="K684" s="27"/>
      <c r="L684" s="22"/>
      <c r="N684" s="22"/>
      <c r="O684" s="27"/>
      <c r="P684" s="22"/>
      <c r="R684" s="22"/>
      <c r="S684" s="27"/>
    </row>
    <row r="685" spans="1:19" s="20" customFormat="1" x14ac:dyDescent="0.25">
      <c r="A685" s="26"/>
      <c r="B685" s="21"/>
      <c r="C685" s="21"/>
      <c r="D685" s="22"/>
      <c r="H685" s="22"/>
      <c r="J685" s="22"/>
      <c r="K685" s="27"/>
      <c r="L685" s="22"/>
      <c r="N685" s="22"/>
      <c r="O685" s="27"/>
      <c r="P685" s="22"/>
      <c r="R685" s="22"/>
      <c r="S685" s="27"/>
    </row>
    <row r="686" spans="1:19" s="20" customFormat="1" x14ac:dyDescent="0.25">
      <c r="A686" s="26"/>
      <c r="B686" s="21"/>
      <c r="C686" s="21"/>
      <c r="D686" s="22"/>
      <c r="H686" s="22"/>
      <c r="J686" s="22"/>
      <c r="K686" s="27"/>
      <c r="L686" s="22"/>
      <c r="N686" s="22"/>
      <c r="O686" s="27"/>
      <c r="P686" s="22"/>
      <c r="R686" s="22"/>
      <c r="S686" s="27"/>
    </row>
    <row r="687" spans="1:19" s="20" customFormat="1" x14ac:dyDescent="0.25">
      <c r="A687" s="26"/>
      <c r="B687" s="21"/>
      <c r="C687" s="21"/>
      <c r="D687" s="22"/>
      <c r="H687" s="22"/>
      <c r="J687" s="22"/>
      <c r="K687" s="27"/>
      <c r="L687" s="22"/>
      <c r="N687" s="22"/>
      <c r="O687" s="27"/>
      <c r="P687" s="22"/>
      <c r="R687" s="22"/>
      <c r="S687" s="27"/>
    </row>
    <row r="688" spans="1:19" s="20" customFormat="1" x14ac:dyDescent="0.25">
      <c r="A688" s="26"/>
      <c r="B688" s="21"/>
      <c r="C688" s="21"/>
      <c r="D688" s="22"/>
      <c r="H688" s="22"/>
      <c r="J688" s="22"/>
      <c r="K688" s="27"/>
      <c r="L688" s="22"/>
      <c r="N688" s="22"/>
      <c r="O688" s="27"/>
      <c r="P688" s="22"/>
      <c r="R688" s="22"/>
      <c r="S688" s="27"/>
    </row>
    <row r="689" spans="1:19" s="20" customFormat="1" x14ac:dyDescent="0.25">
      <c r="A689" s="26"/>
      <c r="B689" s="21"/>
      <c r="C689" s="21"/>
      <c r="D689" s="22"/>
      <c r="H689" s="22"/>
      <c r="J689" s="22"/>
      <c r="K689" s="27"/>
      <c r="L689" s="22"/>
      <c r="N689" s="22"/>
      <c r="O689" s="27"/>
      <c r="P689" s="22"/>
      <c r="R689" s="22"/>
      <c r="S689" s="27"/>
    </row>
    <row r="690" spans="1:19" s="20" customFormat="1" x14ac:dyDescent="0.25">
      <c r="A690" s="26"/>
      <c r="B690" s="21"/>
      <c r="C690" s="21"/>
      <c r="D690" s="22"/>
      <c r="H690" s="22"/>
      <c r="J690" s="22"/>
      <c r="K690" s="27"/>
      <c r="L690" s="22"/>
      <c r="N690" s="22"/>
      <c r="O690" s="27"/>
      <c r="P690" s="22"/>
      <c r="R690" s="22"/>
      <c r="S690" s="27"/>
    </row>
    <row r="691" spans="1:19" s="20" customFormat="1" x14ac:dyDescent="0.25">
      <c r="A691" s="26"/>
      <c r="B691" s="21"/>
      <c r="C691" s="21"/>
      <c r="D691" s="22"/>
      <c r="H691" s="22"/>
      <c r="J691" s="22"/>
      <c r="K691" s="27"/>
      <c r="L691" s="22"/>
      <c r="N691" s="22"/>
      <c r="O691" s="27"/>
      <c r="P691" s="22"/>
      <c r="R691" s="22"/>
      <c r="S691" s="27"/>
    </row>
    <row r="692" spans="1:19" s="20" customFormat="1" x14ac:dyDescent="0.25">
      <c r="A692" s="26"/>
      <c r="B692" s="21"/>
      <c r="C692" s="21"/>
      <c r="D692" s="22"/>
      <c r="H692" s="22"/>
      <c r="J692" s="22"/>
      <c r="K692" s="27"/>
      <c r="L692" s="22"/>
      <c r="N692" s="22"/>
      <c r="O692" s="27"/>
      <c r="P692" s="22"/>
      <c r="R692" s="22"/>
      <c r="S692" s="27"/>
    </row>
    <row r="693" spans="1:19" s="20" customFormat="1" x14ac:dyDescent="0.25">
      <c r="A693" s="26"/>
      <c r="B693" s="21"/>
      <c r="C693" s="21"/>
      <c r="D693" s="22"/>
      <c r="H693" s="22"/>
      <c r="J693" s="22"/>
      <c r="K693" s="27"/>
      <c r="L693" s="22"/>
      <c r="N693" s="22"/>
      <c r="O693" s="27"/>
      <c r="P693" s="22"/>
      <c r="R693" s="22"/>
      <c r="S693" s="27"/>
    </row>
    <row r="694" spans="1:19" s="20" customFormat="1" x14ac:dyDescent="0.25">
      <c r="A694" s="26"/>
      <c r="B694" s="21"/>
      <c r="C694" s="21"/>
      <c r="D694" s="22"/>
      <c r="H694" s="22"/>
      <c r="J694" s="22"/>
      <c r="K694" s="27"/>
      <c r="L694" s="22"/>
      <c r="N694" s="22"/>
      <c r="O694" s="27"/>
      <c r="P694" s="22"/>
      <c r="R694" s="22"/>
      <c r="S694" s="27"/>
    </row>
    <row r="695" spans="1:19" s="20" customFormat="1" x14ac:dyDescent="0.25">
      <c r="A695" s="26"/>
      <c r="B695" s="21"/>
      <c r="C695" s="21"/>
      <c r="D695" s="22"/>
      <c r="H695" s="22"/>
      <c r="J695" s="22"/>
      <c r="K695" s="27"/>
      <c r="L695" s="22"/>
      <c r="N695" s="22"/>
      <c r="O695" s="27"/>
      <c r="P695" s="22"/>
      <c r="R695" s="22"/>
      <c r="S695" s="27"/>
    </row>
    <row r="696" spans="1:19" s="20" customFormat="1" x14ac:dyDescent="0.25">
      <c r="A696" s="26"/>
      <c r="B696" s="21"/>
      <c r="C696" s="21"/>
      <c r="D696" s="22"/>
      <c r="H696" s="22"/>
      <c r="J696" s="22"/>
      <c r="K696" s="27"/>
      <c r="L696" s="22"/>
      <c r="N696" s="22"/>
      <c r="O696" s="27"/>
      <c r="P696" s="22"/>
      <c r="R696" s="22"/>
      <c r="S696" s="27"/>
    </row>
    <row r="697" spans="1:19" s="20" customFormat="1" x14ac:dyDescent="0.25">
      <c r="A697" s="26"/>
      <c r="B697" s="21"/>
      <c r="C697" s="21"/>
      <c r="D697" s="22"/>
      <c r="H697" s="22"/>
      <c r="J697" s="22"/>
      <c r="K697" s="27"/>
      <c r="L697" s="22"/>
      <c r="N697" s="22"/>
      <c r="O697" s="27"/>
      <c r="P697" s="22"/>
      <c r="R697" s="22"/>
      <c r="S697" s="27"/>
    </row>
    <row r="698" spans="1:19" s="20" customFormat="1" x14ac:dyDescent="0.25">
      <c r="A698" s="26"/>
      <c r="B698" s="21"/>
      <c r="C698" s="21"/>
      <c r="D698" s="22"/>
      <c r="H698" s="22"/>
      <c r="J698" s="22"/>
      <c r="K698" s="27"/>
      <c r="L698" s="22"/>
      <c r="N698" s="22"/>
      <c r="O698" s="27"/>
      <c r="P698" s="22"/>
      <c r="R698" s="22"/>
      <c r="S698" s="27"/>
    </row>
    <row r="699" spans="1:19" s="20" customFormat="1" x14ac:dyDescent="0.25">
      <c r="A699" s="26"/>
      <c r="B699" s="21"/>
      <c r="C699" s="21"/>
      <c r="D699" s="22"/>
      <c r="H699" s="22"/>
      <c r="J699" s="22"/>
      <c r="K699" s="27"/>
      <c r="L699" s="22"/>
      <c r="N699" s="22"/>
      <c r="O699" s="27"/>
      <c r="P699" s="22"/>
      <c r="R699" s="22"/>
      <c r="S699" s="27"/>
    </row>
    <row r="700" spans="1:19" s="20" customFormat="1" x14ac:dyDescent="0.25">
      <c r="A700" s="26"/>
      <c r="B700" s="21"/>
      <c r="C700" s="21"/>
      <c r="D700" s="22"/>
      <c r="H700" s="22"/>
      <c r="J700" s="22"/>
      <c r="K700" s="27"/>
      <c r="L700" s="22"/>
      <c r="N700" s="22"/>
      <c r="O700" s="27"/>
      <c r="P700" s="22"/>
      <c r="R700" s="22"/>
      <c r="S700" s="27"/>
    </row>
    <row r="701" spans="1:19" s="20" customFormat="1" x14ac:dyDescent="0.25">
      <c r="A701" s="26"/>
      <c r="B701" s="21"/>
      <c r="C701" s="21"/>
      <c r="D701" s="22"/>
      <c r="H701" s="22"/>
      <c r="J701" s="22"/>
      <c r="K701" s="27"/>
      <c r="L701" s="22"/>
      <c r="N701" s="22"/>
      <c r="O701" s="27"/>
      <c r="P701" s="22"/>
      <c r="R701" s="22"/>
      <c r="S701" s="27"/>
    </row>
    <row r="702" spans="1:19" s="20" customFormat="1" x14ac:dyDescent="0.25">
      <c r="A702" s="26"/>
      <c r="B702" s="21"/>
      <c r="C702" s="21"/>
      <c r="D702" s="22"/>
      <c r="H702" s="22"/>
      <c r="J702" s="22"/>
      <c r="K702" s="27"/>
      <c r="L702" s="22"/>
      <c r="N702" s="22"/>
      <c r="O702" s="27"/>
      <c r="P702" s="22"/>
      <c r="R702" s="22"/>
      <c r="S702" s="27"/>
    </row>
    <row r="703" spans="1:19" s="20" customFormat="1" x14ac:dyDescent="0.25">
      <c r="A703" s="26"/>
      <c r="B703" s="21"/>
      <c r="C703" s="21"/>
      <c r="D703" s="22"/>
      <c r="H703" s="22"/>
      <c r="J703" s="22"/>
      <c r="K703" s="27"/>
      <c r="L703" s="22"/>
      <c r="N703" s="22"/>
      <c r="O703" s="27"/>
      <c r="P703" s="22"/>
      <c r="R703" s="22"/>
      <c r="S703" s="27"/>
    </row>
    <row r="704" spans="1:19" s="20" customFormat="1" x14ac:dyDescent="0.25">
      <c r="A704" s="26"/>
      <c r="B704" s="21"/>
      <c r="C704" s="21"/>
      <c r="D704" s="22"/>
      <c r="H704" s="22"/>
      <c r="J704" s="22"/>
      <c r="K704" s="27"/>
      <c r="L704" s="22"/>
      <c r="N704" s="22"/>
      <c r="O704" s="27"/>
      <c r="P704" s="22"/>
      <c r="R704" s="22"/>
      <c r="S704" s="27"/>
    </row>
    <row r="705" spans="1:19" s="20" customFormat="1" x14ac:dyDescent="0.25">
      <c r="A705" s="26"/>
      <c r="B705" s="21"/>
      <c r="C705" s="21"/>
      <c r="D705" s="22"/>
      <c r="H705" s="22"/>
      <c r="J705" s="22"/>
      <c r="K705" s="27"/>
      <c r="L705" s="22"/>
      <c r="N705" s="22"/>
      <c r="O705" s="27"/>
      <c r="P705" s="22"/>
      <c r="R705" s="22"/>
      <c r="S705" s="27"/>
    </row>
    <row r="706" spans="1:19" s="20" customFormat="1" x14ac:dyDescent="0.25">
      <c r="A706" s="26"/>
      <c r="B706" s="21"/>
      <c r="C706" s="21"/>
      <c r="D706" s="22"/>
      <c r="H706" s="22"/>
      <c r="J706" s="22"/>
      <c r="K706" s="27"/>
      <c r="L706" s="22"/>
      <c r="N706" s="22"/>
      <c r="O706" s="27"/>
      <c r="P706" s="22"/>
      <c r="R706" s="22"/>
      <c r="S706" s="27"/>
    </row>
    <row r="707" spans="1:19" s="20" customFormat="1" x14ac:dyDescent="0.25">
      <c r="A707" s="26"/>
      <c r="B707" s="21"/>
      <c r="C707" s="21"/>
      <c r="D707" s="22"/>
      <c r="H707" s="22"/>
      <c r="J707" s="22"/>
      <c r="K707" s="27"/>
      <c r="L707" s="22"/>
      <c r="N707" s="22"/>
      <c r="O707" s="27"/>
      <c r="P707" s="22"/>
      <c r="R707" s="22"/>
      <c r="S707" s="27"/>
    </row>
    <row r="708" spans="1:19" s="20" customFormat="1" x14ac:dyDescent="0.25">
      <c r="A708" s="26"/>
      <c r="B708" s="21"/>
      <c r="C708" s="21"/>
      <c r="D708" s="22"/>
      <c r="H708" s="22"/>
      <c r="J708" s="22"/>
      <c r="K708" s="27"/>
      <c r="L708" s="22"/>
      <c r="N708" s="22"/>
      <c r="O708" s="27"/>
      <c r="P708" s="22"/>
      <c r="R708" s="22"/>
      <c r="S708" s="27"/>
    </row>
    <row r="709" spans="1:19" s="20" customFormat="1" x14ac:dyDescent="0.25">
      <c r="A709" s="26"/>
      <c r="B709" s="21"/>
      <c r="C709" s="21"/>
      <c r="D709" s="22"/>
      <c r="H709" s="22"/>
      <c r="J709" s="22"/>
      <c r="K709" s="27"/>
      <c r="L709" s="22"/>
      <c r="N709" s="22"/>
      <c r="O709" s="27"/>
      <c r="P709" s="22"/>
      <c r="R709" s="22"/>
      <c r="S709" s="27"/>
    </row>
    <row r="710" spans="1:19" s="20" customFormat="1" x14ac:dyDescent="0.25">
      <c r="A710" s="26"/>
      <c r="B710" s="21"/>
      <c r="C710" s="21"/>
      <c r="D710" s="22"/>
      <c r="H710" s="22"/>
      <c r="J710" s="22"/>
      <c r="K710" s="27"/>
      <c r="L710" s="22"/>
      <c r="N710" s="22"/>
      <c r="O710" s="27"/>
      <c r="P710" s="22"/>
      <c r="R710" s="22"/>
      <c r="S710" s="27"/>
    </row>
    <row r="711" spans="1:19" s="20" customFormat="1" x14ac:dyDescent="0.25">
      <c r="A711" s="26"/>
      <c r="B711" s="21"/>
      <c r="C711" s="21"/>
      <c r="D711" s="22"/>
      <c r="H711" s="22"/>
      <c r="J711" s="22"/>
      <c r="K711" s="27"/>
      <c r="L711" s="22"/>
      <c r="N711" s="22"/>
      <c r="O711" s="27"/>
      <c r="P711" s="22"/>
      <c r="R711" s="22"/>
      <c r="S711" s="27"/>
    </row>
    <row r="712" spans="1:19" s="20" customFormat="1" x14ac:dyDescent="0.25">
      <c r="A712" s="26"/>
      <c r="B712" s="21"/>
      <c r="C712" s="21"/>
      <c r="D712" s="22"/>
      <c r="H712" s="22"/>
      <c r="J712" s="22"/>
      <c r="K712" s="27"/>
      <c r="L712" s="22"/>
      <c r="N712" s="22"/>
      <c r="O712" s="27"/>
      <c r="P712" s="22"/>
      <c r="R712" s="22"/>
      <c r="S712" s="27"/>
    </row>
    <row r="713" spans="1:19" s="20" customFormat="1" x14ac:dyDescent="0.25">
      <c r="A713" s="26"/>
      <c r="B713" s="21"/>
      <c r="C713" s="21"/>
      <c r="D713" s="22"/>
      <c r="H713" s="22"/>
      <c r="J713" s="22"/>
      <c r="K713" s="27"/>
      <c r="L713" s="22"/>
      <c r="N713" s="22"/>
      <c r="O713" s="27"/>
      <c r="P713" s="22"/>
      <c r="R713" s="22"/>
      <c r="S713" s="27"/>
    </row>
    <row r="714" spans="1:19" s="20" customFormat="1" x14ac:dyDescent="0.25">
      <c r="A714" s="26"/>
      <c r="B714" s="21"/>
      <c r="C714" s="21"/>
      <c r="D714" s="22"/>
      <c r="H714" s="22"/>
      <c r="J714" s="22"/>
      <c r="K714" s="27"/>
      <c r="L714" s="22"/>
      <c r="N714" s="22"/>
      <c r="O714" s="27"/>
      <c r="P714" s="22"/>
      <c r="R714" s="22"/>
      <c r="S714" s="27"/>
    </row>
    <row r="715" spans="1:19" s="20" customFormat="1" x14ac:dyDescent="0.25">
      <c r="A715" s="26"/>
      <c r="B715" s="21"/>
      <c r="C715" s="21"/>
      <c r="D715" s="22"/>
      <c r="H715" s="22"/>
      <c r="J715" s="22"/>
      <c r="K715" s="27"/>
      <c r="L715" s="22"/>
      <c r="N715" s="22"/>
      <c r="O715" s="27"/>
      <c r="P715" s="22"/>
      <c r="R715" s="22"/>
      <c r="S715" s="27"/>
    </row>
    <row r="716" spans="1:19" s="20" customFormat="1" x14ac:dyDescent="0.25">
      <c r="A716" s="26"/>
      <c r="B716" s="21"/>
      <c r="C716" s="21"/>
      <c r="D716" s="22"/>
      <c r="H716" s="22"/>
      <c r="J716" s="22"/>
      <c r="K716" s="27"/>
      <c r="L716" s="22"/>
      <c r="N716" s="22"/>
      <c r="O716" s="27"/>
      <c r="P716" s="22"/>
      <c r="R716" s="22"/>
      <c r="S716" s="27"/>
    </row>
    <row r="717" spans="1:19" s="20" customFormat="1" x14ac:dyDescent="0.25">
      <c r="A717" s="26"/>
      <c r="B717" s="21"/>
      <c r="C717" s="21"/>
      <c r="D717" s="22"/>
      <c r="H717" s="22"/>
      <c r="J717" s="22"/>
      <c r="K717" s="27"/>
      <c r="L717" s="22"/>
      <c r="N717" s="22"/>
      <c r="O717" s="27"/>
      <c r="P717" s="22"/>
      <c r="R717" s="22"/>
      <c r="S717" s="27"/>
    </row>
    <row r="718" spans="1:19" s="20" customFormat="1" x14ac:dyDescent="0.25">
      <c r="A718" s="26"/>
      <c r="B718" s="21"/>
      <c r="C718" s="21"/>
      <c r="D718" s="22"/>
      <c r="H718" s="22"/>
      <c r="J718" s="22"/>
      <c r="K718" s="27"/>
      <c r="L718" s="22"/>
      <c r="N718" s="22"/>
      <c r="O718" s="27"/>
      <c r="P718" s="22"/>
      <c r="R718" s="22"/>
      <c r="S718" s="27"/>
    </row>
    <row r="719" spans="1:19" s="20" customFormat="1" x14ac:dyDescent="0.25">
      <c r="A719" s="26"/>
      <c r="B719" s="21"/>
      <c r="C719" s="21"/>
      <c r="D719" s="22"/>
      <c r="H719" s="22"/>
      <c r="J719" s="22"/>
      <c r="K719" s="27"/>
      <c r="L719" s="22"/>
      <c r="N719" s="22"/>
      <c r="O719" s="27"/>
      <c r="P719" s="22"/>
      <c r="R719" s="22"/>
      <c r="S719" s="27"/>
    </row>
    <row r="720" spans="1:19" s="20" customFormat="1" x14ac:dyDescent="0.25">
      <c r="A720" s="26"/>
      <c r="B720" s="21"/>
      <c r="C720" s="21"/>
      <c r="D720" s="22"/>
      <c r="H720" s="22"/>
      <c r="J720" s="22"/>
      <c r="K720" s="27"/>
      <c r="L720" s="22"/>
      <c r="N720" s="22"/>
      <c r="O720" s="27"/>
      <c r="P720" s="22"/>
      <c r="R720" s="22"/>
      <c r="S720" s="27"/>
    </row>
    <row r="721" spans="1:19" s="20" customFormat="1" x14ac:dyDescent="0.25">
      <c r="A721" s="26"/>
      <c r="B721" s="21"/>
      <c r="C721" s="21"/>
      <c r="D721" s="22"/>
      <c r="H721" s="22"/>
      <c r="J721" s="22"/>
      <c r="K721" s="27"/>
      <c r="L721" s="22"/>
      <c r="N721" s="22"/>
      <c r="O721" s="27"/>
      <c r="P721" s="22"/>
      <c r="R721" s="22"/>
      <c r="S721" s="27"/>
    </row>
    <row r="722" spans="1:19" s="20" customFormat="1" x14ac:dyDescent="0.25">
      <c r="A722" s="26"/>
      <c r="B722" s="21"/>
      <c r="C722" s="21"/>
      <c r="D722" s="22"/>
      <c r="H722" s="22"/>
      <c r="J722" s="22"/>
      <c r="K722" s="27"/>
      <c r="L722" s="22"/>
      <c r="N722" s="22"/>
      <c r="O722" s="27"/>
      <c r="P722" s="22"/>
      <c r="R722" s="22"/>
      <c r="S722" s="27"/>
    </row>
    <row r="723" spans="1:19" s="20" customFormat="1" x14ac:dyDescent="0.25">
      <c r="A723" s="26"/>
      <c r="B723" s="21"/>
      <c r="C723" s="21"/>
      <c r="D723" s="22"/>
      <c r="H723" s="22"/>
      <c r="J723" s="22"/>
      <c r="K723" s="27"/>
      <c r="L723" s="22"/>
      <c r="N723" s="22"/>
      <c r="O723" s="27"/>
      <c r="P723" s="22"/>
      <c r="R723" s="22"/>
      <c r="S723" s="27"/>
    </row>
    <row r="724" spans="1:19" s="20" customFormat="1" x14ac:dyDescent="0.25">
      <c r="A724" s="26"/>
      <c r="B724" s="21"/>
      <c r="C724" s="21"/>
      <c r="D724" s="22"/>
      <c r="H724" s="22"/>
      <c r="J724" s="22"/>
      <c r="K724" s="27"/>
      <c r="L724" s="22"/>
      <c r="N724" s="22"/>
      <c r="O724" s="27"/>
      <c r="P724" s="22"/>
      <c r="R724" s="22"/>
      <c r="S724" s="27"/>
    </row>
    <row r="725" spans="1:19" s="20" customFormat="1" x14ac:dyDescent="0.25">
      <c r="A725" s="26"/>
      <c r="B725" s="21"/>
      <c r="C725" s="21"/>
      <c r="D725" s="22"/>
      <c r="H725" s="22"/>
      <c r="J725" s="22"/>
      <c r="K725" s="27"/>
      <c r="L725" s="22"/>
      <c r="N725" s="22"/>
      <c r="O725" s="27"/>
      <c r="P725" s="22"/>
      <c r="R725" s="22"/>
      <c r="S725" s="27"/>
    </row>
    <row r="726" spans="1:19" s="20" customFormat="1" x14ac:dyDescent="0.25">
      <c r="A726" s="26"/>
      <c r="B726" s="21"/>
      <c r="C726" s="21"/>
      <c r="D726" s="22"/>
      <c r="H726" s="22"/>
      <c r="J726" s="22"/>
      <c r="K726" s="27"/>
      <c r="L726" s="22"/>
      <c r="N726" s="22"/>
      <c r="O726" s="27"/>
      <c r="P726" s="22"/>
      <c r="R726" s="22"/>
      <c r="S726" s="27"/>
    </row>
    <row r="727" spans="1:19" s="20" customFormat="1" x14ac:dyDescent="0.25">
      <c r="A727" s="26"/>
      <c r="B727" s="21"/>
      <c r="C727" s="21"/>
      <c r="D727" s="22"/>
      <c r="H727" s="22"/>
      <c r="J727" s="22"/>
      <c r="K727" s="27"/>
      <c r="L727" s="22"/>
      <c r="N727" s="22"/>
      <c r="O727" s="27"/>
      <c r="P727" s="22"/>
      <c r="R727" s="22"/>
      <c r="S727" s="27"/>
    </row>
    <row r="728" spans="1:19" s="20" customFormat="1" x14ac:dyDescent="0.25">
      <c r="A728" s="26"/>
      <c r="B728" s="21"/>
      <c r="C728" s="21"/>
      <c r="D728" s="22"/>
      <c r="H728" s="22"/>
      <c r="J728" s="22"/>
      <c r="K728" s="27"/>
      <c r="L728" s="22"/>
      <c r="N728" s="22"/>
      <c r="O728" s="27"/>
      <c r="P728" s="22"/>
      <c r="R728" s="22"/>
      <c r="S728" s="27"/>
    </row>
    <row r="729" spans="1:19" s="20" customFormat="1" x14ac:dyDescent="0.25">
      <c r="A729" s="26"/>
      <c r="B729" s="21"/>
      <c r="C729" s="21"/>
      <c r="D729" s="22"/>
      <c r="H729" s="22"/>
      <c r="J729" s="22"/>
      <c r="K729" s="27"/>
      <c r="L729" s="22"/>
      <c r="N729" s="22"/>
      <c r="O729" s="27"/>
      <c r="P729" s="22"/>
      <c r="R729" s="22"/>
      <c r="S729" s="27"/>
    </row>
    <row r="730" spans="1:19" s="20" customFormat="1" x14ac:dyDescent="0.25">
      <c r="A730" s="26"/>
      <c r="B730" s="21"/>
      <c r="C730" s="21"/>
      <c r="D730" s="22"/>
      <c r="H730" s="22"/>
      <c r="J730" s="22"/>
      <c r="K730" s="27"/>
      <c r="L730" s="22"/>
      <c r="N730" s="22"/>
      <c r="O730" s="27"/>
      <c r="P730" s="22"/>
      <c r="R730" s="22"/>
      <c r="S730" s="27"/>
    </row>
    <row r="731" spans="1:19" s="20" customFormat="1" x14ac:dyDescent="0.25">
      <c r="A731" s="26"/>
      <c r="B731" s="21"/>
      <c r="C731" s="21"/>
      <c r="D731" s="22"/>
      <c r="H731" s="22"/>
      <c r="J731" s="22"/>
      <c r="K731" s="27"/>
      <c r="L731" s="22"/>
      <c r="N731" s="22"/>
      <c r="O731" s="27"/>
      <c r="P731" s="22"/>
      <c r="R731" s="22"/>
      <c r="S731" s="27"/>
    </row>
    <row r="732" spans="1:19" s="20" customFormat="1" x14ac:dyDescent="0.25">
      <c r="A732" s="26"/>
      <c r="B732" s="21"/>
      <c r="C732" s="21"/>
      <c r="D732" s="22"/>
      <c r="H732" s="22"/>
      <c r="J732" s="22"/>
      <c r="K732" s="27"/>
      <c r="L732" s="22"/>
      <c r="N732" s="22"/>
      <c r="O732" s="27"/>
      <c r="P732" s="22"/>
      <c r="R732" s="22"/>
      <c r="S732" s="27"/>
    </row>
    <row r="733" spans="1:19" s="20" customFormat="1" x14ac:dyDescent="0.25">
      <c r="A733" s="26"/>
      <c r="B733" s="21"/>
      <c r="C733" s="21"/>
      <c r="D733" s="22"/>
      <c r="H733" s="22"/>
      <c r="J733" s="22"/>
      <c r="K733" s="27"/>
      <c r="L733" s="22"/>
      <c r="N733" s="22"/>
      <c r="O733" s="27"/>
      <c r="P733" s="22"/>
      <c r="R733" s="22"/>
      <c r="S733" s="27"/>
    </row>
    <row r="734" spans="1:19" s="20" customFormat="1" x14ac:dyDescent="0.25">
      <c r="A734" s="26"/>
      <c r="B734" s="21"/>
      <c r="C734" s="21"/>
      <c r="D734" s="22"/>
      <c r="H734" s="22"/>
      <c r="J734" s="22"/>
      <c r="K734" s="27"/>
      <c r="L734" s="22"/>
      <c r="N734" s="22"/>
      <c r="O734" s="27"/>
      <c r="P734" s="22"/>
      <c r="R734" s="22"/>
      <c r="S734" s="27"/>
    </row>
    <row r="735" spans="1:19" s="20" customFormat="1" x14ac:dyDescent="0.25">
      <c r="A735" s="26"/>
      <c r="B735" s="21"/>
      <c r="C735" s="21"/>
      <c r="D735" s="22"/>
      <c r="H735" s="22"/>
      <c r="J735" s="22"/>
      <c r="K735" s="27"/>
      <c r="L735" s="22"/>
      <c r="N735" s="22"/>
      <c r="O735" s="27"/>
      <c r="P735" s="22"/>
      <c r="R735" s="22"/>
      <c r="S735" s="27"/>
    </row>
    <row r="736" spans="1:19" s="20" customFormat="1" x14ac:dyDescent="0.25">
      <c r="A736" s="26"/>
      <c r="B736" s="21"/>
      <c r="C736" s="21"/>
      <c r="D736" s="22"/>
      <c r="H736" s="22"/>
      <c r="J736" s="22"/>
      <c r="K736" s="27"/>
      <c r="L736" s="22"/>
      <c r="N736" s="22"/>
      <c r="O736" s="27"/>
      <c r="P736" s="22"/>
      <c r="R736" s="22"/>
      <c r="S736" s="27"/>
    </row>
    <row r="737" spans="1:19" s="20" customFormat="1" x14ac:dyDescent="0.25">
      <c r="A737" s="26"/>
      <c r="B737" s="21"/>
      <c r="C737" s="21"/>
      <c r="D737" s="22"/>
      <c r="H737" s="22"/>
      <c r="J737" s="22"/>
      <c r="K737" s="27"/>
      <c r="L737" s="22"/>
      <c r="N737" s="22"/>
      <c r="O737" s="27"/>
      <c r="P737" s="22"/>
      <c r="R737" s="22"/>
      <c r="S737" s="27"/>
    </row>
    <row r="738" spans="1:19" s="20" customFormat="1" x14ac:dyDescent="0.25">
      <c r="A738" s="26"/>
      <c r="B738" s="21"/>
      <c r="C738" s="21"/>
      <c r="D738" s="22"/>
      <c r="H738" s="22"/>
      <c r="J738" s="22"/>
      <c r="K738" s="27"/>
      <c r="L738" s="22"/>
      <c r="N738" s="22"/>
      <c r="O738" s="27"/>
      <c r="P738" s="22"/>
      <c r="R738" s="22"/>
      <c r="S738" s="27"/>
    </row>
    <row r="739" spans="1:19" s="20" customFormat="1" x14ac:dyDescent="0.25">
      <c r="A739" s="26"/>
      <c r="B739" s="21"/>
      <c r="C739" s="21"/>
      <c r="D739" s="22"/>
      <c r="H739" s="22"/>
      <c r="J739" s="22"/>
      <c r="K739" s="27"/>
      <c r="L739" s="22"/>
      <c r="N739" s="22"/>
      <c r="O739" s="27"/>
      <c r="P739" s="22"/>
      <c r="R739" s="22"/>
      <c r="S739" s="27"/>
    </row>
    <row r="740" spans="1:19" s="20" customFormat="1" x14ac:dyDescent="0.25">
      <c r="A740" s="26"/>
      <c r="B740" s="21"/>
      <c r="C740" s="21"/>
      <c r="D740" s="22"/>
      <c r="H740" s="22"/>
      <c r="J740" s="22"/>
      <c r="K740" s="27"/>
      <c r="L740" s="22"/>
      <c r="N740" s="22"/>
      <c r="O740" s="27"/>
      <c r="P740" s="22"/>
      <c r="R740" s="22"/>
      <c r="S740" s="27"/>
    </row>
    <row r="741" spans="1:19" s="20" customFormat="1" x14ac:dyDescent="0.25">
      <c r="A741" s="26"/>
      <c r="B741" s="21"/>
      <c r="C741" s="21"/>
      <c r="D741" s="22"/>
      <c r="H741" s="22"/>
      <c r="J741" s="22"/>
      <c r="K741" s="27"/>
      <c r="L741" s="22"/>
      <c r="N741" s="22"/>
      <c r="O741" s="27"/>
      <c r="P741" s="22"/>
      <c r="R741" s="22"/>
      <c r="S741" s="27"/>
    </row>
  </sheetData>
  <mergeCells count="5">
    <mergeCell ref="Q6:S6"/>
    <mergeCell ref="A6:C6"/>
    <mergeCell ref="E6:G6"/>
    <mergeCell ref="I6:K6"/>
    <mergeCell ref="M6:O6"/>
  </mergeCell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ECF504-C2B2-4567-B6FF-8AC748D9C62D}">
  <sheetPr>
    <tabColor theme="0"/>
  </sheetPr>
  <dimension ref="A1:Q81"/>
  <sheetViews>
    <sheetView zoomScale="90" zoomScaleNormal="90" workbookViewId="0">
      <pane ySplit="12" topLeftCell="A68" activePane="bottomLeft" state="frozen"/>
      <selection pane="bottomLeft" activeCell="P66" sqref="P66"/>
    </sheetView>
  </sheetViews>
  <sheetFormatPr defaultColWidth="15.85546875" defaultRowHeight="15.75" x14ac:dyDescent="0.25"/>
  <cols>
    <col min="1" max="1" width="3.42578125" style="136" customWidth="1"/>
    <col min="2" max="2" width="49.140625" style="119" customWidth="1"/>
    <col min="3" max="3" width="18.28515625" style="131" bestFit="1" customWidth="1"/>
    <col min="4" max="4" width="12.42578125" style="131" bestFit="1" customWidth="1"/>
    <col min="5" max="5" width="32.140625" style="131" bestFit="1" customWidth="1"/>
    <col min="6" max="6" width="1" style="131" customWidth="1"/>
    <col min="7" max="7" width="14.28515625" style="131" customWidth="1"/>
    <col min="8" max="8" width="14.5703125" style="131" customWidth="1"/>
    <col min="9" max="9" width="34.42578125" style="131" bestFit="1" customWidth="1"/>
    <col min="10" max="10" width="1" style="131" customWidth="1"/>
    <col min="11" max="11" width="16.7109375" style="131" customWidth="1"/>
    <col min="12" max="12" width="16.28515625" style="131" customWidth="1"/>
    <col min="13" max="13" width="34.42578125" style="131" bestFit="1" customWidth="1"/>
    <col min="14" max="14" width="0.85546875" style="131" customWidth="1"/>
    <col min="15" max="15" width="16.7109375" style="131" customWidth="1"/>
    <col min="16" max="16" width="16.28515625" style="131" customWidth="1"/>
    <col min="17" max="17" width="34.42578125" style="131" bestFit="1" customWidth="1"/>
    <col min="18" max="16384" width="15.85546875" style="131"/>
  </cols>
  <sheetData>
    <row r="1" spans="1:17" ht="16.5" thickBot="1" x14ac:dyDescent="0.3">
      <c r="B1" s="397" t="s">
        <v>460</v>
      </c>
      <c r="C1" s="394" t="str">
        <f>'SUB CPIF RATES (ALL)'!C1</f>
        <v xml:space="preserve">NAME </v>
      </c>
      <c r="D1" s="393"/>
    </row>
    <row r="2" spans="1:17" ht="16.5" thickBot="1" x14ac:dyDescent="0.3">
      <c r="B2" s="395" t="s">
        <v>459</v>
      </c>
      <c r="C2" s="396" t="str">
        <f>'SUB CPIF RATES (ALL)'!C2</f>
        <v xml:space="preserve">NAME </v>
      </c>
    </row>
    <row r="3" spans="1:17" ht="16.5" thickBot="1" x14ac:dyDescent="0.3"/>
    <row r="4" spans="1:17" ht="52.5" customHeight="1" thickBot="1" x14ac:dyDescent="0.3">
      <c r="A4" s="466" t="s">
        <v>384</v>
      </c>
      <c r="B4" s="467"/>
      <c r="C4" s="468"/>
      <c r="I4" s="194" t="s">
        <v>84</v>
      </c>
    </row>
    <row r="6" spans="1:17" s="202" customFormat="1" ht="17.25" customHeight="1" x14ac:dyDescent="0.2">
      <c r="A6" s="203"/>
      <c r="B6" s="204" t="s">
        <v>65</v>
      </c>
    </row>
    <row r="7" spans="1:17" s="202" customFormat="1" x14ac:dyDescent="0.25">
      <c r="A7" s="201"/>
      <c r="B7" s="201" t="s">
        <v>441</v>
      </c>
    </row>
    <row r="8" spans="1:17" s="202" customFormat="1" x14ac:dyDescent="0.25">
      <c r="A8" s="201"/>
      <c r="B8" s="201" t="s">
        <v>281</v>
      </c>
    </row>
    <row r="9" spans="1:17" s="202" customFormat="1" x14ac:dyDescent="0.25">
      <c r="A9" s="201"/>
      <c r="B9" s="201" t="s">
        <v>442</v>
      </c>
    </row>
    <row r="10" spans="1:17" s="202" customFormat="1" x14ac:dyDescent="0.25">
      <c r="A10" s="201"/>
      <c r="B10" s="201" t="s">
        <v>463</v>
      </c>
    </row>
    <row r="11" spans="1:17" x14ac:dyDescent="0.25">
      <c r="A11" s="137"/>
      <c r="B11" s="201" t="s">
        <v>464</v>
      </c>
      <c r="C11" s="139"/>
    </row>
    <row r="12" spans="1:17" x14ac:dyDescent="0.25">
      <c r="A12" s="137"/>
      <c r="B12" s="201" t="s">
        <v>385</v>
      </c>
      <c r="C12" s="139"/>
    </row>
    <row r="13" spans="1:17" ht="16.5" thickBot="1" x14ac:dyDescent="0.3"/>
    <row r="14" spans="1:17" ht="16.5" thickBot="1" x14ac:dyDescent="0.3">
      <c r="A14" s="138"/>
      <c r="B14" s="523" t="s">
        <v>455</v>
      </c>
      <c r="C14" s="490" t="s">
        <v>69</v>
      </c>
      <c r="D14" s="491"/>
      <c r="E14" s="492"/>
      <c r="F14" s="96"/>
      <c r="G14" s="490" t="s">
        <v>69</v>
      </c>
      <c r="H14" s="491"/>
      <c r="I14" s="492"/>
      <c r="J14" s="96"/>
      <c r="K14" s="490" t="s">
        <v>69</v>
      </c>
      <c r="L14" s="491"/>
      <c r="M14" s="492"/>
      <c r="N14" s="96"/>
      <c r="O14" s="490" t="s">
        <v>69</v>
      </c>
      <c r="P14" s="491"/>
      <c r="Q14" s="492"/>
    </row>
    <row r="15" spans="1:17" ht="32.25" customHeight="1" thickBot="1" x14ac:dyDescent="0.3">
      <c r="A15" s="138"/>
      <c r="B15" s="524"/>
      <c r="C15" s="520" t="s">
        <v>261</v>
      </c>
      <c r="D15" s="521"/>
      <c r="E15" s="522"/>
      <c r="F15" s="97"/>
      <c r="G15" s="520" t="s">
        <v>262</v>
      </c>
      <c r="H15" s="521"/>
      <c r="I15" s="522"/>
      <c r="J15" s="97"/>
      <c r="K15" s="520" t="s">
        <v>263</v>
      </c>
      <c r="L15" s="521"/>
      <c r="M15" s="522"/>
      <c r="N15" s="97"/>
      <c r="O15" s="520" t="s">
        <v>264</v>
      </c>
      <c r="P15" s="521"/>
      <c r="Q15" s="522"/>
    </row>
    <row r="16" spans="1:17" x14ac:dyDescent="0.25">
      <c r="A16" s="138"/>
      <c r="B16" s="98" t="s">
        <v>46</v>
      </c>
      <c r="C16" s="98" t="s">
        <v>29</v>
      </c>
      <c r="D16" s="99" t="s">
        <v>68</v>
      </c>
      <c r="E16" s="100" t="s">
        <v>74</v>
      </c>
      <c r="F16" s="101"/>
      <c r="G16" s="98" t="s">
        <v>29</v>
      </c>
      <c r="H16" s="99" t="s">
        <v>68</v>
      </c>
      <c r="I16" s="100" t="s">
        <v>74</v>
      </c>
      <c r="J16" s="101"/>
      <c r="K16" s="98" t="s">
        <v>29</v>
      </c>
      <c r="L16" s="99" t="s">
        <v>68</v>
      </c>
      <c r="M16" s="100" t="s">
        <v>74</v>
      </c>
      <c r="N16" s="101"/>
      <c r="O16" s="98" t="s">
        <v>29</v>
      </c>
      <c r="P16" s="99" t="s">
        <v>68</v>
      </c>
      <c r="Q16" s="100" t="s">
        <v>74</v>
      </c>
    </row>
    <row r="17" spans="1:17" ht="30" customHeight="1" thickBot="1" x14ac:dyDescent="0.3">
      <c r="A17" s="138"/>
      <c r="B17" s="148" t="s">
        <v>443</v>
      </c>
      <c r="C17" s="230"/>
      <c r="D17" s="231"/>
      <c r="E17" s="232"/>
      <c r="F17" s="101"/>
      <c r="G17" s="230"/>
      <c r="H17" s="231"/>
      <c r="I17" s="232"/>
      <c r="J17" s="101"/>
      <c r="K17" s="230"/>
      <c r="L17" s="231"/>
      <c r="M17" s="232"/>
      <c r="N17" s="101"/>
      <c r="O17" s="230"/>
      <c r="P17" s="231"/>
      <c r="Q17" s="232"/>
    </row>
    <row r="18" spans="1:17" ht="16.5" thickBot="1" x14ac:dyDescent="0.3">
      <c r="A18" s="138"/>
      <c r="B18" s="239" t="s">
        <v>87</v>
      </c>
      <c r="C18" s="108">
        <f>'SUB CPIF LABOR INPUTS'!D323</f>
        <v>0</v>
      </c>
      <c r="D18" s="150"/>
      <c r="E18" s="109">
        <f>'SUB CPIF LABOR INPUTS'!F323</f>
        <v>0</v>
      </c>
      <c r="F18" s="110"/>
      <c r="G18" s="108">
        <f>'SUB CPIF LABOR INPUTS'!H323</f>
        <v>0</v>
      </c>
      <c r="H18" s="150"/>
      <c r="I18" s="109">
        <f>'SUB CPIF LABOR INPUTS'!J323</f>
        <v>0</v>
      </c>
      <c r="J18" s="110"/>
      <c r="K18" s="108">
        <f>'SUB CPIF LABOR INPUTS'!L323</f>
        <v>0</v>
      </c>
      <c r="L18" s="150"/>
      <c r="M18" s="109">
        <f>'SUB CPIF LABOR INPUTS'!N323</f>
        <v>0</v>
      </c>
      <c r="N18" s="110"/>
      <c r="O18" s="108">
        <f>'SUB CPIF LABOR INPUTS'!P323</f>
        <v>0</v>
      </c>
      <c r="P18" s="150"/>
      <c r="Q18" s="109">
        <f>'SUB CPIF LABOR INPUTS'!R323</f>
        <v>0</v>
      </c>
    </row>
    <row r="19" spans="1:17" x14ac:dyDescent="0.25">
      <c r="A19" s="138"/>
      <c r="B19" s="149"/>
      <c r="C19" s="98" t="s">
        <v>289</v>
      </c>
      <c r="D19" s="99" t="s">
        <v>286</v>
      </c>
      <c r="E19" s="100" t="s">
        <v>288</v>
      </c>
      <c r="F19" s="111"/>
      <c r="G19" s="98" t="s">
        <v>289</v>
      </c>
      <c r="H19" s="99" t="s">
        <v>286</v>
      </c>
      <c r="I19" s="100" t="s">
        <v>288</v>
      </c>
      <c r="J19" s="111"/>
      <c r="K19" s="98" t="s">
        <v>289</v>
      </c>
      <c r="L19" s="99" t="s">
        <v>286</v>
      </c>
      <c r="M19" s="100" t="s">
        <v>288</v>
      </c>
      <c r="N19" s="111"/>
      <c r="O19" s="98" t="s">
        <v>289</v>
      </c>
      <c r="P19" s="99" t="s">
        <v>286</v>
      </c>
      <c r="Q19" s="100" t="s">
        <v>288</v>
      </c>
    </row>
    <row r="20" spans="1:17" ht="64.5" x14ac:dyDescent="0.25">
      <c r="A20" s="138"/>
      <c r="B20" s="261" t="s">
        <v>279</v>
      </c>
      <c r="C20" s="230"/>
      <c r="D20" s="231"/>
      <c r="E20" s="232"/>
      <c r="F20" s="147"/>
      <c r="G20" s="230"/>
      <c r="H20" s="231"/>
      <c r="I20" s="232"/>
      <c r="J20" s="147"/>
      <c r="K20" s="230"/>
      <c r="L20" s="231"/>
      <c r="M20" s="232"/>
      <c r="N20" s="147"/>
      <c r="O20" s="230"/>
      <c r="P20" s="231"/>
      <c r="Q20" s="232"/>
    </row>
    <row r="21" spans="1:17" x14ac:dyDescent="0.25">
      <c r="A21" s="138"/>
      <c r="B21" s="112" t="str">
        <f>'SUB CPIF RATES (ALL)'!B36</f>
        <v>Indirect Labor Category:  [Labor Fringe]</v>
      </c>
      <c r="C21" s="160">
        <f>+E18</f>
        <v>0</v>
      </c>
      <c r="D21" s="188">
        <f>'SUB CPIF RATES (ALL)'!C36</f>
        <v>0</v>
      </c>
      <c r="E21" s="113">
        <f>ROUND(C21*D21,2)</f>
        <v>0</v>
      </c>
      <c r="F21" s="110"/>
      <c r="G21" s="160">
        <f>+I18</f>
        <v>0</v>
      </c>
      <c r="H21" s="160">
        <f>'SUB CPIF RATES (ALL)'!D36</f>
        <v>0</v>
      </c>
      <c r="I21" s="113">
        <f>ROUND(G21*H21,2)</f>
        <v>0</v>
      </c>
      <c r="J21" s="110"/>
      <c r="K21" s="160">
        <f>+M18</f>
        <v>0</v>
      </c>
      <c r="L21" s="160">
        <f>'SUB CPIF RATES (ALL)'!E36</f>
        <v>0</v>
      </c>
      <c r="M21" s="113">
        <f>ROUND(K21*L21,2)</f>
        <v>0</v>
      </c>
      <c r="N21" s="110"/>
      <c r="O21" s="160">
        <f>+Q18</f>
        <v>0</v>
      </c>
      <c r="P21" s="160">
        <f>'SUB CPIF RATES (ALL)'!F36</f>
        <v>0</v>
      </c>
      <c r="Q21" s="113">
        <f>ROUND(O21*P21,2)</f>
        <v>0</v>
      </c>
    </row>
    <row r="22" spans="1:17" x14ac:dyDescent="0.25">
      <c r="A22" s="138"/>
      <c r="B22" s="112" t="str">
        <f>'SUB CPIF RATES (ALL)'!B37</f>
        <v>Indirect Labor Category: [Labor Overhead]</v>
      </c>
      <c r="C22" s="160">
        <f>+C21+E21</f>
        <v>0</v>
      </c>
      <c r="D22" s="188">
        <f>'SUB CPIF RATES (ALL)'!C37</f>
        <v>0</v>
      </c>
      <c r="E22" s="113">
        <f>ROUND(C22*D22,2)</f>
        <v>0</v>
      </c>
      <c r="F22" s="110"/>
      <c r="G22" s="160">
        <f>+G21+I21</f>
        <v>0</v>
      </c>
      <c r="H22" s="160">
        <f>'SUB CPIF RATES (ALL)'!D37</f>
        <v>0</v>
      </c>
      <c r="I22" s="113">
        <f>ROUND(G22*H22,2)</f>
        <v>0</v>
      </c>
      <c r="J22" s="110"/>
      <c r="K22" s="160">
        <f>+K21+M21</f>
        <v>0</v>
      </c>
      <c r="L22" s="160">
        <f>'SUB CPIF RATES (ALL)'!E37</f>
        <v>0</v>
      </c>
      <c r="M22" s="113">
        <f>ROUND(K22*L22,2)</f>
        <v>0</v>
      </c>
      <c r="N22" s="110"/>
      <c r="O22" s="160">
        <f>+O21+Q21</f>
        <v>0</v>
      </c>
      <c r="P22" s="160">
        <f>'SUB CPIF RATES (ALL)'!F37</f>
        <v>0</v>
      </c>
      <c r="Q22" s="113">
        <f>ROUND(O22*P22,2)</f>
        <v>0</v>
      </c>
    </row>
    <row r="23" spans="1:17" x14ac:dyDescent="0.25">
      <c r="A23" s="138"/>
      <c r="B23" s="112" t="str">
        <f>'SUB CPIF RATES (ALL)'!B38</f>
        <v>Indirect Labor Category: [G&amp;A]</v>
      </c>
      <c r="C23" s="160">
        <f>+C22+E22</f>
        <v>0</v>
      </c>
      <c r="D23" s="188">
        <f>'SUB CPIF RATES (ALL)'!C38</f>
        <v>0</v>
      </c>
      <c r="E23" s="113">
        <f>ROUND(C23*D23,2)</f>
        <v>0</v>
      </c>
      <c r="F23" s="110"/>
      <c r="G23" s="160">
        <f>+G22+I22</f>
        <v>0</v>
      </c>
      <c r="H23" s="160">
        <f>'SUB CPIF RATES (ALL)'!D38</f>
        <v>0</v>
      </c>
      <c r="I23" s="113">
        <f>ROUND(G23*H23,2)</f>
        <v>0</v>
      </c>
      <c r="J23" s="110"/>
      <c r="K23" s="160">
        <f>+K22+M22</f>
        <v>0</v>
      </c>
      <c r="L23" s="160">
        <f>'SUB CPIF RATES (ALL)'!E38</f>
        <v>0</v>
      </c>
      <c r="M23" s="113">
        <f>ROUND(K23*L23,2)</f>
        <v>0</v>
      </c>
      <c r="N23" s="110"/>
      <c r="O23" s="160">
        <f>+O22+Q22</f>
        <v>0</v>
      </c>
      <c r="P23" s="160">
        <f>'SUB CPIF RATES (ALL)'!F38</f>
        <v>0</v>
      </c>
      <c r="Q23" s="113">
        <f>ROUND(O23*P23,2)</f>
        <v>0</v>
      </c>
    </row>
    <row r="24" spans="1:17" x14ac:dyDescent="0.25">
      <c r="A24" s="138"/>
      <c r="B24" s="112" t="str">
        <f>'SUB CPIF RATES (ALL)'!B39</f>
        <v>Indirect Labor Category: [FCCOM]</v>
      </c>
      <c r="C24" s="160">
        <f>C23+E23</f>
        <v>0</v>
      </c>
      <c r="D24" s="188">
        <f>'SUB CPIF RATES (ALL)'!C39</f>
        <v>0</v>
      </c>
      <c r="E24" s="113">
        <f>ROUND(C24*D24,2)</f>
        <v>0</v>
      </c>
      <c r="F24" s="110"/>
      <c r="G24" s="160">
        <f>G23+I23</f>
        <v>0</v>
      </c>
      <c r="H24" s="188">
        <f>'SUB CPIF RATES (ALL)'!D39</f>
        <v>0</v>
      </c>
      <c r="I24" s="113">
        <f>ROUND(G24*H24,2)</f>
        <v>0</v>
      </c>
      <c r="J24" s="110"/>
      <c r="K24" s="160">
        <f>K23+M23</f>
        <v>0</v>
      </c>
      <c r="L24" s="188">
        <f>'SUB CPIF RATES (ALL)'!E39</f>
        <v>0</v>
      </c>
      <c r="M24" s="113">
        <f>ROUND(K24*L24,2)</f>
        <v>0</v>
      </c>
      <c r="N24" s="110"/>
      <c r="O24" s="160">
        <f>O23+Q23</f>
        <v>0</v>
      </c>
      <c r="P24" s="188">
        <f>'SUB CPIF RATES (ALL)'!F39</f>
        <v>0</v>
      </c>
      <c r="Q24" s="113">
        <f>ROUND(O24*P24,2)</f>
        <v>0</v>
      </c>
    </row>
    <row r="25" spans="1:17" x14ac:dyDescent="0.25">
      <c r="A25" s="138"/>
      <c r="B25" s="112" t="str">
        <f>'SUB CPIF RATES (ALL)'!B40</f>
        <v>Indirect Labor Category: [Target Fee]</v>
      </c>
      <c r="C25" s="160">
        <f>+C23+E23</f>
        <v>0</v>
      </c>
      <c r="D25" s="188">
        <f>'SUB CPIF RATES (ALL)'!C40</f>
        <v>0</v>
      </c>
      <c r="E25" s="113">
        <f>ROUND(C25*D25,2)</f>
        <v>0</v>
      </c>
      <c r="F25" s="110"/>
      <c r="G25" s="160">
        <f>+G23+I23</f>
        <v>0</v>
      </c>
      <c r="H25" s="160">
        <f>'SUB CPIF RATES (ALL)'!D40</f>
        <v>0</v>
      </c>
      <c r="I25" s="113">
        <f>ROUND(G25*H25,2)</f>
        <v>0</v>
      </c>
      <c r="J25" s="110"/>
      <c r="K25" s="160">
        <f>+K23+M23</f>
        <v>0</v>
      </c>
      <c r="L25" s="160">
        <f>'SUB CPIF RATES (ALL)'!E40</f>
        <v>0</v>
      </c>
      <c r="M25" s="113">
        <f>ROUND(K25*L25,2)</f>
        <v>0</v>
      </c>
      <c r="N25" s="110"/>
      <c r="O25" s="160">
        <f>+O23+Q23</f>
        <v>0</v>
      </c>
      <c r="P25" s="160">
        <f>'SUB CPIF RATES (ALL)'!F40</f>
        <v>0</v>
      </c>
      <c r="Q25" s="113">
        <f>ROUND(O25*P25,2)</f>
        <v>0</v>
      </c>
    </row>
    <row r="26" spans="1:17" x14ac:dyDescent="0.25">
      <c r="A26" s="138"/>
      <c r="B26" s="205" t="s">
        <v>185</v>
      </c>
      <c r="C26" s="155"/>
      <c r="D26" s="156"/>
      <c r="E26" s="175">
        <f>ROUND(SUM(E18,E21,E22,E23),2)</f>
        <v>0</v>
      </c>
      <c r="F26" s="110"/>
      <c r="G26" s="151"/>
      <c r="H26" s="152"/>
      <c r="I26" s="175">
        <f>ROUND(SUM(I18,I21,I22,I23),2)</f>
        <v>0</v>
      </c>
      <c r="J26" s="110"/>
      <c r="K26" s="151"/>
      <c r="L26" s="152"/>
      <c r="M26" s="175">
        <f>ROUND(SUM(M18,M21,M22,M23),2)</f>
        <v>0</v>
      </c>
      <c r="N26" s="110"/>
      <c r="O26" s="151"/>
      <c r="P26" s="152"/>
      <c r="Q26" s="175">
        <f>ROUND(SUM(Q18,Q21,Q22,Q23),2)</f>
        <v>0</v>
      </c>
    </row>
    <row r="27" spans="1:17" x14ac:dyDescent="0.25">
      <c r="A27" s="138"/>
      <c r="B27" s="205" t="s">
        <v>72</v>
      </c>
      <c r="C27" s="155"/>
      <c r="D27" s="156"/>
      <c r="E27" s="175">
        <f>ROUND(E24,2)</f>
        <v>0</v>
      </c>
      <c r="F27" s="110"/>
      <c r="G27" s="151"/>
      <c r="H27" s="152"/>
      <c r="I27" s="175">
        <f>ROUND(I24,2)</f>
        <v>0</v>
      </c>
      <c r="J27" s="110"/>
      <c r="K27" s="151"/>
      <c r="L27" s="152"/>
      <c r="M27" s="175">
        <f>ROUND(M24,2)</f>
        <v>0</v>
      </c>
      <c r="N27" s="110"/>
      <c r="O27" s="151"/>
      <c r="P27" s="152"/>
      <c r="Q27" s="175">
        <f>ROUND(Q24,2)</f>
        <v>0</v>
      </c>
    </row>
    <row r="28" spans="1:17" x14ac:dyDescent="0.25">
      <c r="A28" s="138"/>
      <c r="B28" s="205" t="s">
        <v>71</v>
      </c>
      <c r="C28" s="155"/>
      <c r="D28" s="156"/>
      <c r="E28" s="190">
        <f>ROUND(E25,2)</f>
        <v>0</v>
      </c>
      <c r="F28" s="115"/>
      <c r="G28" s="151"/>
      <c r="H28" s="152"/>
      <c r="I28" s="190">
        <f>ROUND(I25,2)</f>
        <v>0</v>
      </c>
      <c r="J28" s="115"/>
      <c r="K28" s="151"/>
      <c r="L28" s="152"/>
      <c r="M28" s="190">
        <f>ROUND(M25,2)</f>
        <v>0</v>
      </c>
      <c r="N28" s="115"/>
      <c r="O28" s="151"/>
      <c r="P28" s="152"/>
      <c r="Q28" s="190">
        <f>ROUND(Q25,2)</f>
        <v>0</v>
      </c>
    </row>
    <row r="29" spans="1:17" ht="16.5" thickBot="1" x14ac:dyDescent="0.3">
      <c r="A29" s="138"/>
      <c r="B29" s="206" t="s">
        <v>73</v>
      </c>
      <c r="C29" s="157"/>
      <c r="D29" s="158"/>
      <c r="E29" s="191">
        <f>ROUND(SUM(E26:E28),2)</f>
        <v>0</v>
      </c>
      <c r="F29" s="116"/>
      <c r="G29" s="153"/>
      <c r="H29" s="154"/>
      <c r="I29" s="191">
        <f>ROUND(SUM(I26:I28),2)</f>
        <v>0</v>
      </c>
      <c r="J29" s="116"/>
      <c r="K29" s="153"/>
      <c r="L29" s="154"/>
      <c r="M29" s="191">
        <f>ROUND(SUM(M26:M28),2)</f>
        <v>0</v>
      </c>
      <c r="N29" s="116"/>
      <c r="O29" s="153"/>
      <c r="P29" s="154"/>
      <c r="Q29" s="191">
        <f>ROUND(SUM(Q26:Q28),2)</f>
        <v>0</v>
      </c>
    </row>
    <row r="30" spans="1:17" ht="16.5" thickBot="1" x14ac:dyDescent="0.3">
      <c r="A30" s="138"/>
      <c r="B30" s="117"/>
      <c r="C30" s="118"/>
      <c r="D30" s="118"/>
      <c r="E30" s="199"/>
      <c r="F30" s="199"/>
      <c r="G30" s="199"/>
      <c r="H30" s="199"/>
      <c r="I30" s="199"/>
      <c r="J30" s="199"/>
      <c r="K30" s="199"/>
      <c r="L30" s="118"/>
      <c r="M30" s="118"/>
      <c r="N30" s="110"/>
      <c r="O30" s="199"/>
      <c r="P30" s="118"/>
      <c r="Q30" s="118"/>
    </row>
    <row r="31" spans="1:17" ht="16.5" customHeight="1" thickBot="1" x14ac:dyDescent="0.3">
      <c r="A31" s="138"/>
      <c r="B31" s="523" t="str">
        <f>B14</f>
        <v>CLIN 0003 (CPIF)                                                                TASK 1.01 DEVELOPMENT LABOR TO HAVE AN OPERATIONAL SIL</v>
      </c>
      <c r="C31" s="490" t="s">
        <v>80</v>
      </c>
      <c r="D31" s="491"/>
      <c r="E31" s="492"/>
      <c r="F31" s="120"/>
      <c r="G31" s="490" t="s">
        <v>80</v>
      </c>
      <c r="H31" s="491"/>
      <c r="I31" s="492"/>
      <c r="J31" s="120"/>
      <c r="K31" s="490" t="s">
        <v>80</v>
      </c>
      <c r="L31" s="491"/>
      <c r="M31" s="492"/>
      <c r="N31" s="120"/>
      <c r="O31" s="490" t="s">
        <v>80</v>
      </c>
      <c r="P31" s="491"/>
      <c r="Q31" s="492"/>
    </row>
    <row r="32" spans="1:17" ht="32.25" customHeight="1" thickBot="1" x14ac:dyDescent="0.3">
      <c r="A32" s="138"/>
      <c r="B32" s="524"/>
      <c r="C32" s="487" t="str">
        <f>C15</f>
        <v>CLIN 0003 - Basic Period (Year 1)</v>
      </c>
      <c r="D32" s="488"/>
      <c r="E32" s="489"/>
      <c r="F32" s="121"/>
      <c r="G32" s="487" t="str">
        <f>G15</f>
        <v>CLIN 0003 - Basic Period (Year 2)</v>
      </c>
      <c r="H32" s="488"/>
      <c r="I32" s="489"/>
      <c r="J32" s="121"/>
      <c r="K32" s="487" t="str">
        <f>K15</f>
        <v>CLIN 0003 - Basic Period (Year 3)</v>
      </c>
      <c r="L32" s="488"/>
      <c r="M32" s="489"/>
      <c r="N32" s="121"/>
      <c r="O32" s="487" t="str">
        <f>O15</f>
        <v>CLIN 0003 - Basic Period (Year 4)</v>
      </c>
      <c r="P32" s="488"/>
      <c r="Q32" s="489"/>
    </row>
    <row r="33" spans="1:17" x14ac:dyDescent="0.25">
      <c r="A33" s="138"/>
      <c r="B33" s="192"/>
      <c r="C33" s="98" t="s">
        <v>289</v>
      </c>
      <c r="D33" s="99" t="s">
        <v>286</v>
      </c>
      <c r="E33" s="100" t="s">
        <v>88</v>
      </c>
      <c r="F33" s="111"/>
      <c r="G33" s="98" t="s">
        <v>289</v>
      </c>
      <c r="H33" s="99" t="s">
        <v>286</v>
      </c>
      <c r="I33" s="100" t="s">
        <v>88</v>
      </c>
      <c r="J33" s="111"/>
      <c r="K33" s="98" t="s">
        <v>289</v>
      </c>
      <c r="L33" s="99" t="s">
        <v>286</v>
      </c>
      <c r="M33" s="100" t="s">
        <v>88</v>
      </c>
      <c r="N33" s="111"/>
      <c r="O33" s="98" t="s">
        <v>289</v>
      </c>
      <c r="P33" s="99" t="s">
        <v>286</v>
      </c>
      <c r="Q33" s="100" t="s">
        <v>88</v>
      </c>
    </row>
    <row r="34" spans="1:17" ht="51.75" x14ac:dyDescent="0.25">
      <c r="A34" s="138"/>
      <c r="B34" s="240" t="s">
        <v>445</v>
      </c>
      <c r="C34" s="176"/>
      <c r="D34" s="177"/>
      <c r="E34" s="310">
        <f>'SUB CPIF TOTAL MATERIAL'!E30</f>
        <v>0</v>
      </c>
      <c r="F34" s="110"/>
      <c r="G34" s="176"/>
      <c r="H34" s="177"/>
      <c r="I34" s="310">
        <f>'SUB CPIF TOTAL MATERIAL'!G30</f>
        <v>0</v>
      </c>
      <c r="J34" s="110"/>
      <c r="K34" s="176"/>
      <c r="L34" s="177"/>
      <c r="M34" s="310">
        <f>'SUB CPIF TOTAL MATERIAL'!I30</f>
        <v>0</v>
      </c>
      <c r="N34" s="110"/>
      <c r="O34" s="176"/>
      <c r="P34" s="177"/>
      <c r="Q34" s="310">
        <f>'SUB CPIF TOTAL MATERIAL'!K30</f>
        <v>0</v>
      </c>
    </row>
    <row r="35" spans="1:17" ht="67.5" customHeight="1" x14ac:dyDescent="0.25">
      <c r="A35" s="138"/>
      <c r="B35" s="261" t="s">
        <v>446</v>
      </c>
      <c r="C35" s="315"/>
      <c r="D35" s="316"/>
      <c r="E35" s="310"/>
      <c r="F35" s="110"/>
      <c r="G35" s="315"/>
      <c r="H35" s="316"/>
      <c r="I35" s="310"/>
      <c r="J35" s="110"/>
      <c r="K35" s="315"/>
      <c r="L35" s="316"/>
      <c r="M35" s="310"/>
      <c r="N35" s="110"/>
      <c r="O35" s="315"/>
      <c r="P35" s="316"/>
      <c r="Q35" s="310"/>
    </row>
    <row r="36" spans="1:17" x14ac:dyDescent="0.25">
      <c r="A36" s="138"/>
      <c r="B36" s="112" t="str">
        <f>'SUB CPIF RATES (ALL)'!B53</f>
        <v>Indirect Category: [Material Overhead]</v>
      </c>
      <c r="C36" s="160">
        <f>+E34</f>
        <v>0</v>
      </c>
      <c r="D36" s="188">
        <f>'SUB CPIF RATES (ALL)'!C53</f>
        <v>0</v>
      </c>
      <c r="E36" s="113">
        <f>ROUND(C36*D36,2)</f>
        <v>0</v>
      </c>
      <c r="F36" s="123"/>
      <c r="G36" s="160">
        <f>+I34</f>
        <v>0</v>
      </c>
      <c r="H36" s="188">
        <f>'SUB CPIF RATES (ALL)'!D53</f>
        <v>0</v>
      </c>
      <c r="I36" s="113">
        <f>ROUND(G36*H36,2)</f>
        <v>0</v>
      </c>
      <c r="J36" s="123"/>
      <c r="K36" s="160">
        <f>+M34</f>
        <v>0</v>
      </c>
      <c r="L36" s="188">
        <f>'SUB CPIF RATES (ALL)'!E53</f>
        <v>0</v>
      </c>
      <c r="M36" s="113">
        <f>ROUND(K36*L36,2)</f>
        <v>0</v>
      </c>
      <c r="N36" s="123"/>
      <c r="O36" s="160">
        <f>+Q34</f>
        <v>0</v>
      </c>
      <c r="P36" s="188">
        <f>'SUB CPIF RATES (ALL)'!F53</f>
        <v>0</v>
      </c>
      <c r="Q36" s="113">
        <f>ROUND(O36*P36,2)</f>
        <v>0</v>
      </c>
    </row>
    <row r="37" spans="1:17" x14ac:dyDescent="0.25">
      <c r="A37" s="138"/>
      <c r="B37" s="112" t="str">
        <f>'SUB CPIF RATES (ALL)'!B54</f>
        <v>Indirect Category: [G&amp;A]</v>
      </c>
      <c r="C37" s="160">
        <f>+C36+E36</f>
        <v>0</v>
      </c>
      <c r="D37" s="188">
        <f>'SUB CPIF RATES (ALL)'!C54</f>
        <v>0</v>
      </c>
      <c r="E37" s="113">
        <f>ROUND(C37*D37,2)</f>
        <v>0</v>
      </c>
      <c r="F37" s="123"/>
      <c r="G37" s="160">
        <f>+G36+I36</f>
        <v>0</v>
      </c>
      <c r="H37" s="188">
        <f>'SUB CPIF RATES (ALL)'!D54</f>
        <v>0</v>
      </c>
      <c r="I37" s="113">
        <f>ROUND(G37*H37,2)</f>
        <v>0</v>
      </c>
      <c r="J37" s="123"/>
      <c r="K37" s="160">
        <f>+K36+M36</f>
        <v>0</v>
      </c>
      <c r="L37" s="188">
        <f>'SUB CPIF RATES (ALL)'!E54</f>
        <v>0</v>
      </c>
      <c r="M37" s="113">
        <f>ROUND(K37*L37,2)</f>
        <v>0</v>
      </c>
      <c r="N37" s="123"/>
      <c r="O37" s="160">
        <f>+O36+Q36</f>
        <v>0</v>
      </c>
      <c r="P37" s="188">
        <f>'SUB CPIF RATES (ALL)'!F54</f>
        <v>0</v>
      </c>
      <c r="Q37" s="113">
        <f>ROUND(O37*P37,2)</f>
        <v>0</v>
      </c>
    </row>
    <row r="38" spans="1:17" x14ac:dyDescent="0.25">
      <c r="A38" s="138"/>
      <c r="B38" s="112" t="str">
        <f>'SUB CPIF RATES (ALL)'!B55</f>
        <v>Indirect Category: [FCCOM]</v>
      </c>
      <c r="C38" s="160">
        <f>C37+E37</f>
        <v>0</v>
      </c>
      <c r="D38" s="188">
        <f>'SUB CPIF RATES (ALL)'!C55</f>
        <v>0</v>
      </c>
      <c r="E38" s="113">
        <f>ROUND(C38*D38,2)</f>
        <v>0</v>
      </c>
      <c r="F38" s="110"/>
      <c r="G38" s="160">
        <f>G37+I37</f>
        <v>0</v>
      </c>
      <c r="H38" s="188">
        <f>'SUB CPIF RATES (ALL)'!D55</f>
        <v>0</v>
      </c>
      <c r="I38" s="113">
        <f>ROUND(G38*H38,2)</f>
        <v>0</v>
      </c>
      <c r="J38" s="110"/>
      <c r="K38" s="160">
        <f>K37+M37</f>
        <v>0</v>
      </c>
      <c r="L38" s="188">
        <f>'SUB CPIF RATES (ALL)'!E55</f>
        <v>0</v>
      </c>
      <c r="M38" s="113">
        <f>ROUND(K38*L38,2)</f>
        <v>0</v>
      </c>
      <c r="N38" s="110"/>
      <c r="O38" s="160">
        <f>O37+Q37</f>
        <v>0</v>
      </c>
      <c r="P38" s="188">
        <f>'SUB CPIF RATES (ALL)'!F55</f>
        <v>0</v>
      </c>
      <c r="Q38" s="113">
        <f>ROUND(O38*P38,2)</f>
        <v>0</v>
      </c>
    </row>
    <row r="39" spans="1:17" x14ac:dyDescent="0.25">
      <c r="A39" s="138"/>
      <c r="B39" s="112" t="str">
        <f>'SUB CPIF RATES (ALL)'!B56</f>
        <v>Indirect Category: [Target Fee]</v>
      </c>
      <c r="C39" s="160">
        <f>+C37+E37</f>
        <v>0</v>
      </c>
      <c r="D39" s="188">
        <f>'SUB CPIF RATES (ALL)'!C56</f>
        <v>0</v>
      </c>
      <c r="E39" s="113">
        <f>ROUND(C39*D39,2)</f>
        <v>0</v>
      </c>
      <c r="F39" s="110"/>
      <c r="G39" s="160">
        <f>+G37+I37</f>
        <v>0</v>
      </c>
      <c r="H39" s="188">
        <f>'SUB CPIF RATES (ALL)'!D56</f>
        <v>0</v>
      </c>
      <c r="I39" s="113">
        <f>ROUND(G39*H39,2)</f>
        <v>0</v>
      </c>
      <c r="J39" s="110"/>
      <c r="K39" s="160">
        <f>+K37+M37</f>
        <v>0</v>
      </c>
      <c r="L39" s="188">
        <f>'SUB CPIF RATES (ALL)'!E56</f>
        <v>0</v>
      </c>
      <c r="M39" s="113">
        <f>ROUND(K39*L39,2)</f>
        <v>0</v>
      </c>
      <c r="N39" s="110"/>
      <c r="O39" s="160">
        <f>+O37+Q37</f>
        <v>0</v>
      </c>
      <c r="P39" s="188">
        <f>'SUB CPIF RATES (ALL)'!F56</f>
        <v>0</v>
      </c>
      <c r="Q39" s="113">
        <f>ROUND(O39*P39,2)</f>
        <v>0</v>
      </c>
    </row>
    <row r="40" spans="1:17" x14ac:dyDescent="0.25">
      <c r="A40" s="138"/>
      <c r="B40" s="186" t="s">
        <v>186</v>
      </c>
      <c r="C40" s="178"/>
      <c r="D40" s="179"/>
      <c r="E40" s="113">
        <f>+ROUND(SUM(E34:E37),2)</f>
        <v>0</v>
      </c>
      <c r="F40" s="110"/>
      <c r="G40" s="178"/>
      <c r="H40" s="179"/>
      <c r="I40" s="113">
        <f>+ROUND(SUM(I34:I37),2)</f>
        <v>0</v>
      </c>
      <c r="J40" s="110"/>
      <c r="K40" s="178"/>
      <c r="L40" s="179"/>
      <c r="M40" s="113">
        <f>+ROUND(SUM(M34:M37),2)</f>
        <v>0</v>
      </c>
      <c r="N40" s="110"/>
      <c r="O40" s="178"/>
      <c r="P40" s="179"/>
      <c r="Q40" s="113">
        <f>+ROUND(SUM(Q34:Q37),2)</f>
        <v>0</v>
      </c>
    </row>
    <row r="41" spans="1:17" x14ac:dyDescent="0.25">
      <c r="A41" s="138"/>
      <c r="B41" s="186" t="s">
        <v>72</v>
      </c>
      <c r="C41" s="176"/>
      <c r="D41" s="180"/>
      <c r="E41" s="113">
        <f>+ROUND(E38,2)</f>
        <v>0</v>
      </c>
      <c r="F41" s="110"/>
      <c r="G41" s="176"/>
      <c r="H41" s="180"/>
      <c r="I41" s="113">
        <f>+ROUND(I38,2)</f>
        <v>0</v>
      </c>
      <c r="J41" s="110"/>
      <c r="K41" s="176"/>
      <c r="L41" s="180"/>
      <c r="M41" s="113">
        <f>+ROUND(M38,2)</f>
        <v>0</v>
      </c>
      <c r="N41" s="110"/>
      <c r="O41" s="176"/>
      <c r="P41" s="180"/>
      <c r="Q41" s="113">
        <f>+ROUND(Q38,2)</f>
        <v>0</v>
      </c>
    </row>
    <row r="42" spans="1:17" x14ac:dyDescent="0.2">
      <c r="B42" s="186" t="s">
        <v>71</v>
      </c>
      <c r="C42" s="176"/>
      <c r="D42" s="180"/>
      <c r="E42" s="127">
        <f>+ROUND(E39,2)</f>
        <v>0</v>
      </c>
      <c r="F42" s="128"/>
      <c r="G42" s="176"/>
      <c r="H42" s="180"/>
      <c r="I42" s="127">
        <f>+ROUND(I39,2)</f>
        <v>0</v>
      </c>
      <c r="J42" s="128"/>
      <c r="K42" s="176"/>
      <c r="L42" s="180"/>
      <c r="M42" s="127">
        <f>+ROUND(M39,2)</f>
        <v>0</v>
      </c>
      <c r="N42" s="128"/>
      <c r="O42" s="176"/>
      <c r="P42" s="180"/>
      <c r="Q42" s="127">
        <f>+ROUND(Q39,2)</f>
        <v>0</v>
      </c>
    </row>
    <row r="43" spans="1:17" ht="16.5" thickBot="1" x14ac:dyDescent="0.25">
      <c r="B43" s="187" t="s">
        <v>173</v>
      </c>
      <c r="C43" s="181"/>
      <c r="D43" s="182"/>
      <c r="E43" s="105">
        <f>ROUND(SUM(E40:E42),2)</f>
        <v>0</v>
      </c>
      <c r="F43" s="106"/>
      <c r="G43" s="181"/>
      <c r="H43" s="182"/>
      <c r="I43" s="105">
        <f>ROUND(SUM(I40:I42),2)</f>
        <v>0</v>
      </c>
      <c r="J43" s="106"/>
      <c r="K43" s="181"/>
      <c r="L43" s="182"/>
      <c r="M43" s="105">
        <f>ROUND(SUM(M40:M42),2)</f>
        <v>0</v>
      </c>
      <c r="N43" s="106"/>
      <c r="O43" s="181"/>
      <c r="P43" s="182"/>
      <c r="Q43" s="105">
        <f>ROUND(SUM(Q40:Q42),2)</f>
        <v>0</v>
      </c>
    </row>
    <row r="44" spans="1:17" ht="16.5" thickBot="1" x14ac:dyDescent="0.25">
      <c r="B44" s="117"/>
      <c r="E44" s="194"/>
      <c r="F44" s="194"/>
      <c r="G44" s="194"/>
      <c r="H44" s="194"/>
      <c r="I44" s="194"/>
      <c r="J44" s="194"/>
      <c r="K44" s="194"/>
      <c r="N44" s="132"/>
      <c r="O44" s="194"/>
    </row>
    <row r="45" spans="1:17" ht="16.5" thickBot="1" x14ac:dyDescent="0.3">
      <c r="B45" s="523" t="str">
        <f>B14</f>
        <v>CLIN 0003 (CPIF)                                                                TASK 1.01 DEVELOPMENT LABOR TO HAVE AN OPERATIONAL SIL</v>
      </c>
      <c r="C45" s="490" t="s">
        <v>212</v>
      </c>
      <c r="D45" s="491"/>
      <c r="E45" s="492"/>
      <c r="F45" s="120"/>
      <c r="G45" s="490" t="s">
        <v>212</v>
      </c>
      <c r="H45" s="491"/>
      <c r="I45" s="492"/>
      <c r="J45" s="120"/>
      <c r="K45" s="490" t="s">
        <v>212</v>
      </c>
      <c r="L45" s="491"/>
      <c r="M45" s="492"/>
      <c r="N45" s="120"/>
      <c r="O45" s="490" t="s">
        <v>212</v>
      </c>
      <c r="P45" s="491"/>
      <c r="Q45" s="492"/>
    </row>
    <row r="46" spans="1:17" ht="27.75" customHeight="1" thickBot="1" x14ac:dyDescent="0.3">
      <c r="B46" s="524"/>
      <c r="C46" s="520" t="str">
        <f>C32</f>
        <v>CLIN 0003 - Basic Period (Year 1)</v>
      </c>
      <c r="D46" s="521"/>
      <c r="E46" s="522"/>
      <c r="F46" s="121"/>
      <c r="G46" s="520" t="str">
        <f>G32</f>
        <v>CLIN 0003 - Basic Period (Year 2)</v>
      </c>
      <c r="H46" s="521"/>
      <c r="I46" s="522"/>
      <c r="J46" s="121"/>
      <c r="K46" s="520" t="str">
        <f>K32</f>
        <v>CLIN 0003 - Basic Period (Year 3)</v>
      </c>
      <c r="L46" s="521"/>
      <c r="M46" s="522"/>
      <c r="N46" s="121"/>
      <c r="O46" s="520" t="str">
        <f>O32</f>
        <v>CLIN 0003 - Basic Period (Year 4)</v>
      </c>
      <c r="P46" s="521"/>
      <c r="Q46" s="522"/>
    </row>
    <row r="47" spans="1:17" x14ac:dyDescent="0.25">
      <c r="B47" s="193"/>
      <c r="C47" s="98" t="s">
        <v>289</v>
      </c>
      <c r="D47" s="99" t="s">
        <v>286</v>
      </c>
      <c r="E47" s="100" t="s">
        <v>287</v>
      </c>
      <c r="F47" s="111"/>
      <c r="G47" s="98" t="s">
        <v>289</v>
      </c>
      <c r="H47" s="99" t="s">
        <v>286</v>
      </c>
      <c r="I47" s="100" t="s">
        <v>287</v>
      </c>
      <c r="J47" s="111"/>
      <c r="K47" s="98" t="s">
        <v>289</v>
      </c>
      <c r="L47" s="99" t="s">
        <v>286</v>
      </c>
      <c r="M47" s="100" t="s">
        <v>287</v>
      </c>
      <c r="N47" s="111"/>
      <c r="O47" s="98" t="s">
        <v>289</v>
      </c>
      <c r="P47" s="99" t="s">
        <v>286</v>
      </c>
      <c r="Q47" s="100" t="s">
        <v>287</v>
      </c>
    </row>
    <row r="48" spans="1:17" ht="25.5" x14ac:dyDescent="0.2">
      <c r="B48" s="240" t="s">
        <v>447</v>
      </c>
      <c r="C48" s="226"/>
      <c r="D48" s="226"/>
      <c r="E48" s="262">
        <f>'SUB CPIF TOTAL SUB'!E30</f>
        <v>0</v>
      </c>
      <c r="F48" s="229"/>
      <c r="G48" s="176"/>
      <c r="H48" s="226"/>
      <c r="I48" s="262">
        <f>'SUB CPIF TOTAL SUB'!G30</f>
        <v>0</v>
      </c>
      <c r="J48" s="229"/>
      <c r="K48" s="176"/>
      <c r="L48" s="226"/>
      <c r="M48" s="262">
        <f>'SUB CPIF TOTAL SUB'!I30</f>
        <v>0</v>
      </c>
      <c r="N48" s="110"/>
      <c r="O48" s="176"/>
      <c r="P48" s="226"/>
      <c r="Q48" s="262">
        <f>'SUB CPIF TOTAL SUB'!K30</f>
        <v>0</v>
      </c>
    </row>
    <row r="49" spans="1:17" ht="76.5" x14ac:dyDescent="0.2">
      <c r="B49" s="261" t="s">
        <v>448</v>
      </c>
      <c r="C49" s="527" t="s">
        <v>1</v>
      </c>
      <c r="D49" s="528"/>
      <c r="E49" s="529"/>
      <c r="F49" s="123"/>
      <c r="G49" s="530"/>
      <c r="H49" s="528"/>
      <c r="I49" s="529"/>
      <c r="J49" s="123"/>
      <c r="K49" s="530"/>
      <c r="L49" s="528"/>
      <c r="M49" s="529"/>
      <c r="N49" s="123"/>
      <c r="O49" s="530"/>
      <c r="P49" s="528"/>
      <c r="Q49" s="529"/>
    </row>
    <row r="50" spans="1:17" x14ac:dyDescent="0.2">
      <c r="B50" s="228" t="str">
        <f>'SUB CPIF RATES (ALL)'!B45</f>
        <v>Indirect Category: [Overhead]</v>
      </c>
      <c r="C50" s="227">
        <f>E48</f>
        <v>0</v>
      </c>
      <c r="D50" s="188">
        <f>'SUB CPIF RATES (ALL)'!C45</f>
        <v>0</v>
      </c>
      <c r="E50" s="113">
        <f>ROUND(C50*D50,2)</f>
        <v>0</v>
      </c>
      <c r="F50" s="123"/>
      <c r="G50" s="160">
        <f>I48</f>
        <v>0</v>
      </c>
      <c r="H50" s="188">
        <f>'SUB CPIF RATES (ALL)'!D45</f>
        <v>0</v>
      </c>
      <c r="I50" s="113">
        <f>ROUND(G50*H50,2)</f>
        <v>0</v>
      </c>
      <c r="J50" s="123"/>
      <c r="K50" s="160">
        <f>M48</f>
        <v>0</v>
      </c>
      <c r="L50" s="188">
        <f>'SUB CPIF RATES (ALL)'!E45</f>
        <v>0</v>
      </c>
      <c r="M50" s="113">
        <f>ROUND(K50*L50,2)</f>
        <v>0</v>
      </c>
      <c r="N50" s="123"/>
      <c r="O50" s="160">
        <f>Q48</f>
        <v>0</v>
      </c>
      <c r="P50" s="188">
        <f>'SUB CPIF RATES (ALL)'!F45</f>
        <v>0</v>
      </c>
      <c r="Q50" s="113">
        <f>ROUND(O50*P50,2)</f>
        <v>0</v>
      </c>
    </row>
    <row r="51" spans="1:17" x14ac:dyDescent="0.2">
      <c r="B51" s="228" t="str">
        <f>'SUB CPIF RATES (ALL)'!B46</f>
        <v>Indirect Category: [G&amp;A]</v>
      </c>
      <c r="C51" s="227">
        <f>C50+E50</f>
        <v>0</v>
      </c>
      <c r="D51" s="188">
        <f>'SUB CPIF RATES (ALL)'!C46</f>
        <v>0</v>
      </c>
      <c r="E51" s="113">
        <f>ROUND(C51*D51,2)</f>
        <v>0</v>
      </c>
      <c r="F51" s="229"/>
      <c r="G51" s="227">
        <f>G50+I50</f>
        <v>0</v>
      </c>
      <c r="H51" s="188">
        <f>'SUB CPIF RATES (ALL)'!D46</f>
        <v>0</v>
      </c>
      <c r="I51" s="113">
        <f>ROUND(G51*H51,2)</f>
        <v>0</v>
      </c>
      <c r="J51" s="229"/>
      <c r="K51" s="227">
        <f>K50+M50</f>
        <v>0</v>
      </c>
      <c r="L51" s="188">
        <f>'SUB CPIF RATES (ALL)'!E46</f>
        <v>0</v>
      </c>
      <c r="M51" s="113">
        <f>ROUND(K51*L51,2)</f>
        <v>0</v>
      </c>
      <c r="N51" s="110"/>
      <c r="O51" s="227">
        <f>O50+Q50</f>
        <v>0</v>
      </c>
      <c r="P51" s="188">
        <f>'SUB CPIF RATES (ALL)'!F46</f>
        <v>0</v>
      </c>
      <c r="Q51" s="113">
        <f>ROUND(O51*P51,2)</f>
        <v>0</v>
      </c>
    </row>
    <row r="52" spans="1:17" x14ac:dyDescent="0.2">
      <c r="B52" s="266" t="str">
        <f>'SUB CPIF RATES (ALL)'!B47</f>
        <v>Indirect Category: [FCCOM]</v>
      </c>
      <c r="C52" s="160">
        <f>C51+E51</f>
        <v>0</v>
      </c>
      <c r="D52" s="188">
        <f>'SUB CPIF RATES (ALL)'!C47</f>
        <v>0</v>
      </c>
      <c r="E52" s="268">
        <f>ROUND(C52*D52,2)</f>
        <v>0</v>
      </c>
      <c r="F52" s="229"/>
      <c r="G52" s="160">
        <f>G51+I51</f>
        <v>0</v>
      </c>
      <c r="H52" s="188">
        <f>'SUB CPIF RATES (ALL)'!D47</f>
        <v>0</v>
      </c>
      <c r="I52" s="268">
        <f>ROUND(G52*H52,2)</f>
        <v>0</v>
      </c>
      <c r="J52" s="229"/>
      <c r="K52" s="160">
        <f>K51+M51</f>
        <v>0</v>
      </c>
      <c r="L52" s="188">
        <f>'SUB CPIF RATES (ALL)'!E47</f>
        <v>0</v>
      </c>
      <c r="M52" s="268">
        <f>ROUND(K52*L52,2)</f>
        <v>0</v>
      </c>
      <c r="N52" s="110"/>
      <c r="O52" s="160">
        <f>O51+Q51</f>
        <v>0</v>
      </c>
      <c r="P52" s="188">
        <f>'SUB CPIF RATES (ALL)'!F47</f>
        <v>0</v>
      </c>
      <c r="Q52" s="268">
        <f>ROUND(O52*P52,2)</f>
        <v>0</v>
      </c>
    </row>
    <row r="53" spans="1:17" x14ac:dyDescent="0.2">
      <c r="B53" s="112" t="str">
        <f>'SUB CPIF RATES (ALL)'!B48</f>
        <v>Indirect Category: [Target Fee]</v>
      </c>
      <c r="C53" s="159">
        <f>C51+E51</f>
        <v>0</v>
      </c>
      <c r="D53" s="269">
        <f>'SUB CPIF RATES (ALL)'!C48</f>
        <v>0</v>
      </c>
      <c r="E53" s="268">
        <f>ROUND(C53*D53,2)</f>
        <v>0</v>
      </c>
      <c r="F53" s="229"/>
      <c r="G53" s="159">
        <f>G51+I51</f>
        <v>0</v>
      </c>
      <c r="H53" s="269">
        <f>'SUB CPIF RATES (ALL)'!D48</f>
        <v>0</v>
      </c>
      <c r="I53" s="268">
        <f>ROUND(G53*H53,2)</f>
        <v>0</v>
      </c>
      <c r="J53" s="229"/>
      <c r="K53" s="159">
        <f>K51+M51</f>
        <v>0</v>
      </c>
      <c r="L53" s="269">
        <f>'SUB CPIF RATES (ALL)'!E48</f>
        <v>0</v>
      </c>
      <c r="M53" s="268">
        <f>ROUND(K53*L53,2)</f>
        <v>0</v>
      </c>
      <c r="N53" s="110"/>
      <c r="O53" s="159">
        <f>O51+Q51</f>
        <v>0</v>
      </c>
      <c r="P53" s="269">
        <f>'SUB CPIF RATES (ALL)'!F48</f>
        <v>0</v>
      </c>
      <c r="Q53" s="268">
        <f>ROUND(O53*P53,2)</f>
        <v>0</v>
      </c>
    </row>
    <row r="54" spans="1:17" x14ac:dyDescent="0.2">
      <c r="B54" s="186" t="s">
        <v>214</v>
      </c>
      <c r="C54" s="178"/>
      <c r="D54" s="179"/>
      <c r="E54" s="113">
        <f>ROUND(E48+E50+E51,2)</f>
        <v>0</v>
      </c>
      <c r="F54" s="229"/>
      <c r="G54" s="178"/>
      <c r="H54" s="179"/>
      <c r="I54" s="113">
        <f>ROUND(I48+I50+I51,2)</f>
        <v>0</v>
      </c>
      <c r="J54" s="229"/>
      <c r="K54" s="178"/>
      <c r="L54" s="179"/>
      <c r="M54" s="113">
        <f>ROUND(M48+M50+M51,2)</f>
        <v>0</v>
      </c>
      <c r="N54" s="110"/>
      <c r="O54" s="178"/>
      <c r="P54" s="179"/>
      <c r="Q54" s="113">
        <f>ROUND(Q48+Q50+Q51,2)</f>
        <v>0</v>
      </c>
    </row>
    <row r="55" spans="1:17" x14ac:dyDescent="0.2">
      <c r="B55" s="186" t="s">
        <v>204</v>
      </c>
      <c r="C55" s="176"/>
      <c r="D55" s="180"/>
      <c r="E55" s="113">
        <f>ROUND(E52,2)</f>
        <v>0</v>
      </c>
      <c r="F55" s="229"/>
      <c r="G55" s="176"/>
      <c r="H55" s="180"/>
      <c r="I55" s="113">
        <f>ROUND(I52,2)</f>
        <v>0</v>
      </c>
      <c r="J55" s="229"/>
      <c r="K55" s="176"/>
      <c r="L55" s="180"/>
      <c r="M55" s="113">
        <f>ROUND(M52,2)</f>
        <v>0</v>
      </c>
      <c r="N55" s="110"/>
      <c r="O55" s="176"/>
      <c r="P55" s="180"/>
      <c r="Q55" s="113">
        <f>ROUND(Q52,2)</f>
        <v>0</v>
      </c>
    </row>
    <row r="56" spans="1:17" x14ac:dyDescent="0.2">
      <c r="B56" s="186" t="s">
        <v>71</v>
      </c>
      <c r="C56" s="176"/>
      <c r="D56" s="180"/>
      <c r="E56" s="127">
        <f>ROUND(E53,2)</f>
        <v>0</v>
      </c>
      <c r="F56" s="128"/>
      <c r="G56" s="176"/>
      <c r="H56" s="180"/>
      <c r="I56" s="127">
        <f>ROUND(I53,2)</f>
        <v>0</v>
      </c>
      <c r="J56" s="128"/>
      <c r="K56" s="176"/>
      <c r="L56" s="180"/>
      <c r="M56" s="127">
        <f>ROUND(M53,2)</f>
        <v>0</v>
      </c>
      <c r="N56" s="128"/>
      <c r="O56" s="176"/>
      <c r="P56" s="180"/>
      <c r="Q56" s="127">
        <f>ROUND(Q53,2)</f>
        <v>0</v>
      </c>
    </row>
    <row r="57" spans="1:17" ht="16.5" thickBot="1" x14ac:dyDescent="0.25">
      <c r="B57" s="187" t="s">
        <v>215</v>
      </c>
      <c r="C57" s="181"/>
      <c r="D57" s="182"/>
      <c r="E57" s="105">
        <f>ROUND(SUM(E54:E56),2)</f>
        <v>0</v>
      </c>
      <c r="F57" s="106"/>
      <c r="G57" s="181"/>
      <c r="H57" s="182"/>
      <c r="I57" s="105">
        <f>ROUND(SUM(I54:I56),2)</f>
        <v>0</v>
      </c>
      <c r="J57" s="106"/>
      <c r="K57" s="181"/>
      <c r="L57" s="182"/>
      <c r="M57" s="105">
        <f>ROUND(SUM(M54:M56),2)</f>
        <v>0</v>
      </c>
      <c r="N57" s="106"/>
      <c r="O57" s="181"/>
      <c r="P57" s="182"/>
      <c r="Q57" s="105">
        <f>ROUND(SUM(Q54:Q56),2)</f>
        <v>0</v>
      </c>
    </row>
    <row r="58" spans="1:17" ht="16.5" thickBot="1" x14ac:dyDescent="0.25">
      <c r="B58" s="117"/>
      <c r="E58" s="194"/>
      <c r="F58" s="194"/>
      <c r="G58" s="194"/>
      <c r="H58" s="194"/>
      <c r="I58" s="194"/>
      <c r="J58" s="194"/>
      <c r="K58" s="194"/>
      <c r="N58" s="132"/>
      <c r="O58" s="194"/>
    </row>
    <row r="59" spans="1:17" ht="16.5" customHeight="1" thickBot="1" x14ac:dyDescent="0.3">
      <c r="A59" s="138"/>
      <c r="B59" s="523" t="str">
        <f>B31</f>
        <v>CLIN 0003 (CPIF)                                                                TASK 1.01 DEVELOPMENT LABOR TO HAVE AN OPERATIONAL SIL</v>
      </c>
      <c r="C59" s="490" t="s">
        <v>81</v>
      </c>
      <c r="D59" s="491"/>
      <c r="E59" s="492"/>
      <c r="F59" s="120"/>
      <c r="G59" s="490" t="s">
        <v>82</v>
      </c>
      <c r="H59" s="491"/>
      <c r="I59" s="492"/>
      <c r="J59" s="120"/>
      <c r="K59" s="490" t="s">
        <v>82</v>
      </c>
      <c r="L59" s="491"/>
      <c r="M59" s="492"/>
      <c r="N59" s="120"/>
      <c r="O59" s="490" t="s">
        <v>82</v>
      </c>
      <c r="P59" s="491"/>
      <c r="Q59" s="492"/>
    </row>
    <row r="60" spans="1:17" ht="33.75" customHeight="1" thickBot="1" x14ac:dyDescent="0.3">
      <c r="A60" s="138"/>
      <c r="B60" s="524"/>
      <c r="C60" s="487" t="str">
        <f>C32</f>
        <v>CLIN 0003 - Basic Period (Year 1)</v>
      </c>
      <c r="D60" s="488"/>
      <c r="E60" s="489"/>
      <c r="F60" s="121"/>
      <c r="G60" s="487" t="str">
        <f>G32</f>
        <v>CLIN 0003 - Basic Period (Year 2)</v>
      </c>
      <c r="H60" s="488"/>
      <c r="I60" s="489"/>
      <c r="J60" s="121"/>
      <c r="K60" s="487" t="str">
        <f>K32</f>
        <v>CLIN 0003 - Basic Period (Year 3)</v>
      </c>
      <c r="L60" s="488"/>
      <c r="M60" s="489"/>
      <c r="N60" s="121"/>
      <c r="O60" s="487" t="str">
        <f>O32</f>
        <v>CLIN 0003 - Basic Period (Year 4)</v>
      </c>
      <c r="P60" s="488"/>
      <c r="Q60" s="489"/>
    </row>
    <row r="61" spans="1:17" x14ac:dyDescent="0.25">
      <c r="A61" s="138"/>
      <c r="B61" s="193"/>
      <c r="C61" s="98" t="s">
        <v>289</v>
      </c>
      <c r="D61" s="99" t="s">
        <v>286</v>
      </c>
      <c r="E61" s="100" t="s">
        <v>89</v>
      </c>
      <c r="F61" s="111"/>
      <c r="G61" s="98" t="s">
        <v>289</v>
      </c>
      <c r="H61" s="99" t="s">
        <v>286</v>
      </c>
      <c r="I61" s="100" t="s">
        <v>89</v>
      </c>
      <c r="J61" s="111"/>
      <c r="K61" s="98" t="s">
        <v>289</v>
      </c>
      <c r="L61" s="99" t="s">
        <v>286</v>
      </c>
      <c r="M61" s="100" t="s">
        <v>89</v>
      </c>
      <c r="N61" s="111"/>
      <c r="O61" s="98" t="s">
        <v>289</v>
      </c>
      <c r="P61" s="99" t="s">
        <v>286</v>
      </c>
      <c r="Q61" s="100" t="s">
        <v>89</v>
      </c>
    </row>
    <row r="62" spans="1:17" ht="26.25" x14ac:dyDescent="0.25">
      <c r="A62" s="138"/>
      <c r="B62" s="240" t="s">
        <v>449</v>
      </c>
      <c r="C62" s="176"/>
      <c r="D62" s="226"/>
      <c r="E62" s="262">
        <f>'SUB CPIF TOTAL ODC'!E31</f>
        <v>0</v>
      </c>
      <c r="F62" s="229"/>
      <c r="G62" s="176"/>
      <c r="H62" s="226"/>
      <c r="I62" s="262">
        <f>'SUB CPIF TOTAL ODC'!G31</f>
        <v>0</v>
      </c>
      <c r="J62" s="229"/>
      <c r="K62" s="176"/>
      <c r="L62" s="226"/>
      <c r="M62" s="310">
        <f>'SUB CPIF TOTAL ODC'!I31</f>
        <v>0</v>
      </c>
      <c r="N62" s="229"/>
      <c r="O62" s="176"/>
      <c r="P62" s="226"/>
      <c r="Q62" s="310">
        <f>'SUB CPIF TOTAL ODC'!K31</f>
        <v>0</v>
      </c>
    </row>
    <row r="63" spans="1:17" ht="66" customHeight="1" x14ac:dyDescent="0.25">
      <c r="A63" s="138"/>
      <c r="B63" s="374" t="s">
        <v>450</v>
      </c>
      <c r="C63" s="314"/>
      <c r="D63" s="314"/>
      <c r="E63" s="313"/>
      <c r="F63" s="229"/>
      <c r="G63" s="315"/>
      <c r="H63" s="314"/>
      <c r="I63" s="313"/>
      <c r="J63" s="229"/>
      <c r="K63" s="315"/>
      <c r="L63" s="314"/>
      <c r="M63" s="310"/>
      <c r="N63" s="229"/>
      <c r="O63" s="315"/>
      <c r="P63" s="314"/>
      <c r="Q63" s="310"/>
    </row>
    <row r="64" spans="1:17" x14ac:dyDescent="0.25">
      <c r="A64" s="138"/>
      <c r="B64" s="112" t="s">
        <v>60</v>
      </c>
      <c r="C64" s="160">
        <f>+E62</f>
        <v>0</v>
      </c>
      <c r="D64" s="188">
        <f>'SUB CPIF RATES (ALL)'!C61</f>
        <v>0</v>
      </c>
      <c r="E64" s="113">
        <f>ROUND(C64*D64,2)</f>
        <v>0</v>
      </c>
      <c r="F64" s="123"/>
      <c r="G64" s="160">
        <f>+I62</f>
        <v>0</v>
      </c>
      <c r="H64" s="188">
        <f>'SUB CPIF RATES (ALL)'!D61</f>
        <v>0</v>
      </c>
      <c r="I64" s="113">
        <f>ROUND(G64*H64,2)</f>
        <v>0</v>
      </c>
      <c r="J64" s="123"/>
      <c r="K64" s="160">
        <f>+M62</f>
        <v>0</v>
      </c>
      <c r="L64" s="188">
        <f>'SUB CPIF RATES (ALL)'!E61</f>
        <v>0</v>
      </c>
      <c r="M64" s="113">
        <f>ROUND(K64*L64,2)</f>
        <v>0</v>
      </c>
      <c r="N64" s="123"/>
      <c r="O64" s="160">
        <f>+Q62</f>
        <v>0</v>
      </c>
      <c r="P64" s="188">
        <f>'SUB CPIF RATES (ALL)'!F61</f>
        <v>0</v>
      </c>
      <c r="Q64" s="113">
        <f>ROUND(O64*P64,2)</f>
        <v>0</v>
      </c>
    </row>
    <row r="65" spans="1:17" x14ac:dyDescent="0.25">
      <c r="A65" s="138"/>
      <c r="B65" s="112" t="s">
        <v>61</v>
      </c>
      <c r="C65" s="160">
        <f>+C64+E64</f>
        <v>0</v>
      </c>
      <c r="D65" s="188">
        <f>'SUB CPIF RATES (ALL)'!C62</f>
        <v>0</v>
      </c>
      <c r="E65" s="113">
        <f>ROUND(C65*D65,2)</f>
        <v>0</v>
      </c>
      <c r="F65" s="123"/>
      <c r="G65" s="160">
        <f>+G64+I64</f>
        <v>0</v>
      </c>
      <c r="H65" s="188">
        <f>'SUB CPIF RATES (ALL)'!D62</f>
        <v>0</v>
      </c>
      <c r="I65" s="113">
        <f>ROUND(G65*H65,2)</f>
        <v>0</v>
      </c>
      <c r="J65" s="123"/>
      <c r="K65" s="160">
        <f>+K64+M64</f>
        <v>0</v>
      </c>
      <c r="L65" s="188">
        <f>'SUB CPIF RATES (ALL)'!E62</f>
        <v>0</v>
      </c>
      <c r="M65" s="113">
        <f>ROUND(K65*L65,2)</f>
        <v>0</v>
      </c>
      <c r="N65" s="123"/>
      <c r="O65" s="160">
        <f>+O64+Q64</f>
        <v>0</v>
      </c>
      <c r="P65" s="188">
        <f>'SUB CPIF RATES (ALL)'!F62</f>
        <v>0</v>
      </c>
      <c r="Q65" s="113">
        <f>ROUND(O65*P65,2)</f>
        <v>0</v>
      </c>
    </row>
    <row r="66" spans="1:17" x14ac:dyDescent="0.25">
      <c r="A66" s="138"/>
      <c r="B66" s="112" t="s">
        <v>411</v>
      </c>
      <c r="C66" s="160">
        <f>C65+E65</f>
        <v>0</v>
      </c>
      <c r="D66" s="188">
        <f>'SUB CPIF RATES (ALL)'!C63</f>
        <v>0</v>
      </c>
      <c r="E66" s="113">
        <f>ROUND(C66*D66,2)</f>
        <v>0</v>
      </c>
      <c r="F66" s="229"/>
      <c r="G66" s="160">
        <f>G65+I65</f>
        <v>0</v>
      </c>
      <c r="H66" s="188">
        <f>'SUB CPIF RATES (ALL)'!D63</f>
        <v>0</v>
      </c>
      <c r="I66" s="113">
        <f>ROUND(G66*H66,2)</f>
        <v>0</v>
      </c>
      <c r="J66" s="229"/>
      <c r="K66" s="160">
        <f>K65+M65</f>
        <v>0</v>
      </c>
      <c r="L66" s="188">
        <f>'SUB CPIF RATES (ALL)'!E63</f>
        <v>0</v>
      </c>
      <c r="M66" s="113">
        <f>ROUND(K66*L66,2)</f>
        <v>0</v>
      </c>
      <c r="N66" s="229"/>
      <c r="O66" s="160">
        <f>O65+Q65</f>
        <v>0</v>
      </c>
      <c r="P66" s="188">
        <f>'SUB CPIF RATES (ALL)'!F63</f>
        <v>0</v>
      </c>
      <c r="Q66" s="113">
        <f>ROUND(O66*P66,2)</f>
        <v>0</v>
      </c>
    </row>
    <row r="67" spans="1:17" x14ac:dyDescent="0.25">
      <c r="A67" s="138"/>
      <c r="B67" s="112" t="s">
        <v>62</v>
      </c>
      <c r="C67" s="160">
        <f>+C65+E65</f>
        <v>0</v>
      </c>
      <c r="D67" s="269">
        <f>'SUB CPIF RATES (ALL)'!C64</f>
        <v>0</v>
      </c>
      <c r="E67" s="113">
        <f>ROUND(C67*D67,2)</f>
        <v>0</v>
      </c>
      <c r="F67" s="229"/>
      <c r="G67" s="160">
        <f>+G65+I65</f>
        <v>0</v>
      </c>
      <c r="H67" s="269">
        <f>'SUB CPIF RATES (ALL)'!D64</f>
        <v>0</v>
      </c>
      <c r="I67" s="113">
        <f>ROUND(G67*H67,2)</f>
        <v>0</v>
      </c>
      <c r="J67" s="229"/>
      <c r="K67" s="160">
        <f>+K65+M65</f>
        <v>0</v>
      </c>
      <c r="L67" s="269">
        <f>'SUB CPIF RATES (ALL)'!E64</f>
        <v>0</v>
      </c>
      <c r="M67" s="113">
        <f>ROUND(K67*L67,2)</f>
        <v>0</v>
      </c>
      <c r="N67" s="229"/>
      <c r="O67" s="160">
        <f>+O65+Q65</f>
        <v>0</v>
      </c>
      <c r="P67" s="269">
        <f>'SUB CPIF RATES (ALL)'!F64</f>
        <v>0</v>
      </c>
      <c r="Q67" s="113">
        <f>ROUND(O67*P67,2)</f>
        <v>0</v>
      </c>
    </row>
    <row r="68" spans="1:17" x14ac:dyDescent="0.25">
      <c r="A68" s="138"/>
      <c r="B68" s="186" t="s">
        <v>187</v>
      </c>
      <c r="C68" s="178"/>
      <c r="D68" s="179"/>
      <c r="E68" s="113">
        <f>+ROUND(SUM(E62:E65),2)</f>
        <v>0</v>
      </c>
      <c r="F68" s="229"/>
      <c r="G68" s="178"/>
      <c r="H68" s="179"/>
      <c r="I68" s="113">
        <f>+ROUND(SUM(I62:I65),2)</f>
        <v>0</v>
      </c>
      <c r="J68" s="229"/>
      <c r="K68" s="178"/>
      <c r="L68" s="179"/>
      <c r="M68" s="113">
        <f>+ROUND(SUM(M62:M65),2)</f>
        <v>0</v>
      </c>
      <c r="N68" s="229"/>
      <c r="O68" s="178"/>
      <c r="P68" s="179"/>
      <c r="Q68" s="113">
        <f>+ROUND(SUM(Q62:Q65),2)</f>
        <v>0</v>
      </c>
    </row>
    <row r="69" spans="1:17" x14ac:dyDescent="0.25">
      <c r="A69" s="138"/>
      <c r="B69" s="186" t="s">
        <v>72</v>
      </c>
      <c r="C69" s="176"/>
      <c r="D69" s="180"/>
      <c r="E69" s="113">
        <f>+ROUND(E66,2)</f>
        <v>0</v>
      </c>
      <c r="F69" s="229"/>
      <c r="G69" s="176"/>
      <c r="H69" s="180"/>
      <c r="I69" s="113">
        <f>+ROUND(I66,2)</f>
        <v>0</v>
      </c>
      <c r="J69" s="229"/>
      <c r="K69" s="176"/>
      <c r="L69" s="180"/>
      <c r="M69" s="113">
        <f>+ROUND(M66,2)</f>
        <v>0</v>
      </c>
      <c r="N69" s="229"/>
      <c r="O69" s="176"/>
      <c r="P69" s="180"/>
      <c r="Q69" s="113">
        <f>+ROUND(Q66,2)</f>
        <v>0</v>
      </c>
    </row>
    <row r="70" spans="1:17" x14ac:dyDescent="0.2">
      <c r="A70" s="131"/>
      <c r="B70" s="186" t="s">
        <v>71</v>
      </c>
      <c r="C70" s="176"/>
      <c r="D70" s="180"/>
      <c r="E70" s="127">
        <f>+ROUND(E67,2)</f>
        <v>0</v>
      </c>
      <c r="F70" s="128"/>
      <c r="G70" s="176"/>
      <c r="H70" s="180"/>
      <c r="I70" s="127">
        <f>+ROUND(I67,2)</f>
        <v>0</v>
      </c>
      <c r="J70" s="128"/>
      <c r="K70" s="176"/>
      <c r="L70" s="180"/>
      <c r="M70" s="127">
        <f>+ROUND(M67,2)</f>
        <v>0</v>
      </c>
      <c r="N70" s="128"/>
      <c r="O70" s="176"/>
      <c r="P70" s="180"/>
      <c r="Q70" s="127">
        <f>+ROUND(Q67,2)</f>
        <v>0</v>
      </c>
    </row>
    <row r="71" spans="1:17" ht="16.5" thickBot="1" x14ac:dyDescent="0.25">
      <c r="A71" s="131"/>
      <c r="B71" s="187" t="s">
        <v>174</v>
      </c>
      <c r="C71" s="181"/>
      <c r="D71" s="182"/>
      <c r="E71" s="105">
        <f t="shared" ref="E71" si="0">SUM(E68:E70)</f>
        <v>0</v>
      </c>
      <c r="F71" s="106"/>
      <c r="G71" s="181"/>
      <c r="H71" s="182"/>
      <c r="I71" s="105">
        <f t="shared" ref="I71" si="1">SUM(I68:I70)</f>
        <v>0</v>
      </c>
      <c r="J71" s="106"/>
      <c r="K71" s="181"/>
      <c r="L71" s="182"/>
      <c r="M71" s="105">
        <f t="shared" ref="M71" si="2">SUM(M68:M70)</f>
        <v>0</v>
      </c>
      <c r="N71" s="106"/>
      <c r="O71" s="181"/>
      <c r="P71" s="182"/>
      <c r="Q71" s="105">
        <f t="shared" ref="Q71" si="3">SUM(Q68:Q70)</f>
        <v>0</v>
      </c>
    </row>
    <row r="72" spans="1:17" ht="16.5" thickBot="1" x14ac:dyDescent="0.25">
      <c r="A72" s="131"/>
      <c r="B72" s="117"/>
      <c r="E72" s="194"/>
      <c r="F72" s="194"/>
      <c r="G72" s="194"/>
      <c r="H72" s="194"/>
      <c r="I72" s="194"/>
      <c r="J72" s="194"/>
      <c r="K72" s="194"/>
      <c r="N72" s="132"/>
      <c r="O72" s="194"/>
    </row>
    <row r="73" spans="1:17" ht="16.5" thickBot="1" x14ac:dyDescent="0.3">
      <c r="A73" s="131"/>
      <c r="B73" s="531" t="str">
        <f>B59</f>
        <v>CLIN 0003 (CPIF)                                                                TASK 1.01 DEVELOPMENT LABOR TO HAVE AN OPERATIONAL SIL</v>
      </c>
      <c r="C73" s="517" t="s">
        <v>213</v>
      </c>
      <c r="D73" s="518"/>
      <c r="E73" s="519"/>
      <c r="F73" s="120"/>
      <c r="G73" s="517" t="s">
        <v>213</v>
      </c>
      <c r="H73" s="518"/>
      <c r="I73" s="519"/>
      <c r="J73" s="120"/>
      <c r="K73" s="517" t="s">
        <v>213</v>
      </c>
      <c r="L73" s="518"/>
      <c r="M73" s="519"/>
      <c r="N73" s="120"/>
      <c r="O73" s="517" t="s">
        <v>213</v>
      </c>
      <c r="P73" s="518"/>
      <c r="Q73" s="519"/>
    </row>
    <row r="74" spans="1:17" ht="33.75" customHeight="1" thickBot="1" x14ac:dyDescent="0.3">
      <c r="A74" s="131"/>
      <c r="B74" s="532"/>
      <c r="C74" s="221"/>
      <c r="D74" s="222"/>
      <c r="E74" s="133" t="s">
        <v>265</v>
      </c>
      <c r="F74" s="134"/>
      <c r="G74" s="221"/>
      <c r="H74" s="222"/>
      <c r="I74" s="133" t="s">
        <v>266</v>
      </c>
      <c r="J74" s="134"/>
      <c r="K74" s="221"/>
      <c r="L74" s="222"/>
      <c r="M74" s="133" t="s">
        <v>267</v>
      </c>
      <c r="N74" s="134"/>
      <c r="O74" s="221"/>
      <c r="P74" s="222"/>
      <c r="Q74" s="133" t="s">
        <v>268</v>
      </c>
    </row>
    <row r="75" spans="1:17" x14ac:dyDescent="0.2">
      <c r="A75" s="131"/>
      <c r="B75" s="112" t="s">
        <v>188</v>
      </c>
      <c r="C75" s="223"/>
      <c r="D75" s="223"/>
      <c r="E75" s="135">
        <f>+ROUND(E26+E40+E54+E68,2)</f>
        <v>0</v>
      </c>
      <c r="F75" s="110"/>
      <c r="G75" s="223"/>
      <c r="H75" s="223"/>
      <c r="I75" s="135">
        <f>+ROUND(I26+I40+I54+I68,2)</f>
        <v>0</v>
      </c>
      <c r="J75" s="110"/>
      <c r="K75" s="223"/>
      <c r="L75" s="223"/>
      <c r="M75" s="135">
        <f>+ROUND(M26+M40+M54+M68,2)</f>
        <v>0</v>
      </c>
      <c r="N75" s="110"/>
      <c r="O75" s="223"/>
      <c r="P75" s="223"/>
      <c r="Q75" s="135">
        <f>+ROUND(Q26+Q40+Q54+Q68,2)</f>
        <v>0</v>
      </c>
    </row>
    <row r="76" spans="1:17" x14ac:dyDescent="0.2">
      <c r="A76" s="131"/>
      <c r="B76" s="112" t="s">
        <v>72</v>
      </c>
      <c r="C76" s="223"/>
      <c r="D76" s="223"/>
      <c r="E76" s="113">
        <f>+ROUND(E27+E41+E55+E69,2)</f>
        <v>0</v>
      </c>
      <c r="F76" s="110"/>
      <c r="G76" s="223"/>
      <c r="H76" s="223"/>
      <c r="I76" s="113">
        <f>+ROUND(I27+I41+I55+I69,2)</f>
        <v>0</v>
      </c>
      <c r="J76" s="110"/>
      <c r="K76" s="223"/>
      <c r="L76" s="223"/>
      <c r="M76" s="113">
        <f>+ROUND(M27+M41+M55+M69,2)</f>
        <v>0</v>
      </c>
      <c r="N76" s="110"/>
      <c r="O76" s="223"/>
      <c r="P76" s="223"/>
      <c r="Q76" s="113">
        <f>+ROUND(Q27+Q41+Q55+Q69,2)</f>
        <v>0</v>
      </c>
    </row>
    <row r="77" spans="1:17" x14ac:dyDescent="0.2">
      <c r="A77" s="131"/>
      <c r="B77" s="112" t="s">
        <v>71</v>
      </c>
      <c r="C77" s="223"/>
      <c r="D77" s="223"/>
      <c r="E77" s="114">
        <f>+ROUND(E28+E42+E56+E70,2)</f>
        <v>0</v>
      </c>
      <c r="F77" s="115"/>
      <c r="G77" s="223"/>
      <c r="H77" s="223"/>
      <c r="I77" s="114">
        <f>+ROUND(I28+I42+I56+I70,2)</f>
        <v>0</v>
      </c>
      <c r="J77" s="115"/>
      <c r="K77" s="223"/>
      <c r="L77" s="223"/>
      <c r="M77" s="114">
        <f>+ROUND(M28+M42+M56+M70,2)</f>
        <v>0</v>
      </c>
      <c r="N77" s="115"/>
      <c r="O77" s="223"/>
      <c r="P77" s="223"/>
      <c r="Q77" s="114">
        <f>+ROUND(Q28+Q42+Q56+Q70,2)</f>
        <v>0</v>
      </c>
    </row>
    <row r="78" spans="1:17" ht="32.25" thickBot="1" x14ac:dyDescent="0.3">
      <c r="A78" s="131"/>
      <c r="B78" s="207" t="s">
        <v>386</v>
      </c>
      <c r="C78" s="224"/>
      <c r="D78" s="224"/>
      <c r="E78" s="208">
        <f>SUM(E75:E77)</f>
        <v>0</v>
      </c>
      <c r="F78" s="116"/>
      <c r="G78" s="224"/>
      <c r="H78" s="224"/>
      <c r="I78" s="208">
        <f>SUM(I75:I77)</f>
        <v>0</v>
      </c>
      <c r="J78" s="116"/>
      <c r="K78" s="224"/>
      <c r="L78" s="224"/>
      <c r="M78" s="208">
        <f>SUM(M75:M77)</f>
        <v>0</v>
      </c>
      <c r="N78" s="116"/>
      <c r="O78" s="224"/>
      <c r="P78" s="224"/>
      <c r="Q78" s="208">
        <f>SUM(Q75:Q77)</f>
        <v>0</v>
      </c>
    </row>
    <row r="79" spans="1:17" ht="16.5" thickBot="1" x14ac:dyDescent="0.3"/>
    <row r="80" spans="1:17" ht="31.5" x14ac:dyDescent="0.25">
      <c r="Q80" s="323" t="s">
        <v>387</v>
      </c>
    </row>
    <row r="81" spans="17:17" ht="16.5" thickBot="1" x14ac:dyDescent="0.3">
      <c r="Q81" s="322">
        <f>E78+I78+M78+Q78</f>
        <v>0</v>
      </c>
    </row>
  </sheetData>
  <mergeCells count="46">
    <mergeCell ref="B73:B74"/>
    <mergeCell ref="C73:E73"/>
    <mergeCell ref="G73:I73"/>
    <mergeCell ref="K73:M73"/>
    <mergeCell ref="O73:Q73"/>
    <mergeCell ref="B59:B60"/>
    <mergeCell ref="C59:E59"/>
    <mergeCell ref="G59:I59"/>
    <mergeCell ref="K59:M59"/>
    <mergeCell ref="O59:Q59"/>
    <mergeCell ref="O60:Q60"/>
    <mergeCell ref="C60:E60"/>
    <mergeCell ref="G60:I60"/>
    <mergeCell ref="K60:M60"/>
    <mergeCell ref="B31:B32"/>
    <mergeCell ref="C31:E31"/>
    <mergeCell ref="G31:I31"/>
    <mergeCell ref="K31:M31"/>
    <mergeCell ref="C32:E32"/>
    <mergeCell ref="G32:I32"/>
    <mergeCell ref="K32:M32"/>
    <mergeCell ref="A4:C4"/>
    <mergeCell ref="B14:B15"/>
    <mergeCell ref="C14:E14"/>
    <mergeCell ref="G14:I14"/>
    <mergeCell ref="K14:M14"/>
    <mergeCell ref="C15:E15"/>
    <mergeCell ref="G15:I15"/>
    <mergeCell ref="K15:M15"/>
    <mergeCell ref="B45:B46"/>
    <mergeCell ref="C45:E45"/>
    <mergeCell ref="G45:I45"/>
    <mergeCell ref="K45:M45"/>
    <mergeCell ref="C46:E46"/>
    <mergeCell ref="G46:I46"/>
    <mergeCell ref="K46:M46"/>
    <mergeCell ref="C49:E49"/>
    <mergeCell ref="G49:I49"/>
    <mergeCell ref="K49:M49"/>
    <mergeCell ref="O14:Q14"/>
    <mergeCell ref="O15:Q15"/>
    <mergeCell ref="O31:Q31"/>
    <mergeCell ref="O32:Q32"/>
    <mergeCell ref="O45:Q45"/>
    <mergeCell ref="O46:Q46"/>
    <mergeCell ref="O49:Q49"/>
  </mergeCell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0B08F9-9206-4A53-82EA-D5D25AD1C6CD}">
  <sheetPr>
    <tabColor theme="0"/>
  </sheetPr>
  <dimension ref="A1:Q81"/>
  <sheetViews>
    <sheetView zoomScale="80" zoomScaleNormal="80" workbookViewId="0">
      <pane ySplit="12" topLeftCell="A71" activePane="bottomLeft" state="frozen"/>
      <selection pane="bottomLeft" activeCell="P66" sqref="P66"/>
    </sheetView>
  </sheetViews>
  <sheetFormatPr defaultColWidth="15.85546875" defaultRowHeight="15.75" x14ac:dyDescent="0.25"/>
  <cols>
    <col min="1" max="1" width="3.42578125" style="136" customWidth="1"/>
    <col min="2" max="2" width="49.140625" style="119" customWidth="1"/>
    <col min="3" max="3" width="18.28515625" style="131" bestFit="1" customWidth="1"/>
    <col min="4" max="4" width="12.42578125" style="131" bestFit="1" customWidth="1"/>
    <col min="5" max="5" width="32.140625" style="131" bestFit="1" customWidth="1"/>
    <col min="6" max="6" width="1" style="131" customWidth="1"/>
    <col min="7" max="7" width="14.28515625" style="131" customWidth="1"/>
    <col min="8" max="8" width="14.5703125" style="131" customWidth="1"/>
    <col min="9" max="9" width="34.42578125" style="131" bestFit="1" customWidth="1"/>
    <col min="10" max="10" width="1" style="131" customWidth="1"/>
    <col min="11" max="11" width="16.7109375" style="131" customWidth="1"/>
    <col min="12" max="12" width="16.28515625" style="131" customWidth="1"/>
    <col min="13" max="13" width="34.42578125" style="131" bestFit="1" customWidth="1"/>
    <col min="14" max="14" width="0.85546875" style="131" customWidth="1"/>
    <col min="15" max="15" width="16.7109375" style="131" customWidth="1"/>
    <col min="16" max="16" width="16.28515625" style="131" customWidth="1"/>
    <col min="17" max="17" width="34.42578125" style="131" bestFit="1" customWidth="1"/>
    <col min="18" max="16384" width="15.85546875" style="131"/>
  </cols>
  <sheetData>
    <row r="1" spans="1:17" ht="16.5" thickBot="1" x14ac:dyDescent="0.3">
      <c r="B1" s="321" t="s">
        <v>460</v>
      </c>
      <c r="C1" s="394" t="str">
        <f>'SUB CPIF RATES (ALL)'!C1</f>
        <v xml:space="preserve">NAME </v>
      </c>
      <c r="D1" s="393"/>
    </row>
    <row r="2" spans="1:17" ht="16.5" thickBot="1" x14ac:dyDescent="0.3">
      <c r="B2" s="395" t="s">
        <v>459</v>
      </c>
      <c r="C2" s="396" t="str">
        <f>'SUB CPIF RATES (ALL)'!C2</f>
        <v xml:space="preserve">NAME </v>
      </c>
    </row>
    <row r="3" spans="1:17" ht="16.5" thickBot="1" x14ac:dyDescent="0.3"/>
    <row r="4" spans="1:17" ht="52.5" customHeight="1" thickBot="1" x14ac:dyDescent="0.3">
      <c r="A4" s="466" t="s">
        <v>269</v>
      </c>
      <c r="B4" s="467"/>
      <c r="C4" s="468"/>
      <c r="G4" s="131" t="str">
        <f>'SUB CPIF RATES (ALL)'!C2</f>
        <v xml:space="preserve">NAME </v>
      </c>
      <c r="I4" s="194" t="s">
        <v>84</v>
      </c>
    </row>
    <row r="6" spans="1:17" s="202" customFormat="1" ht="17.25" customHeight="1" x14ac:dyDescent="0.2">
      <c r="A6" s="203"/>
      <c r="B6" s="204" t="s">
        <v>65</v>
      </c>
    </row>
    <row r="7" spans="1:17" s="202" customFormat="1" x14ac:dyDescent="0.25">
      <c r="A7" s="201"/>
      <c r="B7" s="201" t="s">
        <v>441</v>
      </c>
    </row>
    <row r="8" spans="1:17" s="202" customFormat="1" x14ac:dyDescent="0.25">
      <c r="A8" s="201"/>
      <c r="B8" s="201" t="s">
        <v>281</v>
      </c>
    </row>
    <row r="9" spans="1:17" s="202" customFormat="1" x14ac:dyDescent="0.25">
      <c r="A9" s="201"/>
      <c r="B9" s="201" t="s">
        <v>442</v>
      </c>
    </row>
    <row r="10" spans="1:17" s="202" customFormat="1" x14ac:dyDescent="0.25">
      <c r="A10" s="201"/>
      <c r="B10" s="201" t="s">
        <v>463</v>
      </c>
    </row>
    <row r="11" spans="1:17" x14ac:dyDescent="0.25">
      <c r="A11" s="137"/>
      <c r="B11" s="201" t="s">
        <v>464</v>
      </c>
      <c r="C11" s="139"/>
    </row>
    <row r="12" spans="1:17" x14ac:dyDescent="0.25">
      <c r="A12" s="137"/>
      <c r="B12" s="201" t="s">
        <v>388</v>
      </c>
      <c r="C12" s="139"/>
    </row>
    <row r="13" spans="1:17" ht="16.5" thickBot="1" x14ac:dyDescent="0.3"/>
    <row r="14" spans="1:17" ht="16.5" thickBot="1" x14ac:dyDescent="0.3">
      <c r="A14" s="138"/>
      <c r="B14" s="536" t="s">
        <v>389</v>
      </c>
      <c r="C14" s="490" t="s">
        <v>69</v>
      </c>
      <c r="D14" s="491"/>
      <c r="E14" s="492"/>
      <c r="F14" s="96"/>
      <c r="G14" s="490" t="s">
        <v>69</v>
      </c>
      <c r="H14" s="491"/>
      <c r="I14" s="492"/>
      <c r="J14" s="96"/>
      <c r="K14" s="490" t="s">
        <v>69</v>
      </c>
      <c r="L14" s="491"/>
      <c r="M14" s="492"/>
      <c r="N14" s="96"/>
      <c r="O14" s="490" t="s">
        <v>69</v>
      </c>
      <c r="P14" s="491"/>
      <c r="Q14" s="492"/>
    </row>
    <row r="15" spans="1:17" ht="32.25" customHeight="1" thickBot="1" x14ac:dyDescent="0.3">
      <c r="A15" s="138"/>
      <c r="B15" s="537"/>
      <c r="C15" s="520" t="s">
        <v>261</v>
      </c>
      <c r="D15" s="521"/>
      <c r="E15" s="522"/>
      <c r="F15" s="97"/>
      <c r="G15" s="520" t="s">
        <v>262</v>
      </c>
      <c r="H15" s="521"/>
      <c r="I15" s="522"/>
      <c r="J15" s="97"/>
      <c r="K15" s="520" t="s">
        <v>263</v>
      </c>
      <c r="L15" s="521"/>
      <c r="M15" s="522"/>
      <c r="N15" s="97"/>
      <c r="O15" s="520" t="s">
        <v>264</v>
      </c>
      <c r="P15" s="521"/>
      <c r="Q15" s="522"/>
    </row>
    <row r="16" spans="1:17" x14ac:dyDescent="0.25">
      <c r="A16" s="138"/>
      <c r="B16" s="98" t="s">
        <v>46</v>
      </c>
      <c r="C16" s="98" t="s">
        <v>29</v>
      </c>
      <c r="D16" s="99" t="s">
        <v>68</v>
      </c>
      <c r="E16" s="100" t="s">
        <v>74</v>
      </c>
      <c r="F16" s="101"/>
      <c r="G16" s="98" t="s">
        <v>29</v>
      </c>
      <c r="H16" s="99" t="s">
        <v>68</v>
      </c>
      <c r="I16" s="100" t="s">
        <v>74</v>
      </c>
      <c r="J16" s="101"/>
      <c r="K16" s="98" t="s">
        <v>29</v>
      </c>
      <c r="L16" s="99" t="s">
        <v>68</v>
      </c>
      <c r="M16" s="100" t="s">
        <v>74</v>
      </c>
      <c r="N16" s="101"/>
      <c r="O16" s="98" t="s">
        <v>29</v>
      </c>
      <c r="P16" s="99" t="s">
        <v>68</v>
      </c>
      <c r="Q16" s="100" t="s">
        <v>74</v>
      </c>
    </row>
    <row r="17" spans="1:17" ht="30" customHeight="1" thickBot="1" x14ac:dyDescent="0.3">
      <c r="A17" s="138"/>
      <c r="B17" s="148" t="s">
        <v>443</v>
      </c>
      <c r="C17" s="230"/>
      <c r="D17" s="231"/>
      <c r="E17" s="232"/>
      <c r="F17" s="101"/>
      <c r="G17" s="230"/>
      <c r="H17" s="231"/>
      <c r="I17" s="232"/>
      <c r="J17" s="101"/>
      <c r="K17" s="230"/>
      <c r="L17" s="231"/>
      <c r="M17" s="232"/>
      <c r="N17" s="101"/>
      <c r="O17" s="230"/>
      <c r="P17" s="231"/>
      <c r="Q17" s="232"/>
    </row>
    <row r="18" spans="1:17" ht="16.5" thickBot="1" x14ac:dyDescent="0.3">
      <c r="A18" s="138"/>
      <c r="B18" s="239" t="s">
        <v>87</v>
      </c>
      <c r="C18" s="108">
        <f>'SUB CPIF LABOR INPUTS'!D344</f>
        <v>0</v>
      </c>
      <c r="D18" s="150"/>
      <c r="E18" s="109">
        <f>'SUB CPIF LABOR INPUTS'!F344</f>
        <v>0</v>
      </c>
      <c r="F18" s="110"/>
      <c r="G18" s="108">
        <f>'SUB CPIF LABOR INPUTS'!H344</f>
        <v>0</v>
      </c>
      <c r="H18" s="150"/>
      <c r="I18" s="109">
        <f>'SUB CPIF LABOR INPUTS'!J344</f>
        <v>0</v>
      </c>
      <c r="J18" s="110"/>
      <c r="K18" s="108">
        <f>'SUB CPIF LABOR INPUTS'!L344</f>
        <v>0</v>
      </c>
      <c r="L18" s="150"/>
      <c r="M18" s="109">
        <f>'SUB CPIF LABOR INPUTS'!N344</f>
        <v>0</v>
      </c>
      <c r="N18" s="110"/>
      <c r="O18" s="108">
        <f>'SUB CPIF LABOR INPUTS'!P344</f>
        <v>0</v>
      </c>
      <c r="P18" s="150"/>
      <c r="Q18" s="109">
        <f>'SUB CPIF LABOR INPUTS'!R344</f>
        <v>0</v>
      </c>
    </row>
    <row r="19" spans="1:17" x14ac:dyDescent="0.25">
      <c r="A19" s="138"/>
      <c r="B19" s="149"/>
      <c r="C19" s="98" t="s">
        <v>289</v>
      </c>
      <c r="D19" s="99" t="s">
        <v>286</v>
      </c>
      <c r="E19" s="100" t="s">
        <v>288</v>
      </c>
      <c r="F19" s="111"/>
      <c r="G19" s="98" t="s">
        <v>289</v>
      </c>
      <c r="H19" s="99" t="s">
        <v>286</v>
      </c>
      <c r="I19" s="100" t="s">
        <v>288</v>
      </c>
      <c r="J19" s="111"/>
      <c r="K19" s="98" t="s">
        <v>289</v>
      </c>
      <c r="L19" s="99" t="s">
        <v>286</v>
      </c>
      <c r="M19" s="100" t="s">
        <v>288</v>
      </c>
      <c r="N19" s="111"/>
      <c r="O19" s="98" t="s">
        <v>289</v>
      </c>
      <c r="P19" s="99" t="s">
        <v>286</v>
      </c>
      <c r="Q19" s="100" t="s">
        <v>288</v>
      </c>
    </row>
    <row r="20" spans="1:17" ht="64.5" x14ac:dyDescent="0.25">
      <c r="A20" s="138"/>
      <c r="B20" s="261" t="s">
        <v>279</v>
      </c>
      <c r="C20" s="230"/>
      <c r="D20" s="231"/>
      <c r="E20" s="232"/>
      <c r="F20" s="147"/>
      <c r="G20" s="230"/>
      <c r="H20" s="231"/>
      <c r="I20" s="232"/>
      <c r="J20" s="147"/>
      <c r="K20" s="230"/>
      <c r="L20" s="231"/>
      <c r="M20" s="232"/>
      <c r="N20" s="147"/>
      <c r="O20" s="230"/>
      <c r="P20" s="231"/>
      <c r="Q20" s="232"/>
    </row>
    <row r="21" spans="1:17" x14ac:dyDescent="0.25">
      <c r="A21" s="138"/>
      <c r="B21" s="112" t="str">
        <f>'SUB CPIF RATES (ALL)'!B36</f>
        <v>Indirect Labor Category:  [Labor Fringe]</v>
      </c>
      <c r="C21" s="160">
        <f>+E18</f>
        <v>0</v>
      </c>
      <c r="D21" s="188">
        <f>'SUB CPIF RATES (ALL)'!C36</f>
        <v>0</v>
      </c>
      <c r="E21" s="113">
        <f>ROUND(C21*D21,2)</f>
        <v>0</v>
      </c>
      <c r="F21" s="110"/>
      <c r="G21" s="160">
        <f>+I18</f>
        <v>0</v>
      </c>
      <c r="H21" s="188">
        <f>'SUB CPIF RATES (ALL)'!D36</f>
        <v>0</v>
      </c>
      <c r="I21" s="113">
        <f>ROUND(G21*H21,2)</f>
        <v>0</v>
      </c>
      <c r="J21" s="110"/>
      <c r="K21" s="160">
        <f>+M18</f>
        <v>0</v>
      </c>
      <c r="L21" s="188">
        <f>'SUB CPIF RATES (ALL)'!E36</f>
        <v>0</v>
      </c>
      <c r="M21" s="113">
        <f>ROUND(K21*L21,2)</f>
        <v>0</v>
      </c>
      <c r="N21" s="110"/>
      <c r="O21" s="160">
        <f>+Q18</f>
        <v>0</v>
      </c>
      <c r="P21" s="188">
        <f>'SUB CPIF RATES (ALL)'!F36</f>
        <v>0</v>
      </c>
      <c r="Q21" s="113">
        <f>ROUND(O21*P21,2)</f>
        <v>0</v>
      </c>
    </row>
    <row r="22" spans="1:17" x14ac:dyDescent="0.25">
      <c r="A22" s="138"/>
      <c r="B22" s="112" t="str">
        <f>'SUB CPIF RATES (ALL)'!B37</f>
        <v>Indirect Labor Category: [Labor Overhead]</v>
      </c>
      <c r="C22" s="160">
        <f>+C21+E21</f>
        <v>0</v>
      </c>
      <c r="D22" s="188">
        <f>'SUB CPIF RATES (ALL)'!C37</f>
        <v>0</v>
      </c>
      <c r="E22" s="113">
        <f>ROUND(C22*D22,2)</f>
        <v>0</v>
      </c>
      <c r="F22" s="110"/>
      <c r="G22" s="160">
        <f>+G21+I21</f>
        <v>0</v>
      </c>
      <c r="H22" s="188">
        <f>'SUB CPIF RATES (ALL)'!D37</f>
        <v>0</v>
      </c>
      <c r="I22" s="113">
        <f>ROUND(G22*H22,2)</f>
        <v>0</v>
      </c>
      <c r="J22" s="110"/>
      <c r="K22" s="160">
        <f>+K21+M21</f>
        <v>0</v>
      </c>
      <c r="L22" s="188">
        <f>'SUB CPIF RATES (ALL)'!E37</f>
        <v>0</v>
      </c>
      <c r="M22" s="113">
        <f>ROUND(K22*L22,2)</f>
        <v>0</v>
      </c>
      <c r="N22" s="110"/>
      <c r="O22" s="160">
        <f>+O21+Q21</f>
        <v>0</v>
      </c>
      <c r="P22" s="188">
        <f>'SUB CPIF RATES (ALL)'!F37</f>
        <v>0</v>
      </c>
      <c r="Q22" s="113">
        <f>ROUND(O22*P22,2)</f>
        <v>0</v>
      </c>
    </row>
    <row r="23" spans="1:17" x14ac:dyDescent="0.25">
      <c r="A23" s="138"/>
      <c r="B23" s="112" t="str">
        <f>'SUB CPIF RATES (ALL)'!B38</f>
        <v>Indirect Labor Category: [G&amp;A]</v>
      </c>
      <c r="C23" s="160">
        <f>+C22+E22</f>
        <v>0</v>
      </c>
      <c r="D23" s="188">
        <f>'SUB CPIF RATES (ALL)'!C38</f>
        <v>0</v>
      </c>
      <c r="E23" s="113">
        <f>ROUND(C23*D23,2)</f>
        <v>0</v>
      </c>
      <c r="F23" s="110"/>
      <c r="G23" s="160">
        <f>+G22+I22</f>
        <v>0</v>
      </c>
      <c r="H23" s="188">
        <f>'SUB CPIF RATES (ALL)'!D38</f>
        <v>0</v>
      </c>
      <c r="I23" s="113">
        <f>ROUND(G23*H23,2)</f>
        <v>0</v>
      </c>
      <c r="J23" s="110"/>
      <c r="K23" s="160">
        <f>+K22+M22</f>
        <v>0</v>
      </c>
      <c r="L23" s="188">
        <f>'SUB CPIF RATES (ALL)'!E38</f>
        <v>0</v>
      </c>
      <c r="M23" s="113">
        <f>ROUND(K23*L23,2)</f>
        <v>0</v>
      </c>
      <c r="N23" s="110"/>
      <c r="O23" s="160">
        <f>+O22+Q22</f>
        <v>0</v>
      </c>
      <c r="P23" s="188">
        <f>'SUB CPIF RATES (ALL)'!F38</f>
        <v>0</v>
      </c>
      <c r="Q23" s="113">
        <f>ROUND(O23*P23,2)</f>
        <v>0</v>
      </c>
    </row>
    <row r="24" spans="1:17" x14ac:dyDescent="0.25">
      <c r="A24" s="138"/>
      <c r="B24" s="112" t="str">
        <f>'SUB CPIF RATES (ALL)'!B39</f>
        <v>Indirect Labor Category: [FCCOM]</v>
      </c>
      <c r="C24" s="160">
        <f>C23+E23</f>
        <v>0</v>
      </c>
      <c r="D24" s="188">
        <f>'SUB CPIF RATES (ALL)'!C39</f>
        <v>0</v>
      </c>
      <c r="E24" s="113">
        <f>ROUND(C24*D24,2)</f>
        <v>0</v>
      </c>
      <c r="F24" s="110"/>
      <c r="G24" s="160">
        <f>G23+I23</f>
        <v>0</v>
      </c>
      <c r="H24" s="188">
        <f>'SUB CPIF RATES (ALL)'!D39</f>
        <v>0</v>
      </c>
      <c r="I24" s="113">
        <f>ROUND(G24*H24,2)</f>
        <v>0</v>
      </c>
      <c r="J24" s="110"/>
      <c r="K24" s="160">
        <f>K23+M23</f>
        <v>0</v>
      </c>
      <c r="L24" s="188">
        <f>'SUB CPIF RATES (ALL)'!E39</f>
        <v>0</v>
      </c>
      <c r="M24" s="113">
        <f>ROUND(K24*L24,2)</f>
        <v>0</v>
      </c>
      <c r="N24" s="110"/>
      <c r="O24" s="160">
        <f>O23+Q23</f>
        <v>0</v>
      </c>
      <c r="P24" s="188">
        <f>'SUB CPIF RATES (ALL)'!F39</f>
        <v>0</v>
      </c>
      <c r="Q24" s="113">
        <f>ROUND(O24*P24,2)</f>
        <v>0</v>
      </c>
    </row>
    <row r="25" spans="1:17" x14ac:dyDescent="0.25">
      <c r="A25" s="138"/>
      <c r="B25" s="112" t="str">
        <f>'SUB CPIF RATES (ALL)'!B40</f>
        <v>Indirect Labor Category: [Target Fee]</v>
      </c>
      <c r="C25" s="160">
        <f>+C23+E23</f>
        <v>0</v>
      </c>
      <c r="D25" s="188">
        <f>'SUB CPIF RATES (ALL)'!C40</f>
        <v>0</v>
      </c>
      <c r="E25" s="113">
        <f>ROUND(C25*D25,2)</f>
        <v>0</v>
      </c>
      <c r="F25" s="110"/>
      <c r="G25" s="160">
        <f>+G23+I23</f>
        <v>0</v>
      </c>
      <c r="H25" s="188">
        <f>'SUB CPIF RATES (ALL)'!D40</f>
        <v>0</v>
      </c>
      <c r="I25" s="113">
        <f>ROUND(G25*H25,2)</f>
        <v>0</v>
      </c>
      <c r="J25" s="110"/>
      <c r="K25" s="160">
        <f>+K23+M23</f>
        <v>0</v>
      </c>
      <c r="L25" s="188">
        <f>'SUB CPIF RATES (ALL)'!E40</f>
        <v>0</v>
      </c>
      <c r="M25" s="113">
        <f>ROUND(K25*L25,2)</f>
        <v>0</v>
      </c>
      <c r="N25" s="110"/>
      <c r="O25" s="160">
        <f>+O23+Q23</f>
        <v>0</v>
      </c>
      <c r="P25" s="188">
        <f>'SUB CPIF RATES (ALL)'!F40</f>
        <v>0</v>
      </c>
      <c r="Q25" s="113">
        <f>ROUND(O25*P25,2)</f>
        <v>0</v>
      </c>
    </row>
    <row r="26" spans="1:17" x14ac:dyDescent="0.25">
      <c r="A26" s="138"/>
      <c r="B26" s="205" t="s">
        <v>185</v>
      </c>
      <c r="C26" s="155"/>
      <c r="D26" s="156"/>
      <c r="E26" s="175">
        <f>ROUND(SUM(E18,E21,E22,E23),2)</f>
        <v>0</v>
      </c>
      <c r="F26" s="110"/>
      <c r="G26" s="151"/>
      <c r="H26" s="152"/>
      <c r="I26" s="175">
        <f>ROUND(SUM(I18,I21,I22,I23),2)</f>
        <v>0</v>
      </c>
      <c r="J26" s="110"/>
      <c r="K26" s="151"/>
      <c r="L26" s="152"/>
      <c r="M26" s="175">
        <f>ROUND(SUM(M18,M21,M22,M23),2)</f>
        <v>0</v>
      </c>
      <c r="N26" s="110"/>
      <c r="O26" s="151"/>
      <c r="P26" s="152"/>
      <c r="Q26" s="175">
        <f>ROUND(SUM(Q18,Q21,Q22,Q23),2)</f>
        <v>0</v>
      </c>
    </row>
    <row r="27" spans="1:17" x14ac:dyDescent="0.25">
      <c r="A27" s="138"/>
      <c r="B27" s="205" t="s">
        <v>72</v>
      </c>
      <c r="C27" s="155"/>
      <c r="D27" s="156"/>
      <c r="E27" s="175">
        <f>ROUND(E24,2)</f>
        <v>0</v>
      </c>
      <c r="F27" s="110"/>
      <c r="G27" s="151"/>
      <c r="H27" s="152"/>
      <c r="I27" s="175">
        <f>ROUND(I24,2)</f>
        <v>0</v>
      </c>
      <c r="J27" s="110"/>
      <c r="K27" s="151"/>
      <c r="L27" s="152"/>
      <c r="M27" s="175">
        <f>ROUND(M24,2)</f>
        <v>0</v>
      </c>
      <c r="N27" s="110"/>
      <c r="O27" s="151"/>
      <c r="P27" s="152"/>
      <c r="Q27" s="175">
        <f>ROUND(Q24,2)</f>
        <v>0</v>
      </c>
    </row>
    <row r="28" spans="1:17" x14ac:dyDescent="0.25">
      <c r="A28" s="138"/>
      <c r="B28" s="205" t="s">
        <v>71</v>
      </c>
      <c r="C28" s="155"/>
      <c r="D28" s="156"/>
      <c r="E28" s="190">
        <f>ROUND(E25,2)</f>
        <v>0</v>
      </c>
      <c r="F28" s="115"/>
      <c r="G28" s="151"/>
      <c r="H28" s="152"/>
      <c r="I28" s="190">
        <f>ROUND(I25,2)</f>
        <v>0</v>
      </c>
      <c r="J28" s="115"/>
      <c r="K28" s="151"/>
      <c r="L28" s="152"/>
      <c r="M28" s="190">
        <f>ROUND(M25,2)</f>
        <v>0</v>
      </c>
      <c r="N28" s="115"/>
      <c r="O28" s="151"/>
      <c r="P28" s="152"/>
      <c r="Q28" s="190">
        <f>ROUND(Q25,2)</f>
        <v>0</v>
      </c>
    </row>
    <row r="29" spans="1:17" ht="16.5" thickBot="1" x14ac:dyDescent="0.3">
      <c r="A29" s="138"/>
      <c r="B29" s="206" t="s">
        <v>73</v>
      </c>
      <c r="C29" s="157"/>
      <c r="D29" s="158"/>
      <c r="E29" s="191">
        <f>ROUND(SUM(E26:E28),2)</f>
        <v>0</v>
      </c>
      <c r="F29" s="116"/>
      <c r="G29" s="153"/>
      <c r="H29" s="154"/>
      <c r="I29" s="191">
        <f>ROUND(SUM(I26:I28),2)</f>
        <v>0</v>
      </c>
      <c r="J29" s="116"/>
      <c r="K29" s="153"/>
      <c r="L29" s="154"/>
      <c r="M29" s="191">
        <f>ROUND(SUM(M26:M28),2)</f>
        <v>0</v>
      </c>
      <c r="N29" s="116"/>
      <c r="O29" s="153"/>
      <c r="P29" s="154"/>
      <c r="Q29" s="191">
        <f>ROUND(SUM(Q26:Q28),2)</f>
        <v>0</v>
      </c>
    </row>
    <row r="30" spans="1:17" ht="16.5" thickBot="1" x14ac:dyDescent="0.3">
      <c r="A30" s="138"/>
      <c r="B30" s="117"/>
      <c r="C30" s="118"/>
      <c r="D30" s="118"/>
      <c r="E30" s="199"/>
      <c r="F30" s="199"/>
      <c r="G30" s="199"/>
      <c r="H30" s="199"/>
      <c r="I30" s="199"/>
      <c r="J30" s="199"/>
      <c r="K30" s="199"/>
      <c r="L30" s="118"/>
      <c r="M30" s="118"/>
      <c r="N30" s="110"/>
      <c r="O30" s="199"/>
      <c r="P30" s="118"/>
      <c r="Q30" s="118"/>
    </row>
    <row r="31" spans="1:17" ht="16.5" customHeight="1" thickBot="1" x14ac:dyDescent="0.3">
      <c r="A31" s="138"/>
      <c r="B31" s="523" t="str">
        <f>B14</f>
        <v>CLIN 0003 (CPIF)                                                    TASK 1.02 MATERIAL - CONTRACTOR-PROCURED MATERIAL FOR SIL</v>
      </c>
      <c r="C31" s="490" t="s">
        <v>80</v>
      </c>
      <c r="D31" s="491"/>
      <c r="E31" s="492"/>
      <c r="F31" s="120"/>
      <c r="G31" s="490" t="s">
        <v>80</v>
      </c>
      <c r="H31" s="491"/>
      <c r="I31" s="492"/>
      <c r="J31" s="120"/>
      <c r="K31" s="490" t="s">
        <v>80</v>
      </c>
      <c r="L31" s="491"/>
      <c r="M31" s="492"/>
      <c r="N31" s="120"/>
      <c r="O31" s="490" t="s">
        <v>80</v>
      </c>
      <c r="P31" s="491"/>
      <c r="Q31" s="492"/>
    </row>
    <row r="32" spans="1:17" ht="32.25" customHeight="1" thickBot="1" x14ac:dyDescent="0.3">
      <c r="A32" s="138"/>
      <c r="B32" s="524"/>
      <c r="C32" s="487" t="str">
        <f>C15</f>
        <v>CLIN 0003 - Basic Period (Year 1)</v>
      </c>
      <c r="D32" s="488"/>
      <c r="E32" s="489"/>
      <c r="F32" s="121"/>
      <c r="G32" s="487" t="str">
        <f>G15</f>
        <v>CLIN 0003 - Basic Period (Year 2)</v>
      </c>
      <c r="H32" s="488"/>
      <c r="I32" s="489"/>
      <c r="J32" s="121"/>
      <c r="K32" s="487" t="str">
        <f>K15</f>
        <v>CLIN 0003 - Basic Period (Year 3)</v>
      </c>
      <c r="L32" s="488"/>
      <c r="M32" s="489"/>
      <c r="N32" s="121"/>
      <c r="O32" s="487" t="str">
        <f>O15</f>
        <v>CLIN 0003 - Basic Period (Year 4)</v>
      </c>
      <c r="P32" s="488"/>
      <c r="Q32" s="489"/>
    </row>
    <row r="33" spans="1:17" x14ac:dyDescent="0.25">
      <c r="A33" s="138"/>
      <c r="B33" s="192"/>
      <c r="C33" s="98" t="s">
        <v>289</v>
      </c>
      <c r="D33" s="99" t="s">
        <v>286</v>
      </c>
      <c r="E33" s="100" t="s">
        <v>88</v>
      </c>
      <c r="F33" s="111"/>
      <c r="G33" s="98" t="s">
        <v>289</v>
      </c>
      <c r="H33" s="99" t="s">
        <v>286</v>
      </c>
      <c r="I33" s="100" t="s">
        <v>88</v>
      </c>
      <c r="J33" s="111"/>
      <c r="K33" s="98" t="s">
        <v>289</v>
      </c>
      <c r="L33" s="99" t="s">
        <v>286</v>
      </c>
      <c r="M33" s="100" t="s">
        <v>88</v>
      </c>
      <c r="N33" s="111"/>
      <c r="O33" s="98" t="s">
        <v>289</v>
      </c>
      <c r="P33" s="99" t="s">
        <v>286</v>
      </c>
      <c r="Q33" s="100" t="s">
        <v>88</v>
      </c>
    </row>
    <row r="34" spans="1:17" ht="51.75" x14ac:dyDescent="0.25">
      <c r="A34" s="138"/>
      <c r="B34" s="240" t="s">
        <v>445</v>
      </c>
      <c r="C34" s="176"/>
      <c r="D34" s="177"/>
      <c r="E34" s="310">
        <f>'SUB CPIF TOTAL MATERIAL'!E31</f>
        <v>0</v>
      </c>
      <c r="F34" s="110"/>
      <c r="G34" s="176"/>
      <c r="H34" s="177"/>
      <c r="I34" s="310">
        <f>'SUB CPIF TOTAL MATERIAL'!G31</f>
        <v>0</v>
      </c>
      <c r="J34" s="110"/>
      <c r="K34" s="176"/>
      <c r="L34" s="177"/>
      <c r="M34" s="310">
        <f>'SUB CPIF TOTAL MATERIAL'!I31</f>
        <v>0</v>
      </c>
      <c r="N34" s="110"/>
      <c r="O34" s="176"/>
      <c r="P34" s="177"/>
      <c r="Q34" s="310">
        <f>'SUB CPIF TOTAL MATERIAL'!K31</f>
        <v>0</v>
      </c>
    </row>
    <row r="35" spans="1:17" ht="67.5" customHeight="1" x14ac:dyDescent="0.25">
      <c r="A35" s="138"/>
      <c r="B35" s="261" t="s">
        <v>446</v>
      </c>
      <c r="C35" s="315"/>
      <c r="D35" s="316"/>
      <c r="E35" s="310"/>
      <c r="F35" s="110"/>
      <c r="G35" s="315"/>
      <c r="H35" s="316"/>
      <c r="I35" s="310"/>
      <c r="J35" s="110"/>
      <c r="K35" s="315"/>
      <c r="L35" s="316"/>
      <c r="M35" s="310"/>
      <c r="N35" s="110"/>
      <c r="O35" s="315"/>
      <c r="P35" s="316"/>
      <c r="Q35" s="310"/>
    </row>
    <row r="36" spans="1:17" x14ac:dyDescent="0.25">
      <c r="A36" s="138"/>
      <c r="B36" s="112" t="str">
        <f>'SUB CPIF RATES (ALL)'!B53</f>
        <v>Indirect Category: [Material Overhead]</v>
      </c>
      <c r="C36" s="160">
        <f>+E34</f>
        <v>0</v>
      </c>
      <c r="D36" s="188">
        <f>'SUB CPIF RATES (ALL)'!C53</f>
        <v>0</v>
      </c>
      <c r="E36" s="113">
        <f>ROUND(C36*D36,2)</f>
        <v>0</v>
      </c>
      <c r="F36" s="123"/>
      <c r="G36" s="160">
        <f>+I34</f>
        <v>0</v>
      </c>
      <c r="H36" s="188">
        <f>'SUB CPIF RATES (ALL)'!D53</f>
        <v>0</v>
      </c>
      <c r="I36" s="113">
        <f>ROUND(G36*H36,2)</f>
        <v>0</v>
      </c>
      <c r="J36" s="123"/>
      <c r="K36" s="160">
        <f>+M34</f>
        <v>0</v>
      </c>
      <c r="L36" s="188">
        <f>'SUB CPIF RATES (ALL)'!E53</f>
        <v>0</v>
      </c>
      <c r="M36" s="113">
        <f>ROUND(K36*L36,2)</f>
        <v>0</v>
      </c>
      <c r="N36" s="123"/>
      <c r="O36" s="160">
        <f>+Q34</f>
        <v>0</v>
      </c>
      <c r="P36" s="188">
        <f>'SUB CPIF RATES (ALL)'!F53</f>
        <v>0</v>
      </c>
      <c r="Q36" s="113">
        <f>ROUND(O36*P36,2)</f>
        <v>0</v>
      </c>
    </row>
    <row r="37" spans="1:17" x14ac:dyDescent="0.25">
      <c r="A37" s="138"/>
      <c r="B37" s="112" t="str">
        <f>'SUB CPIF RATES (ALL)'!B54</f>
        <v>Indirect Category: [G&amp;A]</v>
      </c>
      <c r="C37" s="160">
        <f>+C36+E36</f>
        <v>0</v>
      </c>
      <c r="D37" s="188">
        <f>'SUB CPIF RATES (ALL)'!C54</f>
        <v>0</v>
      </c>
      <c r="E37" s="113">
        <f>ROUND(C37*D37,2)</f>
        <v>0</v>
      </c>
      <c r="F37" s="123"/>
      <c r="G37" s="160">
        <f>+G36+I36</f>
        <v>0</v>
      </c>
      <c r="H37" s="188">
        <f>'SUB CPIF RATES (ALL)'!D54</f>
        <v>0</v>
      </c>
      <c r="I37" s="113">
        <f>ROUND(G37*H37,2)</f>
        <v>0</v>
      </c>
      <c r="J37" s="123"/>
      <c r="K37" s="160">
        <f>+K36+M36</f>
        <v>0</v>
      </c>
      <c r="L37" s="188">
        <f>'SUB CPIF RATES (ALL)'!E54</f>
        <v>0</v>
      </c>
      <c r="M37" s="113">
        <f>ROUND(K37*L37,2)</f>
        <v>0</v>
      </c>
      <c r="N37" s="123"/>
      <c r="O37" s="160">
        <f>+O36+Q36</f>
        <v>0</v>
      </c>
      <c r="P37" s="188">
        <f>'SUB CPIF RATES (ALL)'!F54</f>
        <v>0</v>
      </c>
      <c r="Q37" s="113">
        <f>ROUND(O37*P37,2)</f>
        <v>0</v>
      </c>
    </row>
    <row r="38" spans="1:17" x14ac:dyDescent="0.25">
      <c r="A38" s="138"/>
      <c r="B38" s="112" t="str">
        <f>'SUB CPIF RATES (ALL)'!B55</f>
        <v>Indirect Category: [FCCOM]</v>
      </c>
      <c r="C38" s="160">
        <f>C37+E37</f>
        <v>0</v>
      </c>
      <c r="D38" s="188">
        <f>'SUB CPIF RATES (ALL)'!C55</f>
        <v>0</v>
      </c>
      <c r="E38" s="113">
        <f>ROUND(C38*D38,2)</f>
        <v>0</v>
      </c>
      <c r="F38" s="110"/>
      <c r="G38" s="160">
        <f>G37+I37</f>
        <v>0</v>
      </c>
      <c r="H38" s="188">
        <f>'SUB CPIF RATES (ALL)'!D55</f>
        <v>0</v>
      </c>
      <c r="I38" s="113">
        <f>ROUND(G38*H38,2)</f>
        <v>0</v>
      </c>
      <c r="J38" s="110"/>
      <c r="K38" s="160">
        <f>K37+M37</f>
        <v>0</v>
      </c>
      <c r="L38" s="188">
        <f>'SUB CPIF RATES (ALL)'!E55</f>
        <v>0</v>
      </c>
      <c r="M38" s="113">
        <f>ROUND(K38*L38,2)</f>
        <v>0</v>
      </c>
      <c r="N38" s="110"/>
      <c r="O38" s="160">
        <f>O37+Q37</f>
        <v>0</v>
      </c>
      <c r="P38" s="188">
        <f>'SUB CPIF RATES (ALL)'!F55</f>
        <v>0</v>
      </c>
      <c r="Q38" s="113">
        <f>ROUND(O38*P38,2)</f>
        <v>0</v>
      </c>
    </row>
    <row r="39" spans="1:17" x14ac:dyDescent="0.25">
      <c r="A39" s="138"/>
      <c r="B39" s="112" t="str">
        <f>'SUB CPIF RATES (ALL)'!B56</f>
        <v>Indirect Category: [Target Fee]</v>
      </c>
      <c r="C39" s="160">
        <f>+C37+E37</f>
        <v>0</v>
      </c>
      <c r="D39" s="188">
        <f>'SUB CPIF RATES (ALL)'!C56</f>
        <v>0</v>
      </c>
      <c r="E39" s="113">
        <f>ROUND(C39*D39,2)</f>
        <v>0</v>
      </c>
      <c r="F39" s="110"/>
      <c r="G39" s="160">
        <f>+G37+I37</f>
        <v>0</v>
      </c>
      <c r="H39" s="188">
        <f>'SUB CPIF RATES (ALL)'!D56</f>
        <v>0</v>
      </c>
      <c r="I39" s="113">
        <f>ROUND(G39*H39,2)</f>
        <v>0</v>
      </c>
      <c r="J39" s="110"/>
      <c r="K39" s="160">
        <f>+K37+M37</f>
        <v>0</v>
      </c>
      <c r="L39" s="188">
        <f>'SUB CPIF RATES (ALL)'!E56</f>
        <v>0</v>
      </c>
      <c r="M39" s="113">
        <f>ROUND(K39*L39,2)</f>
        <v>0</v>
      </c>
      <c r="N39" s="110"/>
      <c r="O39" s="160">
        <f>+O37+Q37</f>
        <v>0</v>
      </c>
      <c r="P39" s="188">
        <f>'SUB CPIF RATES (ALL)'!F56</f>
        <v>0</v>
      </c>
      <c r="Q39" s="113">
        <f>ROUND(O39*P39,2)</f>
        <v>0</v>
      </c>
    </row>
    <row r="40" spans="1:17" x14ac:dyDescent="0.25">
      <c r="A40" s="138"/>
      <c r="B40" s="186" t="s">
        <v>186</v>
      </c>
      <c r="C40" s="178"/>
      <c r="D40" s="179"/>
      <c r="E40" s="113">
        <f>+ROUND(SUM(E34:E37),2)</f>
        <v>0</v>
      </c>
      <c r="F40" s="110"/>
      <c r="G40" s="178"/>
      <c r="H40" s="179"/>
      <c r="I40" s="113">
        <f>+ROUND(SUM(I34:I37),2)</f>
        <v>0</v>
      </c>
      <c r="J40" s="110"/>
      <c r="K40" s="178"/>
      <c r="L40" s="179"/>
      <c r="M40" s="113">
        <f>+ROUND(SUM(M34:M37),2)</f>
        <v>0</v>
      </c>
      <c r="N40" s="110"/>
      <c r="O40" s="178"/>
      <c r="P40" s="179"/>
      <c r="Q40" s="113">
        <f>+ROUND(SUM(Q34:Q37),2)</f>
        <v>0</v>
      </c>
    </row>
    <row r="41" spans="1:17" x14ac:dyDescent="0.25">
      <c r="A41" s="138"/>
      <c r="B41" s="186" t="s">
        <v>72</v>
      </c>
      <c r="C41" s="176"/>
      <c r="D41" s="180"/>
      <c r="E41" s="113">
        <f>+ROUND(E38,2)</f>
        <v>0</v>
      </c>
      <c r="F41" s="110"/>
      <c r="G41" s="176"/>
      <c r="H41" s="180"/>
      <c r="I41" s="113">
        <f>+ROUND(I38,2)</f>
        <v>0</v>
      </c>
      <c r="J41" s="110"/>
      <c r="K41" s="176"/>
      <c r="L41" s="180"/>
      <c r="M41" s="113">
        <f>+ROUND(M38,2)</f>
        <v>0</v>
      </c>
      <c r="N41" s="110"/>
      <c r="O41" s="176"/>
      <c r="P41" s="180"/>
      <c r="Q41" s="113">
        <f>+ROUND(Q38,2)</f>
        <v>0</v>
      </c>
    </row>
    <row r="42" spans="1:17" x14ac:dyDescent="0.2">
      <c r="B42" s="186" t="s">
        <v>71</v>
      </c>
      <c r="C42" s="176"/>
      <c r="D42" s="180"/>
      <c r="E42" s="127">
        <f>+ROUND(E39,2)</f>
        <v>0</v>
      </c>
      <c r="F42" s="128"/>
      <c r="G42" s="176"/>
      <c r="H42" s="180"/>
      <c r="I42" s="127">
        <f>+ROUND(I39,2)</f>
        <v>0</v>
      </c>
      <c r="J42" s="128"/>
      <c r="K42" s="176"/>
      <c r="L42" s="180"/>
      <c r="M42" s="127">
        <f>+ROUND(M39,2)</f>
        <v>0</v>
      </c>
      <c r="N42" s="128"/>
      <c r="O42" s="176"/>
      <c r="P42" s="180"/>
      <c r="Q42" s="127">
        <f>+ROUND(Q39,2)</f>
        <v>0</v>
      </c>
    </row>
    <row r="43" spans="1:17" ht="16.5" thickBot="1" x14ac:dyDescent="0.25">
      <c r="B43" s="187" t="s">
        <v>173</v>
      </c>
      <c r="C43" s="181"/>
      <c r="D43" s="182"/>
      <c r="E43" s="105">
        <f t="shared" ref="E43" si="0">SUM(E40:E42)</f>
        <v>0</v>
      </c>
      <c r="F43" s="106"/>
      <c r="G43" s="181"/>
      <c r="H43" s="182"/>
      <c r="I43" s="105">
        <f t="shared" ref="I43" si="1">SUM(I40:I42)</f>
        <v>0</v>
      </c>
      <c r="J43" s="106"/>
      <c r="K43" s="181"/>
      <c r="L43" s="182"/>
      <c r="M43" s="105">
        <f t="shared" ref="M43" si="2">SUM(M40:M42)</f>
        <v>0</v>
      </c>
      <c r="N43" s="106"/>
      <c r="O43" s="181"/>
      <c r="P43" s="182"/>
      <c r="Q43" s="105">
        <f t="shared" ref="Q43" si="3">SUM(Q40:Q42)</f>
        <v>0</v>
      </c>
    </row>
    <row r="44" spans="1:17" ht="16.5" thickBot="1" x14ac:dyDescent="0.25">
      <c r="B44" s="117"/>
      <c r="E44" s="194"/>
      <c r="F44" s="194"/>
      <c r="G44" s="194"/>
      <c r="H44" s="194"/>
      <c r="I44" s="194"/>
      <c r="J44" s="194"/>
      <c r="K44" s="194"/>
      <c r="N44" s="132"/>
      <c r="O44" s="194"/>
    </row>
    <row r="45" spans="1:17" ht="16.5" thickBot="1" x14ac:dyDescent="0.3">
      <c r="B45" s="523" t="str">
        <f>B14</f>
        <v>CLIN 0003 (CPIF)                                                    TASK 1.02 MATERIAL - CONTRACTOR-PROCURED MATERIAL FOR SIL</v>
      </c>
      <c r="C45" s="490" t="s">
        <v>212</v>
      </c>
      <c r="D45" s="491"/>
      <c r="E45" s="492"/>
      <c r="F45" s="120"/>
      <c r="G45" s="490" t="s">
        <v>212</v>
      </c>
      <c r="H45" s="491"/>
      <c r="I45" s="492"/>
      <c r="J45" s="120"/>
      <c r="K45" s="490" t="s">
        <v>212</v>
      </c>
      <c r="L45" s="491"/>
      <c r="M45" s="492"/>
      <c r="N45" s="120"/>
      <c r="O45" s="490" t="s">
        <v>212</v>
      </c>
      <c r="P45" s="491"/>
      <c r="Q45" s="492"/>
    </row>
    <row r="46" spans="1:17" ht="27.75" customHeight="1" thickBot="1" x14ac:dyDescent="0.3">
      <c r="B46" s="524"/>
      <c r="C46" s="520" t="str">
        <f>C32</f>
        <v>CLIN 0003 - Basic Period (Year 1)</v>
      </c>
      <c r="D46" s="521"/>
      <c r="E46" s="522"/>
      <c r="F46" s="121"/>
      <c r="G46" s="520" t="str">
        <f>G32</f>
        <v>CLIN 0003 - Basic Period (Year 2)</v>
      </c>
      <c r="H46" s="521"/>
      <c r="I46" s="522"/>
      <c r="J46" s="121"/>
      <c r="K46" s="520" t="str">
        <f>K32</f>
        <v>CLIN 0003 - Basic Period (Year 3)</v>
      </c>
      <c r="L46" s="521"/>
      <c r="M46" s="522"/>
      <c r="N46" s="121"/>
      <c r="O46" s="520" t="str">
        <f>O32</f>
        <v>CLIN 0003 - Basic Period (Year 4)</v>
      </c>
      <c r="P46" s="521"/>
      <c r="Q46" s="522"/>
    </row>
    <row r="47" spans="1:17" x14ac:dyDescent="0.25">
      <c r="B47" s="193"/>
      <c r="C47" s="98" t="s">
        <v>289</v>
      </c>
      <c r="D47" s="99" t="s">
        <v>286</v>
      </c>
      <c r="E47" s="100" t="s">
        <v>287</v>
      </c>
      <c r="F47" s="111"/>
      <c r="G47" s="98" t="s">
        <v>289</v>
      </c>
      <c r="H47" s="99" t="s">
        <v>286</v>
      </c>
      <c r="I47" s="100" t="s">
        <v>287</v>
      </c>
      <c r="J47" s="111"/>
      <c r="K47" s="98" t="s">
        <v>289</v>
      </c>
      <c r="L47" s="99" t="s">
        <v>286</v>
      </c>
      <c r="M47" s="100" t="s">
        <v>287</v>
      </c>
      <c r="N47" s="111"/>
      <c r="O47" s="98" t="s">
        <v>289</v>
      </c>
      <c r="P47" s="99" t="s">
        <v>286</v>
      </c>
      <c r="Q47" s="100" t="s">
        <v>287</v>
      </c>
    </row>
    <row r="48" spans="1:17" ht="25.5" x14ac:dyDescent="0.2">
      <c r="B48" s="240" t="s">
        <v>447</v>
      </c>
      <c r="C48" s="226"/>
      <c r="D48" s="226"/>
      <c r="E48" s="262">
        <f>'SUB CPIF TOTAL SUB'!E31</f>
        <v>0</v>
      </c>
      <c r="F48" s="229"/>
      <c r="G48" s="176"/>
      <c r="H48" s="226"/>
      <c r="I48" s="262">
        <f>'SUB CPIF TOTAL SUB'!G31</f>
        <v>0</v>
      </c>
      <c r="J48" s="229"/>
      <c r="K48" s="176"/>
      <c r="L48" s="226"/>
      <c r="M48" s="262">
        <f>'SUB CPIF TOTAL SUB'!I31</f>
        <v>0</v>
      </c>
      <c r="N48" s="110"/>
      <c r="O48" s="176"/>
      <c r="P48" s="226"/>
      <c r="Q48" s="262">
        <f>'SUB CPIF TOTAL SUB'!K31</f>
        <v>0</v>
      </c>
    </row>
    <row r="49" spans="1:17" ht="76.5" x14ac:dyDescent="0.2">
      <c r="B49" s="261" t="s">
        <v>448</v>
      </c>
      <c r="C49" s="527" t="s">
        <v>1</v>
      </c>
      <c r="D49" s="528"/>
      <c r="E49" s="529"/>
      <c r="F49" s="123"/>
      <c r="G49" s="530"/>
      <c r="H49" s="528"/>
      <c r="I49" s="529"/>
      <c r="J49" s="123"/>
      <c r="K49" s="530"/>
      <c r="L49" s="528"/>
      <c r="M49" s="529"/>
      <c r="N49" s="123"/>
      <c r="O49" s="530"/>
      <c r="P49" s="528"/>
      <c r="Q49" s="529"/>
    </row>
    <row r="50" spans="1:17" x14ac:dyDescent="0.2">
      <c r="B50" s="228" t="str">
        <f>'SUB CPIF RATES (ALL)'!B45</f>
        <v>Indirect Category: [Overhead]</v>
      </c>
      <c r="C50" s="227">
        <f>E48</f>
        <v>0</v>
      </c>
      <c r="D50" s="188">
        <f>'SUB CPIF RATES (ALL)'!C45</f>
        <v>0</v>
      </c>
      <c r="E50" s="113">
        <f>ROUND(C50*D50,2)</f>
        <v>0</v>
      </c>
      <c r="F50" s="123"/>
      <c r="G50" s="160">
        <f>I48</f>
        <v>0</v>
      </c>
      <c r="H50" s="188">
        <f>'SUB CPIF RATES (ALL)'!D45</f>
        <v>0</v>
      </c>
      <c r="I50" s="113">
        <f>ROUND(G50*H50,2)</f>
        <v>0</v>
      </c>
      <c r="J50" s="123"/>
      <c r="K50" s="160">
        <f>M48</f>
        <v>0</v>
      </c>
      <c r="L50" s="188">
        <f>'SUB CPIF RATES (ALL)'!E45</f>
        <v>0</v>
      </c>
      <c r="M50" s="113">
        <f>ROUND(K50*L50,2)</f>
        <v>0</v>
      </c>
      <c r="N50" s="123"/>
      <c r="O50" s="160">
        <f>Q48</f>
        <v>0</v>
      </c>
      <c r="P50" s="188">
        <f>'SUB CPIF RATES (ALL)'!F45</f>
        <v>0</v>
      </c>
      <c r="Q50" s="113">
        <f>ROUND(O50*P50,2)</f>
        <v>0</v>
      </c>
    </row>
    <row r="51" spans="1:17" x14ac:dyDescent="0.2">
      <c r="B51" s="228" t="str">
        <f>'SUB CPIF RATES (ALL)'!B46</f>
        <v>Indirect Category: [G&amp;A]</v>
      </c>
      <c r="C51" s="227">
        <f>C50+E50</f>
        <v>0</v>
      </c>
      <c r="D51" s="188">
        <f>'SUB CPIF RATES (ALL)'!C46</f>
        <v>0</v>
      </c>
      <c r="E51" s="113">
        <f>ROUND(C51*D51,2)</f>
        <v>0</v>
      </c>
      <c r="F51" s="229"/>
      <c r="G51" s="227">
        <f>G50+I50</f>
        <v>0</v>
      </c>
      <c r="H51" s="188">
        <f>'SUB CPIF RATES (ALL)'!D46</f>
        <v>0</v>
      </c>
      <c r="I51" s="113">
        <f>ROUND(G51*H51,2)</f>
        <v>0</v>
      </c>
      <c r="J51" s="229"/>
      <c r="K51" s="227">
        <f>K50+M50</f>
        <v>0</v>
      </c>
      <c r="L51" s="188">
        <f>'SUB CPIF RATES (ALL)'!E46</f>
        <v>0</v>
      </c>
      <c r="M51" s="113">
        <f>ROUND(K51*L51,2)</f>
        <v>0</v>
      </c>
      <c r="N51" s="110"/>
      <c r="O51" s="227">
        <f>O50+Q50</f>
        <v>0</v>
      </c>
      <c r="P51" s="188">
        <f>'SUB CPIF RATES (ALL)'!F46</f>
        <v>0</v>
      </c>
      <c r="Q51" s="113">
        <f>ROUND(O51*P51,2)</f>
        <v>0</v>
      </c>
    </row>
    <row r="52" spans="1:17" x14ac:dyDescent="0.2">
      <c r="B52" s="266" t="str">
        <f>'SUB CPIF RATES (ALL)'!B47</f>
        <v>Indirect Category: [FCCOM]</v>
      </c>
      <c r="C52" s="160">
        <f>C51+E51</f>
        <v>0</v>
      </c>
      <c r="D52" s="188">
        <f>'SUB CPIF RATES (ALL)'!C47</f>
        <v>0</v>
      </c>
      <c r="E52" s="268">
        <f>ROUND(C52*D52,2)</f>
        <v>0</v>
      </c>
      <c r="F52" s="229"/>
      <c r="G52" s="160">
        <f>G51+I51</f>
        <v>0</v>
      </c>
      <c r="H52" s="188">
        <f>'SUB CPIF RATES (ALL)'!D47</f>
        <v>0</v>
      </c>
      <c r="I52" s="268">
        <f>ROUND(G52*H52,2)</f>
        <v>0</v>
      </c>
      <c r="J52" s="229"/>
      <c r="K52" s="160">
        <f>K51+M51</f>
        <v>0</v>
      </c>
      <c r="L52" s="188">
        <f>'SUB CPIF RATES (ALL)'!E47</f>
        <v>0</v>
      </c>
      <c r="M52" s="268">
        <f>ROUND(K52*L52,2)</f>
        <v>0</v>
      </c>
      <c r="N52" s="110"/>
      <c r="O52" s="160">
        <f>O51+Q51</f>
        <v>0</v>
      </c>
      <c r="P52" s="188">
        <f>'SUB CPIF RATES (ALL)'!F47</f>
        <v>0</v>
      </c>
      <c r="Q52" s="268">
        <f>ROUND(O52*P52,2)</f>
        <v>0</v>
      </c>
    </row>
    <row r="53" spans="1:17" x14ac:dyDescent="0.2">
      <c r="B53" s="112" t="str">
        <f>'SUB CPIF RATES (ALL)'!B48</f>
        <v>Indirect Category: [Target Fee]</v>
      </c>
      <c r="C53" s="159">
        <f>C51+E51</f>
        <v>0</v>
      </c>
      <c r="D53" s="269">
        <f>'SUB CPIF RATES (ALL)'!C48</f>
        <v>0</v>
      </c>
      <c r="E53" s="268">
        <f>ROUND(C53*D53,2)</f>
        <v>0</v>
      </c>
      <c r="F53" s="229"/>
      <c r="G53" s="159">
        <f>G51+I51</f>
        <v>0</v>
      </c>
      <c r="H53" s="269">
        <f>'SUB CPIF RATES (ALL)'!D48</f>
        <v>0</v>
      </c>
      <c r="I53" s="268">
        <f>ROUND(G53*H53,2)</f>
        <v>0</v>
      </c>
      <c r="J53" s="229"/>
      <c r="K53" s="159">
        <f>K51+M51</f>
        <v>0</v>
      </c>
      <c r="L53" s="269">
        <f>'SUB CPIF RATES (ALL)'!E48</f>
        <v>0</v>
      </c>
      <c r="M53" s="268">
        <f>ROUND(K53*L53,2)</f>
        <v>0</v>
      </c>
      <c r="N53" s="110"/>
      <c r="O53" s="159">
        <f>O51+Q51</f>
        <v>0</v>
      </c>
      <c r="P53" s="269">
        <f>'SUB CPIF RATES (ALL)'!F48</f>
        <v>0</v>
      </c>
      <c r="Q53" s="268">
        <f>ROUND(O53*P53,2)</f>
        <v>0</v>
      </c>
    </row>
    <row r="54" spans="1:17" x14ac:dyDescent="0.2">
      <c r="B54" s="186" t="s">
        <v>214</v>
      </c>
      <c r="C54" s="178"/>
      <c r="D54" s="179"/>
      <c r="E54" s="113">
        <f>ROUND(E48+E50+E51,2)</f>
        <v>0</v>
      </c>
      <c r="F54" s="229"/>
      <c r="G54" s="178"/>
      <c r="H54" s="179"/>
      <c r="I54" s="113">
        <f>ROUND(I48+I50+I51,2)</f>
        <v>0</v>
      </c>
      <c r="J54" s="229"/>
      <c r="K54" s="178"/>
      <c r="L54" s="179"/>
      <c r="M54" s="113">
        <f>ROUND(M48+M50+M51,2)</f>
        <v>0</v>
      </c>
      <c r="N54" s="110"/>
      <c r="O54" s="178"/>
      <c r="P54" s="179"/>
      <c r="Q54" s="113">
        <f>ROUND(Q48+Q50+Q51,2)</f>
        <v>0</v>
      </c>
    </row>
    <row r="55" spans="1:17" x14ac:dyDescent="0.2">
      <c r="B55" s="186" t="s">
        <v>204</v>
      </c>
      <c r="C55" s="176"/>
      <c r="D55" s="180"/>
      <c r="E55" s="113">
        <f>ROUND(E52,2)</f>
        <v>0</v>
      </c>
      <c r="F55" s="229"/>
      <c r="G55" s="176"/>
      <c r="H55" s="180"/>
      <c r="I55" s="113">
        <f>ROUND(I52,2)</f>
        <v>0</v>
      </c>
      <c r="J55" s="229"/>
      <c r="K55" s="176"/>
      <c r="L55" s="180"/>
      <c r="M55" s="113">
        <f>ROUND(M52,2)</f>
        <v>0</v>
      </c>
      <c r="N55" s="110"/>
      <c r="O55" s="176"/>
      <c r="P55" s="180"/>
      <c r="Q55" s="113">
        <f>ROUND(Q52,2)</f>
        <v>0</v>
      </c>
    </row>
    <row r="56" spans="1:17" x14ac:dyDescent="0.2">
      <c r="B56" s="186" t="s">
        <v>71</v>
      </c>
      <c r="C56" s="176"/>
      <c r="D56" s="180"/>
      <c r="E56" s="127">
        <f>ROUND(E53,2)</f>
        <v>0</v>
      </c>
      <c r="F56" s="128"/>
      <c r="G56" s="176"/>
      <c r="H56" s="180"/>
      <c r="I56" s="127">
        <f>ROUND(I53,2)</f>
        <v>0</v>
      </c>
      <c r="J56" s="128"/>
      <c r="K56" s="176"/>
      <c r="L56" s="180"/>
      <c r="M56" s="127">
        <f>ROUND(M53,2)</f>
        <v>0</v>
      </c>
      <c r="N56" s="128"/>
      <c r="O56" s="176"/>
      <c r="P56" s="180"/>
      <c r="Q56" s="127">
        <f>ROUND(Q53,2)</f>
        <v>0</v>
      </c>
    </row>
    <row r="57" spans="1:17" ht="16.5" thickBot="1" x14ac:dyDescent="0.25">
      <c r="B57" s="187" t="s">
        <v>215</v>
      </c>
      <c r="C57" s="181"/>
      <c r="D57" s="182"/>
      <c r="E57" s="105">
        <f>ROUND(SUM(E54:E56),2)</f>
        <v>0</v>
      </c>
      <c r="F57" s="106"/>
      <c r="G57" s="181"/>
      <c r="H57" s="182"/>
      <c r="I57" s="105">
        <f>ROUND(SUM(I54:I56),2)</f>
        <v>0</v>
      </c>
      <c r="J57" s="106"/>
      <c r="K57" s="181"/>
      <c r="L57" s="182"/>
      <c r="M57" s="105">
        <f>ROUND(SUM(M54:M56),2)</f>
        <v>0</v>
      </c>
      <c r="N57" s="106"/>
      <c r="O57" s="181"/>
      <c r="P57" s="182"/>
      <c r="Q57" s="105">
        <f>ROUND(SUM(Q54:Q56),2)</f>
        <v>0</v>
      </c>
    </row>
    <row r="58" spans="1:17" ht="16.5" thickBot="1" x14ac:dyDescent="0.25">
      <c r="B58" s="117"/>
      <c r="E58" s="194"/>
      <c r="F58" s="194"/>
      <c r="G58" s="194"/>
      <c r="H58" s="194"/>
      <c r="I58" s="194"/>
      <c r="J58" s="194"/>
      <c r="K58" s="194"/>
      <c r="N58" s="132"/>
      <c r="O58" s="194"/>
    </row>
    <row r="59" spans="1:17" ht="16.5" customHeight="1" thickBot="1" x14ac:dyDescent="0.3">
      <c r="A59" s="138"/>
      <c r="B59" s="523" t="str">
        <f>B31</f>
        <v>CLIN 0003 (CPIF)                                                    TASK 1.02 MATERIAL - CONTRACTOR-PROCURED MATERIAL FOR SIL</v>
      </c>
      <c r="C59" s="490" t="s">
        <v>81</v>
      </c>
      <c r="D59" s="491"/>
      <c r="E59" s="492"/>
      <c r="F59" s="120"/>
      <c r="G59" s="490" t="s">
        <v>82</v>
      </c>
      <c r="H59" s="491"/>
      <c r="I59" s="492"/>
      <c r="J59" s="120"/>
      <c r="K59" s="490" t="s">
        <v>82</v>
      </c>
      <c r="L59" s="491"/>
      <c r="M59" s="492"/>
      <c r="N59" s="120"/>
      <c r="O59" s="490" t="s">
        <v>82</v>
      </c>
      <c r="P59" s="491"/>
      <c r="Q59" s="492"/>
    </row>
    <row r="60" spans="1:17" ht="33.75" customHeight="1" thickBot="1" x14ac:dyDescent="0.3">
      <c r="A60" s="138"/>
      <c r="B60" s="524"/>
      <c r="C60" s="487" t="str">
        <f>C32</f>
        <v>CLIN 0003 - Basic Period (Year 1)</v>
      </c>
      <c r="D60" s="488"/>
      <c r="E60" s="489"/>
      <c r="F60" s="121"/>
      <c r="G60" s="487" t="str">
        <f>G32</f>
        <v>CLIN 0003 - Basic Period (Year 2)</v>
      </c>
      <c r="H60" s="488"/>
      <c r="I60" s="489"/>
      <c r="J60" s="121"/>
      <c r="K60" s="487" t="str">
        <f>K32</f>
        <v>CLIN 0003 - Basic Period (Year 3)</v>
      </c>
      <c r="L60" s="488"/>
      <c r="M60" s="489"/>
      <c r="N60" s="121"/>
      <c r="O60" s="487" t="str">
        <f>O32</f>
        <v>CLIN 0003 - Basic Period (Year 4)</v>
      </c>
      <c r="P60" s="488"/>
      <c r="Q60" s="489"/>
    </row>
    <row r="61" spans="1:17" x14ac:dyDescent="0.25">
      <c r="A61" s="138"/>
      <c r="B61" s="193"/>
      <c r="C61" s="98" t="s">
        <v>289</v>
      </c>
      <c r="D61" s="99" t="s">
        <v>286</v>
      </c>
      <c r="E61" s="100" t="s">
        <v>89</v>
      </c>
      <c r="F61" s="111"/>
      <c r="G61" s="98" t="s">
        <v>289</v>
      </c>
      <c r="H61" s="99" t="s">
        <v>286</v>
      </c>
      <c r="I61" s="100" t="s">
        <v>89</v>
      </c>
      <c r="J61" s="111"/>
      <c r="K61" s="98" t="s">
        <v>289</v>
      </c>
      <c r="L61" s="99" t="s">
        <v>286</v>
      </c>
      <c r="M61" s="100" t="s">
        <v>89</v>
      </c>
      <c r="N61" s="111"/>
      <c r="O61" s="98" t="s">
        <v>289</v>
      </c>
      <c r="P61" s="99" t="s">
        <v>286</v>
      </c>
      <c r="Q61" s="100" t="s">
        <v>89</v>
      </c>
    </row>
    <row r="62" spans="1:17" ht="26.25" x14ac:dyDescent="0.25">
      <c r="A62" s="138"/>
      <c r="B62" s="240" t="s">
        <v>449</v>
      </c>
      <c r="C62" s="176"/>
      <c r="D62" s="226"/>
      <c r="E62" s="262">
        <f>'SUB CPIF TOTAL ODC'!E32</f>
        <v>0</v>
      </c>
      <c r="F62" s="229"/>
      <c r="G62" s="176"/>
      <c r="H62" s="226"/>
      <c r="I62" s="262">
        <f>'SUB CPIF TOTAL ODC'!G32</f>
        <v>0</v>
      </c>
      <c r="J62" s="229"/>
      <c r="K62" s="176"/>
      <c r="L62" s="226"/>
      <c r="M62" s="310">
        <f>'SUB CPIF TOTAL ODC'!I32</f>
        <v>0</v>
      </c>
      <c r="N62" s="229"/>
      <c r="O62" s="176"/>
      <c r="P62" s="226"/>
      <c r="Q62" s="310">
        <f>'SUB CPIF TOTAL ODC'!K32</f>
        <v>0</v>
      </c>
    </row>
    <row r="63" spans="1:17" ht="66" customHeight="1" x14ac:dyDescent="0.25">
      <c r="A63" s="138"/>
      <c r="B63" s="374" t="s">
        <v>450</v>
      </c>
      <c r="C63" s="314"/>
      <c r="D63" s="314"/>
      <c r="E63" s="313"/>
      <c r="F63" s="229"/>
      <c r="G63" s="315"/>
      <c r="H63" s="314"/>
      <c r="I63" s="313"/>
      <c r="J63" s="229"/>
      <c r="K63" s="315"/>
      <c r="L63" s="314"/>
      <c r="M63" s="310"/>
      <c r="N63" s="229"/>
      <c r="O63" s="315"/>
      <c r="P63" s="314"/>
      <c r="Q63" s="310"/>
    </row>
    <row r="64" spans="1:17" x14ac:dyDescent="0.25">
      <c r="A64" s="138"/>
      <c r="B64" s="112" t="s">
        <v>60</v>
      </c>
      <c r="C64" s="160">
        <f>+E62</f>
        <v>0</v>
      </c>
      <c r="D64" s="188">
        <f>'SUB CPIF RATES (ALL)'!C61</f>
        <v>0</v>
      </c>
      <c r="E64" s="113">
        <f>ROUND(C64*D64,2)</f>
        <v>0</v>
      </c>
      <c r="F64" s="123"/>
      <c r="G64" s="160">
        <f>+I62</f>
        <v>0</v>
      </c>
      <c r="H64" s="188">
        <f>'SUB CPIF RATES (ALL)'!D61</f>
        <v>0</v>
      </c>
      <c r="I64" s="113">
        <f>ROUND(G64*H64,2)</f>
        <v>0</v>
      </c>
      <c r="J64" s="123"/>
      <c r="K64" s="160">
        <f>+M62</f>
        <v>0</v>
      </c>
      <c r="L64" s="188">
        <f>'SUB CPIF RATES (ALL)'!E61</f>
        <v>0</v>
      </c>
      <c r="M64" s="113">
        <f>ROUND(K64*L64,2)</f>
        <v>0</v>
      </c>
      <c r="N64" s="123"/>
      <c r="O64" s="160">
        <f>+Q62</f>
        <v>0</v>
      </c>
      <c r="P64" s="188">
        <f>'SUB CPIF RATES (ALL)'!F61</f>
        <v>0</v>
      </c>
      <c r="Q64" s="113">
        <f>ROUND(O64*P64,2)</f>
        <v>0</v>
      </c>
    </row>
    <row r="65" spans="1:17" x14ac:dyDescent="0.25">
      <c r="A65" s="138"/>
      <c r="B65" s="112" t="s">
        <v>61</v>
      </c>
      <c r="C65" s="160">
        <f>+C64+E64</f>
        <v>0</v>
      </c>
      <c r="D65" s="188">
        <f>'SUB CPIF RATES (ALL)'!C62</f>
        <v>0</v>
      </c>
      <c r="E65" s="113">
        <f>ROUND(C65*D65,2)</f>
        <v>0</v>
      </c>
      <c r="F65" s="123"/>
      <c r="G65" s="160">
        <f>+G64+I64</f>
        <v>0</v>
      </c>
      <c r="H65" s="188">
        <f>'SUB CPIF RATES (ALL)'!D62</f>
        <v>0</v>
      </c>
      <c r="I65" s="113">
        <f>ROUND(G65*H65,2)</f>
        <v>0</v>
      </c>
      <c r="J65" s="123"/>
      <c r="K65" s="160">
        <f>+K64+M64</f>
        <v>0</v>
      </c>
      <c r="L65" s="188">
        <f>'SUB CPIF RATES (ALL)'!E62</f>
        <v>0</v>
      </c>
      <c r="M65" s="113">
        <f>ROUND(K65*L65,2)</f>
        <v>0</v>
      </c>
      <c r="N65" s="123"/>
      <c r="O65" s="160">
        <f>+O64+Q64</f>
        <v>0</v>
      </c>
      <c r="P65" s="188">
        <f>'SUB CPIF RATES (ALL)'!F62</f>
        <v>0</v>
      </c>
      <c r="Q65" s="113">
        <f>ROUND(O65*P65,2)</f>
        <v>0</v>
      </c>
    </row>
    <row r="66" spans="1:17" x14ac:dyDescent="0.25">
      <c r="A66" s="138"/>
      <c r="B66" s="112" t="s">
        <v>411</v>
      </c>
      <c r="C66" s="160">
        <f>C65+E65</f>
        <v>0</v>
      </c>
      <c r="D66" s="188">
        <f>'SUB CPIF RATES (ALL)'!C63</f>
        <v>0</v>
      </c>
      <c r="E66" s="113">
        <f>ROUND(C66*D66,2)</f>
        <v>0</v>
      </c>
      <c r="F66" s="229"/>
      <c r="G66" s="160">
        <f>G65+I65</f>
        <v>0</v>
      </c>
      <c r="H66" s="188">
        <f>'SUB CPIF RATES (ALL)'!D63</f>
        <v>0</v>
      </c>
      <c r="I66" s="113">
        <f>ROUND(G66*H66,2)</f>
        <v>0</v>
      </c>
      <c r="J66" s="229"/>
      <c r="K66" s="160">
        <f>K65+M65</f>
        <v>0</v>
      </c>
      <c r="L66" s="188">
        <f>'SUB CPIF RATES (ALL)'!E63</f>
        <v>0</v>
      </c>
      <c r="M66" s="113">
        <f>ROUND(K66*L66,2)</f>
        <v>0</v>
      </c>
      <c r="N66" s="229"/>
      <c r="O66" s="160">
        <f>O65+Q65</f>
        <v>0</v>
      </c>
      <c r="P66" s="188">
        <f>'SUB CPIF RATES (ALL)'!F63</f>
        <v>0</v>
      </c>
      <c r="Q66" s="113">
        <f>ROUND(O66*P66,2)</f>
        <v>0</v>
      </c>
    </row>
    <row r="67" spans="1:17" x14ac:dyDescent="0.25">
      <c r="A67" s="138"/>
      <c r="B67" s="112" t="s">
        <v>62</v>
      </c>
      <c r="C67" s="160">
        <f>+C65+E65</f>
        <v>0</v>
      </c>
      <c r="D67" s="269">
        <f>'SUB CPIF RATES (ALL)'!C64</f>
        <v>0</v>
      </c>
      <c r="E67" s="113">
        <f>ROUND(C67*D67,2)</f>
        <v>0</v>
      </c>
      <c r="F67" s="229"/>
      <c r="G67" s="160">
        <f>+G65+I65</f>
        <v>0</v>
      </c>
      <c r="H67" s="269">
        <f>'SUB CPIF RATES (ALL)'!D64</f>
        <v>0</v>
      </c>
      <c r="I67" s="113">
        <f>ROUND(G67*H67,2)</f>
        <v>0</v>
      </c>
      <c r="J67" s="229"/>
      <c r="K67" s="160">
        <f>+K65+M65</f>
        <v>0</v>
      </c>
      <c r="L67" s="269">
        <f>'SUB CPIF RATES (ALL)'!E64</f>
        <v>0</v>
      </c>
      <c r="M67" s="113">
        <f>ROUND(K67*L67,2)</f>
        <v>0</v>
      </c>
      <c r="N67" s="229"/>
      <c r="O67" s="160">
        <f>+O65+Q65</f>
        <v>0</v>
      </c>
      <c r="P67" s="269">
        <f>'SUB CPIF RATES (ALL)'!F64</f>
        <v>0</v>
      </c>
      <c r="Q67" s="113">
        <f>ROUND(O67*P67,2)</f>
        <v>0</v>
      </c>
    </row>
    <row r="68" spans="1:17" x14ac:dyDescent="0.25">
      <c r="A68" s="138"/>
      <c r="B68" s="186" t="s">
        <v>187</v>
      </c>
      <c r="C68" s="178"/>
      <c r="D68" s="179"/>
      <c r="E68" s="113">
        <f>+ROUND(SUM(E62:E65),2)</f>
        <v>0</v>
      </c>
      <c r="F68" s="229"/>
      <c r="G68" s="178"/>
      <c r="H68" s="179"/>
      <c r="I68" s="113">
        <f>+ROUND(SUM(I62:I65),2)</f>
        <v>0</v>
      </c>
      <c r="J68" s="229"/>
      <c r="K68" s="178"/>
      <c r="L68" s="179"/>
      <c r="M68" s="113">
        <f>+ROUND(SUM(M62:M65),2)</f>
        <v>0</v>
      </c>
      <c r="N68" s="229"/>
      <c r="O68" s="178"/>
      <c r="P68" s="179"/>
      <c r="Q68" s="113">
        <f>+ROUND(SUM(Q62:Q65),2)</f>
        <v>0</v>
      </c>
    </row>
    <row r="69" spans="1:17" x14ac:dyDescent="0.25">
      <c r="A69" s="138"/>
      <c r="B69" s="186" t="s">
        <v>72</v>
      </c>
      <c r="C69" s="176"/>
      <c r="D69" s="180"/>
      <c r="E69" s="113">
        <f>+ROUND(E66,2)</f>
        <v>0</v>
      </c>
      <c r="F69" s="229"/>
      <c r="G69" s="176"/>
      <c r="H69" s="180"/>
      <c r="I69" s="113">
        <f>+ROUND(I66,2)</f>
        <v>0</v>
      </c>
      <c r="J69" s="229"/>
      <c r="K69" s="176"/>
      <c r="L69" s="180"/>
      <c r="M69" s="113">
        <f>+ROUND(M66,2)</f>
        <v>0</v>
      </c>
      <c r="N69" s="229"/>
      <c r="O69" s="176"/>
      <c r="P69" s="180"/>
      <c r="Q69" s="113">
        <f>+ROUND(Q66,2)</f>
        <v>0</v>
      </c>
    </row>
    <row r="70" spans="1:17" x14ac:dyDescent="0.2">
      <c r="A70" s="131"/>
      <c r="B70" s="186" t="s">
        <v>71</v>
      </c>
      <c r="C70" s="176"/>
      <c r="D70" s="180"/>
      <c r="E70" s="127">
        <f>+ROUND(E67,2)</f>
        <v>0</v>
      </c>
      <c r="F70" s="128"/>
      <c r="G70" s="176"/>
      <c r="H70" s="180"/>
      <c r="I70" s="127">
        <f>+ROUND(I67,2)</f>
        <v>0</v>
      </c>
      <c r="J70" s="128"/>
      <c r="K70" s="176"/>
      <c r="L70" s="180"/>
      <c r="M70" s="127">
        <f>+ROUND(M67,2)</f>
        <v>0</v>
      </c>
      <c r="N70" s="128"/>
      <c r="O70" s="176"/>
      <c r="P70" s="180"/>
      <c r="Q70" s="127">
        <f>+ROUND(Q67,2)</f>
        <v>0</v>
      </c>
    </row>
    <row r="71" spans="1:17" ht="16.5" thickBot="1" x14ac:dyDescent="0.25">
      <c r="A71" s="131"/>
      <c r="B71" s="187" t="s">
        <v>174</v>
      </c>
      <c r="C71" s="181"/>
      <c r="D71" s="182"/>
      <c r="E71" s="105">
        <f>ROUND(SUM(E68:E70),2)</f>
        <v>0</v>
      </c>
      <c r="F71" s="106"/>
      <c r="G71" s="181"/>
      <c r="H71" s="182"/>
      <c r="I71" s="105">
        <f>ROUND(SUM(I68:I70),2)</f>
        <v>0</v>
      </c>
      <c r="J71" s="106"/>
      <c r="K71" s="181"/>
      <c r="L71" s="182"/>
      <c r="M71" s="105">
        <f>ROUND(SUM(M68:M70),2)</f>
        <v>0</v>
      </c>
      <c r="N71" s="106"/>
      <c r="O71" s="181"/>
      <c r="P71" s="182"/>
      <c r="Q71" s="105">
        <f>ROUND(SUM(Q68:Q70),2)</f>
        <v>0</v>
      </c>
    </row>
    <row r="72" spans="1:17" ht="16.5" thickBot="1" x14ac:dyDescent="0.25">
      <c r="A72" s="131"/>
      <c r="B72" s="117"/>
      <c r="E72" s="194"/>
      <c r="F72" s="194"/>
      <c r="G72" s="194"/>
      <c r="H72" s="194"/>
      <c r="I72" s="194"/>
      <c r="J72" s="194"/>
      <c r="K72" s="194"/>
      <c r="N72" s="132"/>
      <c r="O72" s="194"/>
    </row>
    <row r="73" spans="1:17" ht="16.5" thickBot="1" x14ac:dyDescent="0.3">
      <c r="A73" s="131"/>
      <c r="B73" s="531" t="str">
        <f>B59</f>
        <v>CLIN 0003 (CPIF)                                                    TASK 1.02 MATERIAL - CONTRACTOR-PROCURED MATERIAL FOR SIL</v>
      </c>
      <c r="C73" s="517" t="s">
        <v>213</v>
      </c>
      <c r="D73" s="518"/>
      <c r="E73" s="519"/>
      <c r="F73" s="120"/>
      <c r="G73" s="517" t="s">
        <v>213</v>
      </c>
      <c r="H73" s="518"/>
      <c r="I73" s="519"/>
      <c r="J73" s="120"/>
      <c r="K73" s="517" t="s">
        <v>213</v>
      </c>
      <c r="L73" s="518"/>
      <c r="M73" s="519"/>
      <c r="N73" s="120"/>
      <c r="O73" s="517" t="s">
        <v>213</v>
      </c>
      <c r="P73" s="518"/>
      <c r="Q73" s="519"/>
    </row>
    <row r="74" spans="1:17" ht="33.75" customHeight="1" thickBot="1" x14ac:dyDescent="0.3">
      <c r="A74" s="131"/>
      <c r="B74" s="532"/>
      <c r="C74" s="221"/>
      <c r="D74" s="222"/>
      <c r="E74" s="133" t="s">
        <v>265</v>
      </c>
      <c r="F74" s="134"/>
      <c r="G74" s="221"/>
      <c r="H74" s="222"/>
      <c r="I74" s="133" t="s">
        <v>266</v>
      </c>
      <c r="J74" s="134"/>
      <c r="K74" s="221"/>
      <c r="L74" s="222"/>
      <c r="M74" s="133" t="s">
        <v>267</v>
      </c>
      <c r="N74" s="134"/>
      <c r="O74" s="221"/>
      <c r="P74" s="222"/>
      <c r="Q74" s="133" t="s">
        <v>268</v>
      </c>
    </row>
    <row r="75" spans="1:17" x14ac:dyDescent="0.2">
      <c r="A75" s="131"/>
      <c r="B75" s="112" t="s">
        <v>188</v>
      </c>
      <c r="C75" s="223"/>
      <c r="D75" s="223"/>
      <c r="E75" s="135">
        <f>+ROUND(E26+E40+E54+E68,2)</f>
        <v>0</v>
      </c>
      <c r="F75" s="110"/>
      <c r="G75" s="223"/>
      <c r="H75" s="223"/>
      <c r="I75" s="135">
        <f>+ROUND(I26+I40+I54+I68,2)</f>
        <v>0</v>
      </c>
      <c r="J75" s="110"/>
      <c r="K75" s="223"/>
      <c r="L75" s="223"/>
      <c r="M75" s="135">
        <f>+ROUND(M26+M40+M54+M68,2)</f>
        <v>0</v>
      </c>
      <c r="N75" s="110"/>
      <c r="O75" s="223"/>
      <c r="P75" s="223"/>
      <c r="Q75" s="135">
        <f>+ROUND(Q26+Q40+Q54+Q68,2)</f>
        <v>0</v>
      </c>
    </row>
    <row r="76" spans="1:17" x14ac:dyDescent="0.2">
      <c r="A76" s="131"/>
      <c r="B76" s="112" t="s">
        <v>72</v>
      </c>
      <c r="C76" s="223"/>
      <c r="D76" s="223"/>
      <c r="E76" s="113">
        <f>+ROUND(E27+E41+E55+E69,2)</f>
        <v>0</v>
      </c>
      <c r="F76" s="110"/>
      <c r="G76" s="223"/>
      <c r="H76" s="223"/>
      <c r="I76" s="113">
        <f>+ROUND(I27+I41+I55+I69,2)</f>
        <v>0</v>
      </c>
      <c r="J76" s="110"/>
      <c r="K76" s="223"/>
      <c r="L76" s="223"/>
      <c r="M76" s="113">
        <f>+ROUND(M27+M41+M55+M69,2)</f>
        <v>0</v>
      </c>
      <c r="N76" s="110"/>
      <c r="O76" s="223"/>
      <c r="P76" s="223"/>
      <c r="Q76" s="113">
        <f>+ROUND(Q27+Q41+Q55+Q69,2)</f>
        <v>0</v>
      </c>
    </row>
    <row r="77" spans="1:17" x14ac:dyDescent="0.2">
      <c r="A77" s="131"/>
      <c r="B77" s="112" t="s">
        <v>71</v>
      </c>
      <c r="C77" s="223"/>
      <c r="D77" s="223"/>
      <c r="E77" s="114">
        <f>+ROUND(E28+E42+E56+E70,2)</f>
        <v>0</v>
      </c>
      <c r="F77" s="115"/>
      <c r="G77" s="223"/>
      <c r="H77" s="223"/>
      <c r="I77" s="114">
        <f>+ROUND(I28+I42+I56+I70,2)</f>
        <v>0</v>
      </c>
      <c r="J77" s="115"/>
      <c r="K77" s="223"/>
      <c r="L77" s="223"/>
      <c r="M77" s="114">
        <f>+ROUND(M28+M42+M56+M70,2)</f>
        <v>0</v>
      </c>
      <c r="N77" s="115"/>
      <c r="O77" s="223"/>
      <c r="P77" s="223"/>
      <c r="Q77" s="114">
        <f>+ROUND(Q28+Q42+Q56+Q70,2)</f>
        <v>0</v>
      </c>
    </row>
    <row r="78" spans="1:17" ht="32.25" thickBot="1" x14ac:dyDescent="0.3">
      <c r="A78" s="131"/>
      <c r="B78" s="207" t="s">
        <v>390</v>
      </c>
      <c r="C78" s="224"/>
      <c r="D78" s="224"/>
      <c r="E78" s="208">
        <f>SUM(E75:E77)</f>
        <v>0</v>
      </c>
      <c r="F78" s="116"/>
      <c r="G78" s="224"/>
      <c r="H78" s="224"/>
      <c r="I78" s="208">
        <f>SUM(I75:I77)</f>
        <v>0</v>
      </c>
      <c r="J78" s="116"/>
      <c r="K78" s="224"/>
      <c r="L78" s="224"/>
      <c r="M78" s="208">
        <f>SUM(M75:M77)</f>
        <v>0</v>
      </c>
      <c r="N78" s="116"/>
      <c r="O78" s="224"/>
      <c r="P78" s="224"/>
      <c r="Q78" s="208">
        <f>SUM(Q75:Q77)</f>
        <v>0</v>
      </c>
    </row>
    <row r="79" spans="1:17" ht="16.5" thickBot="1" x14ac:dyDescent="0.3"/>
    <row r="80" spans="1:17" ht="31.5" x14ac:dyDescent="0.25">
      <c r="Q80" s="323" t="s">
        <v>391</v>
      </c>
    </row>
    <row r="81" spans="17:17" ht="16.5" thickBot="1" x14ac:dyDescent="0.3">
      <c r="Q81" s="322">
        <f>E78+I78+M78+Q78</f>
        <v>0</v>
      </c>
    </row>
  </sheetData>
  <mergeCells count="46">
    <mergeCell ref="O73:Q73"/>
    <mergeCell ref="C49:E49"/>
    <mergeCell ref="G49:I49"/>
    <mergeCell ref="K49:M49"/>
    <mergeCell ref="B73:B74"/>
    <mergeCell ref="C73:E73"/>
    <mergeCell ref="G73:I73"/>
    <mergeCell ref="K73:M73"/>
    <mergeCell ref="B59:B60"/>
    <mergeCell ref="C59:E59"/>
    <mergeCell ref="G59:I59"/>
    <mergeCell ref="K59:M59"/>
    <mergeCell ref="O60:Q60"/>
    <mergeCell ref="C60:E60"/>
    <mergeCell ref="G60:I60"/>
    <mergeCell ref="K60:M60"/>
    <mergeCell ref="B31:B32"/>
    <mergeCell ref="C31:E31"/>
    <mergeCell ref="G31:I31"/>
    <mergeCell ref="K31:M31"/>
    <mergeCell ref="C32:E32"/>
    <mergeCell ref="G32:I32"/>
    <mergeCell ref="K32:M32"/>
    <mergeCell ref="A4:C4"/>
    <mergeCell ref="B14:B15"/>
    <mergeCell ref="C14:E14"/>
    <mergeCell ref="G14:I14"/>
    <mergeCell ref="K14:M14"/>
    <mergeCell ref="C15:E15"/>
    <mergeCell ref="G15:I15"/>
    <mergeCell ref="K15:M15"/>
    <mergeCell ref="O14:Q14"/>
    <mergeCell ref="O15:Q15"/>
    <mergeCell ref="O31:Q31"/>
    <mergeCell ref="O32:Q32"/>
    <mergeCell ref="O59:Q59"/>
    <mergeCell ref="O49:Q49"/>
    <mergeCell ref="B45:B46"/>
    <mergeCell ref="C45:E45"/>
    <mergeCell ref="G45:I45"/>
    <mergeCell ref="K45:M45"/>
    <mergeCell ref="O45:Q45"/>
    <mergeCell ref="C46:E46"/>
    <mergeCell ref="G46:I46"/>
    <mergeCell ref="K46:M46"/>
    <mergeCell ref="O46:Q46"/>
  </mergeCell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9AA18D-8AAC-4500-B287-35AEAF3DABF8}">
  <sheetPr>
    <tabColor theme="0"/>
  </sheetPr>
  <dimension ref="A1:Q81"/>
  <sheetViews>
    <sheetView zoomScale="80" zoomScaleNormal="80" workbookViewId="0">
      <pane ySplit="12" topLeftCell="A65" activePane="bottomLeft" state="frozen"/>
      <selection pane="bottomLeft" activeCell="P66" sqref="P66"/>
    </sheetView>
  </sheetViews>
  <sheetFormatPr defaultColWidth="15.85546875" defaultRowHeight="15.75" x14ac:dyDescent="0.25"/>
  <cols>
    <col min="1" max="1" width="3.42578125" style="136" customWidth="1"/>
    <col min="2" max="2" width="49.140625" style="119" customWidth="1"/>
    <col min="3" max="3" width="18.28515625" style="131" bestFit="1" customWidth="1"/>
    <col min="4" max="4" width="12.42578125" style="131" bestFit="1" customWidth="1"/>
    <col min="5" max="5" width="32.140625" style="131" bestFit="1" customWidth="1"/>
    <col min="6" max="6" width="1" style="131" customWidth="1"/>
    <col min="7" max="7" width="14.28515625" style="131" customWidth="1"/>
    <col min="8" max="8" width="14.5703125" style="131" customWidth="1"/>
    <col min="9" max="9" width="34.42578125" style="131" bestFit="1" customWidth="1"/>
    <col min="10" max="10" width="1" style="131" customWidth="1"/>
    <col min="11" max="11" width="16.7109375" style="131" customWidth="1"/>
    <col min="12" max="12" width="16.28515625" style="131" customWidth="1"/>
    <col min="13" max="13" width="34.42578125" style="131" bestFit="1" customWidth="1"/>
    <col min="14" max="14" width="0.85546875" style="131" customWidth="1"/>
    <col min="15" max="15" width="16.7109375" style="131" customWidth="1"/>
    <col min="16" max="16" width="16.28515625" style="131" customWidth="1"/>
    <col min="17" max="17" width="34.42578125" style="131" bestFit="1" customWidth="1"/>
    <col min="18" max="16384" width="15.85546875" style="131"/>
  </cols>
  <sheetData>
    <row r="1" spans="1:17" ht="16.5" thickBot="1" x14ac:dyDescent="0.3">
      <c r="B1" s="321" t="s">
        <v>460</v>
      </c>
      <c r="C1" s="394" t="str">
        <f>'SUB CPIF RATES (ALL)'!C1</f>
        <v xml:space="preserve">NAME </v>
      </c>
      <c r="D1" s="393"/>
    </row>
    <row r="2" spans="1:17" ht="16.5" thickBot="1" x14ac:dyDescent="0.3">
      <c r="B2" s="395" t="s">
        <v>459</v>
      </c>
      <c r="C2" s="396" t="str">
        <f>'SUB CPIF RATES (ALL)'!C2</f>
        <v xml:space="preserve">NAME </v>
      </c>
    </row>
    <row r="3" spans="1:17" ht="16.5" thickBot="1" x14ac:dyDescent="0.3"/>
    <row r="4" spans="1:17" ht="52.5" customHeight="1" thickBot="1" x14ac:dyDescent="0.3">
      <c r="A4" s="466" t="s">
        <v>270</v>
      </c>
      <c r="B4" s="467"/>
      <c r="C4" s="468"/>
      <c r="I4" s="194" t="s">
        <v>84</v>
      </c>
    </row>
    <row r="6" spans="1:17" s="202" customFormat="1" ht="17.25" customHeight="1" x14ac:dyDescent="0.2">
      <c r="A6" s="203"/>
      <c r="B6" s="204" t="s">
        <v>65</v>
      </c>
    </row>
    <row r="7" spans="1:17" s="202" customFormat="1" x14ac:dyDescent="0.25">
      <c r="A7" s="201"/>
      <c r="B7" s="201" t="s">
        <v>441</v>
      </c>
    </row>
    <row r="8" spans="1:17" s="202" customFormat="1" x14ac:dyDescent="0.25">
      <c r="A8" s="201"/>
      <c r="B8" s="201" t="s">
        <v>281</v>
      </c>
    </row>
    <row r="9" spans="1:17" s="202" customFormat="1" x14ac:dyDescent="0.25">
      <c r="A9" s="201"/>
      <c r="B9" s="201" t="s">
        <v>442</v>
      </c>
    </row>
    <row r="10" spans="1:17" s="202" customFormat="1" x14ac:dyDescent="0.25">
      <c r="A10" s="201"/>
      <c r="B10" s="201" t="s">
        <v>463</v>
      </c>
    </row>
    <row r="11" spans="1:17" x14ac:dyDescent="0.25">
      <c r="A11" s="137"/>
      <c r="B11" s="201" t="s">
        <v>464</v>
      </c>
      <c r="C11" s="139"/>
    </row>
    <row r="12" spans="1:17" x14ac:dyDescent="0.25">
      <c r="A12" s="137"/>
      <c r="B12" s="201" t="s">
        <v>392</v>
      </c>
      <c r="C12" s="139"/>
    </row>
    <row r="13" spans="1:17" ht="16.5" thickBot="1" x14ac:dyDescent="0.3"/>
    <row r="14" spans="1:17" ht="16.5" thickBot="1" x14ac:dyDescent="0.3">
      <c r="A14" s="138"/>
      <c r="B14" s="536" t="s">
        <v>393</v>
      </c>
      <c r="C14" s="490" t="s">
        <v>69</v>
      </c>
      <c r="D14" s="491"/>
      <c r="E14" s="492"/>
      <c r="F14" s="96"/>
      <c r="G14" s="490" t="s">
        <v>69</v>
      </c>
      <c r="H14" s="491"/>
      <c r="I14" s="492"/>
      <c r="J14" s="96"/>
      <c r="K14" s="490" t="s">
        <v>69</v>
      </c>
      <c r="L14" s="491"/>
      <c r="M14" s="492"/>
      <c r="N14" s="96"/>
      <c r="O14" s="490" t="s">
        <v>69</v>
      </c>
      <c r="P14" s="491"/>
      <c r="Q14" s="492"/>
    </row>
    <row r="15" spans="1:17" ht="32.25" customHeight="1" thickBot="1" x14ac:dyDescent="0.3">
      <c r="A15" s="138"/>
      <c r="B15" s="537"/>
      <c r="C15" s="520" t="s">
        <v>261</v>
      </c>
      <c r="D15" s="521"/>
      <c r="E15" s="522"/>
      <c r="F15" s="97"/>
      <c r="G15" s="520" t="s">
        <v>262</v>
      </c>
      <c r="H15" s="521"/>
      <c r="I15" s="522"/>
      <c r="J15" s="97"/>
      <c r="K15" s="520" t="s">
        <v>263</v>
      </c>
      <c r="L15" s="521"/>
      <c r="M15" s="522"/>
      <c r="N15" s="97"/>
      <c r="O15" s="520" t="s">
        <v>264</v>
      </c>
      <c r="P15" s="521"/>
      <c r="Q15" s="522"/>
    </row>
    <row r="16" spans="1:17" x14ac:dyDescent="0.25">
      <c r="A16" s="138"/>
      <c r="B16" s="98" t="s">
        <v>46</v>
      </c>
      <c r="C16" s="98" t="s">
        <v>29</v>
      </c>
      <c r="D16" s="99" t="s">
        <v>68</v>
      </c>
      <c r="E16" s="100" t="s">
        <v>74</v>
      </c>
      <c r="F16" s="101"/>
      <c r="G16" s="98" t="s">
        <v>29</v>
      </c>
      <c r="H16" s="99" t="s">
        <v>68</v>
      </c>
      <c r="I16" s="100" t="s">
        <v>74</v>
      </c>
      <c r="J16" s="101"/>
      <c r="K16" s="98" t="s">
        <v>29</v>
      </c>
      <c r="L16" s="99" t="s">
        <v>68</v>
      </c>
      <c r="M16" s="100" t="s">
        <v>74</v>
      </c>
      <c r="N16" s="101"/>
      <c r="O16" s="98" t="s">
        <v>29</v>
      </c>
      <c r="P16" s="99" t="s">
        <v>68</v>
      </c>
      <c r="Q16" s="100" t="s">
        <v>74</v>
      </c>
    </row>
    <row r="17" spans="1:17" ht="30" customHeight="1" thickBot="1" x14ac:dyDescent="0.3">
      <c r="A17" s="138"/>
      <c r="B17" s="148" t="s">
        <v>443</v>
      </c>
      <c r="C17" s="230"/>
      <c r="D17" s="231"/>
      <c r="E17" s="232"/>
      <c r="F17" s="101"/>
      <c r="G17" s="230"/>
      <c r="H17" s="231"/>
      <c r="I17" s="232"/>
      <c r="J17" s="101"/>
      <c r="K17" s="230"/>
      <c r="L17" s="231"/>
      <c r="M17" s="232"/>
      <c r="N17" s="101"/>
      <c r="O17" s="230"/>
      <c r="P17" s="231"/>
      <c r="Q17" s="232"/>
    </row>
    <row r="18" spans="1:17" ht="16.5" thickBot="1" x14ac:dyDescent="0.3">
      <c r="A18" s="138"/>
      <c r="B18" s="239" t="s">
        <v>87</v>
      </c>
      <c r="C18" s="108">
        <f>'SUB CPIF LABOR INPUTS'!D365</f>
        <v>0</v>
      </c>
      <c r="D18" s="150"/>
      <c r="E18" s="109">
        <f>'SUB CPIF LABOR INPUTS'!F365</f>
        <v>0</v>
      </c>
      <c r="F18" s="110"/>
      <c r="G18" s="108">
        <f>'SUB CPIF LABOR INPUTS'!H365</f>
        <v>0</v>
      </c>
      <c r="H18" s="150"/>
      <c r="I18" s="109">
        <f>'SUB CPIF LABOR INPUTS'!J365</f>
        <v>0</v>
      </c>
      <c r="J18" s="110"/>
      <c r="K18" s="108">
        <f>'SUB CPIF LABOR INPUTS'!L365</f>
        <v>0</v>
      </c>
      <c r="L18" s="150"/>
      <c r="M18" s="109">
        <f>'SUB CPIF LABOR INPUTS'!N365</f>
        <v>0</v>
      </c>
      <c r="N18" s="110"/>
      <c r="O18" s="108">
        <f>'SUB CPIF LABOR INPUTS'!P365</f>
        <v>0</v>
      </c>
      <c r="P18" s="150"/>
      <c r="Q18" s="109">
        <f>'SUB CPIF LABOR INPUTS'!R365</f>
        <v>0</v>
      </c>
    </row>
    <row r="19" spans="1:17" x14ac:dyDescent="0.25">
      <c r="A19" s="138"/>
      <c r="B19" s="149"/>
      <c r="C19" s="98" t="s">
        <v>289</v>
      </c>
      <c r="D19" s="99" t="s">
        <v>286</v>
      </c>
      <c r="E19" s="100" t="s">
        <v>288</v>
      </c>
      <c r="F19" s="111"/>
      <c r="G19" s="98" t="s">
        <v>289</v>
      </c>
      <c r="H19" s="99" t="s">
        <v>286</v>
      </c>
      <c r="I19" s="100" t="s">
        <v>288</v>
      </c>
      <c r="J19" s="111"/>
      <c r="K19" s="98" t="s">
        <v>289</v>
      </c>
      <c r="L19" s="99" t="s">
        <v>286</v>
      </c>
      <c r="M19" s="100" t="s">
        <v>288</v>
      </c>
      <c r="N19" s="111"/>
      <c r="O19" s="98" t="s">
        <v>289</v>
      </c>
      <c r="P19" s="99" t="s">
        <v>286</v>
      </c>
      <c r="Q19" s="100" t="s">
        <v>288</v>
      </c>
    </row>
    <row r="20" spans="1:17" ht="64.5" x14ac:dyDescent="0.25">
      <c r="A20" s="138"/>
      <c r="B20" s="261" t="s">
        <v>279</v>
      </c>
      <c r="C20" s="230"/>
      <c r="D20" s="231"/>
      <c r="E20" s="232"/>
      <c r="F20" s="147"/>
      <c r="G20" s="230"/>
      <c r="H20" s="231"/>
      <c r="I20" s="232"/>
      <c r="J20" s="147"/>
      <c r="K20" s="230"/>
      <c r="L20" s="231"/>
      <c r="M20" s="232"/>
      <c r="N20" s="147"/>
      <c r="O20" s="230"/>
      <c r="P20" s="231"/>
      <c r="Q20" s="232"/>
    </row>
    <row r="21" spans="1:17" x14ac:dyDescent="0.25">
      <c r="A21" s="138"/>
      <c r="B21" s="112" t="str">
        <f>'SUB CPIF RATES (ALL)'!B36</f>
        <v>Indirect Labor Category:  [Labor Fringe]</v>
      </c>
      <c r="C21" s="160">
        <f>+E18</f>
        <v>0</v>
      </c>
      <c r="D21" s="188">
        <f>'SUB CPIF RATES (ALL)'!C36</f>
        <v>0</v>
      </c>
      <c r="E21" s="113">
        <f>ROUND(C21*D21,2)</f>
        <v>0</v>
      </c>
      <c r="F21" s="110"/>
      <c r="G21" s="160">
        <f>+I18</f>
        <v>0</v>
      </c>
      <c r="H21" s="188">
        <f>'SUB CPIF RATES (ALL)'!D36</f>
        <v>0</v>
      </c>
      <c r="I21" s="113">
        <f>ROUND(G21*H21,2)</f>
        <v>0</v>
      </c>
      <c r="J21" s="110"/>
      <c r="K21" s="160">
        <f>+M18</f>
        <v>0</v>
      </c>
      <c r="L21" s="188">
        <f>'SUB CPIF RATES (ALL)'!E36</f>
        <v>0</v>
      </c>
      <c r="M21" s="113">
        <f>ROUND(K21*L21,2)</f>
        <v>0</v>
      </c>
      <c r="N21" s="110"/>
      <c r="O21" s="160">
        <f>+Q18</f>
        <v>0</v>
      </c>
      <c r="P21" s="188">
        <f>'SUB CPIF RATES (ALL)'!F36</f>
        <v>0</v>
      </c>
      <c r="Q21" s="113">
        <f>ROUND(O21*P21,2)</f>
        <v>0</v>
      </c>
    </row>
    <row r="22" spans="1:17" x14ac:dyDescent="0.25">
      <c r="A22" s="138"/>
      <c r="B22" s="112" t="str">
        <f>'SUB CPIF RATES (ALL)'!B37</f>
        <v>Indirect Labor Category: [Labor Overhead]</v>
      </c>
      <c r="C22" s="160">
        <f>+C21+E21</f>
        <v>0</v>
      </c>
      <c r="D22" s="188">
        <f>'SUB CPIF RATES (ALL)'!C37</f>
        <v>0</v>
      </c>
      <c r="E22" s="113">
        <f>ROUND(C22*D22,2)</f>
        <v>0</v>
      </c>
      <c r="F22" s="110"/>
      <c r="G22" s="160">
        <f>+G21+I21</f>
        <v>0</v>
      </c>
      <c r="H22" s="188">
        <f>'SUB CPIF RATES (ALL)'!D37</f>
        <v>0</v>
      </c>
      <c r="I22" s="113">
        <f>ROUND(G22*H22,2)</f>
        <v>0</v>
      </c>
      <c r="J22" s="110"/>
      <c r="K22" s="160">
        <f>+K21+M21</f>
        <v>0</v>
      </c>
      <c r="L22" s="188">
        <f>'SUB CPIF RATES (ALL)'!E37</f>
        <v>0</v>
      </c>
      <c r="M22" s="113">
        <f>ROUND(K22*L22,2)</f>
        <v>0</v>
      </c>
      <c r="N22" s="110"/>
      <c r="O22" s="160">
        <f>+O21+Q21</f>
        <v>0</v>
      </c>
      <c r="P22" s="188">
        <f>'SUB CPIF RATES (ALL)'!F37</f>
        <v>0</v>
      </c>
      <c r="Q22" s="113">
        <f>ROUND(O22*P22,2)</f>
        <v>0</v>
      </c>
    </row>
    <row r="23" spans="1:17" x14ac:dyDescent="0.25">
      <c r="A23" s="138"/>
      <c r="B23" s="112" t="str">
        <f>'SUB CPIF RATES (ALL)'!B38</f>
        <v>Indirect Labor Category: [G&amp;A]</v>
      </c>
      <c r="C23" s="160">
        <f>+C22+E22</f>
        <v>0</v>
      </c>
      <c r="D23" s="188">
        <f>'SUB CPIF RATES (ALL)'!C38</f>
        <v>0</v>
      </c>
      <c r="E23" s="113">
        <f>ROUND(C23*D23,2)</f>
        <v>0</v>
      </c>
      <c r="F23" s="110"/>
      <c r="G23" s="160">
        <f>+G22+I22</f>
        <v>0</v>
      </c>
      <c r="H23" s="188">
        <f>'SUB CPIF RATES (ALL)'!D38</f>
        <v>0</v>
      </c>
      <c r="I23" s="113">
        <f>ROUND(G23*H23,2)</f>
        <v>0</v>
      </c>
      <c r="J23" s="110"/>
      <c r="K23" s="160">
        <f>+K22+M22</f>
        <v>0</v>
      </c>
      <c r="L23" s="188">
        <f>'SUB CPIF RATES (ALL)'!E38</f>
        <v>0</v>
      </c>
      <c r="M23" s="113">
        <f>ROUND(K23*L23,2)</f>
        <v>0</v>
      </c>
      <c r="N23" s="110"/>
      <c r="O23" s="160">
        <f>+O22+Q22</f>
        <v>0</v>
      </c>
      <c r="P23" s="188">
        <f>'SUB CPIF RATES (ALL)'!F38</f>
        <v>0</v>
      </c>
      <c r="Q23" s="113">
        <f>ROUND(O23*P23,2)</f>
        <v>0</v>
      </c>
    </row>
    <row r="24" spans="1:17" x14ac:dyDescent="0.25">
      <c r="A24" s="138"/>
      <c r="B24" s="112" t="str">
        <f>'SUB CPIF RATES (ALL)'!B39</f>
        <v>Indirect Labor Category: [FCCOM]</v>
      </c>
      <c r="C24" s="160">
        <f>C23+E23</f>
        <v>0</v>
      </c>
      <c r="D24" s="188">
        <f>'SUB CPIF RATES (ALL)'!C39</f>
        <v>0</v>
      </c>
      <c r="E24" s="113">
        <f>ROUND(C24*D24,2)</f>
        <v>0</v>
      </c>
      <c r="F24" s="110"/>
      <c r="G24" s="160">
        <f>G23+I23</f>
        <v>0</v>
      </c>
      <c r="H24" s="188">
        <f>'SUB CPIF RATES (ALL)'!D39</f>
        <v>0</v>
      </c>
      <c r="I24" s="113">
        <f>ROUND(G24*H24,2)</f>
        <v>0</v>
      </c>
      <c r="J24" s="110"/>
      <c r="K24" s="160">
        <f>K23+M23</f>
        <v>0</v>
      </c>
      <c r="L24" s="188">
        <f>'SUB CPIF RATES (ALL)'!E39</f>
        <v>0</v>
      </c>
      <c r="M24" s="113">
        <f>ROUND(K24*L24,2)</f>
        <v>0</v>
      </c>
      <c r="N24" s="110"/>
      <c r="O24" s="160">
        <f>O23+Q23</f>
        <v>0</v>
      </c>
      <c r="P24" s="188">
        <f>'SUB CPIF RATES (ALL)'!F39</f>
        <v>0</v>
      </c>
      <c r="Q24" s="113">
        <f>ROUND(O24*P24,2)</f>
        <v>0</v>
      </c>
    </row>
    <row r="25" spans="1:17" x14ac:dyDescent="0.25">
      <c r="A25" s="138"/>
      <c r="B25" s="112" t="str">
        <f>'SUB CPIF RATES (ALL)'!B40</f>
        <v>Indirect Labor Category: [Target Fee]</v>
      </c>
      <c r="C25" s="160">
        <f>+C23+E23</f>
        <v>0</v>
      </c>
      <c r="D25" s="188">
        <f>'SUB CPIF RATES (ALL)'!C40</f>
        <v>0</v>
      </c>
      <c r="E25" s="113">
        <f>ROUND(C25*D25,2)</f>
        <v>0</v>
      </c>
      <c r="F25" s="110"/>
      <c r="G25" s="160">
        <f>+G23+I23</f>
        <v>0</v>
      </c>
      <c r="H25" s="188">
        <f>'SUB CPIF RATES (ALL)'!D40</f>
        <v>0</v>
      </c>
      <c r="I25" s="113">
        <f>ROUND(G25*H25,2)</f>
        <v>0</v>
      </c>
      <c r="J25" s="110"/>
      <c r="K25" s="160">
        <f>+K23+M23</f>
        <v>0</v>
      </c>
      <c r="L25" s="188">
        <f>'SUB CPIF RATES (ALL)'!E40</f>
        <v>0</v>
      </c>
      <c r="M25" s="113">
        <f>ROUND(K25*L25,2)</f>
        <v>0</v>
      </c>
      <c r="N25" s="110"/>
      <c r="O25" s="160">
        <f>+O23+Q23</f>
        <v>0</v>
      </c>
      <c r="P25" s="188">
        <f>'SUB CPIF RATES (ALL)'!F40</f>
        <v>0</v>
      </c>
      <c r="Q25" s="113">
        <f>ROUND(O25*P25,2)</f>
        <v>0</v>
      </c>
    </row>
    <row r="26" spans="1:17" x14ac:dyDescent="0.25">
      <c r="A26" s="138"/>
      <c r="B26" s="205" t="s">
        <v>185</v>
      </c>
      <c r="C26" s="155"/>
      <c r="D26" s="156"/>
      <c r="E26" s="175">
        <f>ROUND(SUM(E18,E21,E22,E23),2)</f>
        <v>0</v>
      </c>
      <c r="F26" s="110"/>
      <c r="G26" s="151"/>
      <c r="H26" s="152"/>
      <c r="I26" s="175">
        <f>ROUND(SUM(I18,I21,I22,I23),2)</f>
        <v>0</v>
      </c>
      <c r="J26" s="110"/>
      <c r="K26" s="151"/>
      <c r="L26" s="152"/>
      <c r="M26" s="175">
        <f>ROUND(SUM(M18,M21,M22,M23),2)</f>
        <v>0</v>
      </c>
      <c r="N26" s="110"/>
      <c r="O26" s="151"/>
      <c r="P26" s="152"/>
      <c r="Q26" s="175">
        <f>ROUND(SUM(Q18,Q21,Q22,Q23),2)</f>
        <v>0</v>
      </c>
    </row>
    <row r="27" spans="1:17" x14ac:dyDescent="0.25">
      <c r="A27" s="138"/>
      <c r="B27" s="205" t="s">
        <v>72</v>
      </c>
      <c r="C27" s="155"/>
      <c r="D27" s="156"/>
      <c r="E27" s="175">
        <f>ROUND(E24,2)</f>
        <v>0</v>
      </c>
      <c r="F27" s="110"/>
      <c r="G27" s="151"/>
      <c r="H27" s="152"/>
      <c r="I27" s="175">
        <f>ROUND(I24,2)</f>
        <v>0</v>
      </c>
      <c r="J27" s="110"/>
      <c r="K27" s="151"/>
      <c r="L27" s="152"/>
      <c r="M27" s="175">
        <f>ROUND(M24,2)</f>
        <v>0</v>
      </c>
      <c r="N27" s="110"/>
      <c r="O27" s="151"/>
      <c r="P27" s="152"/>
      <c r="Q27" s="175">
        <f>ROUND(Q24,2)</f>
        <v>0</v>
      </c>
    </row>
    <row r="28" spans="1:17" x14ac:dyDescent="0.25">
      <c r="A28" s="138"/>
      <c r="B28" s="205" t="s">
        <v>71</v>
      </c>
      <c r="C28" s="155"/>
      <c r="D28" s="156"/>
      <c r="E28" s="190">
        <f>ROUND(E25,2)</f>
        <v>0</v>
      </c>
      <c r="F28" s="115"/>
      <c r="G28" s="151"/>
      <c r="H28" s="152"/>
      <c r="I28" s="190">
        <f>ROUND(I25,2)</f>
        <v>0</v>
      </c>
      <c r="J28" s="115"/>
      <c r="K28" s="151"/>
      <c r="L28" s="152"/>
      <c r="M28" s="190">
        <f>ROUND(M25,2)</f>
        <v>0</v>
      </c>
      <c r="N28" s="115"/>
      <c r="O28" s="151"/>
      <c r="P28" s="152"/>
      <c r="Q28" s="190">
        <f>ROUND(Q25,2)</f>
        <v>0</v>
      </c>
    </row>
    <row r="29" spans="1:17" ht="16.5" thickBot="1" x14ac:dyDescent="0.3">
      <c r="A29" s="138"/>
      <c r="B29" s="206" t="s">
        <v>73</v>
      </c>
      <c r="C29" s="157"/>
      <c r="D29" s="158"/>
      <c r="E29" s="191">
        <f>ROUND(SUM(E26:E28),2)</f>
        <v>0</v>
      </c>
      <c r="F29" s="116"/>
      <c r="G29" s="153"/>
      <c r="H29" s="154"/>
      <c r="I29" s="191">
        <f>ROUND(SUM(I26:I28),2)</f>
        <v>0</v>
      </c>
      <c r="J29" s="116"/>
      <c r="K29" s="153"/>
      <c r="L29" s="154"/>
      <c r="M29" s="191">
        <f>ROUND(SUM(M26:M28),2)</f>
        <v>0</v>
      </c>
      <c r="N29" s="116"/>
      <c r="O29" s="153"/>
      <c r="P29" s="154"/>
      <c r="Q29" s="191">
        <f>ROUND(SUM(Q26:Q28),2)</f>
        <v>0</v>
      </c>
    </row>
    <row r="30" spans="1:17" ht="16.5" thickBot="1" x14ac:dyDescent="0.3">
      <c r="A30" s="138"/>
      <c r="B30" s="117"/>
      <c r="C30" s="118"/>
      <c r="D30" s="118"/>
      <c r="E30" s="199"/>
      <c r="F30" s="199"/>
      <c r="G30" s="199"/>
      <c r="H30" s="199"/>
      <c r="I30" s="199"/>
      <c r="J30" s="199"/>
      <c r="K30" s="199"/>
      <c r="L30" s="118"/>
      <c r="M30" s="118"/>
      <c r="N30" s="110"/>
      <c r="O30" s="199"/>
      <c r="P30" s="118"/>
      <c r="Q30" s="118"/>
    </row>
    <row r="31" spans="1:17" ht="16.5" customHeight="1" thickBot="1" x14ac:dyDescent="0.3">
      <c r="A31" s="138"/>
      <c r="B31" s="523" t="str">
        <f>B14</f>
        <v>CLIN 0003 (CPIF)                                                    TASK 1.03 MATERIAL - ANTICIPATED REQUIRED GFE</v>
      </c>
      <c r="C31" s="490" t="s">
        <v>80</v>
      </c>
      <c r="D31" s="491"/>
      <c r="E31" s="492"/>
      <c r="F31" s="120"/>
      <c r="G31" s="490" t="s">
        <v>80</v>
      </c>
      <c r="H31" s="491"/>
      <c r="I31" s="492"/>
      <c r="J31" s="120"/>
      <c r="K31" s="490" t="s">
        <v>80</v>
      </c>
      <c r="L31" s="491"/>
      <c r="M31" s="492"/>
      <c r="N31" s="120"/>
      <c r="O31" s="490" t="s">
        <v>80</v>
      </c>
      <c r="P31" s="491"/>
      <c r="Q31" s="492"/>
    </row>
    <row r="32" spans="1:17" ht="32.25" customHeight="1" thickBot="1" x14ac:dyDescent="0.3">
      <c r="A32" s="138"/>
      <c r="B32" s="524"/>
      <c r="C32" s="487" t="str">
        <f>C15</f>
        <v>CLIN 0003 - Basic Period (Year 1)</v>
      </c>
      <c r="D32" s="488"/>
      <c r="E32" s="489"/>
      <c r="F32" s="121"/>
      <c r="G32" s="487" t="str">
        <f>G15</f>
        <v>CLIN 0003 - Basic Period (Year 2)</v>
      </c>
      <c r="H32" s="488"/>
      <c r="I32" s="489"/>
      <c r="J32" s="121"/>
      <c r="K32" s="487" t="str">
        <f>K15</f>
        <v>CLIN 0003 - Basic Period (Year 3)</v>
      </c>
      <c r="L32" s="488"/>
      <c r="M32" s="489"/>
      <c r="N32" s="121"/>
      <c r="O32" s="487" t="str">
        <f>O15</f>
        <v>CLIN 0003 - Basic Period (Year 4)</v>
      </c>
      <c r="P32" s="488"/>
      <c r="Q32" s="489"/>
    </row>
    <row r="33" spans="1:17" x14ac:dyDescent="0.25">
      <c r="A33" s="138"/>
      <c r="B33" s="192"/>
      <c r="C33" s="98" t="s">
        <v>289</v>
      </c>
      <c r="D33" s="99" t="s">
        <v>286</v>
      </c>
      <c r="E33" s="100" t="s">
        <v>88</v>
      </c>
      <c r="F33" s="111"/>
      <c r="G33" s="98" t="s">
        <v>289</v>
      </c>
      <c r="H33" s="99" t="s">
        <v>286</v>
      </c>
      <c r="I33" s="100" t="s">
        <v>88</v>
      </c>
      <c r="J33" s="111"/>
      <c r="K33" s="98" t="s">
        <v>289</v>
      </c>
      <c r="L33" s="99" t="s">
        <v>286</v>
      </c>
      <c r="M33" s="100" t="s">
        <v>88</v>
      </c>
      <c r="N33" s="111"/>
      <c r="O33" s="98" t="s">
        <v>289</v>
      </c>
      <c r="P33" s="99" t="s">
        <v>286</v>
      </c>
      <c r="Q33" s="100" t="s">
        <v>88</v>
      </c>
    </row>
    <row r="34" spans="1:17" ht="51.75" x14ac:dyDescent="0.25">
      <c r="A34" s="138"/>
      <c r="B34" s="240" t="s">
        <v>445</v>
      </c>
      <c r="C34" s="176"/>
      <c r="D34" s="177"/>
      <c r="E34" s="310">
        <f>'SUB CPIF TOTAL MATERIAL'!E32</f>
        <v>0</v>
      </c>
      <c r="F34" s="110"/>
      <c r="G34" s="176"/>
      <c r="H34" s="177"/>
      <c r="I34" s="310">
        <f>'SUB CPIF TOTAL MATERIAL'!G32</f>
        <v>0</v>
      </c>
      <c r="J34" s="110"/>
      <c r="K34" s="176"/>
      <c r="L34" s="177"/>
      <c r="M34" s="310">
        <f>'SUB CPIF TOTAL MATERIAL'!I32</f>
        <v>0</v>
      </c>
      <c r="N34" s="110"/>
      <c r="O34" s="176"/>
      <c r="P34" s="177"/>
      <c r="Q34" s="310">
        <f>'SUB CPIF TOTAL MATERIAL'!K32</f>
        <v>0</v>
      </c>
    </row>
    <row r="35" spans="1:17" ht="67.5" customHeight="1" x14ac:dyDescent="0.25">
      <c r="A35" s="138"/>
      <c r="B35" s="261" t="s">
        <v>446</v>
      </c>
      <c r="C35" s="315"/>
      <c r="D35" s="316"/>
      <c r="E35" s="310"/>
      <c r="F35" s="110"/>
      <c r="G35" s="315"/>
      <c r="H35" s="316"/>
      <c r="I35" s="310"/>
      <c r="J35" s="110"/>
      <c r="K35" s="315"/>
      <c r="L35" s="316"/>
      <c r="M35" s="310"/>
      <c r="N35" s="110"/>
      <c r="O35" s="315"/>
      <c r="P35" s="316"/>
      <c r="Q35" s="310"/>
    </row>
    <row r="36" spans="1:17" x14ac:dyDescent="0.25">
      <c r="A36" s="138"/>
      <c r="B36" s="112" t="str">
        <f>'SUB CPIF RATES (ALL)'!B53</f>
        <v>Indirect Category: [Material Overhead]</v>
      </c>
      <c r="C36" s="160">
        <f>+E34</f>
        <v>0</v>
      </c>
      <c r="D36" s="188">
        <f>'SUB CPIF RATES (ALL)'!C53</f>
        <v>0</v>
      </c>
      <c r="E36" s="113">
        <f>ROUND(C36*D36,2)</f>
        <v>0</v>
      </c>
      <c r="F36" s="123"/>
      <c r="G36" s="160">
        <f>+I34</f>
        <v>0</v>
      </c>
      <c r="H36" s="188">
        <f>'SUB CPIF RATES (ALL)'!D53</f>
        <v>0</v>
      </c>
      <c r="I36" s="113">
        <f>ROUND(G36*H36,2)</f>
        <v>0</v>
      </c>
      <c r="J36" s="123"/>
      <c r="K36" s="160">
        <f>+M34</f>
        <v>0</v>
      </c>
      <c r="L36" s="188">
        <f>'SUB CPIF RATES (ALL)'!E53</f>
        <v>0</v>
      </c>
      <c r="M36" s="113">
        <f>ROUND(K36*L36,2)</f>
        <v>0</v>
      </c>
      <c r="N36" s="123"/>
      <c r="O36" s="160">
        <f>+Q34</f>
        <v>0</v>
      </c>
      <c r="P36" s="188">
        <f>'SUB CPIF RATES (ALL)'!F53</f>
        <v>0</v>
      </c>
      <c r="Q36" s="113">
        <f>ROUND(O36*P36,2)</f>
        <v>0</v>
      </c>
    </row>
    <row r="37" spans="1:17" x14ac:dyDescent="0.25">
      <c r="A37" s="138"/>
      <c r="B37" s="112" t="str">
        <f>'SUB CPIF RATES (ALL)'!B54</f>
        <v>Indirect Category: [G&amp;A]</v>
      </c>
      <c r="C37" s="160">
        <f>+C36+E36</f>
        <v>0</v>
      </c>
      <c r="D37" s="188">
        <f>'SUB CPIF RATES (ALL)'!C54</f>
        <v>0</v>
      </c>
      <c r="E37" s="113">
        <f>ROUND(C37*D37,2)</f>
        <v>0</v>
      </c>
      <c r="F37" s="123"/>
      <c r="G37" s="160">
        <f>+G36+I36</f>
        <v>0</v>
      </c>
      <c r="H37" s="188">
        <f>'SUB CPIF RATES (ALL)'!D54</f>
        <v>0</v>
      </c>
      <c r="I37" s="113">
        <f>ROUND(G37*H37,2)</f>
        <v>0</v>
      </c>
      <c r="J37" s="123"/>
      <c r="K37" s="160">
        <f>+K36+M36</f>
        <v>0</v>
      </c>
      <c r="L37" s="188">
        <f>'SUB CPIF RATES (ALL)'!E54</f>
        <v>0</v>
      </c>
      <c r="M37" s="113">
        <f>ROUND(K37*L37,2)</f>
        <v>0</v>
      </c>
      <c r="N37" s="123"/>
      <c r="O37" s="160">
        <f>+O36+Q36</f>
        <v>0</v>
      </c>
      <c r="P37" s="188">
        <f>'SUB CPIF RATES (ALL)'!F54</f>
        <v>0</v>
      </c>
      <c r="Q37" s="113">
        <f>ROUND(O37*P37,2)</f>
        <v>0</v>
      </c>
    </row>
    <row r="38" spans="1:17" x14ac:dyDescent="0.25">
      <c r="A38" s="138"/>
      <c r="B38" s="112" t="str">
        <f>'SUB CPIF RATES (ALL)'!B55</f>
        <v>Indirect Category: [FCCOM]</v>
      </c>
      <c r="C38" s="160">
        <f>C37+E37</f>
        <v>0</v>
      </c>
      <c r="D38" s="188">
        <f>'SUB CPIF RATES (ALL)'!C55</f>
        <v>0</v>
      </c>
      <c r="E38" s="113">
        <f>ROUND(C38*D38,2)</f>
        <v>0</v>
      </c>
      <c r="F38" s="110"/>
      <c r="G38" s="160">
        <f>G37+I37</f>
        <v>0</v>
      </c>
      <c r="H38" s="188">
        <f>'SUB CPIF RATES (ALL)'!D55</f>
        <v>0</v>
      </c>
      <c r="I38" s="113">
        <f>ROUND(G38*H38,2)</f>
        <v>0</v>
      </c>
      <c r="J38" s="110"/>
      <c r="K38" s="160">
        <f>K37+M37</f>
        <v>0</v>
      </c>
      <c r="L38" s="188">
        <f>'SUB CPIF RATES (ALL)'!E55</f>
        <v>0</v>
      </c>
      <c r="M38" s="113">
        <f>ROUND(K38*L38,2)</f>
        <v>0</v>
      </c>
      <c r="N38" s="110"/>
      <c r="O38" s="160">
        <f>O37+Q37</f>
        <v>0</v>
      </c>
      <c r="P38" s="188">
        <f>'SUB CPIF RATES (ALL)'!F55</f>
        <v>0</v>
      </c>
      <c r="Q38" s="113">
        <f>ROUND(O38*P38,2)</f>
        <v>0</v>
      </c>
    </row>
    <row r="39" spans="1:17" x14ac:dyDescent="0.25">
      <c r="A39" s="138"/>
      <c r="B39" s="112" t="str">
        <f>'SUB CPIF RATES (ALL)'!B56</f>
        <v>Indirect Category: [Target Fee]</v>
      </c>
      <c r="C39" s="160">
        <f>+C37+E37</f>
        <v>0</v>
      </c>
      <c r="D39" s="188">
        <f>'SUB CPIF RATES (ALL)'!C56</f>
        <v>0</v>
      </c>
      <c r="E39" s="113">
        <f>ROUND(C39*D39,2)</f>
        <v>0</v>
      </c>
      <c r="F39" s="110"/>
      <c r="G39" s="160">
        <f>+G37+I37</f>
        <v>0</v>
      </c>
      <c r="H39" s="188">
        <f>'SUB CPIF RATES (ALL)'!D56</f>
        <v>0</v>
      </c>
      <c r="I39" s="113">
        <f>ROUND(G39*H39,2)</f>
        <v>0</v>
      </c>
      <c r="J39" s="110"/>
      <c r="K39" s="160">
        <f>+K37+M37</f>
        <v>0</v>
      </c>
      <c r="L39" s="188">
        <f>'SUB CPIF RATES (ALL)'!E56</f>
        <v>0</v>
      </c>
      <c r="M39" s="113">
        <f>ROUND(K39*L39,2)</f>
        <v>0</v>
      </c>
      <c r="N39" s="110"/>
      <c r="O39" s="160">
        <f>+O37+Q37</f>
        <v>0</v>
      </c>
      <c r="P39" s="188">
        <f>'SUB CPIF RATES (ALL)'!F56</f>
        <v>0</v>
      </c>
      <c r="Q39" s="113">
        <f>ROUND(O39*P39,2)</f>
        <v>0</v>
      </c>
    </row>
    <row r="40" spans="1:17" x14ac:dyDescent="0.25">
      <c r="A40" s="138"/>
      <c r="B40" s="186" t="s">
        <v>186</v>
      </c>
      <c r="C40" s="178"/>
      <c r="D40" s="179"/>
      <c r="E40" s="113">
        <f>+ROUND(SUM(E34:E37),2)</f>
        <v>0</v>
      </c>
      <c r="F40" s="110"/>
      <c r="G40" s="178"/>
      <c r="H40" s="179"/>
      <c r="I40" s="113">
        <f>+ROUND(SUM(I34:I37),2)</f>
        <v>0</v>
      </c>
      <c r="J40" s="110"/>
      <c r="K40" s="178"/>
      <c r="L40" s="179"/>
      <c r="M40" s="113">
        <f>+ROUND(SUM(M34:M37),2)</f>
        <v>0</v>
      </c>
      <c r="N40" s="110"/>
      <c r="O40" s="178"/>
      <c r="P40" s="179"/>
      <c r="Q40" s="113">
        <f>+ROUND(SUM(Q34:Q37),2)</f>
        <v>0</v>
      </c>
    </row>
    <row r="41" spans="1:17" x14ac:dyDescent="0.25">
      <c r="A41" s="138"/>
      <c r="B41" s="186" t="s">
        <v>63</v>
      </c>
      <c r="C41" s="176"/>
      <c r="D41" s="180"/>
      <c r="E41" s="113">
        <f>+ROUND(E38,2)</f>
        <v>0</v>
      </c>
      <c r="F41" s="110"/>
      <c r="G41" s="176"/>
      <c r="H41" s="180"/>
      <c r="I41" s="113">
        <f>+ROUND(I38,2)</f>
        <v>0</v>
      </c>
      <c r="J41" s="110"/>
      <c r="K41" s="176"/>
      <c r="L41" s="180"/>
      <c r="M41" s="113">
        <f>+ROUND(M38,2)</f>
        <v>0</v>
      </c>
      <c r="N41" s="110"/>
      <c r="O41" s="176"/>
      <c r="P41" s="180"/>
      <c r="Q41" s="113">
        <f>+ROUND(Q38,2)</f>
        <v>0</v>
      </c>
    </row>
    <row r="42" spans="1:17" x14ac:dyDescent="0.2">
      <c r="B42" s="186" t="s">
        <v>71</v>
      </c>
      <c r="C42" s="176"/>
      <c r="D42" s="180"/>
      <c r="E42" s="127">
        <f>+ROUND(E39,2)</f>
        <v>0</v>
      </c>
      <c r="F42" s="128"/>
      <c r="G42" s="176"/>
      <c r="H42" s="180"/>
      <c r="I42" s="127">
        <f>+ROUND(I39,2)</f>
        <v>0</v>
      </c>
      <c r="J42" s="128"/>
      <c r="K42" s="176"/>
      <c r="L42" s="180"/>
      <c r="M42" s="127">
        <f>+ROUND(M39,2)</f>
        <v>0</v>
      </c>
      <c r="N42" s="128"/>
      <c r="O42" s="176"/>
      <c r="P42" s="180"/>
      <c r="Q42" s="127">
        <f>+ROUND(Q39,2)</f>
        <v>0</v>
      </c>
    </row>
    <row r="43" spans="1:17" ht="16.5" thickBot="1" x14ac:dyDescent="0.25">
      <c r="B43" s="187" t="s">
        <v>173</v>
      </c>
      <c r="C43" s="181"/>
      <c r="D43" s="182"/>
      <c r="E43" s="105">
        <f>ROUND(SUM(E40:E42),2)</f>
        <v>0</v>
      </c>
      <c r="F43" s="106"/>
      <c r="G43" s="181"/>
      <c r="H43" s="182"/>
      <c r="I43" s="105">
        <f>ROUND(SUM(I40:I42),2)</f>
        <v>0</v>
      </c>
      <c r="J43" s="106"/>
      <c r="K43" s="181"/>
      <c r="L43" s="182"/>
      <c r="M43" s="105">
        <f>ROUND(SUM(M40:M42),2)</f>
        <v>0</v>
      </c>
      <c r="N43" s="106"/>
      <c r="O43" s="181"/>
      <c r="P43" s="182"/>
      <c r="Q43" s="105">
        <f>ROUND(SUM(Q40:Q42),2)</f>
        <v>0</v>
      </c>
    </row>
    <row r="44" spans="1:17" ht="16.5" thickBot="1" x14ac:dyDescent="0.25">
      <c r="B44" s="117"/>
      <c r="E44" s="194"/>
      <c r="F44" s="194"/>
      <c r="G44" s="194"/>
      <c r="H44" s="194"/>
      <c r="I44" s="194"/>
      <c r="J44" s="194"/>
      <c r="K44" s="194"/>
      <c r="N44" s="132"/>
      <c r="O44" s="194"/>
    </row>
    <row r="45" spans="1:17" ht="16.5" thickBot="1" x14ac:dyDescent="0.3">
      <c r="B45" s="523" t="str">
        <f>B14</f>
        <v>CLIN 0003 (CPIF)                                                    TASK 1.03 MATERIAL - ANTICIPATED REQUIRED GFE</v>
      </c>
      <c r="C45" s="490" t="s">
        <v>212</v>
      </c>
      <c r="D45" s="491"/>
      <c r="E45" s="492"/>
      <c r="F45" s="120"/>
      <c r="G45" s="490" t="s">
        <v>212</v>
      </c>
      <c r="H45" s="491"/>
      <c r="I45" s="492"/>
      <c r="J45" s="120"/>
      <c r="K45" s="490" t="s">
        <v>212</v>
      </c>
      <c r="L45" s="491"/>
      <c r="M45" s="492"/>
      <c r="N45" s="120"/>
      <c r="O45" s="490" t="s">
        <v>212</v>
      </c>
      <c r="P45" s="491"/>
      <c r="Q45" s="492"/>
    </row>
    <row r="46" spans="1:17" ht="27.75" customHeight="1" thickBot="1" x14ac:dyDescent="0.3">
      <c r="B46" s="524"/>
      <c r="C46" s="520" t="str">
        <f>C32</f>
        <v>CLIN 0003 - Basic Period (Year 1)</v>
      </c>
      <c r="D46" s="521"/>
      <c r="E46" s="522"/>
      <c r="F46" s="121"/>
      <c r="G46" s="520" t="str">
        <f>G32</f>
        <v>CLIN 0003 - Basic Period (Year 2)</v>
      </c>
      <c r="H46" s="521"/>
      <c r="I46" s="522"/>
      <c r="J46" s="121"/>
      <c r="K46" s="520" t="str">
        <f>K32</f>
        <v>CLIN 0003 - Basic Period (Year 3)</v>
      </c>
      <c r="L46" s="521"/>
      <c r="M46" s="522"/>
      <c r="N46" s="121"/>
      <c r="O46" s="520" t="str">
        <f>O32</f>
        <v>CLIN 0003 - Basic Period (Year 4)</v>
      </c>
      <c r="P46" s="521"/>
      <c r="Q46" s="522"/>
    </row>
    <row r="47" spans="1:17" x14ac:dyDescent="0.25">
      <c r="B47" s="193"/>
      <c r="C47" s="98" t="s">
        <v>289</v>
      </c>
      <c r="D47" s="99" t="s">
        <v>286</v>
      </c>
      <c r="E47" s="100" t="s">
        <v>287</v>
      </c>
      <c r="F47" s="111"/>
      <c r="G47" s="98" t="s">
        <v>289</v>
      </c>
      <c r="H47" s="99" t="s">
        <v>286</v>
      </c>
      <c r="I47" s="100" t="s">
        <v>287</v>
      </c>
      <c r="J47" s="111"/>
      <c r="K47" s="98" t="s">
        <v>289</v>
      </c>
      <c r="L47" s="99" t="s">
        <v>286</v>
      </c>
      <c r="M47" s="100" t="s">
        <v>287</v>
      </c>
      <c r="N47" s="111"/>
      <c r="O47" s="98" t="s">
        <v>289</v>
      </c>
      <c r="P47" s="99" t="s">
        <v>286</v>
      </c>
      <c r="Q47" s="100" t="s">
        <v>287</v>
      </c>
    </row>
    <row r="48" spans="1:17" ht="25.5" x14ac:dyDescent="0.2">
      <c r="B48" s="240" t="s">
        <v>447</v>
      </c>
      <c r="C48" s="226"/>
      <c r="D48" s="226"/>
      <c r="E48" s="262">
        <f>'SUB CPIF TOTAL SUB'!E32</f>
        <v>0</v>
      </c>
      <c r="F48" s="229"/>
      <c r="G48" s="176"/>
      <c r="H48" s="226"/>
      <c r="I48" s="262">
        <f>'SUB CPIF TOTAL SUB'!G32</f>
        <v>0</v>
      </c>
      <c r="J48" s="229"/>
      <c r="K48" s="176"/>
      <c r="L48" s="226"/>
      <c r="M48" s="262">
        <f>'SUB CPIF TOTAL SUB'!I32</f>
        <v>0</v>
      </c>
      <c r="N48" s="110"/>
      <c r="O48" s="176"/>
      <c r="P48" s="226"/>
      <c r="Q48" s="262">
        <f>'SUB CPIF TOTAL SUB'!K32</f>
        <v>0</v>
      </c>
    </row>
    <row r="49" spans="1:17" ht="76.5" x14ac:dyDescent="0.2">
      <c r="B49" s="261" t="s">
        <v>448</v>
      </c>
      <c r="C49" s="527" t="s">
        <v>1</v>
      </c>
      <c r="D49" s="528"/>
      <c r="E49" s="529"/>
      <c r="F49" s="123"/>
      <c r="G49" s="530"/>
      <c r="H49" s="528"/>
      <c r="I49" s="529"/>
      <c r="J49" s="123"/>
      <c r="K49" s="530"/>
      <c r="L49" s="528"/>
      <c r="M49" s="529"/>
      <c r="N49" s="123"/>
      <c r="O49" s="530"/>
      <c r="P49" s="528"/>
      <c r="Q49" s="529"/>
    </row>
    <row r="50" spans="1:17" x14ac:dyDescent="0.2">
      <c r="B50" s="228" t="str">
        <f>'SUB CPIF RATES (ALL)'!B45</f>
        <v>Indirect Category: [Overhead]</v>
      </c>
      <c r="C50" s="227">
        <f>E48</f>
        <v>0</v>
      </c>
      <c r="D50" s="188">
        <f>'SUB CPIF RATES (ALL)'!C45</f>
        <v>0</v>
      </c>
      <c r="E50" s="113">
        <f>ROUND(C50*D50,2)</f>
        <v>0</v>
      </c>
      <c r="F50" s="123"/>
      <c r="G50" s="160">
        <f>I48</f>
        <v>0</v>
      </c>
      <c r="H50" s="188">
        <f>'SUB CPIF RATES (ALL)'!D45</f>
        <v>0</v>
      </c>
      <c r="I50" s="113">
        <f>ROUND(G50*H50,2)</f>
        <v>0</v>
      </c>
      <c r="J50" s="123"/>
      <c r="K50" s="160">
        <f>M48</f>
        <v>0</v>
      </c>
      <c r="L50" s="188">
        <f>'SUB CPIF RATES (ALL)'!E45</f>
        <v>0</v>
      </c>
      <c r="M50" s="113">
        <f>ROUND(K50*L50,2)</f>
        <v>0</v>
      </c>
      <c r="N50" s="123"/>
      <c r="O50" s="160">
        <f>Q48</f>
        <v>0</v>
      </c>
      <c r="P50" s="188">
        <f>'SUB CPIF RATES (ALL)'!F45</f>
        <v>0</v>
      </c>
      <c r="Q50" s="113">
        <f>ROUND(O50*P50,2)</f>
        <v>0</v>
      </c>
    </row>
    <row r="51" spans="1:17" x14ac:dyDescent="0.2">
      <c r="B51" s="228" t="str">
        <f>'SUB CPIF RATES (ALL)'!B46</f>
        <v>Indirect Category: [G&amp;A]</v>
      </c>
      <c r="C51" s="227">
        <f>C50+E50</f>
        <v>0</v>
      </c>
      <c r="D51" s="188">
        <f>'SUB CPIF RATES (ALL)'!C46</f>
        <v>0</v>
      </c>
      <c r="E51" s="113">
        <f>ROUND(C51*D51,2)</f>
        <v>0</v>
      </c>
      <c r="F51" s="229"/>
      <c r="G51" s="227">
        <f>G50+I50</f>
        <v>0</v>
      </c>
      <c r="H51" s="188">
        <f>'SUB CPIF RATES (ALL)'!D46</f>
        <v>0</v>
      </c>
      <c r="I51" s="113">
        <f>ROUND(G51*H51,2)</f>
        <v>0</v>
      </c>
      <c r="J51" s="229"/>
      <c r="K51" s="227">
        <f>K50+M50</f>
        <v>0</v>
      </c>
      <c r="L51" s="188">
        <f>'SUB CPIF RATES (ALL)'!E46</f>
        <v>0</v>
      </c>
      <c r="M51" s="113">
        <f>ROUND(K51*L51,2)</f>
        <v>0</v>
      </c>
      <c r="N51" s="110"/>
      <c r="O51" s="227">
        <f>O50+Q50</f>
        <v>0</v>
      </c>
      <c r="P51" s="188">
        <f>'SUB CPIF RATES (ALL)'!F46</f>
        <v>0</v>
      </c>
      <c r="Q51" s="113">
        <f>ROUND(O51*P51,2)</f>
        <v>0</v>
      </c>
    </row>
    <row r="52" spans="1:17" x14ac:dyDescent="0.2">
      <c r="B52" s="266" t="str">
        <f>'SUB CPIF RATES (ALL)'!B47</f>
        <v>Indirect Category: [FCCOM]</v>
      </c>
      <c r="C52" s="160">
        <f>C51+E51</f>
        <v>0</v>
      </c>
      <c r="D52" s="188">
        <f>'SUB CPIF RATES (ALL)'!C47</f>
        <v>0</v>
      </c>
      <c r="E52" s="268">
        <f>ROUND(C52*D52,2)</f>
        <v>0</v>
      </c>
      <c r="F52" s="229"/>
      <c r="G52" s="160">
        <f>G51+I51</f>
        <v>0</v>
      </c>
      <c r="H52" s="188">
        <f>'SUB CPIF RATES (ALL)'!D47</f>
        <v>0</v>
      </c>
      <c r="I52" s="268">
        <f>ROUND(G52*H52,2)</f>
        <v>0</v>
      </c>
      <c r="J52" s="229"/>
      <c r="K52" s="160">
        <f>K51+M51</f>
        <v>0</v>
      </c>
      <c r="L52" s="188">
        <f>'SUB CPIF RATES (ALL)'!E47</f>
        <v>0</v>
      </c>
      <c r="M52" s="268">
        <f>ROUND(K52*L52,2)</f>
        <v>0</v>
      </c>
      <c r="N52" s="110"/>
      <c r="O52" s="160">
        <f>O51+Q51</f>
        <v>0</v>
      </c>
      <c r="P52" s="188">
        <f>'SUB CPIF RATES (ALL)'!F47</f>
        <v>0</v>
      </c>
      <c r="Q52" s="268">
        <f>ROUND(O52*P52,2)</f>
        <v>0</v>
      </c>
    </row>
    <row r="53" spans="1:17" x14ac:dyDescent="0.2">
      <c r="B53" s="112" t="str">
        <f>'SUB CPIF RATES (ALL)'!B48</f>
        <v>Indirect Category: [Target Fee]</v>
      </c>
      <c r="C53" s="159">
        <f>C51+E51</f>
        <v>0</v>
      </c>
      <c r="D53" s="269">
        <f>'SUB CPIF RATES (ALL)'!C48</f>
        <v>0</v>
      </c>
      <c r="E53" s="268">
        <f>ROUND(C53*D53,2)</f>
        <v>0</v>
      </c>
      <c r="F53" s="229"/>
      <c r="G53" s="159">
        <f>G51+I51</f>
        <v>0</v>
      </c>
      <c r="H53" s="269">
        <f>'SUB CPIF RATES (ALL)'!D48</f>
        <v>0</v>
      </c>
      <c r="I53" s="268">
        <f>ROUND(G53*H53,2)</f>
        <v>0</v>
      </c>
      <c r="J53" s="229"/>
      <c r="K53" s="159">
        <f>K51+M51</f>
        <v>0</v>
      </c>
      <c r="L53" s="269">
        <f>'SUB CPIF RATES (ALL)'!E48</f>
        <v>0</v>
      </c>
      <c r="M53" s="268">
        <f>ROUND(K53*L53,2)</f>
        <v>0</v>
      </c>
      <c r="N53" s="110"/>
      <c r="O53" s="159">
        <f>O51+Q51</f>
        <v>0</v>
      </c>
      <c r="P53" s="269">
        <f>'SUB CPIF RATES (ALL)'!F48</f>
        <v>0</v>
      </c>
      <c r="Q53" s="268">
        <f>ROUND(O53*P53,2)</f>
        <v>0</v>
      </c>
    </row>
    <row r="54" spans="1:17" x14ac:dyDescent="0.2">
      <c r="B54" s="186" t="s">
        <v>214</v>
      </c>
      <c r="C54" s="178"/>
      <c r="D54" s="179"/>
      <c r="E54" s="113">
        <f>ROUND(E48+E50+E51,2)</f>
        <v>0</v>
      </c>
      <c r="F54" s="229"/>
      <c r="G54" s="178"/>
      <c r="H54" s="179"/>
      <c r="I54" s="113">
        <f>ROUND(I48+I50+I51,2)</f>
        <v>0</v>
      </c>
      <c r="J54" s="229"/>
      <c r="K54" s="178"/>
      <c r="L54" s="179"/>
      <c r="M54" s="113">
        <f>ROUND(M48+M50+M51,2)</f>
        <v>0</v>
      </c>
      <c r="N54" s="110"/>
      <c r="O54" s="178"/>
      <c r="P54" s="179"/>
      <c r="Q54" s="113">
        <f>ROUND(Q48+Q50+Q51,2)</f>
        <v>0</v>
      </c>
    </row>
    <row r="55" spans="1:17" x14ac:dyDescent="0.2">
      <c r="B55" s="186" t="s">
        <v>204</v>
      </c>
      <c r="C55" s="176"/>
      <c r="D55" s="180"/>
      <c r="E55" s="113">
        <f>ROUND(E52,2)</f>
        <v>0</v>
      </c>
      <c r="F55" s="229"/>
      <c r="G55" s="176"/>
      <c r="H55" s="180"/>
      <c r="I55" s="113">
        <f>ROUND(I52,2)</f>
        <v>0</v>
      </c>
      <c r="J55" s="229"/>
      <c r="K55" s="176"/>
      <c r="L55" s="180"/>
      <c r="M55" s="113">
        <f>ROUND(M52,2)</f>
        <v>0</v>
      </c>
      <c r="N55" s="110"/>
      <c r="O55" s="176"/>
      <c r="P55" s="180"/>
      <c r="Q55" s="113">
        <f>ROUND(Q52,2)</f>
        <v>0</v>
      </c>
    </row>
    <row r="56" spans="1:17" x14ac:dyDescent="0.2">
      <c r="B56" s="186" t="s">
        <v>71</v>
      </c>
      <c r="C56" s="176"/>
      <c r="D56" s="180"/>
      <c r="E56" s="127">
        <f>ROUND(E53,2)</f>
        <v>0</v>
      </c>
      <c r="F56" s="128"/>
      <c r="G56" s="176"/>
      <c r="H56" s="180"/>
      <c r="I56" s="127">
        <f>ROUND(I53,2)</f>
        <v>0</v>
      </c>
      <c r="J56" s="128"/>
      <c r="K56" s="176"/>
      <c r="L56" s="180"/>
      <c r="M56" s="127">
        <f>ROUND(M53,2)</f>
        <v>0</v>
      </c>
      <c r="N56" s="128"/>
      <c r="O56" s="176"/>
      <c r="P56" s="180"/>
      <c r="Q56" s="127">
        <f>ROUND(Q53,2)</f>
        <v>0</v>
      </c>
    </row>
    <row r="57" spans="1:17" ht="16.5" thickBot="1" x14ac:dyDescent="0.25">
      <c r="B57" s="187" t="s">
        <v>215</v>
      </c>
      <c r="C57" s="181"/>
      <c r="D57" s="182"/>
      <c r="E57" s="105">
        <f>ROUND(SUM(E54:E56),2)</f>
        <v>0</v>
      </c>
      <c r="F57" s="106"/>
      <c r="G57" s="181"/>
      <c r="H57" s="182"/>
      <c r="I57" s="105">
        <f>ROUND(SUM(I54:I56),2)</f>
        <v>0</v>
      </c>
      <c r="J57" s="106"/>
      <c r="K57" s="181"/>
      <c r="L57" s="182"/>
      <c r="M57" s="105">
        <f>ROUND(SUM(M54:M56),2)</f>
        <v>0</v>
      </c>
      <c r="N57" s="106"/>
      <c r="O57" s="181"/>
      <c r="P57" s="182"/>
      <c r="Q57" s="105">
        <f>ROUND(SUM(Q54:Q56),2)</f>
        <v>0</v>
      </c>
    </row>
    <row r="58" spans="1:17" ht="16.5" thickBot="1" x14ac:dyDescent="0.25">
      <c r="B58" s="117"/>
      <c r="E58" s="194"/>
      <c r="F58" s="194"/>
      <c r="G58" s="194"/>
      <c r="H58" s="194"/>
      <c r="I58" s="194"/>
      <c r="J58" s="194"/>
      <c r="K58" s="194"/>
      <c r="N58" s="132"/>
      <c r="O58" s="194"/>
    </row>
    <row r="59" spans="1:17" ht="16.5" customHeight="1" thickBot="1" x14ac:dyDescent="0.3">
      <c r="A59" s="138"/>
      <c r="B59" s="538" t="str">
        <f>B31</f>
        <v>CLIN 0003 (CPIF)                                                    TASK 1.03 MATERIAL - ANTICIPATED REQUIRED GFE</v>
      </c>
      <c r="C59" s="490" t="s">
        <v>81</v>
      </c>
      <c r="D59" s="491"/>
      <c r="E59" s="492"/>
      <c r="F59" s="120"/>
      <c r="G59" s="490" t="s">
        <v>82</v>
      </c>
      <c r="H59" s="491"/>
      <c r="I59" s="492"/>
      <c r="J59" s="120"/>
      <c r="K59" s="490" t="s">
        <v>82</v>
      </c>
      <c r="L59" s="491"/>
      <c r="M59" s="492"/>
      <c r="N59" s="120"/>
      <c r="O59" s="490" t="s">
        <v>82</v>
      </c>
      <c r="P59" s="491"/>
      <c r="Q59" s="492"/>
    </row>
    <row r="60" spans="1:17" ht="33.75" customHeight="1" thickBot="1" x14ac:dyDescent="0.3">
      <c r="A60" s="138"/>
      <c r="B60" s="539"/>
      <c r="C60" s="487" t="str">
        <f>C32</f>
        <v>CLIN 0003 - Basic Period (Year 1)</v>
      </c>
      <c r="D60" s="488"/>
      <c r="E60" s="489"/>
      <c r="F60" s="121"/>
      <c r="G60" s="487" t="str">
        <f>G32</f>
        <v>CLIN 0003 - Basic Period (Year 2)</v>
      </c>
      <c r="H60" s="488"/>
      <c r="I60" s="489"/>
      <c r="J60" s="121"/>
      <c r="K60" s="487" t="str">
        <f>K32</f>
        <v>CLIN 0003 - Basic Period (Year 3)</v>
      </c>
      <c r="L60" s="488"/>
      <c r="M60" s="489"/>
      <c r="N60" s="121"/>
      <c r="O60" s="487" t="str">
        <f>O32</f>
        <v>CLIN 0003 - Basic Period (Year 4)</v>
      </c>
      <c r="P60" s="488"/>
      <c r="Q60" s="489"/>
    </row>
    <row r="61" spans="1:17" x14ac:dyDescent="0.25">
      <c r="A61" s="138"/>
      <c r="B61" s="193"/>
      <c r="C61" s="98" t="s">
        <v>289</v>
      </c>
      <c r="D61" s="99" t="s">
        <v>286</v>
      </c>
      <c r="E61" s="100" t="s">
        <v>89</v>
      </c>
      <c r="F61" s="111"/>
      <c r="G61" s="98" t="s">
        <v>289</v>
      </c>
      <c r="H61" s="99" t="s">
        <v>286</v>
      </c>
      <c r="I61" s="100" t="s">
        <v>89</v>
      </c>
      <c r="J61" s="111"/>
      <c r="K61" s="98" t="s">
        <v>289</v>
      </c>
      <c r="L61" s="99" t="s">
        <v>286</v>
      </c>
      <c r="M61" s="100" t="s">
        <v>89</v>
      </c>
      <c r="N61" s="111"/>
      <c r="O61" s="98" t="s">
        <v>289</v>
      </c>
      <c r="P61" s="99" t="s">
        <v>286</v>
      </c>
      <c r="Q61" s="100" t="s">
        <v>89</v>
      </c>
    </row>
    <row r="62" spans="1:17" ht="26.25" x14ac:dyDescent="0.25">
      <c r="A62" s="138"/>
      <c r="B62" s="240" t="s">
        <v>449</v>
      </c>
      <c r="C62" s="176"/>
      <c r="D62" s="226"/>
      <c r="E62" s="262">
        <f>'SUB CPIF TOTAL ODC'!E33</f>
        <v>0</v>
      </c>
      <c r="F62" s="229"/>
      <c r="G62" s="176"/>
      <c r="H62" s="226"/>
      <c r="I62" s="262">
        <f>'SUB CPIF TOTAL ODC'!G33</f>
        <v>0</v>
      </c>
      <c r="J62" s="229"/>
      <c r="K62" s="176"/>
      <c r="L62" s="226"/>
      <c r="M62" s="310">
        <f>'SUB CPIF TOTAL ODC'!I33</f>
        <v>0</v>
      </c>
      <c r="N62" s="229"/>
      <c r="O62" s="176"/>
      <c r="P62" s="226"/>
      <c r="Q62" s="310">
        <f>'SUB CPIF TOTAL ODC'!K33</f>
        <v>0</v>
      </c>
    </row>
    <row r="63" spans="1:17" ht="66" customHeight="1" x14ac:dyDescent="0.25">
      <c r="A63" s="138"/>
      <c r="B63" s="374" t="s">
        <v>450</v>
      </c>
      <c r="C63" s="314"/>
      <c r="D63" s="314"/>
      <c r="E63" s="313"/>
      <c r="F63" s="229"/>
      <c r="G63" s="315"/>
      <c r="H63" s="314"/>
      <c r="I63" s="313"/>
      <c r="J63" s="229"/>
      <c r="K63" s="315"/>
      <c r="L63" s="314"/>
      <c r="M63" s="310"/>
      <c r="N63" s="229"/>
      <c r="O63" s="315"/>
      <c r="P63" s="314"/>
      <c r="Q63" s="310"/>
    </row>
    <row r="64" spans="1:17" x14ac:dyDescent="0.25">
      <c r="A64" s="138"/>
      <c r="B64" s="112" t="s">
        <v>60</v>
      </c>
      <c r="C64" s="160">
        <f>+E62</f>
        <v>0</v>
      </c>
      <c r="D64" s="188">
        <f>'SUB CPIF RATES (ALL)'!C61</f>
        <v>0</v>
      </c>
      <c r="E64" s="113">
        <f>ROUND(C64*D64,2)</f>
        <v>0</v>
      </c>
      <c r="F64" s="123"/>
      <c r="G64" s="160">
        <f>+I62</f>
        <v>0</v>
      </c>
      <c r="H64" s="188">
        <f>'SUB CPIF RATES (ALL)'!D61</f>
        <v>0</v>
      </c>
      <c r="I64" s="113">
        <f>ROUND(G64*H64,2)</f>
        <v>0</v>
      </c>
      <c r="J64" s="123"/>
      <c r="K64" s="160">
        <f>+M62</f>
        <v>0</v>
      </c>
      <c r="L64" s="188">
        <f>'SUB CPIF RATES (ALL)'!E61</f>
        <v>0</v>
      </c>
      <c r="M64" s="113">
        <f>ROUND(K64*L64,2)</f>
        <v>0</v>
      </c>
      <c r="N64" s="123"/>
      <c r="O64" s="160">
        <f>+Q62</f>
        <v>0</v>
      </c>
      <c r="P64" s="188">
        <f>'SUB CPIF RATES (ALL)'!F61</f>
        <v>0</v>
      </c>
      <c r="Q64" s="113">
        <f>ROUND(O64*P64,2)</f>
        <v>0</v>
      </c>
    </row>
    <row r="65" spans="1:17" x14ac:dyDescent="0.25">
      <c r="A65" s="138"/>
      <c r="B65" s="112" t="s">
        <v>61</v>
      </c>
      <c r="C65" s="160">
        <f>+C64+E64</f>
        <v>0</v>
      </c>
      <c r="D65" s="188">
        <f>'SUB CPIF RATES (ALL)'!C62</f>
        <v>0</v>
      </c>
      <c r="E65" s="113">
        <f>ROUND(C65*D65,2)</f>
        <v>0</v>
      </c>
      <c r="F65" s="123"/>
      <c r="G65" s="160">
        <f>+G64+I64</f>
        <v>0</v>
      </c>
      <c r="H65" s="188">
        <f>'SUB CPIF RATES (ALL)'!D62</f>
        <v>0</v>
      </c>
      <c r="I65" s="113">
        <f>ROUND(G65*H65,2)</f>
        <v>0</v>
      </c>
      <c r="J65" s="123"/>
      <c r="K65" s="160">
        <f>+K64+M64</f>
        <v>0</v>
      </c>
      <c r="L65" s="188">
        <f>'SUB CPIF RATES (ALL)'!E62</f>
        <v>0</v>
      </c>
      <c r="M65" s="113">
        <f>ROUND(K65*L65,2)</f>
        <v>0</v>
      </c>
      <c r="N65" s="123"/>
      <c r="O65" s="160">
        <f>+O64+Q64</f>
        <v>0</v>
      </c>
      <c r="P65" s="188">
        <f>'SUB CPIF RATES (ALL)'!F62</f>
        <v>0</v>
      </c>
      <c r="Q65" s="113">
        <f>ROUND(O65*P65,2)</f>
        <v>0</v>
      </c>
    </row>
    <row r="66" spans="1:17" x14ac:dyDescent="0.25">
      <c r="A66" s="138"/>
      <c r="B66" s="112" t="s">
        <v>411</v>
      </c>
      <c r="C66" s="160">
        <f>C65+E65</f>
        <v>0</v>
      </c>
      <c r="D66" s="188">
        <f>'SUB CPIF RATES (ALL)'!C63</f>
        <v>0</v>
      </c>
      <c r="E66" s="113">
        <f>ROUND(C66*D66,2)</f>
        <v>0</v>
      </c>
      <c r="F66" s="229"/>
      <c r="G66" s="160">
        <f>G65+I65</f>
        <v>0</v>
      </c>
      <c r="H66" s="188">
        <f>'SUB CPIF RATES (ALL)'!D63</f>
        <v>0</v>
      </c>
      <c r="I66" s="113">
        <f>ROUND(G66*H66,2)</f>
        <v>0</v>
      </c>
      <c r="J66" s="229"/>
      <c r="K66" s="160">
        <f>K65+M65</f>
        <v>0</v>
      </c>
      <c r="L66" s="188">
        <f>'SUB CPIF RATES (ALL)'!E63</f>
        <v>0</v>
      </c>
      <c r="M66" s="113">
        <f>ROUND(K66*L66,2)</f>
        <v>0</v>
      </c>
      <c r="N66" s="229"/>
      <c r="O66" s="160">
        <f>O65+Q65</f>
        <v>0</v>
      </c>
      <c r="P66" s="188">
        <f>'SUB CPIF RATES (ALL)'!F63</f>
        <v>0</v>
      </c>
      <c r="Q66" s="113">
        <f>ROUND(O66*P66,2)</f>
        <v>0</v>
      </c>
    </row>
    <row r="67" spans="1:17" x14ac:dyDescent="0.25">
      <c r="A67" s="138"/>
      <c r="B67" s="112" t="s">
        <v>62</v>
      </c>
      <c r="C67" s="160">
        <f>+C65+E65</f>
        <v>0</v>
      </c>
      <c r="D67" s="269">
        <f>'SUB CPIF RATES (ALL)'!C64</f>
        <v>0</v>
      </c>
      <c r="E67" s="113">
        <f>ROUND(C67*D67,2)</f>
        <v>0</v>
      </c>
      <c r="F67" s="229"/>
      <c r="G67" s="160">
        <f>+G65+I65</f>
        <v>0</v>
      </c>
      <c r="H67" s="269">
        <f>'SUB CPIF RATES (ALL)'!D64</f>
        <v>0</v>
      </c>
      <c r="I67" s="113">
        <f>ROUND(G67*H67,2)</f>
        <v>0</v>
      </c>
      <c r="J67" s="229"/>
      <c r="K67" s="160">
        <f>+K65+M65</f>
        <v>0</v>
      </c>
      <c r="L67" s="269">
        <f>'SUB CPIF RATES (ALL)'!E64</f>
        <v>0</v>
      </c>
      <c r="M67" s="113">
        <f>ROUND(K67*L67,2)</f>
        <v>0</v>
      </c>
      <c r="N67" s="229"/>
      <c r="O67" s="160">
        <f>+O65+Q65</f>
        <v>0</v>
      </c>
      <c r="P67" s="269">
        <f>'SUB CPIF RATES (ALL)'!F64</f>
        <v>0</v>
      </c>
      <c r="Q67" s="113">
        <f>ROUND(O67*P67,2)</f>
        <v>0</v>
      </c>
    </row>
    <row r="68" spans="1:17" x14ac:dyDescent="0.25">
      <c r="A68" s="138"/>
      <c r="B68" s="186" t="s">
        <v>187</v>
      </c>
      <c r="C68" s="178"/>
      <c r="D68" s="179"/>
      <c r="E68" s="113">
        <f>+ROUND(SUM(E62:E65),2)</f>
        <v>0</v>
      </c>
      <c r="F68" s="229"/>
      <c r="G68" s="178"/>
      <c r="H68" s="179"/>
      <c r="I68" s="113">
        <f>+ROUND(SUM(I62:I65),2)</f>
        <v>0</v>
      </c>
      <c r="J68" s="229"/>
      <c r="K68" s="178"/>
      <c r="L68" s="179"/>
      <c r="M68" s="113">
        <f>+ROUND(SUM(M62:M65),2)</f>
        <v>0</v>
      </c>
      <c r="N68" s="229"/>
      <c r="O68" s="178"/>
      <c r="P68" s="179"/>
      <c r="Q68" s="113">
        <f>+ROUND(SUM(Q62:Q65),2)</f>
        <v>0</v>
      </c>
    </row>
    <row r="69" spans="1:17" x14ac:dyDescent="0.25">
      <c r="A69" s="138"/>
      <c r="B69" s="186" t="s">
        <v>63</v>
      </c>
      <c r="C69" s="176"/>
      <c r="D69" s="180"/>
      <c r="E69" s="113">
        <f>+ROUND(E66,2)</f>
        <v>0</v>
      </c>
      <c r="F69" s="229"/>
      <c r="G69" s="176"/>
      <c r="H69" s="180"/>
      <c r="I69" s="113">
        <f>+ROUND(I66,2)</f>
        <v>0</v>
      </c>
      <c r="J69" s="229"/>
      <c r="K69" s="176"/>
      <c r="L69" s="180"/>
      <c r="M69" s="113">
        <f>+ROUND(M66,2)</f>
        <v>0</v>
      </c>
      <c r="N69" s="229"/>
      <c r="O69" s="176"/>
      <c r="P69" s="180"/>
      <c r="Q69" s="113">
        <f>+ROUND(Q66,2)</f>
        <v>0</v>
      </c>
    </row>
    <row r="70" spans="1:17" x14ac:dyDescent="0.2">
      <c r="A70" s="131"/>
      <c r="B70" s="186" t="s">
        <v>71</v>
      </c>
      <c r="C70" s="176"/>
      <c r="D70" s="180"/>
      <c r="E70" s="127">
        <f>+ROUND(E67,2)</f>
        <v>0</v>
      </c>
      <c r="F70" s="128"/>
      <c r="G70" s="176"/>
      <c r="H70" s="180"/>
      <c r="I70" s="127">
        <f>+ROUND(I67,2)</f>
        <v>0</v>
      </c>
      <c r="J70" s="128"/>
      <c r="K70" s="176"/>
      <c r="L70" s="180"/>
      <c r="M70" s="127">
        <f>+ROUND(M67,2)</f>
        <v>0</v>
      </c>
      <c r="N70" s="128"/>
      <c r="O70" s="176"/>
      <c r="P70" s="180"/>
      <c r="Q70" s="127">
        <f>+ROUND(Q67,2)</f>
        <v>0</v>
      </c>
    </row>
    <row r="71" spans="1:17" ht="16.5" thickBot="1" x14ac:dyDescent="0.25">
      <c r="A71" s="131"/>
      <c r="B71" s="187" t="s">
        <v>174</v>
      </c>
      <c r="C71" s="181"/>
      <c r="D71" s="182"/>
      <c r="E71" s="105">
        <f>ROUND(SUM(E68:E70),2)</f>
        <v>0</v>
      </c>
      <c r="F71" s="106"/>
      <c r="G71" s="181"/>
      <c r="H71" s="182"/>
      <c r="I71" s="105">
        <f>ROUND(SUM(I68:I70),2)</f>
        <v>0</v>
      </c>
      <c r="J71" s="106"/>
      <c r="K71" s="181"/>
      <c r="L71" s="182"/>
      <c r="M71" s="105">
        <f>ROUND(SUM(M68:M70),2)</f>
        <v>0</v>
      </c>
      <c r="N71" s="106"/>
      <c r="O71" s="181"/>
      <c r="P71" s="182"/>
      <c r="Q71" s="105">
        <f>ROUND(SUM(Q68:Q70),2)</f>
        <v>0</v>
      </c>
    </row>
    <row r="72" spans="1:17" ht="16.5" thickBot="1" x14ac:dyDescent="0.25">
      <c r="A72" s="131"/>
      <c r="B72" s="117"/>
      <c r="E72" s="194"/>
      <c r="F72" s="194"/>
      <c r="G72" s="194"/>
      <c r="H72" s="194"/>
      <c r="I72" s="194"/>
      <c r="J72" s="194"/>
      <c r="K72" s="194"/>
      <c r="N72" s="132"/>
      <c r="O72" s="194"/>
    </row>
    <row r="73" spans="1:17" ht="16.5" thickBot="1" x14ac:dyDescent="0.3">
      <c r="A73" s="131"/>
      <c r="B73" s="531" t="str">
        <f>B59</f>
        <v>CLIN 0003 (CPIF)                                                    TASK 1.03 MATERIAL - ANTICIPATED REQUIRED GFE</v>
      </c>
      <c r="C73" s="517" t="s">
        <v>213</v>
      </c>
      <c r="D73" s="518"/>
      <c r="E73" s="519"/>
      <c r="F73" s="120"/>
      <c r="G73" s="517" t="s">
        <v>213</v>
      </c>
      <c r="H73" s="518"/>
      <c r="I73" s="519"/>
      <c r="J73" s="120"/>
      <c r="K73" s="517" t="s">
        <v>213</v>
      </c>
      <c r="L73" s="518"/>
      <c r="M73" s="519"/>
      <c r="N73" s="120"/>
      <c r="O73" s="517" t="s">
        <v>213</v>
      </c>
      <c r="P73" s="518"/>
      <c r="Q73" s="519"/>
    </row>
    <row r="74" spans="1:17" ht="33.75" customHeight="1" thickBot="1" x14ac:dyDescent="0.3">
      <c r="A74" s="131"/>
      <c r="B74" s="532"/>
      <c r="C74" s="221"/>
      <c r="D74" s="222"/>
      <c r="E74" s="133" t="s">
        <v>265</v>
      </c>
      <c r="F74" s="134"/>
      <c r="G74" s="221"/>
      <c r="H74" s="222"/>
      <c r="I74" s="133" t="s">
        <v>266</v>
      </c>
      <c r="J74" s="134"/>
      <c r="K74" s="221"/>
      <c r="L74" s="222"/>
      <c r="M74" s="133" t="s">
        <v>267</v>
      </c>
      <c r="N74" s="134"/>
      <c r="O74" s="221"/>
      <c r="P74" s="222"/>
      <c r="Q74" s="133" t="s">
        <v>268</v>
      </c>
    </row>
    <row r="75" spans="1:17" x14ac:dyDescent="0.2">
      <c r="A75" s="131"/>
      <c r="B75" s="112" t="s">
        <v>188</v>
      </c>
      <c r="C75" s="223"/>
      <c r="D75" s="223"/>
      <c r="E75" s="135">
        <f>+ROUND(E26+E40+E54+E68,2)</f>
        <v>0</v>
      </c>
      <c r="F75" s="110"/>
      <c r="G75" s="223"/>
      <c r="H75" s="223"/>
      <c r="I75" s="135">
        <f>+ROUND(I26+I40+I54+I68,2)</f>
        <v>0</v>
      </c>
      <c r="J75" s="110"/>
      <c r="K75" s="223"/>
      <c r="L75" s="223"/>
      <c r="M75" s="135">
        <f>+ROUND(M26+M40+M54+M68,2)</f>
        <v>0</v>
      </c>
      <c r="N75" s="110"/>
      <c r="O75" s="223"/>
      <c r="P75" s="223"/>
      <c r="Q75" s="135">
        <f>+ROUND(Q26+Q40+Q54+Q68,2)</f>
        <v>0</v>
      </c>
    </row>
    <row r="76" spans="1:17" x14ac:dyDescent="0.2">
      <c r="A76" s="131"/>
      <c r="B76" s="112" t="s">
        <v>72</v>
      </c>
      <c r="C76" s="223"/>
      <c r="D76" s="223"/>
      <c r="E76" s="113">
        <f>+ROUND(E27+E41+E55+E69,2)</f>
        <v>0</v>
      </c>
      <c r="F76" s="110"/>
      <c r="G76" s="223"/>
      <c r="H76" s="223"/>
      <c r="I76" s="113">
        <f>+ROUND(I27+I41+I55+I69,2)</f>
        <v>0</v>
      </c>
      <c r="J76" s="110"/>
      <c r="K76" s="223"/>
      <c r="L76" s="223"/>
      <c r="M76" s="113">
        <f>+ROUND(M27+M41+M55+M69,2)</f>
        <v>0</v>
      </c>
      <c r="N76" s="110"/>
      <c r="O76" s="223"/>
      <c r="P76" s="223"/>
      <c r="Q76" s="113">
        <f>+ROUND(Q27+Q41+Q55+Q69,2)</f>
        <v>0</v>
      </c>
    </row>
    <row r="77" spans="1:17" x14ac:dyDescent="0.2">
      <c r="A77" s="131"/>
      <c r="B77" s="112" t="s">
        <v>71</v>
      </c>
      <c r="C77" s="223"/>
      <c r="D77" s="223"/>
      <c r="E77" s="114">
        <f>+ROUND(E28+E42+E56+E70,2)</f>
        <v>0</v>
      </c>
      <c r="F77" s="115"/>
      <c r="G77" s="223"/>
      <c r="H77" s="223"/>
      <c r="I77" s="114">
        <f>+ROUND(I28+I42+I56+I70,2)</f>
        <v>0</v>
      </c>
      <c r="J77" s="115"/>
      <c r="K77" s="223"/>
      <c r="L77" s="223"/>
      <c r="M77" s="114">
        <f>+ROUND(M28+M42+M56+M70,2)</f>
        <v>0</v>
      </c>
      <c r="N77" s="115"/>
      <c r="O77" s="223"/>
      <c r="P77" s="223"/>
      <c r="Q77" s="114">
        <f>+ROUND(Q28+Q42+Q56+Q70,2)</f>
        <v>0</v>
      </c>
    </row>
    <row r="78" spans="1:17" ht="32.25" thickBot="1" x14ac:dyDescent="0.3">
      <c r="A78" s="131"/>
      <c r="B78" s="207" t="s">
        <v>394</v>
      </c>
      <c r="C78" s="224"/>
      <c r="D78" s="224"/>
      <c r="E78" s="208">
        <f>SUM(E75:E77)</f>
        <v>0</v>
      </c>
      <c r="F78" s="116"/>
      <c r="G78" s="224"/>
      <c r="H78" s="224"/>
      <c r="I78" s="208">
        <f>SUM(I75:I77)</f>
        <v>0</v>
      </c>
      <c r="J78" s="116"/>
      <c r="K78" s="224"/>
      <c r="L78" s="224"/>
      <c r="M78" s="208">
        <f>SUM(M75:M77)</f>
        <v>0</v>
      </c>
      <c r="N78" s="116"/>
      <c r="O78" s="224"/>
      <c r="P78" s="224"/>
      <c r="Q78" s="208">
        <f>SUM(Q75:Q77)</f>
        <v>0</v>
      </c>
    </row>
    <row r="79" spans="1:17" ht="16.5" thickBot="1" x14ac:dyDescent="0.3"/>
    <row r="80" spans="1:17" ht="31.5" x14ac:dyDescent="0.25">
      <c r="Q80" s="323" t="s">
        <v>395</v>
      </c>
    </row>
    <row r="81" spans="17:17" ht="16.5" thickBot="1" x14ac:dyDescent="0.3">
      <c r="Q81" s="322">
        <f>E78+I78+M78+Q78</f>
        <v>0</v>
      </c>
    </row>
  </sheetData>
  <mergeCells count="46">
    <mergeCell ref="O49:Q49"/>
    <mergeCell ref="B73:B74"/>
    <mergeCell ref="C73:E73"/>
    <mergeCell ref="G73:I73"/>
    <mergeCell ref="K73:M73"/>
    <mergeCell ref="O73:Q73"/>
    <mergeCell ref="O60:Q60"/>
    <mergeCell ref="O59:Q59"/>
    <mergeCell ref="C60:E60"/>
    <mergeCell ref="G60:I60"/>
    <mergeCell ref="K60:M60"/>
    <mergeCell ref="C32:E32"/>
    <mergeCell ref="G32:I32"/>
    <mergeCell ref="K32:M32"/>
    <mergeCell ref="B59:B60"/>
    <mergeCell ref="C59:E59"/>
    <mergeCell ref="G59:I59"/>
    <mergeCell ref="K59:M59"/>
    <mergeCell ref="C49:E49"/>
    <mergeCell ref="G49:I49"/>
    <mergeCell ref="K49:M49"/>
    <mergeCell ref="B45:B46"/>
    <mergeCell ref="C45:E45"/>
    <mergeCell ref="G45:I45"/>
    <mergeCell ref="K45:M45"/>
    <mergeCell ref="O14:Q14"/>
    <mergeCell ref="O15:Q15"/>
    <mergeCell ref="O31:Q31"/>
    <mergeCell ref="O32:Q32"/>
    <mergeCell ref="A4:C4"/>
    <mergeCell ref="B14:B15"/>
    <mergeCell ref="C14:E14"/>
    <mergeCell ref="G14:I14"/>
    <mergeCell ref="K14:M14"/>
    <mergeCell ref="C15:E15"/>
    <mergeCell ref="G15:I15"/>
    <mergeCell ref="K15:M15"/>
    <mergeCell ref="B31:B32"/>
    <mergeCell ref="C31:E31"/>
    <mergeCell ref="G31:I31"/>
    <mergeCell ref="K31:M31"/>
    <mergeCell ref="O45:Q45"/>
    <mergeCell ref="C46:E46"/>
    <mergeCell ref="G46:I46"/>
    <mergeCell ref="K46:M46"/>
    <mergeCell ref="O46:Q46"/>
  </mergeCell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A1EE12-81DD-48CC-95E2-581A780C5297}">
  <sheetPr>
    <tabColor theme="0"/>
  </sheetPr>
  <dimension ref="A1:Q83"/>
  <sheetViews>
    <sheetView zoomScale="80" zoomScaleNormal="80" workbookViewId="0">
      <pane ySplit="12" topLeftCell="A63" activePane="bottomLeft" state="frozen"/>
      <selection pane="bottomLeft" activeCell="P66" sqref="P66"/>
    </sheetView>
  </sheetViews>
  <sheetFormatPr defaultColWidth="15.85546875" defaultRowHeight="15.75" x14ac:dyDescent="0.25"/>
  <cols>
    <col min="1" max="1" width="3.42578125" style="136" customWidth="1"/>
    <col min="2" max="2" width="49.140625" style="119" customWidth="1"/>
    <col min="3" max="3" width="18.28515625" style="131" bestFit="1" customWidth="1"/>
    <col min="4" max="4" width="12.42578125" style="131" bestFit="1" customWidth="1"/>
    <col min="5" max="5" width="32.140625" style="131" bestFit="1" customWidth="1"/>
    <col min="6" max="6" width="1" style="131" customWidth="1"/>
    <col min="7" max="7" width="14.28515625" style="131" customWidth="1"/>
    <col min="8" max="8" width="14.5703125" style="131" customWidth="1"/>
    <col min="9" max="9" width="34.42578125" style="131" bestFit="1" customWidth="1"/>
    <col min="10" max="10" width="1" style="131" customWidth="1"/>
    <col min="11" max="11" width="16.7109375" style="131" customWidth="1"/>
    <col min="12" max="12" width="16.28515625" style="131" customWidth="1"/>
    <col min="13" max="13" width="34.42578125" style="131" bestFit="1" customWidth="1"/>
    <col min="14" max="14" width="0.85546875" style="131" customWidth="1"/>
    <col min="15" max="15" width="16.7109375" style="131" customWidth="1"/>
    <col min="16" max="16" width="16.28515625" style="131" customWidth="1"/>
    <col min="17" max="17" width="34.42578125" style="131" bestFit="1" customWidth="1"/>
    <col min="18" max="16384" width="15.85546875" style="131"/>
  </cols>
  <sheetData>
    <row r="1" spans="1:17" ht="16.5" thickBot="1" x14ac:dyDescent="0.3">
      <c r="B1" s="321" t="s">
        <v>460</v>
      </c>
      <c r="C1" s="394" t="str">
        <f>'SUB CPIF RATES (ALL)'!C1</f>
        <v xml:space="preserve">NAME </v>
      </c>
      <c r="D1" s="393"/>
    </row>
    <row r="2" spans="1:17" ht="16.5" thickBot="1" x14ac:dyDescent="0.3">
      <c r="B2" s="395" t="s">
        <v>459</v>
      </c>
      <c r="C2" s="396" t="str">
        <f>'SUB CPIF RATES (ALL)'!C2</f>
        <v xml:space="preserve">NAME </v>
      </c>
    </row>
    <row r="3" spans="1:17" ht="16.5" thickBot="1" x14ac:dyDescent="0.3"/>
    <row r="4" spans="1:17" ht="52.5" customHeight="1" thickBot="1" x14ac:dyDescent="0.3">
      <c r="A4" s="466" t="s">
        <v>396</v>
      </c>
      <c r="B4" s="467"/>
      <c r="C4" s="468"/>
      <c r="I4" s="194" t="s">
        <v>84</v>
      </c>
    </row>
    <row r="6" spans="1:17" s="202" customFormat="1" ht="17.25" customHeight="1" x14ac:dyDescent="0.2">
      <c r="A6" s="203"/>
      <c r="B6" s="204" t="s">
        <v>65</v>
      </c>
    </row>
    <row r="7" spans="1:17" s="202" customFormat="1" x14ac:dyDescent="0.25">
      <c r="A7" s="201"/>
      <c r="B7" s="201" t="s">
        <v>441</v>
      </c>
    </row>
    <row r="8" spans="1:17" s="202" customFormat="1" x14ac:dyDescent="0.25">
      <c r="A8" s="201"/>
      <c r="B8" s="201" t="s">
        <v>281</v>
      </c>
    </row>
    <row r="9" spans="1:17" s="202" customFormat="1" x14ac:dyDescent="0.25">
      <c r="A9" s="201"/>
      <c r="B9" s="201" t="s">
        <v>442</v>
      </c>
    </row>
    <row r="10" spans="1:17" s="202" customFormat="1" x14ac:dyDescent="0.25">
      <c r="A10" s="201"/>
      <c r="B10" s="201" t="s">
        <v>463</v>
      </c>
    </row>
    <row r="11" spans="1:17" x14ac:dyDescent="0.25">
      <c r="A11" s="137"/>
      <c r="B11" s="201" t="s">
        <v>464</v>
      </c>
      <c r="C11" s="139"/>
    </row>
    <row r="12" spans="1:17" x14ac:dyDescent="0.25">
      <c r="A12" s="137"/>
      <c r="B12" s="201" t="s">
        <v>397</v>
      </c>
      <c r="C12" s="139"/>
    </row>
    <row r="13" spans="1:17" ht="16.5" thickBot="1" x14ac:dyDescent="0.3"/>
    <row r="14" spans="1:17" ht="16.5" thickBot="1" x14ac:dyDescent="0.3">
      <c r="A14" s="138"/>
      <c r="B14" s="536" t="s">
        <v>398</v>
      </c>
      <c r="C14" s="490" t="s">
        <v>69</v>
      </c>
      <c r="D14" s="491"/>
      <c r="E14" s="492"/>
      <c r="F14" s="96"/>
      <c r="G14" s="490" t="s">
        <v>69</v>
      </c>
      <c r="H14" s="491"/>
      <c r="I14" s="492"/>
      <c r="J14" s="96"/>
      <c r="K14" s="490" t="s">
        <v>69</v>
      </c>
      <c r="L14" s="491"/>
      <c r="M14" s="492"/>
      <c r="N14" s="96"/>
      <c r="O14" s="490" t="s">
        <v>69</v>
      </c>
      <c r="P14" s="491"/>
      <c r="Q14" s="492"/>
    </row>
    <row r="15" spans="1:17" ht="32.25" customHeight="1" thickBot="1" x14ac:dyDescent="0.3">
      <c r="A15" s="138"/>
      <c r="B15" s="537"/>
      <c r="C15" s="520" t="s">
        <v>261</v>
      </c>
      <c r="D15" s="521"/>
      <c r="E15" s="522"/>
      <c r="F15" s="97"/>
      <c r="G15" s="520" t="s">
        <v>262</v>
      </c>
      <c r="H15" s="521"/>
      <c r="I15" s="522"/>
      <c r="J15" s="97"/>
      <c r="K15" s="520" t="s">
        <v>263</v>
      </c>
      <c r="L15" s="521"/>
      <c r="M15" s="522"/>
      <c r="N15" s="97"/>
      <c r="O15" s="520" t="s">
        <v>264</v>
      </c>
      <c r="P15" s="521"/>
      <c r="Q15" s="522"/>
    </row>
    <row r="16" spans="1:17" x14ac:dyDescent="0.25">
      <c r="A16" s="138"/>
      <c r="B16" s="98" t="s">
        <v>46</v>
      </c>
      <c r="C16" s="98" t="s">
        <v>29</v>
      </c>
      <c r="D16" s="99" t="s">
        <v>68</v>
      </c>
      <c r="E16" s="100" t="s">
        <v>74</v>
      </c>
      <c r="F16" s="101"/>
      <c r="G16" s="98" t="s">
        <v>29</v>
      </c>
      <c r="H16" s="99" t="s">
        <v>68</v>
      </c>
      <c r="I16" s="100" t="s">
        <v>74</v>
      </c>
      <c r="J16" s="101"/>
      <c r="K16" s="98" t="s">
        <v>29</v>
      </c>
      <c r="L16" s="99" t="s">
        <v>68</v>
      </c>
      <c r="M16" s="100" t="s">
        <v>74</v>
      </c>
      <c r="N16" s="101"/>
      <c r="O16" s="98" t="s">
        <v>29</v>
      </c>
      <c r="P16" s="99" t="s">
        <v>68</v>
      </c>
      <c r="Q16" s="100" t="s">
        <v>74</v>
      </c>
    </row>
    <row r="17" spans="1:17" ht="30" customHeight="1" thickBot="1" x14ac:dyDescent="0.3">
      <c r="A17" s="138"/>
      <c r="B17" s="148" t="s">
        <v>443</v>
      </c>
      <c r="C17" s="230"/>
      <c r="D17" s="231"/>
      <c r="E17" s="232"/>
      <c r="F17" s="101"/>
      <c r="G17" s="230"/>
      <c r="H17" s="231"/>
      <c r="I17" s="232"/>
      <c r="J17" s="101"/>
      <c r="K17" s="230"/>
      <c r="L17" s="231"/>
      <c r="M17" s="232"/>
      <c r="N17" s="101"/>
      <c r="O17" s="230"/>
      <c r="P17" s="231"/>
      <c r="Q17" s="232"/>
    </row>
    <row r="18" spans="1:17" ht="16.5" thickBot="1" x14ac:dyDescent="0.3">
      <c r="A18" s="138"/>
      <c r="B18" s="107" t="s">
        <v>87</v>
      </c>
      <c r="C18" s="108">
        <f>'SUB CPIF LABOR INPUTS'!D386</f>
        <v>0</v>
      </c>
      <c r="D18" s="150"/>
      <c r="E18" s="109">
        <f>'SUB CPIF LABOR INPUTS'!F386</f>
        <v>0</v>
      </c>
      <c r="F18" s="110"/>
      <c r="G18" s="108">
        <f>'SUB CPIF LABOR INPUTS'!H386</f>
        <v>0</v>
      </c>
      <c r="H18" s="150"/>
      <c r="I18" s="109">
        <f>'SUB CPIF LABOR INPUTS'!J386</f>
        <v>0</v>
      </c>
      <c r="J18" s="110"/>
      <c r="K18" s="108">
        <f>'SUB CPIF LABOR INPUTS'!L386</f>
        <v>0</v>
      </c>
      <c r="L18" s="150"/>
      <c r="M18" s="109">
        <f>'SUB CPIF LABOR INPUTS'!N386</f>
        <v>0</v>
      </c>
      <c r="N18" s="110"/>
      <c r="O18" s="108">
        <f>'SUB CPIF LABOR INPUTS'!P386</f>
        <v>0</v>
      </c>
      <c r="P18" s="150"/>
      <c r="Q18" s="109">
        <f>'SUB CPIF LABOR INPUTS'!R386</f>
        <v>0</v>
      </c>
    </row>
    <row r="19" spans="1:17" x14ac:dyDescent="0.25">
      <c r="A19" s="138"/>
      <c r="B19" s="149"/>
      <c r="C19" s="98" t="s">
        <v>289</v>
      </c>
      <c r="D19" s="99" t="s">
        <v>286</v>
      </c>
      <c r="E19" s="100" t="s">
        <v>288</v>
      </c>
      <c r="F19" s="111"/>
      <c r="G19" s="98" t="s">
        <v>289</v>
      </c>
      <c r="H19" s="99" t="s">
        <v>286</v>
      </c>
      <c r="I19" s="100" t="s">
        <v>288</v>
      </c>
      <c r="J19" s="111"/>
      <c r="K19" s="98" t="s">
        <v>289</v>
      </c>
      <c r="L19" s="99" t="s">
        <v>286</v>
      </c>
      <c r="M19" s="100" t="s">
        <v>288</v>
      </c>
      <c r="N19" s="111"/>
      <c r="O19" s="98" t="s">
        <v>289</v>
      </c>
      <c r="P19" s="99" t="s">
        <v>286</v>
      </c>
      <c r="Q19" s="100" t="s">
        <v>288</v>
      </c>
    </row>
    <row r="20" spans="1:17" ht="64.5" x14ac:dyDescent="0.25">
      <c r="A20" s="138"/>
      <c r="B20" s="261" t="s">
        <v>444</v>
      </c>
      <c r="C20" s="230"/>
      <c r="D20" s="231"/>
      <c r="E20" s="232"/>
      <c r="F20" s="147"/>
      <c r="G20" s="230"/>
      <c r="H20" s="231"/>
      <c r="I20" s="232"/>
      <c r="J20" s="147"/>
      <c r="K20" s="230"/>
      <c r="L20" s="231"/>
      <c r="M20" s="232"/>
      <c r="N20" s="147"/>
      <c r="O20" s="230"/>
      <c r="P20" s="231"/>
      <c r="Q20" s="232"/>
    </row>
    <row r="21" spans="1:17" x14ac:dyDescent="0.25">
      <c r="A21" s="138"/>
      <c r="B21" s="112" t="str">
        <f>'SUB CPIF RATES (ALL)'!B36</f>
        <v>Indirect Labor Category:  [Labor Fringe]</v>
      </c>
      <c r="C21" s="160">
        <f>+E18</f>
        <v>0</v>
      </c>
      <c r="D21" s="188">
        <f>'SUB CPIF RATES (ALL)'!C36</f>
        <v>0</v>
      </c>
      <c r="E21" s="113">
        <f>ROUND(C21*D21,2)</f>
        <v>0</v>
      </c>
      <c r="F21" s="110"/>
      <c r="G21" s="160">
        <f>+I18</f>
        <v>0</v>
      </c>
      <c r="H21" s="188">
        <f>'SUB CPIF RATES (ALL)'!D36</f>
        <v>0</v>
      </c>
      <c r="I21" s="113">
        <f>ROUND(G21*H21,2)</f>
        <v>0</v>
      </c>
      <c r="J21" s="110"/>
      <c r="K21" s="160">
        <f>+M18</f>
        <v>0</v>
      </c>
      <c r="L21" s="188">
        <f>'SUB CPIF RATES (ALL)'!E36</f>
        <v>0</v>
      </c>
      <c r="M21" s="113">
        <f>ROUND(K21*L21,2)</f>
        <v>0</v>
      </c>
      <c r="N21" s="110"/>
      <c r="O21" s="160">
        <f>+Q18</f>
        <v>0</v>
      </c>
      <c r="P21" s="188">
        <f>'SUB CPIF RATES (ALL)'!F36</f>
        <v>0</v>
      </c>
      <c r="Q21" s="113">
        <f>ROUND(O21*P21,2)</f>
        <v>0</v>
      </c>
    </row>
    <row r="22" spans="1:17" x14ac:dyDescent="0.25">
      <c r="A22" s="138"/>
      <c r="B22" s="112" t="str">
        <f>'SUB CPIF RATES (ALL)'!B37</f>
        <v>Indirect Labor Category: [Labor Overhead]</v>
      </c>
      <c r="C22" s="160">
        <f>+C21+E21</f>
        <v>0</v>
      </c>
      <c r="D22" s="188">
        <f>'SUB CPIF RATES (ALL)'!C37</f>
        <v>0</v>
      </c>
      <c r="E22" s="113">
        <f>ROUND(C22*D22,2)</f>
        <v>0</v>
      </c>
      <c r="F22" s="110"/>
      <c r="G22" s="160">
        <f>+G21+I21</f>
        <v>0</v>
      </c>
      <c r="H22" s="188">
        <f>'SUB CPIF RATES (ALL)'!D37</f>
        <v>0</v>
      </c>
      <c r="I22" s="113">
        <f>ROUND(G22*H22,2)</f>
        <v>0</v>
      </c>
      <c r="J22" s="110"/>
      <c r="K22" s="160">
        <f>+K21+M21</f>
        <v>0</v>
      </c>
      <c r="L22" s="188">
        <f>'SUB CPIF RATES (ALL)'!E37</f>
        <v>0</v>
      </c>
      <c r="M22" s="113">
        <f>ROUND(K22*L22,2)</f>
        <v>0</v>
      </c>
      <c r="N22" s="110"/>
      <c r="O22" s="160">
        <f>+O21+Q21</f>
        <v>0</v>
      </c>
      <c r="P22" s="188">
        <f>'SUB CPIF RATES (ALL)'!F37</f>
        <v>0</v>
      </c>
      <c r="Q22" s="113">
        <f>ROUND(O22*P22,2)</f>
        <v>0</v>
      </c>
    </row>
    <row r="23" spans="1:17" x14ac:dyDescent="0.25">
      <c r="A23" s="138"/>
      <c r="B23" s="112" t="str">
        <f>'SUB CPIF RATES (ALL)'!B38</f>
        <v>Indirect Labor Category: [G&amp;A]</v>
      </c>
      <c r="C23" s="160">
        <f>+C22+E22</f>
        <v>0</v>
      </c>
      <c r="D23" s="188">
        <f>'SUB CPIF RATES (ALL)'!C38</f>
        <v>0</v>
      </c>
      <c r="E23" s="113">
        <f>ROUND(C23*D23,2)</f>
        <v>0</v>
      </c>
      <c r="F23" s="110"/>
      <c r="G23" s="160">
        <f>+G22+I22</f>
        <v>0</v>
      </c>
      <c r="H23" s="188">
        <f>'SUB CPIF RATES (ALL)'!D38</f>
        <v>0</v>
      </c>
      <c r="I23" s="113">
        <f>ROUND(G23*H23,2)</f>
        <v>0</v>
      </c>
      <c r="J23" s="110"/>
      <c r="K23" s="160">
        <f>+K22+M22</f>
        <v>0</v>
      </c>
      <c r="L23" s="188">
        <f>'SUB CPIF RATES (ALL)'!E38</f>
        <v>0</v>
      </c>
      <c r="M23" s="113">
        <f>ROUND(K23*L23,2)</f>
        <v>0</v>
      </c>
      <c r="N23" s="110"/>
      <c r="O23" s="160">
        <f>+O22+Q22</f>
        <v>0</v>
      </c>
      <c r="P23" s="188">
        <f>'SUB CPIF RATES (ALL)'!F38</f>
        <v>0</v>
      </c>
      <c r="Q23" s="113">
        <f>ROUND(O23*P23,2)</f>
        <v>0</v>
      </c>
    </row>
    <row r="24" spans="1:17" x14ac:dyDescent="0.25">
      <c r="A24" s="138"/>
      <c r="B24" s="112" t="str">
        <f>'SUB CPIF RATES (ALL)'!B39</f>
        <v>Indirect Labor Category: [FCCOM]</v>
      </c>
      <c r="C24" s="160">
        <f>C23+E23</f>
        <v>0</v>
      </c>
      <c r="D24" s="188">
        <f>'SUB CPIF RATES (ALL)'!C39</f>
        <v>0</v>
      </c>
      <c r="E24" s="113">
        <f>ROUND(C24*D24,2)</f>
        <v>0</v>
      </c>
      <c r="F24" s="110"/>
      <c r="G24" s="160">
        <f>G23+I23</f>
        <v>0</v>
      </c>
      <c r="H24" s="188">
        <f>'SUB CPIF RATES (ALL)'!D39</f>
        <v>0</v>
      </c>
      <c r="I24" s="113">
        <f>ROUND(G24*H24,2)</f>
        <v>0</v>
      </c>
      <c r="J24" s="110"/>
      <c r="K24" s="160">
        <f>K23+M23</f>
        <v>0</v>
      </c>
      <c r="L24" s="188">
        <f>'SUB CPIF RATES (ALL)'!E39</f>
        <v>0</v>
      </c>
      <c r="M24" s="113">
        <f>ROUND(K24*L24,2)</f>
        <v>0</v>
      </c>
      <c r="N24" s="110"/>
      <c r="O24" s="160">
        <f>O23+Q23</f>
        <v>0</v>
      </c>
      <c r="P24" s="188">
        <f>'SUB CPIF RATES (ALL)'!F39</f>
        <v>0</v>
      </c>
      <c r="Q24" s="113">
        <f>ROUND(O24*P24,2)</f>
        <v>0</v>
      </c>
    </row>
    <row r="25" spans="1:17" x14ac:dyDescent="0.25">
      <c r="A25" s="138"/>
      <c r="B25" s="112" t="str">
        <f>'SUB CPIF RATES (ALL)'!B40</f>
        <v>Indirect Labor Category: [Target Fee]</v>
      </c>
      <c r="C25" s="160">
        <f>+C23+E23</f>
        <v>0</v>
      </c>
      <c r="D25" s="188">
        <f>'SUB CPIF RATES (ALL)'!C40</f>
        <v>0</v>
      </c>
      <c r="E25" s="113">
        <f>ROUND(C25*D25,2)</f>
        <v>0</v>
      </c>
      <c r="F25" s="110"/>
      <c r="G25" s="160">
        <f>+G23+I23</f>
        <v>0</v>
      </c>
      <c r="H25" s="188">
        <f>'SUB CPIF RATES (ALL)'!D40</f>
        <v>0</v>
      </c>
      <c r="I25" s="113">
        <f>ROUND(G25*H25,2)</f>
        <v>0</v>
      </c>
      <c r="J25" s="110"/>
      <c r="K25" s="160">
        <f>+K23+M23</f>
        <v>0</v>
      </c>
      <c r="L25" s="188">
        <f>'SUB CPIF RATES (ALL)'!E40</f>
        <v>0</v>
      </c>
      <c r="M25" s="113">
        <f>ROUND(K25*L25,2)</f>
        <v>0</v>
      </c>
      <c r="N25" s="110"/>
      <c r="O25" s="160">
        <f>+O23+Q23</f>
        <v>0</v>
      </c>
      <c r="P25" s="188">
        <f>'SUB CPIF RATES (ALL)'!F40</f>
        <v>0</v>
      </c>
      <c r="Q25" s="113">
        <f>ROUND(O25*P25,2)</f>
        <v>0</v>
      </c>
    </row>
    <row r="26" spans="1:17" x14ac:dyDescent="0.25">
      <c r="A26" s="138"/>
      <c r="B26" s="205" t="s">
        <v>185</v>
      </c>
      <c r="C26" s="155"/>
      <c r="D26" s="156"/>
      <c r="E26" s="175">
        <f>ROUND(SUM(E18,E21,E22,E23),2)</f>
        <v>0</v>
      </c>
      <c r="F26" s="110"/>
      <c r="G26" s="151"/>
      <c r="H26" s="152"/>
      <c r="I26" s="175">
        <f>ROUND(SUM(I18,I21,I22,I23),2)</f>
        <v>0</v>
      </c>
      <c r="J26" s="110"/>
      <c r="K26" s="151"/>
      <c r="L26" s="152"/>
      <c r="M26" s="175">
        <f>ROUND(SUM(M18,M21,M22,M23),2)</f>
        <v>0</v>
      </c>
      <c r="N26" s="110"/>
      <c r="O26" s="151"/>
      <c r="P26" s="152"/>
      <c r="Q26" s="175">
        <f>ROUND(SUM(Q18,Q21,Q22,Q23),2)</f>
        <v>0</v>
      </c>
    </row>
    <row r="27" spans="1:17" x14ac:dyDescent="0.25">
      <c r="A27" s="138"/>
      <c r="B27" s="205" t="s">
        <v>72</v>
      </c>
      <c r="C27" s="155"/>
      <c r="D27" s="156"/>
      <c r="E27" s="175">
        <f>ROUND(E24,2)</f>
        <v>0</v>
      </c>
      <c r="F27" s="110"/>
      <c r="G27" s="151"/>
      <c r="H27" s="152"/>
      <c r="I27" s="175">
        <f>ROUND(I24,2)</f>
        <v>0</v>
      </c>
      <c r="J27" s="110"/>
      <c r="K27" s="151"/>
      <c r="L27" s="152"/>
      <c r="M27" s="175">
        <f>ROUND(M24,2)</f>
        <v>0</v>
      </c>
      <c r="N27" s="110"/>
      <c r="O27" s="151"/>
      <c r="P27" s="152"/>
      <c r="Q27" s="175">
        <f>ROUND(Q24,2)</f>
        <v>0</v>
      </c>
    </row>
    <row r="28" spans="1:17" x14ac:dyDescent="0.25">
      <c r="A28" s="138"/>
      <c r="B28" s="205" t="s">
        <v>71</v>
      </c>
      <c r="C28" s="155"/>
      <c r="D28" s="156"/>
      <c r="E28" s="190">
        <f>ROUND(E25,2)</f>
        <v>0</v>
      </c>
      <c r="F28" s="115"/>
      <c r="G28" s="151"/>
      <c r="H28" s="152"/>
      <c r="I28" s="190">
        <f>ROUND(I25,2)</f>
        <v>0</v>
      </c>
      <c r="J28" s="115"/>
      <c r="K28" s="151"/>
      <c r="L28" s="152"/>
      <c r="M28" s="190">
        <f>ROUND(M25,2)</f>
        <v>0</v>
      </c>
      <c r="N28" s="115"/>
      <c r="O28" s="151"/>
      <c r="P28" s="152"/>
      <c r="Q28" s="190">
        <f>ROUND(Q25,2)</f>
        <v>0</v>
      </c>
    </row>
    <row r="29" spans="1:17" ht="16.5" thickBot="1" x14ac:dyDescent="0.3">
      <c r="A29" s="138"/>
      <c r="B29" s="206" t="s">
        <v>73</v>
      </c>
      <c r="C29" s="157"/>
      <c r="D29" s="158"/>
      <c r="E29" s="191">
        <f>ROUND(SUM(E26:E28),2)</f>
        <v>0</v>
      </c>
      <c r="F29" s="116"/>
      <c r="G29" s="153"/>
      <c r="H29" s="154"/>
      <c r="I29" s="191">
        <f>ROUND(SUM(I26:I28),2)</f>
        <v>0</v>
      </c>
      <c r="J29" s="116"/>
      <c r="K29" s="153"/>
      <c r="L29" s="154"/>
      <c r="M29" s="191">
        <f>ROUND(SUM(M26:M28),2)</f>
        <v>0</v>
      </c>
      <c r="N29" s="116"/>
      <c r="O29" s="153"/>
      <c r="P29" s="154"/>
      <c r="Q29" s="191">
        <f>ROUND(SUM(Q26:Q28),2)</f>
        <v>0</v>
      </c>
    </row>
    <row r="30" spans="1:17" ht="16.5" thickBot="1" x14ac:dyDescent="0.3">
      <c r="A30" s="138"/>
      <c r="B30" s="117"/>
      <c r="C30" s="118"/>
      <c r="D30" s="118"/>
      <c r="E30" s="199"/>
      <c r="F30" s="199"/>
      <c r="G30" s="199"/>
      <c r="H30" s="199"/>
      <c r="I30" s="199"/>
      <c r="J30" s="199"/>
      <c r="K30" s="199"/>
      <c r="L30" s="118"/>
      <c r="M30" s="118"/>
      <c r="N30" s="110"/>
      <c r="O30" s="199"/>
      <c r="P30" s="118"/>
      <c r="Q30" s="118"/>
    </row>
    <row r="31" spans="1:17" ht="16.5" customHeight="1" thickBot="1" x14ac:dyDescent="0.3">
      <c r="A31" s="138"/>
      <c r="B31" s="523" t="str">
        <f>B14</f>
        <v>CLIN 0003 (CPIF)                                                    TASK 1.04 Material - DELIVERY OF SIL TO TO GOVERNMENT</v>
      </c>
      <c r="C31" s="490" t="s">
        <v>80</v>
      </c>
      <c r="D31" s="491"/>
      <c r="E31" s="492"/>
      <c r="F31" s="120"/>
      <c r="G31" s="490" t="s">
        <v>80</v>
      </c>
      <c r="H31" s="491"/>
      <c r="I31" s="492"/>
      <c r="J31" s="120"/>
      <c r="K31" s="490" t="s">
        <v>80</v>
      </c>
      <c r="L31" s="491"/>
      <c r="M31" s="492"/>
      <c r="N31" s="120"/>
      <c r="O31" s="490" t="s">
        <v>80</v>
      </c>
      <c r="P31" s="491"/>
      <c r="Q31" s="492"/>
    </row>
    <row r="32" spans="1:17" ht="32.25" customHeight="1" thickBot="1" x14ac:dyDescent="0.3">
      <c r="A32" s="138"/>
      <c r="B32" s="524"/>
      <c r="C32" s="487" t="str">
        <f>C15</f>
        <v>CLIN 0003 - Basic Period (Year 1)</v>
      </c>
      <c r="D32" s="488"/>
      <c r="E32" s="489"/>
      <c r="F32" s="121"/>
      <c r="G32" s="487" t="str">
        <f>G15</f>
        <v>CLIN 0003 - Basic Period (Year 2)</v>
      </c>
      <c r="H32" s="488"/>
      <c r="I32" s="489"/>
      <c r="J32" s="121"/>
      <c r="K32" s="487" t="str">
        <f>K15</f>
        <v>CLIN 0003 - Basic Period (Year 3)</v>
      </c>
      <c r="L32" s="488"/>
      <c r="M32" s="489"/>
      <c r="N32" s="121"/>
      <c r="O32" s="487" t="str">
        <f>O15</f>
        <v>CLIN 0003 - Basic Period (Year 4)</v>
      </c>
      <c r="P32" s="488"/>
      <c r="Q32" s="489"/>
    </row>
    <row r="33" spans="1:17" x14ac:dyDescent="0.25">
      <c r="A33" s="138"/>
      <c r="B33" s="192"/>
      <c r="C33" s="98" t="s">
        <v>289</v>
      </c>
      <c r="D33" s="99" t="s">
        <v>286</v>
      </c>
      <c r="E33" s="100" t="s">
        <v>88</v>
      </c>
      <c r="F33" s="111"/>
      <c r="G33" s="98" t="s">
        <v>289</v>
      </c>
      <c r="H33" s="99" t="s">
        <v>286</v>
      </c>
      <c r="I33" s="100" t="s">
        <v>88</v>
      </c>
      <c r="J33" s="111"/>
      <c r="K33" s="98" t="s">
        <v>289</v>
      </c>
      <c r="L33" s="99" t="s">
        <v>286</v>
      </c>
      <c r="M33" s="100" t="s">
        <v>88</v>
      </c>
      <c r="N33" s="111"/>
      <c r="O33" s="98" t="s">
        <v>289</v>
      </c>
      <c r="P33" s="99" t="s">
        <v>286</v>
      </c>
      <c r="Q33" s="100" t="s">
        <v>88</v>
      </c>
    </row>
    <row r="34" spans="1:17" ht="51.75" x14ac:dyDescent="0.25">
      <c r="A34" s="138"/>
      <c r="B34" s="240" t="s">
        <v>445</v>
      </c>
      <c r="C34" s="176"/>
      <c r="D34" s="177"/>
      <c r="E34" s="310">
        <f>'SUB CPIF TOTAL MATERIAL'!E33</f>
        <v>0</v>
      </c>
      <c r="F34" s="110"/>
      <c r="G34" s="176"/>
      <c r="H34" s="177"/>
      <c r="I34" s="310">
        <f>'SUB CPIF TOTAL MATERIAL'!G33</f>
        <v>0</v>
      </c>
      <c r="J34" s="110"/>
      <c r="K34" s="176"/>
      <c r="L34" s="177"/>
      <c r="M34" s="310">
        <f>'SUB CPIF TOTAL MATERIAL'!I33</f>
        <v>0</v>
      </c>
      <c r="N34" s="110"/>
      <c r="O34" s="176"/>
      <c r="P34" s="177"/>
      <c r="Q34" s="310">
        <f>'SUB CPIF TOTAL MATERIAL'!K33</f>
        <v>0</v>
      </c>
    </row>
    <row r="35" spans="1:17" ht="67.5" customHeight="1" x14ac:dyDescent="0.25">
      <c r="A35" s="138"/>
      <c r="B35" s="261" t="s">
        <v>446</v>
      </c>
      <c r="C35" s="315"/>
      <c r="D35" s="316"/>
      <c r="E35" s="310"/>
      <c r="F35" s="110"/>
      <c r="G35" s="315"/>
      <c r="H35" s="316"/>
      <c r="I35" s="310"/>
      <c r="J35" s="110"/>
      <c r="K35" s="315"/>
      <c r="L35" s="316"/>
      <c r="M35" s="310"/>
      <c r="N35" s="110"/>
      <c r="O35" s="315"/>
      <c r="P35" s="316"/>
      <c r="Q35" s="310"/>
    </row>
    <row r="36" spans="1:17" x14ac:dyDescent="0.25">
      <c r="A36" s="138"/>
      <c r="B36" s="112" t="str">
        <f>'SUB CPIF RATES (ALL)'!B53</f>
        <v>Indirect Category: [Material Overhead]</v>
      </c>
      <c r="C36" s="160">
        <f>+E34</f>
        <v>0</v>
      </c>
      <c r="D36" s="188">
        <f>'SUB CPIF RATES (ALL)'!C53</f>
        <v>0</v>
      </c>
      <c r="E36" s="113">
        <f>ROUND(C36*D36,2)</f>
        <v>0</v>
      </c>
      <c r="F36" s="123"/>
      <c r="G36" s="160">
        <f>+I34</f>
        <v>0</v>
      </c>
      <c r="H36" s="188">
        <f>'SUB CPIF RATES (ALL)'!D53</f>
        <v>0</v>
      </c>
      <c r="I36" s="113">
        <f>ROUND(G36*H36,2)</f>
        <v>0</v>
      </c>
      <c r="J36" s="123"/>
      <c r="K36" s="160">
        <f>+M34</f>
        <v>0</v>
      </c>
      <c r="L36" s="188">
        <f>'SUB CPIF RATES (ALL)'!E53</f>
        <v>0</v>
      </c>
      <c r="M36" s="113">
        <f>ROUND(K36*L36,2)</f>
        <v>0</v>
      </c>
      <c r="N36" s="123"/>
      <c r="O36" s="160">
        <f>+Q34</f>
        <v>0</v>
      </c>
      <c r="P36" s="188">
        <f>'SUB CPIF RATES (ALL)'!F53</f>
        <v>0</v>
      </c>
      <c r="Q36" s="113">
        <f>ROUND(O36*P36,2)</f>
        <v>0</v>
      </c>
    </row>
    <row r="37" spans="1:17" x14ac:dyDescent="0.25">
      <c r="A37" s="138"/>
      <c r="B37" s="112" t="str">
        <f>'SUB CPIF RATES (ALL)'!B54</f>
        <v>Indirect Category: [G&amp;A]</v>
      </c>
      <c r="C37" s="160">
        <f>+C36+E36</f>
        <v>0</v>
      </c>
      <c r="D37" s="188">
        <f>'SUB CPIF RATES (ALL)'!C54</f>
        <v>0</v>
      </c>
      <c r="E37" s="113">
        <f>ROUND(C37*D37,2)</f>
        <v>0</v>
      </c>
      <c r="F37" s="123"/>
      <c r="G37" s="160">
        <f>+G36+I36</f>
        <v>0</v>
      </c>
      <c r="H37" s="188">
        <f>'SUB CPIF RATES (ALL)'!D54</f>
        <v>0</v>
      </c>
      <c r="I37" s="113">
        <f>ROUND(G37*H37,2)</f>
        <v>0</v>
      </c>
      <c r="J37" s="123"/>
      <c r="K37" s="160">
        <f>+K36+M36</f>
        <v>0</v>
      </c>
      <c r="L37" s="188">
        <f>'SUB CPIF RATES (ALL)'!E54</f>
        <v>0</v>
      </c>
      <c r="M37" s="113">
        <f>ROUND(K37*L37,2)</f>
        <v>0</v>
      </c>
      <c r="N37" s="123"/>
      <c r="O37" s="160">
        <f>+O36+Q36</f>
        <v>0</v>
      </c>
      <c r="P37" s="188">
        <f>'SUB CPIF RATES (ALL)'!F54</f>
        <v>0</v>
      </c>
      <c r="Q37" s="113">
        <f>ROUND(O37*P37,2)</f>
        <v>0</v>
      </c>
    </row>
    <row r="38" spans="1:17" x14ac:dyDescent="0.25">
      <c r="A38" s="138"/>
      <c r="B38" s="112" t="str">
        <f>'SUB CPIF RATES (ALL)'!B55</f>
        <v>Indirect Category: [FCCOM]</v>
      </c>
      <c r="C38" s="160">
        <f>C37+E37</f>
        <v>0</v>
      </c>
      <c r="D38" s="188">
        <f>'SUB CPIF RATES (ALL)'!C55</f>
        <v>0</v>
      </c>
      <c r="E38" s="113">
        <f>ROUND(C38*D38,2)</f>
        <v>0</v>
      </c>
      <c r="F38" s="110"/>
      <c r="G38" s="160">
        <f>G37+I37</f>
        <v>0</v>
      </c>
      <c r="H38" s="188">
        <f>'SUB CPIF RATES (ALL)'!D55</f>
        <v>0</v>
      </c>
      <c r="I38" s="113">
        <f>ROUND(G38*H38,2)</f>
        <v>0</v>
      </c>
      <c r="J38" s="110"/>
      <c r="K38" s="160">
        <f>K37+M37</f>
        <v>0</v>
      </c>
      <c r="L38" s="188">
        <f>'SUB CPIF RATES (ALL)'!E55</f>
        <v>0</v>
      </c>
      <c r="M38" s="113">
        <f>ROUND(K38*L38,2)</f>
        <v>0</v>
      </c>
      <c r="N38" s="110"/>
      <c r="O38" s="160">
        <f>O37+Q37</f>
        <v>0</v>
      </c>
      <c r="P38" s="188">
        <f>'SUB CPIF RATES (ALL)'!F55</f>
        <v>0</v>
      </c>
      <c r="Q38" s="113">
        <f>ROUND(O38*P38,2)</f>
        <v>0</v>
      </c>
    </row>
    <row r="39" spans="1:17" x14ac:dyDescent="0.25">
      <c r="A39" s="138"/>
      <c r="B39" s="112" t="str">
        <f>'SUB CPIF RATES (ALL)'!B56</f>
        <v>Indirect Category: [Target Fee]</v>
      </c>
      <c r="C39" s="160">
        <f>+C37+E37</f>
        <v>0</v>
      </c>
      <c r="D39" s="188">
        <f>'SUB CPIF RATES (ALL)'!C56</f>
        <v>0</v>
      </c>
      <c r="E39" s="113">
        <f>ROUND(C39*D39,2)</f>
        <v>0</v>
      </c>
      <c r="F39" s="110"/>
      <c r="G39" s="160">
        <f>+G37+I37</f>
        <v>0</v>
      </c>
      <c r="H39" s="188">
        <f>'SUB CPIF RATES (ALL)'!D56</f>
        <v>0</v>
      </c>
      <c r="I39" s="113">
        <f>ROUND(G39*H39,2)</f>
        <v>0</v>
      </c>
      <c r="J39" s="110"/>
      <c r="K39" s="160">
        <f>+K37+M37</f>
        <v>0</v>
      </c>
      <c r="L39" s="188">
        <f>'SUB CPIF RATES (ALL)'!E56</f>
        <v>0</v>
      </c>
      <c r="M39" s="113">
        <f>ROUND(K39*L39,2)</f>
        <v>0</v>
      </c>
      <c r="N39" s="110"/>
      <c r="O39" s="160">
        <f>+O37+Q37</f>
        <v>0</v>
      </c>
      <c r="P39" s="188">
        <f>'SUB CPIF RATES (ALL)'!F56</f>
        <v>0</v>
      </c>
      <c r="Q39" s="113">
        <f>ROUND(O39*P39,2)</f>
        <v>0</v>
      </c>
    </row>
    <row r="40" spans="1:17" x14ac:dyDescent="0.25">
      <c r="A40" s="138"/>
      <c r="B40" s="186" t="s">
        <v>186</v>
      </c>
      <c r="C40" s="178"/>
      <c r="D40" s="179"/>
      <c r="E40" s="113">
        <f>+ROUND(SUM(E34:E37),2)</f>
        <v>0</v>
      </c>
      <c r="F40" s="110"/>
      <c r="G40" s="178"/>
      <c r="H40" s="179"/>
      <c r="I40" s="113">
        <f>+ROUND(SUM(I34:I37),2)</f>
        <v>0</v>
      </c>
      <c r="J40" s="110"/>
      <c r="K40" s="178"/>
      <c r="L40" s="179"/>
      <c r="M40" s="113">
        <f>+ROUND(SUM(M34:M37),2)</f>
        <v>0</v>
      </c>
      <c r="N40" s="110"/>
      <c r="O40" s="178"/>
      <c r="P40" s="179"/>
      <c r="Q40" s="113">
        <f>+ROUND(SUM(Q34:Q37),2)</f>
        <v>0</v>
      </c>
    </row>
    <row r="41" spans="1:17" x14ac:dyDescent="0.25">
      <c r="A41" s="138"/>
      <c r="B41" s="186" t="s">
        <v>72</v>
      </c>
      <c r="C41" s="176"/>
      <c r="D41" s="180"/>
      <c r="E41" s="113">
        <f>+ROUND(E38,2)</f>
        <v>0</v>
      </c>
      <c r="F41" s="110"/>
      <c r="G41" s="176"/>
      <c r="H41" s="180"/>
      <c r="I41" s="113">
        <f>+ROUND(I38,2)</f>
        <v>0</v>
      </c>
      <c r="J41" s="110"/>
      <c r="K41" s="176"/>
      <c r="L41" s="180"/>
      <c r="M41" s="113">
        <f>+ROUND(M38,2)</f>
        <v>0</v>
      </c>
      <c r="N41" s="110"/>
      <c r="O41" s="176"/>
      <c r="P41" s="180"/>
      <c r="Q41" s="113">
        <f>+ROUND(Q38,2)</f>
        <v>0</v>
      </c>
    </row>
    <row r="42" spans="1:17" x14ac:dyDescent="0.2">
      <c r="B42" s="186" t="s">
        <v>71</v>
      </c>
      <c r="C42" s="176"/>
      <c r="D42" s="180"/>
      <c r="E42" s="127">
        <f>+ROUND(E39,2)</f>
        <v>0</v>
      </c>
      <c r="F42" s="128"/>
      <c r="G42" s="176"/>
      <c r="H42" s="180"/>
      <c r="I42" s="127">
        <f>+ROUND(I39,2)</f>
        <v>0</v>
      </c>
      <c r="J42" s="128"/>
      <c r="K42" s="176"/>
      <c r="L42" s="180"/>
      <c r="M42" s="127">
        <f>+ROUND(M39,2)</f>
        <v>0</v>
      </c>
      <c r="N42" s="128"/>
      <c r="O42" s="176"/>
      <c r="P42" s="180"/>
      <c r="Q42" s="127">
        <f>+ROUND(Q39,2)</f>
        <v>0</v>
      </c>
    </row>
    <row r="43" spans="1:17" ht="16.5" thickBot="1" x14ac:dyDescent="0.25">
      <c r="B43" s="187" t="s">
        <v>173</v>
      </c>
      <c r="C43" s="181"/>
      <c r="D43" s="182"/>
      <c r="E43" s="105">
        <f>ROUND(SUM(E40:E42),2)</f>
        <v>0</v>
      </c>
      <c r="F43" s="106"/>
      <c r="G43" s="181"/>
      <c r="H43" s="182"/>
      <c r="I43" s="105">
        <f>ROUND(SUM(I40:I42),2)</f>
        <v>0</v>
      </c>
      <c r="J43" s="106"/>
      <c r="K43" s="181"/>
      <c r="L43" s="182"/>
      <c r="M43" s="105">
        <f>ROUND(SUM(M40:M42),2)</f>
        <v>0</v>
      </c>
      <c r="N43" s="106"/>
      <c r="O43" s="181"/>
      <c r="P43" s="182"/>
      <c r="Q43" s="105">
        <f>ROUND(SUM(Q40:Q42),2)</f>
        <v>0</v>
      </c>
    </row>
    <row r="44" spans="1:17" ht="16.5" thickBot="1" x14ac:dyDescent="0.25">
      <c r="B44" s="117"/>
      <c r="E44" s="194"/>
      <c r="F44" s="194"/>
      <c r="G44" s="194"/>
      <c r="H44" s="194"/>
      <c r="I44" s="194"/>
      <c r="J44" s="194"/>
      <c r="K44" s="194"/>
      <c r="N44" s="132"/>
      <c r="O44" s="194"/>
    </row>
    <row r="45" spans="1:17" ht="16.5" thickBot="1" x14ac:dyDescent="0.3">
      <c r="B45" s="523" t="str">
        <f>B14</f>
        <v>CLIN 0003 (CPIF)                                                    TASK 1.04 Material - DELIVERY OF SIL TO TO GOVERNMENT</v>
      </c>
      <c r="C45" s="490" t="s">
        <v>212</v>
      </c>
      <c r="D45" s="491"/>
      <c r="E45" s="492"/>
      <c r="F45" s="120"/>
      <c r="G45" s="490" t="s">
        <v>212</v>
      </c>
      <c r="H45" s="491"/>
      <c r="I45" s="492"/>
      <c r="J45" s="120"/>
      <c r="K45" s="490" t="s">
        <v>212</v>
      </c>
      <c r="L45" s="491"/>
      <c r="M45" s="492"/>
      <c r="N45" s="120"/>
      <c r="O45" s="490" t="s">
        <v>212</v>
      </c>
      <c r="P45" s="491"/>
      <c r="Q45" s="492"/>
    </row>
    <row r="46" spans="1:17" ht="27.75" customHeight="1" thickBot="1" x14ac:dyDescent="0.3">
      <c r="B46" s="524"/>
      <c r="C46" s="520" t="str">
        <f>C32</f>
        <v>CLIN 0003 - Basic Period (Year 1)</v>
      </c>
      <c r="D46" s="521"/>
      <c r="E46" s="522"/>
      <c r="F46" s="121"/>
      <c r="G46" s="520" t="str">
        <f>G32</f>
        <v>CLIN 0003 - Basic Period (Year 2)</v>
      </c>
      <c r="H46" s="521"/>
      <c r="I46" s="522"/>
      <c r="J46" s="121"/>
      <c r="K46" s="520" t="str">
        <f>K32</f>
        <v>CLIN 0003 - Basic Period (Year 3)</v>
      </c>
      <c r="L46" s="521"/>
      <c r="M46" s="522"/>
      <c r="N46" s="121"/>
      <c r="O46" s="520" t="str">
        <f>O32</f>
        <v>CLIN 0003 - Basic Period (Year 4)</v>
      </c>
      <c r="P46" s="521"/>
      <c r="Q46" s="522"/>
    </row>
    <row r="47" spans="1:17" x14ac:dyDescent="0.25">
      <c r="B47" s="193"/>
      <c r="C47" s="98" t="s">
        <v>289</v>
      </c>
      <c r="D47" s="99" t="s">
        <v>286</v>
      </c>
      <c r="E47" s="100" t="s">
        <v>287</v>
      </c>
      <c r="F47" s="111"/>
      <c r="G47" s="98" t="s">
        <v>289</v>
      </c>
      <c r="H47" s="99" t="s">
        <v>286</v>
      </c>
      <c r="I47" s="100" t="s">
        <v>287</v>
      </c>
      <c r="J47" s="111"/>
      <c r="K47" s="98" t="s">
        <v>289</v>
      </c>
      <c r="L47" s="99" t="s">
        <v>286</v>
      </c>
      <c r="M47" s="100" t="s">
        <v>287</v>
      </c>
      <c r="N47" s="111"/>
      <c r="O47" s="98" t="s">
        <v>289</v>
      </c>
      <c r="P47" s="99" t="s">
        <v>286</v>
      </c>
      <c r="Q47" s="100" t="s">
        <v>287</v>
      </c>
    </row>
    <row r="48" spans="1:17" ht="25.5" x14ac:dyDescent="0.2">
      <c r="B48" s="240" t="s">
        <v>447</v>
      </c>
      <c r="C48" s="226"/>
      <c r="D48" s="226"/>
      <c r="E48" s="262">
        <f>'SUB CPIF TOTAL SUB'!E33</f>
        <v>0</v>
      </c>
      <c r="F48" s="229"/>
      <c r="G48" s="176"/>
      <c r="H48" s="226"/>
      <c r="I48" s="262">
        <f>'SUB CPIF TOTAL SUB'!G33</f>
        <v>0</v>
      </c>
      <c r="J48" s="229"/>
      <c r="K48" s="176"/>
      <c r="L48" s="226"/>
      <c r="M48" s="262">
        <f>'SUB CPIF TOTAL SUB'!I33</f>
        <v>0</v>
      </c>
      <c r="N48" s="110"/>
      <c r="O48" s="176"/>
      <c r="P48" s="226"/>
      <c r="Q48" s="262">
        <f>'SUB CPIF TOTAL SUB'!K33</f>
        <v>0</v>
      </c>
    </row>
    <row r="49" spans="1:17" ht="76.5" x14ac:dyDescent="0.2">
      <c r="B49" s="261" t="s">
        <v>448</v>
      </c>
      <c r="C49" s="527" t="s">
        <v>1</v>
      </c>
      <c r="D49" s="528"/>
      <c r="E49" s="529"/>
      <c r="F49" s="123"/>
      <c r="G49" s="530"/>
      <c r="H49" s="528"/>
      <c r="I49" s="529"/>
      <c r="J49" s="123"/>
      <c r="K49" s="530"/>
      <c r="L49" s="528"/>
      <c r="M49" s="529"/>
      <c r="N49" s="123"/>
      <c r="O49" s="530"/>
      <c r="P49" s="528"/>
      <c r="Q49" s="529"/>
    </row>
    <row r="50" spans="1:17" x14ac:dyDescent="0.2">
      <c r="B50" s="228" t="str">
        <f>'SUB CPIF RATES (ALL)'!B45</f>
        <v>Indirect Category: [Overhead]</v>
      </c>
      <c r="C50" s="227">
        <f>E48</f>
        <v>0</v>
      </c>
      <c r="D50" s="188">
        <f>'SUB CPIF RATES (ALL)'!C45</f>
        <v>0</v>
      </c>
      <c r="E50" s="113">
        <f>ROUND(C50*D50,2)</f>
        <v>0</v>
      </c>
      <c r="F50" s="123"/>
      <c r="G50" s="160">
        <f>I48</f>
        <v>0</v>
      </c>
      <c r="H50" s="188">
        <f>'SUB CPIF RATES (ALL)'!D45</f>
        <v>0</v>
      </c>
      <c r="I50" s="113">
        <f>ROUND(G50*H50,2)</f>
        <v>0</v>
      </c>
      <c r="J50" s="123"/>
      <c r="K50" s="160">
        <f>M48</f>
        <v>0</v>
      </c>
      <c r="L50" s="188">
        <f>'SUB CPIF RATES (ALL)'!E45</f>
        <v>0</v>
      </c>
      <c r="M50" s="113">
        <f>ROUND(K50*L50,2)</f>
        <v>0</v>
      </c>
      <c r="N50" s="123"/>
      <c r="O50" s="160">
        <f>Q48</f>
        <v>0</v>
      </c>
      <c r="P50" s="188">
        <f>'SUB CPIF RATES (ALL)'!F45</f>
        <v>0</v>
      </c>
      <c r="Q50" s="113">
        <f>ROUND(O50*P50,2)</f>
        <v>0</v>
      </c>
    </row>
    <row r="51" spans="1:17" x14ac:dyDescent="0.2">
      <c r="B51" s="228" t="str">
        <f>'SUB CPIF RATES (ALL)'!B46</f>
        <v>Indirect Category: [G&amp;A]</v>
      </c>
      <c r="C51" s="227">
        <f>C50+E50</f>
        <v>0</v>
      </c>
      <c r="D51" s="188">
        <f>'SUB CPIF RATES (ALL)'!C46</f>
        <v>0</v>
      </c>
      <c r="E51" s="113">
        <f>ROUND(C51*D51,2)</f>
        <v>0</v>
      </c>
      <c r="F51" s="229"/>
      <c r="G51" s="227">
        <f>G50+I50</f>
        <v>0</v>
      </c>
      <c r="H51" s="188">
        <f>'SUB CPIF RATES (ALL)'!D46</f>
        <v>0</v>
      </c>
      <c r="I51" s="113">
        <f>ROUND(G51*H51,2)</f>
        <v>0</v>
      </c>
      <c r="J51" s="229"/>
      <c r="K51" s="227">
        <f>K50+M50</f>
        <v>0</v>
      </c>
      <c r="L51" s="188">
        <f>'SUB CPIF RATES (ALL)'!E46</f>
        <v>0</v>
      </c>
      <c r="M51" s="113">
        <f>ROUND(K51*L51,2)</f>
        <v>0</v>
      </c>
      <c r="N51" s="110"/>
      <c r="O51" s="227">
        <f>O50+Q50</f>
        <v>0</v>
      </c>
      <c r="P51" s="188">
        <f>'SUB CPIF RATES (ALL)'!F46</f>
        <v>0</v>
      </c>
      <c r="Q51" s="113">
        <f>ROUND(O51*P51,2)</f>
        <v>0</v>
      </c>
    </row>
    <row r="52" spans="1:17" x14ac:dyDescent="0.2">
      <c r="B52" s="266" t="str">
        <f>'SUB CPIF RATES (ALL)'!B47</f>
        <v>Indirect Category: [FCCOM]</v>
      </c>
      <c r="C52" s="160">
        <f>C51+E51</f>
        <v>0</v>
      </c>
      <c r="D52" s="188">
        <f>'SUB CPIF RATES (ALL)'!C47</f>
        <v>0</v>
      </c>
      <c r="E52" s="268">
        <f>ROUND(C52*D52,2)</f>
        <v>0</v>
      </c>
      <c r="F52" s="229"/>
      <c r="G52" s="160">
        <f>G51+I51</f>
        <v>0</v>
      </c>
      <c r="H52" s="188">
        <f>'SUB CPIF RATES (ALL)'!D47</f>
        <v>0</v>
      </c>
      <c r="I52" s="268">
        <f>ROUND(G52*H52,2)</f>
        <v>0</v>
      </c>
      <c r="J52" s="229"/>
      <c r="K52" s="160">
        <f>K51+M51</f>
        <v>0</v>
      </c>
      <c r="L52" s="188">
        <f>'SUB CPIF RATES (ALL)'!E47</f>
        <v>0</v>
      </c>
      <c r="M52" s="268">
        <f>ROUND(K52*L52,2)</f>
        <v>0</v>
      </c>
      <c r="N52" s="110"/>
      <c r="O52" s="160">
        <f>O51+Q51</f>
        <v>0</v>
      </c>
      <c r="P52" s="188">
        <f>'SUB CPIF RATES (ALL)'!F47</f>
        <v>0</v>
      </c>
      <c r="Q52" s="268">
        <f>ROUND(O52*P52,2)</f>
        <v>0</v>
      </c>
    </row>
    <row r="53" spans="1:17" x14ac:dyDescent="0.2">
      <c r="B53" s="112" t="str">
        <f>'SUB CPIF RATES (ALL)'!B48</f>
        <v>Indirect Category: [Target Fee]</v>
      </c>
      <c r="C53" s="159">
        <f>C51+E51</f>
        <v>0</v>
      </c>
      <c r="D53" s="269">
        <f>'SUB CPIF RATES (ALL)'!C48</f>
        <v>0</v>
      </c>
      <c r="E53" s="268">
        <f>ROUND(C53*D53,2)</f>
        <v>0</v>
      </c>
      <c r="F53" s="229"/>
      <c r="G53" s="159">
        <f>G51+I51</f>
        <v>0</v>
      </c>
      <c r="H53" s="269">
        <f>'SUB CPIF RATES (ALL)'!D48</f>
        <v>0</v>
      </c>
      <c r="I53" s="268">
        <f>ROUND(G53*H53,2)</f>
        <v>0</v>
      </c>
      <c r="J53" s="229"/>
      <c r="K53" s="159">
        <f>K51+M51</f>
        <v>0</v>
      </c>
      <c r="L53" s="269">
        <f>'SUB CPIF RATES (ALL)'!E48</f>
        <v>0</v>
      </c>
      <c r="M53" s="268">
        <f>ROUND(K53*L53,2)</f>
        <v>0</v>
      </c>
      <c r="N53" s="110"/>
      <c r="O53" s="159">
        <f>O51+Q51</f>
        <v>0</v>
      </c>
      <c r="P53" s="269">
        <f>'SUB CPIF RATES (ALL)'!F48</f>
        <v>0</v>
      </c>
      <c r="Q53" s="268">
        <f>ROUND(O53*P53,2)</f>
        <v>0</v>
      </c>
    </row>
    <row r="54" spans="1:17" x14ac:dyDescent="0.2">
      <c r="B54" s="186" t="s">
        <v>214</v>
      </c>
      <c r="C54" s="178"/>
      <c r="D54" s="179"/>
      <c r="E54" s="113">
        <f>ROUND(E48+E50+E51,2)</f>
        <v>0</v>
      </c>
      <c r="F54" s="229"/>
      <c r="G54" s="178"/>
      <c r="H54" s="179"/>
      <c r="I54" s="113">
        <f>ROUND(I48+I50+I51,2)</f>
        <v>0</v>
      </c>
      <c r="J54" s="229"/>
      <c r="K54" s="178"/>
      <c r="L54" s="179"/>
      <c r="M54" s="113">
        <f>ROUND(M48+M50+M51,2)</f>
        <v>0</v>
      </c>
      <c r="N54" s="110"/>
      <c r="O54" s="178"/>
      <c r="P54" s="179"/>
      <c r="Q54" s="113">
        <f>ROUND(Q48+Q50+Q51,2)</f>
        <v>0</v>
      </c>
    </row>
    <row r="55" spans="1:17" x14ac:dyDescent="0.2">
      <c r="B55" s="186" t="s">
        <v>204</v>
      </c>
      <c r="C55" s="176"/>
      <c r="D55" s="180"/>
      <c r="E55" s="113">
        <f>ROUND(E52,2)</f>
        <v>0</v>
      </c>
      <c r="F55" s="229"/>
      <c r="G55" s="176"/>
      <c r="H55" s="180"/>
      <c r="I55" s="113">
        <f>ROUND(I52,2)</f>
        <v>0</v>
      </c>
      <c r="J55" s="229"/>
      <c r="K55" s="176"/>
      <c r="L55" s="180"/>
      <c r="M55" s="113">
        <f>ROUND(M52,2)</f>
        <v>0</v>
      </c>
      <c r="N55" s="110"/>
      <c r="O55" s="176"/>
      <c r="P55" s="180"/>
      <c r="Q55" s="113">
        <f>ROUND(Q52,2)</f>
        <v>0</v>
      </c>
    </row>
    <row r="56" spans="1:17" x14ac:dyDescent="0.2">
      <c r="B56" s="186" t="s">
        <v>71</v>
      </c>
      <c r="C56" s="176"/>
      <c r="D56" s="180"/>
      <c r="E56" s="127">
        <f>ROUND(E53,2)</f>
        <v>0</v>
      </c>
      <c r="F56" s="128"/>
      <c r="G56" s="176"/>
      <c r="H56" s="180"/>
      <c r="I56" s="127">
        <f>ROUND(I53,2)</f>
        <v>0</v>
      </c>
      <c r="J56" s="128"/>
      <c r="K56" s="176"/>
      <c r="L56" s="180"/>
      <c r="M56" s="127">
        <f>ROUND(M53,2)</f>
        <v>0</v>
      </c>
      <c r="N56" s="128"/>
      <c r="O56" s="176"/>
      <c r="P56" s="180"/>
      <c r="Q56" s="127">
        <f>ROUND(Q53,2)</f>
        <v>0</v>
      </c>
    </row>
    <row r="57" spans="1:17" ht="16.5" thickBot="1" x14ac:dyDescent="0.25">
      <c r="B57" s="187" t="s">
        <v>215</v>
      </c>
      <c r="C57" s="181"/>
      <c r="D57" s="182"/>
      <c r="E57" s="105">
        <f>ROUND(SUM(E54:E56),2)</f>
        <v>0</v>
      </c>
      <c r="F57" s="106"/>
      <c r="G57" s="181"/>
      <c r="H57" s="182"/>
      <c r="I57" s="105">
        <f>ROUND(SUM(I54:I56),2)</f>
        <v>0</v>
      </c>
      <c r="J57" s="106"/>
      <c r="K57" s="181"/>
      <c r="L57" s="182"/>
      <c r="M57" s="105">
        <f>ROUND(SUM(M54:M56),2)</f>
        <v>0</v>
      </c>
      <c r="N57" s="106"/>
      <c r="O57" s="181"/>
      <c r="P57" s="182"/>
      <c r="Q57" s="105">
        <f>ROUND(SUM(Q54:Q56),2)</f>
        <v>0</v>
      </c>
    </row>
    <row r="58" spans="1:17" ht="16.5" thickBot="1" x14ac:dyDescent="0.25">
      <c r="B58" s="117"/>
      <c r="E58" s="194"/>
      <c r="F58" s="194"/>
      <c r="G58" s="194"/>
      <c r="H58" s="194"/>
      <c r="I58" s="194"/>
      <c r="J58" s="194"/>
      <c r="K58" s="194"/>
      <c r="N58" s="132"/>
      <c r="O58" s="194"/>
    </row>
    <row r="59" spans="1:17" ht="16.5" customHeight="1" thickBot="1" x14ac:dyDescent="0.3">
      <c r="A59" s="138"/>
      <c r="B59" s="523" t="str">
        <f>B31</f>
        <v>CLIN 0003 (CPIF)                                                    TASK 1.04 Material - DELIVERY OF SIL TO TO GOVERNMENT</v>
      </c>
      <c r="C59" s="490" t="s">
        <v>81</v>
      </c>
      <c r="D59" s="491"/>
      <c r="E59" s="492"/>
      <c r="F59" s="120"/>
      <c r="G59" s="490" t="s">
        <v>82</v>
      </c>
      <c r="H59" s="491"/>
      <c r="I59" s="492"/>
      <c r="J59" s="120"/>
      <c r="K59" s="490" t="s">
        <v>82</v>
      </c>
      <c r="L59" s="491"/>
      <c r="M59" s="492"/>
      <c r="N59" s="120"/>
      <c r="O59" s="490" t="s">
        <v>82</v>
      </c>
      <c r="P59" s="491"/>
      <c r="Q59" s="492"/>
    </row>
    <row r="60" spans="1:17" ht="33.75" customHeight="1" thickBot="1" x14ac:dyDescent="0.3">
      <c r="A60" s="138"/>
      <c r="B60" s="524"/>
      <c r="C60" s="487" t="str">
        <f>C32</f>
        <v>CLIN 0003 - Basic Period (Year 1)</v>
      </c>
      <c r="D60" s="488"/>
      <c r="E60" s="489"/>
      <c r="F60" s="121"/>
      <c r="G60" s="487" t="str">
        <f>G32</f>
        <v>CLIN 0003 - Basic Period (Year 2)</v>
      </c>
      <c r="H60" s="488"/>
      <c r="I60" s="489"/>
      <c r="J60" s="121"/>
      <c r="K60" s="487" t="str">
        <f>K32</f>
        <v>CLIN 0003 - Basic Period (Year 3)</v>
      </c>
      <c r="L60" s="488"/>
      <c r="M60" s="489"/>
      <c r="N60" s="121"/>
      <c r="O60" s="487" t="str">
        <f>O32</f>
        <v>CLIN 0003 - Basic Period (Year 4)</v>
      </c>
      <c r="P60" s="488"/>
      <c r="Q60" s="489"/>
    </row>
    <row r="61" spans="1:17" x14ac:dyDescent="0.25">
      <c r="A61" s="138"/>
      <c r="B61" s="193"/>
      <c r="C61" s="98" t="s">
        <v>289</v>
      </c>
      <c r="D61" s="99" t="s">
        <v>286</v>
      </c>
      <c r="E61" s="100" t="s">
        <v>89</v>
      </c>
      <c r="F61" s="111"/>
      <c r="G61" s="98" t="s">
        <v>289</v>
      </c>
      <c r="H61" s="99" t="s">
        <v>286</v>
      </c>
      <c r="I61" s="100" t="s">
        <v>89</v>
      </c>
      <c r="J61" s="111"/>
      <c r="K61" s="98" t="s">
        <v>289</v>
      </c>
      <c r="L61" s="99" t="s">
        <v>286</v>
      </c>
      <c r="M61" s="100" t="s">
        <v>89</v>
      </c>
      <c r="N61" s="111"/>
      <c r="O61" s="98" t="s">
        <v>289</v>
      </c>
      <c r="P61" s="99" t="s">
        <v>286</v>
      </c>
      <c r="Q61" s="100" t="s">
        <v>89</v>
      </c>
    </row>
    <row r="62" spans="1:17" ht="26.25" x14ac:dyDescent="0.25">
      <c r="A62" s="138"/>
      <c r="B62" s="240" t="s">
        <v>449</v>
      </c>
      <c r="C62" s="176"/>
      <c r="D62" s="226"/>
      <c r="E62" s="262">
        <f>'SUB CPIF TOTAL ODC'!E34</f>
        <v>0</v>
      </c>
      <c r="F62" s="229"/>
      <c r="G62" s="176"/>
      <c r="H62" s="226"/>
      <c r="I62" s="262">
        <f>'SUB CPIF TOTAL ODC'!G34</f>
        <v>0</v>
      </c>
      <c r="J62" s="229"/>
      <c r="K62" s="176"/>
      <c r="L62" s="226"/>
      <c r="M62" s="310">
        <f>'SUB CPIF TOTAL ODC'!I34</f>
        <v>0</v>
      </c>
      <c r="N62" s="229"/>
      <c r="O62" s="176"/>
      <c r="P62" s="226"/>
      <c r="Q62" s="310">
        <f>'SUB CPIF TOTAL ODC'!K34</f>
        <v>0</v>
      </c>
    </row>
    <row r="63" spans="1:17" ht="66" customHeight="1" x14ac:dyDescent="0.25">
      <c r="A63" s="138"/>
      <c r="B63" s="374" t="s">
        <v>450</v>
      </c>
      <c r="C63" s="314"/>
      <c r="D63" s="314"/>
      <c r="E63" s="313"/>
      <c r="F63" s="229"/>
      <c r="G63" s="315"/>
      <c r="H63" s="314"/>
      <c r="I63" s="313"/>
      <c r="J63" s="229"/>
      <c r="K63" s="315"/>
      <c r="L63" s="314"/>
      <c r="M63" s="310"/>
      <c r="N63" s="229"/>
      <c r="O63" s="315"/>
      <c r="P63" s="314"/>
      <c r="Q63" s="310"/>
    </row>
    <row r="64" spans="1:17" x14ac:dyDescent="0.25">
      <c r="A64" s="138"/>
      <c r="B64" s="112" t="s">
        <v>60</v>
      </c>
      <c r="C64" s="306">
        <f>+E62</f>
        <v>0</v>
      </c>
      <c r="D64" s="188">
        <f>'SUB CPIF RATES (ALL)'!C61</f>
        <v>0</v>
      </c>
      <c r="E64" s="113">
        <f>ROUND(C64*D64,2)</f>
        <v>0</v>
      </c>
      <c r="F64" s="123"/>
      <c r="G64" s="306">
        <f>+I62</f>
        <v>0</v>
      </c>
      <c r="H64" s="188">
        <f>'SUB CPIF RATES (ALL)'!D61</f>
        <v>0</v>
      </c>
      <c r="I64" s="113">
        <f>ROUND(G64*H64,2)</f>
        <v>0</v>
      </c>
      <c r="J64" s="123"/>
      <c r="K64" s="306">
        <f>+M62</f>
        <v>0</v>
      </c>
      <c r="L64" s="188">
        <f>'SUB CPIF RATES (ALL)'!E61</f>
        <v>0</v>
      </c>
      <c r="M64" s="113">
        <f>ROUND(K64*L64,2)</f>
        <v>0</v>
      </c>
      <c r="N64" s="123"/>
      <c r="O64" s="306">
        <f>+Q62</f>
        <v>0</v>
      </c>
      <c r="P64" s="188">
        <f>'SUB CPIF RATES (ALL)'!F61</f>
        <v>0</v>
      </c>
      <c r="Q64" s="113">
        <f>ROUND(O64*P64,2)</f>
        <v>0</v>
      </c>
    </row>
    <row r="65" spans="1:17" x14ac:dyDescent="0.25">
      <c r="A65" s="138"/>
      <c r="B65" s="112" t="s">
        <v>61</v>
      </c>
      <c r="C65" s="306">
        <f>+C64+E64</f>
        <v>0</v>
      </c>
      <c r="D65" s="188">
        <f>'SUB CPIF RATES (ALL)'!C62</f>
        <v>0</v>
      </c>
      <c r="E65" s="113">
        <f>ROUND(C65*D65,2)</f>
        <v>0</v>
      </c>
      <c r="F65" s="123"/>
      <c r="G65" s="306">
        <f>+G64+I64</f>
        <v>0</v>
      </c>
      <c r="H65" s="188">
        <f>'SUB CPIF RATES (ALL)'!D62</f>
        <v>0</v>
      </c>
      <c r="I65" s="113">
        <f>ROUND(G65*H65,2)</f>
        <v>0</v>
      </c>
      <c r="J65" s="123"/>
      <c r="K65" s="306">
        <f>+K64+M64</f>
        <v>0</v>
      </c>
      <c r="L65" s="188">
        <f>'SUB CPIF RATES (ALL)'!E62</f>
        <v>0</v>
      </c>
      <c r="M65" s="113">
        <f>ROUND(K65*L65,2)</f>
        <v>0</v>
      </c>
      <c r="N65" s="123"/>
      <c r="O65" s="306">
        <f>+O64+Q64</f>
        <v>0</v>
      </c>
      <c r="P65" s="188">
        <f>'SUB CPIF RATES (ALL)'!F62</f>
        <v>0</v>
      </c>
      <c r="Q65" s="113">
        <f>ROUND(O65*P65,2)</f>
        <v>0</v>
      </c>
    </row>
    <row r="66" spans="1:17" x14ac:dyDescent="0.25">
      <c r="A66" s="138"/>
      <c r="B66" s="112" t="s">
        <v>411</v>
      </c>
      <c r="C66" s="160">
        <f>C65+E65</f>
        <v>0</v>
      </c>
      <c r="D66" s="188">
        <f>'SUB CPIF RATES (ALL)'!C63</f>
        <v>0</v>
      </c>
      <c r="E66" s="113">
        <f>ROUND(C66*D66,2)</f>
        <v>0</v>
      </c>
      <c r="F66" s="229"/>
      <c r="G66" s="160">
        <f>G65+I65</f>
        <v>0</v>
      </c>
      <c r="H66" s="188">
        <f>'SUB CPIF RATES (ALL)'!D63</f>
        <v>0</v>
      </c>
      <c r="I66" s="113">
        <f>ROUND(G66*H66,2)</f>
        <v>0</v>
      </c>
      <c r="J66" s="229"/>
      <c r="K66" s="160">
        <f>K65+M65</f>
        <v>0</v>
      </c>
      <c r="L66" s="188">
        <f>'SUB CPIF RATES (ALL)'!E63</f>
        <v>0</v>
      </c>
      <c r="M66" s="113">
        <f>ROUND(K66*L66,2)</f>
        <v>0</v>
      </c>
      <c r="N66" s="229"/>
      <c r="O66" s="160">
        <f>O65+Q65</f>
        <v>0</v>
      </c>
      <c r="P66" s="188">
        <f>'SUB CPIF RATES (ALL)'!F63</f>
        <v>0</v>
      </c>
      <c r="Q66" s="113">
        <f>ROUND(O66*P66,2)</f>
        <v>0</v>
      </c>
    </row>
    <row r="67" spans="1:17" x14ac:dyDescent="0.25">
      <c r="A67" s="138"/>
      <c r="B67" s="112" t="s">
        <v>62</v>
      </c>
      <c r="C67" s="306">
        <f>+C65+E65</f>
        <v>0</v>
      </c>
      <c r="D67" s="269">
        <f>'SUB CPIF RATES (ALL)'!C64</f>
        <v>0</v>
      </c>
      <c r="E67" s="113">
        <f>ROUND(C67*D67,2)</f>
        <v>0</v>
      </c>
      <c r="F67" s="229"/>
      <c r="G67" s="306">
        <f>+G65+I65</f>
        <v>0</v>
      </c>
      <c r="H67" s="269">
        <f>'SUB CPIF RATES (ALL)'!D64</f>
        <v>0</v>
      </c>
      <c r="I67" s="113">
        <f>ROUND(G67*H67,2)</f>
        <v>0</v>
      </c>
      <c r="J67" s="229"/>
      <c r="K67" s="306">
        <f>+K65+M65</f>
        <v>0</v>
      </c>
      <c r="L67" s="269">
        <f>'SUB CPIF RATES (ALL)'!E64</f>
        <v>0</v>
      </c>
      <c r="M67" s="113">
        <f>ROUND(K67*L67,2)</f>
        <v>0</v>
      </c>
      <c r="N67" s="229"/>
      <c r="O67" s="306">
        <f>+O65+Q65</f>
        <v>0</v>
      </c>
      <c r="P67" s="269">
        <f>'SUB CPIF RATES (ALL)'!F64</f>
        <v>0</v>
      </c>
      <c r="Q67" s="113">
        <f>ROUND(O67*P67,2)</f>
        <v>0</v>
      </c>
    </row>
    <row r="68" spans="1:17" x14ac:dyDescent="0.25">
      <c r="A68" s="138"/>
      <c r="B68" s="186" t="s">
        <v>187</v>
      </c>
      <c r="C68" s="178"/>
      <c r="D68" s="179"/>
      <c r="E68" s="113">
        <f>+ROUND(SUM(E62:E65),2)</f>
        <v>0</v>
      </c>
      <c r="F68" s="229"/>
      <c r="G68" s="178"/>
      <c r="H68" s="179"/>
      <c r="I68" s="113">
        <f>+ROUND(SUM(I62:I65),2)</f>
        <v>0</v>
      </c>
      <c r="J68" s="229"/>
      <c r="K68" s="178"/>
      <c r="L68" s="179"/>
      <c r="M68" s="113">
        <f>+ROUND(SUM(M62:M65),2)</f>
        <v>0</v>
      </c>
      <c r="N68" s="229"/>
      <c r="O68" s="178"/>
      <c r="P68" s="179"/>
      <c r="Q68" s="113">
        <f>+ROUND(SUM(Q62:Q65),2)</f>
        <v>0</v>
      </c>
    </row>
    <row r="69" spans="1:17" x14ac:dyDescent="0.25">
      <c r="A69" s="138"/>
      <c r="B69" s="186" t="s">
        <v>72</v>
      </c>
      <c r="C69" s="176"/>
      <c r="D69" s="180"/>
      <c r="E69" s="113">
        <f>+ROUND(E66,2)</f>
        <v>0</v>
      </c>
      <c r="F69" s="229"/>
      <c r="G69" s="176"/>
      <c r="H69" s="180"/>
      <c r="I69" s="113">
        <f>+ROUND(I66,2)</f>
        <v>0</v>
      </c>
      <c r="J69" s="229"/>
      <c r="K69" s="176"/>
      <c r="L69" s="180"/>
      <c r="M69" s="113">
        <f>+ROUND(M66,2)</f>
        <v>0</v>
      </c>
      <c r="N69" s="229"/>
      <c r="O69" s="176"/>
      <c r="P69" s="180"/>
      <c r="Q69" s="113">
        <f>+ROUND(Q66,2)</f>
        <v>0</v>
      </c>
    </row>
    <row r="70" spans="1:17" x14ac:dyDescent="0.2">
      <c r="A70" s="131"/>
      <c r="B70" s="186" t="s">
        <v>71</v>
      </c>
      <c r="C70" s="176"/>
      <c r="D70" s="180"/>
      <c r="E70" s="127">
        <f>+ROUND(E67,2)</f>
        <v>0</v>
      </c>
      <c r="F70" s="128"/>
      <c r="G70" s="176"/>
      <c r="H70" s="180"/>
      <c r="I70" s="127">
        <f>+ROUND(I67,2)</f>
        <v>0</v>
      </c>
      <c r="J70" s="128"/>
      <c r="K70" s="176"/>
      <c r="L70" s="180"/>
      <c r="M70" s="127">
        <f>+ROUND(M67,2)</f>
        <v>0</v>
      </c>
      <c r="N70" s="128"/>
      <c r="O70" s="176"/>
      <c r="P70" s="180"/>
      <c r="Q70" s="127">
        <f>+ROUND(Q67,2)</f>
        <v>0</v>
      </c>
    </row>
    <row r="71" spans="1:17" ht="16.5" thickBot="1" x14ac:dyDescent="0.25">
      <c r="A71" s="131"/>
      <c r="B71" s="187" t="s">
        <v>174</v>
      </c>
      <c r="C71" s="181"/>
      <c r="D71" s="182"/>
      <c r="E71" s="105">
        <f>ROUND(SUM(E68:E70),2)</f>
        <v>0</v>
      </c>
      <c r="F71" s="106"/>
      <c r="G71" s="181"/>
      <c r="H71" s="182"/>
      <c r="I71" s="105">
        <f>ROUND(SUM(I68:I70),2)</f>
        <v>0</v>
      </c>
      <c r="J71" s="106"/>
      <c r="K71" s="181"/>
      <c r="L71" s="182"/>
      <c r="M71" s="105">
        <f>ROUND(SUM(M68:M70),2)</f>
        <v>0</v>
      </c>
      <c r="N71" s="106"/>
      <c r="O71" s="181"/>
      <c r="P71" s="182"/>
      <c r="Q71" s="105">
        <f>ROUND(SUM(Q68:Q70),2)</f>
        <v>0</v>
      </c>
    </row>
    <row r="72" spans="1:17" ht="16.5" thickBot="1" x14ac:dyDescent="0.25">
      <c r="A72" s="131"/>
      <c r="B72" s="117"/>
      <c r="E72" s="194"/>
      <c r="F72" s="194"/>
      <c r="G72" s="194"/>
      <c r="H72" s="194"/>
      <c r="I72" s="194"/>
      <c r="J72" s="194"/>
      <c r="K72" s="194"/>
      <c r="N72" s="132"/>
      <c r="O72" s="194"/>
    </row>
    <row r="73" spans="1:17" ht="16.5" thickBot="1" x14ac:dyDescent="0.3">
      <c r="A73" s="131"/>
      <c r="B73" s="531" t="str">
        <f>B59</f>
        <v>CLIN 0003 (CPIF)                                                    TASK 1.04 Material - DELIVERY OF SIL TO TO GOVERNMENT</v>
      </c>
      <c r="C73" s="517" t="s">
        <v>213</v>
      </c>
      <c r="D73" s="518"/>
      <c r="E73" s="519"/>
      <c r="F73" s="120"/>
      <c r="G73" s="517" t="s">
        <v>213</v>
      </c>
      <c r="H73" s="518"/>
      <c r="I73" s="519"/>
      <c r="J73" s="120"/>
      <c r="K73" s="517" t="s">
        <v>213</v>
      </c>
      <c r="L73" s="518"/>
      <c r="M73" s="519"/>
      <c r="N73" s="120"/>
      <c r="O73" s="517" t="s">
        <v>213</v>
      </c>
      <c r="P73" s="518"/>
      <c r="Q73" s="519"/>
    </row>
    <row r="74" spans="1:17" ht="33.75" customHeight="1" thickBot="1" x14ac:dyDescent="0.3">
      <c r="A74" s="131"/>
      <c r="B74" s="532"/>
      <c r="C74" s="221"/>
      <c r="D74" s="222"/>
      <c r="E74" s="133" t="s">
        <v>265</v>
      </c>
      <c r="F74" s="134"/>
      <c r="G74" s="221"/>
      <c r="H74" s="222"/>
      <c r="I74" s="133" t="s">
        <v>266</v>
      </c>
      <c r="J74" s="134"/>
      <c r="K74" s="221"/>
      <c r="L74" s="222"/>
      <c r="M74" s="133" t="s">
        <v>267</v>
      </c>
      <c r="N74" s="134"/>
      <c r="O74" s="221"/>
      <c r="P74" s="222"/>
      <c r="Q74" s="133" t="s">
        <v>268</v>
      </c>
    </row>
    <row r="75" spans="1:17" x14ac:dyDescent="0.2">
      <c r="A75" s="131"/>
      <c r="B75" s="112" t="s">
        <v>188</v>
      </c>
      <c r="C75" s="223"/>
      <c r="D75" s="223"/>
      <c r="E75" s="135">
        <f>+ROUND(E26+E40+E54+E68,2)</f>
        <v>0</v>
      </c>
      <c r="F75" s="110"/>
      <c r="G75" s="223"/>
      <c r="H75" s="223"/>
      <c r="I75" s="135">
        <f>+ROUND(I26+I40+I54+I68,2)</f>
        <v>0</v>
      </c>
      <c r="J75" s="110"/>
      <c r="K75" s="223"/>
      <c r="L75" s="223"/>
      <c r="M75" s="135">
        <f>+ROUND(M26+M40+M54+M68,2)</f>
        <v>0</v>
      </c>
      <c r="N75" s="110"/>
      <c r="O75" s="223"/>
      <c r="P75" s="223"/>
      <c r="Q75" s="135">
        <f>+ROUND(Q26+Q40+Q54+Q68,2)</f>
        <v>0</v>
      </c>
    </row>
    <row r="76" spans="1:17" x14ac:dyDescent="0.2">
      <c r="A76" s="131"/>
      <c r="B76" s="112" t="s">
        <v>72</v>
      </c>
      <c r="C76" s="223"/>
      <c r="D76" s="223"/>
      <c r="E76" s="113">
        <f>+ROUND(E27+E41+E55+E69,2)</f>
        <v>0</v>
      </c>
      <c r="F76" s="110"/>
      <c r="G76" s="223"/>
      <c r="H76" s="223"/>
      <c r="I76" s="113">
        <f>+ROUND(I27+I41+I55+I69,2)</f>
        <v>0</v>
      </c>
      <c r="J76" s="110"/>
      <c r="K76" s="223"/>
      <c r="L76" s="223"/>
      <c r="M76" s="113">
        <f>+ROUND(M27+M41+M55+M69,2)</f>
        <v>0</v>
      </c>
      <c r="N76" s="110"/>
      <c r="O76" s="223"/>
      <c r="P76" s="223"/>
      <c r="Q76" s="113">
        <f>+ROUND(Q27+Q41+Q55+Q69,2)</f>
        <v>0</v>
      </c>
    </row>
    <row r="77" spans="1:17" x14ac:dyDescent="0.2">
      <c r="A77" s="131"/>
      <c r="B77" s="112" t="s">
        <v>71</v>
      </c>
      <c r="C77" s="223"/>
      <c r="D77" s="223"/>
      <c r="E77" s="114">
        <f>+ROUND(E28+E42+E56+E70,2)</f>
        <v>0</v>
      </c>
      <c r="F77" s="115"/>
      <c r="G77" s="223"/>
      <c r="H77" s="223"/>
      <c r="I77" s="114">
        <f>+ROUND(I28+I42+I56+I70,2)</f>
        <v>0</v>
      </c>
      <c r="J77" s="115"/>
      <c r="K77" s="223"/>
      <c r="L77" s="223"/>
      <c r="M77" s="114">
        <f>+ROUND(M28+M42+M56+M70,2)</f>
        <v>0</v>
      </c>
      <c r="N77" s="115"/>
      <c r="O77" s="223"/>
      <c r="P77" s="223"/>
      <c r="Q77" s="114">
        <f>+ROUND(Q28+Q42+Q56+Q70,2)</f>
        <v>0</v>
      </c>
    </row>
    <row r="78" spans="1:17" ht="32.25" thickBot="1" x14ac:dyDescent="0.3">
      <c r="A78" s="131"/>
      <c r="B78" s="207" t="s">
        <v>399</v>
      </c>
      <c r="C78" s="224"/>
      <c r="D78" s="224"/>
      <c r="E78" s="208">
        <f>SUM(E75:E77)</f>
        <v>0</v>
      </c>
      <c r="F78" s="116"/>
      <c r="G78" s="224"/>
      <c r="H78" s="224"/>
      <c r="I78" s="208">
        <f>SUM(I75:I77)</f>
        <v>0</v>
      </c>
      <c r="J78" s="116"/>
      <c r="K78" s="224"/>
      <c r="L78" s="224"/>
      <c r="M78" s="208">
        <f>SUM(M75:M77)</f>
        <v>0</v>
      </c>
      <c r="N78" s="116"/>
      <c r="O78" s="224"/>
      <c r="P78" s="224"/>
      <c r="Q78" s="208">
        <f>SUM(Q75:Q77)</f>
        <v>0</v>
      </c>
    </row>
    <row r="79" spans="1:17" ht="16.5" thickBot="1" x14ac:dyDescent="0.3"/>
    <row r="80" spans="1:17" ht="31.5" x14ac:dyDescent="0.25">
      <c r="Q80" s="323" t="s">
        <v>400</v>
      </c>
    </row>
    <row r="81" spans="17:17" ht="16.5" thickBot="1" x14ac:dyDescent="0.3">
      <c r="Q81" s="322">
        <f>E78+I78+M78+Q78</f>
        <v>0</v>
      </c>
    </row>
    <row r="83" spans="17:17" x14ac:dyDescent="0.25">
      <c r="Q83" s="355" t="s">
        <v>1</v>
      </c>
    </row>
  </sheetData>
  <mergeCells count="46">
    <mergeCell ref="O73:Q73"/>
    <mergeCell ref="C49:E49"/>
    <mergeCell ref="G49:I49"/>
    <mergeCell ref="K49:M49"/>
    <mergeCell ref="B73:B74"/>
    <mergeCell ref="C73:E73"/>
    <mergeCell ref="G73:I73"/>
    <mergeCell ref="K73:M73"/>
    <mergeCell ref="B59:B60"/>
    <mergeCell ref="C59:E59"/>
    <mergeCell ref="G59:I59"/>
    <mergeCell ref="K59:M59"/>
    <mergeCell ref="O60:Q60"/>
    <mergeCell ref="C60:E60"/>
    <mergeCell ref="G60:I60"/>
    <mergeCell ref="K60:M60"/>
    <mergeCell ref="B31:B32"/>
    <mergeCell ref="C31:E31"/>
    <mergeCell ref="G31:I31"/>
    <mergeCell ref="K31:M31"/>
    <mergeCell ref="C32:E32"/>
    <mergeCell ref="G32:I32"/>
    <mergeCell ref="K32:M32"/>
    <mergeCell ref="A4:C4"/>
    <mergeCell ref="B14:B15"/>
    <mergeCell ref="C14:E14"/>
    <mergeCell ref="G14:I14"/>
    <mergeCell ref="K14:M14"/>
    <mergeCell ref="C15:E15"/>
    <mergeCell ref="G15:I15"/>
    <mergeCell ref="K15:M15"/>
    <mergeCell ref="O14:Q14"/>
    <mergeCell ref="O15:Q15"/>
    <mergeCell ref="O31:Q31"/>
    <mergeCell ref="O32:Q32"/>
    <mergeCell ref="O59:Q59"/>
    <mergeCell ref="O49:Q49"/>
    <mergeCell ref="B45:B46"/>
    <mergeCell ref="C45:E45"/>
    <mergeCell ref="G45:I45"/>
    <mergeCell ref="K45:M45"/>
    <mergeCell ref="O45:Q45"/>
    <mergeCell ref="C46:E46"/>
    <mergeCell ref="G46:I46"/>
    <mergeCell ref="K46:M46"/>
    <mergeCell ref="O46:Q46"/>
  </mergeCell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6DA49E-DAD2-48B3-B46E-6C12715458C1}">
  <dimension ref="A1:S76"/>
  <sheetViews>
    <sheetView tabSelected="1" zoomScale="80" zoomScaleNormal="80" workbookViewId="0">
      <pane ySplit="8" topLeftCell="A9" activePane="bottomLeft" state="frozen"/>
      <selection pane="bottomLeft" activeCell="G28" sqref="G28:I28"/>
    </sheetView>
  </sheetViews>
  <sheetFormatPr defaultColWidth="15.85546875" defaultRowHeight="15.75" x14ac:dyDescent="0.25"/>
  <cols>
    <col min="1" max="1" width="3.42578125" style="136" customWidth="1"/>
    <col min="2" max="2" width="49.140625" style="119" customWidth="1"/>
    <col min="3" max="3" width="18.28515625" style="131" bestFit="1" customWidth="1"/>
    <col min="4" max="4" width="12.42578125" style="131" bestFit="1" customWidth="1"/>
    <col min="5" max="5" width="32.140625" style="131" bestFit="1" customWidth="1"/>
    <col min="6" max="6" width="1" style="131" customWidth="1"/>
    <col min="7" max="7" width="14.28515625" style="131" customWidth="1"/>
    <col min="8" max="8" width="14.5703125" style="131" customWidth="1"/>
    <col min="9" max="9" width="33.28515625" style="131" bestFit="1" customWidth="1"/>
    <col min="10" max="10" width="1" style="131" customWidth="1"/>
    <col min="11" max="11" width="16.7109375" style="131" customWidth="1"/>
    <col min="12" max="12" width="16.28515625" style="131" customWidth="1"/>
    <col min="13" max="13" width="34" style="131" bestFit="1" customWidth="1"/>
    <col min="14" max="14" width="0.85546875" style="131" customWidth="1"/>
    <col min="15" max="15" width="16.7109375" style="131" customWidth="1"/>
    <col min="16" max="16" width="16.28515625" style="131" customWidth="1"/>
    <col min="17" max="17" width="34" style="131" bestFit="1" customWidth="1"/>
    <col min="18" max="18" width="4.7109375" style="131" customWidth="1"/>
    <col min="19" max="16384" width="15.85546875" style="131"/>
  </cols>
  <sheetData>
    <row r="1" spans="1:17" ht="16.5" thickBot="1" x14ac:dyDescent="0.3">
      <c r="B1" s="321" t="s">
        <v>460</v>
      </c>
      <c r="C1" s="394" t="str">
        <f>'SUB CPIF RATES (ALL)'!C1</f>
        <v xml:space="preserve">NAME </v>
      </c>
    </row>
    <row r="2" spans="1:17" ht="16.5" thickBot="1" x14ac:dyDescent="0.3">
      <c r="B2" s="321" t="s">
        <v>459</v>
      </c>
      <c r="C2" s="394" t="str">
        <f>'SUB CPIF RATES (ALL)'!C2</f>
        <v xml:space="preserve">NAME </v>
      </c>
    </row>
    <row r="3" spans="1:17" ht="16.5" thickBot="1" x14ac:dyDescent="0.3"/>
    <row r="4" spans="1:17" ht="31.5" customHeight="1" thickBot="1" x14ac:dyDescent="0.3">
      <c r="A4" s="466" t="s">
        <v>272</v>
      </c>
      <c r="B4" s="467"/>
      <c r="C4" s="468"/>
      <c r="I4" s="194"/>
      <c r="J4" s="194"/>
      <c r="K4" s="194"/>
      <c r="L4" s="194"/>
      <c r="O4" s="194"/>
      <c r="P4" s="194"/>
    </row>
    <row r="5" spans="1:17" x14ac:dyDescent="0.25">
      <c r="I5" s="194"/>
      <c r="J5" s="194"/>
      <c r="K5" s="194"/>
      <c r="L5" s="194"/>
      <c r="O5" s="194"/>
      <c r="P5" s="194"/>
    </row>
    <row r="6" spans="1:17" x14ac:dyDescent="0.2">
      <c r="B6" s="204" t="s">
        <v>65</v>
      </c>
      <c r="C6" s="139"/>
    </row>
    <row r="7" spans="1:17" x14ac:dyDescent="0.25">
      <c r="A7" s="137"/>
      <c r="B7" s="201" t="s">
        <v>99</v>
      </c>
      <c r="C7" s="139"/>
    </row>
    <row r="8" spans="1:17" x14ac:dyDescent="0.25">
      <c r="A8" s="137"/>
      <c r="B8" s="201" t="s">
        <v>453</v>
      </c>
      <c r="C8" s="139"/>
    </row>
    <row r="9" spans="1:17" ht="16.5" thickBot="1" x14ac:dyDescent="0.3"/>
    <row r="10" spans="1:17" ht="16.5" thickBot="1" x14ac:dyDescent="0.3">
      <c r="A10" s="138"/>
      <c r="B10" s="523" t="s">
        <v>271</v>
      </c>
      <c r="C10" s="490" t="s">
        <v>69</v>
      </c>
      <c r="D10" s="491"/>
      <c r="E10" s="492"/>
      <c r="F10" s="96"/>
      <c r="G10" s="490" t="s">
        <v>69</v>
      </c>
      <c r="H10" s="491"/>
      <c r="I10" s="492"/>
      <c r="J10" s="96"/>
      <c r="K10" s="490" t="s">
        <v>69</v>
      </c>
      <c r="L10" s="491"/>
      <c r="M10" s="492"/>
      <c r="N10" s="96"/>
      <c r="O10" s="490" t="s">
        <v>69</v>
      </c>
      <c r="P10" s="491"/>
      <c r="Q10" s="492"/>
    </row>
    <row r="11" spans="1:17" ht="32.25" customHeight="1" thickBot="1" x14ac:dyDescent="0.3">
      <c r="A11" s="138"/>
      <c r="B11" s="524"/>
      <c r="C11" s="520" t="s">
        <v>261</v>
      </c>
      <c r="D11" s="521"/>
      <c r="E11" s="522"/>
      <c r="F11" s="97"/>
      <c r="G11" s="520" t="s">
        <v>262</v>
      </c>
      <c r="H11" s="521"/>
      <c r="I11" s="522"/>
      <c r="J11" s="97"/>
      <c r="K11" s="520" t="s">
        <v>263</v>
      </c>
      <c r="L11" s="521"/>
      <c r="M11" s="522"/>
      <c r="N11" s="97"/>
      <c r="O11" s="520" t="s">
        <v>264</v>
      </c>
      <c r="P11" s="521"/>
      <c r="Q11" s="522"/>
    </row>
    <row r="12" spans="1:17" x14ac:dyDescent="0.25">
      <c r="A12" s="138"/>
      <c r="B12" s="98" t="s">
        <v>46</v>
      </c>
      <c r="C12" s="98" t="s">
        <v>29</v>
      </c>
      <c r="D12" s="99" t="s">
        <v>68</v>
      </c>
      <c r="E12" s="100" t="s">
        <v>74</v>
      </c>
      <c r="F12" s="101"/>
      <c r="G12" s="98" t="s">
        <v>29</v>
      </c>
      <c r="H12" s="99" t="s">
        <v>68</v>
      </c>
      <c r="I12" s="100" t="s">
        <v>74</v>
      </c>
      <c r="J12" s="101"/>
      <c r="K12" s="98" t="s">
        <v>29</v>
      </c>
      <c r="L12" s="99" t="s">
        <v>68</v>
      </c>
      <c r="M12" s="100" t="s">
        <v>74</v>
      </c>
      <c r="N12" s="101"/>
      <c r="O12" s="98" t="s">
        <v>29</v>
      </c>
      <c r="P12" s="99" t="s">
        <v>68</v>
      </c>
      <c r="Q12" s="100" t="s">
        <v>74</v>
      </c>
    </row>
    <row r="13" spans="1:17" ht="16.5" thickBot="1" x14ac:dyDescent="0.3">
      <c r="A13" s="138"/>
      <c r="B13" s="148" t="s">
        <v>1</v>
      </c>
      <c r="C13" s="230"/>
      <c r="D13" s="231"/>
      <c r="E13" s="232"/>
      <c r="F13" s="101"/>
      <c r="G13" s="230"/>
      <c r="H13" s="231"/>
      <c r="I13" s="232"/>
      <c r="J13" s="101"/>
      <c r="K13" s="230"/>
      <c r="L13" s="231"/>
      <c r="M13" s="232"/>
      <c r="N13" s="101"/>
      <c r="O13" s="230"/>
      <c r="P13" s="231"/>
      <c r="Q13" s="232"/>
    </row>
    <row r="14" spans="1:17" ht="16.5" thickBot="1" x14ac:dyDescent="0.3">
      <c r="A14" s="138"/>
      <c r="B14" s="239" t="s">
        <v>87</v>
      </c>
      <c r="C14" s="108">
        <f>'CPIF CLIN 0003-TASK 1.01 INPUTS'!C18+'CPIF CLIN 0003-TASK 1.02 INPUTS'!C18+'CPIF CLIN 0003-TASK 1.03 INPUTS'!C18+'CPIF CLIN 0003-TASK 1.04 INPUTS'!C18</f>
        <v>0</v>
      </c>
      <c r="D14" s="150"/>
      <c r="E14" s="108">
        <f>'CPIF CLIN 0003-TASK 1.01 INPUTS'!E18+'CPIF CLIN 0003-TASK 1.02 INPUTS'!E18+'CPIF CLIN 0003-TASK 1.03 INPUTS'!E18+'CPIF CLIN 0003-TASK 1.04 INPUTS'!E18</f>
        <v>0</v>
      </c>
      <c r="F14" s="110"/>
      <c r="G14" s="108">
        <f>'CPIF CLIN 0003-TASK 1.01 INPUTS'!G18+'CPIF CLIN 0003-TASK 1.02 INPUTS'!G18+'CPIF CLIN 0003-TASK 1.03 INPUTS'!G18+'CPIF CLIN 0003-TASK 1.04 INPUTS'!G18</f>
        <v>0</v>
      </c>
      <c r="H14" s="150"/>
      <c r="I14" s="108">
        <f>'CPIF CLIN 0003-TASK 1.01 INPUTS'!I18+'CPIF CLIN 0003-TASK 1.02 INPUTS'!I18+'CPIF CLIN 0003-TASK 1.03 INPUTS'!I18+'CPIF CLIN 0003-TASK 1.04 INPUTS'!I18</f>
        <v>0</v>
      </c>
      <c r="J14" s="110"/>
      <c r="K14" s="108">
        <f>'CPIF CLIN 0003-TASK 1.01 INPUTS'!K18+'CPIF CLIN 0003-TASK 1.02 INPUTS'!K18+'CPIF CLIN 0003-TASK 1.03 INPUTS'!K18+'CPIF CLIN 0003-TASK 1.04 INPUTS'!K18</f>
        <v>0</v>
      </c>
      <c r="L14" s="150"/>
      <c r="M14" s="108">
        <f>'CPIF CLIN 0003-TASK 1.01 INPUTS'!M18+'CPIF CLIN 0003-TASK 1.02 INPUTS'!M18+'CPIF CLIN 0003-TASK 1.03 INPUTS'!M18+'CPIF CLIN 0003-TASK 1.04 INPUTS'!M18</f>
        <v>0</v>
      </c>
      <c r="N14" s="110"/>
      <c r="O14" s="108">
        <f>'CPIF CLIN 0003-TASK 1.01 INPUTS'!O18+'CPIF CLIN 0003-TASK 1.02 INPUTS'!O18+'CPIF CLIN 0003-TASK 1.03 INPUTS'!O18+'CPIF CLIN 0003-TASK 1.04 INPUTS'!O18</f>
        <v>0</v>
      </c>
      <c r="P14" s="150"/>
      <c r="Q14" s="108">
        <f>'CPIF CLIN 0003-TASK 1.01 INPUTS'!Q18+'CPIF CLIN 0003-TASK 1.02 INPUTS'!Q18+'CPIF CLIN 0003-TASK 1.03 INPUTS'!Q18+'CPIF CLIN 0003-TASK 1.04 INPUTS'!Q18</f>
        <v>0</v>
      </c>
    </row>
    <row r="15" spans="1:17" x14ac:dyDescent="0.25">
      <c r="A15" s="138"/>
      <c r="B15" s="149"/>
      <c r="C15" s="98" t="s">
        <v>289</v>
      </c>
      <c r="D15" s="99" t="s">
        <v>286</v>
      </c>
      <c r="E15" s="100" t="s">
        <v>288</v>
      </c>
      <c r="F15" s="111"/>
      <c r="G15" s="98" t="s">
        <v>289</v>
      </c>
      <c r="H15" s="99" t="s">
        <v>286</v>
      </c>
      <c r="I15" s="100" t="s">
        <v>288</v>
      </c>
      <c r="J15" s="111"/>
      <c r="K15" s="98" t="s">
        <v>289</v>
      </c>
      <c r="L15" s="99" t="s">
        <v>286</v>
      </c>
      <c r="M15" s="100" t="s">
        <v>288</v>
      </c>
      <c r="N15" s="111"/>
      <c r="O15" s="98" t="s">
        <v>289</v>
      </c>
      <c r="P15" s="99" t="s">
        <v>286</v>
      </c>
      <c r="Q15" s="100" t="s">
        <v>288</v>
      </c>
    </row>
    <row r="16" spans="1:17" x14ac:dyDescent="0.25">
      <c r="A16" s="138"/>
      <c r="B16" s="148" t="s">
        <v>1</v>
      </c>
      <c r="C16" s="230"/>
      <c r="D16" s="231"/>
      <c r="E16" s="232"/>
      <c r="F16" s="147"/>
      <c r="G16" s="230"/>
      <c r="H16" s="231"/>
      <c r="I16" s="232"/>
      <c r="J16" s="147"/>
      <c r="K16" s="230"/>
      <c r="L16" s="231"/>
      <c r="M16" s="232"/>
      <c r="N16" s="147"/>
      <c r="O16" s="230"/>
      <c r="P16" s="231"/>
      <c r="Q16" s="232"/>
    </row>
    <row r="17" spans="1:17" x14ac:dyDescent="0.25">
      <c r="A17" s="138"/>
      <c r="B17" s="112" t="str">
        <f>'SUB CPIF RATES (ALL)'!B36</f>
        <v>Indirect Labor Category:  [Labor Fringe]</v>
      </c>
      <c r="C17" s="160"/>
      <c r="D17" s="188"/>
      <c r="E17" s="113">
        <f>'CPIF CLIN 0003-TASK 1.01 INPUTS'!E21+'CPIF CLIN 0003-TASK 1.02 INPUTS'!E21+'CPIF CLIN 0003-TASK 1.03 INPUTS'!E21+'CPIF CLIN 0003-TASK 1.04 INPUTS'!E21</f>
        <v>0</v>
      </c>
      <c r="F17" s="110"/>
      <c r="G17" s="160"/>
      <c r="H17" s="188"/>
      <c r="I17" s="113">
        <f>'CPIF CLIN 0003-TASK 1.01 INPUTS'!I21+'CPIF CLIN 0003-TASK 1.02 INPUTS'!I21+'CPIF CLIN 0003-TASK 1.03 INPUTS'!I21+'CPIF CLIN 0003-TASK 1.04 INPUTS'!I21</f>
        <v>0</v>
      </c>
      <c r="J17" s="110"/>
      <c r="K17" s="160"/>
      <c r="L17" s="188"/>
      <c r="M17" s="113">
        <f>'CPIF CLIN 0003-TASK 1.01 INPUTS'!M21+'CPIF CLIN 0003-TASK 1.02 INPUTS'!M21+'CPIF CLIN 0003-TASK 1.03 INPUTS'!M21+'CPIF CLIN 0003-TASK 1.04 INPUTS'!M21</f>
        <v>0</v>
      </c>
      <c r="N17" s="110"/>
      <c r="O17" s="160"/>
      <c r="P17" s="188"/>
      <c r="Q17" s="113">
        <f>'CPIF CLIN 0003-TASK 1.01 INPUTS'!Q21+'CPIF CLIN 0003-TASK 1.02 INPUTS'!Q21+'CPIF CLIN 0003-TASK 1.03 INPUTS'!Q21+'CPIF CLIN 0003-TASK 1.04 INPUTS'!Q21</f>
        <v>0</v>
      </c>
    </row>
    <row r="18" spans="1:17" x14ac:dyDescent="0.25">
      <c r="A18" s="138"/>
      <c r="B18" s="112" t="str">
        <f>'SUB CPIF RATES (ALL)'!B37</f>
        <v>Indirect Labor Category: [Labor Overhead]</v>
      </c>
      <c r="C18" s="160"/>
      <c r="D18" s="188"/>
      <c r="E18" s="113">
        <f>'CPIF CLIN 0003-TASK 1.01 INPUTS'!E22+'CPIF CLIN 0003-TASK 1.02 INPUTS'!E22+'CPIF CLIN 0003-TASK 1.03 INPUTS'!E22+'CPIF CLIN 0003-TASK 1.04 INPUTS'!E22</f>
        <v>0</v>
      </c>
      <c r="F18" s="110"/>
      <c r="G18" s="160"/>
      <c r="H18" s="188"/>
      <c r="I18" s="113">
        <f>'CPIF CLIN 0003-TASK 1.01 INPUTS'!I22+'CPIF CLIN 0003-TASK 1.02 INPUTS'!I22+'CPIF CLIN 0003-TASK 1.03 INPUTS'!I22+'CPIF CLIN 0003-TASK 1.04 INPUTS'!I22</f>
        <v>0</v>
      </c>
      <c r="J18" s="110"/>
      <c r="K18" s="160"/>
      <c r="L18" s="188"/>
      <c r="M18" s="113">
        <f>'CPIF CLIN 0003-TASK 1.01 INPUTS'!M22+'CPIF CLIN 0003-TASK 1.02 INPUTS'!M22+'CPIF CLIN 0003-TASK 1.03 INPUTS'!M22+'CPIF CLIN 0003-TASK 1.04 INPUTS'!M22</f>
        <v>0</v>
      </c>
      <c r="N18" s="110"/>
      <c r="O18" s="160"/>
      <c r="P18" s="188"/>
      <c r="Q18" s="113">
        <f>'CPIF CLIN 0003-TASK 1.01 INPUTS'!Q22+'CPIF CLIN 0003-TASK 1.02 INPUTS'!Q22+'CPIF CLIN 0003-TASK 1.03 INPUTS'!Q22+'CPIF CLIN 0003-TASK 1.04 INPUTS'!Q22</f>
        <v>0</v>
      </c>
    </row>
    <row r="19" spans="1:17" x14ac:dyDescent="0.25">
      <c r="A19" s="138"/>
      <c r="B19" s="112" t="str">
        <f>'SUB CPIF RATES (ALL)'!B38</f>
        <v>Indirect Labor Category: [G&amp;A]</v>
      </c>
      <c r="C19" s="160"/>
      <c r="D19" s="188"/>
      <c r="E19" s="113">
        <f>'CPIF CLIN 0003-TASK 1.01 INPUTS'!E23+'CPIF CLIN 0003-TASK 1.02 INPUTS'!E23+'CPIF CLIN 0003-TASK 1.03 INPUTS'!E23+'CPIF CLIN 0003-TASK 1.04 INPUTS'!E23</f>
        <v>0</v>
      </c>
      <c r="F19" s="110"/>
      <c r="G19" s="160"/>
      <c r="H19" s="188"/>
      <c r="I19" s="113">
        <f>'CPIF CLIN 0003-TASK 1.01 INPUTS'!I23+'CPIF CLIN 0003-TASK 1.02 INPUTS'!I23+'CPIF CLIN 0003-TASK 1.03 INPUTS'!I23+'CPIF CLIN 0003-TASK 1.04 INPUTS'!I23</f>
        <v>0</v>
      </c>
      <c r="J19" s="110"/>
      <c r="K19" s="160"/>
      <c r="L19" s="188"/>
      <c r="M19" s="113">
        <f>'CPIF CLIN 0003-TASK 1.01 INPUTS'!M23+'CPIF CLIN 0003-TASK 1.02 INPUTS'!M23+'CPIF CLIN 0003-TASK 1.03 INPUTS'!M23+'CPIF CLIN 0003-TASK 1.04 INPUTS'!M23</f>
        <v>0</v>
      </c>
      <c r="N19" s="110"/>
      <c r="O19" s="160"/>
      <c r="P19" s="188"/>
      <c r="Q19" s="113">
        <f>'CPIF CLIN 0003-TASK 1.01 INPUTS'!Q23+'CPIF CLIN 0003-TASK 1.02 INPUTS'!Q23+'CPIF CLIN 0003-TASK 1.03 INPUTS'!Q23+'CPIF CLIN 0003-TASK 1.04 INPUTS'!Q23</f>
        <v>0</v>
      </c>
    </row>
    <row r="20" spans="1:17" x14ac:dyDescent="0.25">
      <c r="A20" s="138"/>
      <c r="B20" s="112" t="str">
        <f>'SUB CPIF RATES (ALL)'!B39</f>
        <v>Indirect Labor Category: [FCCOM]</v>
      </c>
      <c r="C20" s="160"/>
      <c r="D20" s="358"/>
      <c r="E20" s="113">
        <f>'CPIF CLIN 0003-TASK 1.01 INPUTS'!E24+'CPIF CLIN 0003-TASK 1.02 INPUTS'!E24+'CPIF CLIN 0003-TASK 1.03 INPUTS'!E24+'CPIF CLIN 0003-TASK 1.04 INPUTS'!E24</f>
        <v>0</v>
      </c>
      <c r="F20" s="110"/>
      <c r="G20" s="160"/>
      <c r="H20" s="358"/>
      <c r="I20" s="113">
        <f>'CPIF CLIN 0003-TASK 1.01 INPUTS'!I24+'CPIF CLIN 0003-TASK 1.02 INPUTS'!I24+'CPIF CLIN 0003-TASK 1.03 INPUTS'!I24+'CPIF CLIN 0003-TASK 1.04 INPUTS'!I24</f>
        <v>0</v>
      </c>
      <c r="J20" s="110"/>
      <c r="K20" s="160"/>
      <c r="L20" s="358"/>
      <c r="M20" s="113">
        <f>'CPIF CLIN 0003-TASK 1.01 INPUTS'!M24+'CPIF CLIN 0003-TASK 1.02 INPUTS'!M24+'CPIF CLIN 0003-TASK 1.03 INPUTS'!M24+'CPIF CLIN 0003-TASK 1.04 INPUTS'!M24</f>
        <v>0</v>
      </c>
      <c r="N20" s="110"/>
      <c r="O20" s="160"/>
      <c r="P20" s="358"/>
      <c r="Q20" s="113">
        <f>'CPIF CLIN 0003-TASK 1.01 INPUTS'!Q24+'CPIF CLIN 0003-TASK 1.02 INPUTS'!Q24+'CPIF CLIN 0003-TASK 1.03 INPUTS'!Q24+'CPIF CLIN 0003-TASK 1.04 INPUTS'!Q24</f>
        <v>0</v>
      </c>
    </row>
    <row r="21" spans="1:17" x14ac:dyDescent="0.25">
      <c r="A21" s="138"/>
      <c r="B21" s="112" t="str">
        <f>'SUB CPIF RATES (ALL)'!B40</f>
        <v>Indirect Labor Category: [Target Fee]</v>
      </c>
      <c r="C21" s="160"/>
      <c r="D21" s="188"/>
      <c r="E21" s="113">
        <f>'CPIF CLIN 0003-TASK 1.01 INPUTS'!E25+'CPIF CLIN 0003-TASK 1.02 INPUTS'!E25+'CPIF CLIN 0003-TASK 1.03 INPUTS'!E25+'CPIF CLIN 0003-TASK 1.04 INPUTS'!E25</f>
        <v>0</v>
      </c>
      <c r="F21" s="110"/>
      <c r="G21" s="160"/>
      <c r="H21" s="188"/>
      <c r="I21" s="113">
        <f>'CPIF CLIN 0003-TASK 1.01 INPUTS'!I25+'CPIF CLIN 0003-TASK 1.02 INPUTS'!I25+'CPIF CLIN 0003-TASK 1.03 INPUTS'!I25+'CPIF CLIN 0003-TASK 1.04 INPUTS'!I25</f>
        <v>0</v>
      </c>
      <c r="J21" s="110"/>
      <c r="K21" s="160"/>
      <c r="L21" s="188"/>
      <c r="M21" s="113">
        <f>'CPIF CLIN 0003-TASK 1.01 INPUTS'!M25+'CPIF CLIN 0003-TASK 1.02 INPUTS'!M25+'CPIF CLIN 0003-TASK 1.03 INPUTS'!M25+'CPIF CLIN 0003-TASK 1.04 INPUTS'!M25</f>
        <v>0</v>
      </c>
      <c r="N21" s="110"/>
      <c r="O21" s="160"/>
      <c r="P21" s="188"/>
      <c r="Q21" s="113">
        <f>'CPIF CLIN 0003-TASK 1.01 INPUTS'!Q25+'CPIF CLIN 0003-TASK 1.02 INPUTS'!Q25+'CPIF CLIN 0003-TASK 1.03 INPUTS'!Q25+'CPIF CLIN 0003-TASK 1.04 INPUTS'!Q25</f>
        <v>0</v>
      </c>
    </row>
    <row r="22" spans="1:17" x14ac:dyDescent="0.25">
      <c r="A22" s="138"/>
      <c r="B22" s="205" t="s">
        <v>185</v>
      </c>
      <c r="C22" s="155"/>
      <c r="D22" s="156"/>
      <c r="E22" s="175">
        <f>+SUM(E14,E17,E18,E19)</f>
        <v>0</v>
      </c>
      <c r="F22" s="110"/>
      <c r="G22" s="151"/>
      <c r="H22" s="152"/>
      <c r="I22" s="175">
        <f>+SUM(I14,I17,I18,I19)</f>
        <v>0</v>
      </c>
      <c r="J22" s="110"/>
      <c r="K22" s="151"/>
      <c r="L22" s="152"/>
      <c r="M22" s="175">
        <f>+SUM(M14,M17,M18,M19)</f>
        <v>0</v>
      </c>
      <c r="N22" s="110"/>
      <c r="O22" s="151"/>
      <c r="P22" s="152"/>
      <c r="Q22" s="175">
        <f>+SUM(Q14,Q17,Q18,Q19)</f>
        <v>0</v>
      </c>
    </row>
    <row r="23" spans="1:17" x14ac:dyDescent="0.25">
      <c r="A23" s="138"/>
      <c r="B23" s="205" t="s">
        <v>72</v>
      </c>
      <c r="C23" s="155"/>
      <c r="D23" s="156"/>
      <c r="E23" s="175">
        <f>+E20</f>
        <v>0</v>
      </c>
      <c r="F23" s="110"/>
      <c r="G23" s="151"/>
      <c r="H23" s="152"/>
      <c r="I23" s="175">
        <f>+I20</f>
        <v>0</v>
      </c>
      <c r="J23" s="110"/>
      <c r="K23" s="151"/>
      <c r="L23" s="152"/>
      <c r="M23" s="175">
        <f>+M20</f>
        <v>0</v>
      </c>
      <c r="N23" s="110"/>
      <c r="O23" s="151"/>
      <c r="P23" s="152"/>
      <c r="Q23" s="175">
        <f>+Q20</f>
        <v>0</v>
      </c>
    </row>
    <row r="24" spans="1:17" x14ac:dyDescent="0.25">
      <c r="A24" s="138"/>
      <c r="B24" s="205" t="s">
        <v>71</v>
      </c>
      <c r="C24" s="155"/>
      <c r="D24" s="156"/>
      <c r="E24" s="190">
        <f>+E21</f>
        <v>0</v>
      </c>
      <c r="F24" s="115"/>
      <c r="G24" s="151"/>
      <c r="H24" s="152"/>
      <c r="I24" s="190">
        <f>+I21</f>
        <v>0</v>
      </c>
      <c r="J24" s="115"/>
      <c r="K24" s="151"/>
      <c r="L24" s="152"/>
      <c r="M24" s="190">
        <f>+M21</f>
        <v>0</v>
      </c>
      <c r="N24" s="115"/>
      <c r="O24" s="151"/>
      <c r="P24" s="152"/>
      <c r="Q24" s="190">
        <f>+Q21</f>
        <v>0</v>
      </c>
    </row>
    <row r="25" spans="1:17" ht="16.5" thickBot="1" x14ac:dyDescent="0.3">
      <c r="A25" s="138"/>
      <c r="B25" s="206" t="s">
        <v>73</v>
      </c>
      <c r="C25" s="157"/>
      <c r="D25" s="158"/>
      <c r="E25" s="191">
        <f>SUM(E22:E24)</f>
        <v>0</v>
      </c>
      <c r="F25" s="116"/>
      <c r="G25" s="153"/>
      <c r="H25" s="154"/>
      <c r="I25" s="191">
        <f>SUM(I22:I24)</f>
        <v>0</v>
      </c>
      <c r="J25" s="116"/>
      <c r="K25" s="153"/>
      <c r="L25" s="154"/>
      <c r="M25" s="191">
        <f>SUM(M22:M24)</f>
        <v>0</v>
      </c>
      <c r="N25" s="116"/>
      <c r="O25" s="153"/>
      <c r="P25" s="154"/>
      <c r="Q25" s="191">
        <f>SUM(Q22:Q24)</f>
        <v>0</v>
      </c>
    </row>
    <row r="26" spans="1:17" ht="16.5" thickBot="1" x14ac:dyDescent="0.3">
      <c r="A26" s="138"/>
      <c r="B26" s="117"/>
      <c r="C26" s="118"/>
      <c r="D26" s="118"/>
      <c r="E26" s="199"/>
      <c r="F26" s="199"/>
      <c r="G26" s="199"/>
      <c r="H26" s="199"/>
      <c r="I26" s="199"/>
      <c r="J26" s="199"/>
      <c r="K26" s="199"/>
      <c r="L26" s="118"/>
      <c r="M26" s="118"/>
      <c r="N26" s="110"/>
      <c r="O26" s="199"/>
      <c r="P26" s="118"/>
      <c r="Q26" s="118"/>
    </row>
    <row r="27" spans="1:17" ht="16.5" customHeight="1" thickBot="1" x14ac:dyDescent="0.3">
      <c r="A27" s="138"/>
      <c r="B27" s="523" t="str">
        <f>B10</f>
        <v>CLIN 0003 (CPIF)                                                  TOTAL</v>
      </c>
      <c r="C27" s="490" t="s">
        <v>80</v>
      </c>
      <c r="D27" s="491"/>
      <c r="E27" s="492"/>
      <c r="F27" s="120"/>
      <c r="G27" s="490" t="s">
        <v>474</v>
      </c>
      <c r="H27" s="491"/>
      <c r="I27" s="492"/>
      <c r="J27" s="120"/>
      <c r="K27" s="490" t="s">
        <v>80</v>
      </c>
      <c r="L27" s="491"/>
      <c r="M27" s="492"/>
      <c r="N27" s="120"/>
      <c r="O27" s="490" t="s">
        <v>80</v>
      </c>
      <c r="P27" s="491"/>
      <c r="Q27" s="492"/>
    </row>
    <row r="28" spans="1:17" ht="32.25" customHeight="1" thickBot="1" x14ac:dyDescent="0.3">
      <c r="A28" s="138"/>
      <c r="B28" s="524"/>
      <c r="C28" s="487" t="str">
        <f>C11</f>
        <v>CLIN 0003 - Basic Period (Year 1)</v>
      </c>
      <c r="D28" s="488"/>
      <c r="E28" s="489"/>
      <c r="F28" s="121"/>
      <c r="G28" s="487" t="str">
        <f>G11</f>
        <v>CLIN 0003 - Basic Period (Year 2)</v>
      </c>
      <c r="H28" s="488"/>
      <c r="I28" s="489"/>
      <c r="J28" s="121"/>
      <c r="K28" s="487" t="str">
        <f>K11</f>
        <v>CLIN 0003 - Basic Period (Year 3)</v>
      </c>
      <c r="L28" s="488"/>
      <c r="M28" s="489"/>
      <c r="N28" s="121"/>
      <c r="O28" s="487" t="str">
        <f>O11</f>
        <v>CLIN 0003 - Basic Period (Year 4)</v>
      </c>
      <c r="P28" s="488"/>
      <c r="Q28" s="489"/>
    </row>
    <row r="29" spans="1:17" x14ac:dyDescent="0.25">
      <c r="A29" s="138"/>
      <c r="B29" s="192"/>
      <c r="C29" s="98" t="s">
        <v>289</v>
      </c>
      <c r="D29" s="99" t="s">
        <v>286</v>
      </c>
      <c r="E29" s="100" t="s">
        <v>88</v>
      </c>
      <c r="F29" s="111"/>
      <c r="G29" s="98" t="s">
        <v>289</v>
      </c>
      <c r="H29" s="99" t="s">
        <v>286</v>
      </c>
      <c r="I29" s="100" t="s">
        <v>88</v>
      </c>
      <c r="J29" s="111"/>
      <c r="K29" s="98" t="s">
        <v>289</v>
      </c>
      <c r="L29" s="99" t="s">
        <v>286</v>
      </c>
      <c r="M29" s="100" t="s">
        <v>88</v>
      </c>
      <c r="N29" s="111"/>
      <c r="O29" s="98" t="s">
        <v>289</v>
      </c>
      <c r="P29" s="99" t="s">
        <v>286</v>
      </c>
      <c r="Q29" s="100" t="s">
        <v>88</v>
      </c>
    </row>
    <row r="30" spans="1:17" x14ac:dyDescent="0.25">
      <c r="A30" s="138"/>
      <c r="B30" s="215" t="s">
        <v>1</v>
      </c>
      <c r="C30" s="176"/>
      <c r="D30" s="177"/>
      <c r="E30" s="161">
        <f>'CPIF CLIN 0002-TASK 1.01 INPUTS'!E34+'CPIF CLIN 0002-TASK 1.02 INPUTS'!E34+'CPIF CLIN 0002-TASK 1.03 INPUTS'!E34+'CPIF CLIN 0003-TASK 1.04 INPUTS'!E34</f>
        <v>0</v>
      </c>
      <c r="F30" s="110"/>
      <c r="G30" s="176"/>
      <c r="H30" s="177"/>
      <c r="I30" s="161">
        <f>'CPIF CLIN 0002-TASK 1.01 INPUTS'!I34+'CPIF CLIN 0002-TASK 1.02 INPUTS'!I34+'CPIF CLIN 0002-TASK 1.03 INPUTS'!I34+'CPIF CLIN 0003-TASK 1.04 INPUTS'!I34</f>
        <v>0</v>
      </c>
      <c r="J30" s="110"/>
      <c r="K30" s="176"/>
      <c r="L30" s="177"/>
      <c r="M30" s="161">
        <f>'CPIF CLIN 0002-TASK 1.01 INPUTS'!M34+'CPIF CLIN 0002-TASK 1.02 INPUTS'!M34+'CPIF CLIN 0002-TASK 1.03 INPUTS'!M34+'CPIF CLIN 0003-TASK 1.04 INPUTS'!M34</f>
        <v>0</v>
      </c>
      <c r="N30" s="110"/>
      <c r="O30" s="176"/>
      <c r="P30" s="177"/>
      <c r="Q30" s="161">
        <f>'CPIF CLIN 0002-TASK 1.01 INPUTS'!Q34+'CPIF CLIN 0002-TASK 1.02 INPUTS'!Q34+'CPIF CLIN 0002-TASK 1.03 INPUTS'!Q34+'CPIF CLIN 0003-TASK 1.04 INPUTS'!Q34</f>
        <v>0</v>
      </c>
    </row>
    <row r="31" spans="1:17" x14ac:dyDescent="0.25">
      <c r="A31" s="138"/>
      <c r="B31" s="112" t="str">
        <f>'SUB CPIF RATES (ALL)'!B53</f>
        <v>Indirect Category: [Material Overhead]</v>
      </c>
      <c r="C31" s="160"/>
      <c r="D31" s="188"/>
      <c r="E31" s="113">
        <f>'CPIF CLIN 0003-TASK 1.01 INPUTS'!E36+'CPIF CLIN 0003-TASK 1.02 INPUTS'!E36+'CPIF CLIN 0003-TASK 1.03 INPUTS'!E36+'CPIF CLIN 0003-TASK 1.04 INPUTS'!E36</f>
        <v>0</v>
      </c>
      <c r="F31" s="123"/>
      <c r="G31" s="160"/>
      <c r="H31" s="188"/>
      <c r="I31" s="113">
        <f>'CPIF CLIN 0003-TASK 1.01 INPUTS'!I36+'CPIF CLIN 0003-TASK 1.02 INPUTS'!I36+'CPIF CLIN 0003-TASK 1.03 INPUTS'!I36+'CPIF CLIN 0003-TASK 1.04 INPUTS'!I36</f>
        <v>0</v>
      </c>
      <c r="J31" s="123"/>
      <c r="K31" s="160"/>
      <c r="L31" s="188"/>
      <c r="M31" s="113">
        <f>'CPIF CLIN 0003-TASK 1.01 INPUTS'!M36+'CPIF CLIN 0003-TASK 1.02 INPUTS'!M36+'CPIF CLIN 0003-TASK 1.03 INPUTS'!M36+'CPIF CLIN 0003-TASK 1.04 INPUTS'!M36</f>
        <v>0</v>
      </c>
      <c r="N31" s="123"/>
      <c r="O31" s="160"/>
      <c r="P31" s="188"/>
      <c r="Q31" s="113">
        <f>'CPIF CLIN 0003-TASK 1.01 INPUTS'!Q36+'CPIF CLIN 0003-TASK 1.02 INPUTS'!Q36+'CPIF CLIN 0003-TASK 1.03 INPUTS'!Q36+'CPIF CLIN 0003-TASK 1.04 INPUTS'!Q36</f>
        <v>0</v>
      </c>
    </row>
    <row r="32" spans="1:17" x14ac:dyDescent="0.25">
      <c r="A32" s="138"/>
      <c r="B32" s="112" t="str">
        <f>'SUB CPIF RATES (ALL)'!B54</f>
        <v>Indirect Category: [G&amp;A]</v>
      </c>
      <c r="C32" s="160"/>
      <c r="D32" s="188"/>
      <c r="E32" s="113">
        <f>'CPIF CLIN 0003-TASK 1.01 INPUTS'!E37+'CPIF CLIN 0003-TASK 1.02 INPUTS'!E37+'CPIF CLIN 0003-TASK 1.03 INPUTS'!E37+'CPIF CLIN 0003-TASK 1.04 INPUTS'!E37</f>
        <v>0</v>
      </c>
      <c r="F32" s="123"/>
      <c r="G32" s="160"/>
      <c r="H32" s="188"/>
      <c r="I32" s="113">
        <f>'CPIF CLIN 0003-TASK 1.01 INPUTS'!I37+'CPIF CLIN 0003-TASK 1.02 INPUTS'!I37+'CPIF CLIN 0003-TASK 1.03 INPUTS'!I37+'CPIF CLIN 0003-TASK 1.04 INPUTS'!I37</f>
        <v>0</v>
      </c>
      <c r="J32" s="123"/>
      <c r="K32" s="160"/>
      <c r="L32" s="188"/>
      <c r="M32" s="113">
        <f>'CPIF CLIN 0003-TASK 1.01 INPUTS'!M37+'CPIF CLIN 0003-TASK 1.02 INPUTS'!M37+'CPIF CLIN 0003-TASK 1.03 INPUTS'!M37+'CPIF CLIN 0003-TASK 1.04 INPUTS'!M37</f>
        <v>0</v>
      </c>
      <c r="N32" s="123"/>
      <c r="O32" s="160"/>
      <c r="P32" s="188"/>
      <c r="Q32" s="113">
        <f>'CPIF CLIN 0003-TASK 1.01 INPUTS'!Q37+'CPIF CLIN 0003-TASK 1.02 INPUTS'!Q37+'CPIF CLIN 0003-TASK 1.03 INPUTS'!Q37+'CPIF CLIN 0003-TASK 1.04 INPUTS'!Q37</f>
        <v>0</v>
      </c>
    </row>
    <row r="33" spans="1:17" x14ac:dyDescent="0.25">
      <c r="A33" s="138"/>
      <c r="B33" s="112" t="str">
        <f>'SUB CPIF RATES (ALL)'!B55</f>
        <v>Indirect Category: [FCCOM]</v>
      </c>
      <c r="C33" s="160"/>
      <c r="D33" s="189"/>
      <c r="E33" s="113">
        <f>'CPIF CLIN 0003-TASK 1.01 INPUTS'!E38+'CPIF CLIN 0003-TASK 1.02 INPUTS'!E38+'CPIF CLIN 0003-TASK 1.03 INPUTS'!E38+'CPIF CLIN 0003-TASK 1.04 INPUTS'!E38</f>
        <v>0</v>
      </c>
      <c r="F33" s="110"/>
      <c r="G33" s="160"/>
      <c r="H33" s="189"/>
      <c r="I33" s="113">
        <f>'CPIF CLIN 0003-TASK 1.01 INPUTS'!I38+'CPIF CLIN 0003-TASK 1.02 INPUTS'!I38+'CPIF CLIN 0003-TASK 1.03 INPUTS'!I38+'CPIF CLIN 0003-TASK 1.04 INPUTS'!I38</f>
        <v>0</v>
      </c>
      <c r="J33" s="110"/>
      <c r="K33" s="160"/>
      <c r="L33" s="189"/>
      <c r="M33" s="113">
        <f>'CPIF CLIN 0003-TASK 1.01 INPUTS'!M38+'CPIF CLIN 0003-TASK 1.02 INPUTS'!M38+'CPIF CLIN 0003-TASK 1.03 INPUTS'!M38+'CPIF CLIN 0003-TASK 1.04 INPUTS'!M38</f>
        <v>0</v>
      </c>
      <c r="N33" s="110"/>
      <c r="O33" s="160"/>
      <c r="P33" s="189"/>
      <c r="Q33" s="113">
        <f>'CPIF CLIN 0003-TASK 1.01 INPUTS'!Q38+'CPIF CLIN 0003-TASK 1.02 INPUTS'!Q38+'CPIF CLIN 0003-TASK 1.03 INPUTS'!Q38+'CPIF CLIN 0003-TASK 1.04 INPUTS'!Q38</f>
        <v>0</v>
      </c>
    </row>
    <row r="34" spans="1:17" x14ac:dyDescent="0.25">
      <c r="A34" s="138"/>
      <c r="B34" s="112" t="str">
        <f>'SUB CPIF RATES (ALL)'!B56</f>
        <v>Indirect Category: [Target Fee]</v>
      </c>
      <c r="C34" s="160"/>
      <c r="D34" s="188"/>
      <c r="E34" s="113">
        <f>'CPIF CLIN 0003-TASK 1.01 INPUTS'!E39+'CPIF CLIN 0003-TASK 1.02 INPUTS'!E39+'CPIF CLIN 0003-TASK 1.03 INPUTS'!E39+'CPIF CLIN 0003-TASK 1.04 INPUTS'!E39</f>
        <v>0</v>
      </c>
      <c r="F34" s="110"/>
      <c r="G34" s="160"/>
      <c r="H34" s="188"/>
      <c r="I34" s="113">
        <f>'CPIF CLIN 0003-TASK 1.01 INPUTS'!I39+'CPIF CLIN 0003-TASK 1.02 INPUTS'!I39+'CPIF CLIN 0003-TASK 1.03 INPUTS'!I39+'CPIF CLIN 0003-TASK 1.04 INPUTS'!I39</f>
        <v>0</v>
      </c>
      <c r="J34" s="110"/>
      <c r="K34" s="160"/>
      <c r="L34" s="188"/>
      <c r="M34" s="113">
        <f>'CPIF CLIN 0003-TASK 1.01 INPUTS'!M39+'CPIF CLIN 0003-TASK 1.02 INPUTS'!M39+'CPIF CLIN 0003-TASK 1.03 INPUTS'!M39+'CPIF CLIN 0003-TASK 1.04 INPUTS'!M39</f>
        <v>0</v>
      </c>
      <c r="N34" s="110"/>
      <c r="O34" s="160"/>
      <c r="P34" s="188"/>
      <c r="Q34" s="113">
        <f>'CPIF CLIN 0003-TASK 1.01 INPUTS'!Q39+'CPIF CLIN 0003-TASK 1.02 INPUTS'!Q39+'CPIF CLIN 0003-TASK 1.03 INPUTS'!Q39+'CPIF CLIN 0003-TASK 1.04 INPUTS'!Q39</f>
        <v>0</v>
      </c>
    </row>
    <row r="35" spans="1:17" x14ac:dyDescent="0.25">
      <c r="A35" s="138"/>
      <c r="B35" s="186" t="s">
        <v>186</v>
      </c>
      <c r="C35" s="178"/>
      <c r="D35" s="179"/>
      <c r="E35" s="113">
        <f>+ROUND(SUM(E30:E32),2)</f>
        <v>0</v>
      </c>
      <c r="F35" s="110"/>
      <c r="G35" s="178"/>
      <c r="H35" s="179"/>
      <c r="I35" s="113">
        <f>+ROUND(SUM(I30:I32),2)</f>
        <v>0</v>
      </c>
      <c r="J35" s="110"/>
      <c r="K35" s="178"/>
      <c r="L35" s="179"/>
      <c r="M35" s="113">
        <f>+ROUND(SUM(M30:M32),2)</f>
        <v>0</v>
      </c>
      <c r="N35" s="110"/>
      <c r="O35" s="178"/>
      <c r="P35" s="179"/>
      <c r="Q35" s="113">
        <f>+ROUND(SUM(Q30:Q32),2)</f>
        <v>0</v>
      </c>
    </row>
    <row r="36" spans="1:17" x14ac:dyDescent="0.25">
      <c r="A36" s="138"/>
      <c r="B36" s="186" t="s">
        <v>72</v>
      </c>
      <c r="C36" s="176"/>
      <c r="D36" s="180"/>
      <c r="E36" s="113">
        <f>+ROUND(E33,2)</f>
        <v>0</v>
      </c>
      <c r="F36" s="110"/>
      <c r="G36" s="176"/>
      <c r="H36" s="180"/>
      <c r="I36" s="113">
        <f>+ROUND(I33,2)</f>
        <v>0</v>
      </c>
      <c r="J36" s="110"/>
      <c r="K36" s="176"/>
      <c r="L36" s="180"/>
      <c r="M36" s="113">
        <f>+ROUND(M33,2)</f>
        <v>0</v>
      </c>
      <c r="N36" s="110"/>
      <c r="O36" s="176"/>
      <c r="P36" s="180"/>
      <c r="Q36" s="113">
        <f>+ROUND(Q33,2)</f>
        <v>0</v>
      </c>
    </row>
    <row r="37" spans="1:17" x14ac:dyDescent="0.2">
      <c r="B37" s="186" t="s">
        <v>71</v>
      </c>
      <c r="C37" s="176"/>
      <c r="D37" s="180"/>
      <c r="E37" s="127">
        <f>+ROUND(E34,2)</f>
        <v>0</v>
      </c>
      <c r="F37" s="128"/>
      <c r="G37" s="176"/>
      <c r="H37" s="180"/>
      <c r="I37" s="127">
        <f>+ROUND(I34,2)</f>
        <v>0</v>
      </c>
      <c r="J37" s="128"/>
      <c r="K37" s="176"/>
      <c r="L37" s="180"/>
      <c r="M37" s="127">
        <f>+ROUND(M34,2)</f>
        <v>0</v>
      </c>
      <c r="N37" s="128"/>
      <c r="O37" s="176"/>
      <c r="P37" s="180"/>
      <c r="Q37" s="127">
        <f>+ROUND(Q34,2)</f>
        <v>0</v>
      </c>
    </row>
    <row r="38" spans="1:17" ht="16.5" thickBot="1" x14ac:dyDescent="0.25">
      <c r="B38" s="187" t="s">
        <v>173</v>
      </c>
      <c r="C38" s="181"/>
      <c r="D38" s="182"/>
      <c r="E38" s="105">
        <f t="shared" ref="E38" si="0">SUM(E35:E37)</f>
        <v>0</v>
      </c>
      <c r="F38" s="106"/>
      <c r="G38" s="181"/>
      <c r="H38" s="182"/>
      <c r="I38" s="105">
        <f t="shared" ref="I38" si="1">SUM(I35:I37)</f>
        <v>0</v>
      </c>
      <c r="J38" s="106"/>
      <c r="K38" s="181"/>
      <c r="L38" s="182"/>
      <c r="M38" s="105">
        <f t="shared" ref="M38" si="2">SUM(M35:M37)</f>
        <v>0</v>
      </c>
      <c r="N38" s="106"/>
      <c r="O38" s="181"/>
      <c r="P38" s="182"/>
      <c r="Q38" s="105">
        <f t="shared" ref="Q38" si="3">SUM(Q35:Q37)</f>
        <v>0</v>
      </c>
    </row>
    <row r="39" spans="1:17" ht="16.5" thickBot="1" x14ac:dyDescent="0.25">
      <c r="B39" s="117"/>
      <c r="E39" s="194"/>
      <c r="F39" s="194"/>
      <c r="G39" s="194"/>
      <c r="H39" s="194"/>
      <c r="I39" s="194"/>
      <c r="J39" s="194"/>
      <c r="K39" s="194"/>
      <c r="N39" s="132"/>
      <c r="O39" s="194"/>
    </row>
    <row r="40" spans="1:17" ht="16.5" thickBot="1" x14ac:dyDescent="0.3">
      <c r="B40" s="523" t="str">
        <f>B10</f>
        <v>CLIN 0003 (CPIF)                                                  TOTAL</v>
      </c>
      <c r="C40" s="490" t="s">
        <v>212</v>
      </c>
      <c r="D40" s="491"/>
      <c r="E40" s="492"/>
      <c r="F40" s="120"/>
      <c r="G40" s="490" t="s">
        <v>212</v>
      </c>
      <c r="H40" s="491"/>
      <c r="I40" s="492"/>
      <c r="J40" s="120"/>
      <c r="K40" s="490" t="s">
        <v>212</v>
      </c>
      <c r="L40" s="491"/>
      <c r="M40" s="492"/>
      <c r="N40" s="120"/>
      <c r="O40" s="490" t="s">
        <v>212</v>
      </c>
      <c r="P40" s="491"/>
      <c r="Q40" s="492"/>
    </row>
    <row r="41" spans="1:17" ht="27.75" customHeight="1" thickBot="1" x14ac:dyDescent="0.3">
      <c r="B41" s="524"/>
      <c r="C41" s="520" t="str">
        <f>C28</f>
        <v>CLIN 0003 - Basic Period (Year 1)</v>
      </c>
      <c r="D41" s="521"/>
      <c r="E41" s="522"/>
      <c r="F41" s="121"/>
      <c r="G41" s="520" t="str">
        <f>G28</f>
        <v>CLIN 0003 - Basic Period (Year 2)</v>
      </c>
      <c r="H41" s="521"/>
      <c r="I41" s="522"/>
      <c r="J41" s="121"/>
      <c r="K41" s="520" t="str">
        <f>K28</f>
        <v>CLIN 0003 - Basic Period (Year 3)</v>
      </c>
      <c r="L41" s="521"/>
      <c r="M41" s="522"/>
      <c r="N41" s="121"/>
      <c r="O41" s="520" t="str">
        <f>O28</f>
        <v>CLIN 0003 - Basic Period (Year 4)</v>
      </c>
      <c r="P41" s="521"/>
      <c r="Q41" s="522"/>
    </row>
    <row r="42" spans="1:17" x14ac:dyDescent="0.25">
      <c r="B42" s="193"/>
      <c r="C42" s="98" t="s">
        <v>289</v>
      </c>
      <c r="D42" s="99" t="s">
        <v>286</v>
      </c>
      <c r="E42" s="100" t="s">
        <v>287</v>
      </c>
      <c r="F42" s="111"/>
      <c r="G42" s="98" t="s">
        <v>289</v>
      </c>
      <c r="H42" s="99" t="s">
        <v>286</v>
      </c>
      <c r="I42" s="100" t="s">
        <v>287</v>
      </c>
      <c r="J42" s="111"/>
      <c r="K42" s="98" t="s">
        <v>289</v>
      </c>
      <c r="L42" s="99" t="s">
        <v>286</v>
      </c>
      <c r="M42" s="100" t="s">
        <v>287</v>
      </c>
      <c r="N42" s="111"/>
      <c r="O42" s="98" t="s">
        <v>289</v>
      </c>
      <c r="P42" s="99" t="s">
        <v>286</v>
      </c>
      <c r="Q42" s="100" t="s">
        <v>287</v>
      </c>
    </row>
    <row r="43" spans="1:17" x14ac:dyDescent="0.2">
      <c r="B43" s="261" t="s">
        <v>1</v>
      </c>
      <c r="C43" s="226"/>
      <c r="D43" s="226"/>
      <c r="E43" s="262">
        <f>'SUB CPIF TOTAL SUB'!E34</f>
        <v>0</v>
      </c>
      <c r="F43" s="229"/>
      <c r="G43" s="176"/>
      <c r="H43" s="226"/>
      <c r="I43" s="262">
        <f>'SUB CPIF TOTAL SUB'!G34</f>
        <v>0</v>
      </c>
      <c r="J43" s="229"/>
      <c r="K43" s="176"/>
      <c r="L43" s="226"/>
      <c r="M43" s="262">
        <f>'SUB CPIF TOTAL SUB'!I34</f>
        <v>0</v>
      </c>
      <c r="N43" s="110"/>
      <c r="O43" s="176"/>
      <c r="P43" s="226"/>
      <c r="Q43" s="262">
        <f>'SUB CPIF TOTAL SUB'!K34</f>
        <v>0</v>
      </c>
    </row>
    <row r="44" spans="1:17" x14ac:dyDescent="0.2">
      <c r="B44" s="228" t="s">
        <v>1</v>
      </c>
      <c r="C44" s="527" t="s">
        <v>1</v>
      </c>
      <c r="D44" s="528"/>
      <c r="E44" s="529"/>
      <c r="F44" s="123"/>
      <c r="G44" s="530"/>
      <c r="H44" s="528"/>
      <c r="I44" s="529"/>
      <c r="J44" s="123"/>
      <c r="K44" s="530"/>
      <c r="L44" s="528"/>
      <c r="M44" s="529"/>
      <c r="N44" s="123"/>
      <c r="O44" s="530"/>
      <c r="P44" s="528"/>
      <c r="Q44" s="529"/>
    </row>
    <row r="45" spans="1:17" x14ac:dyDescent="0.2">
      <c r="B45" s="228" t="str">
        <f>'SUB CPIF RATES (ALL)'!B45</f>
        <v>Indirect Category: [Overhead]</v>
      </c>
      <c r="C45" s="227"/>
      <c r="D45" s="188"/>
      <c r="E45" s="113">
        <f>'CPIF CLIN 0003-TASK 1.01 INPUTS'!E50+'CPIF CLIN 0003-TASK 1.02 INPUTS'!E50+'CPIF CLIN 0003-TASK 1.03 INPUTS'!E50+'CPIF CLIN 0003-TASK 1.04 INPUTS'!E50</f>
        <v>0</v>
      </c>
      <c r="F45" s="123"/>
      <c r="G45" s="160"/>
      <c r="H45" s="188"/>
      <c r="I45" s="113">
        <f>'CPIF CLIN 0003-TASK 1.01 INPUTS'!I50+'CPIF CLIN 0003-TASK 1.02 INPUTS'!I50+'CPIF CLIN 0003-TASK 1.03 INPUTS'!I50+'CPIF CLIN 0003-TASK 1.04 INPUTS'!I50</f>
        <v>0</v>
      </c>
      <c r="J45" s="123"/>
      <c r="K45" s="160"/>
      <c r="L45" s="188"/>
      <c r="M45" s="113">
        <f>'CPIF CLIN 0003-TASK 1.01 INPUTS'!M50+'CPIF CLIN 0003-TASK 1.02 INPUTS'!M50+'CPIF CLIN 0003-TASK 1.03 INPUTS'!M50+'CPIF CLIN 0003-TASK 1.04 INPUTS'!M50</f>
        <v>0</v>
      </c>
      <c r="N45" s="123"/>
      <c r="O45" s="160"/>
      <c r="P45" s="188"/>
      <c r="Q45" s="113">
        <f>'CPIF CLIN 0003-TASK 1.01 INPUTS'!Q50+'CPIF CLIN 0003-TASK 1.02 INPUTS'!Q50+'CPIF CLIN 0003-TASK 1.03 INPUTS'!Q50+'CPIF CLIN 0003-TASK 1.04 INPUTS'!Q50</f>
        <v>0</v>
      </c>
    </row>
    <row r="46" spans="1:17" x14ac:dyDescent="0.2">
      <c r="B46" s="228" t="str">
        <f>'SUB CPIF RATES (ALL)'!B46</f>
        <v>Indirect Category: [G&amp;A]</v>
      </c>
      <c r="C46" s="227"/>
      <c r="D46" s="188"/>
      <c r="E46" s="113">
        <f>'CPIF CLIN 0003-TASK 1.01 INPUTS'!E51+'CPIF CLIN 0003-TASK 1.02 INPUTS'!E51+'CPIF CLIN 0003-TASK 1.03 INPUTS'!E51+'CPIF CLIN 0003-TASK 1.04 INPUTS'!E51</f>
        <v>0</v>
      </c>
      <c r="F46" s="229"/>
      <c r="G46" s="227"/>
      <c r="H46" s="188"/>
      <c r="I46" s="113">
        <f>'CPIF CLIN 0003-TASK 1.01 INPUTS'!I51+'CPIF CLIN 0003-TASK 1.02 INPUTS'!I51+'CPIF CLIN 0003-TASK 1.03 INPUTS'!I51+'CPIF CLIN 0003-TASK 1.04 INPUTS'!I51</f>
        <v>0</v>
      </c>
      <c r="J46" s="229"/>
      <c r="K46" s="227"/>
      <c r="L46" s="188"/>
      <c r="M46" s="113">
        <f>'CPIF CLIN 0003-TASK 1.01 INPUTS'!M51+'CPIF CLIN 0003-TASK 1.02 INPUTS'!M51+'CPIF CLIN 0003-TASK 1.03 INPUTS'!M51+'CPIF CLIN 0003-TASK 1.04 INPUTS'!M51</f>
        <v>0</v>
      </c>
      <c r="N46" s="110"/>
      <c r="O46" s="227"/>
      <c r="P46" s="188"/>
      <c r="Q46" s="113">
        <f>'CPIF CLIN 0003-TASK 1.01 INPUTS'!Q51+'CPIF CLIN 0003-TASK 1.02 INPUTS'!Q51+'CPIF CLIN 0003-TASK 1.03 INPUTS'!Q51+'CPIF CLIN 0003-TASK 1.04 INPUTS'!Q51</f>
        <v>0</v>
      </c>
    </row>
    <row r="47" spans="1:17" x14ac:dyDescent="0.2">
      <c r="B47" s="266" t="str">
        <f>'SUB CPIF RATES (ALL)'!B47</f>
        <v>Indirect Category: [FCCOM]</v>
      </c>
      <c r="C47" s="160"/>
      <c r="D47" s="267"/>
      <c r="E47" s="113">
        <f>'CPIF CLIN 0003-TASK 1.01 INPUTS'!E52+'CPIF CLIN 0003-TASK 1.02 INPUTS'!E52+'CPIF CLIN 0003-TASK 1.03 INPUTS'!E52+'CPIF CLIN 0003-TASK 1.04 INPUTS'!E52</f>
        <v>0</v>
      </c>
      <c r="F47" s="229"/>
      <c r="G47" s="160"/>
      <c r="H47" s="267"/>
      <c r="I47" s="113">
        <f>'CPIF CLIN 0003-TASK 1.01 INPUTS'!I52+'CPIF CLIN 0003-TASK 1.02 INPUTS'!I52+'CPIF CLIN 0003-TASK 1.03 INPUTS'!I52+'CPIF CLIN 0003-TASK 1.04 INPUTS'!I52</f>
        <v>0</v>
      </c>
      <c r="J47" s="229"/>
      <c r="K47" s="160"/>
      <c r="L47" s="267"/>
      <c r="M47" s="113">
        <f>'CPIF CLIN 0003-TASK 1.01 INPUTS'!M52+'CPIF CLIN 0003-TASK 1.02 INPUTS'!M52+'CPIF CLIN 0003-TASK 1.03 INPUTS'!M52+'CPIF CLIN 0003-TASK 1.04 INPUTS'!M52</f>
        <v>0</v>
      </c>
      <c r="N47" s="110"/>
      <c r="O47" s="160"/>
      <c r="P47" s="267"/>
      <c r="Q47" s="113">
        <f>'CPIF CLIN 0003-TASK 1.01 INPUTS'!Q52+'CPIF CLIN 0003-TASK 1.02 INPUTS'!Q52+'CPIF CLIN 0003-TASK 1.03 INPUTS'!Q52+'CPIF CLIN 0003-TASK 1.04 INPUTS'!Q52</f>
        <v>0</v>
      </c>
    </row>
    <row r="48" spans="1:17" x14ac:dyDescent="0.2">
      <c r="B48" s="112" t="str">
        <f>'SUB CPIF RATES (ALL)'!B48</f>
        <v>Indirect Category: [Target Fee]</v>
      </c>
      <c r="C48" s="159"/>
      <c r="D48" s="269"/>
      <c r="E48" s="113">
        <f>'CPIF CLIN 0003-TASK 1.01 INPUTS'!E53+'CPIF CLIN 0003-TASK 1.02 INPUTS'!E53+'CPIF CLIN 0003-TASK 1.03 INPUTS'!E53+'CPIF CLIN 0003-TASK 1.04 INPUTS'!E53</f>
        <v>0</v>
      </c>
      <c r="F48" s="229"/>
      <c r="G48" s="159"/>
      <c r="H48" s="269"/>
      <c r="I48" s="113">
        <f>'CPIF CLIN 0003-TASK 1.01 INPUTS'!I53+'CPIF CLIN 0003-TASK 1.02 INPUTS'!I53+'CPIF CLIN 0003-TASK 1.03 INPUTS'!I53+'CPIF CLIN 0003-TASK 1.04 INPUTS'!I53</f>
        <v>0</v>
      </c>
      <c r="J48" s="229"/>
      <c r="K48" s="159"/>
      <c r="L48" s="269"/>
      <c r="M48" s="113">
        <f>'CPIF CLIN 0003-TASK 1.01 INPUTS'!M53+'CPIF CLIN 0003-TASK 1.02 INPUTS'!M53+'CPIF CLIN 0003-TASK 1.03 INPUTS'!M53+'CPIF CLIN 0003-TASK 1.04 INPUTS'!M53</f>
        <v>0</v>
      </c>
      <c r="N48" s="110"/>
      <c r="O48" s="159"/>
      <c r="P48" s="269"/>
      <c r="Q48" s="113">
        <f>'CPIF CLIN 0003-TASK 1.01 INPUTS'!Q53+'CPIF CLIN 0003-TASK 1.02 INPUTS'!Q53+'CPIF CLIN 0003-TASK 1.03 INPUTS'!Q53+'CPIF CLIN 0003-TASK 1.04 INPUTS'!Q53</f>
        <v>0</v>
      </c>
    </row>
    <row r="49" spans="1:17" x14ac:dyDescent="0.2">
      <c r="B49" s="186" t="s">
        <v>214</v>
      </c>
      <c r="C49" s="178"/>
      <c r="D49" s="179"/>
      <c r="E49" s="113">
        <f>E43+E45+E46</f>
        <v>0</v>
      </c>
      <c r="F49" s="229"/>
      <c r="G49" s="178"/>
      <c r="H49" s="179"/>
      <c r="I49" s="113">
        <f>I43+I45+I46</f>
        <v>0</v>
      </c>
      <c r="J49" s="229"/>
      <c r="K49" s="178"/>
      <c r="L49" s="179"/>
      <c r="M49" s="113">
        <f>M43+M45+M46</f>
        <v>0</v>
      </c>
      <c r="N49" s="110"/>
      <c r="O49" s="178"/>
      <c r="P49" s="179"/>
      <c r="Q49" s="113">
        <f>Q43+Q45+Q46</f>
        <v>0</v>
      </c>
    </row>
    <row r="50" spans="1:17" x14ac:dyDescent="0.2">
      <c r="B50" s="186" t="s">
        <v>204</v>
      </c>
      <c r="C50" s="176"/>
      <c r="D50" s="180"/>
      <c r="E50" s="113">
        <f>ROUND(E47,2)</f>
        <v>0</v>
      </c>
      <c r="F50" s="229"/>
      <c r="G50" s="176"/>
      <c r="H50" s="180"/>
      <c r="I50" s="113">
        <f>ROUND(I47,2)</f>
        <v>0</v>
      </c>
      <c r="J50" s="229"/>
      <c r="K50" s="176"/>
      <c r="L50" s="180"/>
      <c r="M50" s="113">
        <f>ROUND(M47,2)</f>
        <v>0</v>
      </c>
      <c r="N50" s="110"/>
      <c r="O50" s="176"/>
      <c r="P50" s="180"/>
      <c r="Q50" s="113">
        <f>ROUND(Q47,2)</f>
        <v>0</v>
      </c>
    </row>
    <row r="51" spans="1:17" x14ac:dyDescent="0.2">
      <c r="B51" s="186" t="s">
        <v>71</v>
      </c>
      <c r="C51" s="176"/>
      <c r="D51" s="180"/>
      <c r="E51" s="127">
        <f>ROUND(E48,2)</f>
        <v>0</v>
      </c>
      <c r="F51" s="128"/>
      <c r="G51" s="176"/>
      <c r="H51" s="180"/>
      <c r="I51" s="127">
        <f>ROUND(I48,2)</f>
        <v>0</v>
      </c>
      <c r="J51" s="128"/>
      <c r="K51" s="176"/>
      <c r="L51" s="180"/>
      <c r="M51" s="127">
        <f>ROUND(M48,2)</f>
        <v>0</v>
      </c>
      <c r="N51" s="128"/>
      <c r="O51" s="176"/>
      <c r="P51" s="180"/>
      <c r="Q51" s="127">
        <f>ROUND(Q48,2)</f>
        <v>0</v>
      </c>
    </row>
    <row r="52" spans="1:17" ht="16.5" thickBot="1" x14ac:dyDescent="0.25">
      <c r="B52" s="187" t="s">
        <v>215</v>
      </c>
      <c r="C52" s="181"/>
      <c r="D52" s="182"/>
      <c r="E52" s="105">
        <f>SUM(E49:E51)</f>
        <v>0</v>
      </c>
      <c r="F52" s="106"/>
      <c r="G52" s="181"/>
      <c r="H52" s="182"/>
      <c r="I52" s="105">
        <f>SUM(I49:I51)</f>
        <v>0</v>
      </c>
      <c r="J52" s="106"/>
      <c r="K52" s="181"/>
      <c r="L52" s="182"/>
      <c r="M52" s="105">
        <f>SUM(M49:M51)</f>
        <v>0</v>
      </c>
      <c r="N52" s="106"/>
      <c r="O52" s="181"/>
      <c r="P52" s="182"/>
      <c r="Q52" s="105">
        <f>SUM(Q49:Q51)</f>
        <v>0</v>
      </c>
    </row>
    <row r="53" spans="1:17" ht="16.5" thickBot="1" x14ac:dyDescent="0.25">
      <c r="B53" s="117"/>
      <c r="E53" s="194"/>
      <c r="F53" s="194"/>
      <c r="G53" s="194"/>
      <c r="H53" s="194"/>
      <c r="I53" s="194"/>
      <c r="J53" s="194"/>
      <c r="K53" s="194"/>
      <c r="N53" s="132"/>
      <c r="O53" s="194"/>
    </row>
    <row r="54" spans="1:17" ht="16.5" customHeight="1" thickBot="1" x14ac:dyDescent="0.3">
      <c r="A54" s="138"/>
      <c r="B54" s="523" t="str">
        <f>B27</f>
        <v>CLIN 0003 (CPIF)                                                  TOTAL</v>
      </c>
      <c r="C54" s="490" t="s">
        <v>81</v>
      </c>
      <c r="D54" s="491"/>
      <c r="E54" s="492"/>
      <c r="F54" s="120"/>
      <c r="G54" s="490" t="s">
        <v>82</v>
      </c>
      <c r="H54" s="491"/>
      <c r="I54" s="492"/>
      <c r="J54" s="120"/>
      <c r="K54" s="490" t="s">
        <v>82</v>
      </c>
      <c r="L54" s="491"/>
      <c r="M54" s="492"/>
      <c r="N54" s="120"/>
      <c r="O54" s="490" t="s">
        <v>82</v>
      </c>
      <c r="P54" s="491"/>
      <c r="Q54" s="492"/>
    </row>
    <row r="55" spans="1:17" ht="33.75" customHeight="1" thickBot="1" x14ac:dyDescent="0.3">
      <c r="A55" s="138"/>
      <c r="B55" s="524"/>
      <c r="C55" s="487" t="str">
        <f>C28</f>
        <v>CLIN 0003 - Basic Period (Year 1)</v>
      </c>
      <c r="D55" s="488"/>
      <c r="E55" s="489"/>
      <c r="F55" s="121"/>
      <c r="G55" s="487" t="str">
        <f>G28</f>
        <v>CLIN 0003 - Basic Period (Year 2)</v>
      </c>
      <c r="H55" s="488"/>
      <c r="I55" s="489"/>
      <c r="J55" s="121"/>
      <c r="K55" s="487" t="str">
        <f>K28</f>
        <v>CLIN 0003 - Basic Period (Year 3)</v>
      </c>
      <c r="L55" s="488"/>
      <c r="M55" s="489"/>
      <c r="N55" s="121"/>
      <c r="O55" s="487" t="str">
        <f>O28</f>
        <v>CLIN 0003 - Basic Period (Year 4)</v>
      </c>
      <c r="P55" s="488"/>
      <c r="Q55" s="489"/>
    </row>
    <row r="56" spans="1:17" x14ac:dyDescent="0.25">
      <c r="A56" s="138"/>
      <c r="B56" s="193"/>
      <c r="C56" s="98" t="s">
        <v>289</v>
      </c>
      <c r="D56" s="99" t="s">
        <v>286</v>
      </c>
      <c r="E56" s="100" t="s">
        <v>89</v>
      </c>
      <c r="F56" s="111"/>
      <c r="G56" s="98" t="s">
        <v>289</v>
      </c>
      <c r="H56" s="99" t="s">
        <v>286</v>
      </c>
      <c r="I56" s="100" t="s">
        <v>58</v>
      </c>
      <c r="J56" s="111"/>
      <c r="K56" s="98" t="s">
        <v>289</v>
      </c>
      <c r="L56" s="99" t="s">
        <v>286</v>
      </c>
      <c r="M56" s="100" t="s">
        <v>58</v>
      </c>
      <c r="N56" s="111"/>
      <c r="O56" s="98" t="s">
        <v>289</v>
      </c>
      <c r="P56" s="99" t="s">
        <v>286</v>
      </c>
      <c r="Q56" s="100" t="s">
        <v>58</v>
      </c>
    </row>
    <row r="57" spans="1:17" x14ac:dyDescent="0.25">
      <c r="A57" s="138"/>
      <c r="B57" s="240" t="s">
        <v>1</v>
      </c>
      <c r="C57" s="176"/>
      <c r="D57" s="177"/>
      <c r="E57" s="159">
        <f>'CPIF CLIN 0002-TASK 1.01 INPUTS'!E62+'CPIF CLIN 0002-TASK 1.02 INPUTS'!E62+'CPIF CLIN 0002-TASK 1.03 INPUTS'!E62+'CPIF CLIN 0003-TASK 1.04 INPUTS'!E62</f>
        <v>0</v>
      </c>
      <c r="F57" s="110"/>
      <c r="G57" s="176"/>
      <c r="H57" s="177"/>
      <c r="I57" s="159">
        <f>'CPIF CLIN 0002-TASK 1.01 INPUTS'!I62+'CPIF CLIN 0002-TASK 1.02 INPUTS'!I62+'CPIF CLIN 0002-TASK 1.03 INPUTS'!I62+'CPIF CLIN 0003-TASK 1.04 INPUTS'!I62</f>
        <v>0</v>
      </c>
      <c r="J57" s="110"/>
      <c r="K57" s="176"/>
      <c r="L57" s="177"/>
      <c r="M57" s="161">
        <f>'CPIF CLIN 0002-TASK 1.01 INPUTS'!M62+'CPIF CLIN 0002-TASK 1.02 INPUTS'!M62+'CPIF CLIN 0002-TASK 1.03 INPUTS'!M62+'CPIF CLIN 0003-TASK 1.04 INPUTS'!M62</f>
        <v>0</v>
      </c>
      <c r="N57" s="110"/>
      <c r="O57" s="176"/>
      <c r="P57" s="177"/>
      <c r="Q57" s="161">
        <f>'CPIF CLIN 0002-TASK 1.01 INPUTS'!Q62+'CPIF CLIN 0002-TASK 1.02 INPUTS'!Q62+'CPIF CLIN 0002-TASK 1.03 INPUTS'!Q62+'CPIF CLIN 0003-TASK 1.04 INPUTS'!Q62</f>
        <v>0</v>
      </c>
    </row>
    <row r="58" spans="1:17" x14ac:dyDescent="0.25">
      <c r="A58" s="138"/>
      <c r="B58" s="112" t="s">
        <v>60</v>
      </c>
      <c r="C58" s="160"/>
      <c r="D58" s="188"/>
      <c r="E58" s="113">
        <f>'CPIF CLIN 0003-TASK 1.01 INPUTS'!E64+'CPIF CLIN 0003-TASK 1.02 INPUTS'!E64+'CPIF CLIN 0003-TASK 1.03 INPUTS'!E64+'CPIF CLIN 0003-TASK 1.04 INPUTS'!E64</f>
        <v>0</v>
      </c>
      <c r="F58" s="123"/>
      <c r="G58" s="160"/>
      <c r="H58" s="188"/>
      <c r="I58" s="113">
        <f>'CPIF CLIN 0003-TASK 1.01 INPUTS'!I64+'CPIF CLIN 0003-TASK 1.02 INPUTS'!I64+'CPIF CLIN 0003-TASK 1.03 INPUTS'!I64+'CPIF CLIN 0003-TASK 1.04 INPUTS'!I64</f>
        <v>0</v>
      </c>
      <c r="J58" s="123"/>
      <c r="K58" s="160"/>
      <c r="L58" s="188"/>
      <c r="M58" s="113">
        <f>'CPIF CLIN 0003-TASK 1.01 INPUTS'!M64+'CPIF CLIN 0003-TASK 1.02 INPUTS'!M64+'CPIF CLIN 0003-TASK 1.03 INPUTS'!M64+'CPIF CLIN 0003-TASK 1.04 INPUTS'!M64</f>
        <v>0</v>
      </c>
      <c r="N58" s="123"/>
      <c r="O58" s="160"/>
      <c r="P58" s="188"/>
      <c r="Q58" s="113">
        <f>'CPIF CLIN 0003-TASK 1.01 INPUTS'!Q64+'CPIF CLIN 0003-TASK 1.02 INPUTS'!Q64+'CPIF CLIN 0003-TASK 1.03 INPUTS'!Q64+'CPIF CLIN 0003-TASK 1.04 INPUTS'!Q64</f>
        <v>0</v>
      </c>
    </row>
    <row r="59" spans="1:17" x14ac:dyDescent="0.25">
      <c r="A59" s="138"/>
      <c r="B59" s="112" t="s">
        <v>61</v>
      </c>
      <c r="C59" s="160"/>
      <c r="D59" s="188"/>
      <c r="E59" s="113">
        <f>'CPIF CLIN 0003-TASK 1.01 INPUTS'!E65+'CPIF CLIN 0003-TASK 1.02 INPUTS'!E65+'CPIF CLIN 0003-TASK 1.03 INPUTS'!E65+'CPIF CLIN 0003-TASK 1.04 INPUTS'!E65</f>
        <v>0</v>
      </c>
      <c r="F59" s="123"/>
      <c r="G59" s="160"/>
      <c r="H59" s="188"/>
      <c r="I59" s="113">
        <f>'CPIF CLIN 0003-TASK 1.01 INPUTS'!I65+'CPIF CLIN 0003-TASK 1.02 INPUTS'!I65+'CPIF CLIN 0003-TASK 1.03 INPUTS'!I65+'CPIF CLIN 0003-TASK 1.04 INPUTS'!I65</f>
        <v>0</v>
      </c>
      <c r="J59" s="123"/>
      <c r="K59" s="160"/>
      <c r="L59" s="188"/>
      <c r="M59" s="113">
        <f>'CPIF CLIN 0003-TASK 1.01 INPUTS'!M65+'CPIF CLIN 0003-TASK 1.02 INPUTS'!M65+'CPIF CLIN 0003-TASK 1.03 INPUTS'!M65+'CPIF CLIN 0003-TASK 1.04 INPUTS'!M65</f>
        <v>0</v>
      </c>
      <c r="N59" s="123"/>
      <c r="O59" s="160"/>
      <c r="P59" s="188"/>
      <c r="Q59" s="113">
        <f>'CPIF CLIN 0003-TASK 1.01 INPUTS'!Q65+'CPIF CLIN 0003-TASK 1.02 INPUTS'!Q65+'CPIF CLIN 0003-TASK 1.03 INPUTS'!Q65+'CPIF CLIN 0003-TASK 1.04 INPUTS'!Q65</f>
        <v>0</v>
      </c>
    </row>
    <row r="60" spans="1:17" x14ac:dyDescent="0.25">
      <c r="A60" s="138"/>
      <c r="B60" s="112" t="s">
        <v>411</v>
      </c>
      <c r="C60" s="160"/>
      <c r="D60" s="267"/>
      <c r="E60" s="113">
        <f>'CPIF CLIN 0003-TASK 1.01 INPUTS'!E66+'CPIF CLIN 0003-TASK 1.02 INPUTS'!E66+'CPIF CLIN 0003-TASK 1.03 INPUTS'!E66+'CPIF CLIN 0003-TASK 1.04 INPUTS'!E66</f>
        <v>0</v>
      </c>
      <c r="F60" s="110"/>
      <c r="G60" s="160"/>
      <c r="H60" s="267"/>
      <c r="I60" s="113">
        <f>'CPIF CLIN 0003-TASK 1.01 INPUTS'!I66+'CPIF CLIN 0003-TASK 1.02 INPUTS'!I66+'CPIF CLIN 0003-TASK 1.03 INPUTS'!I66+'CPIF CLIN 0003-TASK 1.04 INPUTS'!I66</f>
        <v>0</v>
      </c>
      <c r="J60" s="110"/>
      <c r="K60" s="160"/>
      <c r="L60" s="267"/>
      <c r="M60" s="113">
        <f>'CPIF CLIN 0003-TASK 1.01 INPUTS'!M66+'CPIF CLIN 0003-TASK 1.02 INPUTS'!M66+'CPIF CLIN 0003-TASK 1.03 INPUTS'!M66+'CPIF CLIN 0003-TASK 1.04 INPUTS'!M66</f>
        <v>0</v>
      </c>
      <c r="N60" s="110"/>
      <c r="O60" s="160"/>
      <c r="P60" s="267"/>
      <c r="Q60" s="113">
        <f>'CPIF CLIN 0003-TASK 1.01 INPUTS'!Q66+'CPIF CLIN 0003-TASK 1.02 INPUTS'!Q66+'CPIF CLIN 0003-TASK 1.03 INPUTS'!Q66+'CPIF CLIN 0003-TASK 1.04 INPUTS'!Q66</f>
        <v>0</v>
      </c>
    </row>
    <row r="61" spans="1:17" x14ac:dyDescent="0.25">
      <c r="A61" s="138"/>
      <c r="B61" s="112" t="s">
        <v>62</v>
      </c>
      <c r="C61" s="160"/>
      <c r="D61" s="269"/>
      <c r="E61" s="113">
        <f>'CPIF CLIN 0003-TASK 1.01 INPUTS'!E67+'CPIF CLIN 0003-TASK 1.02 INPUTS'!E67+'CPIF CLIN 0003-TASK 1.03 INPUTS'!E67+'CPIF CLIN 0003-TASK 1.04 INPUTS'!E67</f>
        <v>0</v>
      </c>
      <c r="F61" s="110"/>
      <c r="G61" s="160"/>
      <c r="H61" s="269"/>
      <c r="I61" s="113">
        <f>'CPIF CLIN 0003-TASK 1.01 INPUTS'!I67+'CPIF CLIN 0003-TASK 1.02 INPUTS'!I67+'CPIF CLIN 0003-TASK 1.03 INPUTS'!I67+'CPIF CLIN 0003-TASK 1.04 INPUTS'!I67</f>
        <v>0</v>
      </c>
      <c r="J61" s="110"/>
      <c r="K61" s="160"/>
      <c r="L61" s="269"/>
      <c r="M61" s="113">
        <f>'CPIF CLIN 0003-TASK 1.01 INPUTS'!M67+'CPIF CLIN 0003-TASK 1.02 INPUTS'!M67+'CPIF CLIN 0003-TASK 1.03 INPUTS'!M67+'CPIF CLIN 0003-TASK 1.04 INPUTS'!M67</f>
        <v>0</v>
      </c>
      <c r="N61" s="110"/>
      <c r="O61" s="160"/>
      <c r="P61" s="269"/>
      <c r="Q61" s="113">
        <f>'CPIF CLIN 0003-TASK 1.01 INPUTS'!Q67+'CPIF CLIN 0003-TASK 1.02 INPUTS'!Q67+'CPIF CLIN 0003-TASK 1.03 INPUTS'!Q67+'CPIF CLIN 0003-TASK 1.04 INPUTS'!Q67</f>
        <v>0</v>
      </c>
    </row>
    <row r="62" spans="1:17" x14ac:dyDescent="0.25">
      <c r="A62" s="138"/>
      <c r="B62" s="186" t="s">
        <v>187</v>
      </c>
      <c r="C62" s="178"/>
      <c r="D62" s="179"/>
      <c r="E62" s="113">
        <f>+ROUND(SUM(E57:E59),2)</f>
        <v>0</v>
      </c>
      <c r="F62" s="110"/>
      <c r="G62" s="178"/>
      <c r="H62" s="179"/>
      <c r="I62" s="113">
        <f>+ROUND(SUM(I57:I59),2)</f>
        <v>0</v>
      </c>
      <c r="J62" s="110"/>
      <c r="K62" s="178"/>
      <c r="L62" s="179"/>
      <c r="M62" s="113">
        <f>+ROUND(SUM(M57:M59),2)</f>
        <v>0</v>
      </c>
      <c r="N62" s="110"/>
      <c r="O62" s="178"/>
      <c r="P62" s="179"/>
      <c r="Q62" s="113">
        <f>+ROUND(SUM(Q57:Q59),2)</f>
        <v>0</v>
      </c>
    </row>
    <row r="63" spans="1:17" x14ac:dyDescent="0.25">
      <c r="A63" s="138"/>
      <c r="B63" s="186" t="s">
        <v>72</v>
      </c>
      <c r="C63" s="176"/>
      <c r="D63" s="180"/>
      <c r="E63" s="113">
        <f>+ROUND(E60,2)</f>
        <v>0</v>
      </c>
      <c r="F63" s="110"/>
      <c r="G63" s="176"/>
      <c r="H63" s="180"/>
      <c r="I63" s="113">
        <f>+ROUND(I60,2)</f>
        <v>0</v>
      </c>
      <c r="J63" s="110"/>
      <c r="K63" s="176"/>
      <c r="L63" s="180"/>
      <c r="M63" s="113">
        <f>+ROUND(M60,2)</f>
        <v>0</v>
      </c>
      <c r="N63" s="110"/>
      <c r="O63" s="176"/>
      <c r="P63" s="180"/>
      <c r="Q63" s="113">
        <f>+ROUND(Q60,2)</f>
        <v>0</v>
      </c>
    </row>
    <row r="64" spans="1:17" x14ac:dyDescent="0.2">
      <c r="A64" s="131"/>
      <c r="B64" s="186" t="s">
        <v>71</v>
      </c>
      <c r="C64" s="176"/>
      <c r="D64" s="180"/>
      <c r="E64" s="127">
        <f>+ROUND(E61,2)</f>
        <v>0</v>
      </c>
      <c r="F64" s="128"/>
      <c r="G64" s="176"/>
      <c r="H64" s="180"/>
      <c r="I64" s="127">
        <f>+ROUND(I61,2)</f>
        <v>0</v>
      </c>
      <c r="J64" s="128"/>
      <c r="K64" s="176"/>
      <c r="L64" s="180"/>
      <c r="M64" s="127">
        <f>+ROUND(M61,2)</f>
        <v>0</v>
      </c>
      <c r="N64" s="128"/>
      <c r="O64" s="176"/>
      <c r="P64" s="180"/>
      <c r="Q64" s="127">
        <f>+ROUND(Q61,2)</f>
        <v>0</v>
      </c>
    </row>
    <row r="65" spans="1:19" ht="16.5" thickBot="1" x14ac:dyDescent="0.25">
      <c r="A65" s="131"/>
      <c r="B65" s="187" t="s">
        <v>174</v>
      </c>
      <c r="C65" s="181"/>
      <c r="D65" s="182"/>
      <c r="E65" s="105">
        <f t="shared" ref="E65" si="4">SUM(E62:E64)</f>
        <v>0</v>
      </c>
      <c r="F65" s="106"/>
      <c r="G65" s="181"/>
      <c r="H65" s="182"/>
      <c r="I65" s="105">
        <f t="shared" ref="I65" si="5">SUM(I62:I64)</f>
        <v>0</v>
      </c>
      <c r="J65" s="106"/>
      <c r="K65" s="181"/>
      <c r="L65" s="182"/>
      <c r="M65" s="105">
        <f t="shared" ref="M65" si="6">SUM(M62:M64)</f>
        <v>0</v>
      </c>
      <c r="N65" s="106"/>
      <c r="O65" s="181"/>
      <c r="P65" s="182"/>
      <c r="Q65" s="105">
        <f t="shared" ref="Q65" si="7">SUM(Q62:Q64)</f>
        <v>0</v>
      </c>
    </row>
    <row r="66" spans="1:19" ht="16.5" thickBot="1" x14ac:dyDescent="0.25">
      <c r="A66" s="131"/>
      <c r="B66" s="117"/>
      <c r="E66" s="194"/>
      <c r="F66" s="194"/>
      <c r="G66" s="194"/>
      <c r="H66" s="194"/>
      <c r="I66" s="194"/>
      <c r="J66" s="194"/>
      <c r="K66" s="194"/>
      <c r="N66" s="132"/>
      <c r="O66" s="194"/>
    </row>
    <row r="67" spans="1:19" ht="16.5" thickBot="1" x14ac:dyDescent="0.3">
      <c r="A67" s="131"/>
      <c r="B67" s="531" t="str">
        <f>B54</f>
        <v>CLIN 0003 (CPIF)                                                  TOTAL</v>
      </c>
      <c r="C67" s="517" t="s">
        <v>213</v>
      </c>
      <c r="D67" s="518"/>
      <c r="E67" s="519"/>
      <c r="F67" s="120"/>
      <c r="G67" s="517" t="s">
        <v>213</v>
      </c>
      <c r="H67" s="518"/>
      <c r="I67" s="519"/>
      <c r="J67" s="120"/>
      <c r="K67" s="517" t="s">
        <v>213</v>
      </c>
      <c r="L67" s="518"/>
      <c r="M67" s="519"/>
      <c r="N67" s="120"/>
      <c r="O67" s="517" t="s">
        <v>213</v>
      </c>
      <c r="P67" s="518"/>
      <c r="Q67" s="519"/>
    </row>
    <row r="68" spans="1:19" ht="33.75" customHeight="1" thickBot="1" x14ac:dyDescent="0.3">
      <c r="A68" s="131"/>
      <c r="B68" s="532"/>
      <c r="C68" s="221"/>
      <c r="D68" s="222"/>
      <c r="E68" s="133" t="s">
        <v>265</v>
      </c>
      <c r="F68" s="134"/>
      <c r="G68" s="221"/>
      <c r="H68" s="222"/>
      <c r="I68" s="133" t="s">
        <v>266</v>
      </c>
      <c r="J68" s="134"/>
      <c r="K68" s="221"/>
      <c r="L68" s="222"/>
      <c r="M68" s="133" t="s">
        <v>267</v>
      </c>
      <c r="N68" s="134"/>
      <c r="O68" s="221"/>
      <c r="P68" s="222"/>
      <c r="Q68" s="133" t="s">
        <v>268</v>
      </c>
      <c r="S68" s="365" t="s">
        <v>12</v>
      </c>
    </row>
    <row r="69" spans="1:19" x14ac:dyDescent="0.2">
      <c r="A69" s="131"/>
      <c r="B69" s="112" t="s">
        <v>188</v>
      </c>
      <c r="C69" s="223"/>
      <c r="D69" s="223"/>
      <c r="E69" s="135">
        <f>+ROUND(E22+E35+E49+E62,2)</f>
        <v>0</v>
      </c>
      <c r="F69" s="110"/>
      <c r="G69" s="223"/>
      <c r="H69" s="223"/>
      <c r="I69" s="135">
        <f>+ROUND(I22+I35+I49+I62,2)</f>
        <v>0</v>
      </c>
      <c r="J69" s="110"/>
      <c r="K69" s="223"/>
      <c r="L69" s="223"/>
      <c r="M69" s="135">
        <f>+ROUND(M22+M35+M49+M62,2)</f>
        <v>0</v>
      </c>
      <c r="N69" s="110"/>
      <c r="O69" s="223"/>
      <c r="P69" s="223"/>
      <c r="Q69" s="135">
        <f>+ROUND(Q22+Q35+Q49+Q62,2)</f>
        <v>0</v>
      </c>
      <c r="S69" s="355">
        <f>E69+I69+M69+Q69</f>
        <v>0</v>
      </c>
    </row>
    <row r="70" spans="1:19" x14ac:dyDescent="0.2">
      <c r="A70" s="131"/>
      <c r="B70" s="112" t="s">
        <v>72</v>
      </c>
      <c r="C70" s="223"/>
      <c r="D70" s="223"/>
      <c r="E70" s="113">
        <f>+ROUND(E23+E36+E50+E63,2)</f>
        <v>0</v>
      </c>
      <c r="F70" s="110"/>
      <c r="G70" s="223"/>
      <c r="H70" s="223"/>
      <c r="I70" s="113">
        <f>+ROUND(I23+I36+I50+I63,2)</f>
        <v>0</v>
      </c>
      <c r="J70" s="110"/>
      <c r="K70" s="223"/>
      <c r="L70" s="223"/>
      <c r="M70" s="113">
        <f>+ROUND(M23+M36+M50+M63,2)</f>
        <v>0</v>
      </c>
      <c r="N70" s="110"/>
      <c r="O70" s="223"/>
      <c r="P70" s="223"/>
      <c r="Q70" s="113">
        <f>+ROUND(Q23+Q36+Q50+Q63,2)</f>
        <v>0</v>
      </c>
      <c r="S70" s="355">
        <f t="shared" ref="S70:S72" si="8">E70+I70+M70+Q70</f>
        <v>0</v>
      </c>
    </row>
    <row r="71" spans="1:19" x14ac:dyDescent="0.2">
      <c r="A71" s="131"/>
      <c r="B71" s="112" t="s">
        <v>71</v>
      </c>
      <c r="C71" s="223"/>
      <c r="D71" s="223"/>
      <c r="E71" s="114">
        <f>+ROUND(E24+E37+E51+E64,2)</f>
        <v>0</v>
      </c>
      <c r="F71" s="115"/>
      <c r="G71" s="223"/>
      <c r="H71" s="223"/>
      <c r="I71" s="114">
        <f>+ROUND(I24+I37+I51+I64,2)</f>
        <v>0</v>
      </c>
      <c r="J71" s="115"/>
      <c r="K71" s="223"/>
      <c r="L71" s="223"/>
      <c r="M71" s="114">
        <f>+ROUND(M24+M37+M51+M64,2)</f>
        <v>0</v>
      </c>
      <c r="N71" s="115"/>
      <c r="O71" s="223"/>
      <c r="P71" s="223"/>
      <c r="Q71" s="114">
        <f>+ROUND(Q24+Q37+Q51+Q64,2)</f>
        <v>0</v>
      </c>
      <c r="S71" s="355">
        <f t="shared" si="8"/>
        <v>0</v>
      </c>
    </row>
    <row r="72" spans="1:19" ht="16.5" thickBot="1" x14ac:dyDescent="0.3">
      <c r="A72" s="131"/>
      <c r="B72" s="209" t="s">
        <v>273</v>
      </c>
      <c r="C72" s="224"/>
      <c r="D72" s="224"/>
      <c r="E72" s="208">
        <f>SUM(E69:E71)</f>
        <v>0</v>
      </c>
      <c r="F72" s="116"/>
      <c r="G72" s="224"/>
      <c r="H72" s="224"/>
      <c r="I72" s="208">
        <f>SUM(I69:I71)</f>
        <v>0</v>
      </c>
      <c r="J72" s="116"/>
      <c r="K72" s="224"/>
      <c r="L72" s="224"/>
      <c r="M72" s="208">
        <f>SUM(M69:M71)</f>
        <v>0</v>
      </c>
      <c r="N72" s="116"/>
      <c r="O72" s="224"/>
      <c r="P72" s="224"/>
      <c r="Q72" s="208">
        <f>SUM(Q69:Q71)</f>
        <v>0</v>
      </c>
      <c r="S72" s="364">
        <f t="shared" si="8"/>
        <v>0</v>
      </c>
    </row>
    <row r="73" spans="1:19" ht="16.5" thickBot="1" x14ac:dyDescent="0.3"/>
    <row r="74" spans="1:19" ht="95.25" thickBot="1" x14ac:dyDescent="0.3">
      <c r="P74" s="319" t="s">
        <v>284</v>
      </c>
      <c r="Q74" s="320">
        <f>E72+I72+M72+Q72</f>
        <v>0</v>
      </c>
    </row>
    <row r="76" spans="1:19" x14ac:dyDescent="0.25">
      <c r="P76" s="366" t="s">
        <v>13</v>
      </c>
      <c r="Q76" s="367">
        <f>'CPIF CLIN 0003-TASK 1.01 INPUTS'!Q81+'CPIF CLIN 0003-TASK 1.02 INPUTS'!Q81+'CPIF CLIN 0003-TASK 1.03 INPUTS'!Q81+'CPIF CLIN 0003-TASK 1.04 INPUTS'!Q81</f>
        <v>0</v>
      </c>
    </row>
  </sheetData>
  <mergeCells count="46">
    <mergeCell ref="K27:M27"/>
    <mergeCell ref="C28:E28"/>
    <mergeCell ref="G28:I28"/>
    <mergeCell ref="K28:M28"/>
    <mergeCell ref="B67:B68"/>
    <mergeCell ref="C67:E67"/>
    <mergeCell ref="G67:I67"/>
    <mergeCell ref="K67:M67"/>
    <mergeCell ref="C55:E55"/>
    <mergeCell ref="G55:I55"/>
    <mergeCell ref="K55:M55"/>
    <mergeCell ref="B54:B55"/>
    <mergeCell ref="C54:E54"/>
    <mergeCell ref="G54:I54"/>
    <mergeCell ref="K54:M54"/>
    <mergeCell ref="B40:B41"/>
    <mergeCell ref="A4:C4"/>
    <mergeCell ref="B10:B11"/>
    <mergeCell ref="C10:E10"/>
    <mergeCell ref="G10:I10"/>
    <mergeCell ref="B27:B28"/>
    <mergeCell ref="C27:E27"/>
    <mergeCell ref="G27:I27"/>
    <mergeCell ref="K10:M10"/>
    <mergeCell ref="C11:E11"/>
    <mergeCell ref="G11:I11"/>
    <mergeCell ref="K11:M11"/>
    <mergeCell ref="O10:Q10"/>
    <mergeCell ref="O11:Q11"/>
    <mergeCell ref="O54:Q54"/>
    <mergeCell ref="O55:Q55"/>
    <mergeCell ref="O67:Q67"/>
    <mergeCell ref="O27:Q27"/>
    <mergeCell ref="O28:Q28"/>
    <mergeCell ref="C44:E44"/>
    <mergeCell ref="G44:I44"/>
    <mergeCell ref="K44:M44"/>
    <mergeCell ref="O44:Q44"/>
    <mergeCell ref="K40:M40"/>
    <mergeCell ref="O40:Q40"/>
    <mergeCell ref="C41:E41"/>
    <mergeCell ref="G41:I41"/>
    <mergeCell ref="K41:M41"/>
    <mergeCell ref="O41:Q41"/>
    <mergeCell ref="C40:E40"/>
    <mergeCell ref="G40:I40"/>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2DD254C78FC1C4485D3A951242AA7F0" ma:contentTypeVersion="19" ma:contentTypeDescription="Create a new document." ma:contentTypeScope="" ma:versionID="b62713f94befd9777838ca04c72ba039">
  <xsd:schema xmlns:xsd="http://www.w3.org/2001/XMLSchema" xmlns:xs="http://www.w3.org/2001/XMLSchema" xmlns:p="http://schemas.microsoft.com/office/2006/metadata/properties" xmlns:ns1="http://schemas.microsoft.com/sharepoint/v3" xmlns:ns2="3d6ddd35-1fde-46ef-80b5-bdfe0e49412b" xmlns:ns3="8c937298-eda0-428b-a149-c8bd66a8c06d" xmlns:ns4="bac4e3eb-747f-43bc-bf10-c1bbb893ecac" targetNamespace="http://schemas.microsoft.com/office/2006/metadata/properties" ma:root="true" ma:fieldsID="6fee478c139f736e7ba6a413ff62f308" ns1:_="" ns2:_="" ns3:_="" ns4:_="">
    <xsd:import namespace="http://schemas.microsoft.com/sharepoint/v3"/>
    <xsd:import namespace="3d6ddd35-1fde-46ef-80b5-bdfe0e49412b"/>
    <xsd:import namespace="8c937298-eda0-428b-a149-c8bd66a8c06d"/>
    <xsd:import namespace="bac4e3eb-747f-43bc-bf10-c1bbb893ecac"/>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Comments" minOccurs="0"/>
                <xsd:element ref="ns2:lcf76f155ced4ddcb4097134ff3c332f" minOccurs="0"/>
                <xsd:element ref="ns4:TaxCatchAll" minOccurs="0"/>
                <xsd:element ref="ns2:MediaLengthInSeconds" minOccurs="0"/>
                <xsd:element ref="ns1:_ip_UnifiedCompliancePolicyProperties" minOccurs="0"/>
                <xsd:element ref="ns1:_ip_UnifiedCompliancePolicyUIAction" minOccurs="0"/>
                <xsd:element ref="ns2:Hyperlink"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2" nillable="true" ma:displayName="Unified Compliance Policy Properties" ma:hidden="true" ma:internalName="_ip_UnifiedCompliancePolicyProperties">
      <xsd:simpleType>
        <xsd:restriction base="dms:Note"/>
      </xsd:simpleType>
    </xsd:element>
    <xsd:element name="_ip_UnifiedCompliancePolicyUIAction" ma:index="23"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d6ddd35-1fde-46ef-80b5-bdfe0e49412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Comments" ma:index="17" nillable="true" ma:displayName="Comments" ma:format="Dropdown" ma:internalName="Comments">
      <xsd:simpleType>
        <xsd:restriction base="dms:Text">
          <xsd:maxLength value="255"/>
        </xsd:restrictio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95476efd-2625-4ffb-b020-68dbe4abf389" ma:termSetId="09814cd3-568e-fe90-9814-8d621ff8fb84" ma:anchorId="fba54fb3-c3e1-fe81-a776-ca4b69148c4d" ma:open="true" ma:isKeyword="false">
      <xsd:complexType>
        <xsd:sequence>
          <xsd:element ref="pc:Terms" minOccurs="0" maxOccurs="1"/>
        </xsd:sequence>
      </xsd:complexType>
    </xsd:element>
    <xsd:element name="MediaLengthInSeconds" ma:index="21" nillable="true" ma:displayName="MediaLengthInSeconds" ma:hidden="true" ma:internalName="MediaLengthInSeconds" ma:readOnly="true">
      <xsd:simpleType>
        <xsd:restriction base="dms:Unknown"/>
      </xsd:simpleType>
    </xsd:element>
    <xsd:element name="Hyperlink" ma:index="24" nillable="true" ma:displayName="Hyperlink" ma:format="Hyperlink" ma:internalName="Hyperlink">
      <xsd:complexType>
        <xsd:complexContent>
          <xsd:extension base="dms:URL">
            <xsd:sequence>
              <xsd:element name="Url" type="dms:ValidUrl" minOccurs="0" nillable="true"/>
              <xsd:element name="Description" type="xsd:string" nillable="true"/>
            </xsd:sequence>
          </xsd:extension>
        </xsd:complexContent>
      </xsd:complex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c937298-eda0-428b-a149-c8bd66a8c06d"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bac4e3eb-747f-43bc-bf10-c1bbb893ecac" elementFormDefault="qualified">
    <xsd:import namespace="http://schemas.microsoft.com/office/2006/documentManagement/types"/>
    <xsd:import namespace="http://schemas.microsoft.com/office/infopath/2007/PartnerControls"/>
    <xsd:element name="TaxCatchAll" ma:index="20" nillable="true" ma:displayName="Taxonomy Catch All Column" ma:hidden="true" ma:list="{f1f8f505-7b2b-4dc5-96f6-f246045c0890}" ma:internalName="TaxCatchAll" ma:showField="CatchAllData" ma:web="989d1e1f-d3c1-4345-a6e6-600df36c41e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lcf76f155ced4ddcb4097134ff3c332f xmlns="3d6ddd35-1fde-46ef-80b5-bdfe0e49412b">
      <Terms xmlns="http://schemas.microsoft.com/office/infopath/2007/PartnerControls"/>
    </lcf76f155ced4ddcb4097134ff3c332f>
    <TaxCatchAll xmlns="bac4e3eb-747f-43bc-bf10-c1bbb893ecac" xsi:nil="true"/>
    <_ip_UnifiedCompliancePolicyProperties xmlns="http://schemas.microsoft.com/sharepoint/v3" xsi:nil="true"/>
    <Comments xmlns="3d6ddd35-1fde-46ef-80b5-bdfe0e49412b" xsi:nil="true"/>
    <Hyperlink xmlns="3d6ddd35-1fde-46ef-80b5-bdfe0e49412b">
      <Url xsi:nil="true"/>
      <Description xsi:nil="true"/>
    </Hyperlink>
  </documentManagement>
</p:properties>
</file>

<file path=customXml/itemProps1.xml><?xml version="1.0" encoding="utf-8"?>
<ds:datastoreItem xmlns:ds="http://schemas.openxmlformats.org/officeDocument/2006/customXml" ds:itemID="{5F660B4E-0228-4109-B822-7C47D5F2E95C}"/>
</file>

<file path=customXml/itemProps2.xml><?xml version="1.0" encoding="utf-8"?>
<ds:datastoreItem xmlns:ds="http://schemas.openxmlformats.org/officeDocument/2006/customXml" ds:itemID="{9B01DFEF-4723-4242-B318-97EFA86A3D2A}">
  <ds:schemaRefs>
    <ds:schemaRef ds:uri="http://schemas.microsoft.com/sharepoint/v3/contenttype/forms"/>
  </ds:schemaRefs>
</ds:datastoreItem>
</file>

<file path=customXml/itemProps3.xml><?xml version="1.0" encoding="utf-8"?>
<ds:datastoreItem xmlns:ds="http://schemas.openxmlformats.org/officeDocument/2006/customXml" ds:itemID="{AB962EC3-4DCE-4A2A-8051-7A348B3F25E2}">
  <ds:schemaRefs>
    <ds:schemaRef ds:uri="http://schemas.microsoft.com/office/infopath/2007/PartnerControls"/>
    <ds:schemaRef ds:uri="http://schemas.openxmlformats.org/package/2006/metadata/core-properties"/>
    <ds:schemaRef ds:uri="2acb7ee1-6894-40b0-b6e2-7728e95822c3"/>
    <ds:schemaRef ds:uri="http://www.w3.org/XML/1998/namespace"/>
    <ds:schemaRef ds:uri="http://purl.org/dc/terms/"/>
    <ds:schemaRef ds:uri="http://schemas.microsoft.com/office/2006/metadata/properties"/>
    <ds:schemaRef ds:uri="http://purl.org/dc/dcmitype/"/>
    <ds:schemaRef ds:uri="http://schemas.microsoft.com/office/2006/documentManagement/types"/>
    <ds:schemaRef ds:uri="http://purl.org/dc/elements/1.1/"/>
  </ds:schemaRefs>
</ds:datastoreItem>
</file>

<file path=docMetadata/LabelInfo.xml><?xml version="1.0" encoding="utf-8"?>
<clbl:labelList xmlns:clbl="http://schemas.microsoft.com/office/2020/mipLabelMetadata">
  <clbl:label id="{37adc8ff-f4a3-4a14-9c0d-84b4985de0d2}" enabled="1" method="Privileged" siteId="{8331b18d-2d87-48ef-a35f-ac8818ebf9b4}"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33</vt:i4>
      </vt:variant>
    </vt:vector>
  </HeadingPairs>
  <TitlesOfParts>
    <vt:vector size="33" baseType="lpstr">
      <vt:lpstr>INSTRUCTIONS</vt:lpstr>
      <vt:lpstr>SUMMARY</vt:lpstr>
      <vt:lpstr>SUB CPIF RATES (ALL)</vt:lpstr>
      <vt:lpstr>SUB CPIF RATE DESC (ALL)</vt:lpstr>
      <vt:lpstr>SUB CPIF LABOR by TASK</vt:lpstr>
      <vt:lpstr>SUB CPIF LABOR INPUTS</vt:lpstr>
      <vt:lpstr>SUB CPIF TOTAL MATERIAL</vt:lpstr>
      <vt:lpstr>SUB CPIF TOTAL SUB</vt:lpstr>
      <vt:lpstr>SUB CPIF TOTAL ODC</vt:lpstr>
      <vt:lpstr>CPIF CLIN 0001 SUMMARY</vt:lpstr>
      <vt:lpstr>CPIF CLIN 0001-TASK 1.01 INPUTS</vt:lpstr>
      <vt:lpstr>CPIF CLIN 0001-TASK 1.02 INPUTS</vt:lpstr>
      <vt:lpstr>CPIF CLIN 0001-TASK 1.03 INPUTS</vt:lpstr>
      <vt:lpstr>CPIF CLIN 0001 TASK 1.04 INPUTS</vt:lpstr>
      <vt:lpstr>CPIF CLIN 0001-TASK 1.05 INPUTS</vt:lpstr>
      <vt:lpstr>CPIF CLIN 0001-TASK 1.06 INPUTS</vt:lpstr>
      <vt:lpstr>CPIF CLIN 0001-TASK 1.07 INPUTS</vt:lpstr>
      <vt:lpstr>CPIF CLIN 0001-TASK 1.08 INPUTS</vt:lpstr>
      <vt:lpstr>CPIF CLIN 0001-TASK 1.09 INPUTS</vt:lpstr>
      <vt:lpstr>CPIF CLIN 0001-TASK 1.10 INPUTS</vt:lpstr>
      <vt:lpstr>CPIF CLIN 0001-TASK 1.11 INPUTS</vt:lpstr>
      <vt:lpstr>CPIF CLIN 0001 TOTAL</vt:lpstr>
      <vt:lpstr>CPIF CLIN 0002 SUMMARY</vt:lpstr>
      <vt:lpstr>CPIF CLIN 0002-TASK 1.01 INPUTS</vt:lpstr>
      <vt:lpstr>CPIF CLIN 0002-TASK 1.02 INPUTS</vt:lpstr>
      <vt:lpstr>CPIF CLIN 0002-TASK 1.03 INPUTS</vt:lpstr>
      <vt:lpstr>CPIF CLIN 0002 TOTAL</vt:lpstr>
      <vt:lpstr>CPIF CLIN 0003 SUMMARY</vt:lpstr>
      <vt:lpstr>CPIF CLIN 0003-TASK 1.01 INPUTS</vt:lpstr>
      <vt:lpstr>CPIF CLIN 0003-TASK 1.02 INPUTS</vt:lpstr>
      <vt:lpstr>CPIF CLIN 0003-TASK 1.03 INPUTS</vt:lpstr>
      <vt:lpstr>CPIF CLIN 0003-TASK 1.04 INPUTS</vt:lpstr>
      <vt:lpstr>CPIF CLIN 0003 TOTAL</vt:lpstr>
    </vt:vector>
  </TitlesOfParts>
  <Manager/>
  <Company>U.S. Air Force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LEIST, KURT C CTR USAF AFMC AFLCMC/WLDJ</dc:creator>
  <cp:keywords/>
  <dc:description/>
  <cp:lastModifiedBy>JORDAN, DEBORAH D CIV USAF AFMC AFSC/PZCF</cp:lastModifiedBy>
  <cp:revision/>
  <dcterms:created xsi:type="dcterms:W3CDTF">2023-01-26T20:47:28Z</dcterms:created>
  <dcterms:modified xsi:type="dcterms:W3CDTF">2026-03-10T16:23:22Z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0x01010072DD254C78FC1C4485D3A951242AA7F0</vt:lpwstr>
  </property>
</Properties>
</file>