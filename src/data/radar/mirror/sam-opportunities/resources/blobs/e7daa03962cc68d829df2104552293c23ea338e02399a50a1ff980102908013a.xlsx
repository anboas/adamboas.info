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Solicitations &amp; RFPs\2025 RFQs and Solicitations\2025-R-042 (RFQ) Oracle SecSen Renewal\sam.gov\"/>
    </mc:Choice>
  </mc:AlternateContent>
  <xr:revisionPtr revIDLastSave="0" documentId="13_ncr:1_{33C2DAE9-5FF0-4BEE-B4E6-7F0F3D2CC6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23" i="1"/>
  <c r="G21" i="1"/>
  <c r="G12" i="1"/>
  <c r="G19" i="1"/>
  <c r="G20" i="1"/>
  <c r="G22" i="1"/>
  <c r="G17" i="1"/>
  <c r="G16" i="1"/>
  <c r="G15" i="1"/>
  <c r="G14" i="1"/>
  <c r="G13" i="1"/>
  <c r="G25" i="1" l="1"/>
</calcChain>
</file>

<file path=xl/sharedStrings.xml><?xml version="1.0" encoding="utf-8"?>
<sst xmlns="http://schemas.openxmlformats.org/spreadsheetml/2006/main" count="62" uniqueCount="47">
  <si>
    <t xml:space="preserve">Senate Request for Quotation </t>
  </si>
  <si>
    <t>PRICING TABLE</t>
  </si>
  <si>
    <t xml:space="preserve">1) The Secretary of the Senate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</si>
  <si>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</si>
  <si>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</si>
  <si>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</si>
  <si>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</si>
  <si>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</si>
  <si>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CSI</t>
  </si>
  <si>
    <t>Description</t>
  </si>
  <si>
    <t>Unit of Measure</t>
  </si>
  <si>
    <t>Quantity</t>
  </si>
  <si>
    <t>Unit Price</t>
  </si>
  <si>
    <t>Total Price</t>
  </si>
  <si>
    <t>Period of Performance - 05/30/2025 to 05/29/2026</t>
  </si>
  <si>
    <t>0001</t>
  </si>
  <si>
    <t>PeopleSoft Enterprise eProcurement - Application User Perpetual</t>
  </si>
  <si>
    <t>Each</t>
  </si>
  <si>
    <t>0002</t>
  </si>
  <si>
    <t>PeopleSoft Enterprise Financials - Application User Perpetual</t>
  </si>
  <si>
    <t>0003</t>
  </si>
  <si>
    <t>PeopleSoft Enterprise Purchasing - Application User Perpetual</t>
  </si>
  <si>
    <t>0004</t>
  </si>
  <si>
    <t>Oracle Data Relationship Management Suite - Record Perpetual</t>
  </si>
  <si>
    <t>0005</t>
  </si>
  <si>
    <t>Oracle Hyperion Planning Plus - Application User Perpetual</t>
  </si>
  <si>
    <t>0006</t>
  </si>
  <si>
    <t>0007</t>
  </si>
  <si>
    <t>Micro Focus Visual COBOL for Windows for 1 Named User 
(Mfr is Microfocus; Third Party Program)</t>
  </si>
  <si>
    <t>0008</t>
  </si>
  <si>
    <t>0009</t>
  </si>
  <si>
    <t>PeopleSoft Enterprise eProcurement - Application User Support</t>
  </si>
  <si>
    <t>0010</t>
  </si>
  <si>
    <t>0011</t>
  </si>
  <si>
    <t xml:space="preserve"> PeopleSoft Enterprise Financials - Application User Support </t>
  </si>
  <si>
    <t>0012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</si>
  <si>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</si>
  <si>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</si>
  <si>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</si>
  <si>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</si>
  <si>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</si>
  <si>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</si>
  <si>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</si>
  <si>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</si>
  <si>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</si>
  <si>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2026-R-059</t>
  </si>
  <si>
    <t xml:space="preserve">4) Price quotes shall be valid until 05/30/2026.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</si>
</sst>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ADB9CA"/>
        <bgColor rgb="FFBFBFBF"/>
      </patternFill>
    </fill>
    <fill>
      <patternFill patternType="solid">
        <fgColor rgb="FFFFC000"/>
        <bgColor rgb="FFFF9900"/>
      </patternFill>
    </fill>
  </fills>
  <borders count="30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9">
    <xf numFmtId="0" fontId="0" fillId="0" borderId="0" xfId="0"/>
    <xf numFmtId="0" fontId="6" fillId="0" borderId="3" xfId="3" applyFont="1" applyBorder="1" applyAlignment="1">
      <alignment horizontal="center"/>
    </xf>
    <xf numFmtId="0" fontId="4" fillId="0" borderId="0" xfId="1" applyFont="1"/>
    <xf numFmtId="0" fontId="8" fillId="0" borderId="0" xfId="1" applyFont="1"/>
    <xf numFmtId="0" fontId="4" fillId="0" borderId="0" xfId="1" applyFont="1" applyAlignment="1">
      <alignment vertical="top"/>
    </xf>
    <xf numFmtId="49" fontId="2" fillId="0" borderId="25" xfId="1" quotePrefix="1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wrapText="1"/>
    </xf>
    <xf numFmtId="0" fontId="4" fillId="0" borderId="11" xfId="1" applyFont="1" applyBorder="1" applyAlignment="1">
      <alignment horizontal="center"/>
    </xf>
    <xf numFmtId="164" fontId="4" fillId="0" borderId="26" xfId="1" applyNumberFormat="1" applyFont="1" applyBorder="1" applyAlignment="1">
      <alignment horizontal="right" wrapText="1"/>
    </xf>
    <xf numFmtId="0" fontId="4" fillId="0" borderId="0" xfId="1" applyFont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0" fontId="4" fillId="0" borderId="8" xfId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164" fontId="4" fillId="0" borderId="8" xfId="1" applyNumberFormat="1" applyFont="1" applyBorder="1" applyAlignment="1">
      <alignment horizontal="right" wrapText="1"/>
    </xf>
    <xf numFmtId="165" fontId="12" fillId="0" borderId="27" xfId="4" applyNumberFormat="1" applyFont="1" applyFill="1" applyBorder="1"/>
    <xf numFmtId="0" fontId="12" fillId="0" borderId="0" xfId="1" applyFont="1"/>
    <xf numFmtId="0" fontId="13" fillId="0" borderId="0" xfId="0" applyFont="1"/>
    <xf numFmtId="0" fontId="4" fillId="0" borderId="3" xfId="1" applyFont="1" applyBorder="1" applyAlignment="1">
      <alignment horizontal="left"/>
    </xf>
    <xf numFmtId="0" fontId="12" fillId="0" borderId="5" xfId="2" applyFont="1" applyBorder="1"/>
    <xf numFmtId="0" fontId="12" fillId="0" borderId="2" xfId="2" applyFont="1" applyBorder="1"/>
    <xf numFmtId="0" fontId="12" fillId="0" borderId="1" xfId="2" applyFont="1" applyBorder="1"/>
    <xf numFmtId="49" fontId="2" fillId="0" borderId="21" xfId="1" quotePrefix="1" applyNumberFormat="1" applyFont="1" applyBorder="1" applyAlignment="1">
      <alignment horizontal="center"/>
    </xf>
    <xf numFmtId="49" fontId="2" fillId="0" borderId="7" xfId="1" quotePrefix="1" applyNumberFormat="1" applyFont="1" applyBorder="1" applyAlignment="1">
      <alignment horizontal="center"/>
    </xf>
    <xf numFmtId="49" fontId="2" fillId="0" borderId="6" xfId="1" quotePrefix="1" applyNumberFormat="1" applyFont="1" applyBorder="1" applyAlignment="1">
      <alignment horizontal="center"/>
    </xf>
    <xf numFmtId="0" fontId="12" fillId="0" borderId="5" xfId="1" applyFont="1" applyBorder="1"/>
    <xf numFmtId="0" fontId="12" fillId="0" borderId="2" xfId="1" applyFont="1" applyBorder="1"/>
    <xf numFmtId="0" fontId="12" fillId="0" borderId="13" xfId="1" applyFont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4" fillId="0" borderId="23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4" fillId="0" borderId="23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4" xfId="3" applyFont="1" applyBorder="1" applyAlignment="1" applyProtection="1">
      <alignment vertical="top" wrapText="1"/>
      <protection locked="0"/>
    </xf>
    <xf numFmtId="0" fontId="5" fillId="0" borderId="21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0" borderId="1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4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5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7" fillId="0" borderId="22" xfId="2" applyFont="1" applyBorder="1" applyAlignment="1" applyProtection="1">
      <alignment vertical="top" wrapText="1"/>
      <protection locked="0"/>
    </xf>
    <xf numFmtId="0" fontId="7" fillId="0" borderId="12" xfId="2" applyFont="1" applyBorder="1" applyAlignment="1" applyProtection="1">
      <alignment vertical="top" wrapText="1"/>
      <protection locked="0"/>
    </xf>
    <xf numFmtId="0" fontId="7" fillId="0" borderId="18" xfId="2" applyFont="1" applyBorder="1" applyAlignment="1" applyProtection="1">
      <alignment vertical="top" wrapText="1"/>
      <protection locked="0"/>
    </xf>
    <xf numFmtId="0" fontId="4" fillId="0" borderId="23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  <xf numFmtId="0" fontId="4" fillId="2" borderId="23" xfId="1" applyFont="1" applyFill="1" applyBorder="1"/>
    <xf numFmtId="0" fontId="4" fillId="2" borderId="10" xfId="1" applyFont="1" applyFill="1" applyBorder="1"/>
    <xf numFmtId="0" fontId="6" fillId="2" borderId="10" xfId="1" applyFont="1" applyFill="1" applyBorder="1" applyAlignment="1">
      <alignment horizontal="center" wrapText="1"/>
    </xf>
    <xf numFmtId="0" fontId="4" fillId="2" borderId="8" xfId="1" applyFont="1" applyFill="1" applyBorder="1"/>
    <xf numFmtId="0" fontId="9" fillId="3" borderId="23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2" fillId="4" borderId="28" xfId="1" applyFont="1" applyFill="1" applyBorder="1" applyAlignment="1">
      <alignment horizontal="center" wrapText="1"/>
    </xf>
    <xf numFmtId="0" fontId="9" fillId="4" borderId="29" xfId="1" applyFont="1" applyFill="1" applyBorder="1" applyAlignment="1">
      <alignment horizontal="center" wrapText="1"/>
    </xf>
    <xf numFmtId="0" fontId="11" fillId="4" borderId="29" xfId="1" applyFont="1" applyFill="1" applyBorder="1" applyAlignment="1">
      <alignment horizontal="center" wrapText="1"/>
    </xf>
    <xf numFmtId="0" fontId="9" fillId="2" borderId="8" xfId="1" applyFont="1" applyFill="1" applyBorder="1" applyAlignment="1">
      <alignment horizontal="center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34"/>
  <sheetViews>
    <sheetView showGridLines="0" tabSelected="1" topLeftCell="A4" zoomScaleNormal="100" workbookViewId="0">
      <selection activeCell="C11" sqref="C11"/>
    </sheetView>
  </sheetViews>
  <sheetFormatPr defaultColWidth="15.109375" defaultRowHeight="14.4" x14ac:dyDescent="0.3"/>
  <cols>
    <col min="1" max="1" width="6.6640625" style="2" customWidth="1"/>
    <col min="2" max="2" width="22.6640625" style="2" customWidth="1"/>
    <col min="3" max="3" width="53.88671875" style="2" customWidth="1"/>
    <col min="4" max="4" width="7.88671875" style="11" customWidth="1"/>
    <col min="5" max="5" width="7.6640625" style="2" customWidth="1"/>
    <col min="6" max="6" width="12.6640625" style="2" customWidth="1"/>
    <col min="7" max="7" width="16.6640625" style="2" customWidth="1"/>
    <col min="8" max="8" width="15.109375" customWidth="1"/>
    <col min="32" max="1018" width="15.109375" style="2"/>
    <col min="1019" max="16384" width="15.109375" style="20"/>
  </cols>
  <sheetData>
    <row r="1" spans="1:31" s="2" customFormat="1" ht="15.6" x14ac:dyDescent="0.3">
      <c r="A1" s="59" t="s">
        <v>0</v>
      </c>
      <c r="B1" s="60"/>
      <c r="C1" s="60"/>
      <c r="D1" s="1"/>
      <c r="E1" s="55" t="s">
        <v>45</v>
      </c>
      <c r="F1" s="55"/>
      <c r="G1" s="56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2" customFormat="1" ht="15.6" x14ac:dyDescent="0.3">
      <c r="A2" s="61" t="s">
        <v>1</v>
      </c>
      <c r="B2" s="61"/>
      <c r="C2" s="61"/>
      <c r="D2" s="61"/>
      <c r="E2" s="61"/>
      <c r="F2" s="61"/>
      <c r="G2" s="6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2" customFormat="1" ht="16.2" thickBot="1" x14ac:dyDescent="0.35">
      <c r="A3" s="49"/>
      <c r="B3" s="50"/>
      <c r="C3" s="50"/>
      <c r="D3" s="50"/>
      <c r="E3" s="50"/>
      <c r="F3" s="50"/>
      <c r="G3" s="51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63" t="s">
        <v>2</v>
      </c>
      <c r="B4" s="64"/>
      <c r="C4" s="64"/>
      <c r="D4" s="64"/>
      <c r="E4" s="64"/>
      <c r="F4" s="64"/>
      <c r="G4" s="65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2" customFormat="1" ht="42" customHeight="1" x14ac:dyDescent="0.3">
      <c r="A5" s="66" t="s">
        <v>3</v>
      </c>
      <c r="B5" s="67"/>
      <c r="C5" s="67"/>
      <c r="D5" s="67"/>
      <c r="E5" s="67"/>
      <c r="F5" s="67"/>
      <c r="G5" s="68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2" customFormat="1" ht="21" customHeight="1" x14ac:dyDescent="0.3">
      <c r="A6" s="46" t="s">
        <v>4</v>
      </c>
      <c r="B6" s="47"/>
      <c r="C6" s="47"/>
      <c r="D6" s="47"/>
      <c r="E6" s="47"/>
      <c r="F6" s="47"/>
      <c r="G6" s="48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4" customFormat="1" ht="21" customHeight="1" x14ac:dyDescent="0.3">
      <c r="A7" s="46" t="s">
        <v>46</v>
      </c>
      <c r="B7" s="57"/>
      <c r="C7" s="57"/>
      <c r="D7" s="57"/>
      <c r="E7" s="57"/>
      <c r="F7" s="57"/>
      <c r="G7" s="58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2" customFormat="1" ht="21" customHeight="1" x14ac:dyDescent="0.3">
      <c r="A8" s="43" t="s">
        <v>5</v>
      </c>
      <c r="B8" s="44"/>
      <c r="C8" s="44"/>
      <c r="D8" s="44"/>
      <c r="E8" s="44"/>
      <c r="F8" s="44"/>
      <c r="G8" s="45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2" customFormat="1" ht="15.6" x14ac:dyDescent="0.3">
      <c r="A9" s="69"/>
      <c r="B9" s="70"/>
      <c r="C9" s="70"/>
      <c r="D9" s="71"/>
      <c r="E9" s="71"/>
      <c r="F9" s="72" t="s">
        <v>6</v>
      </c>
      <c r="G9" s="78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2" customFormat="1" ht="24.6" x14ac:dyDescent="0.3">
      <c r="A10" s="73" t="s">
        <v>7</v>
      </c>
      <c r="B10" s="74" t="s">
        <v>8</v>
      </c>
      <c r="C10" s="74" t="s">
        <v>9</v>
      </c>
      <c r="D10" s="74" t="s">
        <v>10</v>
      </c>
      <c r="E10" s="74" t="s">
        <v>11</v>
      </c>
      <c r="F10" s="74" t="s">
        <v>12</v>
      </c>
      <c r="G10" s="74" t="s">
        <v>13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2" customFormat="1" x14ac:dyDescent="0.3">
      <c r="A11" s="75"/>
      <c r="B11" s="76"/>
      <c r="C11" s="77" t="s">
        <v>14</v>
      </c>
      <c r="D11" s="77"/>
      <c r="E11" s="76"/>
      <c r="F11" s="76"/>
      <c r="G11" s="76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1" customFormat="1" ht="26.4" x14ac:dyDescent="0.3">
      <c r="A12" s="5" t="s">
        <v>15</v>
      </c>
      <c r="B12" s="6">
        <v>21230783</v>
      </c>
      <c r="C12" s="7" t="s">
        <v>16</v>
      </c>
      <c r="D12" s="8" t="s">
        <v>17</v>
      </c>
      <c r="E12" s="8">
        <v>10</v>
      </c>
      <c r="F12" s="9"/>
      <c r="G12" s="10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1" customFormat="1" x14ac:dyDescent="0.3">
      <c r="A13" s="5" t="s">
        <v>18</v>
      </c>
      <c r="B13" s="6">
        <v>21230783</v>
      </c>
      <c r="C13" s="7" t="s">
        <v>19</v>
      </c>
      <c r="D13" s="8" t="s">
        <v>17</v>
      </c>
      <c r="E13" s="8">
        <v>50</v>
      </c>
      <c r="F13" s="9"/>
      <c r="G13" s="10">
        <f t="shared" ref="G13:G22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1" customFormat="1" x14ac:dyDescent="0.3">
      <c r="A14" s="5" t="s">
        <v>20</v>
      </c>
      <c r="B14" s="6">
        <v>21230783</v>
      </c>
      <c r="C14" s="7" t="s">
        <v>21</v>
      </c>
      <c r="D14" s="8" t="s">
        <v>17</v>
      </c>
      <c r="E14" s="8">
        <v>10</v>
      </c>
      <c r="F14" s="12"/>
      <c r="G14" s="10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1" customFormat="1" ht="14.4" customHeight="1" x14ac:dyDescent="0.3">
      <c r="A15" s="5" t="s">
        <v>22</v>
      </c>
      <c r="B15" s="6">
        <v>22352335</v>
      </c>
      <c r="C15" s="7" t="s">
        <v>23</v>
      </c>
      <c r="D15" s="8" t="s">
        <v>17</v>
      </c>
      <c r="E15" s="8">
        <v>4000</v>
      </c>
      <c r="F15" s="12"/>
      <c r="G15" s="10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1" customFormat="1" x14ac:dyDescent="0.3">
      <c r="A16" s="5" t="s">
        <v>24</v>
      </c>
      <c r="B16" s="6">
        <v>20543831</v>
      </c>
      <c r="C16" s="7" t="s">
        <v>25</v>
      </c>
      <c r="D16" s="8" t="s">
        <v>17</v>
      </c>
      <c r="E16" s="8">
        <v>30</v>
      </c>
      <c r="F16" s="12"/>
      <c r="G16" s="10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1" customFormat="1" ht="28.2" customHeight="1" x14ac:dyDescent="0.3">
      <c r="A17" s="5" t="s">
        <v>26</v>
      </c>
      <c r="B17" s="6">
        <v>22204946</v>
      </c>
      <c r="C17" s="7" t="s">
        <v>28</v>
      </c>
      <c r="D17" s="6" t="s">
        <v>17</v>
      </c>
      <c r="E17" s="6">
        <v>1</v>
      </c>
      <c r="F17" s="12"/>
      <c r="G17" s="10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1" customFormat="1" x14ac:dyDescent="0.3">
      <c r="A18" s="5" t="s">
        <v>27</v>
      </c>
      <c r="B18" s="6">
        <v>21694377</v>
      </c>
      <c r="C18" s="7" t="s">
        <v>21</v>
      </c>
      <c r="D18" s="6" t="s">
        <v>17</v>
      </c>
      <c r="E18" s="6">
        <v>10</v>
      </c>
      <c r="F18" s="12"/>
      <c r="G18" s="10">
        <f t="shared" si="0"/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1" customFormat="1" x14ac:dyDescent="0.3">
      <c r="A19" s="5" t="s">
        <v>29</v>
      </c>
      <c r="B19" s="6">
        <v>21694377</v>
      </c>
      <c r="C19" s="7" t="s">
        <v>21</v>
      </c>
      <c r="D19" s="8" t="s">
        <v>17</v>
      </c>
      <c r="E19" s="8">
        <v>10</v>
      </c>
      <c r="F19" s="12"/>
      <c r="G19" s="10">
        <f t="shared" si="0"/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1" customFormat="1" ht="14.4" customHeight="1" x14ac:dyDescent="0.3">
      <c r="A20" s="5" t="s">
        <v>30</v>
      </c>
      <c r="B20" s="6">
        <v>85543383</v>
      </c>
      <c r="C20" s="13" t="s">
        <v>31</v>
      </c>
      <c r="D20" s="8" t="s">
        <v>17</v>
      </c>
      <c r="E20" s="8">
        <v>40</v>
      </c>
      <c r="F20" s="12"/>
      <c r="G20" s="10">
        <f t="shared" si="0"/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1" customFormat="1" ht="15.6" customHeight="1" x14ac:dyDescent="0.3">
      <c r="A21" s="5" t="s">
        <v>32</v>
      </c>
      <c r="B21" s="6">
        <v>85543383</v>
      </c>
      <c r="C21" s="14" t="s">
        <v>31</v>
      </c>
      <c r="D21" s="8" t="s">
        <v>17</v>
      </c>
      <c r="E21" s="8">
        <v>150</v>
      </c>
      <c r="F21" s="12"/>
      <c r="G21" s="10">
        <f>E21*F21</f>
        <v>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11" customFormat="1" x14ac:dyDescent="0.3">
      <c r="A22" s="5" t="s">
        <v>33</v>
      </c>
      <c r="B22" s="6">
        <v>85543383</v>
      </c>
      <c r="C22" s="14" t="s">
        <v>34</v>
      </c>
      <c r="D22" s="8" t="s">
        <v>17</v>
      </c>
      <c r="E22" s="8">
        <v>25</v>
      </c>
      <c r="F22" s="12"/>
      <c r="G22" s="10">
        <f t="shared" si="0"/>
        <v>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11" customFormat="1" ht="14.4" customHeight="1" x14ac:dyDescent="0.3">
      <c r="A23" s="5" t="s">
        <v>35</v>
      </c>
      <c r="B23" s="15">
        <v>101605853</v>
      </c>
      <c r="C23" s="14" t="s">
        <v>16</v>
      </c>
      <c r="D23" s="16" t="s">
        <v>17</v>
      </c>
      <c r="E23" s="16">
        <v>50</v>
      </c>
      <c r="F23" s="15"/>
      <c r="G23" s="17">
        <f>E23*F23</f>
        <v>0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11" customFormat="1" ht="15" thickBot="1" x14ac:dyDescent="0.35">
      <c r="A24" s="25"/>
      <c r="B24" s="26"/>
      <c r="C24" s="26"/>
      <c r="D24" s="26"/>
      <c r="E24" s="26"/>
      <c r="F24" s="26"/>
      <c r="G24" s="27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19" customFormat="1" ht="16.5" customHeight="1" thickBot="1" x14ac:dyDescent="0.35">
      <c r="A25" s="28"/>
      <c r="B25" s="29"/>
      <c r="C25" s="30"/>
      <c r="D25" s="52" t="s">
        <v>36</v>
      </c>
      <c r="E25" s="53"/>
      <c r="F25" s="54"/>
      <c r="G25" s="18">
        <f>SUM(G12:G24)</f>
        <v>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19" customFormat="1" ht="16.2" thickBot="1" x14ac:dyDescent="0.35">
      <c r="A26" s="40" t="s">
        <v>37</v>
      </c>
      <c r="B26" s="41"/>
      <c r="C26" s="41"/>
      <c r="D26" s="41"/>
      <c r="E26" s="41"/>
      <c r="F26" s="41"/>
      <c r="G26" s="42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19" customFormat="1" ht="15.6" x14ac:dyDescent="0.3">
      <c r="A27" s="34" t="s">
        <v>38</v>
      </c>
      <c r="B27" s="35"/>
      <c r="C27" s="35"/>
      <c r="D27" s="35"/>
      <c r="E27" s="35"/>
      <c r="F27" s="35"/>
      <c r="G27" s="36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1" s="19" customFormat="1" ht="16.2" thickBot="1" x14ac:dyDescent="0.35">
      <c r="A28" s="31" t="s">
        <v>39</v>
      </c>
      <c r="B28" s="32"/>
      <c r="C28" s="32"/>
      <c r="D28" s="32"/>
      <c r="E28" s="32"/>
      <c r="F28" s="32"/>
      <c r="G28" s="3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1" s="19" customFormat="1" ht="16.2" thickBot="1" x14ac:dyDescent="0.35">
      <c r="A29" s="37" t="s">
        <v>40</v>
      </c>
      <c r="B29" s="38"/>
      <c r="C29" s="38"/>
      <c r="D29" s="38"/>
      <c r="E29" s="38"/>
      <c r="F29" s="38"/>
      <c r="G29" s="3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1" s="19" customFormat="1" ht="16.2" thickBot="1" x14ac:dyDescent="0.35">
      <c r="A30" s="37" t="s">
        <v>41</v>
      </c>
      <c r="B30" s="38"/>
      <c r="C30" s="38"/>
      <c r="D30" s="38"/>
      <c r="E30" s="38"/>
      <c r="F30" s="38"/>
      <c r="G30" s="39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1" s="19" customFormat="1" ht="16.2" thickBot="1" x14ac:dyDescent="0.35">
      <c r="A31" s="22"/>
      <c r="B31" s="23"/>
      <c r="C31" s="23"/>
      <c r="D31" s="23"/>
      <c r="E31" s="23"/>
      <c r="F31" s="23"/>
      <c r="G31" s="24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1" s="19" customFormat="1" ht="16.2" thickBot="1" x14ac:dyDescent="0.35">
      <c r="A32" s="31" t="s">
        <v>42</v>
      </c>
      <c r="B32" s="32"/>
      <c r="C32" s="32"/>
      <c r="D32" s="32"/>
      <c r="E32" s="32"/>
      <c r="F32" s="32"/>
      <c r="G32" s="33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s="19" customFormat="1" ht="16.2" thickBot="1" x14ac:dyDescent="0.35">
      <c r="A33" s="31" t="s">
        <v>43</v>
      </c>
      <c r="B33" s="32"/>
      <c r="C33" s="32"/>
      <c r="D33" s="32"/>
      <c r="E33" s="32"/>
      <c r="F33" s="32"/>
      <c r="G33" s="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x14ac:dyDescent="0.3">
      <c r="A34" s="21" t="s">
        <v>44</v>
      </c>
      <c r="B34" s="21"/>
      <c r="C34" s="21"/>
      <c r="D34" s="21"/>
      <c r="E34" s="21"/>
      <c r="F34" s="21"/>
      <c r="G34" s="21"/>
    </row>
  </sheetData>
  <mergeCells count="21">
    <mergeCell ref="E1:G1"/>
    <mergeCell ref="A7:G7"/>
    <mergeCell ref="A1:C1"/>
    <mergeCell ref="A2:G2"/>
    <mergeCell ref="A4:G4"/>
    <mergeCell ref="A5:G5"/>
    <mergeCell ref="A8:G8"/>
    <mergeCell ref="A6:G6"/>
    <mergeCell ref="A3:G3"/>
    <mergeCell ref="D25:F25"/>
    <mergeCell ref="A34:G34"/>
    <mergeCell ref="A31:G31"/>
    <mergeCell ref="A24:G24"/>
    <mergeCell ref="A25:C25"/>
    <mergeCell ref="A32:G32"/>
    <mergeCell ref="A33:G33"/>
    <mergeCell ref="A27:G27"/>
    <mergeCell ref="A28:G28"/>
    <mergeCell ref="A29:G29"/>
    <mergeCell ref="A30:G30"/>
    <mergeCell ref="A26:G26"/>
  </mergeCells>
  <phoneticPr fontId="15" type="noConversion"/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9f579f07bfccd48b0931ee6856ffd310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5602931b1c316bfc0333e432ddbb9503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C441D-64B3-4B27-BBC2-5C3FD55D4CF2}">
  <ds:schemaRefs>
    <ds:schemaRef ds:uri="60cf2265-0123-4bdd-b005-f29651438544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f0197cb2-fa5d-407e-8d9e-ff0c4ef4ac2c"/>
  </ds:schemaRefs>
</ds:datastoreItem>
</file>

<file path=customXml/itemProps2.xml><?xml version="1.0" encoding="utf-8"?>
<ds:datastoreItem xmlns:ds="http://schemas.openxmlformats.org/officeDocument/2006/customXml" ds:itemID="{1CBB2972-811F-4AAB-9A19-36F1784135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3DEBAC-B271-4897-9553-EE848C265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2026-05-08T19:23:28Z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