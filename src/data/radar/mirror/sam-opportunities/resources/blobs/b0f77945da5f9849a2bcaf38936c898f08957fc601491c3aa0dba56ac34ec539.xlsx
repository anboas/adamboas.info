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rmyeitaas-my.sharepoint-mil.us/personal/kaley_h_weeden_civ_army_mil/Documents/Desktop/Workload/Weopons Team/W912CH-25-R-0069 - Strap Webbing/"/>
    </mc:Choice>
  </mc:AlternateContent>
  <xr:revisionPtr revIDLastSave="218" documentId="8_{69A9A09C-8697-4122-8DC1-9687BA2DADB8}" xr6:coauthVersionLast="47" xr6:coauthVersionMax="47" xr10:uidLastSave="{3E1603D2-980A-4FF1-B04B-C8504D2934D8}"/>
  <bookViews>
    <workbookView xWindow="-120" yWindow="90" windowWidth="29040" windowHeight="15510" activeTab="1" xr2:uid="{2E8D95DB-E3D0-4EF0-9762-6AF00299DAF8}"/>
  </bookViews>
  <sheets>
    <sheet name="RFOP" sheetId="1" r:id="rId1"/>
    <sheet name="Applicable Clauses-Provisions" sheetId="9" r:id="rId2"/>
    <sheet name="Technical &amp; Quality Requirement" sheetId="10" r:id="rId3"/>
  </sheets>
  <definedNames>
    <definedName name="_xlnm._FilterDatabase" localSheetId="1" hidden="1">'Applicable Clauses-Provisions'!$B$2:$F$134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 i="1" l="1"/>
  <c r="L38" i="1"/>
  <c r="L35" i="1"/>
  <c r="L36" i="1"/>
  <c r="L37" i="1"/>
  <c r="L34" i="1"/>
</calcChain>
</file>

<file path=xl/sharedStrings.xml><?xml version="1.0" encoding="utf-8"?>
<sst xmlns="http://schemas.openxmlformats.org/spreadsheetml/2006/main" count="469" uniqueCount="348">
  <si>
    <t>U.S. Army Contracting Command - Detroit Arsenal (ACC-DTA)</t>
  </si>
  <si>
    <t xml:space="preserve">ATTN: </t>
  </si>
  <si>
    <t>BOAST@army.mil</t>
  </si>
  <si>
    <t>Line Item</t>
  </si>
  <si>
    <t>Noun</t>
  </si>
  <si>
    <t>Quantity</t>
  </si>
  <si>
    <t>Unit Price</t>
  </si>
  <si>
    <t>Total Price</t>
  </si>
  <si>
    <t>DATE ISSUED:</t>
  </si>
  <si>
    <t>RESPONSE DUE:</t>
  </si>
  <si>
    <t>CONTRACTOR:</t>
  </si>
  <si>
    <t>ADDRESS:</t>
  </si>
  <si>
    <t>POC NAME:</t>
  </si>
  <si>
    <t>POC EMAIL:</t>
  </si>
  <si>
    <t>POC PHONE:</t>
  </si>
  <si>
    <t>BOA NUMBER:</t>
  </si>
  <si>
    <t>ISSUE BY:</t>
  </si>
  <si>
    <t>Supply / Service:</t>
  </si>
  <si>
    <t>NSN</t>
  </si>
  <si>
    <t>Part No.</t>
  </si>
  <si>
    <t>NAICS:</t>
  </si>
  <si>
    <t>Size Standard:</t>
  </si>
  <si>
    <t>Order Rating:</t>
  </si>
  <si>
    <t>Ship-To Location:</t>
  </si>
  <si>
    <t>FOB:</t>
  </si>
  <si>
    <t>REGULATORY COMPLIANCE</t>
  </si>
  <si>
    <t>Payment Terms:</t>
  </si>
  <si>
    <t>Net 30 days from receipt of invoice and acceptance of goods.</t>
  </si>
  <si>
    <t>Applicable Clauses:</t>
  </si>
  <si>
    <t>Commerciality:</t>
  </si>
  <si>
    <t>Inspect / Accept:</t>
  </si>
  <si>
    <t>Description</t>
  </si>
  <si>
    <t>Notes</t>
  </si>
  <si>
    <t>Order Total</t>
  </si>
  <si>
    <t>Del Sch / Rate</t>
  </si>
  <si>
    <t>NSN / Description:</t>
  </si>
  <si>
    <t>TDP / DWG No .</t>
  </si>
  <si>
    <t>PRON / 1095</t>
  </si>
  <si>
    <t>0001</t>
  </si>
  <si>
    <t>Unit of Measure</t>
  </si>
  <si>
    <t>Buy American / Trade Agreements:
(Select One)</t>
  </si>
  <si>
    <t>Set-Aside Status:</t>
  </si>
  <si>
    <t>REQUIREMENT DETAILS</t>
  </si>
  <si>
    <t>PRICING SHEET</t>
  </si>
  <si>
    <t xml:space="preserve">NOTICE ID: </t>
  </si>
  <si>
    <t xml:space="preserve">I. This Request for Order Proposal (RFOP) is a competitive action to solicit proposals for the supplies/services detailed below. While all responsible sources may submit a proposal, award is contingent upon the mandatory eligibility requirements detailed below. The resulting order will be a firm-fixed-price contract placed under the BOAST program.
</t>
  </si>
  <si>
    <t xml:space="preserve">II. Information regarding the program's continuous on-ramp process can be found in the standing BOAST program notice on SAM.gov under ID W912CH-26-R-0001. Vendors are encouraged to proactively establish a BOA to ensure eligibility for future requirements.
</t>
  </si>
  <si>
    <t>GENERAL INFORMATION</t>
  </si>
  <si>
    <t>PROPOSAL SUBMISSION INSTRUCTIONS</t>
  </si>
  <si>
    <t>To be considered eligible for award, a vendor must have a fully executed BOAST Basic Ordering Agreement in place prior to the closing date and time specified in this RFOP. Proposals received from vendors who do not have an executed BOA by the closing time will be considered ineligible and will not be evaluated.</t>
  </si>
  <si>
    <t>NAME:</t>
  </si>
  <si>
    <t>DATE:</t>
  </si>
  <si>
    <t>UIE / CAGE:</t>
  </si>
  <si>
    <t>BASIC ORDERING AGREEMENT SUSTAINMENT TRACK (BOAST): Request for Order Proposal (RFOP)</t>
  </si>
  <si>
    <t>Buy American and Balance of Payments Program 
(DFARS 252.225-7001)</t>
  </si>
  <si>
    <t>BOA Attachment Reference:</t>
  </si>
  <si>
    <t xml:space="preserve">Proposal Content: </t>
  </si>
  <si>
    <t xml:space="preserve">Submission Method: </t>
  </si>
  <si>
    <t>Period of Acceptance</t>
  </si>
  <si>
    <t>In accordance with FAR Subpart 9.1, the Government will make a determination of contractor responsibility for the apparent successful awardee prior to placing the order.</t>
  </si>
  <si>
    <t>The Government intends to award a Firm-Fixed-Price Order to the responsible BOA holder who submits the lowest-priced proposal. Price will be evaluated for reasonableness. Award will be made to the offeror with the lowest evaluated price.
Evaluation: Price will be evaluated for reasonableness. Award will be made to the offeror with the lowest evaluated price.</t>
  </si>
  <si>
    <t>Applicable Clauses/Provisions</t>
  </si>
  <si>
    <t>See 'Applicable Clauses-Provisions' sheet.</t>
  </si>
  <si>
    <t>Reference</t>
  </si>
  <si>
    <t>Title</t>
  </si>
  <si>
    <t>Remarks</t>
  </si>
  <si>
    <t>Small Business Subcontracting Plan:</t>
  </si>
  <si>
    <t>Delivery Schedule:</t>
  </si>
  <si>
    <t>Mandatory Eligibility Requirement For Award:</t>
  </si>
  <si>
    <t>TECHNICAL &amp; QUALITY REQUIREMENTS</t>
  </si>
  <si>
    <t>Instructions/Narrative</t>
  </si>
  <si>
    <t>(a) This solicitation and resulting contract contains technical data whose export is restricted by the Arms Export Control Act (Section 2751 of Title 22, United States Code) or the Export Control Reform Act of 2018 (Chapter 58 Sections 4801–4852 of Title 50, United States Code). Violations of these export laws are subject to severe criminal penalties. Disseminate in accordance with provision of DoD Directive 5230.25 and DoD Instruction 2040.02. This also applies to distribution of the TDP to all SUBCONTRACTORS at every level.
(b) To be eligible to gain access to this export controlled TDP (via SAM.gov) an offeror must have a current DD 2345, “Militarily Critical Technical Data Agreement” certification on file with the Defense Logistics Information Service (DLIS). To obtain certification, contractors must submit a DD Form 2345 to the United States (U.S.)/Canada Joint Certification Office (JCO), along with a copy of supporting documentation. DD Form 2345 and instructions can be found on the Joint Certification Program website at: http://www.dla.mil/HQ/InformationOperations/Offers/Products/LogisticsApplications/JCP.aspx Processing time is estimated at six (6) to ten (10) weeks after receipt. Upon receipt of certification, an offeror may request the TDP in accordance with the solicitation's Section C “Technical Data Package” instructions.
(c) Upon completion of the purposes for which Government Technical Data has been provided, the offeror, and all subcontractors, vendors, and sub-vendors of the offeror, are required to destroy all documents, including all reproductions, duplications, or copies thereof as may have been further distributed.
(d) Destruction of this technical data shall be accomplished by: shredding, pulping, burning, or melting any physical copies of the TDP and/or deletion or removal of downloaded TDP files from computer drives and electronic devices, and any copies of those files.</t>
  </si>
  <si>
    <t>Per AR 530-1, Operations Security, new contractor employees must complete Level I OPSEC training within 30 calendar days of reporting for duty. All contractor employees must complete annual OPSEC awareness training. OPSEC awareness training is available at: https://securityawareness.dcsa.mil/opsec/index.htm. Within 10 days of completing the training, the Contractor shall provide certificates/proof of completion to the Contracting Officer’s Representative (COR), if assigned to the contract, or the Procuring Contracting Officer (PCO).</t>
  </si>
  <si>
    <t>Date</t>
  </si>
  <si>
    <t>BOA Reference</t>
  </si>
  <si>
    <t>Kaley Weeden, Contract Specialist, kaley.h.weeden.civ@army.mil</t>
  </si>
  <si>
    <t>Elizabeth Levine-Welhouse, Contracting Officer, elizabeth.l.levinewelhouse.civ@army.mil</t>
  </si>
  <si>
    <t>Strap, Webbing</t>
  </si>
  <si>
    <t xml:space="preserve"> 5340-01-702-8566</t>
  </si>
  <si>
    <t>Non-Commercial</t>
  </si>
  <si>
    <t>750 employees</t>
  </si>
  <si>
    <t>Not Required</t>
  </si>
  <si>
    <t>EH4C0761EH</t>
  </si>
  <si>
    <t>0002</t>
  </si>
  <si>
    <t>DO</t>
  </si>
  <si>
    <t>SR W1A8 DLA DIST-TOBYANNA
GIBBS AND FIFTH STREETS
WAREHOUSE 6 BAY 4
TOBYHANNA, PA, 18466-5059</t>
  </si>
  <si>
    <t>Origin</t>
  </si>
  <si>
    <t>Destination</t>
  </si>
  <si>
    <t xml:space="preserve">The Government's objective is to receive all items within 90 calendar days After Receipt of Order (ARO). Offerors may propose an accelerated delivery schedule that is earlier than the Government's objective. The proposed schedule, stated in days ARO, must be clearly identified in your proposal.
</t>
  </si>
  <si>
    <t>EA</t>
  </si>
  <si>
    <t>PANDTA-24-P-0000 007762</t>
  </si>
  <si>
    <t>TBD</t>
  </si>
  <si>
    <t>Proposals must be submitted electronically via email to the Point of Contact by the Response Due Date. The subject line must read: "Proposal for RFOP-[PANDTA-24-P-0000 007762] - [Your Company Name]". Late proposals will not be evaluated.</t>
  </si>
  <si>
    <r>
      <rPr>
        <b/>
        <sz val="11"/>
        <rFont val="Aptos Narrow"/>
        <family val="2"/>
        <scheme val="minor"/>
      </rPr>
      <t xml:space="preserve"> </t>
    </r>
    <r>
      <rPr>
        <sz val="11"/>
        <rFont val="Aptos Narrow"/>
        <family val="2"/>
        <scheme val="minor"/>
      </rPr>
      <t>Submission shall consist of a completed and signed Pricing Sheet contained in this RFOP. No separate technical proposal is required. The Government intends to evaluate proposals and award an order without discussions.</t>
    </r>
  </si>
  <si>
    <t>Proposals shall remain firm for at least 60 calendar days from the closing date of this RFOP.</t>
  </si>
  <si>
    <t>EVALUATION FOR AWARD</t>
  </si>
  <si>
    <t>Price Only</t>
  </si>
  <si>
    <t>FAR Part 13_Simplified Procedures for Non-Commercial Acquisitions</t>
  </si>
  <si>
    <t>Applicable</t>
  </si>
  <si>
    <t>Production Quantity</t>
  </si>
  <si>
    <t>Unexercised Option Quantity</t>
  </si>
  <si>
    <t>252.225-7001</t>
  </si>
  <si>
    <t>02-01-2024</t>
  </si>
  <si>
    <t>BUY AMERICAN AND BALANCE OF PAYMENTS PROGRAM--BASIC (FEB 2024)</t>
  </si>
  <si>
    <t>BOA Attachment 0002 - FAR 13</t>
  </si>
  <si>
    <t>52.246-2</t>
  </si>
  <si>
    <t>08-01-1996</t>
  </si>
  <si>
    <t>INSPECTION OF SUPPLIES--FIXED-PRICE</t>
  </si>
  <si>
    <t>52.246-16</t>
  </si>
  <si>
    <t>04-01-1984</t>
  </si>
  <si>
    <t>RESPONSIBILITY FOR SUPPLIES</t>
  </si>
  <si>
    <t>252.211-7008</t>
  </si>
  <si>
    <t>09-01-2010</t>
  </si>
  <si>
    <t>USE OF GOVERNMENT-ASSIGNED SERIAL NUMBERS</t>
  </si>
  <si>
    <t>252.211-7003</t>
  </si>
  <si>
    <t>01-01-2023</t>
  </si>
  <si>
    <t>ITEM UNIQUE IDENTIFICATION AND VALUATION (JAN 2023)</t>
  </si>
  <si>
    <t>52.242-17</t>
  </si>
  <si>
    <t>GOVERNMENT DELAY OF WORK</t>
  </si>
  <si>
    <t>52.247-34</t>
  </si>
  <si>
    <t>02-01-2006</t>
  </si>
  <si>
    <t>F.O.B. DESTINATION (JAN 1991)</t>
  </si>
  <si>
    <t>52.247-48</t>
  </si>
  <si>
    <t>02-01-1999</t>
  </si>
  <si>
    <t>F.O.B. DESTINATION--EVIDENCE OF SHIPMENT</t>
  </si>
  <si>
    <t>252.232-7006</t>
  </si>
  <si>
    <t>WIDE AREA WORKFLOW PAYMENT INSTRUCTIONS (JAN 2023)</t>
  </si>
  <si>
    <t>252.227-7013</t>
  </si>
  <si>
    <t>08-01-2025</t>
  </si>
  <si>
    <t>RIGHTS IN TECHNICAL DATA--OTHER THAN COMMERCIAL PRODUCTS AND COMMERCIAL SERVICES (AUG 2025)</t>
  </si>
  <si>
    <t>252.227-7015</t>
  </si>
  <si>
    <t>01-01-2025</t>
  </si>
  <si>
    <t>TECHNICAL DATA--COMMERCIAL PRODUCTS AND COMMERCIAL SERVICES (JAN 2025)</t>
  </si>
  <si>
    <t>252.227-7016</t>
  </si>
  <si>
    <t>RIGHTS IN BID OR PROPOSAL INFORMATION (JAN 2023)</t>
  </si>
  <si>
    <t>252.227-7025</t>
  </si>
  <si>
    <t>LIMITATIONS ON THE USE OR DISCLOSURE OF GOVERNMENT-FURNISHED INFORMATION MARKED WITH RESTRICTIVE LEGENDS (JAN 2025)</t>
  </si>
  <si>
    <t>252.227-7027</t>
  </si>
  <si>
    <t>04-01-1988</t>
  </si>
  <si>
    <t>DEFERRED ORDERING OF TECHNICAL DATA OR COMPUTER SOFTWARE</t>
  </si>
  <si>
    <t>252.227-7030</t>
  </si>
  <si>
    <t>03-01-2000</t>
  </si>
  <si>
    <t>TECHNICAL DATA--WITHHOLDING OF PAYMENT</t>
  </si>
  <si>
    <t>252.227-7037</t>
  </si>
  <si>
    <t>VALIDATION OF ASSERTED RESTRICTIONS ON TECHNICAL DATA (JAN 2025)</t>
  </si>
  <si>
    <t>252.232-7003</t>
  </si>
  <si>
    <t>12-01-2018</t>
  </si>
  <si>
    <t>ELECTRONIC SUBMISSION OF PAYMENT REQUESTS AND RECEIVING REPORTS</t>
  </si>
  <si>
    <t>252.243-7001</t>
  </si>
  <si>
    <t>12-01-1991</t>
  </si>
  <si>
    <t>PRICING OF CONTRACT MODIFICATIONS</t>
  </si>
  <si>
    <t>252.244-7000</t>
  </si>
  <si>
    <t>11-01-2023</t>
  </si>
  <si>
    <t>SUBCONTRACTS FOR COMMERCIAL PRODUCTS OR COMMERCIAL SERVICES (NOV 2023)</t>
  </si>
  <si>
    <t>252.247-7023</t>
  </si>
  <si>
    <t>10-01-2024</t>
  </si>
  <si>
    <t>TRANSPORTATION OF SUPPLIES BY SEA--BASIC (OCT 2024)</t>
  </si>
  <si>
    <t>252.204-7000</t>
  </si>
  <si>
    <t>10-01-2016</t>
  </si>
  <si>
    <t>DISCLOSURE OF INFORMATION</t>
  </si>
  <si>
    <t>252.204-7003</t>
  </si>
  <si>
    <t>04-01-1992</t>
  </si>
  <si>
    <t>CONTROL OF GOVERNMENT PERSONNEL WORK PRODUCT</t>
  </si>
  <si>
    <t>252.231-7000</t>
  </si>
  <si>
    <t>SUPPLEMENTAL COST PRINCIPLES</t>
  </si>
  <si>
    <t>252.232-7010</t>
  </si>
  <si>
    <t>12-01-2006</t>
  </si>
  <si>
    <t>LEVIES ON CONTRACT PAYMENTS</t>
  </si>
  <si>
    <t>252.203-7000</t>
  </si>
  <si>
    <t>09-01-2011</t>
  </si>
  <si>
    <t>REQUIREMENTS RELATING TO COMPENSATION OF FORMER DOD OFFICIALS</t>
  </si>
  <si>
    <t>252.203-7002</t>
  </si>
  <si>
    <t>12-01-2022</t>
  </si>
  <si>
    <t>REQUIREMENT TO INFORM EMPLOYEES OF WHISTLEBLOWER RIGHTS (DEC 2022)</t>
  </si>
  <si>
    <t>252.225-7048</t>
  </si>
  <si>
    <t>06-01-2013</t>
  </si>
  <si>
    <t>EXPORT-CONTROLLED ITEMS</t>
  </si>
  <si>
    <t>252.204-7015</t>
  </si>
  <si>
    <t>NOTICE OF AUTHORIZED DISCLOSURE OF INFORMATION FOR LITIGATION SUPPORT (JAN 2023)</t>
  </si>
  <si>
    <t>252.204-7012</t>
  </si>
  <si>
    <t>05-01-2024</t>
  </si>
  <si>
    <t>SAFEGUARDING COVERED DEFENSE INFORMATION AND CYBER INCIDENT REPORTING (MAY 2024) (DEVIATION 2024-O0013, REVISION 1)</t>
  </si>
  <si>
    <t>252.204-7018</t>
  </si>
  <si>
    <t>PROHIBITION ON THE ACQUISITION OF COVERED DEFENSE TELECOMMUNICATIONS EQUIPMENT OR SERVICES (JAN 2023)</t>
  </si>
  <si>
    <t>252.204-7020</t>
  </si>
  <si>
    <t>NIST SP 800-171 DOD ASSESSMENT REQUIREMENTS (NOV 2023)</t>
  </si>
  <si>
    <t>252.225-7056</t>
  </si>
  <si>
    <t>PROHIBITION REGARDING BUSINESS OPERATIONS WITH THE MADURO REGIME (JAN 2023)</t>
  </si>
  <si>
    <t>252.240-7997</t>
  </si>
  <si>
    <t>02-01-2026</t>
  </si>
  <si>
    <t>NIST SP 800-171 DOD ASSESSMENT REQUIREMENTS (DEVIATION 2026-O0025)(FEB 2026)</t>
  </si>
  <si>
    <t>252.227-7989</t>
  </si>
  <si>
    <t>RIGHTS IN TECHNICAL DATA, COMPUTER SOFTWARE, AND COMPUTER SOFTWARE DOCUMENTATION?OTHER THAN COMMERCIAL PRODUCTS ORCOMMERCIAL SERVICES (DEVIATION 2026-O0036) (FEB 2026)</t>
  </si>
  <si>
    <t>252.227-7991</t>
  </si>
  <si>
    <t>RIGHTS IN BID OR PROPOSAL INFORMATION ((DEVIATION 2026-O0036) 
(FEB 2026)</t>
  </si>
  <si>
    <t>252.227-7995</t>
  </si>
  <si>
    <t>DEFERRED ORDERING OF TECHNICAL DATA OR COMPUTER SOFTWARE (DEVIATION 2026-O0036) (FEB 2026)</t>
  </si>
  <si>
    <t>252.227-7996</t>
  </si>
  <si>
    <t>TECHNICAL DATA-WITHHOLDING OF PAYMENT (DEVIATION 2026-O0036) (FEB 2026)</t>
  </si>
  <si>
    <t>252.240-7997 CD</t>
  </si>
  <si>
    <t>NIST SP 800-171 DOD ASSESSMENT REQUIREMENTS (DEVIATION 2026-O0025)(FEB 2026) 
(DEVIATION 2026-O0025)(FEB 2026)</t>
  </si>
  <si>
    <t>52.211-5</t>
  </si>
  <si>
    <t>MATERIAL REQUIREMENTS (FEB 2026)</t>
  </si>
  <si>
    <t>52.211-15</t>
  </si>
  <si>
    <t>04-01-2008</t>
  </si>
  <si>
    <t>DEFENSE PRIORITY AND ALLOCATION REQUIREMENTS</t>
  </si>
  <si>
    <t>52.222-1</t>
  </si>
  <si>
    <t>02-01-1997</t>
  </si>
  <si>
    <t>NOTICE TO THE GOVERNMENT OF LABOR DISPUTES</t>
  </si>
  <si>
    <t>52.232-23 ALT 1</t>
  </si>
  <si>
    <t>ASSIGNMENT OF CLAIMS  (MAY 2014) -- ALTERNATE I  (APR 1984)</t>
  </si>
  <si>
    <t>52.243-1</t>
  </si>
  <si>
    <t>CHANGES--FIXED PRICE</t>
  </si>
  <si>
    <t>52.247-68</t>
  </si>
  <si>
    <t>REPORT OF SHIPMENT (REPSHIP)</t>
  </si>
  <si>
    <t>52.249-8</t>
  </si>
  <si>
    <t>DEFAULT (FIXED-PRICE SUPPLY AND SERVICE)</t>
  </si>
  <si>
    <t>52.226-8</t>
  </si>
  <si>
    <t>ENCOURAGING CONTRACTOR POLICIES TO BAN TEXT MESSAGING WHILE DRIVING (MAY 2024)</t>
  </si>
  <si>
    <t>52.204-13</t>
  </si>
  <si>
    <t>SYSTEM FOR AWARD MANAGEMENT-MAINTENANCE (FEB 2026)</t>
  </si>
  <si>
    <t>52.232-40</t>
  </si>
  <si>
    <t>03-01-2023</t>
  </si>
  <si>
    <t>PROVIDING ACCELERATED PAYMENTS TO SMALL BUSINESS SUBCONTRACTORS(MAR 2023)</t>
  </si>
  <si>
    <t>52.203-19</t>
  </si>
  <si>
    <t>01-01-2017</t>
  </si>
  <si>
    <t>PROHIBITION ON REQUIRING CERTAIN INTERNAL CONFIDENTIALITY AGREEMENTS OR STATEMENTS</t>
  </si>
  <si>
    <t>52.219-33</t>
  </si>
  <si>
    <t>NONMANUFACTURER RULE (FEB 2026)</t>
  </si>
  <si>
    <t>52.219-6</t>
  </si>
  <si>
    <t>NOTICE OF TOTAL SMALL BUSINESS SET-ASIDE (FEB 2026)</t>
  </si>
  <si>
    <t>52.240-91</t>
  </si>
  <si>
    <t>SECURITY PROHIBITIONS AND EXCLUSIONS (FEB 2026)</t>
  </si>
  <si>
    <t>52.204-91</t>
  </si>
  <si>
    <t>CONTRACTOR IDENTIFICATION (FEB 2026)</t>
  </si>
  <si>
    <t>52.222-90</t>
  </si>
  <si>
    <t>04-01-2026</t>
  </si>
  <si>
    <t>ADDRESSING DEI DISCRIMINATION BY FEDERAL CONTRACTORS</t>
  </si>
  <si>
    <t>52.252-2</t>
  </si>
  <si>
    <t>02-01-1998</t>
  </si>
  <si>
    <t>CLAUSES INCORPORATED BY REFERENCE  (Feb 1998)</t>
  </si>
  <si>
    <t>52.252-6</t>
  </si>
  <si>
    <t>11-01-2020</t>
  </si>
  <si>
    <t>AUTHORIZED DEVIATIONS IN CLAUSES (Nov 2020)</t>
  </si>
  <si>
    <t>52.213-4</t>
  </si>
  <si>
    <t>SIMPLIFIED ACQUISITIONS (NON COMMERICIAL) (DEVIATION FEB 2026)</t>
  </si>
  <si>
    <t>52.219-28</t>
  </si>
  <si>
    <t>POSTAWARD SMALL BUSINESS PROGRAM REPRESENTATION (FEB 2026)</t>
  </si>
  <si>
    <t>52.204-19</t>
  </si>
  <si>
    <t>12-01-2014</t>
  </si>
  <si>
    <t>INCORPORATION BY REFERENCE OF REPRESENTATIONS AND CERTIFICATIONS</t>
  </si>
  <si>
    <t>52.240-93</t>
  </si>
  <si>
    <t>BASIC SAFEGUARDING OF COVERED CONTRACTOR INFORMATION SYSTEM (FEB 2026)</t>
  </si>
  <si>
    <t>252.227-7028</t>
  </si>
  <si>
    <t>06-01-1995</t>
  </si>
  <si>
    <t>TECHNICAL DATA OR COMPUTER SOFTWARE PREVIOUSLY DELIVERED TO THE GOVERNMENT</t>
  </si>
  <si>
    <t>252.203-7005</t>
  </si>
  <si>
    <t>09-01-2022</t>
  </si>
  <si>
    <t>REPRESENTATION RELATING TO COMPENSATION OF FORMER DOD OFFICIALS (Sep 2022)</t>
  </si>
  <si>
    <t>252.204-7008</t>
  </si>
  <si>
    <t>COMPLIANCE WITH SAFEGUARDING COVERED DEFENSE INFORMATION CONTROLS</t>
  </si>
  <si>
    <t>252.225-7053</t>
  </si>
  <si>
    <t>08-01-2021</t>
  </si>
  <si>
    <t>REPRESENTATION REGARDING PROHIBITION ON USE OF CERTAIN ENERGY SOURCED FROM INSIDE THE RUSSIAN FEDERATION</t>
  </si>
  <si>
    <t>252.204-7007</t>
  </si>
  <si>
    <t>10-01-2025</t>
  </si>
  <si>
    <t>ALTERNATE A, ANNUAL REPRESENTATIONS AND CERTIFICATIONS (OCT 2025)</t>
  </si>
  <si>
    <t>252.204-7017</t>
  </si>
  <si>
    <t>05-01-2021</t>
  </si>
  <si>
    <t>PROHIBITION ON THE ACQUISITION OF COVERED DEFENSE TELECOMMUNICATIONS EQUIPMENT OR SERVICES--REPRESENTATION</t>
  </si>
  <si>
    <t>252.225-7973</t>
  </si>
  <si>
    <t>08-01-2024</t>
  </si>
  <si>
    <t>PROHIBITION ON THE PROCUREMENT OF FOREIGN-MADE UNMANNED AIRCRAFT SYSTEMS--REPRESENTATION (DEVIATION 2024-O0014)</t>
  </si>
  <si>
    <t>252.239-7098</t>
  </si>
  <si>
    <t>04-01-2021</t>
  </si>
  <si>
    <t>PROHIBITION ON CONTRACTING TO MAINTAIN OR ESTABLISH A COMPUTER NETWORK UNLESS SUCH NETWORK IS DESIGNED TO BLOCK ACCESS TO CERTAIN WEBSITES--REPRESENTATION (DEVIATION 2021-O0003)</t>
  </si>
  <si>
    <t>52.240-90</t>
  </si>
  <si>
    <t>SECURITY PROHIBITIONS AND EXCLUSIONS REPRESENTATIONS AND CERTIFICATIONS</t>
  </si>
  <si>
    <t>52.225-18</t>
  </si>
  <si>
    <t>08-01-2018</t>
  </si>
  <si>
    <t>PLACE OF MANUFACTURE</t>
  </si>
  <si>
    <t>252.215-7013</t>
  </si>
  <si>
    <t>SUPPLIES AND SERVICES PROVIDED BY NONTRADITIONAL DEFENSE CONTRACTORS (JAN 2023)</t>
  </si>
  <si>
    <t>252.204-7019</t>
  </si>
  <si>
    <t>NOTICE OF NIST SP 800-171 DOD ASSESSMENT REQUIREMENTS</t>
  </si>
  <si>
    <t>252.270-7000</t>
  </si>
  <si>
    <t>11-01-2024</t>
  </si>
  <si>
    <t>Pilot Program To Incentivize Contracting With Employee-Owned Businesses?Representation (Nov 2024)</t>
  </si>
  <si>
    <t>252.270-7001</t>
  </si>
  <si>
    <t>Pilot Program To Incentivize Contracting With Employee-Owned Businesses?Subcontracting Certification (Nov 2024)</t>
  </si>
  <si>
    <t>52.214-34</t>
  </si>
  <si>
    <t>04-01-1991</t>
  </si>
  <si>
    <t>SUBMISSION OF OFFERS IN THE ENGLISH LANGUAGE</t>
  </si>
  <si>
    <t>52.214-35</t>
  </si>
  <si>
    <t>SUBMISSIONS OF OFFERS IN U.S. CURRENCY</t>
  </si>
  <si>
    <t>52.215-1</t>
  </si>
  <si>
    <t>INSTRUCTIONS TO OFFERORS--COMPETITIVE ACQUISITION (FEB 2026)</t>
  </si>
  <si>
    <t>52.204-7</t>
  </si>
  <si>
    <t>SYSTEM FOR AWARD MANAGEMENT-REGISTRATION (FEB2026)</t>
  </si>
  <si>
    <t>52.211-14</t>
  </si>
  <si>
    <t>NOTICE OF PRIORITY RATING FOR NATIONAL DEFENSE, EMERGENCY PREPAREDNESS, AND ENERGY PROGRAM USE</t>
  </si>
  <si>
    <t>52.252-1</t>
  </si>
  <si>
    <t>SOLICITATION PROVISIONS INCORPORATED BY REFERENCE</t>
  </si>
  <si>
    <t>52.252-5</t>
  </si>
  <si>
    <t>AUTHORIZED DEVIATIONS IN PROVISIONS</t>
  </si>
  <si>
    <t>52.217-7</t>
  </si>
  <si>
    <t>03-01-1989</t>
  </si>
  <si>
    <t>OPTION FOR INCREASED QUANTITY--SEPARATELY PRICED LINE ITEM</t>
  </si>
  <si>
    <t>52.217-5</t>
  </si>
  <si>
    <t>EVALUATION OF OPTIONS (FEB 2026)</t>
  </si>
  <si>
    <t xml:space="preserve">DISTRIBUTION AND DESTRUCTION OF EXPORT CONTROL TECHNICAL DATA PACKAGE
</t>
  </si>
  <si>
    <t xml:space="preserve">CONFIGURATION MANAGEMENT DOCUMENTATION
</t>
  </si>
  <si>
    <t>The Contractor may submit Engineering Change Proposals (ECPs), Requests for Variance (RFVs), and Notices of Revision (NORs) for the requirements in the Government-provided Technical Data Package (TDP).
a. The Configuration Change Management section of SAE EIA-649-1(current revision) Configuration Management Requirement for Defense Contracts, Paragraph 3.3, shall be used for configuration control of material with the following exclusions: paragraph 3.3(3); the second sentence of paragraph 3.3.1.8.1(1).
b. Furnished item(s) shall conform to the approved configuration requirements/revision, unless a Request for Variance (RFV) is processed and approved as provided by Paragraph E. below. The term "Request for Variance" includes Requests for Deviations and Waivers.
c. Value Engineering Change Proposals (VECPs) for cost saving improvements to the TDP should not be processed per SAE EIA-649-1 and should be referred to Section I FAR Clause 52.248-1 - Value Engineering.
d. All ECPs submitted will be deemed routine. If an ECP is considered as an emergency or urgent; that justification for the rationale shall be included in the ECP submittal with all applicable supporting documentation.
e. For ECPs, RFVs, or NORs, the Contractor must submit the documentation listed in sub-paragraphs e (i) through e (iii). Failure to submit a complete legible package may result in return of the ECP/RFV/SCN/NOR without processing.
(i) for ECPs, the Contractor shall prepare and deliver the ECP in accordance with (IAW) CDRL A001.
(ii) for RFVs, the Contractor shall prepare and deliver the RFV IAW CDRL A002.
(iii) for NORs, the Contractor shall prepare and deliver the NOR IAW CDRL A003.
f. The Government’s acceptance of the data deliverable required by CDRL/DD Form 1423 in e(i)-(iii) above signifies only that the data satisfies the requirements of the DID and is considered acceptable for Government processing. Acceptance of the data deliverable does not signify "technical approval" of the change proposed by the deliverable and should not be interpreted as authorizing the Contractor to proceed with the work proposed by the change. Disposition of the change (approval/disapproval) will follow acceptance of the CDRL at the Government’s sole discretion. Incorporation of an approved RFV or ECP will require execution of a contract modification.
g. The Contractor should direct questions regarding the status of an ECP or RFV to the Procuring Contracting Officer (PCO) and copy the Administrative Contracting Officer (ACO).
h. The submission of an ECP/RFV/SCN/NOR does not affect the required delivery date of the contract.</t>
  </si>
  <si>
    <t>A001</t>
  </si>
  <si>
    <t>A002</t>
  </si>
  <si>
    <t>A003</t>
  </si>
  <si>
    <t>Data Requirement</t>
  </si>
  <si>
    <t>Engineering Change Proposal (ECP)</t>
  </si>
  <si>
    <t>Requests For Variance (RFV)</t>
  </si>
  <si>
    <t>Notice Of Revision (NOR)</t>
  </si>
  <si>
    <t>See Technical &amp; Quality Requirement - Configuration Management</t>
  </si>
  <si>
    <t>Not Separately Priced (NSP)</t>
  </si>
  <si>
    <t>INSPECTION AND ACCEPTANCE POINTS: ORIGIN</t>
  </si>
  <si>
    <t xml:space="preserve">The Government's inspection and acceptance of the supplies offered under this contract/purchase order shall take place at ORIGIN.  Offeror must specify below the exact name, address, and CAGE of the facility where supplies to be furnished under this contract/purchase order will be available for inspection/acceptance.  
INSPECTION POINT:  __________________________________________ 
                                                             (Name)                      (CAGE) 
                                                       __________________________________________ 
                                                           (Address)    (City)    (State)     (Zip) 
ACCEPTANCE POINT:  __________________________________________ 
                                                             (Name)                      (CAGE) 
                                                         __________________________________________ 
                                                           (Address)    (City)    (State)     (Zip) </t>
  </si>
  <si>
    <t>OPSEC TRAINING REQUIREMENT</t>
  </si>
  <si>
    <t>52.246-15</t>
  </si>
  <si>
    <t>CERTIFICATE OF CONFORMANCE</t>
  </si>
  <si>
    <t>Level of Preservation/Packing</t>
  </si>
  <si>
    <t>Military/B - SPI NUMBER –12927352, DATED–22 JUL 24, REV A</t>
  </si>
  <si>
    <t>12927352:19200</t>
  </si>
  <si>
    <t>Total Small Business Set-Aside</t>
  </si>
  <si>
    <t xml:space="preserve"> (a) The contractor is subject to, at a minimum, the provisions of the current TACOM OPSEC Plan, or other approved U.S. Government OPSEC plan, per AR 530-1, Operations Security. This Plan specifies the government’s critical information, why it needs to be protected, where it is located, who is responsible for it, and how to protect it. 
(b) The contractor will receive a copy of the Plan at time of award. Local form STA Form 7114 (or similar) will be used to document and record security OPSEC reviews which are conducted by TACOM G3/G2 or individual organizations supporting AT/OPSEC Officers. 
(c) The contractor shall identify an individual who will be an OPSEC Coordinator. The contractor will ensure that this individual is OPSEC Level I. </t>
  </si>
  <si>
    <t xml:space="preserve">REQUIREMENT FOR AN OPSEC STANDING OPERATION PROCEDURE/PLAN </t>
  </si>
  <si>
    <t xml:space="preserve">Per AR 530-1, Operations Security, new contractor employees must complete Level I OPSEC training within 30 calendar days of reporting for duty. All contractor employees must complete annual OPSEC awareness training. OPSEC awareness training is available at: https://securityawareness.dcsa.mil/opsec/index.htm. Within 10 days of completing the training, the Contractor shall provide certificates/proof of completion to the Contracting Officer’s Representative (COR), if assigned to the contract, or the Procuring Contracting Officer (PCO). </t>
  </si>
  <si>
    <t>OPSEC TRAINING REQUIREMENT  </t>
  </si>
  <si>
    <t xml:space="preserve">Counterintelligence Awareness and Reporting (CIAR); formerly known as Threat Awareness Reporting Program (TARP): </t>
  </si>
  <si>
    <t>Per AR 381-12, all Department of the Army (DA) personnel (Military/Civilian/Contractor) must complete CIAR training within 30 days of assignment or employment to an organization/contract, and then once every 12 months thereafter pursuant to DoDD 5240.06. DA personnel will complete “Counterintelligence Awareness and Reporting for DoD Employees” – CI116.16, located at https://www.cdse.edu/, to satisfy most Army annual training requirements. 
In addition, per AR 381-12 Chapter 5, the following individual(s) must receive an in-person CIAR briefing directly from an ACI Special Agent or a CI-experienced person in addition to the annual training requirement: 
• DA personnel scheduled to travel (official, unofficial, permanent change of station) to or through countries with a high foreign intelligence or terrorist threat level as identified by Defense Intelligence Agency or the Department of State, will receive a special CIAR briefing prior to the travel and will be debriefed upon return. AR 381–12 • 13 June 2025 11 
• DA personnel who have security clearances travelling to foreign locations in any duty status must fulfill pre-and-post travel security briefing and debriefing requirements in accordance with the DoD Foreign Clearance Guide and DoDD 4500.54E. 
• DA personnel deploying in support of military exercises or contingency operations will receive a special CIAR briefing prior to departure. 
• DA personnel taking part in bilateral or multilateral engagements with foreign governments or international organizations will receive a CIAR briefing prior to the event. 
• Foreign visitors, personnel, and personal connections. Commanders will coordinate with unit security managers to identify personnel potentially vulnerable to FIE exploitation and ensure they are referred to ACI to receive specialized CIAR briefing. 
• Such personnel will receive foreign intelligence threat briefings prior to foreign travel or event. 
• Personnel with access to Sensitive Compartmented Information and Special Access Programs. 
• Personnel assigned to or supporting defense critical infrastructure or associated assets, pursuant to DoDD 3020.40 and DoDI 5240.19, will receive an in-person special CIAR briefing on an annual basis. Such personnel will notify their local ACI office of all projected foreign travel or foreign visits. 
• Foreign government employment. Current and retired DA personnel seeking employment with foreign government entities will have CIAR training and support made available. 
• Information technology professionals System administrators, privileged users, and those with privileged access that provides an individual capability to alter the properties, behavior, or control of a DoD information system will receive in-person special CIAR briefings on an annual basis. 
• Professional and educational exchange programs with foreign governments. 
These briefings will be tailored to the particular risk or threat involved, including methods the person may use to minimize the risk, and will place special emphasis on reporting responsibilities. Debriefings will be conducted as soon as feasible following completion of travel, duty, or visit to a foreign country, or attendance at a conference with foreign personnel by an ACI Special Agent. Failure to receive training does not relieve individuals from their reporting responsibilities in chapter 4 of this regulation.</t>
  </si>
  <si>
    <t>52.227-1</t>
  </si>
  <si>
    <t>06-01-2020</t>
  </si>
  <si>
    <t>AUTHORIZATION AND CONSENT</t>
  </si>
  <si>
    <t>52.227-2</t>
  </si>
  <si>
    <t>NOTICE AND ASSISTANCE REGARDING PATENT AND COPYRIGHT INFRINGEMENT</t>
  </si>
  <si>
    <t>52.227-3</t>
  </si>
  <si>
    <t>PATENT INDEMNITY</t>
  </si>
  <si>
    <t>252.227-7017</t>
  </si>
  <si>
    <t>IDENTIFICATION AND ASSERTION OF USE, RELEASE, OR DISCLOSURE RESTRICTIONS (JAN 2025)</t>
  </si>
  <si>
    <t>08-June-2026,  2:00 PM Eastern</t>
  </si>
  <si>
    <r>
      <t xml:space="preserve">III. All questions regarding this RFOP must be submitted in writing to the Point of Contact no later than </t>
    </r>
    <r>
      <rPr>
        <sz val="11"/>
        <rFont val="Aptos Narrow"/>
        <family val="2"/>
        <scheme val="minor"/>
      </rPr>
      <t>22-MAY-2026, 2:00 PM Eastern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</si>
</sst>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409]d\-mmm\-yyyy;@"/>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6"/>
      <color theme="0"/>
      <name val="Aptos Narrow"/>
      <family val="2"/>
      <scheme val="minor"/>
    </font>
    <font>
      <sz val="11"/>
      <color rgb="FFFF0000"/>
      <name val="Aptos Narrow"/>
      <family val="2"/>
      <scheme val="minor"/>
    </font>
    <font>
      <b/>
      <sz val="11"/>
      <color rgb="FFFF0000"/>
      <name val="Aptos Narrow"/>
      <family val="2"/>
      <scheme val="minor"/>
    </font>
    <font>
      <sz val="11"/>
      <name val="Aptos Narrow"/>
      <family val="2"/>
      <scheme val="minor"/>
    </font>
    <font>
      <b/>
      <sz val="11"/>
      <name val="Aptos Narrow"/>
      <family val="2"/>
      <scheme val="minor"/>
    </font>
    <font>
      <b/>
      <sz val="11"/>
      <color theme="0"/>
      <name val="Aptos Narrow"/>
      <family val="2"/>
      <scheme val="minor"/>
    </font>
    <font>
      <sz val="8"/>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3" tint="0.749992370372631"/>
        <bgColor indexed="64"/>
      </patternFill>
    </fill>
    <fill>
      <patternFill patternType="solid">
        <fgColor rgb="FFFFFF00"/>
        <bgColor indexed="64"/>
      </patternFill>
    </fill>
    <fill>
      <patternFill patternType="solid">
        <fgColor theme="0"/>
        <bgColor indexed="64"/>
      </patternFill>
    </fill>
    <fill>
      <patternFill patternType="solid">
        <fgColor theme="3" tint="0.89999084444715716"/>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thin">
        <color indexed="64"/>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205">
    <xf numFmtId="0" fontId="0" fillId="0" borderId="0" xfId="0"/>
    <xf numFmtId="0" fontId="0" fillId="0" borderId="11" xfId="0" applyBorder="1" applyAlignment="1">
      <alignment horizontal="left" vertical="top" wrapText="1"/>
    </xf>
    <xf numFmtId="0" fontId="0" fillId="0" borderId="1" xfId="0" applyBorder="1" applyAlignment="1">
      <alignment horizontal="left" vertical="top" wrapText="1"/>
    </xf>
    <xf numFmtId="0" fontId="0" fillId="6" borderId="0" xfId="0" applyFill="1" applyAlignment="1">
      <alignment horizontal="left" vertical="top"/>
    </xf>
    <xf numFmtId="0" fontId="0" fillId="0" borderId="0" xfId="0" applyAlignment="1">
      <alignment horizontal="left" vertical="top"/>
    </xf>
    <xf numFmtId="0" fontId="0" fillId="6" borderId="0" xfId="0" applyFill="1" applyAlignment="1">
      <alignment wrapText="1"/>
    </xf>
    <xf numFmtId="0" fontId="0" fillId="0" borderId="0" xfId="0" applyAlignment="1">
      <alignment wrapText="1"/>
    </xf>
    <xf numFmtId="0" fontId="2" fillId="4" borderId="35" xfId="0" applyFont="1" applyFill="1" applyBorder="1" applyAlignment="1">
      <alignment horizontal="left" wrapText="1"/>
    </xf>
    <xf numFmtId="0" fontId="2" fillId="4" borderId="35" xfId="0" applyFont="1" applyFill="1" applyBorder="1" applyAlignment="1">
      <alignment wrapText="1"/>
    </xf>
    <xf numFmtId="0" fontId="2" fillId="4" borderId="31" xfId="0" applyFont="1" applyFill="1" applyBorder="1" applyAlignment="1">
      <alignment horizontal="left" wrapText="1"/>
    </xf>
    <xf numFmtId="0" fontId="0" fillId="6" borderId="39" xfId="0" applyFill="1" applyBorder="1" applyAlignment="1">
      <alignment wrapText="1"/>
    </xf>
    <xf numFmtId="0" fontId="0" fillId="6" borderId="44" xfId="0" applyFill="1" applyBorder="1" applyAlignment="1">
      <alignment wrapText="1"/>
    </xf>
    <xf numFmtId="0" fontId="0" fillId="6" borderId="45" xfId="0" applyFill="1" applyBorder="1" applyAlignment="1">
      <alignment wrapText="1"/>
    </xf>
    <xf numFmtId="0" fontId="0" fillId="6" borderId="40" xfId="0" applyFill="1" applyBorder="1" applyAlignment="1">
      <alignment wrapText="1"/>
    </xf>
    <xf numFmtId="0" fontId="0" fillId="6" borderId="42" xfId="0" applyFill="1" applyBorder="1" applyAlignment="1">
      <alignment wrapText="1"/>
    </xf>
    <xf numFmtId="0" fontId="2" fillId="7" borderId="58" xfId="0" applyFont="1" applyFill="1" applyBorder="1" applyAlignment="1">
      <alignment horizontal="center" wrapText="1"/>
    </xf>
    <xf numFmtId="0" fontId="2" fillId="7" borderId="36" xfId="0" applyFont="1" applyFill="1" applyBorder="1" applyAlignment="1">
      <alignment horizontal="center" wrapText="1"/>
    </xf>
    <xf numFmtId="0" fontId="2" fillId="7" borderId="37" xfId="0" applyFont="1" applyFill="1" applyBorder="1" applyAlignment="1">
      <alignment horizontal="center" wrapText="1"/>
    </xf>
    <xf numFmtId="0" fontId="8" fillId="7" borderId="32" xfId="0" applyFont="1" applyFill="1" applyBorder="1" applyAlignment="1">
      <alignment horizontal="left" vertical="top" wrapText="1"/>
    </xf>
    <xf numFmtId="0" fontId="2" fillId="7" borderId="3" xfId="0" applyFont="1" applyFill="1" applyBorder="1" applyAlignment="1">
      <alignment wrapText="1"/>
    </xf>
    <xf numFmtId="0" fontId="2" fillId="7" borderId="26" xfId="0" applyFont="1" applyFill="1" applyBorder="1" applyAlignment="1">
      <alignment wrapText="1"/>
    </xf>
    <xf numFmtId="0" fontId="2" fillId="7" borderId="53" xfId="0" applyFont="1" applyFill="1" applyBorder="1" applyAlignment="1">
      <alignment vertical="top" wrapText="1"/>
    </xf>
    <xf numFmtId="0" fontId="2" fillId="4" borderId="21" xfId="0" applyFont="1" applyFill="1" applyBorder="1" applyAlignment="1">
      <alignment horizontal="center" wrapText="1"/>
    </xf>
    <xf numFmtId="0" fontId="0" fillId="5" borderId="22" xfId="0" applyFill="1" applyBorder="1" applyAlignment="1">
      <alignment wrapText="1"/>
    </xf>
    <xf numFmtId="0" fontId="2" fillId="4" borderId="22" xfId="0" applyFont="1" applyFill="1" applyBorder="1" applyAlignment="1">
      <alignment horizontal="center" wrapText="1"/>
    </xf>
    <xf numFmtId="0" fontId="0" fillId="5" borderId="23" xfId="0" applyFill="1" applyBorder="1" applyAlignment="1">
      <alignment wrapText="1"/>
    </xf>
    <xf numFmtId="0" fontId="2" fillId="4" borderId="51"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7" borderId="11" xfId="0" applyFont="1" applyFill="1" applyBorder="1" applyAlignment="1">
      <alignment horizontal="left" vertical="top" wrapText="1"/>
    </xf>
    <xf numFmtId="0" fontId="2" fillId="7" borderId="11" xfId="0" applyFont="1" applyFill="1" applyBorder="1" applyAlignment="1">
      <alignment wrapText="1"/>
    </xf>
    <xf numFmtId="0" fontId="2" fillId="7" borderId="9" xfId="0" applyFont="1" applyFill="1" applyBorder="1" applyAlignment="1">
      <alignment horizontal="left" vertical="top" wrapText="1"/>
    </xf>
    <xf numFmtId="0" fontId="2" fillId="4" borderId="32" xfId="0" applyFont="1" applyFill="1" applyBorder="1" applyAlignment="1">
      <alignment wrapText="1"/>
    </xf>
    <xf numFmtId="0" fontId="2" fillId="4" borderId="33" xfId="0" applyFont="1" applyFill="1" applyBorder="1" applyAlignment="1">
      <alignment wrapText="1"/>
    </xf>
    <xf numFmtId="0" fontId="2" fillId="4" borderId="59" xfId="0" applyFont="1" applyFill="1" applyBorder="1" applyAlignment="1">
      <alignment horizontal="left" vertical="top"/>
    </xf>
    <xf numFmtId="0" fontId="0" fillId="0" borderId="59" xfId="0" applyBorder="1" applyAlignment="1">
      <alignment horizontal="left" vertical="top"/>
    </xf>
    <xf numFmtId="0" fontId="0" fillId="0" borderId="51" xfId="0" applyBorder="1" applyAlignment="1">
      <alignment horizontal="left" vertical="top" wrapText="1"/>
    </xf>
    <xf numFmtId="0" fontId="0" fillId="0" borderId="10" xfId="0" applyBorder="1" applyAlignment="1">
      <alignment horizontal="left" vertical="top"/>
    </xf>
    <xf numFmtId="0" fontId="8" fillId="7" borderId="31" xfId="0" applyFont="1" applyFill="1" applyBorder="1" applyAlignment="1">
      <alignment horizontal="left" vertical="top" wrapText="1"/>
    </xf>
    <xf numFmtId="0" fontId="0" fillId="6" borderId="0" xfId="0" applyFill="1" applyAlignment="1">
      <alignment horizontal="left" vertical="top" wrapText="1"/>
    </xf>
    <xf numFmtId="0" fontId="2" fillId="4" borderId="59" xfId="0" applyFont="1" applyFill="1" applyBorder="1" applyAlignment="1">
      <alignment horizontal="left" vertical="top" wrapText="1"/>
    </xf>
    <xf numFmtId="0" fontId="0" fillId="0" borderId="10" xfId="0" applyBorder="1" applyAlignment="1">
      <alignment horizontal="left" vertical="top" wrapText="1"/>
    </xf>
    <xf numFmtId="0" fontId="2" fillId="4" borderId="54" xfId="0" applyFont="1" applyFill="1" applyBorder="1" applyAlignment="1">
      <alignment horizontal="left" vertical="top"/>
    </xf>
    <xf numFmtId="0" fontId="0" fillId="0" borderId="54" xfId="0" applyBorder="1" applyAlignment="1">
      <alignment horizontal="left" vertical="top"/>
    </xf>
    <xf numFmtId="0" fontId="0" fillId="0" borderId="3" xfId="0" applyBorder="1" applyAlignment="1">
      <alignment horizontal="left" vertical="top"/>
    </xf>
    <xf numFmtId="0" fontId="2" fillId="4" borderId="47" xfId="0" applyFont="1" applyFill="1" applyBorder="1" applyAlignment="1">
      <alignment horizontal="left" vertical="top"/>
    </xf>
    <xf numFmtId="0" fontId="0" fillId="0" borderId="47" xfId="0" applyBorder="1" applyAlignment="1">
      <alignment horizontal="left" vertical="top"/>
    </xf>
    <xf numFmtId="0" fontId="0" fillId="0" borderId="43" xfId="0" applyBorder="1" applyAlignment="1">
      <alignment horizontal="left" vertical="top"/>
    </xf>
    <xf numFmtId="0" fontId="2" fillId="4" borderId="50" xfId="0" applyFont="1" applyFill="1" applyBorder="1" applyAlignment="1">
      <alignment horizontal="left" vertical="top" wrapText="1"/>
    </xf>
    <xf numFmtId="0" fontId="2" fillId="7" borderId="3" xfId="0" applyFont="1" applyFill="1" applyBorder="1" applyAlignment="1">
      <alignment vertical="top" wrapText="1"/>
    </xf>
    <xf numFmtId="0" fontId="0" fillId="6" borderId="0" xfId="0" applyFill="1" applyAlignment="1">
      <alignment vertical="top" wrapText="1"/>
    </xf>
    <xf numFmtId="0" fontId="7" fillId="0" borderId="50" xfId="0" applyFont="1" applyBorder="1" applyAlignment="1">
      <alignment horizontal="center" vertical="top" wrapText="1"/>
    </xf>
    <xf numFmtId="0" fontId="5" fillId="5" borderId="50" xfId="0" applyFont="1" applyFill="1" applyBorder="1" applyAlignment="1">
      <alignment horizontal="center" vertical="top" wrapText="1"/>
    </xf>
    <xf numFmtId="44" fontId="0" fillId="5" borderId="50" xfId="1" applyFont="1" applyFill="1" applyBorder="1" applyAlignment="1">
      <alignment horizontal="center" vertical="top" wrapText="1"/>
    </xf>
    <xf numFmtId="0" fontId="0" fillId="7" borderId="50" xfId="1" applyNumberFormat="1" applyFont="1" applyFill="1" applyBorder="1" applyAlignment="1">
      <alignment vertical="top" wrapText="1"/>
    </xf>
    <xf numFmtId="0" fontId="0" fillId="5" borderId="51" xfId="0" applyFill="1" applyBorder="1" applyAlignment="1">
      <alignment vertical="top" wrapText="1"/>
    </xf>
    <xf numFmtId="0" fontId="0" fillId="0" borderId="0" xfId="0" applyAlignment="1">
      <alignment vertical="top" wrapText="1"/>
    </xf>
    <xf numFmtId="0" fontId="0" fillId="0" borderId="1" xfId="0" applyBorder="1" applyAlignment="1">
      <alignment horizontal="center" vertical="top" wrapText="1"/>
    </xf>
    <xf numFmtId="0" fontId="0" fillId="5" borderId="1" xfId="0" applyFill="1" applyBorder="1" applyAlignment="1">
      <alignment horizontal="center" vertical="top" wrapText="1"/>
    </xf>
    <xf numFmtId="44" fontId="0" fillId="5" borderId="1" xfId="1" applyFont="1" applyFill="1" applyBorder="1" applyAlignment="1">
      <alignment horizontal="center" vertical="top" wrapText="1"/>
    </xf>
    <xf numFmtId="0" fontId="0" fillId="7" borderId="1" xfId="1" applyNumberFormat="1" applyFont="1" applyFill="1" applyBorder="1" applyAlignment="1">
      <alignment vertical="top" wrapText="1"/>
    </xf>
    <xf numFmtId="0" fontId="0" fillId="5" borderId="11" xfId="0" applyFill="1" applyBorder="1" applyAlignment="1">
      <alignment vertical="top" wrapText="1"/>
    </xf>
    <xf numFmtId="49" fontId="7" fillId="0" borderId="59" xfId="0" applyNumberFormat="1" applyFont="1" applyBorder="1" applyAlignment="1">
      <alignment horizontal="left" vertical="top" wrapText="1"/>
    </xf>
    <xf numFmtId="0" fontId="7" fillId="0" borderId="50" xfId="0" applyFont="1" applyBorder="1" applyAlignment="1">
      <alignment horizontal="left" vertical="top" wrapText="1"/>
    </xf>
    <xf numFmtId="49" fontId="0" fillId="0" borderId="10" xfId="0" applyNumberFormat="1" applyBorder="1" applyAlignment="1">
      <alignment horizontal="left" vertical="top" wrapText="1"/>
    </xf>
    <xf numFmtId="44" fontId="0" fillId="0" borderId="1" xfId="1" applyFont="1" applyFill="1" applyBorder="1" applyAlignment="1">
      <alignment horizontal="center" vertical="top" wrapText="1"/>
    </xf>
    <xf numFmtId="0" fontId="0" fillId="0" borderId="11" xfId="0" applyBorder="1" applyAlignment="1">
      <alignment vertical="top" wrapText="1"/>
    </xf>
    <xf numFmtId="0" fontId="0" fillId="5" borderId="10" xfId="0" applyFill="1" applyBorder="1" applyAlignment="1">
      <alignment horizontal="left" vertical="top" wrapText="1"/>
    </xf>
    <xf numFmtId="0" fontId="0" fillId="0" borderId="50" xfId="0" applyBorder="1" applyAlignment="1">
      <alignment horizontal="left" vertical="top" wrapText="1"/>
    </xf>
    <xf numFmtId="0" fontId="7" fillId="0" borderId="10" xfId="0" applyFont="1" applyBorder="1" applyAlignment="1">
      <alignment horizontal="left" vertical="top" wrapText="1"/>
    </xf>
    <xf numFmtId="0" fontId="8" fillId="0" borderId="10" xfId="0" applyFont="1" applyBorder="1" applyAlignment="1">
      <alignment horizontal="left" vertical="top" wrapText="1"/>
    </xf>
    <xf numFmtId="0" fontId="0" fillId="0" borderId="10" xfId="0" applyBorder="1" applyAlignment="1">
      <alignment vertical="top" wrapText="1"/>
    </xf>
    <xf numFmtId="0" fontId="0" fillId="0" borderId="1" xfId="0" applyBorder="1" applyAlignment="1">
      <alignment vertical="top"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3" fillId="0" borderId="3" xfId="2" applyFill="1" applyBorder="1" applyAlignment="1">
      <alignment horizontal="left" wrapText="1"/>
    </xf>
    <xf numFmtId="0" fontId="3" fillId="0" borderId="1" xfId="2" applyFill="1" applyBorder="1" applyAlignment="1">
      <alignment horizontal="left" wrapText="1"/>
    </xf>
    <xf numFmtId="0" fontId="3" fillId="0" borderId="43" xfId="2" applyFill="1" applyBorder="1" applyAlignment="1">
      <alignment horizontal="left" wrapText="1"/>
    </xf>
    <xf numFmtId="0" fontId="7" fillId="0" borderId="3" xfId="0" applyFont="1" applyBorder="1" applyAlignment="1">
      <alignment horizontal="left" wrapText="1"/>
    </xf>
    <xf numFmtId="0" fontId="5" fillId="0" borderId="1" xfId="0" applyFont="1" applyBorder="1" applyAlignment="1">
      <alignment horizontal="left" wrapText="1"/>
    </xf>
    <xf numFmtId="0" fontId="5" fillId="0" borderId="43" xfId="0" applyFont="1" applyBorder="1" applyAlignment="1">
      <alignment horizontal="left" wrapText="1"/>
    </xf>
    <xf numFmtId="0" fontId="0" fillId="0" borderId="26" xfId="0" applyBorder="1" applyAlignment="1">
      <alignment horizontal="left" wrapText="1"/>
    </xf>
    <xf numFmtId="0" fontId="0" fillId="0" borderId="5" xfId="0" applyBorder="1" applyAlignment="1">
      <alignment horizontal="left" wrapText="1"/>
    </xf>
    <xf numFmtId="0" fontId="0" fillId="0" borderId="52" xfId="0" applyBorder="1" applyAlignment="1">
      <alignment horizontal="left" wrapText="1"/>
    </xf>
    <xf numFmtId="0" fontId="2" fillId="4" borderId="32" xfId="0" applyFont="1" applyFill="1" applyBorder="1" applyAlignment="1">
      <alignment horizontal="left" vertical="top" wrapText="1"/>
    </xf>
    <xf numFmtId="0" fontId="2" fillId="4" borderId="33" xfId="0" applyFont="1" applyFill="1" applyBorder="1" applyAlignment="1">
      <alignment horizontal="left" vertical="top" wrapText="1"/>
    </xf>
    <xf numFmtId="0" fontId="0" fillId="0" borderId="3" xfId="0" applyBorder="1" applyAlignment="1">
      <alignment horizontal="left" wrapText="1"/>
    </xf>
    <xf numFmtId="0" fontId="0" fillId="0" borderId="1" xfId="0" applyBorder="1" applyAlignment="1">
      <alignment horizontal="left" wrapText="1"/>
    </xf>
    <xf numFmtId="0" fontId="0" fillId="0" borderId="43" xfId="0" applyBorder="1" applyAlignment="1">
      <alignment horizontal="left" wrapText="1"/>
    </xf>
    <xf numFmtId="0" fontId="0" fillId="0" borderId="27" xfId="0" applyBorder="1" applyAlignment="1">
      <alignment horizontal="left" wrapText="1"/>
    </xf>
    <xf numFmtId="0" fontId="0" fillId="0" borderId="15" xfId="0" applyBorder="1" applyAlignment="1">
      <alignment horizontal="left" wrapText="1"/>
    </xf>
    <xf numFmtId="0" fontId="0" fillId="0" borderId="46" xfId="0" applyBorder="1" applyAlignment="1">
      <alignment horizontal="left" wrapText="1"/>
    </xf>
    <xf numFmtId="0" fontId="2" fillId="2" borderId="18" xfId="0" applyFont="1" applyFill="1" applyBorder="1" applyAlignment="1">
      <alignment horizontal="center" wrapText="1"/>
    </xf>
    <xf numFmtId="0" fontId="2" fillId="2" borderId="19" xfId="0" applyFont="1" applyFill="1" applyBorder="1" applyAlignment="1">
      <alignment horizontal="center" wrapText="1"/>
    </xf>
    <xf numFmtId="0" fontId="2" fillId="2" borderId="20" xfId="0" applyFont="1" applyFill="1" applyBorder="1" applyAlignment="1">
      <alignment horizontal="center" wrapText="1"/>
    </xf>
    <xf numFmtId="0" fontId="0" fillId="5" borderId="26" xfId="0" applyFill="1" applyBorder="1" applyAlignment="1">
      <alignment wrapText="1"/>
    </xf>
    <xf numFmtId="0" fontId="0" fillId="5" borderId="5" xfId="0" applyFill="1" applyBorder="1" applyAlignment="1">
      <alignment wrapText="1"/>
    </xf>
    <xf numFmtId="0" fontId="0" fillId="5" borderId="6" xfId="0" applyFill="1" applyBorder="1" applyAlignment="1">
      <alignment wrapText="1"/>
    </xf>
    <xf numFmtId="0" fontId="0" fillId="5" borderId="3" xfId="0" applyFill="1" applyBorder="1" applyAlignment="1">
      <alignment wrapText="1"/>
    </xf>
    <xf numFmtId="0" fontId="0" fillId="5" borderId="1" xfId="0" applyFill="1" applyBorder="1" applyAlignment="1">
      <alignment wrapText="1"/>
    </xf>
    <xf numFmtId="0" fontId="0" fillId="5" borderId="11" xfId="0" applyFill="1" applyBorder="1" applyAlignment="1">
      <alignment wrapText="1"/>
    </xf>
    <xf numFmtId="0" fontId="8" fillId="6" borderId="24" xfId="0" applyFont="1" applyFill="1" applyBorder="1" applyAlignment="1">
      <alignment horizontal="center" wrapText="1"/>
    </xf>
    <xf numFmtId="0" fontId="8" fillId="6" borderId="22" xfId="0" applyFont="1" applyFill="1" applyBorder="1" applyAlignment="1">
      <alignment horizontal="center" wrapText="1"/>
    </xf>
    <xf numFmtId="0" fontId="8" fillId="6" borderId="25" xfId="0" applyFont="1" applyFill="1" applyBorder="1" applyAlignment="1">
      <alignment horizontal="center" wrapText="1"/>
    </xf>
    <xf numFmtId="0" fontId="0" fillId="2" borderId="21" xfId="0" applyFill="1" applyBorder="1" applyAlignment="1">
      <alignment horizontal="center" wrapText="1"/>
    </xf>
    <xf numFmtId="0" fontId="0" fillId="2" borderId="22" xfId="0" applyFill="1" applyBorder="1" applyAlignment="1">
      <alignment horizontal="center" wrapText="1"/>
    </xf>
    <xf numFmtId="0" fontId="0" fillId="2" borderId="36" xfId="0" applyFill="1" applyBorder="1" applyAlignment="1">
      <alignment horizontal="center" wrapText="1"/>
    </xf>
    <xf numFmtId="0" fontId="0" fillId="2" borderId="37" xfId="0" applyFill="1" applyBorder="1" applyAlignment="1">
      <alignment horizontal="center" wrapText="1"/>
    </xf>
    <xf numFmtId="0" fontId="0" fillId="5" borderId="53" xfId="0" applyFill="1" applyBorder="1" applyAlignment="1">
      <alignment wrapText="1"/>
    </xf>
    <xf numFmtId="0" fontId="0" fillId="5" borderId="8" xfId="0" applyFill="1" applyBorder="1" applyAlignment="1">
      <alignment wrapText="1"/>
    </xf>
    <xf numFmtId="0" fontId="0" fillId="5" borderId="9" xfId="0" applyFill="1" applyBorder="1" applyAlignment="1">
      <alignment wrapText="1"/>
    </xf>
    <xf numFmtId="0" fontId="0" fillId="0" borderId="26"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11" xfId="0" applyBorder="1" applyAlignment="1">
      <alignment horizontal="left" vertical="top" wrapText="1"/>
    </xf>
    <xf numFmtId="0" fontId="7" fillId="0" borderId="1" xfId="0" applyFont="1" applyBorder="1" applyAlignment="1">
      <alignment horizontal="left" wrapText="1"/>
    </xf>
    <xf numFmtId="0" fontId="7" fillId="0" borderId="11" xfId="0" applyFont="1" applyBorder="1" applyAlignment="1">
      <alignment horizontal="left" wrapText="1"/>
    </xf>
    <xf numFmtId="0" fontId="7" fillId="0" borderId="1" xfId="0" applyFont="1" applyBorder="1" applyAlignment="1">
      <alignment horizontal="left" vertical="top" wrapText="1"/>
    </xf>
    <xf numFmtId="0" fontId="7" fillId="0" borderId="11" xfId="0" applyFont="1" applyBorder="1" applyAlignment="1">
      <alignment horizontal="left" vertical="top" wrapText="1"/>
    </xf>
    <xf numFmtId="0" fontId="0" fillId="2" borderId="28" xfId="0" applyFill="1" applyBorder="1" applyAlignment="1">
      <alignment horizontal="center" wrapText="1"/>
    </xf>
    <xf numFmtId="0" fontId="0" fillId="2" borderId="29" xfId="0" applyFill="1" applyBorder="1" applyAlignment="1">
      <alignment horizontal="center" wrapText="1"/>
    </xf>
    <xf numFmtId="0" fontId="0" fillId="2" borderId="30" xfId="0" applyFill="1" applyBorder="1" applyAlignment="1">
      <alignment horizontal="center" wrapText="1"/>
    </xf>
    <xf numFmtId="0" fontId="2" fillId="4" borderId="31" xfId="0" applyFont="1" applyFill="1" applyBorder="1" applyAlignment="1">
      <alignment horizontal="left" vertical="top" wrapText="1"/>
    </xf>
    <xf numFmtId="0" fontId="2" fillId="4" borderId="55" xfId="0" applyFont="1" applyFill="1" applyBorder="1" applyAlignment="1">
      <alignment horizontal="left" vertical="top" wrapText="1"/>
    </xf>
    <xf numFmtId="0" fontId="2" fillId="4" borderId="56" xfId="0" applyFont="1" applyFill="1" applyBorder="1" applyAlignment="1">
      <alignment horizontal="left" vertical="top" wrapText="1"/>
    </xf>
    <xf numFmtId="0" fontId="2" fillId="4" borderId="57" xfId="0" applyFont="1" applyFill="1" applyBorder="1" applyAlignment="1">
      <alignment horizontal="left" vertical="top"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7" borderId="21" xfId="0" applyFont="1" applyFill="1" applyBorder="1" applyAlignment="1">
      <alignment horizontal="right" wrapText="1"/>
    </xf>
    <xf numFmtId="0" fontId="2" fillId="7" borderId="22" xfId="0" applyFont="1" applyFill="1" applyBorder="1" applyAlignment="1">
      <alignment horizontal="right" wrapText="1"/>
    </xf>
    <xf numFmtId="44" fontId="0" fillId="7" borderId="22" xfId="1" applyFont="1" applyFill="1" applyBorder="1" applyAlignment="1">
      <alignment horizontal="center" wrapText="1"/>
    </xf>
    <xf numFmtId="44" fontId="0" fillId="7" borderId="23" xfId="1" applyFont="1" applyFill="1" applyBorder="1" applyAlignment="1">
      <alignment horizontal="center" wrapText="1"/>
    </xf>
    <xf numFmtId="0" fontId="0" fillId="2" borderId="18" xfId="0" applyFill="1" applyBorder="1" applyAlignment="1">
      <alignment horizontal="center" wrapText="1"/>
    </xf>
    <xf numFmtId="0" fontId="0" fillId="2" borderId="19" xfId="0" applyFill="1" applyBorder="1" applyAlignment="1">
      <alignment horizontal="center" wrapText="1"/>
    </xf>
    <xf numFmtId="0" fontId="0" fillId="2" borderId="20" xfId="0" applyFill="1" applyBorder="1" applyAlignment="1">
      <alignment horizontal="center" wrapText="1"/>
    </xf>
    <xf numFmtId="0" fontId="7" fillId="0" borderId="43" xfId="0" applyFont="1" applyBorder="1" applyAlignment="1">
      <alignment horizontal="left" vertical="top" wrapText="1"/>
    </xf>
    <xf numFmtId="0" fontId="7" fillId="0" borderId="2" xfId="0" applyFont="1" applyBorder="1" applyAlignment="1">
      <alignment horizontal="left" vertical="top" wrapText="1"/>
    </xf>
    <xf numFmtId="0" fontId="7" fillId="0" borderId="12" xfId="0" applyFont="1" applyBorder="1" applyAlignment="1">
      <alignment horizontal="left" vertical="top" wrapText="1"/>
    </xf>
    <xf numFmtId="0" fontId="7" fillId="0" borderId="41"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2" fillId="4" borderId="21" xfId="0" applyFont="1" applyFill="1" applyBorder="1" applyAlignment="1">
      <alignment horizontal="left" vertical="center" wrapText="1"/>
    </xf>
    <xf numFmtId="0" fontId="2" fillId="4" borderId="22" xfId="0" applyFont="1" applyFill="1" applyBorder="1" applyAlignment="1">
      <alignment horizontal="left" vertical="center" wrapText="1"/>
    </xf>
    <xf numFmtId="0" fontId="2" fillId="4" borderId="23" xfId="0" applyFont="1" applyFill="1" applyBorder="1" applyAlignment="1">
      <alignment horizontal="left" vertical="center" wrapText="1"/>
    </xf>
    <xf numFmtId="0" fontId="0" fillId="0" borderId="60" xfId="0" applyBorder="1" applyAlignment="1">
      <alignment horizontal="left" vertical="center" wrapText="1"/>
    </xf>
    <xf numFmtId="0" fontId="0" fillId="0" borderId="13" xfId="0" applyBorder="1" applyAlignment="1">
      <alignment horizontal="left" vertical="center" wrapText="1"/>
    </xf>
    <xf numFmtId="0" fontId="0" fillId="0" borderId="53" xfId="0" applyBorder="1" applyAlignment="1">
      <alignment horizontal="left" vertical="center" wrapText="1"/>
    </xf>
    <xf numFmtId="0" fontId="7" fillId="0" borderId="41"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0" fillId="2" borderId="40" xfId="0" applyFill="1" applyBorder="1" applyAlignment="1">
      <alignment horizontal="center" wrapText="1"/>
    </xf>
    <xf numFmtId="0" fontId="0" fillId="2" borderId="0" xfId="0" applyFill="1" applyAlignment="1">
      <alignment horizontal="center" wrapText="1"/>
    </xf>
    <xf numFmtId="0" fontId="0" fillId="2" borderId="48" xfId="0" applyFill="1" applyBorder="1" applyAlignment="1">
      <alignment horizontal="center" wrapText="1"/>
    </xf>
    <xf numFmtId="0" fontId="0" fillId="2" borderId="49" xfId="0" applyFill="1" applyBorder="1" applyAlignment="1">
      <alignment horizontal="center" wrapText="1"/>
    </xf>
    <xf numFmtId="0" fontId="2" fillId="4" borderId="4" xfId="0" applyFont="1" applyFill="1" applyBorder="1" applyAlignment="1">
      <alignment horizontal="left" vertical="top" wrapText="1"/>
    </xf>
    <xf numFmtId="0" fontId="2" fillId="4" borderId="10" xfId="0" applyFont="1" applyFill="1" applyBorder="1" applyAlignment="1">
      <alignment horizontal="left" vertical="top" wrapText="1"/>
    </xf>
    <xf numFmtId="0" fontId="2" fillId="4" borderId="7" xfId="0" applyFont="1" applyFill="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10" xfId="0" applyFont="1" applyBorder="1" applyAlignment="1">
      <alignment vertical="top" wrapText="1"/>
    </xf>
    <xf numFmtId="0" fontId="5" fillId="0" borderId="1" xfId="0" applyFont="1" applyBorder="1" applyAlignment="1">
      <alignment vertical="top" wrapText="1"/>
    </xf>
    <xf numFmtId="0" fontId="5" fillId="0" borderId="11" xfId="0" applyFont="1" applyBorder="1" applyAlignment="1">
      <alignment vertical="top" wrapText="1"/>
    </xf>
    <xf numFmtId="0" fontId="7" fillId="0" borderId="10" xfId="0" applyFont="1" applyBorder="1" applyAlignment="1">
      <alignment wrapText="1"/>
    </xf>
    <xf numFmtId="0" fontId="7" fillId="0" borderId="1" xfId="0" applyFont="1" applyBorder="1" applyAlignment="1">
      <alignment wrapText="1"/>
    </xf>
    <xf numFmtId="0" fontId="7" fillId="0" borderId="11" xfId="0" applyFont="1" applyBorder="1" applyAlignment="1">
      <alignment wrapText="1"/>
    </xf>
    <xf numFmtId="0" fontId="7" fillId="0" borderId="3" xfId="0" applyFont="1" applyBorder="1" applyAlignment="1">
      <alignment horizontal="left" vertical="top" wrapText="1"/>
    </xf>
    <xf numFmtId="0" fontId="5" fillId="0" borderId="1" xfId="0" applyFont="1" applyBorder="1" applyAlignment="1">
      <alignment horizontal="left" vertical="top" wrapText="1"/>
    </xf>
    <xf numFmtId="0" fontId="5" fillId="0" borderId="11" xfId="0" applyFont="1" applyBorder="1" applyAlignment="1">
      <alignment horizontal="left" vertical="top" wrapText="1"/>
    </xf>
    <xf numFmtId="0" fontId="8" fillId="7" borderId="32" xfId="0" applyFont="1" applyFill="1" applyBorder="1" applyAlignment="1">
      <alignment horizontal="left" vertical="top" wrapText="1"/>
    </xf>
    <xf numFmtId="0" fontId="8" fillId="7" borderId="33" xfId="0" applyFont="1" applyFill="1" applyBorder="1" applyAlignment="1">
      <alignment horizontal="left" vertical="top" wrapText="1"/>
    </xf>
    <xf numFmtId="0" fontId="7" fillId="0" borderId="53"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44" xfId="0" applyFont="1" applyBorder="1" applyAlignment="1">
      <alignment horizontal="left" vertical="top" wrapText="1"/>
    </xf>
    <xf numFmtId="0" fontId="5" fillId="0" borderId="44" xfId="0" applyFont="1" applyBorder="1" applyAlignment="1">
      <alignment horizontal="left" vertical="top" wrapText="1"/>
    </xf>
    <xf numFmtId="0" fontId="5" fillId="0" borderId="45" xfId="0" applyFont="1" applyBorder="1" applyAlignment="1">
      <alignment horizontal="left" vertical="top" wrapText="1"/>
    </xf>
    <xf numFmtId="0" fontId="2" fillId="4" borderId="28" xfId="0" applyFont="1" applyFill="1" applyBorder="1" applyAlignment="1">
      <alignment horizontal="left" vertical="top" wrapText="1"/>
    </xf>
    <xf numFmtId="0" fontId="2" fillId="4" borderId="58" xfId="0" applyFont="1" applyFill="1" applyBorder="1" applyAlignment="1">
      <alignment horizontal="left" vertical="top" wrapText="1"/>
    </xf>
    <xf numFmtId="0" fontId="8" fillId="7" borderId="38" xfId="0" applyFont="1" applyFill="1" applyBorder="1" applyAlignment="1">
      <alignment horizontal="left" vertical="top" wrapText="1"/>
    </xf>
    <xf numFmtId="0" fontId="6" fillId="7" borderId="14" xfId="0" applyFont="1" applyFill="1" applyBorder="1" applyAlignment="1">
      <alignment horizontal="left" vertical="top" wrapText="1"/>
    </xf>
    <xf numFmtId="0" fontId="7" fillId="0" borderId="26" xfId="0" applyFont="1" applyBorder="1" applyAlignment="1">
      <alignment horizontal="left" vertical="top" wrapText="1"/>
    </xf>
    <xf numFmtId="0" fontId="0" fillId="2" borderId="58" xfId="0" applyFill="1" applyBorder="1" applyAlignment="1">
      <alignment horizontal="center" wrapText="1"/>
    </xf>
    <xf numFmtId="0" fontId="0" fillId="2" borderId="23" xfId="0" applyFill="1" applyBorder="1" applyAlignment="1">
      <alignment horizontal="center" wrapText="1"/>
    </xf>
    <xf numFmtId="0" fontId="9" fillId="3" borderId="21" xfId="0" applyFont="1" applyFill="1" applyBorder="1" applyAlignment="1">
      <alignment horizontal="left" vertical="top"/>
    </xf>
    <xf numFmtId="0" fontId="9" fillId="3" borderId="24" xfId="0" applyFont="1" applyFill="1" applyBorder="1" applyAlignment="1">
      <alignment horizontal="left" vertical="top"/>
    </xf>
    <xf numFmtId="0" fontId="9" fillId="3" borderId="22" xfId="0" applyFont="1" applyFill="1" applyBorder="1" applyAlignment="1">
      <alignment horizontal="left" vertical="top"/>
    </xf>
    <xf numFmtId="0" fontId="9" fillId="3" borderId="25" xfId="0" applyFont="1" applyFill="1" applyBorder="1" applyAlignment="1">
      <alignment horizontal="left" vertical="top"/>
    </xf>
    <xf numFmtId="0" fontId="9" fillId="3" borderId="23" xfId="0" applyFont="1" applyFill="1" applyBorder="1" applyAlignment="1">
      <alignment horizontal="left" vertical="top"/>
    </xf>
    <xf numFmtId="0" fontId="9" fillId="3" borderId="21" xfId="0" applyFont="1" applyFill="1" applyBorder="1" applyAlignment="1">
      <alignment horizontal="left" vertical="top" wrapText="1"/>
    </xf>
    <xf numFmtId="0" fontId="9" fillId="3" borderId="22" xfId="0" applyFont="1" applyFill="1" applyBorder="1" applyAlignment="1">
      <alignment horizontal="left" vertical="top" wrapText="1"/>
    </xf>
    <xf numFmtId="0" fontId="9" fillId="3" borderId="23" xfId="0" applyFont="1" applyFill="1" applyBorder="1" applyAlignment="1">
      <alignment horizontal="left" vertical="top" wrapText="1"/>
    </xf>
    <xf numFmtId="0" fontId="2" fillId="4" borderId="50" xfId="0" applyFont="1" applyFill="1" applyBorder="1" applyAlignment="1">
      <alignment horizontal="left" vertical="top" wrapText="1"/>
    </xf>
    <xf numFmtId="0" fontId="2" fillId="4" borderId="51" xfId="0" applyFont="1" applyFill="1" applyBorder="1" applyAlignment="1">
      <alignment horizontal="left" vertical="top" wrapText="1"/>
    </xf>
    <xf numFmtId="0" fontId="0" fillId="5" borderId="1" xfId="0" applyFill="1" applyBorder="1" applyAlignment="1">
      <alignment horizontal="left" vertical="top" wrapText="1"/>
    </xf>
    <xf numFmtId="0" fontId="0" fillId="5" borderId="11" xfId="0" applyFill="1" applyBorder="1" applyAlignment="1">
      <alignment horizontal="left" vertical="top" wrapText="1"/>
    </xf>
    <xf numFmtId="164" fontId="8" fillId="0" borderId="34" xfId="0" applyNumberFormat="1" applyFont="1" applyBorder="1" applyAlignment="1">
      <alignment horizontal="center" wrapText="1"/>
    </xf>
    <xf numFmtId="0" fontId="8" fillId="4" borderId="35" xfId="0" applyFont="1" applyFill="1" applyBorder="1" applyAlignment="1">
      <alignment wrapText="1"/>
    </xf>
    <xf numFmtId="164" fontId="8" fillId="6" borderId="24" xfId="0" applyNumberFormat="1" applyFont="1" applyFill="1" applyBorder="1" applyAlignment="1">
      <alignment horizontal="center" wrapText="1"/>
    </xf>
    <xf numFmtId="164" fontId="8" fillId="6" borderId="23" xfId="0" applyNumberFormat="1" applyFont="1" applyFill="1" applyBorder="1" applyAlignment="1">
      <alignment horizontal="center"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BOAST@army.mi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18E87-3928-4F39-8C33-DA9D5E77F55C}">
  <dimension ref="A1:N78"/>
  <sheetViews>
    <sheetView topLeftCell="A37" zoomScale="90" zoomScaleNormal="90" workbookViewId="0">
      <selection activeCell="L3" sqref="G3:M3"/>
    </sheetView>
  </sheetViews>
  <sheetFormatPr defaultRowHeight="15" x14ac:dyDescent="0.25"/>
  <cols>
    <col min="1" max="1" width="3.42578125" style="5" customWidth="1"/>
    <col min="2" max="2" width="19.140625" style="6" customWidth="1"/>
    <col min="3" max="3" width="28.85546875" style="6" customWidth="1"/>
    <col min="4" max="4" width="28.42578125" style="6" customWidth="1"/>
    <col min="5" max="5" width="28.140625" style="6" customWidth="1"/>
    <col min="6" max="6" width="18.85546875" style="6" bestFit="1" customWidth="1"/>
    <col min="7" max="7" width="21.5703125" style="6" customWidth="1"/>
    <col min="8" max="8" width="18.28515625" style="6" customWidth="1"/>
    <col min="9" max="9" width="20.85546875" style="6" customWidth="1"/>
    <col min="10" max="10" width="21.28515625" style="6" customWidth="1"/>
    <col min="11" max="11" width="23.7109375" style="6" customWidth="1"/>
    <col min="12" max="12" width="29.28515625" style="6" customWidth="1"/>
    <col min="13" max="13" width="31.42578125" style="6" customWidth="1"/>
    <col min="14" max="14" width="6.28515625" style="5" customWidth="1"/>
    <col min="15" max="16384" width="9.140625" style="6"/>
  </cols>
  <sheetData>
    <row r="1" spans="2:13" x14ac:dyDescent="0.25">
      <c r="B1" s="72" t="s">
        <v>53</v>
      </c>
      <c r="C1" s="73"/>
      <c r="D1" s="73"/>
      <c r="E1" s="73"/>
      <c r="F1" s="73"/>
      <c r="G1" s="73"/>
      <c r="H1" s="73"/>
      <c r="I1" s="73"/>
      <c r="J1" s="73"/>
      <c r="K1" s="73"/>
      <c r="L1" s="73"/>
      <c r="M1" s="74"/>
    </row>
    <row r="2" spans="2:13" ht="15.75" thickBot="1" x14ac:dyDescent="0.3">
      <c r="B2" s="75"/>
      <c r="C2" s="76"/>
      <c r="D2" s="76"/>
      <c r="E2" s="76"/>
      <c r="F2" s="76"/>
      <c r="G2" s="76"/>
      <c r="H2" s="76"/>
      <c r="I2" s="76"/>
      <c r="J2" s="76"/>
      <c r="K2" s="76"/>
      <c r="L2" s="76"/>
      <c r="M2" s="77"/>
    </row>
    <row r="3" spans="2:13" ht="15.75" thickBot="1" x14ac:dyDescent="0.3">
      <c r="B3" s="7" t="s">
        <v>44</v>
      </c>
      <c r="C3" s="104" t="s">
        <v>90</v>
      </c>
      <c r="D3" s="105"/>
      <c r="E3" s="106"/>
      <c r="F3" s="8" t="s">
        <v>8</v>
      </c>
      <c r="G3" s="201">
        <v>46149</v>
      </c>
      <c r="H3" s="201"/>
      <c r="I3" s="201"/>
      <c r="J3" s="201"/>
      <c r="K3" s="202" t="s">
        <v>9</v>
      </c>
      <c r="L3" s="203" t="s">
        <v>346</v>
      </c>
      <c r="M3" s="204"/>
    </row>
    <row r="4" spans="2:13" ht="15.75" thickBot="1" x14ac:dyDescent="0.3">
      <c r="B4" s="95"/>
      <c r="C4" s="96"/>
      <c r="D4" s="96"/>
      <c r="E4" s="96"/>
      <c r="F4" s="96"/>
      <c r="G4" s="96"/>
      <c r="H4" s="96"/>
      <c r="I4" s="96"/>
      <c r="J4" s="96"/>
      <c r="K4" s="96"/>
      <c r="L4" s="96"/>
      <c r="M4" s="97"/>
    </row>
    <row r="5" spans="2:13" x14ac:dyDescent="0.25">
      <c r="B5" s="9" t="s">
        <v>16</v>
      </c>
      <c r="C5" s="84" t="s">
        <v>0</v>
      </c>
      <c r="D5" s="85"/>
      <c r="E5" s="85"/>
      <c r="F5" s="85"/>
      <c r="G5" s="85"/>
      <c r="H5" s="86"/>
      <c r="I5" s="9" t="s">
        <v>10</v>
      </c>
      <c r="J5" s="98"/>
      <c r="K5" s="99"/>
      <c r="L5" s="99"/>
      <c r="M5" s="100"/>
    </row>
    <row r="6" spans="2:13" x14ac:dyDescent="0.25">
      <c r="B6" s="87" t="s">
        <v>1</v>
      </c>
      <c r="C6" s="78" t="s">
        <v>2</v>
      </c>
      <c r="D6" s="79"/>
      <c r="E6" s="79"/>
      <c r="F6" s="79"/>
      <c r="G6" s="79"/>
      <c r="H6" s="80"/>
      <c r="I6" s="31" t="s">
        <v>52</v>
      </c>
      <c r="J6" s="101"/>
      <c r="K6" s="102"/>
      <c r="L6" s="102"/>
      <c r="M6" s="103"/>
    </row>
    <row r="7" spans="2:13" x14ac:dyDescent="0.25">
      <c r="B7" s="87"/>
      <c r="C7" s="81" t="s">
        <v>75</v>
      </c>
      <c r="D7" s="82"/>
      <c r="E7" s="82"/>
      <c r="F7" s="82"/>
      <c r="G7" s="82"/>
      <c r="H7" s="83"/>
      <c r="I7" s="31" t="s">
        <v>11</v>
      </c>
      <c r="J7" s="101"/>
      <c r="K7" s="102"/>
      <c r="L7" s="102"/>
      <c r="M7" s="103"/>
    </row>
    <row r="8" spans="2:13" x14ac:dyDescent="0.25">
      <c r="B8" s="87"/>
      <c r="C8" s="81" t="s">
        <v>76</v>
      </c>
      <c r="D8" s="82"/>
      <c r="E8" s="82"/>
      <c r="F8" s="82"/>
      <c r="G8" s="82"/>
      <c r="H8" s="83"/>
      <c r="I8" s="31" t="s">
        <v>12</v>
      </c>
      <c r="J8" s="101"/>
      <c r="K8" s="102"/>
      <c r="L8" s="102"/>
      <c r="M8" s="103"/>
    </row>
    <row r="9" spans="2:13" x14ac:dyDescent="0.25">
      <c r="B9" s="87"/>
      <c r="C9" s="89"/>
      <c r="D9" s="90"/>
      <c r="E9" s="90"/>
      <c r="F9" s="90"/>
      <c r="G9" s="90"/>
      <c r="H9" s="91"/>
      <c r="I9" s="31" t="s">
        <v>13</v>
      </c>
      <c r="J9" s="101"/>
      <c r="K9" s="102"/>
      <c r="L9" s="102"/>
      <c r="M9" s="103"/>
    </row>
    <row r="10" spans="2:13" x14ac:dyDescent="0.25">
      <c r="B10" s="87"/>
      <c r="C10" s="89"/>
      <c r="D10" s="90"/>
      <c r="E10" s="90"/>
      <c r="F10" s="90"/>
      <c r="G10" s="90"/>
      <c r="H10" s="91"/>
      <c r="I10" s="31" t="s">
        <v>14</v>
      </c>
      <c r="J10" s="101"/>
      <c r="K10" s="102"/>
      <c r="L10" s="102"/>
      <c r="M10" s="103"/>
    </row>
    <row r="11" spans="2:13" ht="15.75" thickBot="1" x14ac:dyDescent="0.3">
      <c r="B11" s="88"/>
      <c r="C11" s="92"/>
      <c r="D11" s="93"/>
      <c r="E11" s="93"/>
      <c r="F11" s="93"/>
      <c r="G11" s="93"/>
      <c r="H11" s="94"/>
      <c r="I11" s="32" t="s">
        <v>15</v>
      </c>
      <c r="J11" s="111"/>
      <c r="K11" s="112"/>
      <c r="L11" s="112"/>
      <c r="M11" s="113"/>
    </row>
    <row r="12" spans="2:13" ht="15.75" thickBot="1" x14ac:dyDescent="0.3">
      <c r="B12" s="107"/>
      <c r="C12" s="108"/>
      <c r="D12" s="108"/>
      <c r="E12" s="108"/>
      <c r="F12" s="108"/>
      <c r="G12" s="108"/>
      <c r="H12" s="108"/>
      <c r="I12" s="109"/>
      <c r="J12" s="109"/>
      <c r="K12" s="109"/>
      <c r="L12" s="109"/>
      <c r="M12" s="110"/>
    </row>
    <row r="13" spans="2:13" ht="31.15" customHeight="1" x14ac:dyDescent="0.25">
      <c r="B13" s="127" t="s">
        <v>47</v>
      </c>
      <c r="C13" s="114" t="s">
        <v>45</v>
      </c>
      <c r="D13" s="115"/>
      <c r="E13" s="115"/>
      <c r="F13" s="115"/>
      <c r="G13" s="115"/>
      <c r="H13" s="115"/>
      <c r="I13" s="115"/>
      <c r="J13" s="115"/>
      <c r="K13" s="115"/>
      <c r="L13" s="115"/>
      <c r="M13" s="116"/>
    </row>
    <row r="14" spans="2:13" x14ac:dyDescent="0.25">
      <c r="B14" s="87"/>
      <c r="C14" s="117" t="s">
        <v>46</v>
      </c>
      <c r="D14" s="118"/>
      <c r="E14" s="118"/>
      <c r="F14" s="118"/>
      <c r="G14" s="118"/>
      <c r="H14" s="118"/>
      <c r="I14" s="118"/>
      <c r="J14" s="118"/>
      <c r="K14" s="118"/>
      <c r="L14" s="118"/>
      <c r="M14" s="119"/>
    </row>
    <row r="15" spans="2:13" ht="15.75" thickBot="1" x14ac:dyDescent="0.3">
      <c r="B15" s="87"/>
      <c r="C15" s="117" t="s">
        <v>347</v>
      </c>
      <c r="D15" s="118"/>
      <c r="E15" s="118"/>
      <c r="F15" s="118"/>
      <c r="G15" s="118"/>
      <c r="H15" s="118"/>
      <c r="I15" s="118"/>
      <c r="J15" s="118"/>
      <c r="K15" s="118"/>
      <c r="L15" s="118"/>
      <c r="M15" s="119"/>
    </row>
    <row r="16" spans="2:13" ht="15.75" thickBot="1" x14ac:dyDescent="0.3">
      <c r="B16" s="124"/>
      <c r="C16" s="125"/>
      <c r="D16" s="125"/>
      <c r="E16" s="125"/>
      <c r="F16" s="125"/>
      <c r="G16" s="125"/>
      <c r="H16" s="125"/>
      <c r="I16" s="125"/>
      <c r="J16" s="125"/>
      <c r="K16" s="125"/>
      <c r="L16" s="125"/>
      <c r="M16" s="126"/>
    </row>
    <row r="17" spans="2:13" x14ac:dyDescent="0.25">
      <c r="B17" s="128" t="s">
        <v>42</v>
      </c>
      <c r="C17" s="20" t="s">
        <v>17</v>
      </c>
      <c r="D17" s="131" t="s">
        <v>77</v>
      </c>
      <c r="E17" s="131"/>
      <c r="F17" s="131"/>
      <c r="G17" s="131"/>
      <c r="H17" s="131"/>
      <c r="I17" s="131"/>
      <c r="J17" s="131"/>
      <c r="K17" s="131"/>
      <c r="L17" s="131"/>
      <c r="M17" s="132"/>
    </row>
    <row r="18" spans="2:13" x14ac:dyDescent="0.25">
      <c r="B18" s="129"/>
      <c r="C18" s="19" t="s">
        <v>35</v>
      </c>
      <c r="D18" s="120" t="s">
        <v>78</v>
      </c>
      <c r="E18" s="120"/>
      <c r="F18" s="120"/>
      <c r="G18" s="120"/>
      <c r="H18" s="120"/>
      <c r="I18" s="120"/>
      <c r="J18" s="120"/>
      <c r="K18" s="120"/>
      <c r="L18" s="120"/>
      <c r="M18" s="121"/>
    </row>
    <row r="19" spans="2:13" x14ac:dyDescent="0.25">
      <c r="B19" s="129"/>
      <c r="C19" s="19" t="s">
        <v>36</v>
      </c>
      <c r="D19" s="120" t="s">
        <v>329</v>
      </c>
      <c r="E19" s="120"/>
      <c r="F19" s="120"/>
      <c r="G19" s="120"/>
      <c r="H19" s="120"/>
      <c r="I19" s="120"/>
      <c r="J19" s="120"/>
      <c r="K19" s="120"/>
      <c r="L19" s="120"/>
      <c r="M19" s="121"/>
    </row>
    <row r="20" spans="2:13" x14ac:dyDescent="0.25">
      <c r="B20" s="129"/>
      <c r="C20" s="19" t="s">
        <v>29</v>
      </c>
      <c r="D20" s="120" t="s">
        <v>79</v>
      </c>
      <c r="E20" s="120"/>
      <c r="F20" s="120"/>
      <c r="G20" s="120"/>
      <c r="H20" s="120"/>
      <c r="I20" s="120"/>
      <c r="J20" s="120"/>
      <c r="K20" s="120"/>
      <c r="L20" s="120"/>
      <c r="M20" s="121"/>
    </row>
    <row r="21" spans="2:13" x14ac:dyDescent="0.25">
      <c r="B21" s="129"/>
      <c r="C21" s="19" t="s">
        <v>20</v>
      </c>
      <c r="D21" s="120">
        <v>332510</v>
      </c>
      <c r="E21" s="120"/>
      <c r="F21" s="120"/>
      <c r="G21" s="120"/>
      <c r="H21" s="120"/>
      <c r="I21" s="120"/>
      <c r="J21" s="120"/>
      <c r="K21" s="120"/>
      <c r="L21" s="120"/>
      <c r="M21" s="121"/>
    </row>
    <row r="22" spans="2:13" x14ac:dyDescent="0.25">
      <c r="B22" s="129"/>
      <c r="C22" s="19" t="s">
        <v>21</v>
      </c>
      <c r="D22" s="120" t="s">
        <v>80</v>
      </c>
      <c r="E22" s="120"/>
      <c r="F22" s="120"/>
      <c r="G22" s="120"/>
      <c r="H22" s="120"/>
      <c r="I22" s="120"/>
      <c r="J22" s="120"/>
      <c r="K22" s="120"/>
      <c r="L22" s="120"/>
      <c r="M22" s="121"/>
    </row>
    <row r="23" spans="2:13" x14ac:dyDescent="0.25">
      <c r="B23" s="129"/>
      <c r="C23" s="19" t="s">
        <v>41</v>
      </c>
      <c r="D23" s="122" t="s">
        <v>330</v>
      </c>
      <c r="E23" s="122"/>
      <c r="F23" s="122"/>
      <c r="G23" s="122"/>
      <c r="H23" s="122"/>
      <c r="I23" s="122"/>
      <c r="J23" s="122"/>
      <c r="K23" s="122"/>
      <c r="L23" s="122"/>
      <c r="M23" s="123"/>
    </row>
    <row r="24" spans="2:13" ht="30" x14ac:dyDescent="0.25">
      <c r="B24" s="129"/>
      <c r="C24" s="19" t="s">
        <v>66</v>
      </c>
      <c r="D24" s="140" t="s">
        <v>81</v>
      </c>
      <c r="E24" s="141"/>
      <c r="F24" s="141"/>
      <c r="G24" s="141"/>
      <c r="H24" s="141"/>
      <c r="I24" s="141"/>
      <c r="J24" s="141"/>
      <c r="K24" s="141"/>
      <c r="L24" s="141"/>
      <c r="M24" s="142"/>
    </row>
    <row r="25" spans="2:13" x14ac:dyDescent="0.25">
      <c r="B25" s="129"/>
      <c r="C25" s="19" t="s">
        <v>22</v>
      </c>
      <c r="D25" s="120" t="s">
        <v>84</v>
      </c>
      <c r="E25" s="120"/>
      <c r="F25" s="120"/>
      <c r="G25" s="120"/>
      <c r="H25" s="120"/>
      <c r="I25" s="120"/>
      <c r="J25" s="120"/>
      <c r="K25" s="120"/>
      <c r="L25" s="120"/>
      <c r="M25" s="121"/>
    </row>
    <row r="26" spans="2:13" x14ac:dyDescent="0.25">
      <c r="B26" s="129"/>
      <c r="C26" s="19" t="s">
        <v>327</v>
      </c>
      <c r="D26" s="120" t="s">
        <v>328</v>
      </c>
      <c r="E26" s="120"/>
      <c r="F26" s="120"/>
      <c r="G26" s="120"/>
      <c r="H26" s="120"/>
      <c r="I26" s="120"/>
      <c r="J26" s="120"/>
      <c r="K26" s="120"/>
      <c r="L26" s="120"/>
      <c r="M26" s="121"/>
    </row>
    <row r="27" spans="2:13" ht="66.75" customHeight="1" x14ac:dyDescent="0.25">
      <c r="B27" s="129"/>
      <c r="C27" s="48" t="s">
        <v>23</v>
      </c>
      <c r="D27" s="122" t="s">
        <v>85</v>
      </c>
      <c r="E27" s="122"/>
      <c r="F27" s="122"/>
      <c r="G27" s="122"/>
      <c r="H27" s="122"/>
      <c r="I27" s="122"/>
      <c r="J27" s="122"/>
      <c r="K27" s="122"/>
      <c r="L27" s="122"/>
      <c r="M27" s="123"/>
    </row>
    <row r="28" spans="2:13" x14ac:dyDescent="0.25">
      <c r="B28" s="129"/>
      <c r="C28" s="19" t="s">
        <v>30</v>
      </c>
      <c r="D28" s="120" t="s">
        <v>86</v>
      </c>
      <c r="E28" s="120"/>
      <c r="F28" s="120"/>
      <c r="G28" s="120"/>
      <c r="H28" s="120"/>
      <c r="I28" s="120"/>
      <c r="J28" s="120"/>
      <c r="K28" s="120"/>
      <c r="L28" s="120"/>
      <c r="M28" s="121"/>
    </row>
    <row r="29" spans="2:13" x14ac:dyDescent="0.25">
      <c r="B29" s="129"/>
      <c r="C29" s="19" t="s">
        <v>24</v>
      </c>
      <c r="D29" s="120" t="s">
        <v>87</v>
      </c>
      <c r="E29" s="120"/>
      <c r="F29" s="120"/>
      <c r="G29" s="120"/>
      <c r="H29" s="120"/>
      <c r="I29" s="120"/>
      <c r="J29" s="120"/>
      <c r="K29" s="120"/>
      <c r="L29" s="120"/>
      <c r="M29" s="121"/>
    </row>
    <row r="30" spans="2:13" ht="15.75" thickBot="1" x14ac:dyDescent="0.3">
      <c r="B30" s="130"/>
      <c r="C30" s="21" t="s">
        <v>67</v>
      </c>
      <c r="D30" s="143" t="s">
        <v>88</v>
      </c>
      <c r="E30" s="144"/>
      <c r="F30" s="144"/>
      <c r="G30" s="144"/>
      <c r="H30" s="144"/>
      <c r="I30" s="144"/>
      <c r="J30" s="144"/>
      <c r="K30" s="144"/>
      <c r="L30" s="144"/>
      <c r="M30" s="145"/>
    </row>
    <row r="31" spans="2:13" ht="15.75" thickBot="1" x14ac:dyDescent="0.3">
      <c r="B31" s="137"/>
      <c r="C31" s="138"/>
      <c r="D31" s="138"/>
      <c r="E31" s="138"/>
      <c r="F31" s="138"/>
      <c r="G31" s="138"/>
      <c r="H31" s="138"/>
      <c r="I31" s="138"/>
      <c r="J31" s="138"/>
      <c r="K31" s="138"/>
      <c r="L31" s="138"/>
      <c r="M31" s="139"/>
    </row>
    <row r="32" spans="2:13" ht="15.75" thickBot="1" x14ac:dyDescent="0.3">
      <c r="B32" s="146" t="s">
        <v>43</v>
      </c>
      <c r="C32" s="147"/>
      <c r="D32" s="147"/>
      <c r="E32" s="147"/>
      <c r="F32" s="147"/>
      <c r="G32" s="147"/>
      <c r="H32" s="147"/>
      <c r="I32" s="147"/>
      <c r="J32" s="147"/>
      <c r="K32" s="147"/>
      <c r="L32" s="147"/>
      <c r="M32" s="148"/>
    </row>
    <row r="33" spans="1:14" ht="15.75" thickBot="1" x14ac:dyDescent="0.3">
      <c r="B33" s="15" t="s">
        <v>3</v>
      </c>
      <c r="C33" s="16" t="s">
        <v>31</v>
      </c>
      <c r="D33" s="16" t="s">
        <v>4</v>
      </c>
      <c r="E33" s="16" t="s">
        <v>18</v>
      </c>
      <c r="F33" s="16" t="s">
        <v>19</v>
      </c>
      <c r="G33" s="16" t="s">
        <v>37</v>
      </c>
      <c r="H33" s="16" t="s">
        <v>5</v>
      </c>
      <c r="I33" s="16" t="s">
        <v>39</v>
      </c>
      <c r="J33" s="16" t="s">
        <v>34</v>
      </c>
      <c r="K33" s="16" t="s">
        <v>6</v>
      </c>
      <c r="L33" s="16" t="s">
        <v>7</v>
      </c>
      <c r="M33" s="17" t="s">
        <v>32</v>
      </c>
    </row>
    <row r="34" spans="1:14" s="55" customFormat="1" x14ac:dyDescent="0.25">
      <c r="A34" s="49"/>
      <c r="B34" s="61" t="s">
        <v>38</v>
      </c>
      <c r="C34" s="62" t="s">
        <v>99</v>
      </c>
      <c r="D34" s="62" t="s">
        <v>77</v>
      </c>
      <c r="E34" s="62" t="s">
        <v>78</v>
      </c>
      <c r="F34" s="50">
        <v>12927352</v>
      </c>
      <c r="G34" s="50" t="s">
        <v>82</v>
      </c>
      <c r="H34" s="50">
        <v>362</v>
      </c>
      <c r="I34" s="50" t="s">
        <v>89</v>
      </c>
      <c r="J34" s="51"/>
      <c r="K34" s="52"/>
      <c r="L34" s="53">
        <f>H34*K34</f>
        <v>0</v>
      </c>
      <c r="M34" s="54"/>
      <c r="N34" s="49"/>
    </row>
    <row r="35" spans="1:14" s="55" customFormat="1" x14ac:dyDescent="0.25">
      <c r="A35" s="49"/>
      <c r="B35" s="63" t="s">
        <v>83</v>
      </c>
      <c r="C35" s="2" t="s">
        <v>100</v>
      </c>
      <c r="D35" s="62" t="s">
        <v>77</v>
      </c>
      <c r="E35" s="62" t="s">
        <v>78</v>
      </c>
      <c r="F35" s="50">
        <v>12927352</v>
      </c>
      <c r="G35" s="56" t="s">
        <v>91</v>
      </c>
      <c r="H35" s="56">
        <v>362</v>
      </c>
      <c r="I35" s="56" t="s">
        <v>89</v>
      </c>
      <c r="J35" s="57"/>
      <c r="K35" s="58"/>
      <c r="L35" s="59">
        <f t="shared" ref="L35:L38" si="0">H35*K35</f>
        <v>0</v>
      </c>
      <c r="M35" s="60"/>
      <c r="N35" s="49"/>
    </row>
    <row r="36" spans="1:14" s="55" customFormat="1" ht="45" x14ac:dyDescent="0.25">
      <c r="A36" s="49"/>
      <c r="B36" s="63" t="s">
        <v>313</v>
      </c>
      <c r="C36" s="2" t="s">
        <v>316</v>
      </c>
      <c r="D36" s="2" t="s">
        <v>317</v>
      </c>
      <c r="E36" s="2" t="s">
        <v>320</v>
      </c>
      <c r="F36" s="56"/>
      <c r="G36" s="56"/>
      <c r="H36" s="56"/>
      <c r="I36" s="56"/>
      <c r="J36" s="56"/>
      <c r="K36" s="64">
        <v>0</v>
      </c>
      <c r="L36" s="59">
        <f t="shared" si="0"/>
        <v>0</v>
      </c>
      <c r="M36" s="65" t="s">
        <v>321</v>
      </c>
      <c r="N36" s="49"/>
    </row>
    <row r="37" spans="1:14" s="55" customFormat="1" ht="45" x14ac:dyDescent="0.25">
      <c r="A37" s="49"/>
      <c r="B37" s="63" t="s">
        <v>314</v>
      </c>
      <c r="C37" s="2" t="s">
        <v>316</v>
      </c>
      <c r="D37" s="2" t="s">
        <v>318</v>
      </c>
      <c r="E37" s="2" t="s">
        <v>320</v>
      </c>
      <c r="F37" s="56"/>
      <c r="G37" s="56"/>
      <c r="H37" s="56"/>
      <c r="I37" s="56"/>
      <c r="J37" s="56"/>
      <c r="K37" s="64">
        <v>0</v>
      </c>
      <c r="L37" s="59">
        <f t="shared" si="0"/>
        <v>0</v>
      </c>
      <c r="M37" s="65" t="s">
        <v>321</v>
      </c>
      <c r="N37" s="49"/>
    </row>
    <row r="38" spans="1:14" s="55" customFormat="1" ht="45.75" thickBot="1" x14ac:dyDescent="0.3">
      <c r="A38" s="49"/>
      <c r="B38" s="63" t="s">
        <v>315</v>
      </c>
      <c r="C38" s="2" t="s">
        <v>316</v>
      </c>
      <c r="D38" s="2" t="s">
        <v>319</v>
      </c>
      <c r="E38" s="2" t="s">
        <v>320</v>
      </c>
      <c r="F38" s="56"/>
      <c r="G38" s="56"/>
      <c r="H38" s="56"/>
      <c r="I38" s="56"/>
      <c r="J38" s="56"/>
      <c r="K38" s="64">
        <v>0</v>
      </c>
      <c r="L38" s="59">
        <f t="shared" si="0"/>
        <v>0</v>
      </c>
      <c r="M38" s="65" t="s">
        <v>321</v>
      </c>
      <c r="N38" s="49"/>
    </row>
    <row r="39" spans="1:14" ht="15.75" thickBot="1" x14ac:dyDescent="0.3">
      <c r="B39" s="133" t="s">
        <v>33</v>
      </c>
      <c r="C39" s="134"/>
      <c r="D39" s="134"/>
      <c r="E39" s="134"/>
      <c r="F39" s="134"/>
      <c r="G39" s="134"/>
      <c r="H39" s="134"/>
      <c r="I39" s="134"/>
      <c r="J39" s="134"/>
      <c r="K39" s="134"/>
      <c r="L39" s="135">
        <f>SUM(L34:L38)</f>
        <v>0</v>
      </c>
      <c r="M39" s="136"/>
    </row>
    <row r="40" spans="1:14" ht="15.75" thickBot="1" x14ac:dyDescent="0.3">
      <c r="B40" s="137"/>
      <c r="C40" s="138"/>
      <c r="D40" s="138"/>
      <c r="E40" s="138"/>
      <c r="F40" s="138"/>
      <c r="G40" s="138"/>
      <c r="H40" s="138"/>
      <c r="I40" s="138"/>
      <c r="J40" s="138"/>
      <c r="K40" s="138"/>
      <c r="L40" s="138"/>
      <c r="M40" s="139"/>
    </row>
    <row r="41" spans="1:14" ht="17.25" customHeight="1" x14ac:dyDescent="0.25">
      <c r="B41" s="128" t="s">
        <v>48</v>
      </c>
      <c r="C41" s="37" t="s">
        <v>56</v>
      </c>
      <c r="D41" s="179" t="s">
        <v>93</v>
      </c>
      <c r="E41" s="180"/>
      <c r="F41" s="180"/>
      <c r="G41" s="180"/>
      <c r="H41" s="180"/>
      <c r="I41" s="180"/>
      <c r="J41" s="180"/>
      <c r="K41" s="180"/>
      <c r="L41" s="180"/>
      <c r="M41" s="181"/>
      <c r="N41" s="6"/>
    </row>
    <row r="42" spans="1:14" ht="24" customHeight="1" x14ac:dyDescent="0.25">
      <c r="B42" s="129"/>
      <c r="C42" s="18" t="s">
        <v>57</v>
      </c>
      <c r="D42" s="171" t="s">
        <v>92</v>
      </c>
      <c r="E42" s="172"/>
      <c r="F42" s="172"/>
      <c r="G42" s="172"/>
      <c r="H42" s="172"/>
      <c r="I42" s="172"/>
      <c r="J42" s="172"/>
      <c r="K42" s="172"/>
      <c r="L42" s="172"/>
      <c r="M42" s="173"/>
    </row>
    <row r="43" spans="1:14" x14ac:dyDescent="0.25">
      <c r="B43" s="129"/>
      <c r="C43" s="18" t="s">
        <v>58</v>
      </c>
      <c r="D43" s="141" t="s">
        <v>94</v>
      </c>
      <c r="E43" s="141"/>
      <c r="F43" s="141"/>
      <c r="G43" s="141"/>
      <c r="H43" s="141"/>
      <c r="I43" s="141"/>
      <c r="J43" s="141"/>
      <c r="K43" s="141"/>
      <c r="L43" s="141"/>
      <c r="M43" s="142"/>
    </row>
    <row r="44" spans="1:14" x14ac:dyDescent="0.25">
      <c r="B44" s="129"/>
      <c r="C44" s="174" t="s">
        <v>68</v>
      </c>
      <c r="D44" s="171" t="s">
        <v>49</v>
      </c>
      <c r="E44" s="122"/>
      <c r="F44" s="122"/>
      <c r="G44" s="122"/>
      <c r="H44" s="122"/>
      <c r="I44" s="122"/>
      <c r="J44" s="122"/>
      <c r="K44" s="122"/>
      <c r="L44" s="122"/>
      <c r="M44" s="123"/>
    </row>
    <row r="45" spans="1:14" ht="15.75" thickBot="1" x14ac:dyDescent="0.3">
      <c r="B45" s="130"/>
      <c r="C45" s="175"/>
      <c r="D45" s="176"/>
      <c r="E45" s="177"/>
      <c r="F45" s="177"/>
      <c r="G45" s="177"/>
      <c r="H45" s="177"/>
      <c r="I45" s="177"/>
      <c r="J45" s="177"/>
      <c r="K45" s="177"/>
      <c r="L45" s="177"/>
      <c r="M45" s="178"/>
    </row>
    <row r="46" spans="1:14" ht="15.75" thickBot="1" x14ac:dyDescent="0.3">
      <c r="B46" s="187"/>
      <c r="C46" s="108"/>
      <c r="D46" s="108"/>
      <c r="E46" s="108"/>
      <c r="F46" s="108"/>
      <c r="G46" s="108"/>
      <c r="H46" s="108"/>
      <c r="I46" s="108"/>
      <c r="J46" s="108"/>
      <c r="K46" s="108"/>
      <c r="L46" s="108"/>
      <c r="M46" s="188"/>
    </row>
    <row r="47" spans="1:14" x14ac:dyDescent="0.25">
      <c r="B47" s="182" t="s">
        <v>95</v>
      </c>
      <c r="C47" s="184" t="s">
        <v>96</v>
      </c>
      <c r="D47" s="186" t="s">
        <v>60</v>
      </c>
      <c r="E47" s="163"/>
      <c r="F47" s="163"/>
      <c r="G47" s="163"/>
      <c r="H47" s="163"/>
      <c r="I47" s="163"/>
      <c r="J47" s="163"/>
      <c r="K47" s="163"/>
      <c r="L47" s="163"/>
      <c r="M47" s="164"/>
    </row>
    <row r="48" spans="1:14" ht="15.75" thickBot="1" x14ac:dyDescent="0.3">
      <c r="B48" s="183"/>
      <c r="C48" s="185"/>
      <c r="D48" s="176" t="s">
        <v>59</v>
      </c>
      <c r="E48" s="177"/>
      <c r="F48" s="177"/>
      <c r="G48" s="177"/>
      <c r="H48" s="177"/>
      <c r="I48" s="177"/>
      <c r="J48" s="177"/>
      <c r="K48" s="177"/>
      <c r="L48" s="177"/>
      <c r="M48" s="178"/>
    </row>
    <row r="49" spans="2:13" ht="15.75" thickBot="1" x14ac:dyDescent="0.3">
      <c r="B49" s="155"/>
      <c r="C49" s="156"/>
      <c r="D49" s="157"/>
      <c r="E49" s="157"/>
      <c r="F49" s="157"/>
      <c r="G49" s="157"/>
      <c r="H49" s="157"/>
      <c r="I49" s="157"/>
      <c r="J49" s="157"/>
      <c r="K49" s="157"/>
      <c r="L49" s="157"/>
      <c r="M49" s="158"/>
    </row>
    <row r="50" spans="2:13" x14ac:dyDescent="0.25">
      <c r="B50" s="159" t="s">
        <v>25</v>
      </c>
      <c r="C50" s="27" t="s">
        <v>55</v>
      </c>
      <c r="D50" s="162" t="s">
        <v>97</v>
      </c>
      <c r="E50" s="163"/>
      <c r="F50" s="163"/>
      <c r="G50" s="163"/>
      <c r="H50" s="163"/>
      <c r="I50" s="163"/>
      <c r="J50" s="163"/>
      <c r="K50" s="163"/>
      <c r="L50" s="163"/>
      <c r="M50" s="164"/>
    </row>
    <row r="51" spans="2:13" ht="14.45" customHeight="1" x14ac:dyDescent="0.25">
      <c r="B51" s="160"/>
      <c r="C51" s="28" t="s">
        <v>28</v>
      </c>
      <c r="D51" s="165" t="s">
        <v>62</v>
      </c>
      <c r="E51" s="166"/>
      <c r="F51" s="166"/>
      <c r="G51" s="166"/>
      <c r="H51" s="166"/>
      <c r="I51" s="166"/>
      <c r="J51" s="166"/>
      <c r="K51" s="166"/>
      <c r="L51" s="166"/>
      <c r="M51" s="167"/>
    </row>
    <row r="52" spans="2:13" x14ac:dyDescent="0.25">
      <c r="B52" s="160"/>
      <c r="C52" s="29" t="s">
        <v>26</v>
      </c>
      <c r="D52" s="168" t="s">
        <v>27</v>
      </c>
      <c r="E52" s="169"/>
      <c r="F52" s="169"/>
      <c r="G52" s="169"/>
      <c r="H52" s="169"/>
      <c r="I52" s="169"/>
      <c r="J52" s="169"/>
      <c r="K52" s="169"/>
      <c r="L52" s="169"/>
      <c r="M52" s="170"/>
    </row>
    <row r="53" spans="2:13" ht="46.5" customHeight="1" thickBot="1" x14ac:dyDescent="0.3">
      <c r="B53" s="161"/>
      <c r="C53" s="30" t="s">
        <v>40</v>
      </c>
      <c r="D53" s="149" t="s">
        <v>54</v>
      </c>
      <c r="E53" s="150"/>
      <c r="F53" s="150"/>
      <c r="G53" s="150"/>
      <c r="H53" s="150"/>
      <c r="I53" s="151"/>
      <c r="J53" s="152" t="s">
        <v>98</v>
      </c>
      <c r="K53" s="153"/>
      <c r="L53" s="153"/>
      <c r="M53" s="154"/>
    </row>
    <row r="54" spans="2:13" s="5" customFormat="1" ht="15.75" thickBot="1" x14ac:dyDescent="0.3"/>
    <row r="55" spans="2:13" x14ac:dyDescent="0.25">
      <c r="B55" s="5"/>
      <c r="C55" s="5"/>
      <c r="D55" s="5"/>
      <c r="E55" s="10"/>
      <c r="F55" s="11"/>
      <c r="G55" s="11"/>
      <c r="H55" s="12"/>
      <c r="I55" s="5"/>
      <c r="J55" s="5"/>
      <c r="K55" s="5"/>
      <c r="L55" s="5"/>
      <c r="M55" s="5"/>
    </row>
    <row r="56" spans="2:13" x14ac:dyDescent="0.25">
      <c r="B56" s="5"/>
      <c r="C56" s="5"/>
      <c r="D56" s="5"/>
      <c r="E56" s="13"/>
      <c r="F56" s="5"/>
      <c r="G56" s="5"/>
      <c r="H56" s="14"/>
      <c r="I56" s="5"/>
      <c r="J56" s="5"/>
      <c r="K56" s="5"/>
      <c r="L56" s="5"/>
      <c r="M56" s="5"/>
    </row>
    <row r="57" spans="2:13" x14ac:dyDescent="0.25">
      <c r="B57" s="5"/>
      <c r="C57" s="5"/>
      <c r="D57" s="5"/>
      <c r="E57" s="13"/>
      <c r="F57" s="5"/>
      <c r="G57" s="5"/>
      <c r="H57" s="14"/>
      <c r="I57" s="5"/>
      <c r="J57" s="5"/>
      <c r="K57" s="5"/>
      <c r="L57" s="5"/>
      <c r="M57" s="5"/>
    </row>
    <row r="58" spans="2:13" x14ac:dyDescent="0.25">
      <c r="B58" s="5"/>
      <c r="C58" s="5"/>
      <c r="D58" s="5"/>
      <c r="E58" s="13"/>
      <c r="F58" s="5"/>
      <c r="G58" s="5"/>
      <c r="H58" s="14"/>
      <c r="I58" s="5"/>
      <c r="J58" s="5"/>
      <c r="K58" s="5"/>
      <c r="L58" s="5"/>
      <c r="M58" s="5"/>
    </row>
    <row r="59" spans="2:13" x14ac:dyDescent="0.25">
      <c r="B59" s="5"/>
      <c r="C59" s="5"/>
      <c r="D59" s="5"/>
      <c r="E59" s="13"/>
      <c r="F59" s="5"/>
      <c r="G59" s="5"/>
      <c r="H59" s="14"/>
      <c r="I59" s="5"/>
      <c r="J59" s="5"/>
      <c r="K59" s="5"/>
      <c r="L59" s="5"/>
      <c r="M59" s="5"/>
    </row>
    <row r="60" spans="2:13" x14ac:dyDescent="0.25">
      <c r="B60" s="5"/>
      <c r="C60" s="5"/>
      <c r="D60" s="5"/>
      <c r="E60" s="13"/>
      <c r="F60" s="5"/>
      <c r="G60" s="5"/>
      <c r="H60" s="14"/>
      <c r="I60" s="5"/>
      <c r="J60" s="5"/>
      <c r="K60" s="5"/>
      <c r="L60" s="5"/>
      <c r="M60" s="5"/>
    </row>
    <row r="61" spans="2:13" x14ac:dyDescent="0.25">
      <c r="B61" s="5"/>
      <c r="C61" s="5"/>
      <c r="D61" s="5"/>
      <c r="E61" s="13"/>
      <c r="F61" s="5"/>
      <c r="G61" s="5"/>
      <c r="H61" s="14"/>
      <c r="I61" s="5"/>
      <c r="J61" s="5"/>
      <c r="K61" s="5"/>
      <c r="L61" s="5"/>
      <c r="M61" s="5"/>
    </row>
    <row r="62" spans="2:13" x14ac:dyDescent="0.25">
      <c r="B62" s="5"/>
      <c r="C62" s="5"/>
      <c r="D62" s="5"/>
      <c r="E62" s="13"/>
      <c r="F62" s="5"/>
      <c r="G62" s="5"/>
      <c r="H62" s="14"/>
      <c r="I62" s="5"/>
      <c r="J62" s="5"/>
      <c r="K62" s="5"/>
      <c r="L62" s="5"/>
      <c r="M62" s="5"/>
    </row>
    <row r="63" spans="2:13" x14ac:dyDescent="0.25">
      <c r="B63" s="5"/>
      <c r="C63" s="5"/>
      <c r="D63" s="5"/>
      <c r="E63" s="13"/>
      <c r="F63" s="5"/>
      <c r="G63" s="5"/>
      <c r="H63" s="14"/>
      <c r="I63" s="5"/>
      <c r="J63" s="5"/>
      <c r="K63" s="5"/>
      <c r="L63" s="5"/>
      <c r="M63" s="5"/>
    </row>
    <row r="64" spans="2:13" ht="15.75" thickBot="1" x14ac:dyDescent="0.3">
      <c r="B64" s="5"/>
      <c r="C64" s="5"/>
      <c r="D64" s="5"/>
      <c r="E64" s="13"/>
      <c r="F64" s="5"/>
      <c r="G64" s="5"/>
      <c r="H64" s="14"/>
      <c r="I64" s="5"/>
      <c r="J64" s="5"/>
      <c r="K64" s="5"/>
      <c r="L64" s="5"/>
      <c r="M64" s="5"/>
    </row>
    <row r="65" spans="2:13" ht="15.75" thickBot="1" x14ac:dyDescent="0.3">
      <c r="B65" s="5"/>
      <c r="C65" s="5"/>
      <c r="E65" s="22" t="s">
        <v>50</v>
      </c>
      <c r="F65" s="23"/>
      <c r="G65" s="24" t="s">
        <v>51</v>
      </c>
      <c r="H65" s="25"/>
      <c r="J65" s="5"/>
      <c r="K65" s="5"/>
      <c r="L65" s="5"/>
      <c r="M65" s="5"/>
    </row>
    <row r="66" spans="2:13" x14ac:dyDescent="0.25">
      <c r="B66" s="5"/>
      <c r="C66" s="5"/>
      <c r="D66" s="5"/>
      <c r="E66" s="5"/>
      <c r="F66" s="5"/>
      <c r="G66" s="5"/>
      <c r="H66" s="5"/>
      <c r="I66" s="5"/>
      <c r="J66" s="5"/>
      <c r="K66" s="5"/>
      <c r="L66" s="5"/>
      <c r="M66" s="5"/>
    </row>
    <row r="67" spans="2:13" x14ac:dyDescent="0.25">
      <c r="B67" s="5"/>
      <c r="C67" s="5"/>
      <c r="D67" s="5"/>
      <c r="E67" s="5"/>
      <c r="F67" s="5"/>
      <c r="G67" s="5"/>
      <c r="H67" s="5"/>
      <c r="I67" s="5"/>
      <c r="J67" s="5"/>
      <c r="K67" s="5"/>
      <c r="L67" s="5"/>
      <c r="M67" s="5"/>
    </row>
    <row r="68" spans="2:13" x14ac:dyDescent="0.25">
      <c r="B68" s="5"/>
      <c r="C68" s="5"/>
      <c r="D68" s="5"/>
      <c r="E68" s="5"/>
      <c r="F68" s="5"/>
      <c r="G68" s="5"/>
      <c r="H68" s="5"/>
      <c r="I68" s="5"/>
      <c r="J68" s="5"/>
      <c r="K68" s="5"/>
      <c r="L68" s="5"/>
      <c r="M68" s="5"/>
    </row>
    <row r="69" spans="2:13" x14ac:dyDescent="0.25">
      <c r="B69" s="5"/>
      <c r="C69" s="5"/>
      <c r="D69" s="5"/>
      <c r="E69" s="5"/>
      <c r="F69" s="5"/>
      <c r="G69" s="5"/>
      <c r="H69" s="5"/>
      <c r="I69" s="5"/>
      <c r="J69" s="5"/>
      <c r="K69" s="5"/>
      <c r="L69" s="5"/>
      <c r="M69" s="5"/>
    </row>
    <row r="70" spans="2:13" x14ac:dyDescent="0.25">
      <c r="B70" s="5"/>
      <c r="C70" s="5"/>
      <c r="D70" s="5"/>
      <c r="E70" s="5"/>
      <c r="F70" s="5"/>
      <c r="G70" s="5"/>
      <c r="H70" s="5"/>
      <c r="I70" s="5"/>
      <c r="J70" s="5"/>
      <c r="K70" s="5"/>
      <c r="L70" s="5"/>
      <c r="M70" s="5"/>
    </row>
    <row r="71" spans="2:13" x14ac:dyDescent="0.25">
      <c r="B71" s="5"/>
      <c r="C71" s="5"/>
      <c r="D71" s="5"/>
      <c r="E71" s="5"/>
      <c r="F71" s="5"/>
      <c r="G71" s="5"/>
      <c r="H71" s="5"/>
      <c r="I71" s="5"/>
      <c r="J71" s="5"/>
      <c r="K71" s="5"/>
      <c r="L71" s="5"/>
      <c r="M71" s="5"/>
    </row>
    <row r="72" spans="2:13" x14ac:dyDescent="0.25">
      <c r="B72" s="5"/>
      <c r="C72" s="5"/>
      <c r="D72" s="5"/>
      <c r="E72" s="5"/>
      <c r="F72" s="5"/>
      <c r="G72" s="5"/>
      <c r="H72" s="5"/>
      <c r="I72" s="5"/>
      <c r="J72" s="5"/>
      <c r="K72" s="5"/>
      <c r="L72" s="5"/>
      <c r="M72" s="5"/>
    </row>
    <row r="73" spans="2:13" x14ac:dyDescent="0.25">
      <c r="B73" s="5"/>
      <c r="C73" s="5"/>
      <c r="D73" s="5"/>
      <c r="E73" s="5"/>
      <c r="F73" s="5"/>
      <c r="G73" s="5"/>
      <c r="H73" s="5"/>
      <c r="I73" s="5"/>
      <c r="J73" s="5"/>
      <c r="K73" s="5"/>
      <c r="L73" s="5"/>
      <c r="M73" s="5"/>
    </row>
    <row r="74" spans="2:13" x14ac:dyDescent="0.25">
      <c r="B74" s="5"/>
      <c r="C74" s="5"/>
      <c r="D74" s="5"/>
      <c r="E74" s="5"/>
      <c r="F74" s="5"/>
      <c r="G74" s="5"/>
      <c r="H74" s="5"/>
      <c r="I74" s="5"/>
      <c r="J74" s="5"/>
      <c r="K74" s="5"/>
      <c r="L74" s="5"/>
      <c r="M74" s="5"/>
    </row>
    <row r="75" spans="2:13" x14ac:dyDescent="0.25">
      <c r="B75" s="5"/>
      <c r="C75" s="5"/>
      <c r="D75" s="5"/>
      <c r="E75" s="5"/>
      <c r="F75" s="5"/>
      <c r="G75" s="5"/>
      <c r="H75" s="5"/>
      <c r="I75" s="5"/>
      <c r="J75" s="5"/>
      <c r="K75" s="5"/>
      <c r="L75" s="5"/>
      <c r="M75" s="5"/>
    </row>
    <row r="76" spans="2:13" x14ac:dyDescent="0.25">
      <c r="B76" s="5"/>
      <c r="C76" s="5"/>
      <c r="D76" s="5"/>
      <c r="E76" s="5"/>
      <c r="F76" s="5"/>
      <c r="G76" s="5"/>
      <c r="H76" s="5"/>
      <c r="I76" s="5"/>
      <c r="J76" s="5"/>
      <c r="K76" s="5"/>
      <c r="L76" s="5"/>
      <c r="M76" s="5"/>
    </row>
    <row r="77" spans="2:13" x14ac:dyDescent="0.25">
      <c r="B77" s="5"/>
      <c r="C77" s="5"/>
      <c r="D77" s="5"/>
      <c r="E77" s="5"/>
      <c r="F77" s="5"/>
      <c r="G77" s="5"/>
      <c r="H77" s="5"/>
      <c r="I77" s="5"/>
      <c r="J77" s="5"/>
      <c r="K77" s="5"/>
      <c r="L77" s="5"/>
      <c r="M77" s="5"/>
    </row>
    <row r="78" spans="2:13" x14ac:dyDescent="0.25">
      <c r="B78" s="5"/>
      <c r="C78" s="5"/>
      <c r="D78" s="5"/>
      <c r="E78" s="5"/>
      <c r="F78" s="5"/>
      <c r="G78" s="5"/>
      <c r="H78" s="5"/>
      <c r="I78" s="5"/>
      <c r="J78" s="5"/>
      <c r="K78" s="5"/>
      <c r="L78" s="5"/>
      <c r="M78" s="5"/>
    </row>
  </sheetData>
  <mergeCells count="64">
    <mergeCell ref="B47:B48"/>
    <mergeCell ref="D43:M43"/>
    <mergeCell ref="C47:C48"/>
    <mergeCell ref="D47:M47"/>
    <mergeCell ref="D48:M48"/>
    <mergeCell ref="B46:M46"/>
    <mergeCell ref="D42:M42"/>
    <mergeCell ref="C44:C45"/>
    <mergeCell ref="D44:M45"/>
    <mergeCell ref="D41:M41"/>
    <mergeCell ref="B41:B45"/>
    <mergeCell ref="D53:I53"/>
    <mergeCell ref="J53:M53"/>
    <mergeCell ref="B49:M49"/>
    <mergeCell ref="B50:B53"/>
    <mergeCell ref="D50:M50"/>
    <mergeCell ref="D51:M51"/>
    <mergeCell ref="D52:M52"/>
    <mergeCell ref="D17:M17"/>
    <mergeCell ref="B39:K39"/>
    <mergeCell ref="L39:M39"/>
    <mergeCell ref="B31:M31"/>
    <mergeCell ref="B40:M40"/>
    <mergeCell ref="D19:M19"/>
    <mergeCell ref="D24:M24"/>
    <mergeCell ref="D30:M30"/>
    <mergeCell ref="B32:M32"/>
    <mergeCell ref="C13:M13"/>
    <mergeCell ref="C14:M14"/>
    <mergeCell ref="C15:M15"/>
    <mergeCell ref="D29:M29"/>
    <mergeCell ref="D18:M18"/>
    <mergeCell ref="D20:M20"/>
    <mergeCell ref="D21:M21"/>
    <mergeCell ref="D22:M22"/>
    <mergeCell ref="D23:M23"/>
    <mergeCell ref="D25:M25"/>
    <mergeCell ref="D26:M26"/>
    <mergeCell ref="B16:M16"/>
    <mergeCell ref="D27:M27"/>
    <mergeCell ref="D28:M28"/>
    <mergeCell ref="B13:B15"/>
    <mergeCell ref="B17:B30"/>
    <mergeCell ref="C10:H10"/>
    <mergeCell ref="B12:M12"/>
    <mergeCell ref="J9:M9"/>
    <mergeCell ref="J10:M10"/>
    <mergeCell ref="J11:M11"/>
    <mergeCell ref="B1:M2"/>
    <mergeCell ref="C6:H6"/>
    <mergeCell ref="C7:H7"/>
    <mergeCell ref="C5:H5"/>
    <mergeCell ref="L3:M3"/>
    <mergeCell ref="B6:B11"/>
    <mergeCell ref="C8:H8"/>
    <mergeCell ref="C9:H9"/>
    <mergeCell ref="C11:H11"/>
    <mergeCell ref="B4:M4"/>
    <mergeCell ref="J5:M5"/>
    <mergeCell ref="J6:M6"/>
    <mergeCell ref="G3:J3"/>
    <mergeCell ref="C3:E3"/>
    <mergeCell ref="J7:M7"/>
    <mergeCell ref="J8:M8"/>
  </mergeCells>
  <phoneticPr fontId="10" type="noConversion"/>
  <hyperlinks>
    <hyperlink ref="C6" r:id="rId1" xr:uid="{37551DAF-F995-4BE7-A6CE-65D887D28027}"/>
  </hyperlinks>
  <pageMargins left="0.7" right="0.7" top="0.75" bottom="0.75" header="0.3" footer="0.3"/>
  <pageSetup orientation="portrait" verticalDpi="597"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5E7-FF09-4E73-AC61-65B809C2319F}">
  <dimension ref="A1:G92"/>
  <sheetViews>
    <sheetView tabSelected="1" workbookViewId="0">
      <selection activeCell="H13" sqref="H13"/>
    </sheetView>
  </sheetViews>
  <sheetFormatPr defaultRowHeight="15" x14ac:dyDescent="0.25"/>
  <cols>
    <col min="1" max="1" width="4.5703125" style="3" customWidth="1"/>
    <col min="2" max="2" width="16.28515625" style="36" customWidth="1"/>
    <col min="3" max="3" width="14" style="43" customWidth="1"/>
    <col min="4" max="4" width="83.140625" style="2" bestFit="1" customWidth="1"/>
    <col min="5" max="5" width="46" style="46" customWidth="1"/>
    <col min="6" max="6" width="39.7109375" style="1" customWidth="1"/>
    <col min="7" max="7" width="6.28515625" style="3" customWidth="1"/>
    <col min="8" max="16384" width="9.140625" style="4"/>
  </cols>
  <sheetData>
    <row r="1" spans="2:6" ht="18" customHeight="1" thickBot="1" x14ac:dyDescent="0.3">
      <c r="B1" s="189" t="s">
        <v>61</v>
      </c>
      <c r="C1" s="190"/>
      <c r="D1" s="191"/>
      <c r="E1" s="192"/>
      <c r="F1" s="193"/>
    </row>
    <row r="2" spans="2:6" x14ac:dyDescent="0.25">
      <c r="B2" s="33" t="s">
        <v>63</v>
      </c>
      <c r="C2" s="41" t="s">
        <v>73</v>
      </c>
      <c r="D2" s="47" t="s">
        <v>64</v>
      </c>
      <c r="E2" s="44" t="s">
        <v>74</v>
      </c>
      <c r="F2" s="26" t="s">
        <v>65</v>
      </c>
    </row>
    <row r="3" spans="2:6" x14ac:dyDescent="0.25">
      <c r="B3" s="34" t="s">
        <v>168</v>
      </c>
      <c r="C3" s="42" t="s">
        <v>169</v>
      </c>
      <c r="D3" s="67" t="s">
        <v>170</v>
      </c>
      <c r="E3" s="45" t="s">
        <v>104</v>
      </c>
      <c r="F3" s="35"/>
    </row>
    <row r="4" spans="2:6" x14ac:dyDescent="0.25">
      <c r="B4" s="36" t="s">
        <v>171</v>
      </c>
      <c r="C4" s="43" t="s">
        <v>172</v>
      </c>
      <c r="D4" s="2" t="s">
        <v>173</v>
      </c>
      <c r="E4" s="46" t="s">
        <v>104</v>
      </c>
    </row>
    <row r="5" spans="2:6" ht="30" x14ac:dyDescent="0.25">
      <c r="B5" s="36" t="s">
        <v>256</v>
      </c>
      <c r="C5" s="43" t="s">
        <v>257</v>
      </c>
      <c r="D5" s="2" t="s">
        <v>258</v>
      </c>
      <c r="E5" s="46" t="s">
        <v>104</v>
      </c>
    </row>
    <row r="6" spans="2:6" x14ac:dyDescent="0.25">
      <c r="B6" s="36" t="s">
        <v>157</v>
      </c>
      <c r="C6" s="43" t="s">
        <v>158</v>
      </c>
      <c r="D6" s="2" t="s">
        <v>159</v>
      </c>
      <c r="E6" s="46" t="s">
        <v>104</v>
      </c>
    </row>
    <row r="7" spans="2:6" x14ac:dyDescent="0.25">
      <c r="B7" s="36" t="s">
        <v>160</v>
      </c>
      <c r="C7" s="43" t="s">
        <v>161</v>
      </c>
      <c r="D7" s="2" t="s">
        <v>162</v>
      </c>
      <c r="E7" s="46" t="s">
        <v>104</v>
      </c>
    </row>
    <row r="8" spans="2:6" x14ac:dyDescent="0.25">
      <c r="B8" s="36" t="s">
        <v>264</v>
      </c>
      <c r="C8" s="43" t="s">
        <v>265</v>
      </c>
      <c r="D8" s="2" t="s">
        <v>266</v>
      </c>
      <c r="E8" s="46" t="s">
        <v>104</v>
      </c>
    </row>
    <row r="9" spans="2:6" ht="30" x14ac:dyDescent="0.25">
      <c r="B9" s="36" t="s">
        <v>259</v>
      </c>
      <c r="C9" s="43" t="s">
        <v>158</v>
      </c>
      <c r="D9" s="2" t="s">
        <v>260</v>
      </c>
      <c r="E9" s="46" t="s">
        <v>104</v>
      </c>
    </row>
    <row r="10" spans="2:6" ht="30" x14ac:dyDescent="0.25">
      <c r="B10" s="36" t="s">
        <v>179</v>
      </c>
      <c r="C10" s="43" t="s">
        <v>180</v>
      </c>
      <c r="D10" s="2" t="s">
        <v>181</v>
      </c>
      <c r="E10" s="46" t="s">
        <v>104</v>
      </c>
    </row>
    <row r="11" spans="2:6" ht="30" x14ac:dyDescent="0.25">
      <c r="B11" s="36" t="s">
        <v>177</v>
      </c>
      <c r="C11" s="43" t="s">
        <v>115</v>
      </c>
      <c r="D11" s="2" t="s">
        <v>178</v>
      </c>
      <c r="E11" s="46" t="s">
        <v>104</v>
      </c>
    </row>
    <row r="12" spans="2:6" ht="30" x14ac:dyDescent="0.25">
      <c r="B12" s="36" t="s">
        <v>267</v>
      </c>
      <c r="C12" s="43" t="s">
        <v>268</v>
      </c>
      <c r="D12" s="2" t="s">
        <v>269</v>
      </c>
    </row>
    <row r="13" spans="2:6" ht="30" x14ac:dyDescent="0.25">
      <c r="B13" s="36" t="s">
        <v>182</v>
      </c>
      <c r="C13" s="43" t="s">
        <v>115</v>
      </c>
      <c r="D13" s="2" t="s">
        <v>183</v>
      </c>
      <c r="E13" s="46" t="s">
        <v>104</v>
      </c>
    </row>
    <row r="14" spans="2:6" x14ac:dyDescent="0.25">
      <c r="B14" s="36" t="s">
        <v>283</v>
      </c>
      <c r="C14" s="43" t="s">
        <v>152</v>
      </c>
      <c r="D14" s="2" t="s">
        <v>284</v>
      </c>
      <c r="E14" s="46" t="s">
        <v>104</v>
      </c>
    </row>
    <row r="15" spans="2:6" x14ac:dyDescent="0.25">
      <c r="B15" s="36" t="s">
        <v>184</v>
      </c>
      <c r="C15" s="43" t="s">
        <v>152</v>
      </c>
      <c r="D15" s="2" t="s">
        <v>185</v>
      </c>
      <c r="E15" s="46" t="s">
        <v>104</v>
      </c>
    </row>
    <row r="16" spans="2:6" x14ac:dyDescent="0.25">
      <c r="B16" s="36" t="s">
        <v>114</v>
      </c>
      <c r="C16" s="43" t="s">
        <v>115</v>
      </c>
      <c r="D16" s="2" t="s">
        <v>116</v>
      </c>
      <c r="E16" s="46" t="s">
        <v>104</v>
      </c>
    </row>
    <row r="17" spans="2:5" x14ac:dyDescent="0.25">
      <c r="B17" s="36" t="s">
        <v>111</v>
      </c>
      <c r="C17" s="43" t="s">
        <v>112</v>
      </c>
      <c r="D17" s="2" t="s">
        <v>113</v>
      </c>
    </row>
    <row r="18" spans="2:5" ht="30" x14ac:dyDescent="0.25">
      <c r="B18" s="36" t="s">
        <v>281</v>
      </c>
      <c r="C18" s="43" t="s">
        <v>115</v>
      </c>
      <c r="D18" s="2" t="s">
        <v>282</v>
      </c>
      <c r="E18" s="46" t="s">
        <v>104</v>
      </c>
    </row>
    <row r="19" spans="2:5" x14ac:dyDescent="0.25">
      <c r="B19" s="36" t="s">
        <v>101</v>
      </c>
      <c r="C19" s="43" t="s">
        <v>102</v>
      </c>
      <c r="D19" s="2" t="s">
        <v>103</v>
      </c>
      <c r="E19" s="46" t="s">
        <v>104</v>
      </c>
    </row>
    <row r="20" spans="2:5" x14ac:dyDescent="0.25">
      <c r="B20" s="36" t="s">
        <v>174</v>
      </c>
      <c r="C20" s="43" t="s">
        <v>175</v>
      </c>
      <c r="D20" s="2" t="s">
        <v>176</v>
      </c>
      <c r="E20" s="46" t="s">
        <v>104</v>
      </c>
    </row>
    <row r="21" spans="2:5" ht="30" x14ac:dyDescent="0.25">
      <c r="B21" s="36" t="s">
        <v>261</v>
      </c>
      <c r="C21" s="43" t="s">
        <v>262</v>
      </c>
      <c r="D21" s="2" t="s">
        <v>263</v>
      </c>
    </row>
    <row r="22" spans="2:5" ht="30" x14ac:dyDescent="0.25">
      <c r="B22" s="36" t="s">
        <v>186</v>
      </c>
      <c r="C22" s="43" t="s">
        <v>115</v>
      </c>
      <c r="D22" s="2" t="s">
        <v>187</v>
      </c>
      <c r="E22" s="46" t="s">
        <v>104</v>
      </c>
    </row>
    <row r="23" spans="2:5" ht="30" x14ac:dyDescent="0.25">
      <c r="B23" s="36" t="s">
        <v>270</v>
      </c>
      <c r="C23" s="43" t="s">
        <v>271</v>
      </c>
      <c r="D23" s="2" t="s">
        <v>272</v>
      </c>
    </row>
    <row r="24" spans="2:5" ht="30" x14ac:dyDescent="0.25">
      <c r="B24" s="36" t="s">
        <v>127</v>
      </c>
      <c r="C24" s="43" t="s">
        <v>128</v>
      </c>
      <c r="D24" s="2" t="s">
        <v>129</v>
      </c>
    </row>
    <row r="25" spans="2:5" ht="30" x14ac:dyDescent="0.25">
      <c r="B25" s="36" t="s">
        <v>130</v>
      </c>
      <c r="C25" s="43" t="s">
        <v>131</v>
      </c>
      <c r="D25" s="2" t="s">
        <v>132</v>
      </c>
    </row>
    <row r="26" spans="2:5" x14ac:dyDescent="0.25">
      <c r="B26" s="36" t="s">
        <v>133</v>
      </c>
      <c r="C26" s="43" t="s">
        <v>115</v>
      </c>
      <c r="D26" s="2" t="s">
        <v>134</v>
      </c>
    </row>
    <row r="27" spans="2:5" ht="30" x14ac:dyDescent="0.25">
      <c r="B27" s="36" t="s">
        <v>135</v>
      </c>
      <c r="C27" s="43" t="s">
        <v>131</v>
      </c>
      <c r="D27" s="2" t="s">
        <v>136</v>
      </c>
    </row>
    <row r="28" spans="2:5" x14ac:dyDescent="0.25">
      <c r="B28" s="36" t="s">
        <v>137</v>
      </c>
      <c r="C28" s="43" t="s">
        <v>138</v>
      </c>
      <c r="D28" s="2" t="s">
        <v>139</v>
      </c>
    </row>
    <row r="29" spans="2:5" x14ac:dyDescent="0.25">
      <c r="B29" s="36" t="s">
        <v>253</v>
      </c>
      <c r="C29" s="43" t="s">
        <v>254</v>
      </c>
      <c r="D29" s="2" t="s">
        <v>255</v>
      </c>
    </row>
    <row r="30" spans="2:5" x14ac:dyDescent="0.25">
      <c r="B30" s="36" t="s">
        <v>140</v>
      </c>
      <c r="C30" s="43" t="s">
        <v>141</v>
      </c>
      <c r="D30" s="2" t="s">
        <v>142</v>
      </c>
    </row>
    <row r="31" spans="2:5" x14ac:dyDescent="0.25">
      <c r="B31" s="36" t="s">
        <v>143</v>
      </c>
      <c r="C31" s="43" t="s">
        <v>131</v>
      </c>
      <c r="D31" s="2" t="s">
        <v>144</v>
      </c>
    </row>
    <row r="32" spans="2:5" ht="45" x14ac:dyDescent="0.25">
      <c r="B32" s="36" t="s">
        <v>191</v>
      </c>
      <c r="C32" s="43" t="s">
        <v>189</v>
      </c>
      <c r="D32" s="2" t="s">
        <v>192</v>
      </c>
    </row>
    <row r="33" spans="2:5" ht="30" x14ac:dyDescent="0.25">
      <c r="B33" s="36" t="s">
        <v>193</v>
      </c>
      <c r="C33" s="43" t="s">
        <v>189</v>
      </c>
      <c r="D33" s="2" t="s">
        <v>194</v>
      </c>
    </row>
    <row r="34" spans="2:5" ht="30" x14ac:dyDescent="0.25">
      <c r="B34" s="36" t="s">
        <v>195</v>
      </c>
      <c r="C34" s="43" t="s">
        <v>189</v>
      </c>
      <c r="D34" s="2" t="s">
        <v>196</v>
      </c>
    </row>
    <row r="35" spans="2:5" x14ac:dyDescent="0.25">
      <c r="B35" s="36" t="s">
        <v>197</v>
      </c>
      <c r="C35" s="43" t="s">
        <v>189</v>
      </c>
      <c r="D35" s="2" t="s">
        <v>198</v>
      </c>
    </row>
    <row r="36" spans="2:5" x14ac:dyDescent="0.25">
      <c r="B36" s="36" t="s">
        <v>163</v>
      </c>
      <c r="C36" s="43" t="s">
        <v>149</v>
      </c>
      <c r="D36" s="2" t="s">
        <v>164</v>
      </c>
      <c r="E36" s="46" t="s">
        <v>104</v>
      </c>
    </row>
    <row r="37" spans="2:5" x14ac:dyDescent="0.25">
      <c r="B37" s="36" t="s">
        <v>145</v>
      </c>
      <c r="C37" s="43" t="s">
        <v>146</v>
      </c>
      <c r="D37" s="2" t="s">
        <v>147</v>
      </c>
      <c r="E37" s="46" t="s">
        <v>104</v>
      </c>
    </row>
    <row r="38" spans="2:5" x14ac:dyDescent="0.25">
      <c r="B38" s="36" t="s">
        <v>125</v>
      </c>
      <c r="C38" s="43" t="s">
        <v>115</v>
      </c>
      <c r="D38" s="2" t="s">
        <v>126</v>
      </c>
      <c r="E38" s="46" t="s">
        <v>104</v>
      </c>
    </row>
    <row r="39" spans="2:5" x14ac:dyDescent="0.25">
      <c r="B39" s="36" t="s">
        <v>165</v>
      </c>
      <c r="C39" s="43" t="s">
        <v>166</v>
      </c>
      <c r="D39" s="2" t="s">
        <v>167</v>
      </c>
      <c r="E39" s="46" t="s">
        <v>104</v>
      </c>
    </row>
    <row r="40" spans="2:5" ht="45" x14ac:dyDescent="0.25">
      <c r="B40" s="36" t="s">
        <v>273</v>
      </c>
      <c r="C40" s="43" t="s">
        <v>274</v>
      </c>
      <c r="D40" s="2" t="s">
        <v>275</v>
      </c>
    </row>
    <row r="41" spans="2:5" x14ac:dyDescent="0.25">
      <c r="B41" s="36" t="s">
        <v>188</v>
      </c>
      <c r="C41" s="43" t="s">
        <v>189</v>
      </c>
      <c r="D41" s="2" t="s">
        <v>190</v>
      </c>
      <c r="E41" s="46" t="s">
        <v>104</v>
      </c>
    </row>
    <row r="42" spans="2:5" ht="30" x14ac:dyDescent="0.25">
      <c r="B42" s="36" t="s">
        <v>199</v>
      </c>
      <c r="C42" s="43" t="s">
        <v>189</v>
      </c>
      <c r="D42" s="2" t="s">
        <v>200</v>
      </c>
    </row>
    <row r="43" spans="2:5" x14ac:dyDescent="0.25">
      <c r="B43" s="36" t="s">
        <v>148</v>
      </c>
      <c r="C43" s="43" t="s">
        <v>149</v>
      </c>
      <c r="D43" s="2" t="s">
        <v>150</v>
      </c>
      <c r="E43" s="46" t="s">
        <v>104</v>
      </c>
    </row>
    <row r="44" spans="2:5" x14ac:dyDescent="0.25">
      <c r="B44" s="36" t="s">
        <v>151</v>
      </c>
      <c r="C44" s="43" t="s">
        <v>152</v>
      </c>
      <c r="D44" s="2" t="s">
        <v>153</v>
      </c>
    </row>
    <row r="45" spans="2:5" x14ac:dyDescent="0.25">
      <c r="B45" s="36" t="s">
        <v>154</v>
      </c>
      <c r="C45" s="43" t="s">
        <v>155</v>
      </c>
      <c r="D45" s="2" t="s">
        <v>156</v>
      </c>
      <c r="E45" s="46" t="s">
        <v>104</v>
      </c>
    </row>
    <row r="46" spans="2:5" ht="30" x14ac:dyDescent="0.25">
      <c r="B46" s="36" t="s">
        <v>285</v>
      </c>
      <c r="C46" s="43" t="s">
        <v>286</v>
      </c>
      <c r="D46" s="2" t="s">
        <v>287</v>
      </c>
      <c r="E46" s="46" t="s">
        <v>104</v>
      </c>
    </row>
    <row r="47" spans="2:5" ht="30" x14ac:dyDescent="0.25">
      <c r="B47" s="36" t="s">
        <v>288</v>
      </c>
      <c r="C47" s="43" t="s">
        <v>286</v>
      </c>
      <c r="D47" s="2" t="s">
        <v>289</v>
      </c>
      <c r="E47" s="46" t="s">
        <v>104</v>
      </c>
    </row>
    <row r="48" spans="2:5" ht="30" x14ac:dyDescent="0.25">
      <c r="B48" s="36" t="s">
        <v>224</v>
      </c>
      <c r="C48" s="43" t="s">
        <v>225</v>
      </c>
      <c r="D48" s="2" t="s">
        <v>226</v>
      </c>
      <c r="E48" s="46" t="s">
        <v>104</v>
      </c>
    </row>
    <row r="49" spans="2:5" x14ac:dyDescent="0.25">
      <c r="B49" s="36" t="s">
        <v>219</v>
      </c>
      <c r="C49" s="43" t="s">
        <v>189</v>
      </c>
      <c r="D49" s="2" t="s">
        <v>220</v>
      </c>
      <c r="E49" s="46" t="s">
        <v>104</v>
      </c>
    </row>
    <row r="50" spans="2:5" x14ac:dyDescent="0.25">
      <c r="B50" s="36" t="s">
        <v>248</v>
      </c>
      <c r="C50" s="43" t="s">
        <v>249</v>
      </c>
      <c r="D50" s="2" t="s">
        <v>250</v>
      </c>
      <c r="E50" s="46" t="s">
        <v>104</v>
      </c>
    </row>
    <row r="51" spans="2:5" x14ac:dyDescent="0.25">
      <c r="B51" s="36" t="s">
        <v>297</v>
      </c>
      <c r="C51" s="43" t="s">
        <v>189</v>
      </c>
      <c r="D51" s="2" t="s">
        <v>298</v>
      </c>
      <c r="E51" s="46" t="s">
        <v>104</v>
      </c>
    </row>
    <row r="52" spans="2:5" x14ac:dyDescent="0.25">
      <c r="B52" s="36" t="s">
        <v>233</v>
      </c>
      <c r="C52" s="43" t="s">
        <v>189</v>
      </c>
      <c r="D52" s="2" t="s">
        <v>234</v>
      </c>
      <c r="E52" s="46" t="s">
        <v>104</v>
      </c>
    </row>
    <row r="53" spans="2:5" ht="30" x14ac:dyDescent="0.25">
      <c r="B53" s="36" t="s">
        <v>299</v>
      </c>
      <c r="C53" s="43" t="s">
        <v>204</v>
      </c>
      <c r="D53" s="2" t="s">
        <v>300</v>
      </c>
      <c r="E53" s="46" t="s">
        <v>104</v>
      </c>
    </row>
    <row r="54" spans="2:5" x14ac:dyDescent="0.25">
      <c r="B54" s="36" t="s">
        <v>203</v>
      </c>
      <c r="C54" s="43" t="s">
        <v>204</v>
      </c>
      <c r="D54" s="2" t="s">
        <v>205</v>
      </c>
      <c r="E54" s="46" t="s">
        <v>104</v>
      </c>
    </row>
    <row r="55" spans="2:5" x14ac:dyDescent="0.25">
      <c r="B55" s="36" t="s">
        <v>201</v>
      </c>
      <c r="C55" s="43" t="s">
        <v>189</v>
      </c>
      <c r="D55" s="2" t="s">
        <v>202</v>
      </c>
      <c r="E55" s="46" t="s">
        <v>104</v>
      </c>
    </row>
    <row r="56" spans="2:5" x14ac:dyDescent="0.25">
      <c r="B56" s="36" t="s">
        <v>244</v>
      </c>
      <c r="C56" s="43" t="s">
        <v>189</v>
      </c>
      <c r="D56" s="2" t="s">
        <v>245</v>
      </c>
      <c r="E56" s="46" t="s">
        <v>104</v>
      </c>
    </row>
    <row r="57" spans="2:5" x14ac:dyDescent="0.25">
      <c r="B57" s="36" t="s">
        <v>290</v>
      </c>
      <c r="C57" s="43" t="s">
        <v>291</v>
      </c>
      <c r="D57" s="2" t="s">
        <v>292</v>
      </c>
      <c r="E57" s="46" t="s">
        <v>104</v>
      </c>
    </row>
    <row r="58" spans="2:5" x14ac:dyDescent="0.25">
      <c r="B58" s="36" t="s">
        <v>293</v>
      </c>
      <c r="C58" s="43" t="s">
        <v>291</v>
      </c>
      <c r="D58" s="2" t="s">
        <v>294</v>
      </c>
      <c r="E58" s="46" t="s">
        <v>104</v>
      </c>
    </row>
    <row r="59" spans="2:5" x14ac:dyDescent="0.25">
      <c r="B59" s="36" t="s">
        <v>295</v>
      </c>
      <c r="C59" s="43" t="s">
        <v>189</v>
      </c>
      <c r="D59" s="2" t="s">
        <v>296</v>
      </c>
      <c r="E59" s="46" t="s">
        <v>104</v>
      </c>
    </row>
    <row r="60" spans="2:5" x14ac:dyDescent="0.25">
      <c r="B60" s="36" t="s">
        <v>308</v>
      </c>
      <c r="C60" s="43" t="s">
        <v>189</v>
      </c>
      <c r="D60" s="2" t="s">
        <v>309</v>
      </c>
    </row>
    <row r="61" spans="2:5" x14ac:dyDescent="0.25">
      <c r="B61" s="36" t="s">
        <v>305</v>
      </c>
      <c r="C61" s="43" t="s">
        <v>306</v>
      </c>
      <c r="D61" s="2" t="s">
        <v>307</v>
      </c>
    </row>
    <row r="62" spans="2:5" x14ac:dyDescent="0.25">
      <c r="B62" s="36" t="s">
        <v>246</v>
      </c>
      <c r="C62" s="43" t="s">
        <v>189</v>
      </c>
      <c r="D62" s="2" t="s">
        <v>247</v>
      </c>
      <c r="E62" s="46" t="s">
        <v>104</v>
      </c>
    </row>
    <row r="63" spans="2:5" x14ac:dyDescent="0.25">
      <c r="B63" s="36" t="s">
        <v>227</v>
      </c>
      <c r="C63" s="43" t="s">
        <v>189</v>
      </c>
      <c r="D63" s="2" t="s">
        <v>228</v>
      </c>
      <c r="E63" s="46" t="s">
        <v>104</v>
      </c>
    </row>
    <row r="64" spans="2:5" x14ac:dyDescent="0.25">
      <c r="B64" s="36" t="s">
        <v>229</v>
      </c>
      <c r="C64" s="43" t="s">
        <v>189</v>
      </c>
      <c r="D64" s="2" t="s">
        <v>230</v>
      </c>
    </row>
    <row r="65" spans="2:5" x14ac:dyDescent="0.25">
      <c r="B65" s="36" t="s">
        <v>206</v>
      </c>
      <c r="C65" s="43" t="s">
        <v>207</v>
      </c>
      <c r="D65" s="2" t="s">
        <v>208</v>
      </c>
      <c r="E65" s="46" t="s">
        <v>104</v>
      </c>
    </row>
    <row r="66" spans="2:5" x14ac:dyDescent="0.25">
      <c r="B66" s="36" t="s">
        <v>235</v>
      </c>
      <c r="C66" s="43" t="s">
        <v>236</v>
      </c>
      <c r="D66" s="2" t="s">
        <v>237</v>
      </c>
    </row>
    <row r="67" spans="2:5" x14ac:dyDescent="0.25">
      <c r="B67" s="36" t="s">
        <v>278</v>
      </c>
      <c r="C67" s="43" t="s">
        <v>279</v>
      </c>
      <c r="D67" s="2" t="s">
        <v>280</v>
      </c>
      <c r="E67" s="46" t="s">
        <v>104</v>
      </c>
    </row>
    <row r="68" spans="2:5" x14ac:dyDescent="0.25">
      <c r="B68" s="36" t="s">
        <v>217</v>
      </c>
      <c r="C68" s="43" t="s">
        <v>180</v>
      </c>
      <c r="D68" s="2" t="s">
        <v>218</v>
      </c>
      <c r="E68" s="46" t="s">
        <v>104</v>
      </c>
    </row>
    <row r="69" spans="2:5" x14ac:dyDescent="0.25">
      <c r="B69" s="36" t="s">
        <v>209</v>
      </c>
      <c r="C69" s="43" t="s">
        <v>109</v>
      </c>
      <c r="D69" s="2" t="s">
        <v>210</v>
      </c>
    </row>
    <row r="70" spans="2:5" x14ac:dyDescent="0.25">
      <c r="B70" s="36" t="s">
        <v>221</v>
      </c>
      <c r="C70" s="43" t="s">
        <v>222</v>
      </c>
      <c r="D70" s="2" t="s">
        <v>223</v>
      </c>
      <c r="E70" s="46" t="s">
        <v>104</v>
      </c>
    </row>
    <row r="71" spans="2:5" x14ac:dyDescent="0.25">
      <c r="B71" s="36" t="s">
        <v>276</v>
      </c>
      <c r="C71" s="43" t="s">
        <v>189</v>
      </c>
      <c r="D71" s="2" t="s">
        <v>277</v>
      </c>
    </row>
    <row r="72" spans="2:5" x14ac:dyDescent="0.25">
      <c r="B72" s="36" t="s">
        <v>231</v>
      </c>
      <c r="C72" s="43" t="s">
        <v>189</v>
      </c>
      <c r="D72" s="2" t="s">
        <v>232</v>
      </c>
      <c r="E72" s="46" t="s">
        <v>104</v>
      </c>
    </row>
    <row r="73" spans="2:5" x14ac:dyDescent="0.25">
      <c r="B73" s="36" t="s">
        <v>251</v>
      </c>
      <c r="C73" s="43" t="s">
        <v>189</v>
      </c>
      <c r="D73" s="2" t="s">
        <v>252</v>
      </c>
      <c r="E73" s="46" t="s">
        <v>104</v>
      </c>
    </row>
    <row r="74" spans="2:5" x14ac:dyDescent="0.25">
      <c r="B74" s="36" t="s">
        <v>117</v>
      </c>
      <c r="C74" s="43" t="s">
        <v>109</v>
      </c>
      <c r="D74" s="2" t="s">
        <v>118</v>
      </c>
      <c r="E74" s="46" t="s">
        <v>104</v>
      </c>
    </row>
    <row r="75" spans="2:5" x14ac:dyDescent="0.25">
      <c r="B75" s="36" t="s">
        <v>211</v>
      </c>
      <c r="C75" s="43" t="s">
        <v>189</v>
      </c>
      <c r="D75" s="2" t="s">
        <v>212</v>
      </c>
      <c r="E75" s="46" t="s">
        <v>104</v>
      </c>
    </row>
    <row r="76" spans="2:5" x14ac:dyDescent="0.25">
      <c r="B76" s="36" t="s">
        <v>108</v>
      </c>
      <c r="C76" s="43" t="s">
        <v>109</v>
      </c>
      <c r="D76" s="2" t="s">
        <v>110</v>
      </c>
      <c r="E76" s="46" t="s">
        <v>104</v>
      </c>
    </row>
    <row r="77" spans="2:5" x14ac:dyDescent="0.25">
      <c r="B77" s="36" t="s">
        <v>105</v>
      </c>
      <c r="C77" s="43" t="s">
        <v>106</v>
      </c>
      <c r="D77" s="2" t="s">
        <v>107</v>
      </c>
      <c r="E77" s="46" t="s">
        <v>104</v>
      </c>
    </row>
    <row r="78" spans="2:5" x14ac:dyDescent="0.25">
      <c r="B78" s="36" t="s">
        <v>119</v>
      </c>
      <c r="C78" s="43" t="s">
        <v>120</v>
      </c>
      <c r="D78" s="2" t="s">
        <v>121</v>
      </c>
    </row>
    <row r="79" spans="2:5" x14ac:dyDescent="0.25">
      <c r="B79" s="36" t="s">
        <v>122</v>
      </c>
      <c r="C79" s="43" t="s">
        <v>123</v>
      </c>
      <c r="D79" s="2" t="s">
        <v>124</v>
      </c>
    </row>
    <row r="80" spans="2:5" x14ac:dyDescent="0.25">
      <c r="B80" s="36" t="s">
        <v>213</v>
      </c>
      <c r="C80" s="43" t="s">
        <v>120</v>
      </c>
      <c r="D80" s="2" t="s">
        <v>214</v>
      </c>
      <c r="E80" s="46" t="s">
        <v>104</v>
      </c>
    </row>
    <row r="81" spans="2:6" x14ac:dyDescent="0.25">
      <c r="B81" s="36" t="s">
        <v>215</v>
      </c>
      <c r="C81" s="43" t="s">
        <v>109</v>
      </c>
      <c r="D81" s="2" t="s">
        <v>216</v>
      </c>
      <c r="E81" s="46" t="s">
        <v>104</v>
      </c>
    </row>
    <row r="82" spans="2:6" x14ac:dyDescent="0.25">
      <c r="B82" s="36" t="s">
        <v>301</v>
      </c>
      <c r="C82" s="43" t="s">
        <v>239</v>
      </c>
      <c r="D82" s="2" t="s">
        <v>302</v>
      </c>
      <c r="E82" s="46" t="s">
        <v>104</v>
      </c>
    </row>
    <row r="83" spans="2:6" x14ac:dyDescent="0.25">
      <c r="B83" s="36" t="s">
        <v>238</v>
      </c>
      <c r="C83" s="43" t="s">
        <v>239</v>
      </c>
      <c r="D83" s="2" t="s">
        <v>240</v>
      </c>
    </row>
    <row r="84" spans="2:6" x14ac:dyDescent="0.25">
      <c r="B84" s="36" t="s">
        <v>303</v>
      </c>
      <c r="C84" s="43" t="s">
        <v>242</v>
      </c>
      <c r="D84" s="2" t="s">
        <v>304</v>
      </c>
      <c r="E84" s="46" t="s">
        <v>104</v>
      </c>
    </row>
    <row r="85" spans="2:6" x14ac:dyDescent="0.25">
      <c r="B85" s="36" t="s">
        <v>241</v>
      </c>
      <c r="C85" s="43" t="s">
        <v>242</v>
      </c>
      <c r="D85" s="2" t="s">
        <v>243</v>
      </c>
      <c r="E85" s="46" t="s">
        <v>104</v>
      </c>
    </row>
    <row r="86" spans="2:6" x14ac:dyDescent="0.25">
      <c r="B86" s="36" t="s">
        <v>325</v>
      </c>
      <c r="C86" s="43" t="s">
        <v>109</v>
      </c>
      <c r="D86" s="2" t="s">
        <v>326</v>
      </c>
    </row>
    <row r="87" spans="2:6" x14ac:dyDescent="0.25">
      <c r="B87" s="70" t="s">
        <v>157</v>
      </c>
      <c r="C87" s="71" t="s">
        <v>158</v>
      </c>
      <c r="D87" s="71" t="s">
        <v>159</v>
      </c>
      <c r="E87" s="71" t="s">
        <v>104</v>
      </c>
      <c r="F87" s="71"/>
    </row>
    <row r="88" spans="2:6" x14ac:dyDescent="0.25">
      <c r="B88" s="70" t="s">
        <v>337</v>
      </c>
      <c r="C88" s="71" t="s">
        <v>338</v>
      </c>
      <c r="D88" s="71" t="s">
        <v>339</v>
      </c>
      <c r="E88" s="71" t="s">
        <v>104</v>
      </c>
      <c r="F88" s="71"/>
    </row>
    <row r="89" spans="2:6" x14ac:dyDescent="0.25">
      <c r="B89" s="70" t="s">
        <v>340</v>
      </c>
      <c r="C89" s="71" t="s">
        <v>338</v>
      </c>
      <c r="D89" s="71" t="s">
        <v>341</v>
      </c>
      <c r="E89" s="71" t="s">
        <v>104</v>
      </c>
      <c r="F89" s="71"/>
    </row>
    <row r="90" spans="2:6" x14ac:dyDescent="0.25">
      <c r="B90" s="70" t="s">
        <v>342</v>
      </c>
      <c r="C90" s="71" t="s">
        <v>109</v>
      </c>
      <c r="D90" s="71" t="s">
        <v>343</v>
      </c>
    </row>
    <row r="91" spans="2:6" ht="30" x14ac:dyDescent="0.25">
      <c r="B91" s="70" t="s">
        <v>179</v>
      </c>
      <c r="C91" s="71" t="s">
        <v>180</v>
      </c>
      <c r="D91" s="71" t="s">
        <v>181</v>
      </c>
      <c r="E91" s="71" t="s">
        <v>104</v>
      </c>
      <c r="F91" s="71"/>
    </row>
    <row r="92" spans="2:6" ht="30" x14ac:dyDescent="0.25">
      <c r="B92" s="70" t="s">
        <v>344</v>
      </c>
      <c r="C92" s="71" t="s">
        <v>131</v>
      </c>
      <c r="D92" s="71" t="s">
        <v>345</v>
      </c>
    </row>
  </sheetData>
  <autoFilter ref="B2:F134" xr:uid="{301285E7-FF09-4E73-AC61-65B809C2319F}">
    <sortState xmlns:xlrd2="http://schemas.microsoft.com/office/spreadsheetml/2017/richdata2" ref="B3:F86">
      <sortCondition ref="B2:B134"/>
    </sortState>
  </autoFilter>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C1D5-7623-4269-B968-D081685F6900}">
  <dimension ref="A1:D135"/>
  <sheetViews>
    <sheetView topLeftCell="A9" zoomScale="90" zoomScaleNormal="90" workbookViewId="0">
      <selection activeCell="C14" sqref="C14:D14"/>
    </sheetView>
  </sheetViews>
  <sheetFormatPr defaultRowHeight="15" x14ac:dyDescent="0.25"/>
  <cols>
    <col min="1" max="1" width="9.140625" style="6"/>
    <col min="2" max="2" width="73" style="40" customWidth="1"/>
    <col min="3" max="3" width="102.140625" style="2" customWidth="1"/>
    <col min="4" max="4" width="92.7109375" style="1" customWidth="1"/>
    <col min="5" max="16384" width="9.140625" style="6"/>
  </cols>
  <sheetData>
    <row r="1" spans="1:4" ht="15.75" customHeight="1" thickBot="1" x14ac:dyDescent="0.3">
      <c r="A1" s="38"/>
      <c r="B1" s="194" t="s">
        <v>69</v>
      </c>
      <c r="C1" s="195"/>
      <c r="D1" s="196"/>
    </row>
    <row r="2" spans="1:4" x14ac:dyDescent="0.25">
      <c r="B2" s="39" t="s">
        <v>64</v>
      </c>
      <c r="C2" s="197" t="s">
        <v>70</v>
      </c>
      <c r="D2" s="198"/>
    </row>
    <row r="3" spans="1:4" ht="45" x14ac:dyDescent="0.25">
      <c r="B3" s="68" t="s">
        <v>310</v>
      </c>
      <c r="C3" s="122" t="s">
        <v>71</v>
      </c>
      <c r="D3" s="123"/>
    </row>
    <row r="4" spans="1:4" ht="409.5" customHeight="1" x14ac:dyDescent="0.25">
      <c r="B4" s="68" t="s">
        <v>311</v>
      </c>
      <c r="C4" s="122" t="s">
        <v>312</v>
      </c>
      <c r="D4" s="123"/>
    </row>
    <row r="5" spans="1:4" ht="57.75" customHeight="1" x14ac:dyDescent="0.25">
      <c r="B5" s="69" t="s">
        <v>324</v>
      </c>
      <c r="C5" s="122" t="s">
        <v>72</v>
      </c>
      <c r="D5" s="123"/>
    </row>
    <row r="6" spans="1:4" ht="225" customHeight="1" x14ac:dyDescent="0.25">
      <c r="B6" s="66" t="s">
        <v>322</v>
      </c>
      <c r="C6" s="199" t="s">
        <v>323</v>
      </c>
      <c r="D6" s="200"/>
    </row>
    <row r="7" spans="1:4" ht="120.75" customHeight="1" x14ac:dyDescent="0.25">
      <c r="B7" s="40" t="s">
        <v>332</v>
      </c>
      <c r="C7" s="118" t="s">
        <v>331</v>
      </c>
      <c r="D7" s="119"/>
    </row>
    <row r="8" spans="1:4" ht="57" customHeight="1" x14ac:dyDescent="0.25">
      <c r="B8" s="40" t="s">
        <v>334</v>
      </c>
      <c r="C8" s="118" t="s">
        <v>333</v>
      </c>
      <c r="D8" s="119"/>
    </row>
    <row r="9" spans="1:4" ht="339" customHeight="1" x14ac:dyDescent="0.25">
      <c r="B9" s="40" t="s">
        <v>335</v>
      </c>
      <c r="C9" s="118" t="s">
        <v>336</v>
      </c>
      <c r="D9" s="119"/>
    </row>
    <row r="10" spans="1:4" x14ac:dyDescent="0.25">
      <c r="C10" s="118"/>
      <c r="D10" s="119"/>
    </row>
    <row r="11" spans="1:4" x14ac:dyDescent="0.25">
      <c r="C11" s="118"/>
      <c r="D11" s="119"/>
    </row>
    <row r="12" spans="1:4" x14ac:dyDescent="0.25">
      <c r="C12" s="118"/>
      <c r="D12" s="119"/>
    </row>
    <row r="13" spans="1:4" x14ac:dyDescent="0.25">
      <c r="C13" s="118"/>
      <c r="D13" s="119"/>
    </row>
    <row r="14" spans="1:4" x14ac:dyDescent="0.25">
      <c r="C14" s="118"/>
      <c r="D14" s="119"/>
    </row>
    <row r="15" spans="1:4" x14ac:dyDescent="0.25">
      <c r="C15" s="118"/>
      <c r="D15" s="119"/>
    </row>
    <row r="16" spans="1:4" x14ac:dyDescent="0.25">
      <c r="C16" s="118"/>
      <c r="D16" s="119"/>
    </row>
    <row r="17" spans="3:4" x14ac:dyDescent="0.25">
      <c r="C17" s="118"/>
      <c r="D17" s="119"/>
    </row>
    <row r="18" spans="3:4" x14ac:dyDescent="0.25">
      <c r="C18" s="118"/>
      <c r="D18" s="119"/>
    </row>
    <row r="19" spans="3:4" x14ac:dyDescent="0.25">
      <c r="C19" s="118"/>
      <c r="D19" s="119"/>
    </row>
    <row r="20" spans="3:4" x14ac:dyDescent="0.25">
      <c r="C20" s="118"/>
      <c r="D20" s="119"/>
    </row>
    <row r="21" spans="3:4" x14ac:dyDescent="0.25">
      <c r="C21" s="118"/>
      <c r="D21" s="119"/>
    </row>
    <row r="22" spans="3:4" x14ac:dyDescent="0.25">
      <c r="C22" s="118"/>
      <c r="D22" s="119"/>
    </row>
    <row r="23" spans="3:4" x14ac:dyDescent="0.25">
      <c r="C23" s="118"/>
      <c r="D23" s="119"/>
    </row>
    <row r="24" spans="3:4" x14ac:dyDescent="0.25">
      <c r="C24" s="118"/>
      <c r="D24" s="119"/>
    </row>
    <row r="25" spans="3:4" x14ac:dyDescent="0.25">
      <c r="C25" s="118"/>
      <c r="D25" s="119"/>
    </row>
    <row r="26" spans="3:4" x14ac:dyDescent="0.25">
      <c r="C26" s="118"/>
      <c r="D26" s="119"/>
    </row>
    <row r="27" spans="3:4" x14ac:dyDescent="0.25">
      <c r="C27" s="118"/>
      <c r="D27" s="119"/>
    </row>
    <row r="28" spans="3:4" x14ac:dyDescent="0.25">
      <c r="C28" s="118"/>
      <c r="D28" s="119"/>
    </row>
    <row r="29" spans="3:4" x14ac:dyDescent="0.25">
      <c r="C29" s="118"/>
      <c r="D29" s="119"/>
    </row>
    <row r="30" spans="3:4" x14ac:dyDescent="0.25">
      <c r="C30" s="118"/>
      <c r="D30" s="119"/>
    </row>
    <row r="31" spans="3:4" x14ac:dyDescent="0.25">
      <c r="C31" s="118"/>
      <c r="D31" s="119"/>
    </row>
    <row r="32" spans="3:4" x14ac:dyDescent="0.25">
      <c r="C32" s="118"/>
      <c r="D32" s="119"/>
    </row>
    <row r="33" spans="3:4" x14ac:dyDescent="0.25">
      <c r="C33" s="118"/>
      <c r="D33" s="119"/>
    </row>
    <row r="34" spans="3:4" x14ac:dyDescent="0.25">
      <c r="C34" s="118"/>
      <c r="D34" s="119"/>
    </row>
    <row r="35" spans="3:4" x14ac:dyDescent="0.25">
      <c r="C35" s="118"/>
      <c r="D35" s="119"/>
    </row>
    <row r="36" spans="3:4" x14ac:dyDescent="0.25">
      <c r="C36" s="118"/>
      <c r="D36" s="119"/>
    </row>
    <row r="37" spans="3:4" x14ac:dyDescent="0.25">
      <c r="C37" s="118"/>
      <c r="D37" s="119"/>
    </row>
    <row r="38" spans="3:4" x14ac:dyDescent="0.25">
      <c r="C38" s="118"/>
      <c r="D38" s="119"/>
    </row>
    <row r="39" spans="3:4" x14ac:dyDescent="0.25">
      <c r="C39" s="118"/>
      <c r="D39" s="119"/>
    </row>
    <row r="40" spans="3:4" x14ac:dyDescent="0.25">
      <c r="C40" s="118"/>
      <c r="D40" s="119"/>
    </row>
    <row r="41" spans="3:4" x14ac:dyDescent="0.25">
      <c r="C41" s="118"/>
      <c r="D41" s="119"/>
    </row>
    <row r="42" spans="3:4" x14ac:dyDescent="0.25">
      <c r="C42" s="118"/>
      <c r="D42" s="119"/>
    </row>
    <row r="43" spans="3:4" x14ac:dyDescent="0.25">
      <c r="C43" s="118"/>
      <c r="D43" s="119"/>
    </row>
    <row r="44" spans="3:4" x14ac:dyDescent="0.25">
      <c r="C44" s="118"/>
      <c r="D44" s="119"/>
    </row>
    <row r="45" spans="3:4" x14ac:dyDescent="0.25">
      <c r="C45" s="118"/>
      <c r="D45" s="119"/>
    </row>
    <row r="46" spans="3:4" x14ac:dyDescent="0.25">
      <c r="C46" s="118"/>
      <c r="D46" s="119"/>
    </row>
    <row r="47" spans="3:4" x14ac:dyDescent="0.25">
      <c r="C47" s="118"/>
      <c r="D47" s="119"/>
    </row>
    <row r="48" spans="3:4" x14ac:dyDescent="0.25">
      <c r="C48" s="118"/>
      <c r="D48" s="119"/>
    </row>
    <row r="49" spans="3:4" x14ac:dyDescent="0.25">
      <c r="C49" s="118"/>
      <c r="D49" s="119"/>
    </row>
    <row r="50" spans="3:4" x14ac:dyDescent="0.25">
      <c r="C50" s="118"/>
      <c r="D50" s="119"/>
    </row>
    <row r="51" spans="3:4" x14ac:dyDescent="0.25">
      <c r="C51" s="118"/>
      <c r="D51" s="119"/>
    </row>
    <row r="52" spans="3:4" x14ac:dyDescent="0.25">
      <c r="C52" s="118"/>
      <c r="D52" s="119"/>
    </row>
    <row r="53" spans="3:4" x14ac:dyDescent="0.25">
      <c r="C53" s="118"/>
      <c r="D53" s="119"/>
    </row>
    <row r="54" spans="3:4" x14ac:dyDescent="0.25">
      <c r="C54" s="118"/>
      <c r="D54" s="119"/>
    </row>
    <row r="55" spans="3:4" x14ac:dyDescent="0.25">
      <c r="C55" s="118"/>
      <c r="D55" s="119"/>
    </row>
    <row r="56" spans="3:4" x14ac:dyDescent="0.25">
      <c r="C56" s="118"/>
      <c r="D56" s="119"/>
    </row>
    <row r="57" spans="3:4" x14ac:dyDescent="0.25">
      <c r="C57" s="118"/>
      <c r="D57" s="119"/>
    </row>
    <row r="58" spans="3:4" x14ac:dyDescent="0.25">
      <c r="C58" s="118"/>
      <c r="D58" s="119"/>
    </row>
    <row r="59" spans="3:4" x14ac:dyDescent="0.25">
      <c r="C59" s="118"/>
      <c r="D59" s="119"/>
    </row>
    <row r="60" spans="3:4" x14ac:dyDescent="0.25">
      <c r="C60" s="118"/>
      <c r="D60" s="119"/>
    </row>
    <row r="61" spans="3:4" x14ac:dyDescent="0.25">
      <c r="C61" s="118"/>
      <c r="D61" s="119"/>
    </row>
    <row r="62" spans="3:4" x14ac:dyDescent="0.25">
      <c r="C62" s="118"/>
      <c r="D62" s="119"/>
    </row>
    <row r="63" spans="3:4" x14ac:dyDescent="0.25">
      <c r="C63" s="118"/>
      <c r="D63" s="119"/>
    </row>
    <row r="64" spans="3:4" x14ac:dyDescent="0.25">
      <c r="C64" s="118"/>
      <c r="D64" s="119"/>
    </row>
    <row r="65" spans="3:4" x14ac:dyDescent="0.25">
      <c r="C65" s="118"/>
      <c r="D65" s="119"/>
    </row>
    <row r="66" spans="3:4" x14ac:dyDescent="0.25">
      <c r="C66" s="118"/>
      <c r="D66" s="119"/>
    </row>
    <row r="67" spans="3:4" x14ac:dyDescent="0.25">
      <c r="C67" s="118"/>
      <c r="D67" s="119"/>
    </row>
    <row r="68" spans="3:4" x14ac:dyDescent="0.25">
      <c r="C68" s="118"/>
      <c r="D68" s="119"/>
    </row>
    <row r="69" spans="3:4" x14ac:dyDescent="0.25">
      <c r="C69" s="118"/>
      <c r="D69" s="119"/>
    </row>
    <row r="70" spans="3:4" x14ac:dyDescent="0.25">
      <c r="C70" s="118"/>
      <c r="D70" s="119"/>
    </row>
    <row r="71" spans="3:4" x14ac:dyDescent="0.25">
      <c r="C71" s="118"/>
      <c r="D71" s="119"/>
    </row>
    <row r="72" spans="3:4" x14ac:dyDescent="0.25">
      <c r="C72" s="118"/>
      <c r="D72" s="119"/>
    </row>
    <row r="73" spans="3:4" x14ac:dyDescent="0.25">
      <c r="C73" s="118"/>
      <c r="D73" s="119"/>
    </row>
    <row r="74" spans="3:4" x14ac:dyDescent="0.25">
      <c r="C74" s="118"/>
      <c r="D74" s="119"/>
    </row>
    <row r="75" spans="3:4" x14ac:dyDescent="0.25">
      <c r="C75" s="118"/>
      <c r="D75" s="119"/>
    </row>
    <row r="76" spans="3:4" x14ac:dyDescent="0.25">
      <c r="C76" s="118"/>
      <c r="D76" s="119"/>
    </row>
    <row r="77" spans="3:4" x14ac:dyDescent="0.25">
      <c r="C77" s="118"/>
      <c r="D77" s="119"/>
    </row>
    <row r="78" spans="3:4" x14ac:dyDescent="0.25">
      <c r="C78" s="118"/>
      <c r="D78" s="119"/>
    </row>
    <row r="79" spans="3:4" x14ac:dyDescent="0.25">
      <c r="C79" s="118"/>
      <c r="D79" s="119"/>
    </row>
    <row r="80" spans="3:4" x14ac:dyDescent="0.25">
      <c r="C80" s="118"/>
      <c r="D80" s="119"/>
    </row>
    <row r="81" spans="3:4" x14ac:dyDescent="0.25">
      <c r="C81" s="118"/>
      <c r="D81" s="119"/>
    </row>
    <row r="82" spans="3:4" x14ac:dyDescent="0.25">
      <c r="C82" s="118"/>
      <c r="D82" s="119"/>
    </row>
    <row r="83" spans="3:4" x14ac:dyDescent="0.25">
      <c r="C83" s="118"/>
      <c r="D83" s="119"/>
    </row>
    <row r="84" spans="3:4" x14ac:dyDescent="0.25">
      <c r="C84" s="118"/>
      <c r="D84" s="119"/>
    </row>
    <row r="85" spans="3:4" x14ac:dyDescent="0.25">
      <c r="C85" s="118"/>
      <c r="D85" s="119"/>
    </row>
    <row r="86" spans="3:4" x14ac:dyDescent="0.25">
      <c r="C86" s="118"/>
      <c r="D86" s="119"/>
    </row>
    <row r="87" spans="3:4" x14ac:dyDescent="0.25">
      <c r="C87" s="118"/>
      <c r="D87" s="119"/>
    </row>
    <row r="88" spans="3:4" x14ac:dyDescent="0.25">
      <c r="C88" s="118"/>
      <c r="D88" s="119"/>
    </row>
    <row r="89" spans="3:4" x14ac:dyDescent="0.25">
      <c r="C89" s="118"/>
      <c r="D89" s="119"/>
    </row>
    <row r="90" spans="3:4" x14ac:dyDescent="0.25">
      <c r="C90" s="118"/>
      <c r="D90" s="119"/>
    </row>
    <row r="91" spans="3:4" x14ac:dyDescent="0.25">
      <c r="C91" s="118"/>
      <c r="D91" s="119"/>
    </row>
    <row r="92" spans="3:4" x14ac:dyDescent="0.25">
      <c r="C92" s="118"/>
      <c r="D92" s="119"/>
    </row>
    <row r="93" spans="3:4" x14ac:dyDescent="0.25">
      <c r="C93" s="118"/>
      <c r="D93" s="119"/>
    </row>
    <row r="94" spans="3:4" x14ac:dyDescent="0.25">
      <c r="C94" s="118"/>
      <c r="D94" s="119"/>
    </row>
    <row r="95" spans="3:4" x14ac:dyDescent="0.25">
      <c r="C95" s="118"/>
      <c r="D95" s="119"/>
    </row>
    <row r="96" spans="3:4" x14ac:dyDescent="0.25">
      <c r="C96" s="118"/>
      <c r="D96" s="119"/>
    </row>
    <row r="97" spans="3:4" x14ac:dyDescent="0.25">
      <c r="C97" s="118"/>
      <c r="D97" s="119"/>
    </row>
    <row r="98" spans="3:4" x14ac:dyDescent="0.25">
      <c r="C98" s="118"/>
      <c r="D98" s="119"/>
    </row>
    <row r="99" spans="3:4" x14ac:dyDescent="0.25">
      <c r="C99" s="118"/>
      <c r="D99" s="119"/>
    </row>
    <row r="100" spans="3:4" x14ac:dyDescent="0.25">
      <c r="C100" s="118"/>
      <c r="D100" s="119"/>
    </row>
    <row r="101" spans="3:4" x14ac:dyDescent="0.25">
      <c r="C101" s="118"/>
      <c r="D101" s="119"/>
    </row>
    <row r="102" spans="3:4" x14ac:dyDescent="0.25">
      <c r="C102" s="118"/>
      <c r="D102" s="119"/>
    </row>
    <row r="103" spans="3:4" x14ac:dyDescent="0.25">
      <c r="C103" s="118"/>
      <c r="D103" s="119"/>
    </row>
    <row r="104" spans="3:4" x14ac:dyDescent="0.25">
      <c r="C104" s="118"/>
      <c r="D104" s="119"/>
    </row>
    <row r="105" spans="3:4" x14ac:dyDescent="0.25">
      <c r="C105" s="118"/>
      <c r="D105" s="119"/>
    </row>
    <row r="106" spans="3:4" x14ac:dyDescent="0.25">
      <c r="C106" s="118"/>
      <c r="D106" s="119"/>
    </row>
    <row r="107" spans="3:4" x14ac:dyDescent="0.25">
      <c r="C107" s="118"/>
      <c r="D107" s="119"/>
    </row>
    <row r="108" spans="3:4" x14ac:dyDescent="0.25">
      <c r="C108" s="118"/>
      <c r="D108" s="119"/>
    </row>
    <row r="109" spans="3:4" x14ac:dyDescent="0.25">
      <c r="C109" s="118"/>
      <c r="D109" s="119"/>
    </row>
    <row r="110" spans="3:4" x14ac:dyDescent="0.25">
      <c r="C110" s="118"/>
      <c r="D110" s="119"/>
    </row>
    <row r="111" spans="3:4" x14ac:dyDescent="0.25">
      <c r="C111" s="118"/>
      <c r="D111" s="119"/>
    </row>
    <row r="112" spans="3:4" x14ac:dyDescent="0.25">
      <c r="C112" s="118"/>
      <c r="D112" s="119"/>
    </row>
    <row r="113" spans="3:4" x14ac:dyDescent="0.25">
      <c r="C113" s="118"/>
      <c r="D113" s="119"/>
    </row>
    <row r="114" spans="3:4" x14ac:dyDescent="0.25">
      <c r="C114" s="118"/>
      <c r="D114" s="119"/>
    </row>
    <row r="115" spans="3:4" x14ac:dyDescent="0.25">
      <c r="C115" s="118"/>
      <c r="D115" s="119"/>
    </row>
    <row r="116" spans="3:4" x14ac:dyDescent="0.25">
      <c r="C116" s="118"/>
      <c r="D116" s="119"/>
    </row>
    <row r="117" spans="3:4" x14ac:dyDescent="0.25">
      <c r="C117" s="118"/>
      <c r="D117" s="119"/>
    </row>
    <row r="118" spans="3:4" x14ac:dyDescent="0.25">
      <c r="C118" s="118"/>
      <c r="D118" s="119"/>
    </row>
    <row r="119" spans="3:4" x14ac:dyDescent="0.25">
      <c r="C119" s="118"/>
      <c r="D119" s="119"/>
    </row>
    <row r="120" spans="3:4" x14ac:dyDescent="0.25">
      <c r="C120" s="118"/>
      <c r="D120" s="119"/>
    </row>
    <row r="121" spans="3:4" x14ac:dyDescent="0.25">
      <c r="C121" s="118"/>
      <c r="D121" s="119"/>
    </row>
    <row r="122" spans="3:4" x14ac:dyDescent="0.25">
      <c r="C122" s="118"/>
      <c r="D122" s="119"/>
    </row>
    <row r="123" spans="3:4" x14ac:dyDescent="0.25">
      <c r="C123" s="118"/>
      <c r="D123" s="119"/>
    </row>
    <row r="124" spans="3:4" x14ac:dyDescent="0.25">
      <c r="C124" s="118"/>
      <c r="D124" s="119"/>
    </row>
    <row r="125" spans="3:4" x14ac:dyDescent="0.25">
      <c r="C125" s="118"/>
      <c r="D125" s="119"/>
    </row>
    <row r="126" spans="3:4" x14ac:dyDescent="0.25">
      <c r="C126" s="118"/>
      <c r="D126" s="119"/>
    </row>
    <row r="127" spans="3:4" x14ac:dyDescent="0.25">
      <c r="C127" s="118"/>
      <c r="D127" s="119"/>
    </row>
    <row r="128" spans="3:4" x14ac:dyDescent="0.25">
      <c r="C128" s="118"/>
      <c r="D128" s="119"/>
    </row>
    <row r="129" spans="3:4" x14ac:dyDescent="0.25">
      <c r="C129" s="118"/>
      <c r="D129" s="119"/>
    </row>
    <row r="130" spans="3:4" x14ac:dyDescent="0.25">
      <c r="C130" s="118"/>
      <c r="D130" s="119"/>
    </row>
    <row r="131" spans="3:4" x14ac:dyDescent="0.25">
      <c r="C131" s="118"/>
      <c r="D131" s="119"/>
    </row>
    <row r="132" spans="3:4" x14ac:dyDescent="0.25">
      <c r="C132" s="118"/>
      <c r="D132" s="119"/>
    </row>
    <row r="133" spans="3:4" x14ac:dyDescent="0.25">
      <c r="C133" s="118"/>
      <c r="D133" s="119"/>
    </row>
    <row r="134" spans="3:4" x14ac:dyDescent="0.25">
      <c r="C134" s="118"/>
      <c r="D134" s="119"/>
    </row>
    <row r="135" spans="3:4" x14ac:dyDescent="0.25">
      <c r="C135" s="118"/>
      <c r="D135" s="119"/>
    </row>
  </sheetData>
  <mergeCells count="135">
    <mergeCell ref="B1:D1"/>
    <mergeCell ref="C2:D2"/>
    <mergeCell ref="C3:D3"/>
    <mergeCell ref="C10:D10"/>
    <mergeCell ref="C11:D11"/>
    <mergeCell ref="C12:D12"/>
    <mergeCell ref="C13:D13"/>
    <mergeCell ref="C14:D14"/>
    <mergeCell ref="C15:D15"/>
    <mergeCell ref="C4:D4"/>
    <mergeCell ref="C5:D5"/>
    <mergeCell ref="C6:D6"/>
    <mergeCell ref="C7:D7"/>
    <mergeCell ref="C8:D8"/>
    <mergeCell ref="C9:D9"/>
    <mergeCell ref="C22:D22"/>
    <mergeCell ref="C23:D23"/>
    <mergeCell ref="C24:D24"/>
    <mergeCell ref="C25:D25"/>
    <mergeCell ref="C26:D26"/>
    <mergeCell ref="C27:D27"/>
    <mergeCell ref="C16:D16"/>
    <mergeCell ref="C17:D17"/>
    <mergeCell ref="C18:D18"/>
    <mergeCell ref="C19:D19"/>
    <mergeCell ref="C20:D20"/>
    <mergeCell ref="C21:D21"/>
    <mergeCell ref="C34:D34"/>
    <mergeCell ref="C35:D35"/>
    <mergeCell ref="C36:D36"/>
    <mergeCell ref="C37:D37"/>
    <mergeCell ref="C38:D38"/>
    <mergeCell ref="C39:D39"/>
    <mergeCell ref="C28:D28"/>
    <mergeCell ref="C29:D29"/>
    <mergeCell ref="C30:D30"/>
    <mergeCell ref="C31:D31"/>
    <mergeCell ref="C32:D32"/>
    <mergeCell ref="C33:D33"/>
    <mergeCell ref="C46:D46"/>
    <mergeCell ref="C47:D47"/>
    <mergeCell ref="C48:D48"/>
    <mergeCell ref="C49:D49"/>
    <mergeCell ref="C50:D50"/>
    <mergeCell ref="C51:D51"/>
    <mergeCell ref="C40:D40"/>
    <mergeCell ref="C41:D41"/>
    <mergeCell ref="C42:D42"/>
    <mergeCell ref="C43:D43"/>
    <mergeCell ref="C44:D44"/>
    <mergeCell ref="C45:D45"/>
    <mergeCell ref="C58:D58"/>
    <mergeCell ref="C59:D59"/>
    <mergeCell ref="C60:D60"/>
    <mergeCell ref="C61:D61"/>
    <mergeCell ref="C62:D62"/>
    <mergeCell ref="C63:D63"/>
    <mergeCell ref="C52:D52"/>
    <mergeCell ref="C53:D53"/>
    <mergeCell ref="C54:D54"/>
    <mergeCell ref="C55:D55"/>
    <mergeCell ref="C56:D56"/>
    <mergeCell ref="C57:D57"/>
    <mergeCell ref="C70:D70"/>
    <mergeCell ref="C71:D71"/>
    <mergeCell ref="C72:D72"/>
    <mergeCell ref="C73:D73"/>
    <mergeCell ref="C74:D74"/>
    <mergeCell ref="C75:D75"/>
    <mergeCell ref="C64:D64"/>
    <mergeCell ref="C65:D65"/>
    <mergeCell ref="C66:D66"/>
    <mergeCell ref="C67:D67"/>
    <mergeCell ref="C68:D68"/>
    <mergeCell ref="C69:D69"/>
    <mergeCell ref="C82:D82"/>
    <mergeCell ref="C83:D83"/>
    <mergeCell ref="C84:D84"/>
    <mergeCell ref="C85:D85"/>
    <mergeCell ref="C86:D86"/>
    <mergeCell ref="C87:D87"/>
    <mergeCell ref="C76:D76"/>
    <mergeCell ref="C77:D77"/>
    <mergeCell ref="C78:D78"/>
    <mergeCell ref="C79:D79"/>
    <mergeCell ref="C80:D80"/>
    <mergeCell ref="C81:D81"/>
    <mergeCell ref="C94:D94"/>
    <mergeCell ref="C95:D95"/>
    <mergeCell ref="C96:D96"/>
    <mergeCell ref="C97:D97"/>
    <mergeCell ref="C98:D98"/>
    <mergeCell ref="C99:D99"/>
    <mergeCell ref="C88:D88"/>
    <mergeCell ref="C89:D89"/>
    <mergeCell ref="C90:D90"/>
    <mergeCell ref="C91:D91"/>
    <mergeCell ref="C92:D92"/>
    <mergeCell ref="C93:D93"/>
    <mergeCell ref="C106:D106"/>
    <mergeCell ref="C107:D107"/>
    <mergeCell ref="C108:D108"/>
    <mergeCell ref="C109:D109"/>
    <mergeCell ref="C110:D110"/>
    <mergeCell ref="C111:D111"/>
    <mergeCell ref="C100:D100"/>
    <mergeCell ref="C101:D101"/>
    <mergeCell ref="C102:D102"/>
    <mergeCell ref="C103:D103"/>
    <mergeCell ref="C104:D104"/>
    <mergeCell ref="C105:D105"/>
    <mergeCell ref="C118:D118"/>
    <mergeCell ref="C119:D119"/>
    <mergeCell ref="C120:D120"/>
    <mergeCell ref="C121:D121"/>
    <mergeCell ref="C122:D122"/>
    <mergeCell ref="C123:D123"/>
    <mergeCell ref="C112:D112"/>
    <mergeCell ref="C113:D113"/>
    <mergeCell ref="C114:D114"/>
    <mergeCell ref="C115:D115"/>
    <mergeCell ref="C116:D116"/>
    <mergeCell ref="C117:D117"/>
    <mergeCell ref="C130:D130"/>
    <mergeCell ref="C131:D131"/>
    <mergeCell ref="C132:D132"/>
    <mergeCell ref="C133:D133"/>
    <mergeCell ref="C134:D134"/>
    <mergeCell ref="C135:D135"/>
    <mergeCell ref="C124:D124"/>
    <mergeCell ref="C125:D125"/>
    <mergeCell ref="C126:D126"/>
    <mergeCell ref="C127:D127"/>
    <mergeCell ref="C128:D128"/>
    <mergeCell ref="C129:D1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f6fa8404-76f7-482b-b01c-8ba9f6d3ae5c">
      <Terms xmlns="http://schemas.microsoft.com/office/infopath/2007/PartnerControls"/>
    </lcf76f155ced4ddcb4097134ff3c332f>
    <TaxCatchAll xmlns="6c1577e3-6bb1-444c-8e71-47d243e80f4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964C69E2A2014984A7179C61D6ACC6" ma:contentTypeVersion="17" ma:contentTypeDescription="Create a new document." ma:contentTypeScope="" ma:versionID="36805eba6fa95832995a2abd21834135">
  <xsd:schema xmlns:xsd="http://www.w3.org/2001/XMLSchema" xmlns:xs="http://www.w3.org/2001/XMLSchema" xmlns:p="http://schemas.microsoft.com/office/2006/metadata/properties" xmlns:ns1="http://schemas.microsoft.com/sharepoint/v3" xmlns:ns2="f6fa8404-76f7-482b-b01c-8ba9f6d3ae5c" xmlns:ns3="6c1577e3-6bb1-444c-8e71-47d243e80f41" targetNamespace="http://schemas.microsoft.com/office/2006/metadata/properties" ma:root="true" ma:fieldsID="41c4dd5a39b7cc57aadcd98d6cf726db" ns1:_="" ns2:_="" ns3:_="">
    <xsd:import namespace="http://schemas.microsoft.com/sharepoint/v3"/>
    <xsd:import namespace="f6fa8404-76f7-482b-b01c-8ba9f6d3ae5c"/>
    <xsd:import namespace="6c1577e3-6bb1-444c-8e71-47d243e80f4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fa8404-76f7-482b-b01c-8ba9f6d3a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1577e3-6bb1-444c-8e71-47d243e80f4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a9ca5e6-8589-43f5-8bea-b89fcde4a62e}" ma:internalName="TaxCatchAll" ma:showField="CatchAllData" ma:web="6c1577e3-6bb1-444c-8e71-47d243e80f4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94CB15-9515-460B-82D0-54850ED9AD1B}">
  <ds:schemaRefs>
    <ds:schemaRef ds:uri="http://schemas.microsoft.com/office/2006/metadata/properties"/>
    <ds:schemaRef ds:uri="http://schemas.microsoft.com/office/infopath/2007/PartnerControls"/>
    <ds:schemaRef ds:uri="http://schemas.microsoft.com/sharepoint/v3"/>
    <ds:schemaRef ds:uri="f6fa8404-76f7-482b-b01c-8ba9f6d3ae5c"/>
    <ds:schemaRef ds:uri="6c1577e3-6bb1-444c-8e71-47d243e80f41"/>
  </ds:schemaRefs>
</ds:datastoreItem>
</file>

<file path=customXml/itemProps2.xml><?xml version="1.0" encoding="utf-8"?>
<ds:datastoreItem xmlns:ds="http://schemas.openxmlformats.org/officeDocument/2006/customXml" ds:itemID="{AB597867-C418-4847-B2BA-A9FE03B416E4}">
  <ds:schemaRefs>
    <ds:schemaRef ds:uri="http://schemas.microsoft.com/sharepoint/v3/contenttype/forms"/>
  </ds:schemaRefs>
</ds:datastoreItem>
</file>

<file path=customXml/itemProps3.xml><?xml version="1.0" encoding="utf-8"?>
<ds:datastoreItem xmlns:ds="http://schemas.openxmlformats.org/officeDocument/2006/customXml" ds:itemID="{0A3F0192-5214-4C4A-B7A0-04C4BA581E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6fa8404-76f7-482b-b01c-8ba9f6d3ae5c"/>
    <ds:schemaRef ds:uri="6c1577e3-6bb1-444c-8e71-47d243e80f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RFOP</vt:lpstr>
      <vt:lpstr>Applicable Clauses-Provisions</vt:lpstr>
      <vt:lpstr>Technical &amp; Quality Requirement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 Nicholas A CIV USARMY ACC (USA)</dc:creator>
  <cp:lastModifiedBy>Weeden, Kaley H CIV USARMY ACC (USA)</cp:lastModifiedBy>
  <dcterms:created xsi:type="dcterms:W3CDTF">2025-09-16T15:44:36Z</dcterms:created>
  <dcterms:modified xsi:type="dcterms:W3CDTF">2026-05-07T17:07:55Z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0x010100DB964C69E2A2014984A7179C61D6ACC6</vt:lpwstr>
  </property>
</Properties>
</file>