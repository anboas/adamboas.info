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tables/table6.xml" ContentType="application/vnd.openxmlformats-officedocument.spreadsheetml.table+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drawings/drawing8.xml" ContentType="application/vnd.openxmlformats-officedocument.drawing+xml"/>
  <Override PartName="/xl/tables/table8.xml" ContentType="application/vnd.openxmlformats-officedocument.spreadsheetml.table+xml"/>
  <Override PartName="/xl/comments8.xml" ContentType="application/vnd.openxmlformats-officedocument.spreadsheetml.comments+xml"/>
  <Override PartName="/xl/drawings/drawing9.xml" ContentType="application/vnd.openxmlformats-officedocument.drawing+xml"/>
  <Override PartName="/xl/tables/table9.xml" ContentType="application/vnd.openxmlformats-officedocument.spreadsheetml.table+xml"/>
  <Override PartName="/xl/comments9.xml" ContentType="application/vnd.openxmlformats-officedocument.spreadsheetml.comments+xml"/>
  <Override PartName="/xl/drawings/drawing10.xml" ContentType="application/vnd.openxmlformats-officedocument.drawing+xml"/>
  <Override PartName="/xl/tables/table10.xml" ContentType="application/vnd.openxmlformats-officedocument.spreadsheetml.table+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gold.rtgold.nima.mil\home\nde_users_16\guc001\Profile\Desktop\"/>
    </mc:Choice>
  </mc:AlternateContent>
  <xr:revisionPtr revIDLastSave="0" documentId="13_ncr:1_{2DCEA1F3-01FC-4D59-B0E3-BC52008FA027}" xr6:coauthVersionLast="47" xr6:coauthVersionMax="47" xr10:uidLastSave="{00000000-0000-0000-0000-000000000000}"/>
  <bookViews>
    <workbookView xWindow="-120" yWindow="90" windowWidth="29040" windowHeight="17430" tabRatio="842" activeTab="11" xr2:uid="{00000000-000D-0000-FFFF-FFFF00000000}"/>
  </bookViews>
  <sheets>
    <sheet name="1 Introduction" sheetId="65" r:id="rId1"/>
    <sheet name="2 Program Info" sheetId="71" r:id="rId2"/>
    <sheet name=" 3 Contract Info" sheetId="37" r:id="rId3"/>
    <sheet name=" 4 WBS" sheetId="60" r:id="rId4"/>
    <sheet name=" 5 COTS-GOTS " sheetId="28" r:id="rId5"/>
    <sheet name="6 Agile Measures" sheetId="66" r:id="rId6"/>
    <sheet name=" 7 Agile Detail" sheetId="23" r:id="rId7"/>
    <sheet name="8 Code Counts" sheetId="74" r:id="rId8"/>
    <sheet name=" 9 Data Management" sheetId="35" r:id="rId9"/>
    <sheet name="10 Database" sheetId="64" r:id="rId10"/>
    <sheet name="11 Discrepancy Reports" sheetId="62" r:id="rId11"/>
    <sheet name="PickList Tables" sheetId="69" r:id="rId12"/>
  </sheets>
  <definedNames>
    <definedName name="_AtRisk_SimSetting_AutomaticallyGenerateReports" localSheetId="5" hidden="1">TRUE</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localSheetId="5" hidden="1">TRUE</definedName>
    <definedName name="_AtRisk_SimSetting_ConvergencePerformPercentileTest" hidden="1">FALSE</definedName>
    <definedName name="_AtRisk_SimSetting_ConvergencePerformStdDeviationTest" localSheetId="5" hidden="1">TRUE</definedName>
    <definedName name="_AtRisk_SimSetting_ConvergencePerformStdDeviationTest" hidden="1">FALSE</definedName>
    <definedName name="_AtRisk_SimSetting_ConvergenceTestAllOutputs" hidden="1">TRUE</definedName>
    <definedName name="_AtRisk_SimSetting_ConvergenceTestingPeriod" localSheetId="5" hidden="1">500</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localSheetId="5" hidden="1">TRUE</definedName>
    <definedName name="_AtRisk_SimSetting_LiveUpdate" hidden="1">FALSE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1024</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localSheetId="5" hidden="1">815</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localSheetId="5" hidden="1">FALSE</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localSheetId="5"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3" hidden="1">' 4 WBS'!$A$24:$I$142</definedName>
    <definedName name="_xlnm._FilterDatabase" localSheetId="11" hidden="1">'PickList Tables'!#REF!</definedName>
    <definedName name="_Order1" hidden="1">255</definedName>
    <definedName name="_Regression_Int" hidden="1">1</definedName>
    <definedName name="Activity">'PickList Tables'!$L$22:$L$24</definedName>
    <definedName name="anscount" hidden="1">1</definedName>
    <definedName name="Category">Table208[Equipment Category]</definedName>
    <definedName name="Contract_Type">'PickList Tables'!$B$22:$B$41</definedName>
    <definedName name="COTS_GOTS">'PickList Tables'!$F$22:$F$24</definedName>
    <definedName name="Data_Description">'PickList Tables'!$AB$22:$AB$28</definedName>
    <definedName name="Data_Management">'PickList Tables'!$P$22:$P$23</definedName>
    <definedName name="Development_Strategy">'PickList Tables'!$J$22:$J$29</definedName>
    <definedName name="Domain_Level">'PickList Tables'!$T$22:$T$25</definedName>
    <definedName name="ECP">'PickList Tables'!$N$22:$N$26</definedName>
    <definedName name="Functions">'PickList Tables'!$D$22:$D$28</definedName>
    <definedName name="Information_Assurance">'PickList Tables'!$AD$22:$AD$27</definedName>
    <definedName name="intTrgt_Col_Nbr" localSheetId="0" hidden="1">#REF!</definedName>
    <definedName name="intTrgt_Col_Nbr" localSheetId="9" hidden="1">#REF!</definedName>
    <definedName name="intTrgt_Col_Nbr" localSheetId="10" hidden="1">#REF!</definedName>
    <definedName name="intTrgt_Col_Nbr" localSheetId="11" hidden="1">#REF!</definedName>
    <definedName name="intTrgt_Col_Nbr" hidden="1">#REF!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limcount" hidden="1">1</definedName>
    <definedName name="Networking">'PickList Tables'!$AP$22:$AP$23</definedName>
    <definedName name="NoT">'PickList Tables'!$V$22:$V$25</definedName>
    <definedName name="Pal_Workbook_GUID" hidden="1">"XHDW82QTAEC8FHW9FYY9QRN7"</definedName>
    <definedName name="Performance_Attributes">'PickList Tables'!$X$22:$X$25</definedName>
    <definedName name="Pricing_Strategy">'PickList Tables'!$H$22:$H$29</definedName>
    <definedName name="Protection_Level">'PickList Tables'!$AH$22:$AH$27</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localSheetId="5" hidden="1">1</definedName>
    <definedName name="RiskFixedSeed" hidden="1">999</definedName>
    <definedName name="RiskHasSettings" hidden="1">5</definedName>
    <definedName name="RiskMinimizeOnStart" hidden="1">FALSE</definedName>
    <definedName name="RiskMonitorConvergence" hidden="1">FALSE</definedName>
    <definedName name="RiskMultipleCPUSupportEnabled" hidden="1">FALSE</definedName>
    <definedName name="RiskNumIterations" localSheetId="5" hidden="1">5000</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localSheetId="5" hidden="1">2</definedName>
    <definedName name="RiskSamplingType" hidden="1">3</definedName>
    <definedName name="RiskStandardRecalc" localSheetId="5" hidden="1">2</definedName>
    <definedName name="RiskStandardRecalc" hidden="1">1</definedName>
    <definedName name="RiskUpdateDisplay" localSheetId="5" hidden="1">TRUE</definedName>
    <definedName name="RiskUpdateDisplay" hidden="1">FALSE</definedName>
    <definedName name="RiskUseDifferentSeedForEachSim" hidden="1">FALSE</definedName>
    <definedName name="RiskUseFixedSeed" localSheetId="5" hidden="1">FALSE</definedName>
    <definedName name="RiskUseFixedSeed" hidden="1">TRUE</definedName>
    <definedName name="RiskUseMultipleCPUs" hidden="1">FALSE</definedName>
    <definedName name="Security">'PickList Tables'!$Z$22:$Z$26</definedName>
    <definedName name="sencount" hidden="1">1</definedName>
    <definedName name="Servers">'PickList Tables'!$AL$22:$AL$23</definedName>
    <definedName name="Services">'PickList Tables'!$AT$22:$AT$28</definedName>
    <definedName name="Storage">'PickList Tables'!$AR$22:$AR$26</definedName>
    <definedName name="SW_Code_Type">'PickList Tables'!$AF$22:$AF$26</definedName>
    <definedName name="Workstations">'PickList Tables'!$AN$22:$AN$23</definedName>
    <definedName name="wrn.COVERS." localSheetId="0" hidden="1">{#N/A,#N/A,FALSE,"81CFSRCV"}</definedName>
    <definedName name="wrn.COVERS." localSheetId="9" hidden="1">{#N/A,#N/A,FALSE,"81CFSRCV"}</definedName>
    <definedName name="wrn.COVERS." localSheetId="10" hidden="1">{#N/A,#N/A,FALSE,"81CFSRCV"}</definedName>
    <definedName name="wrn.COVERS." localSheetId="11" hidden="1">{#N/A,#N/A,FALSE,"81CFSRCV"}</definedName>
    <definedName name="wrn.COVERS." hidden="1">{#N/A,#N/A,FALSE,"81CFSRCV"}</definedName>
    <definedName name="YN_Option">'PickList Tables'!$R$22:$R$24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3" i="74" l="1"/>
  <c r="Q34" i="74"/>
  <c r="Q35" i="74"/>
  <c r="Q36" i="74"/>
  <c r="Q37" i="74"/>
  <c r="Q38" i="74"/>
  <c r="Q39" i="74"/>
  <c r="Q40" i="74"/>
  <c r="Q41" i="74"/>
  <c r="Q42" i="74"/>
  <c r="Q43" i="74"/>
  <c r="Q44" i="74"/>
  <c r="Q45" i="74"/>
  <c r="Q46" i="74"/>
  <c r="Q47" i="74"/>
  <c r="Q48" i="74"/>
  <c r="Q49" i="74"/>
  <c r="Q50" i="74"/>
  <c r="Q51" i="74"/>
  <c r="Q52" i="74"/>
  <c r="Q53" i="74"/>
  <c r="Q54" i="74"/>
  <c r="Q55" i="74"/>
  <c r="Q56" i="74"/>
  <c r="Q57" i="74"/>
  <c r="Q58" i="74"/>
  <c r="Q59" i="74"/>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J152" i="66"/>
  <c r="G20" i="66" s="1"/>
  <c r="K152" i="66"/>
  <c r="G21" i="66" s="1"/>
  <c r="I152" i="66"/>
  <c r="F21" i="66" s="1"/>
  <c r="H152" i="66"/>
  <c r="F20" i="66" s="1"/>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D33" i="74"/>
  <c r="D34" i="74"/>
  <c r="D35" i="74"/>
  <c r="D36" i="74"/>
  <c r="D37" i="74"/>
  <c r="D38" i="74"/>
  <c r="D39" i="74"/>
  <c r="D40" i="74"/>
  <c r="D41" i="74"/>
  <c r="D42" i="74"/>
  <c r="D43" i="74"/>
  <c r="D44" i="74"/>
  <c r="D45" i="74"/>
  <c r="D46" i="74"/>
  <c r="D47" i="74"/>
  <c r="D48" i="74"/>
  <c r="D49" i="74"/>
  <c r="D50" i="74"/>
  <c r="D51" i="74"/>
  <c r="D52" i="74"/>
  <c r="D53" i="74"/>
  <c r="D54" i="74"/>
  <c r="D55" i="74"/>
  <c r="D56" i="74"/>
  <c r="D57" i="74"/>
  <c r="D58" i="74"/>
  <c r="D59" i="74"/>
  <c r="C33" i="74"/>
  <c r="C34" i="74"/>
  <c r="C35" i="74"/>
  <c r="C36" i="74"/>
  <c r="C37" i="74"/>
  <c r="C38" i="74"/>
  <c r="C39" i="74"/>
  <c r="C40" i="74"/>
  <c r="C41" i="74"/>
  <c r="C42" i="74"/>
  <c r="C43" i="74"/>
  <c r="C44" i="74"/>
  <c r="C45" i="74"/>
  <c r="C46" i="74"/>
  <c r="C47" i="74"/>
  <c r="C48" i="74"/>
  <c r="C49" i="74"/>
  <c r="C50" i="74"/>
  <c r="C51" i="74"/>
  <c r="C52" i="74"/>
  <c r="C53" i="74"/>
  <c r="C54" i="74"/>
  <c r="C55" i="74"/>
  <c r="C56" i="74"/>
  <c r="C57" i="74"/>
  <c r="C58" i="74"/>
  <c r="C59" i="74"/>
  <c r="B33" i="74" a="1"/>
  <c r="B33" i="74" s="1"/>
  <c r="B34" i="74" a="1"/>
  <c r="B34" i="74" s="1"/>
  <c r="B35" i="74" a="1"/>
  <c r="B35" i="74" s="1"/>
  <c r="B36" i="74" a="1"/>
  <c r="B36" i="74" s="1"/>
  <c r="B37" i="74" a="1"/>
  <c r="B37" i="74" s="1"/>
  <c r="B38" i="74" a="1"/>
  <c r="B38" i="74" s="1"/>
  <c r="B39" i="74" a="1"/>
  <c r="B39" i="74" s="1"/>
  <c r="B40" i="74" a="1"/>
  <c r="B40" i="74" s="1"/>
  <c r="B41" i="74" a="1"/>
  <c r="B41" i="74"/>
  <c r="B42" i="74" a="1"/>
  <c r="B42" i="74" s="1"/>
  <c r="B43" i="74" a="1"/>
  <c r="B43" i="74" s="1"/>
  <c r="B44" i="74" a="1"/>
  <c r="B44" i="74" s="1"/>
  <c r="B45" i="74" a="1"/>
  <c r="B45" i="74" s="1"/>
  <c r="B46" i="74" a="1"/>
  <c r="B46" i="74" s="1"/>
  <c r="B47" i="74" a="1"/>
  <c r="B47" i="74" s="1"/>
  <c r="B48" i="74" a="1"/>
  <c r="B48" i="74" s="1"/>
  <c r="B49" i="74" a="1"/>
  <c r="B49" i="74" s="1"/>
  <c r="B50" i="74" a="1"/>
  <c r="B50" i="74" s="1"/>
  <c r="B51" i="74" a="1"/>
  <c r="B51" i="74" s="1"/>
  <c r="B52" i="74" a="1"/>
  <c r="B52" i="74" s="1"/>
  <c r="B53" i="74" a="1"/>
  <c r="B53" i="74" s="1"/>
  <c r="B54" i="74" a="1"/>
  <c r="B54" i="74" s="1"/>
  <c r="B55" i="74" a="1"/>
  <c r="B55" i="74" s="1"/>
  <c r="B56" i="74" a="1"/>
  <c r="B56" i="74" s="1"/>
  <c r="B57" i="74" a="1"/>
  <c r="B57" i="74" s="1"/>
  <c r="B58" i="74" a="1"/>
  <c r="B58" i="74" s="1"/>
  <c r="B59" i="74" a="1"/>
  <c r="B59" i="74" s="1"/>
  <c r="C58" i="37" l="1"/>
  <c r="C59" i="37"/>
  <c r="C60" i="37"/>
  <c r="C61" i="37"/>
  <c r="C62" i="37"/>
  <c r="C63" i="37"/>
  <c r="C64" i="37"/>
  <c r="C65" i="37"/>
  <c r="C66" i="37"/>
  <c r="C67" i="37"/>
  <c r="C68" i="37"/>
  <c r="C69" i="37"/>
  <c r="B28" i="62" l="1" a="1"/>
  <c r="B28" i="62" s="1"/>
  <c r="B29" i="62" a="1"/>
  <c r="B29" i="62" s="1"/>
  <c r="B30" i="62" a="1"/>
  <c r="B30" i="62" s="1"/>
  <c r="B31" i="62" a="1"/>
  <c r="B31" i="62" s="1"/>
  <c r="B32" i="62" a="1"/>
  <c r="B32" i="62" s="1"/>
  <c r="B33" i="62" a="1"/>
  <c r="B33" i="62"/>
  <c r="B34" i="62" a="1"/>
  <c r="B34" i="62" s="1"/>
  <c r="B35" i="62" a="1"/>
  <c r="B35" i="62" s="1"/>
  <c r="B36" i="62" a="1"/>
  <c r="B36" i="62" s="1"/>
  <c r="B37" i="62" a="1"/>
  <c r="B37" i="62" s="1"/>
  <c r="B38" i="62" a="1"/>
  <c r="B38" i="62" s="1"/>
  <c r="B39" i="62" a="1"/>
  <c r="B39" i="62" s="1"/>
  <c r="B40" i="62" a="1"/>
  <c r="B40" i="62" s="1"/>
  <c r="B41" i="62" a="1"/>
  <c r="B41" i="62" s="1"/>
  <c r="B42" i="62" a="1"/>
  <c r="B42" i="62" s="1"/>
  <c r="B43" i="62" a="1"/>
  <c r="B43" i="62" s="1"/>
  <c r="B44" i="62" a="1"/>
  <c r="B44" i="62" s="1"/>
  <c r="B45" i="62" a="1"/>
  <c r="B45" i="62"/>
  <c r="B46" i="62" a="1"/>
  <c r="B46" i="62" s="1"/>
  <c r="B47" i="62" a="1"/>
  <c r="B47" i="62" s="1"/>
  <c r="B48" i="62" a="1"/>
  <c r="B48" i="62" s="1"/>
  <c r="B49" i="62" a="1"/>
  <c r="B49" i="62" s="1"/>
  <c r="B50" i="62" a="1"/>
  <c r="B50" i="62" s="1"/>
  <c r="B51" i="62" a="1"/>
  <c r="B51" i="62"/>
  <c r="B52" i="62" a="1"/>
  <c r="B52" i="62" s="1"/>
  <c r="B27" i="62" a="1"/>
  <c r="B27" i="62"/>
  <c r="B21" i="62" a="1"/>
  <c r="B21" i="62" s="1"/>
  <c r="B22" i="62" a="1"/>
  <c r="B22" i="62"/>
  <c r="B23" i="62" a="1"/>
  <c r="B23" i="62" s="1"/>
  <c r="B20" i="62" a="1"/>
  <c r="B20" i="62" s="1"/>
  <c r="B18" i="64" a="1"/>
  <c r="B18" i="64" s="1"/>
  <c r="B19" i="64" a="1"/>
  <c r="B19" i="64" s="1"/>
  <c r="B20" i="64" a="1"/>
  <c r="B20" i="64"/>
  <c r="B21" i="64" a="1"/>
  <c r="B21" i="64" s="1"/>
  <c r="B22" i="64" a="1"/>
  <c r="B22" i="64" s="1"/>
  <c r="B23" i="64" a="1"/>
  <c r="B23" i="64"/>
  <c r="B24" i="64" a="1"/>
  <c r="B24" i="64" s="1"/>
  <c r="B25" i="64" a="1"/>
  <c r="B25" i="64" s="1"/>
  <c r="B26" i="64" a="1"/>
  <c r="B26" i="64" s="1"/>
  <c r="B27" i="64" a="1"/>
  <c r="B27" i="64" s="1"/>
  <c r="B28" i="64" a="1"/>
  <c r="B28" i="64" s="1"/>
  <c r="B29" i="64" a="1"/>
  <c r="B29" i="64"/>
  <c r="B30" i="64" a="1"/>
  <c r="B30" i="64" s="1"/>
  <c r="B31" i="64" a="1"/>
  <c r="B31" i="64" s="1"/>
  <c r="B32" i="64" a="1"/>
  <c r="B32" i="64"/>
  <c r="B33" i="64" a="1"/>
  <c r="B33" i="64" s="1"/>
  <c r="B34" i="64" a="1"/>
  <c r="B34" i="64" s="1"/>
  <c r="B35" i="64" a="1"/>
  <c r="B35" i="64" s="1"/>
  <c r="B36" i="64" a="1"/>
  <c r="B36" i="64" s="1"/>
  <c r="B37" i="64" a="1"/>
  <c r="B37" i="64" s="1"/>
  <c r="B38" i="64" a="1"/>
  <c r="B38" i="64"/>
  <c r="B20" i="35" a="1"/>
  <c r="B20" i="35" s="1"/>
  <c r="B21" i="35" a="1"/>
  <c r="B21" i="35" s="1"/>
  <c r="B22" i="35" a="1"/>
  <c r="B22" i="35" s="1"/>
  <c r="B23" i="35" a="1"/>
  <c r="B23" i="35" s="1"/>
  <c r="B24" i="35" a="1"/>
  <c r="B24" i="35" s="1"/>
  <c r="B25" i="35" a="1"/>
  <c r="B25" i="35"/>
  <c r="B26" i="35" a="1"/>
  <c r="B26" i="35" s="1"/>
  <c r="B27" i="35" a="1"/>
  <c r="B27" i="35"/>
  <c r="B28" i="35" a="1"/>
  <c r="B28" i="35"/>
  <c r="B29" i="35" a="1"/>
  <c r="B29" i="35" s="1"/>
  <c r="B30" i="35" a="1"/>
  <c r="B30" i="35"/>
  <c r="B31" i="35" a="1"/>
  <c r="B31" i="35" s="1"/>
  <c r="B32" i="35" a="1"/>
  <c r="B32" i="35" s="1"/>
  <c r="B33" i="35" a="1"/>
  <c r="B33" i="35" s="1"/>
  <c r="B34" i="35" a="1"/>
  <c r="B34" i="35"/>
  <c r="B35" i="35" a="1"/>
  <c r="B35" i="35" s="1"/>
  <c r="B36" i="35" a="1"/>
  <c r="B36" i="35"/>
  <c r="B37" i="35" a="1"/>
  <c r="B37" i="35"/>
  <c r="B38" i="35" a="1"/>
  <c r="B38" i="35" s="1"/>
  <c r="B39" i="35" a="1"/>
  <c r="B39" i="35"/>
  <c r="B40" i="35" a="1"/>
  <c r="B40" i="35" s="1"/>
  <c r="B41" i="35" a="1"/>
  <c r="B41" i="35" s="1"/>
  <c r="B42" i="35" a="1"/>
  <c r="B42" i="35" s="1"/>
  <c r="B43" i="35" a="1"/>
  <c r="B43" i="35"/>
  <c r="B44" i="35" a="1"/>
  <c r="B44" i="35" s="1"/>
  <c r="B45" i="35" a="1"/>
  <c r="B45" i="35"/>
  <c r="B46" i="35" a="1"/>
  <c r="B46" i="35"/>
  <c r="B47" i="35" a="1"/>
  <c r="B47" i="35" s="1"/>
  <c r="B48" i="35" a="1"/>
  <c r="B48" i="35"/>
  <c r="B49" i="35" a="1"/>
  <c r="B49" i="35" s="1"/>
  <c r="B50" i="35" a="1"/>
  <c r="B50" i="35" s="1"/>
  <c r="B51" i="35" a="1"/>
  <c r="B51" i="35" s="1"/>
  <c r="B52" i="35" a="1"/>
  <c r="B52" i="35"/>
  <c r="B53" i="35" a="1"/>
  <c r="B53" i="35" s="1"/>
  <c r="B23" i="23" a="1"/>
  <c r="B23" i="23" s="1"/>
  <c r="B24" i="23" a="1"/>
  <c r="B24" i="23" s="1"/>
  <c r="B25" i="23" a="1"/>
  <c r="B25" i="23" s="1"/>
  <c r="B26" i="23" a="1"/>
  <c r="B26" i="23" s="1"/>
  <c r="B27" i="23" a="1"/>
  <c r="B27" i="23" s="1"/>
  <c r="B28" i="23" a="1"/>
  <c r="B28" i="23" s="1"/>
  <c r="B29" i="23" a="1"/>
  <c r="B29" i="23" s="1"/>
  <c r="B30" i="23" a="1"/>
  <c r="B30" i="23" s="1"/>
  <c r="B31" i="23" a="1"/>
  <c r="B31" i="23" s="1"/>
  <c r="B32" i="23" a="1"/>
  <c r="B32" i="23" s="1"/>
  <c r="B33" i="23" a="1"/>
  <c r="B33" i="23" s="1"/>
  <c r="B34" i="23" a="1"/>
  <c r="B34" i="23" s="1"/>
  <c r="B35" i="23" a="1"/>
  <c r="B35" i="23" s="1"/>
  <c r="B36" i="23" a="1"/>
  <c r="B36" i="23" s="1"/>
  <c r="B37" i="23" a="1"/>
  <c r="B37" i="23" s="1"/>
  <c r="B38" i="23" a="1"/>
  <c r="B38" i="23" s="1"/>
  <c r="B39" i="23" a="1"/>
  <c r="B39" i="23" s="1"/>
  <c r="B40" i="23" a="1"/>
  <c r="B40" i="23" s="1"/>
  <c r="B41" i="23" a="1"/>
  <c r="B41" i="23" s="1"/>
  <c r="B42" i="23" a="1"/>
  <c r="B42" i="23" s="1"/>
  <c r="B43" i="23" a="1"/>
  <c r="B43" i="23" s="1"/>
  <c r="B44" i="23" a="1"/>
  <c r="B44" i="23" s="1"/>
  <c r="B45" i="23" a="1"/>
  <c r="B45" i="23" s="1"/>
  <c r="B46" i="23" a="1"/>
  <c r="B46" i="23" s="1"/>
  <c r="B47" i="23" a="1"/>
  <c r="B47" i="23" s="1"/>
  <c r="B48" i="23" a="1"/>
  <c r="B48" i="23" s="1"/>
  <c r="B49" i="23" a="1"/>
  <c r="B49" i="23" s="1"/>
  <c r="B50" i="23" a="1"/>
  <c r="B50" i="23" s="1"/>
  <c r="B26" i="28" a="1"/>
  <c r="B26" i="28" s="1"/>
  <c r="B27" i="28" a="1"/>
  <c r="B27" i="28" s="1"/>
  <c r="B28" i="28" a="1"/>
  <c r="B28" i="28" s="1"/>
  <c r="B29" i="28" a="1"/>
  <c r="B29" i="28" s="1"/>
  <c r="B30" i="28" a="1"/>
  <c r="B30" i="28" s="1"/>
  <c r="B31" i="28" a="1"/>
  <c r="B31" i="28" s="1"/>
  <c r="B32" i="28" a="1"/>
  <c r="B32" i="28" s="1"/>
  <c r="B33" i="28" a="1"/>
  <c r="B33" i="28" s="1"/>
  <c r="B34" i="28" a="1"/>
  <c r="B34" i="28" s="1"/>
  <c r="B35" i="28" a="1"/>
  <c r="B35" i="28" s="1"/>
  <c r="B36" i="28" a="1"/>
  <c r="B36" i="28" s="1"/>
  <c r="B37" i="28" a="1"/>
  <c r="B37" i="28" s="1"/>
  <c r="B38" i="28" a="1"/>
  <c r="B38" i="28" s="1"/>
  <c r="B39" i="28" a="1"/>
  <c r="B39" i="28" s="1"/>
  <c r="B40" i="28" a="1"/>
  <c r="B40" i="28" s="1"/>
  <c r="B41" i="28" a="1"/>
  <c r="B41" i="28" s="1"/>
  <c r="B42" i="28" a="1"/>
  <c r="B42" i="28" s="1"/>
  <c r="B43" i="28" a="1"/>
  <c r="B43" i="28" s="1"/>
  <c r="B44" i="28" a="1"/>
  <c r="B44" i="28" s="1"/>
  <c r="B45" i="28" a="1"/>
  <c r="B45" i="28" s="1"/>
  <c r="B46" i="28" a="1"/>
  <c r="B46" i="28" s="1"/>
  <c r="B47" i="28" a="1"/>
  <c r="B47" i="28" s="1"/>
  <c r="B58" i="37" a="1"/>
  <c r="B58" i="37" s="1"/>
  <c r="B59" i="37" a="1"/>
  <c r="B59" i="37" s="1"/>
  <c r="B60" i="37" a="1"/>
  <c r="B60" i="37"/>
  <c r="B61" i="37" a="1"/>
  <c r="B61" i="37" s="1"/>
  <c r="B62" i="37" a="1"/>
  <c r="B62" i="37"/>
  <c r="B63" i="37" a="1"/>
  <c r="B63" i="37"/>
  <c r="B64" i="37" a="1"/>
  <c r="B64" i="37" s="1"/>
  <c r="B65" i="37" a="1"/>
  <c r="B65" i="37"/>
  <c r="B66" i="37" a="1"/>
  <c r="B66" i="37" s="1"/>
  <c r="B67" i="37" a="1"/>
  <c r="B67" i="37" s="1"/>
  <c r="B68" i="37" a="1"/>
  <c r="B68" i="37" s="1"/>
  <c r="B69" i="37" a="1"/>
  <c r="B69" i="37"/>
  <c r="B37" i="71" l="1" a="1"/>
  <c r="B37" i="71"/>
  <c r="B38" i="71" a="1"/>
  <c r="B38" i="71" s="1"/>
  <c r="B39" i="71" a="1"/>
  <c r="B39" i="71"/>
  <c r="B40" i="71" a="1"/>
  <c r="B40" i="71" s="1"/>
  <c r="B41" i="71" a="1"/>
  <c r="B41" i="71" s="1"/>
  <c r="B42" i="71" a="1"/>
  <c r="B42" i="71" s="1"/>
  <c r="B43" i="71" a="1"/>
  <c r="B43" i="71"/>
  <c r="B44" i="71" a="1"/>
  <c r="B44" i="71" s="1"/>
  <c r="B45" i="71" a="1"/>
  <c r="B45" i="71"/>
  <c r="B46" i="71" a="1"/>
  <c r="B46" i="71"/>
  <c r="B47" i="71" a="1"/>
  <c r="B47" i="71" s="1"/>
  <c r="B48" i="71" a="1"/>
  <c r="B48" i="71"/>
  <c r="B49" i="71" a="1"/>
  <c r="B49" i="71" s="1"/>
  <c r="B50" i="71" a="1"/>
  <c r="B50" i="71" s="1"/>
  <c r="B51" i="71" a="1"/>
  <c r="B51" i="71" s="1"/>
  <c r="B52" i="71" a="1"/>
  <c r="B52" i="71"/>
  <c r="B53" i="71" a="1"/>
  <c r="B53" i="71" s="1"/>
  <c r="B54" i="71" a="1"/>
  <c r="B54" i="71"/>
  <c r="B55" i="71" a="1"/>
  <c r="B55" i="71"/>
  <c r="B56" i="71" a="1"/>
  <c r="B56" i="71" s="1"/>
  <c r="B57" i="71" a="1"/>
  <c r="B57" i="71"/>
  <c r="B58" i="71" a="1"/>
  <c r="B58" i="71" s="1"/>
  <c r="B59" i="71" a="1"/>
  <c r="B59" i="71" s="1"/>
  <c r="B60" i="71" a="1"/>
  <c r="B60" i="71" s="1"/>
  <c r="B61" i="71" a="1"/>
  <c r="B61" i="71"/>
  <c r="B62" i="71" a="1"/>
  <c r="B62" i="71" s="1"/>
  <c r="B63" i="71" a="1"/>
  <c r="B63" i="71"/>
  <c r="B64" i="71" a="1"/>
  <c r="B64" i="71"/>
  <c r="B65" i="71" a="1"/>
  <c r="B65" i="71" s="1"/>
  <c r="B66" i="71" a="1"/>
  <c r="B66" i="71"/>
  <c r="B67" i="71" a="1"/>
  <c r="B67" i="71" s="1"/>
  <c r="B68" i="71" a="1"/>
  <c r="B68" i="71" s="1"/>
  <c r="B69" i="71" a="1"/>
  <c r="B69" i="71" s="1"/>
  <c r="B36" i="71" a="1"/>
  <c r="B36" i="71" s="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28" i="62" l="1"/>
  <c r="D28" i="62"/>
  <c r="E28" i="62"/>
  <c r="C29" i="62"/>
  <c r="D29" i="62"/>
  <c r="E29" i="62"/>
  <c r="C30" i="62"/>
  <c r="D30" i="62"/>
  <c r="E30" i="62"/>
  <c r="C31" i="62"/>
  <c r="D31" i="62"/>
  <c r="E31" i="62"/>
  <c r="C32" i="62"/>
  <c r="D32" i="62"/>
  <c r="E32" i="62"/>
  <c r="C33" i="62"/>
  <c r="D33" i="62"/>
  <c r="E33" i="62"/>
  <c r="C34" i="62"/>
  <c r="D34" i="62"/>
  <c r="E34" i="62"/>
  <c r="C35" i="62"/>
  <c r="D35" i="62"/>
  <c r="E35" i="62"/>
  <c r="C36" i="62"/>
  <c r="D36" i="62"/>
  <c r="E36" i="62"/>
  <c r="C37" i="62"/>
  <c r="D37" i="62"/>
  <c r="E37" i="62"/>
  <c r="C38" i="62"/>
  <c r="D38" i="62"/>
  <c r="E38" i="62"/>
  <c r="C39" i="62"/>
  <c r="D39" i="62"/>
  <c r="E39" i="62"/>
  <c r="C40" i="62"/>
  <c r="D40" i="62"/>
  <c r="E40" i="62"/>
  <c r="C41" i="62"/>
  <c r="D41" i="62"/>
  <c r="E41" i="62"/>
  <c r="C42" i="62"/>
  <c r="D42" i="62"/>
  <c r="E42" i="62"/>
  <c r="C43" i="62"/>
  <c r="D43" i="62"/>
  <c r="E43" i="62"/>
  <c r="C44" i="62"/>
  <c r="D44" i="62"/>
  <c r="E44" i="62"/>
  <c r="C45" i="62"/>
  <c r="D45" i="62"/>
  <c r="E45" i="62"/>
  <c r="C46" i="62"/>
  <c r="D46" i="62"/>
  <c r="E46" i="62"/>
  <c r="C47" i="62"/>
  <c r="D47" i="62"/>
  <c r="E47" i="62"/>
  <c r="C48" i="62"/>
  <c r="D48" i="62"/>
  <c r="E48" i="62"/>
  <c r="C49" i="62"/>
  <c r="D49" i="62"/>
  <c r="E49" i="62"/>
  <c r="C50" i="62"/>
  <c r="D50" i="62"/>
  <c r="E50" i="62"/>
  <c r="C51" i="62"/>
  <c r="D51" i="62"/>
  <c r="E51" i="62"/>
  <c r="C52" i="62"/>
  <c r="D52" i="62"/>
  <c r="E52" i="62"/>
  <c r="E27" i="62"/>
  <c r="D27" i="62"/>
  <c r="C27" i="62"/>
  <c r="C18" i="64"/>
  <c r="C19" i="64"/>
  <c r="C20" i="64"/>
  <c r="C21" i="64"/>
  <c r="C22" i="64"/>
  <c r="C23" i="64"/>
  <c r="C24" i="64"/>
  <c r="C25" i="64"/>
  <c r="C26" i="64"/>
  <c r="C27" i="64"/>
  <c r="C28" i="64"/>
  <c r="C29" i="64"/>
  <c r="C30" i="64"/>
  <c r="C31" i="64"/>
  <c r="C32" i="64"/>
  <c r="C33" i="64"/>
  <c r="C34" i="64"/>
  <c r="C35" i="64"/>
  <c r="C36" i="64"/>
  <c r="C37" i="64"/>
  <c r="C38" i="64"/>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52" i="35"/>
  <c r="E53" i="35"/>
  <c r="D20" i="35"/>
  <c r="D21" i="35"/>
  <c r="D22" i="35"/>
  <c r="D23" i="35"/>
  <c r="D24" i="35"/>
  <c r="D25" i="35"/>
  <c r="D26" i="35"/>
  <c r="D27" i="35"/>
  <c r="D28" i="35"/>
  <c r="D29" i="35"/>
  <c r="D30" i="35"/>
  <c r="D31" i="35"/>
  <c r="D32" i="35"/>
  <c r="D33" i="35"/>
  <c r="D34" i="35"/>
  <c r="D35" i="35"/>
  <c r="D36" i="35"/>
  <c r="D37" i="35"/>
  <c r="D38" i="35"/>
  <c r="D39" i="35"/>
  <c r="D40" i="35"/>
  <c r="D41" i="35"/>
  <c r="D42" i="35"/>
  <c r="D43" i="35"/>
  <c r="D44" i="35"/>
  <c r="D45" i="35"/>
  <c r="D46" i="35"/>
  <c r="D47" i="35"/>
  <c r="D48" i="35"/>
  <c r="D49" i="35"/>
  <c r="D50" i="35"/>
  <c r="D51" i="35"/>
  <c r="D52" i="35"/>
  <c r="D53" i="35"/>
  <c r="C20" i="35"/>
  <c r="C21" i="35"/>
  <c r="C22" i="35"/>
  <c r="C23" i="35"/>
  <c r="C24" i="35"/>
  <c r="C25" i="35"/>
  <c r="C26" i="35"/>
  <c r="C27" i="35"/>
  <c r="C28" i="35"/>
  <c r="C29" i="35"/>
  <c r="C30" i="35"/>
  <c r="C31" i="35"/>
  <c r="C32" i="35"/>
  <c r="C33" i="35"/>
  <c r="C34" i="35"/>
  <c r="C35" i="35"/>
  <c r="C36" i="35"/>
  <c r="C37" i="35"/>
  <c r="C38" i="35"/>
  <c r="C39" i="35"/>
  <c r="C40" i="35"/>
  <c r="C41" i="35"/>
  <c r="C42" i="35"/>
  <c r="C43" i="35"/>
  <c r="C44" i="35"/>
  <c r="C45" i="35"/>
  <c r="C46" i="35"/>
  <c r="C47" i="35"/>
  <c r="C48" i="35"/>
  <c r="C49" i="35"/>
  <c r="C50" i="35"/>
  <c r="C51" i="35"/>
  <c r="C52" i="35"/>
  <c r="C53" i="35"/>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26" i="28"/>
  <c r="C27" i="28"/>
  <c r="C28" i="28"/>
  <c r="C29" i="28"/>
  <c r="C30" i="28"/>
  <c r="C31" i="28"/>
  <c r="C32" i="28"/>
  <c r="C33" i="28"/>
  <c r="C34" i="28"/>
  <c r="C35" i="28"/>
  <c r="C36" i="28"/>
  <c r="C37" i="28"/>
  <c r="C38" i="28"/>
  <c r="C39" i="28"/>
  <c r="C40" i="28"/>
  <c r="C41" i="28"/>
  <c r="C42" i="28"/>
  <c r="C43" i="28"/>
  <c r="C44" i="28"/>
  <c r="C45" i="28"/>
  <c r="C46" i="28"/>
  <c r="C47"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Trung C. Trieu-DNI-Y-</author>
  </authors>
  <commentList>
    <comment ref="J2" authorId="0" shapeId="0" xr:uid="{6BDB49D8-55BD-41E2-971D-9948596DBCA2}">
      <text>
        <r>
          <rPr>
            <sz val="9"/>
            <color indexed="81"/>
            <rFont val="Tahoma"/>
            <family val="2"/>
          </rPr>
          <t>Please classify each tab appropriately, if populated.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Trung C. Trieu-DNI-Y-</author>
    <author>woollej</author>
    <author>Saumil S. Shah-DNI-Y-</author>
    <author>Jennifer G. Woolley-DNI-Y-</author>
    <author>Davis Aubrey M NGA-DXAC USA CTR</author>
    <author>Rhodes Kenneth S NGA DXAC USA CTR</author>
  </authors>
  <commentList>
    <comment ref="D2" authorId="0" shapeId="0" xr:uid="{F16A2827-5F9E-4385-9593-7AECD1B1297A}">
      <text>
        <r>
          <rPr>
            <sz val="9"/>
            <color indexed="81"/>
            <rFont val="Tahoma"/>
            <family val="2"/>
          </rPr>
          <t>Please classify each tab appropriately, if populated.</t>
        </r>
      </text>
    </comment>
    <comment ref="B18" authorId="1" shapeId="0" xr:uid="{1A6943F2-4741-4154-9548-117832A3D876}">
      <text>
        <r>
          <rPr>
            <sz val="8"/>
            <color indexed="81"/>
            <rFont val="Tahoma"/>
            <family val="2"/>
          </rPr>
          <t>Official program name for the development/maintenance effort</t>
        </r>
      </text>
    </comment>
    <comment ref="C18" authorId="2" shapeId="0" xr:uid="{4E2B8B8D-CAC9-4F24-9339-A6A30BACF7BE}">
      <text>
        <r>
          <rPr>
            <sz val="9"/>
            <color indexed="81"/>
            <rFont val="Tahoma"/>
            <family val="2"/>
          </rPr>
          <t xml:space="preserve">Description of primary program capabilities to support the MSA/PSI/SIA being reported. This field only needs to be filled out if the MSA/PSI/SIA is supporting multiple functions.
</t>
        </r>
        <r>
          <rPr>
            <b/>
            <u/>
            <sz val="9"/>
            <color indexed="81"/>
            <rFont val="Tahoma"/>
            <family val="2"/>
          </rPr>
          <t>Data Analysis and Exploitation</t>
        </r>
        <r>
          <rPr>
            <sz val="9"/>
            <color indexed="81"/>
            <rFont val="Tahoma"/>
            <family val="2"/>
          </rPr>
          <t xml:space="preserve">
The Analysis and Exploitation function is responsible for examination of mission data (dissection, investigation, cross-referencing, etc.) and conversion of this data into finished intelligence. This includes manual and automated integration, evaluation and analysis of all available data. The process is completed with the preparation of intelligence products that include assessments of events and judgments about the implications of the information.
The Analysis and Exploitation function would include:
• Manage Need
• Manage Analytic Mission
• Perform Analysis
• Detection
• Change Detection
• Multi-INT Data Integration &amp; Fusion
• Classification
• Identification
• Association
• Tracking
• Forecasting
• Tipping
• Exploit Data Sets
</t>
        </r>
        <r>
          <rPr>
            <b/>
            <u/>
            <sz val="9"/>
            <color indexed="81"/>
            <rFont val="Tahoma"/>
            <family val="2"/>
          </rPr>
          <t>Command and Control (CC)</t>
        </r>
        <r>
          <rPr>
            <sz val="9"/>
            <color indexed="81"/>
            <rFont val="Tahoma"/>
            <family val="2"/>
          </rPr>
          <t xml:space="preserve">
The Command and Control (CC) function provides CC for the vehicle and payloads. This function decodes, demultiplexes, and decrypts telemetry, generates and encrypts commands for transmission and processes tracking data to generate ephemeris. This function provides the capability to prepare and output commands to receive and process telemetry, tracking, and other non-mission data from the vehicle. 
The Command and Control function would include:
• Schedule Execution
• Command Generation
• Uplink Data Generation
• Telemetry Processing
• State Management
• Vehicle Maintenance
• Space Vehicle Simulation
</t>
        </r>
        <r>
          <rPr>
            <b/>
            <u/>
            <sz val="9"/>
            <color indexed="81"/>
            <rFont val="Tahoma"/>
            <family val="2"/>
          </rPr>
          <t>Mission Management (MM)</t>
        </r>
        <r>
          <rPr>
            <sz val="9"/>
            <color indexed="81"/>
            <rFont val="Tahoma"/>
            <family val="2"/>
          </rPr>
          <t xml:space="preserve">
The Mission (Payload Data) Management function receives tasking, generates and provides the system and mission plans, schedules, and timelines for the vehicle and Ground Segment(s).
The Mission Management function would include:
• Task Management
• Mission Analysis
• Mission Plan Generation
• Collection Schedule Generation
• Real Time Schedule Management
• Orchestration
• Mission Execution
</t>
        </r>
        <r>
          <rPr>
            <b/>
            <u/>
            <sz val="9"/>
            <color indexed="81"/>
            <rFont val="Tahoma"/>
            <family val="2"/>
          </rPr>
          <t>Dissemination</t>
        </r>
        <r>
          <rPr>
            <sz val="9"/>
            <color indexed="81"/>
            <rFont val="Tahoma"/>
            <family val="2"/>
          </rPr>
          <t xml:space="preserve">
The Dissemination Function includes the timely distribution of intelligence products to departmental and agency intelligence consumers in a suitable form.  
The Dissemination function would include:
• Manage Enterprise Services
• Measure Content access
• Visualize GEOINT
• Organize Content
</t>
        </r>
        <r>
          <rPr>
            <b/>
            <u/>
            <sz val="9"/>
            <color indexed="81"/>
            <rFont val="Tahoma"/>
            <family val="2"/>
          </rPr>
          <t>Ground Terminal</t>
        </r>
        <r>
          <rPr>
            <sz val="9"/>
            <color indexed="81"/>
            <rFont val="Tahoma"/>
            <family val="2"/>
          </rPr>
          <t xml:space="preserve">
The Ground Terminal (GT) function receives, demodulates and conditions telemetry, tracking, command and mission (payload) data. In addition this system generates the radio frequency (RF) uplink, accepts tracking and command signals, and modulates them onto the RF uplink. 
The Ground Terminal function would include:
• GT Foundation / Field
• GT Antenna (a...n)
• GT Optical Communication Assembly (OCA) 
• GT RF and Digital Electronics (GTEL) (Band a...n)  
• GT Baseband Network and Data Handling Equipment (GTNW) 
• GT Monitor and Control (GTMC)
</t>
        </r>
        <r>
          <rPr>
            <b/>
            <u/>
            <sz val="9"/>
            <color indexed="81"/>
            <rFont val="Tahoma"/>
            <family val="2"/>
          </rPr>
          <t>Infrastructure &amp; Framework (I&amp;F)</t>
        </r>
        <r>
          <rPr>
            <sz val="9"/>
            <color indexed="81"/>
            <rFont val="Tahoma"/>
            <family val="2"/>
          </rPr>
          <t xml:space="preserve">
The Infrastructure &amp; Framework (I&amp;F) function includes hardware and/or software that supports multiple functions, supports engineering development of administrative networks, and/or supports development of systems required to interface to other ground segments (other programs) at the same Ground Site.
The Infrastructure &amp; Framework function would include:
• Compute
• Record
• Store
• Routing
• Distribution
• Service Broker
• Sharing
• Fusion
• Tools
</t>
        </r>
        <r>
          <rPr>
            <b/>
            <u/>
            <sz val="9"/>
            <color indexed="81"/>
            <rFont val="Tahoma"/>
            <family val="2"/>
          </rPr>
          <t>Mission Data Processing (MP)</t>
        </r>
        <r>
          <rPr>
            <sz val="9"/>
            <color indexed="81"/>
            <rFont val="Tahoma"/>
            <family val="2"/>
          </rPr>
          <t xml:space="preserve">
The Mission Data Processing function decodes, demultiplexes, decrypts and processes Mission data from the Payload(s) and provides usable data for analysis and exploitation.
The Mission Data Processing function would include:
• Data Conditioning
• Mission Data Processing
• Processing Workflow Management
• Mission Data Management
• Quality Assurance
</t>
        </r>
        <r>
          <rPr>
            <b/>
            <u/>
            <sz val="9"/>
            <color indexed="81"/>
            <rFont val="Tahoma"/>
            <family val="2"/>
          </rPr>
          <t>Tasking and Management</t>
        </r>
        <r>
          <rPr>
            <sz val="9"/>
            <color indexed="81"/>
            <rFont val="Tahoma"/>
            <family val="2"/>
          </rPr>
          <t xml:space="preserve">
The Tasking and Management function includes generating requests for data, delivering instructions to a collection element, and subsequently tracking the fulfillment of each request.
The Tasking and Management function would include:
• Manage Source Strategies
• Monitor Strategy Execution
• Determine Value
• Manage Supplier Needs
• Manage Source Models
</t>
        </r>
      </text>
    </comment>
    <comment ref="D18" authorId="2" shapeId="0" xr:uid="{1F274B0A-58BC-4D64-9E4D-D1450C897D78}">
      <text>
        <r>
          <rPr>
            <sz val="9"/>
            <color indexed="81"/>
            <rFont val="Tahoma"/>
            <family val="2"/>
          </rPr>
          <t xml:space="preserve">Description of secondary program capabilities to support the MSA/PSI/SIA being reported. This field only needs to be filled out if the MSA/PSI/SIA is supporting multiple functions.
</t>
        </r>
        <r>
          <rPr>
            <b/>
            <u/>
            <sz val="9"/>
            <color indexed="81"/>
            <rFont val="Tahoma"/>
            <family val="2"/>
          </rPr>
          <t>Data Analysis and Exploitation</t>
        </r>
        <r>
          <rPr>
            <sz val="9"/>
            <color indexed="81"/>
            <rFont val="Tahoma"/>
            <family val="2"/>
          </rPr>
          <t xml:space="preserve">
The Analysis and Exploitation function is responsible for examination of mission data (dissection, investigation, cross-referencing, etc.) and conversion of this data into finished intelligence. This includes manual and automated integration, evaluation and analysis of all available data. The process is completed with the preparation of intelligence products that include assessments of events and judgments about the implications of the information.
The Analysis and Exploitation function would include:
• Manage Need
• Manage Analytic Mission
• Perform Analysis
• Detection
• Change Detection
• Multi-INT Data Integration &amp; Fusion
• Classification
• Identification
• Association
• Tracking
• Forecasting
• Tipping
• Exploit Data Sets
</t>
        </r>
        <r>
          <rPr>
            <b/>
            <u/>
            <sz val="9"/>
            <color indexed="81"/>
            <rFont val="Tahoma"/>
            <family val="2"/>
          </rPr>
          <t>Command and Control (CC)</t>
        </r>
        <r>
          <rPr>
            <sz val="9"/>
            <color indexed="81"/>
            <rFont val="Tahoma"/>
            <family val="2"/>
          </rPr>
          <t xml:space="preserve">
The Command and Control (CC) function provides CC for the vehicle and payloads. This function decodes, demultiplexes, and decrypts telemetry, generates and encrypts commands for transmission and processes tracking data to generate ephemeris. This function provides the capability to prepare and output commands to receive and process telemetry, tracking, and other non-mission data from the vehicle. 
The Command and Control function would include:
• Schedule Execution
• Command Generation
• Uplink Data Generation
• Telemetry Processing
• State Management
• Vehicle Maintenance
• Space Vehicle Simulation
</t>
        </r>
        <r>
          <rPr>
            <b/>
            <u/>
            <sz val="9"/>
            <color indexed="81"/>
            <rFont val="Tahoma"/>
            <family val="2"/>
          </rPr>
          <t>Mission Management (MM)</t>
        </r>
        <r>
          <rPr>
            <sz val="9"/>
            <color indexed="81"/>
            <rFont val="Tahoma"/>
            <family val="2"/>
          </rPr>
          <t xml:space="preserve">
The Mission (Payload Data) Management function receives tasking, generates and provides the system and mission plans, schedules, and timelines for the vehicle and Ground Segment(s).
The Mission Management function would include:
• Task Management
• Mission Analysis
• Mission Plan Generation
• Collection Schedule Generation
• Real Time Schedule Management
• Orchestration
• Mission Execution
</t>
        </r>
        <r>
          <rPr>
            <b/>
            <u/>
            <sz val="9"/>
            <color indexed="81"/>
            <rFont val="Tahoma"/>
            <family val="2"/>
          </rPr>
          <t>Dissemination</t>
        </r>
        <r>
          <rPr>
            <sz val="9"/>
            <color indexed="81"/>
            <rFont val="Tahoma"/>
            <family val="2"/>
          </rPr>
          <t xml:space="preserve">
The Dissemination Function includes the timely distribution of intelligence products to departmental and agency intelligence consumers in a suitable form.  
The Dissemination function would include:
• Manage Enterprise Services
• Measure Content access
• Visualize GEOINT
• Organize Content
</t>
        </r>
        <r>
          <rPr>
            <b/>
            <u/>
            <sz val="9"/>
            <color indexed="81"/>
            <rFont val="Tahoma"/>
            <family val="2"/>
          </rPr>
          <t>Ground Terminal</t>
        </r>
        <r>
          <rPr>
            <sz val="9"/>
            <color indexed="81"/>
            <rFont val="Tahoma"/>
            <family val="2"/>
          </rPr>
          <t xml:space="preserve">
The Ground Terminal (GT) function receives, demodulates and conditions telemetry, tracking, command and mission (payload) data. In addition this system generates the radio frequency (RF) uplink, accepts tracking and command signals, and modulates them onto the RF uplink. 
The Ground Terminal function would include:
• GT Foundation / Field
• GT Antenna (a...n)
• GT Optical Communication Assembly (OCA) 
• GT RF and Digital Electronics (GTEL) (Band a...n)  
• GT Baseband Network and Data Handling Equipment (GTNW) 
• GT Monitor and Control (GTMC)
</t>
        </r>
        <r>
          <rPr>
            <b/>
            <u/>
            <sz val="9"/>
            <color indexed="81"/>
            <rFont val="Tahoma"/>
            <family val="2"/>
          </rPr>
          <t>Infrastructure &amp; Framework (I&amp;F)</t>
        </r>
        <r>
          <rPr>
            <sz val="9"/>
            <color indexed="81"/>
            <rFont val="Tahoma"/>
            <family val="2"/>
          </rPr>
          <t xml:space="preserve">
The Infrastructure &amp; Framework (I&amp;F) function includes hardware and/or software that supports multiple functions, supports engineering development of administrative networks, and/or supports development of systems required to interface to other ground segments (other programs) at the same Ground Site.
The Infrastructure &amp; Framework function would include:
• Compute
• Record
• Store
• Routing
• Distribution
• Service Broker
• Sharing
• Fusion
• Tools
</t>
        </r>
        <r>
          <rPr>
            <b/>
            <u/>
            <sz val="9"/>
            <color indexed="81"/>
            <rFont val="Tahoma"/>
            <family val="2"/>
          </rPr>
          <t>Mission Data Processing (MP)</t>
        </r>
        <r>
          <rPr>
            <sz val="9"/>
            <color indexed="81"/>
            <rFont val="Tahoma"/>
            <family val="2"/>
          </rPr>
          <t xml:space="preserve">
The Mission Data Processing function decodes, demultiplexes, decrypts and processes Mission data from the Payload(s) and provides usable data for analysis and exploitation.
The Mission Data Processing function would include:
• Data Conditioning
• Mission Data Processing
• Processing Workflow Management
• Mission Data Management
• Quality Assurance
</t>
        </r>
        <r>
          <rPr>
            <b/>
            <u/>
            <sz val="9"/>
            <color indexed="81"/>
            <rFont val="Tahoma"/>
            <family val="2"/>
          </rPr>
          <t>Tasking and Management</t>
        </r>
        <r>
          <rPr>
            <sz val="9"/>
            <color indexed="81"/>
            <rFont val="Tahoma"/>
            <family val="2"/>
          </rPr>
          <t xml:space="preserve">
The Tasking and Management function includes generating requests for data, delivering instructions to a collection element, and subsequently tracking the fulfillment of each request.
The Tasking and Management function would include:
• Manage Source Strategies
• Monitor Strategy Execution
• Determine Value
• Manage Supplier Needs
• Manage Source Models
</t>
        </r>
      </text>
    </comment>
    <comment ref="E18" authorId="1" shapeId="0" xr:uid="{01D0CB11-F631-4B2B-A078-37B2E4E23207}">
      <text>
        <r>
          <rPr>
            <sz val="8"/>
            <color indexed="81"/>
            <rFont val="Tahoma"/>
            <family val="2"/>
          </rPr>
          <t xml:space="preserve">Description of the appropriate Protection Level (PL) for information systems (IS) based on the required clearance(s), formal access approval(s), and need-to-know of all direct and indirect users who receive information from the IS without manual intervention and reliable human review. It indicates an implicit level of trust that is placed in the system’s technical capabilities. 
</t>
        </r>
        <r>
          <rPr>
            <b/>
            <u/>
            <sz val="8"/>
            <color indexed="81"/>
            <rFont val="Tahoma"/>
            <family val="2"/>
          </rPr>
          <t>PL1</t>
        </r>
        <r>
          <rPr>
            <sz val="8"/>
            <color indexed="81"/>
            <rFont val="Tahoma"/>
            <family val="2"/>
          </rPr>
          <t xml:space="preserve">: An IS operates at Protection Level 1 when all users have all required approvals for access to all information on the IS. This means that all users have all required clearances, formal access approvals, and the need to know for all information on the IS. 
</t>
        </r>
        <r>
          <rPr>
            <b/>
            <u/>
            <sz val="8"/>
            <color indexed="81"/>
            <rFont val="Tahoma"/>
            <family val="2"/>
          </rPr>
          <t>PL2</t>
        </r>
        <r>
          <rPr>
            <sz val="8"/>
            <color indexed="81"/>
            <rFont val="Tahoma"/>
            <family val="2"/>
          </rPr>
          <t xml:space="preserve">: An IS operates at Protection Level 2 when all users have all required formal approvals for access to all information on the IS, but at least one user lacks administrative approval for some of the information on the IS. This means that all users have all required clearances and all required formal access approvals, but at least one user lacks the need to know for some of the information on the IS. 
</t>
        </r>
        <r>
          <rPr>
            <b/>
            <u/>
            <sz val="8"/>
            <color indexed="81"/>
            <rFont val="Tahoma"/>
            <family val="2"/>
          </rPr>
          <t>PL3</t>
        </r>
        <r>
          <rPr>
            <sz val="8"/>
            <color indexed="81"/>
            <rFont val="Tahoma"/>
            <family val="2"/>
          </rPr>
          <t xml:space="preserve">: An IS operates at Protection Level 3 when at least one user lacks at least one required formal approval for access to all information on the IS. This means that all users have all required clearances, but at least one user lacks formal access approval for some of the information on the IS. 
</t>
        </r>
        <r>
          <rPr>
            <b/>
            <u/>
            <sz val="8"/>
            <color indexed="81"/>
            <rFont val="Tahoma"/>
            <family val="2"/>
          </rPr>
          <t>PL4</t>
        </r>
        <r>
          <rPr>
            <sz val="8"/>
            <color indexed="81"/>
            <rFont val="Tahoma"/>
            <family val="2"/>
          </rPr>
          <t xml:space="preserve">: An IS operates at Protection Level 4 when at least one user lacks sufficient clearance for access to some of the information on the IS, but all users have at least a Secret clearance. 
</t>
        </r>
        <r>
          <rPr>
            <b/>
            <u/>
            <sz val="8"/>
            <color indexed="81"/>
            <rFont val="Tahoma"/>
            <family val="2"/>
          </rPr>
          <t>PL5</t>
        </r>
        <r>
          <rPr>
            <sz val="8"/>
            <color indexed="81"/>
            <rFont val="Tahoma"/>
            <family val="2"/>
          </rPr>
          <t>: An IS operates at Protection Level 5 when at least one user lacks any clearance for access to some of the information on the IS.</t>
        </r>
      </text>
    </comment>
    <comment ref="B21" authorId="2" shapeId="0" xr:uid="{D75BAB2E-5FDE-48DF-8D9F-D23B872004F7}">
      <text>
        <r>
          <rPr>
            <sz val="9"/>
            <color indexed="81"/>
            <rFont val="Tahoma"/>
            <family val="2"/>
          </rPr>
          <t xml:space="preserve">Clearance Level for Domain (i.e.: Top Secret)
</t>
        </r>
      </text>
    </comment>
    <comment ref="C21" authorId="2" shapeId="0" xr:uid="{31C765D3-0DF0-4F39-A341-4E794DCB554C}">
      <text>
        <r>
          <rPr>
            <sz val="9"/>
            <color indexed="81"/>
            <rFont val="Tahoma"/>
            <family val="2"/>
          </rPr>
          <t>The number of active users on the Domain</t>
        </r>
      </text>
    </comment>
    <comment ref="D21" authorId="2" shapeId="0" xr:uid="{79AAB9B7-BD06-4921-B7C2-0CD9D8EACD53}">
      <text>
        <r>
          <rPr>
            <sz val="9"/>
            <color indexed="81"/>
            <rFont val="Tahoma"/>
            <family val="2"/>
          </rPr>
          <t>The number of accounts registered on the domain</t>
        </r>
      </text>
    </comment>
    <comment ref="E21" authorId="2" shapeId="0" xr:uid="{D2C85189-991E-4A99-A821-A2E05448D979}">
      <text>
        <r>
          <rPr>
            <sz val="9"/>
            <color indexed="81"/>
            <rFont val="Tahoma"/>
            <family val="2"/>
          </rPr>
          <t xml:space="preserve">The requirement for retention of data for the program (Years)
</t>
        </r>
      </text>
    </comment>
    <comment ref="B28" authorId="2" shapeId="0" xr:uid="{0347E5AF-8B22-4B40-A318-D698E289E34B}">
      <text>
        <r>
          <rPr>
            <sz val="9"/>
            <color indexed="81"/>
            <rFont val="Tahoma"/>
            <family val="2"/>
          </rPr>
          <t>List of relevant Milestones to capture (i.e.: ATP, SDR, ORR, etc.)</t>
        </r>
      </text>
    </comment>
    <comment ref="C28" authorId="3" shapeId="0" xr:uid="{FC1131A7-3738-4840-B4A3-A0763D8F9434}">
      <text>
        <r>
          <rPr>
            <sz val="9"/>
            <color indexed="81"/>
            <rFont val="Tahoma"/>
            <family val="2"/>
          </rPr>
          <t>Provide the current dates (actual or anticipated) for the provided milestones
(MM/DD/YYYY)</t>
        </r>
      </text>
    </comment>
    <comment ref="D28" authorId="3" shapeId="0" xr:uid="{6018B4A9-E0E4-41D0-86AC-1831934CF52B}">
      <text>
        <r>
          <rPr>
            <sz val="9"/>
            <color indexed="81"/>
            <rFont val="Tahoma"/>
            <family val="2"/>
          </rPr>
          <t>Provide any comments/notes necessary to provide clarification, additional detail, or context</t>
        </r>
      </text>
    </comment>
    <comment ref="B35" authorId="3" shapeId="0" xr:uid="{80D4868A-227C-47F9-96E8-39A6DA7A3527}">
      <text>
        <r>
          <rPr>
            <sz val="9"/>
            <color indexed="81"/>
            <rFont val="Tahoma"/>
            <family val="2"/>
          </rPr>
          <t>Provide the name of the program for which the Data Management data is being reported</t>
        </r>
      </text>
    </comment>
    <comment ref="C35" authorId="3" shapeId="0" xr:uid="{3A7FA7EC-19F2-4BED-8ABB-48061E7CFED4}">
      <text>
        <r>
          <rPr>
            <sz val="9"/>
            <color indexed="81"/>
            <rFont val="Tahoma"/>
            <family val="2"/>
          </rPr>
          <t>Provide the contract number or "gov" if a government team is performing the work</t>
        </r>
      </text>
    </comment>
    <comment ref="D35" authorId="4" shapeId="0" xr:uid="{C78E9D0C-6F25-40A5-870C-42F5E3879A57}">
      <text>
        <r>
          <rPr>
            <sz val="9"/>
            <color indexed="81"/>
            <rFont val="Tahoma"/>
            <family val="2"/>
          </rPr>
          <t>Regarding the subsystem, the date that the product was released or delivered:  MM/DD/YYYY</t>
        </r>
        <r>
          <rPr>
            <sz val="9"/>
            <color indexed="81"/>
            <rFont val="Tahoma"/>
            <charset val="1"/>
          </rPr>
          <t xml:space="preserve">
</t>
        </r>
      </text>
    </comment>
    <comment ref="E35" authorId="4" shapeId="0" xr:uid="{7AB3D1BE-88CD-4B98-BF0C-CF83F6811A50}">
      <text>
        <r>
          <rPr>
            <sz val="9"/>
            <color indexed="81"/>
            <rFont val="Tahoma"/>
            <family val="2"/>
          </rPr>
          <t xml:space="preserve">Identify the top-level CSCI or components of the computer application
</t>
        </r>
      </text>
    </comment>
    <comment ref="F35" authorId="4" shapeId="0" xr:uid="{94CCA242-68EE-4E62-972D-C6345A1A5974}">
      <text>
        <r>
          <rPr>
            <sz val="9"/>
            <color indexed="81"/>
            <rFont val="Tahoma"/>
            <family val="2"/>
          </rPr>
          <t>The number of total users of the subsystem on the Domain</t>
        </r>
      </text>
    </comment>
    <comment ref="G35" authorId="4" shapeId="0" xr:uid="{E47AC14A-A018-4A02-BAE7-BF7D774764B3}">
      <text>
        <r>
          <rPr>
            <sz val="9"/>
            <color indexed="81"/>
            <rFont val="Tahoma"/>
            <family val="2"/>
          </rPr>
          <t xml:space="preserve">The number of interfaces of the subsystem on the Domain
</t>
        </r>
      </text>
    </comment>
    <comment ref="H35" authorId="4" shapeId="0" xr:uid="{02B29EAD-4586-40A4-ABE1-6D18A52A981E}">
      <text>
        <r>
          <rPr>
            <sz val="9"/>
            <color indexed="81"/>
            <rFont val="Tahoma"/>
            <family val="2"/>
          </rPr>
          <t>The number of legacy systems replaced for the subsystem on the Domain</t>
        </r>
      </text>
    </comment>
    <comment ref="I35" authorId="5" shapeId="0" xr:uid="{11AFB45E-97A0-4167-B98B-D28A6E519BFE}">
      <text>
        <r>
          <rPr>
            <b/>
            <sz val="9"/>
            <color indexed="81"/>
            <rFont val="Tahoma"/>
            <family val="2"/>
          </rPr>
          <t>Type, Event, Interoperability Level, Criticality</t>
        </r>
      </text>
    </comment>
    <comment ref="K35" authorId="5" shapeId="0" xr:uid="{A1E6B8F5-D525-4634-96F6-4664925189F0}">
      <text>
        <r>
          <rPr>
            <b/>
            <sz val="9"/>
            <color indexed="81"/>
            <rFont val="Tahoma"/>
            <family val="2"/>
          </rPr>
          <t>Periodicity, Timeliness, Throughput, Size</t>
        </r>
        <r>
          <rPr>
            <sz val="9"/>
            <color indexed="81"/>
            <rFont val="Tahoma"/>
            <family val="2"/>
          </rPr>
          <t xml:space="preserve">
</t>
        </r>
      </text>
    </comment>
    <comment ref="M35" authorId="5" shapeId="0" xr:uid="{CDDCC2B9-8F7B-4D42-B193-F71C74C1BEAC}">
      <text>
        <r>
          <rPr>
            <b/>
            <sz val="9"/>
            <color indexed="81"/>
            <rFont val="Tahoma"/>
            <family val="2"/>
          </rPr>
          <t>Protection, Classification, Caveat, Releasability, Security Standard</t>
        </r>
        <r>
          <rPr>
            <sz val="9"/>
            <color indexed="81"/>
            <rFont val="Tahoma"/>
            <family val="2"/>
          </rPr>
          <t xml:space="preserve">
</t>
        </r>
      </text>
    </comment>
    <comment ref="O35" authorId="5" shapeId="0" xr:uid="{09244CC3-0120-430B-9699-FDDC113A039C}">
      <text>
        <r>
          <rPr>
            <b/>
            <sz val="9"/>
            <color indexed="81"/>
            <rFont val="Tahoma"/>
            <family val="2"/>
          </rPr>
          <t>Name/ID, Content, Format Type, Media Type, Accuracy, Units of Measurement, Data Standard</t>
        </r>
      </text>
    </comment>
    <comment ref="Q35" authorId="5" shapeId="0" xr:uid="{05CF2D0F-D38F-4B3B-92AE-738E7A98D5BD}">
      <text>
        <r>
          <rPr>
            <b/>
            <sz val="9"/>
            <color indexed="81"/>
            <rFont val="Tahoma"/>
            <charset val="1"/>
          </rPr>
          <t>Access Control, Availability, Confidentiality, Dissemination Control, Integrity, Non-Repudiation</t>
        </r>
      </text>
    </comment>
    <comment ref="S35" authorId="4" shapeId="0" xr:uid="{074B27E1-AA3B-48E0-8BAE-16282F84AA87}">
      <text>
        <r>
          <rPr>
            <sz val="9"/>
            <color indexed="81"/>
            <rFont val="Tahoma"/>
            <family val="2"/>
          </rPr>
          <t>Any applicable reference documents to refer</t>
        </r>
      </text>
    </comment>
    <comment ref="T35" authorId="4" shapeId="0" xr:uid="{ABA4A825-E041-4063-9A17-6692F682AD03}">
      <text>
        <r>
          <rPr>
            <sz val="9"/>
            <color indexed="81"/>
            <rFont val="Tahoma"/>
            <family val="2"/>
          </rPr>
          <t>Regarding each subsystem, any comments/notes necessary to provide clarification, additional detail, or context. Describe any contractual situations that should be taken into account when evaluating the total cost of the program.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Saumil S. Shah-DNI-Y-</author>
    <author>woollej</author>
    <author>Jennifer G. Woolley-DNI-</author>
  </authors>
  <commentList>
    <comment ref="D2" authorId="0" shapeId="0" xr:uid="{00000000-0006-0000-0000-000001000000}">
      <text>
        <r>
          <rPr>
            <sz val="9"/>
            <color indexed="81"/>
            <rFont val="Tahoma"/>
            <family val="2"/>
          </rPr>
          <t>Please classify each tab appropriately, if populated.</t>
        </r>
      </text>
    </comment>
    <comment ref="B17" authorId="1" shapeId="0" xr:uid="{00000000-0006-0000-0000-000002000000}">
      <text>
        <r>
          <rPr>
            <sz val="9"/>
            <color indexed="81"/>
            <rFont val="Tahoma"/>
            <family val="2"/>
          </rPr>
          <t>Please provide the name of the prime contractor company</t>
        </r>
      </text>
    </comment>
    <comment ref="C17" authorId="2" shapeId="0" xr:uid="{00000000-0006-0000-0000-000003000000}">
      <text>
        <r>
          <rPr>
            <sz val="9"/>
            <color indexed="81"/>
            <rFont val="Tahoma"/>
            <family val="2"/>
          </rPr>
          <t xml:space="preserve">Location of the prime contactor (City, State)
</t>
        </r>
      </text>
    </comment>
    <comment ref="D17" authorId="3" shapeId="0" xr:uid="{00000000-0006-0000-0000-000004000000}">
      <text>
        <r>
          <rPr>
            <sz val="8"/>
            <color indexed="81"/>
            <rFont val="Tahoma"/>
            <family val="2"/>
          </rPr>
          <t>Indicate type of contract (list includes those described in the FAR)</t>
        </r>
      </text>
    </comment>
    <comment ref="E17" authorId="3" shapeId="0" xr:uid="{00000000-0006-0000-0000-000005000000}">
      <text>
        <r>
          <rPr>
            <sz val="8"/>
            <color indexed="81"/>
            <rFont val="Tahoma"/>
            <family val="2"/>
          </rPr>
          <t>Please provide the date that the contract started (whether it is anticipated or has already occurred):  MM/DD/YYYY</t>
        </r>
      </text>
    </comment>
    <comment ref="F17" authorId="3" shapeId="0" xr:uid="{00000000-0006-0000-0000-000006000000}">
      <text>
        <r>
          <rPr>
            <sz val="8"/>
            <color indexed="81"/>
            <rFont val="Tahoma"/>
            <family val="2"/>
          </rPr>
          <t>Please provide the date that the contract ended (whether it is anticipated or has already occurred):  MM/DD/YYYY</t>
        </r>
      </text>
    </comment>
    <comment ref="G17" authorId="2" shapeId="0" xr:uid="{00000000-0006-0000-0000-000007000000}">
      <text>
        <r>
          <rPr>
            <sz val="9"/>
            <color indexed="81"/>
            <rFont val="Tahoma"/>
            <family val="2"/>
          </rPr>
          <t>Total contract value ($)</t>
        </r>
      </text>
    </comment>
    <comment ref="H17" authorId="2" shapeId="0" xr:uid="{00000000-0006-0000-0000-000008000000}">
      <text>
        <r>
          <rPr>
            <sz val="9"/>
            <color indexed="81"/>
            <rFont val="Tahoma"/>
            <family val="2"/>
          </rPr>
          <t xml:space="preserve">% of contract that is subcontracted out to other parties
</t>
        </r>
      </text>
    </comment>
    <comment ref="I17" authorId="1" shapeId="0" xr:uid="{00000000-0006-0000-0000-000009000000}">
      <text>
        <r>
          <rPr>
            <sz val="9"/>
            <color indexed="81"/>
            <rFont val="Tahoma"/>
            <family val="2"/>
          </rPr>
          <t>Please provide any comments/notes necessary to provide clarification, additional detail, or context
Describe any contractual situations that should be taken into account when evaluating the total cost of the program (Examples: Another contract paid for a piece of development, Award of an option early in development changed development schedule/scope).</t>
        </r>
      </text>
    </comment>
    <comment ref="B21" authorId="1" shapeId="0" xr:uid="{00000000-0006-0000-0000-00000A000000}">
      <text>
        <r>
          <rPr>
            <sz val="9"/>
            <color indexed="81"/>
            <rFont val="Tahoma"/>
            <family val="2"/>
          </rPr>
          <t>Please provide the contract number
The 1st row should contain base contract data
The additional rows should contain Option year data</t>
        </r>
      </text>
    </comment>
    <comment ref="C21" authorId="1" shapeId="0" xr:uid="{00000000-0006-0000-0000-00000B000000}">
      <text>
        <r>
          <rPr>
            <sz val="9"/>
            <color indexed="81"/>
            <rFont val="Tahoma"/>
            <family val="2"/>
          </rPr>
          <t>Provide the base and option years of the contract</t>
        </r>
      </text>
    </comment>
    <comment ref="D21" authorId="3" shapeId="0" xr:uid="{00000000-0006-0000-0000-00000C000000}">
      <text>
        <r>
          <rPr>
            <sz val="8"/>
            <color indexed="81"/>
            <rFont val="Tahoma"/>
            <family val="2"/>
          </rPr>
          <t>Please provide the date that the contract started (whether it is anticipated or has already occurred):  MM/DD/YYYY</t>
        </r>
      </text>
    </comment>
    <comment ref="E21" authorId="3" shapeId="0" xr:uid="{00000000-0006-0000-0000-00000D000000}">
      <text>
        <r>
          <rPr>
            <sz val="8"/>
            <color indexed="81"/>
            <rFont val="Tahoma"/>
            <family val="2"/>
          </rPr>
          <t>Please provide the date that the contract ended (whether it is anticipated or has already occurred):  MM/DD/YYYY
Found in Block 5.j of IPMR</t>
        </r>
      </text>
    </comment>
    <comment ref="F21" authorId="2" shapeId="0" xr:uid="{00000000-0006-0000-0000-00000E000000}">
      <text>
        <r>
          <rPr>
            <sz val="9"/>
            <color indexed="81"/>
            <rFont val="Tahoma"/>
            <family val="2"/>
          </rPr>
          <t xml:space="preserve">Has the option of the contact been  executed (Yes/No)
</t>
        </r>
      </text>
    </comment>
    <comment ref="G21" authorId="2" shapeId="0" xr:uid="{00000000-0006-0000-0000-00000F000000}">
      <text>
        <r>
          <rPr>
            <sz val="9"/>
            <color indexed="81"/>
            <rFont val="Tahoma"/>
            <family val="2"/>
          </rPr>
          <t>Provide the number of hours per FTE used on the contract
For example:
- 1860 hrs
- 1920 hrs
- etc.</t>
        </r>
        <r>
          <rPr>
            <sz val="9"/>
            <color indexed="81"/>
            <rFont val="Tahoma"/>
            <family val="2"/>
          </rPr>
          <t xml:space="preserve">
</t>
        </r>
      </text>
    </comment>
    <comment ref="H21" authorId="1" shapeId="0" xr:uid="{00000000-0006-0000-0000-000010000000}">
      <text>
        <r>
          <rPr>
            <sz val="9"/>
            <color indexed="81"/>
            <rFont val="Tahoma"/>
            <family val="2"/>
          </rPr>
          <t>Please provide any comments/notes necessary to provide clarification, additional detail, or context
Describe any contractual situations that should be taken into account when evaluating the total cost of the program (Examples: Another contract paid for a piece of development, Award of an option early in development changed development schedule/scope).</t>
        </r>
      </text>
    </comment>
    <comment ref="B29" authorId="1" shapeId="0" xr:uid="{00000000-0006-0000-0000-000011000000}">
      <text>
        <r>
          <rPr>
            <sz val="9"/>
            <color indexed="81"/>
            <rFont val="Tahoma"/>
            <family val="2"/>
          </rPr>
          <t>Please provide the names of all sub-contractors supporting the given contract number</t>
        </r>
      </text>
    </comment>
    <comment ref="C29" authorId="2" shapeId="0" xr:uid="{00000000-0006-0000-0000-000012000000}">
      <text>
        <r>
          <rPr>
            <sz val="9"/>
            <color indexed="81"/>
            <rFont val="Tahoma"/>
            <family val="2"/>
          </rPr>
          <t xml:space="preserve">Location of the sub-contactor (City, State)
</t>
        </r>
      </text>
    </comment>
    <comment ref="D29" authorId="3" shapeId="0" xr:uid="{00000000-0006-0000-0000-000013000000}">
      <text>
        <r>
          <rPr>
            <sz val="8"/>
            <color indexed="81"/>
            <rFont val="Tahoma"/>
            <family val="2"/>
          </rPr>
          <t>Indicate type of contract (list includes those described in the FAR)</t>
        </r>
      </text>
    </comment>
    <comment ref="E29" authorId="1" shapeId="0" xr:uid="{00000000-0006-0000-0000-000014000000}">
      <text>
        <r>
          <rPr>
            <sz val="9"/>
            <color indexed="81"/>
            <rFont val="Tahoma"/>
            <family val="2"/>
          </rPr>
          <t>Please provide the contract number</t>
        </r>
      </text>
    </comment>
    <comment ref="F29" authorId="3" shapeId="0" xr:uid="{00000000-0006-0000-0000-000015000000}">
      <text>
        <r>
          <rPr>
            <sz val="8"/>
            <color indexed="81"/>
            <rFont val="Tahoma"/>
            <family val="2"/>
          </rPr>
          <t>Please provide the date that the contract started (whether it is anticipated or has already occurred):  MM/DD/YYYY</t>
        </r>
      </text>
    </comment>
    <comment ref="G29" authorId="3" shapeId="0" xr:uid="{00000000-0006-0000-0000-000016000000}">
      <text>
        <r>
          <rPr>
            <sz val="8"/>
            <color indexed="81"/>
            <rFont val="Tahoma"/>
            <family val="2"/>
          </rPr>
          <t xml:space="preserve">Please provide the date that the contract ended (whether it is anticipated or has already occurred):  MM/DD/YYYY
</t>
        </r>
      </text>
    </comment>
    <comment ref="H29" authorId="2" shapeId="0" xr:uid="{00000000-0006-0000-0000-000017000000}">
      <text>
        <r>
          <rPr>
            <sz val="9"/>
            <color indexed="81"/>
            <rFont val="Tahoma"/>
            <family val="2"/>
          </rPr>
          <t>Total contract value ($)</t>
        </r>
      </text>
    </comment>
    <comment ref="I29" authorId="1" shapeId="0" xr:uid="{00000000-0006-0000-0000-000018000000}">
      <text>
        <r>
          <rPr>
            <sz val="9"/>
            <color indexed="81"/>
            <rFont val="Tahoma"/>
            <family val="2"/>
          </rPr>
          <t>Please provide any comments/notes necessary to provide clarification, additional detail, or context
Describe any contractual situations that should be taken into account when evaluating the total cost of the program (Examples: Another contract paid for a piece of development, Award of an option early in development changed development schedule/scope).</t>
        </r>
      </text>
    </comment>
    <comment ref="B37" authorId="1" shapeId="0" xr:uid="{00000000-0006-0000-0000-000019000000}">
      <text>
        <r>
          <rPr>
            <sz val="9"/>
            <color indexed="81"/>
            <rFont val="Tahoma"/>
            <family val="2"/>
          </rPr>
          <t>Please provide the contract number</t>
        </r>
      </text>
    </comment>
    <comment ref="C37" authorId="1" shapeId="0" xr:uid="{00000000-0006-0000-0000-00001A000000}">
      <text>
        <r>
          <rPr>
            <sz val="9"/>
            <color indexed="81"/>
            <rFont val="Tahoma"/>
            <family val="2"/>
          </rPr>
          <t>Provide the base and option years of the contract</t>
        </r>
      </text>
    </comment>
    <comment ref="D37" authorId="3" shapeId="0" xr:uid="{00000000-0006-0000-0000-00001B000000}">
      <text>
        <r>
          <rPr>
            <sz val="8"/>
            <color indexed="81"/>
            <rFont val="Tahoma"/>
            <family val="2"/>
          </rPr>
          <t>Please provide the date that the contract started (whether it is anticipated or has already occurred):  MM/DD/YYYY</t>
        </r>
      </text>
    </comment>
    <comment ref="E37" authorId="3" shapeId="0" xr:uid="{00000000-0006-0000-0000-00001C000000}">
      <text>
        <r>
          <rPr>
            <sz val="8"/>
            <color indexed="81"/>
            <rFont val="Tahoma"/>
            <family val="2"/>
          </rPr>
          <t>Please provide the date that the contract ended (whether it is anticipated or has already occurred):  MM/DD/YYYY
Found in Block 5.j of IPMR</t>
        </r>
      </text>
    </comment>
    <comment ref="F37" authorId="2" shapeId="0" xr:uid="{00000000-0006-0000-0000-00001D000000}">
      <text>
        <r>
          <rPr>
            <sz val="9"/>
            <color indexed="81"/>
            <rFont val="Tahoma"/>
            <family val="2"/>
          </rPr>
          <t xml:space="preserve">Has the option of the contact been  executed (Yes/No)
</t>
        </r>
      </text>
    </comment>
    <comment ref="G37" authorId="2" shapeId="0" xr:uid="{00000000-0006-0000-0000-00001E000000}">
      <text>
        <r>
          <rPr>
            <sz val="9"/>
            <color indexed="81"/>
            <rFont val="Tahoma"/>
            <family val="2"/>
          </rPr>
          <t>Provide the number of hours per FTE used on the contract
For example:
- 1860 hrs
- 1920 hrs
- etc.</t>
        </r>
        <r>
          <rPr>
            <sz val="9"/>
            <color indexed="81"/>
            <rFont val="Tahoma"/>
            <family val="2"/>
          </rPr>
          <t xml:space="preserve">
</t>
        </r>
      </text>
    </comment>
    <comment ref="H37" authorId="1" shapeId="0" xr:uid="{00000000-0006-0000-0000-00001F000000}">
      <text>
        <r>
          <rPr>
            <sz val="9"/>
            <color indexed="81"/>
            <rFont val="Tahoma"/>
            <family val="2"/>
          </rPr>
          <t>Please provide any comments/notes necessary to provide clarification, additional detail, or context
Describe any contractual situations that should be taken into account when evaluating the total cost of the program (Examples: Another contract paid for a piece of development, Award of an option early in development changed development schedule/scope).</t>
        </r>
      </text>
    </comment>
    <comment ref="B45" authorId="1" shapeId="0" xr:uid="{00000000-0006-0000-0000-000020000000}">
      <text>
        <r>
          <rPr>
            <sz val="9"/>
            <color indexed="81"/>
            <rFont val="Tahoma"/>
            <family val="2"/>
          </rPr>
          <t>Please provide the contract number</t>
        </r>
      </text>
    </comment>
    <comment ref="C45" authorId="1" shapeId="0" xr:uid="{00000000-0006-0000-0000-000021000000}">
      <text>
        <r>
          <rPr>
            <sz val="9"/>
            <color indexed="81"/>
            <rFont val="Tahoma"/>
            <family val="2"/>
          </rPr>
          <t>Please provide all of CLINs related to the contract being reported</t>
        </r>
      </text>
    </comment>
    <comment ref="D45" authorId="2" shapeId="0" xr:uid="{00000000-0006-0000-0000-000022000000}">
      <text>
        <r>
          <rPr>
            <sz val="9"/>
            <color indexed="81"/>
            <rFont val="Tahoma"/>
            <family val="2"/>
          </rPr>
          <t>The value of the CLIN ($) (with Fee)</t>
        </r>
      </text>
    </comment>
    <comment ref="E45" authorId="2" shapeId="0" xr:uid="{00000000-0006-0000-0000-000023000000}">
      <text>
        <r>
          <rPr>
            <sz val="9"/>
            <color indexed="81"/>
            <rFont val="Tahoma"/>
            <family val="2"/>
          </rPr>
          <t>Details of the scope of the associated CLIN</t>
        </r>
      </text>
    </comment>
    <comment ref="F45" authorId="1" shapeId="0" xr:uid="{00000000-0006-0000-0000-000024000000}">
      <text>
        <r>
          <rPr>
            <sz val="9"/>
            <color indexed="81"/>
            <rFont val="Tahoma"/>
            <family val="2"/>
          </rPr>
          <t>Please provide any comments/notes necessary to provide clarification, additional detail, or context
Describe any contractual situations that should be taken into account when evaluating the total cost of the program (Examples: Another contract paid for a piece of development, Award of an option early in development changed development schedule/scope).</t>
        </r>
      </text>
    </comment>
    <comment ref="B57" authorId="1" shapeId="0" xr:uid="{4B3E266F-B862-45D0-9D81-A1A2B1CF2606}">
      <text>
        <r>
          <rPr>
            <sz val="9"/>
            <color indexed="81"/>
            <rFont val="Tahoma"/>
            <family val="2"/>
          </rPr>
          <t>Provide the name of the program for which the ECPs are being reported</t>
        </r>
      </text>
    </comment>
    <comment ref="C57" authorId="1" shapeId="0" xr:uid="{2512797A-FD6F-46E4-9186-7FE29FBEF285}">
      <text>
        <r>
          <rPr>
            <sz val="9"/>
            <color indexed="81"/>
            <rFont val="Tahoma"/>
            <family val="2"/>
          </rPr>
          <t>Provide the contract number or "gov" if a government team is performing the work</t>
        </r>
      </text>
    </comment>
    <comment ref="D57" authorId="1" shapeId="0" xr:uid="{A2026A46-0B4F-48B3-87DB-D23AEAACD353}">
      <text>
        <r>
          <rPr>
            <sz val="9"/>
            <color indexed="81"/>
            <rFont val="Tahoma"/>
            <family val="2"/>
          </rPr>
          <t>The number assigned to the ECP based on program naming conventions</t>
        </r>
      </text>
    </comment>
    <comment ref="E57" authorId="4" shapeId="0" xr:uid="{AF15C35B-A36E-4D1E-9AD4-D381A6707124}">
      <text>
        <r>
          <rPr>
            <sz val="9"/>
            <color indexed="81"/>
            <rFont val="Tahoma"/>
            <family val="2"/>
          </rPr>
          <t>Provide a description of the activities performed as part of the Engineering Change Proposal (ECP)
Note: In addition to the ECP title, please provide contextual information regarding the ECP scope and effort</t>
        </r>
      </text>
    </comment>
    <comment ref="F57" authorId="2" shapeId="0" xr:uid="{9E881554-DFE5-410B-9B40-A9E169F02B9F}">
      <text>
        <r>
          <rPr>
            <sz val="9"/>
            <color indexed="81"/>
            <rFont val="Tahoma"/>
            <family val="2"/>
          </rPr>
          <t>Type of ECP associated with changes to the contract baseline
Special Study:
- Special studies and all related items
Engineering Change Order (Technical Requirements):
- Changes via Engineering Change Order (ECO), Engineering Change Proposal (ECP), Contract Change Proposal (CCP), or Special Contract Requirement (SCR)
Schedule Impacts:
- Government-directed schedule slips and/or negotiated schedule extensions indirectly related to requirement and/or technical changes
Estimation Revision:
- Estimating revision and proposal pricing errors
Other:
- Including, but not limited to, requests for equitable adjustments, economic price adjustments, GFE/GFP to CFE/CFP cost, overhead rate adjustment, inflation
- Costs due to natural disasters, unforeseen events not listed above</t>
        </r>
      </text>
    </comment>
    <comment ref="G57" authorId="1" shapeId="0" xr:uid="{72CD125E-C9C5-4E37-B5BD-DA4DA6E1548A}">
      <text>
        <r>
          <rPr>
            <sz val="9"/>
            <color indexed="81"/>
            <rFont val="Tahoma"/>
            <family val="2"/>
          </rPr>
          <t>Provide the date upon which the ECP received authority to proceed (ATP) (MM/DD/YYYY)</t>
        </r>
      </text>
    </comment>
    <comment ref="H57" authorId="0" shapeId="0" xr:uid="{190186D1-59A8-4815-BE41-555540E66B46}">
      <text>
        <r>
          <rPr>
            <sz val="9"/>
            <color indexed="81"/>
            <rFont val="Tahoma"/>
            <family val="2"/>
          </rPr>
          <t>Provide the negotiated duration (in months) of the ECP.</t>
        </r>
        <r>
          <rPr>
            <b/>
            <sz val="9"/>
            <color indexed="81"/>
            <rFont val="Tahoma"/>
            <family val="2"/>
          </rPr>
          <t xml:space="preserve">
</t>
        </r>
      </text>
    </comment>
    <comment ref="I57" authorId="2" shapeId="0" xr:uid="{4C71E610-37B4-4F6E-AB19-7FB773725660}">
      <text>
        <r>
          <rPr>
            <sz val="9"/>
            <color indexed="81"/>
            <rFont val="Tahoma"/>
            <family val="2"/>
          </rPr>
          <t>Provide the value of the ECP negotiated between the Program Office and Contractor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Trung C. Trieu-DNI-Y-</author>
  </authors>
  <commentList>
    <comment ref="C2" authorId="0" shapeId="0" xr:uid="{51FFDB15-324B-4253-A505-D7870D286604}">
      <text>
        <r>
          <rPr>
            <sz val="9"/>
            <color indexed="81"/>
            <rFont val="Tahoma"/>
            <family val="2"/>
          </rPr>
          <t>Please classify each tab appropriately, if populated.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Davis Aubrey M NGA-DXAC USA CTR</author>
    <author>William H. Black-DNI-Y-</author>
    <author>Saumil S. Shah-DNI-Y-</author>
  </authors>
  <commentList>
    <comment ref="D2" authorId="0" shapeId="0" xr:uid="{69D7BAE8-AD39-4C8C-9660-CC77EE6C800E}">
      <text>
        <r>
          <rPr>
            <sz val="9"/>
            <color indexed="81"/>
            <rFont val="Tahoma"/>
            <family val="2"/>
          </rPr>
          <t>Please classify each tab appropriately, if populated.</t>
        </r>
      </text>
    </comment>
    <comment ref="L24" authorId="1" shapeId="0" xr:uid="{00000000-0006-0000-0300-000002000000}">
      <text>
        <r>
          <rPr>
            <sz val="9"/>
            <color indexed="81"/>
            <rFont val="Tahoma"/>
            <family val="2"/>
          </rPr>
          <t>Identify the environment in which each piece of hardware is used
D: Development
T: Test
O: Operations
Tr: Training
Denote X for the environment(s) that are applicable
Note: Separate each unique item on different lines to accurately capture each instance</t>
        </r>
      </text>
    </comment>
    <comment ref="B25" authorId="1" shapeId="0" xr:uid="{00000000-0006-0000-0300-000003000000}">
      <text>
        <r>
          <rPr>
            <sz val="9"/>
            <color indexed="81"/>
            <rFont val="Tahoma"/>
            <family val="2"/>
          </rPr>
          <t>Provide the name of the program for which this hardware was purchased</t>
        </r>
      </text>
    </comment>
    <comment ref="C25" authorId="1" shapeId="0" xr:uid="{00000000-0006-0000-0300-000004000000}">
      <text>
        <r>
          <rPr>
            <sz val="9"/>
            <color indexed="81"/>
            <rFont val="Tahoma"/>
            <family val="2"/>
          </rPr>
          <t>Provide the contract number or "gov" if a government team is performing the work</t>
        </r>
      </text>
    </comment>
    <comment ref="D25" authorId="1" shapeId="0" xr:uid="{00000000-0006-0000-0300-000005000000}">
      <text>
        <r>
          <rPr>
            <sz val="9"/>
            <color indexed="81"/>
            <rFont val="Tahoma"/>
            <family val="2"/>
          </rPr>
          <t xml:space="preserve">Indicate the final physical site of the hardware 
CONUS: (City, State)
OCONUS: (City, Country) </t>
        </r>
      </text>
    </comment>
    <comment ref="E25" authorId="2" shapeId="0" xr:uid="{3024696A-61C9-46BA-9499-6FF6F725CD14}">
      <text>
        <r>
          <rPr>
            <sz val="9"/>
            <color indexed="81"/>
            <rFont val="Tahoma"/>
            <family val="2"/>
          </rPr>
          <t>Selection of HW or SW</t>
        </r>
      </text>
    </comment>
    <comment ref="F25" authorId="2" shapeId="0" xr:uid="{32680446-C980-4910-AE13-F26EFFC6FEE9}">
      <text>
        <r>
          <rPr>
            <sz val="9"/>
            <color indexed="81"/>
            <rFont val="Tahoma"/>
            <family val="2"/>
          </rPr>
          <t xml:space="preserve">The description of the item
For example:
-Microsoft Office 2010, Business Edition
</t>
        </r>
      </text>
    </comment>
    <comment ref="G25" authorId="1" shapeId="0" xr:uid="{00000000-0006-0000-0300-000006000000}">
      <text>
        <r>
          <rPr>
            <sz val="9"/>
            <color indexed="81"/>
            <rFont val="Tahoma"/>
            <family val="2"/>
          </rPr>
          <t xml:space="preserve">Provide a description of the hardware being reported
For example:
Storage:
Networking:
Workstation:
Server:
Other:  Cabinet, Power Supply
</t>
        </r>
      </text>
    </comment>
    <comment ref="H25" authorId="1" shapeId="0" xr:uid="{00000000-0006-0000-0300-000007000000}">
      <text>
        <r>
          <rPr>
            <sz val="9"/>
            <color indexed="81"/>
            <rFont val="Tahoma"/>
            <family val="2"/>
          </rPr>
          <t>The original manufacturer of the hardware.</t>
        </r>
      </text>
    </comment>
    <comment ref="I25" authorId="1" shapeId="0" xr:uid="{00000000-0006-0000-0300-000008000000}">
      <text>
        <r>
          <rPr>
            <sz val="9"/>
            <color indexed="81"/>
            <rFont val="Tahoma"/>
            <family val="2"/>
          </rPr>
          <t>Use "HW" for Hardware, "SW" for Software</t>
        </r>
      </text>
    </comment>
    <comment ref="J25" authorId="1" shapeId="0" xr:uid="{00000000-0006-0000-0300-000009000000}">
      <text>
        <r>
          <rPr>
            <sz val="9"/>
            <color indexed="81"/>
            <rFont val="Tahoma"/>
            <family val="2"/>
          </rPr>
          <t>Identify the sub-category of hardware or software
HW example:
Servers: Physical, Virtual
Workstations: Thick Client, Thin Client
Networking: Routers, Switches
Storage: Solid State, Spinning Disk,  Tape, Raid Array
Services: Cloud Services, Desktop Environments, Infrastructure Service Providers (Managed By, Service, Domain, Description)
Other: Cables, Peripherals, Racks, Other                  
SW example:
Software package/app
SW license</t>
        </r>
      </text>
    </comment>
    <comment ref="K25" authorId="3" shapeId="0" xr:uid="{BC4CD13D-ACB4-41E1-9E0A-CDB8777A0B5A}">
      <text>
        <r>
          <rPr>
            <sz val="9"/>
            <color indexed="81"/>
            <rFont val="Tahoma"/>
            <family val="2"/>
          </rPr>
          <t xml:space="preserve">Designate whether the item is COTS (Commercial-off-the-Shelf), GOTS / GFE (Government-off-the-Shelf / Government Furnished Equipment) or  FOSS (Free &amp; Open Source Software)
</t>
        </r>
      </text>
    </comment>
    <comment ref="P25" authorId="4" shapeId="0" xr:uid="{00000000-0006-0000-0300-00000B000000}">
      <text>
        <r>
          <rPr>
            <sz val="9"/>
            <color indexed="81"/>
            <rFont val="Tahoma"/>
            <family val="2"/>
          </rPr>
          <t xml:space="preserve">Clearance Level for Domain
</t>
        </r>
      </text>
    </comment>
    <comment ref="Q25" authorId="2" shapeId="0" xr:uid="{8A3F8742-7679-4516-8FCE-33FBB729D088}">
      <text>
        <r>
          <rPr>
            <sz val="9"/>
            <color indexed="81"/>
            <rFont val="Tahoma"/>
            <family val="2"/>
          </rPr>
          <t>The basis for determining the licensing cost</t>
        </r>
      </text>
    </comment>
    <comment ref="R25" authorId="1" shapeId="0" xr:uid="{00000000-0006-0000-0300-00000C000000}">
      <text>
        <r>
          <rPr>
            <sz val="9"/>
            <color indexed="81"/>
            <rFont val="Tahoma"/>
            <family val="2"/>
          </rPr>
          <t>Provide the unit cost for item at time of purchase or rate for usage where applicable</t>
        </r>
      </text>
    </comment>
    <comment ref="S25" authorId="1" shapeId="0" xr:uid="{00000000-0006-0000-0300-00000D000000}">
      <text>
        <r>
          <rPr>
            <sz val="9"/>
            <color indexed="81"/>
            <rFont val="Tahoma"/>
            <family val="2"/>
          </rPr>
          <t>Indicate quantity of item purchased.  For SW licenses indicate the number of users/seats covered by the license.</t>
        </r>
      </text>
    </comment>
    <comment ref="T25" authorId="1" shapeId="0" xr:uid="{00000000-0006-0000-0300-00000E000000}">
      <text>
        <r>
          <rPr>
            <sz val="9"/>
            <color indexed="81"/>
            <rFont val="Tahoma"/>
            <family val="2"/>
          </rPr>
          <t>Indicate expected life of HW or SW before expiration or refresh is required (in years)</t>
        </r>
      </text>
    </comment>
    <comment ref="U25" authorId="3" shapeId="0" xr:uid="{00000000-0006-0000-0300-00000F000000}">
      <text>
        <r>
          <rPr>
            <sz val="9"/>
            <color indexed="81"/>
            <rFont val="Tahoma"/>
            <family val="2"/>
          </rPr>
          <t>The number of years that are covered under vendor maintenance (if included in unit cost).</t>
        </r>
      </text>
    </comment>
    <comment ref="V25" authorId="1" shapeId="0" xr:uid="{00000000-0006-0000-0300-000010000000}">
      <text>
        <r>
          <rPr>
            <sz val="9"/>
            <color indexed="81"/>
            <rFont val="Tahoma"/>
            <family val="2"/>
          </rPr>
          <t>If annual maintenance costs for the item are known, please enter the annual cost here.
Note: Only enter a maintenance cost if it is not captured in another line within the bill-of-materials, and if it occurs outside of the Warranty Period.</t>
        </r>
      </text>
    </comment>
    <comment ref="W25" authorId="1" shapeId="0" xr:uid="{00000000-0006-0000-0300-000011000000}">
      <text>
        <r>
          <rPr>
            <sz val="9"/>
            <color indexed="81"/>
            <rFont val="Tahoma"/>
            <family val="2"/>
          </rPr>
          <t>Provide any comments/notes necessary to provide clarification, additional detail, or context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Trung C. Trieu-DNI-Y-</author>
    <author>Davis Aubrey M NGA-DXAC USA CTR</author>
  </authors>
  <commentList>
    <comment ref="D2" authorId="0" shapeId="0" xr:uid="{D5E013BF-1D1E-401B-BEE0-6104D1910212}">
      <text>
        <r>
          <rPr>
            <sz val="9"/>
            <color indexed="81"/>
            <rFont val="Tahoma"/>
            <family val="2"/>
          </rPr>
          <t>Please classify each tab appropriately, if populated.</t>
        </r>
      </text>
    </comment>
    <comment ref="F16" authorId="1" shapeId="0" xr:uid="{63EC6C54-62BE-4E22-A5F3-4D3F4178FD84}">
      <text>
        <r>
          <rPr>
            <sz val="9"/>
            <color indexed="81"/>
            <rFont val="Tahoma"/>
            <family val="2"/>
          </rPr>
          <t xml:space="preserve">The total number of Epics/Capabilities, Features, Stories, Sprints, Story Points and Feature Hours recorded as “Planned Development.” This typically applies to the Initial and Interim Reports. 
</t>
        </r>
      </text>
    </comment>
    <comment ref="G16" authorId="1" shapeId="0" xr:uid="{797DD55B-67EE-4517-9419-84C36F5C9BC1}">
      <text>
        <r>
          <rPr>
            <sz val="9"/>
            <color indexed="81"/>
            <rFont val="Tahoma"/>
            <family val="2"/>
          </rPr>
          <t xml:space="preserve">The total number of Epics/Capabilities, Features, Stories, Sprints, Story Points and Feature Hours recorded as “Achieved Development.” This typically applies to the Interim and Final Reports. 
</t>
        </r>
      </text>
    </comment>
    <comment ref="B26" authorId="1" shapeId="0" xr:uid="{27864607-14E2-444D-8527-D50C36BBD9D4}">
      <text>
        <r>
          <rPr>
            <sz val="9"/>
            <color indexed="81"/>
            <rFont val="Tahoma"/>
            <family val="2"/>
          </rPr>
          <t>Identifier assigned to track the capability.</t>
        </r>
      </text>
    </comment>
    <comment ref="C26" authorId="1" shapeId="0" xr:uid="{C808E8BA-1DD2-423B-A8F0-FF1A3569772A}">
      <text>
        <r>
          <rPr>
            <sz val="9"/>
            <color indexed="81"/>
            <rFont val="Tahoma"/>
            <family val="2"/>
          </rPr>
          <t>Description of the large body of work that can be broken down into a number of smaller tasks.</t>
        </r>
      </text>
    </comment>
    <comment ref="D26" authorId="1" shapeId="0" xr:uid="{CF6F5394-1FF9-47BF-AE21-BA56F39193C9}">
      <text>
        <r>
          <rPr>
            <sz val="9"/>
            <color indexed="81"/>
            <rFont val="Tahoma"/>
            <family val="2"/>
          </rPr>
          <t xml:space="preserve">Identifier assigned to track the feature.
</t>
        </r>
      </text>
    </comment>
    <comment ref="E26" authorId="1" shapeId="0" xr:uid="{C731147F-F0B4-42AC-85BD-BBD5F1BC0E0F}">
      <text>
        <r>
          <rPr>
            <sz val="9"/>
            <color indexed="81"/>
            <rFont val="Tahoma"/>
            <family val="2"/>
          </rPr>
          <t>Description of the specific functionality or capability that will be delivered in a single increment.</t>
        </r>
      </text>
    </comment>
    <comment ref="F26" authorId="1" shapeId="0" xr:uid="{C4A90272-E996-4A1E-87E4-DDEC876CB10E}">
      <text>
        <r>
          <rPr>
            <sz val="9"/>
            <color indexed="81"/>
            <rFont val="Tahoma"/>
            <family val="2"/>
          </rPr>
          <t xml:space="preserve">The estimate for all of the Backlog tasks needed to complete each Feature.
</t>
        </r>
      </text>
    </comment>
    <comment ref="G26" authorId="1" shapeId="0" xr:uid="{5C2EEA6D-0E53-4B8E-BAE0-790DA0F03C95}">
      <text>
        <r>
          <rPr>
            <sz val="9"/>
            <color indexed="81"/>
            <rFont val="Tahoma"/>
            <family val="2"/>
          </rPr>
          <t xml:space="preserve">Total Hours planned to complete the Backlog tasks for each Feature.
</t>
        </r>
      </text>
    </comment>
    <comment ref="H26" authorId="1" shapeId="0" xr:uid="{5ECDB50A-EE10-46B9-AD0C-6125ED2E98F8}">
      <text>
        <r>
          <rPr>
            <sz val="9"/>
            <color indexed="81"/>
            <rFont val="Tahoma"/>
            <family val="2"/>
          </rPr>
          <t xml:space="preserve">The known size of the Backlog tasks actually completed per Feature.
</t>
        </r>
      </text>
    </comment>
    <comment ref="I26" authorId="1" shapeId="0" xr:uid="{258E1937-8736-48F9-BECA-13EEB552BC68}">
      <text>
        <r>
          <rPr>
            <sz val="9"/>
            <color indexed="81"/>
            <rFont val="Tahoma"/>
            <family val="2"/>
          </rPr>
          <t xml:space="preserve">Total Hours required to complete the Backlog tasks for each Feature.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William H. Black-DNI-Y-</author>
    <author>Saumil S. Shah-DNI-Y-</author>
    <author>woollej</author>
    <author>William P. Martin-DNI-</author>
  </authors>
  <commentList>
    <comment ref="D2" authorId="0" shapeId="0" xr:uid="{F54EFB30-6281-44E3-B8A9-3185CBFC9A48}">
      <text>
        <r>
          <rPr>
            <sz val="9"/>
            <color indexed="81"/>
            <rFont val="Tahoma"/>
            <family val="2"/>
          </rPr>
          <t>Please classify each tab appropriately, if populated.</t>
        </r>
      </text>
    </comment>
    <comment ref="B22" authorId="1" shapeId="0" xr:uid="{00000000-0006-0000-0400-000002000000}">
      <text>
        <r>
          <rPr>
            <sz val="9"/>
            <color indexed="81"/>
            <rFont val="Tahoma"/>
            <family val="2"/>
          </rPr>
          <t>Provide the name of the program for which the Agile SW data is being reported</t>
        </r>
      </text>
    </comment>
    <comment ref="C22" authorId="1" shapeId="0" xr:uid="{00000000-0006-0000-0400-000003000000}">
      <text>
        <r>
          <rPr>
            <sz val="9"/>
            <color indexed="81"/>
            <rFont val="Tahoma"/>
            <family val="2"/>
          </rPr>
          <t>Provide the contract number or "gov" if a government team is performing the work</t>
        </r>
      </text>
    </comment>
    <comment ref="D22" authorId="2" shapeId="0" xr:uid="{00000000-0006-0000-0400-000004000000}">
      <text>
        <r>
          <rPr>
            <sz val="9"/>
            <color indexed="81"/>
            <rFont val="Tahoma"/>
            <family val="2"/>
          </rPr>
          <t>Enter the contractor that developed the code, or "gov" if the code was developed by a government development team</t>
        </r>
      </text>
    </comment>
    <comment ref="E22" authorId="3" shapeId="0" xr:uid="{00000000-0006-0000-0400-000005000000}">
      <text>
        <r>
          <rPr>
            <sz val="9"/>
            <color indexed="81"/>
            <rFont val="Tahoma"/>
            <family val="2"/>
          </rPr>
          <t xml:space="preserve">Location of where all personnel related to the Software Development team will be working for each software development functional area (City, State)
This includes management/support/development personnel
</t>
        </r>
      </text>
    </comment>
    <comment ref="F22" authorId="4" shapeId="0" xr:uid="{00000000-0006-0000-0400-000006000000}">
      <text>
        <r>
          <rPr>
            <sz val="9"/>
            <color indexed="81"/>
            <rFont val="Tahoma"/>
            <family val="2"/>
          </rPr>
          <t>Provide a description of what will be delivered for developed software. Include a concise, written description of capabilities that will be valuable to a user (or owner) and contain "the who, what, and why" necessary to describe the requirement.  Additionally, provide a general description of higher level deliveries.</t>
        </r>
      </text>
    </comment>
    <comment ref="G22" authorId="3" shapeId="0" xr:uid="{38E5936E-0DA6-48E9-8A5B-2C1E082E5516}">
      <text>
        <r>
          <rPr>
            <sz val="9"/>
            <color indexed="81"/>
            <rFont val="Tahoma"/>
            <family val="2"/>
          </rPr>
          <t xml:space="preserve">Description of capabilities of the SW that is being developed
</t>
        </r>
        <r>
          <rPr>
            <b/>
            <u/>
            <sz val="9"/>
            <color indexed="81"/>
            <rFont val="Tahoma"/>
            <family val="2"/>
          </rPr>
          <t>Analysis and Exploitation</t>
        </r>
        <r>
          <rPr>
            <sz val="9"/>
            <color indexed="81"/>
            <rFont val="Tahoma"/>
            <family val="2"/>
          </rPr>
          <t xml:space="preserve">
The Analysis and Exploitation function is responsible for examination of mission data (dissection, investigation, cross-referencing, etc.) and conversion of this data into finished intelligence. This includes manual and automated integration, evaluation and analysis of all available data. The process is completed with the preparation of intelligence products that include assessments of events and judgments about the implications of the information.
The Analysis and Exploitation function would include:
• Manage Need
• Manage Analytic Mission
• Perform Analysis
• Detection
• Change Detection
• Multi-INT Data Integration &amp; Fusion
• Classification
• Identification
• Association
• Tracking
• Forecasting
• Tipping
• Exploit Data Sets
</t>
        </r>
        <r>
          <rPr>
            <b/>
            <u/>
            <sz val="9"/>
            <color indexed="81"/>
            <rFont val="Tahoma"/>
            <family val="2"/>
          </rPr>
          <t>Command and Control (CC)</t>
        </r>
        <r>
          <rPr>
            <sz val="9"/>
            <color indexed="81"/>
            <rFont val="Tahoma"/>
            <family val="2"/>
          </rPr>
          <t xml:space="preserve">
The Command and Control (CC) function provides CC for the vehicle and payloads. This function decodes, demultiplexes, and decrypts telemetry, generates and encrypts commands for transmission and processes tracking data to generate ephemeris. This function provides the capability to prepare and output commands to receive and process telemetry, tracking, and other non-mission data from the vehicle. 
The Command and Control function would include:
• Schedule Execution
• Command Generation
• Uplink Data Generation
• Telemetry Processing
• State Management
• Vehicle Maintenance
• Space Vehicle Simulation
</t>
        </r>
        <r>
          <rPr>
            <b/>
            <u/>
            <sz val="9"/>
            <color indexed="81"/>
            <rFont val="Tahoma"/>
            <family val="2"/>
          </rPr>
          <t>Dissemination</t>
        </r>
        <r>
          <rPr>
            <sz val="9"/>
            <color indexed="81"/>
            <rFont val="Tahoma"/>
            <family val="2"/>
          </rPr>
          <t xml:space="preserve">
The Dissemination Function includes the timely distribution of intelligence products to departmental and agency intelligence consumers in a suitable form.  
The Dissemination function would include:
• Manage Enterprise Services
• Measure Content access
• Visualize GEOINT
• Organize Content
</t>
        </r>
        <r>
          <rPr>
            <b/>
            <sz val="9"/>
            <color indexed="81"/>
            <rFont val="Tahoma"/>
            <family val="2"/>
          </rPr>
          <t xml:space="preserve">
</t>
        </r>
        <r>
          <rPr>
            <b/>
            <u/>
            <sz val="9"/>
            <color indexed="81"/>
            <rFont val="Tahoma"/>
            <family val="2"/>
          </rPr>
          <t>Enabling Applications</t>
        </r>
        <r>
          <rPr>
            <sz val="9"/>
            <color indexed="81"/>
            <rFont val="Tahoma"/>
            <family val="2"/>
          </rPr>
          <t xml:space="preserve">
The Enabling Applications function contains the super categories and categories of technical services that enable the secure and efficient use of compute and storage platforms. Enabling services provide abstractions of platform and network infrastructure that allow applications and content to operate independently from the particular implementation of this infrastructure.
The Enabling Applications Communication function would include:
• Information Security systems
• Messaging systems
• Communication Middleware Services
• Database Services
• Information Technology Management Services
• Information Assurance Services
</t>
        </r>
        <r>
          <rPr>
            <b/>
            <u/>
            <sz val="9"/>
            <color indexed="81"/>
            <rFont val="Tahoma"/>
            <family val="2"/>
          </rPr>
          <t xml:space="preserve">
Ground Terminal</t>
        </r>
        <r>
          <rPr>
            <sz val="9"/>
            <color indexed="81"/>
            <rFont val="Tahoma"/>
            <family val="2"/>
          </rPr>
          <t xml:space="preserve">
The Ground Terminal (GT) function receives, demodulates and conditions telemetry, tracking, command and mission (payload) data. In addition this system generates the radio frequency (RF) uplink, accepts tracking and command signals, and modulates them onto the RF uplink. 
The Ground Terminal function would include:
• GT Foundation / Field
• GT Antenna (a...n)
• GT Optical Communication Assembly (OCA) 
• GT RF and Digital Electronics (GTEL) (Band a...n)  
• GT Baseband Network and Data Handling Equipment (GTNW) 
• GT Monitor and Control (GTMC)
</t>
        </r>
        <r>
          <rPr>
            <b/>
            <sz val="9"/>
            <color indexed="81"/>
            <rFont val="Tahoma"/>
            <family val="2"/>
          </rPr>
          <t xml:space="preserve">
</t>
        </r>
        <r>
          <rPr>
            <b/>
            <u/>
            <sz val="9"/>
            <color indexed="81"/>
            <rFont val="Tahoma"/>
            <family val="2"/>
          </rPr>
          <t>Infrastructure &amp; Framework (I&amp;F)</t>
        </r>
        <r>
          <rPr>
            <sz val="9"/>
            <color indexed="81"/>
            <rFont val="Tahoma"/>
            <family val="2"/>
          </rPr>
          <t xml:space="preserve">
The Infrastructure &amp; Framework (I&amp;F) function includes hardware and/or software that supports multiple functions, supports engineering development of administrative networks, and/or supports development of systems required to interface to other ground segments (other programs) at the same Ground Site.
The Infrastructure &amp; Framework function would include:
• Compute
• Record
• Store
• Routing
• Distribution
• Service Broker
• Sharing
• Fusion
• Tools
</t>
        </r>
        <r>
          <rPr>
            <b/>
            <u/>
            <sz val="9"/>
            <color indexed="81"/>
            <rFont val="Tahoma"/>
            <family val="2"/>
          </rPr>
          <t>Mission Data Processing (MP)</t>
        </r>
        <r>
          <rPr>
            <sz val="9"/>
            <color indexed="81"/>
            <rFont val="Tahoma"/>
            <family val="2"/>
          </rPr>
          <t xml:space="preserve">
The Mission Data Processing function decodes, demultiplexes, decrypts and processes Mission data from the Payload(s) and provides usable data for analysis and exploitation.
The Mission Data Processing function would include:
• Data Conditioning
• Mission Data Processing
• Processing Workflow Management
• Mission Data Management
• Quality Assurance
</t>
        </r>
        <r>
          <rPr>
            <b/>
            <u/>
            <sz val="9"/>
            <color indexed="81"/>
            <rFont val="Tahoma"/>
            <family val="2"/>
          </rPr>
          <t>Mission Management (MM)</t>
        </r>
        <r>
          <rPr>
            <sz val="9"/>
            <color indexed="81"/>
            <rFont val="Tahoma"/>
            <family val="2"/>
          </rPr>
          <t xml:space="preserve">
The Mission (Payload Data) Management function receives tasking, generates and provides the system and mission plans, schedules, and timelines for the vehicle and Ground Segment(s).
The Mission Management function would include:
• Task Management
• Mission Analysis
• Mission Plan Generation
• Collection Schedule Generation
• Real Time Schedule Management
• Orchestration
• Mission Execution
</t>
        </r>
        <r>
          <rPr>
            <b/>
            <sz val="9"/>
            <color indexed="81"/>
            <rFont val="Tahoma"/>
            <family val="2"/>
          </rPr>
          <t xml:space="preserve">
</t>
        </r>
        <r>
          <rPr>
            <b/>
            <u/>
            <sz val="9"/>
            <color indexed="81"/>
            <rFont val="Tahoma"/>
            <family val="2"/>
          </rPr>
          <t>Tasking and Management</t>
        </r>
        <r>
          <rPr>
            <sz val="9"/>
            <color indexed="81"/>
            <rFont val="Tahoma"/>
            <family val="2"/>
          </rPr>
          <t xml:space="preserve">
The Tasking and Management function includes generating requests for data, delivering instructions to a collection element, and subsequently tracking the fulfillment of each request.
The Tasking and Management function would include:
• Manage Source Strategies
• Monitor Strategy Execution
• Determine Value
• Manage Supplier Needs
• Mange Source Models
</t>
        </r>
      </text>
    </comment>
    <comment ref="H22" authorId="3" shapeId="0" xr:uid="{00000000-0006-0000-0400-000007000000}">
      <text>
        <r>
          <rPr>
            <sz val="9"/>
            <color indexed="81"/>
            <rFont val="Tahoma"/>
            <family val="2"/>
          </rPr>
          <t xml:space="preserve">Provide the name of the next software development level (below Function) at which data is provided.
Note: 
-Multiple SW Development Level 1 entries per Function should be denoted on separate lines
For example (a notional structure):
- Function-&gt;Release
      where Release is SW Development Level 1
</t>
        </r>
      </text>
    </comment>
    <comment ref="I22" authorId="3" shapeId="0" xr:uid="{00000000-0006-0000-0400-000008000000}">
      <text>
        <r>
          <rPr>
            <sz val="9"/>
            <color indexed="81"/>
            <rFont val="Tahoma"/>
            <family val="2"/>
          </rPr>
          <t xml:space="preserve">Provide the name of the next software development level (below Level 1).
Note: 
-Multiple SW Development Level 2 entries per Function should be denoted on separate lines
Structure Example
- Function-&gt;Release-&gt;Sprint
      where Release is SW Development Level 1
      where Sprint is SW Development Level 2
</t>
        </r>
      </text>
    </comment>
    <comment ref="J22" authorId="3" shapeId="0" xr:uid="{00000000-0006-0000-0400-000009000000}">
      <text>
        <r>
          <rPr>
            <sz val="9"/>
            <color indexed="81"/>
            <rFont val="Tahoma"/>
            <family val="2"/>
          </rPr>
          <t xml:space="preserve">Provide the name of the next software development level (below Level 2).
Note: 
-Multiple SW Development Level 3 entries per Function should be denoted on separate lines
Structure Example
- Function-&gt;Release-&gt;Sprint-&gt;Feature
      where Release is SW Development Level 1
      where Sprint is SW Development Level 2
      where Feature is SW Development Level 3
</t>
        </r>
      </text>
    </comment>
    <comment ref="K22" authorId="3" shapeId="0" xr:uid="{00000000-0006-0000-0400-00000A000000}">
      <text>
        <r>
          <rPr>
            <sz val="9"/>
            <color indexed="81"/>
            <rFont val="Tahoma"/>
            <family val="2"/>
          </rPr>
          <t xml:space="preserve">Provide the name of the next software development level (below Level 3).
Note: 
-Multiple SW Development Level 4 entries per Function should be denoted on separate lines
Structure Example
- Function-&gt;Release-&gt;Sprint-&gt;Feature-&gt;User Story
      where Release is SW Development Level 1
      where Sprint is SW Development Level 2
      where Feature is SW Development Level 3
      where User Story is SW Development Level 4
</t>
        </r>
      </text>
    </comment>
    <comment ref="L22" authorId="4" shapeId="0" xr:uid="{00000000-0006-0000-0400-00000B000000}">
      <text>
        <r>
          <rPr>
            <sz val="8"/>
            <color indexed="81"/>
            <rFont val="Tahoma"/>
            <family val="2"/>
          </rPr>
          <t>Provide the date upon which software development effort started (MM/DD/YYYY)</t>
        </r>
      </text>
    </comment>
    <comment ref="M22" authorId="4" shapeId="0" xr:uid="{00000000-0006-0000-0400-00000C000000}">
      <text>
        <r>
          <rPr>
            <sz val="8"/>
            <color indexed="81"/>
            <rFont val="Tahoma"/>
            <family val="2"/>
          </rPr>
          <t>Provide the date upon which software development effort ended (MM/DD/YYYY)</t>
        </r>
      </text>
    </comment>
    <comment ref="N22" authorId="1" shapeId="0" xr:uid="{00000000-0006-0000-0400-00000D000000}">
      <text>
        <r>
          <rPr>
            <sz val="9"/>
            <color indexed="81"/>
            <rFont val="Tahoma"/>
            <family val="2"/>
          </rPr>
          <t>Designate whether the developed software covers new development, fixes/discrepancy report (DR) workoffs, or a combination of the two.</t>
        </r>
      </text>
    </comment>
    <comment ref="O22" authorId="1" shapeId="0" xr:uid="{00000000-0006-0000-0400-00000E000000}">
      <text>
        <r>
          <rPr>
            <sz val="9"/>
            <color indexed="81"/>
            <rFont val="Tahoma"/>
            <family val="2"/>
          </rPr>
          <t>Indicate the baseline in which this software will be incorporated
For example:
- 4.5.1
- 2b
This information should reflect the same Baseline Deployment information on the SW Deployment tab.</t>
        </r>
      </text>
    </comment>
    <comment ref="P22" authorId="1" shapeId="0" xr:uid="{00000000-0006-0000-0400-00000F000000}">
      <text>
        <r>
          <rPr>
            <sz val="9"/>
            <color indexed="81"/>
            <rFont val="Tahoma"/>
            <family val="2"/>
          </rPr>
          <t>Indicate the date developed software was deployed to operations (MM/DD/YYYY)
These dates should reflect end dates on the SW Deployment tab.</t>
        </r>
      </text>
    </comment>
    <comment ref="Q22" authorId="1" shapeId="0" xr:uid="{00000000-0006-0000-0400-000010000000}">
      <text>
        <r>
          <rPr>
            <sz val="9"/>
            <color indexed="81"/>
            <rFont val="Tahoma"/>
            <family val="2"/>
          </rPr>
          <t>Number of DRs accomplished in the release (if any) non-development only</t>
        </r>
      </text>
    </comment>
    <comment ref="R22" authorId="4" shapeId="0" xr:uid="{00000000-0006-0000-0400-000012000000}">
      <text>
        <r>
          <rPr>
            <sz val="8"/>
            <color indexed="81"/>
            <rFont val="Tahoma"/>
            <family val="2"/>
          </rPr>
          <t>Provide the total number of hours attributed to the software development, which includes the following activities:
a. Software Requirements Analysis
b. Preliminary Design
c. Detailed Design
d. Code and Unit Test
e. Component Test and Integration
f. Configuration Item Test and Integration
(Do NOT include higher-level Systems Engineering hours, Program Management hours, etc.)</t>
        </r>
      </text>
    </comment>
    <comment ref="S22" authorId="5" shapeId="0" xr:uid="{00000000-0006-0000-0400-000014000000}">
      <text>
        <r>
          <rPr>
            <sz val="9"/>
            <color indexed="81"/>
            <rFont val="Tahoma"/>
            <family val="2"/>
          </rPr>
          <t>Assessed complexity of release expressed in T shirt size (large, medium, small),  Fibonacci scale, etc.</t>
        </r>
      </text>
    </comment>
    <comment ref="T22" authorId="1" shapeId="0" xr:uid="{00000000-0006-0000-0400-000016000000}">
      <text>
        <r>
          <rPr>
            <sz val="9"/>
            <color indexed="81"/>
            <rFont val="Tahoma"/>
            <family val="2"/>
          </rPr>
          <t>Provide any comments/notes necessary to provide clarification, additional detail, or context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William H. Black-DNI-Y-</author>
    <author>Saumil S. Shah-DNI-Y-</author>
    <author>William P. Martin-DNI-</author>
    <author>woollej</author>
  </authors>
  <commentList>
    <comment ref="D2" authorId="0" shapeId="0" xr:uid="{801559D4-65BD-4AB9-9CB2-5FA878BF73CB}">
      <text>
        <r>
          <rPr>
            <b/>
            <sz val="9"/>
            <color indexed="81"/>
            <rFont val="Tahoma"/>
            <family val="2"/>
          </rPr>
          <t>Trung C. Trieu-DNI-Y-:</t>
        </r>
        <r>
          <rPr>
            <sz val="9"/>
            <color indexed="81"/>
            <rFont val="Tahoma"/>
            <family val="2"/>
          </rPr>
          <t xml:space="preserve">
Please classify each tab appropriately once you have inputted data.</t>
        </r>
      </text>
    </comment>
    <comment ref="B32" authorId="1" shapeId="0" xr:uid="{6B5DF6D8-D749-4875-B3D3-B9B27938B027}">
      <text>
        <r>
          <rPr>
            <sz val="9"/>
            <color indexed="81"/>
            <rFont val="Tahoma"/>
            <family val="2"/>
          </rPr>
          <t>Provide the name of the program for which the code counts are being reported</t>
        </r>
      </text>
    </comment>
    <comment ref="C32" authorId="1" shapeId="0" xr:uid="{8A68EAAB-DC74-4522-B8AA-DA459BAD099F}">
      <text>
        <r>
          <rPr>
            <sz val="9"/>
            <color indexed="81"/>
            <rFont val="Tahoma"/>
            <family val="2"/>
          </rPr>
          <t>Provide the contract number or "gov" if a government team is performing the work</t>
        </r>
      </text>
    </comment>
    <comment ref="D32" authorId="2" shapeId="0" xr:uid="{1A083101-2959-4906-95E8-E1E10868F9C4}">
      <text>
        <r>
          <rPr>
            <sz val="9"/>
            <color indexed="81"/>
            <rFont val="Tahoma"/>
            <family val="2"/>
          </rPr>
          <t>Enter the contractor or sub-contractor that developed the code, or "gov" if the code was developed by a government development team</t>
        </r>
      </text>
    </comment>
    <comment ref="E32" authorId="3" shapeId="0" xr:uid="{F424E222-9042-49BC-8478-280BB3E33684}">
      <text>
        <r>
          <rPr>
            <sz val="9"/>
            <color indexed="81"/>
            <rFont val="Tahoma"/>
            <family val="2"/>
          </rPr>
          <t xml:space="preserve">Location of where all personnel related to the Software Development team will be working for each software development functional area (City, State)
This includes management/support/development personnel
</t>
        </r>
      </text>
    </comment>
    <comment ref="F32" authorId="0" shapeId="0" xr:uid="{60C31FAF-75EC-4D2B-B4C8-F645FEB03D24}">
      <text>
        <r>
          <rPr>
            <b/>
            <sz val="9"/>
            <color indexed="81"/>
            <rFont val="Tahoma"/>
            <family val="2"/>
          </rPr>
          <t>Provide the SW Code Type being developed.  
For Example: 
Database Dev
Glue/Wrapper Code
Refactoring/Migration Code
Source Code</t>
        </r>
        <r>
          <rPr>
            <sz val="9"/>
            <color indexed="81"/>
            <rFont val="Tahoma"/>
            <family val="2"/>
          </rPr>
          <t xml:space="preserve">
</t>
        </r>
      </text>
    </comment>
    <comment ref="G32" authorId="3" shapeId="0" xr:uid="{2E0A5A96-5527-49D0-B9C2-B5210AF68C4E}">
      <text>
        <r>
          <rPr>
            <sz val="9"/>
            <color indexed="81"/>
            <rFont val="Tahoma"/>
            <family val="2"/>
          </rPr>
          <t xml:space="preserve">Description of capabilities of the SW that is being developed
</t>
        </r>
        <r>
          <rPr>
            <b/>
            <u/>
            <sz val="9"/>
            <color indexed="81"/>
            <rFont val="Tahoma"/>
            <family val="2"/>
          </rPr>
          <t>Analysis and Exploitation</t>
        </r>
        <r>
          <rPr>
            <sz val="9"/>
            <color indexed="81"/>
            <rFont val="Tahoma"/>
            <family val="2"/>
          </rPr>
          <t xml:space="preserve">
The Analysis and Exploitation function is responsible for examination of mission data (dissection, investigation, cross-referencing, etc.) and conversion of this data into finished intelligence. This includes manual and automated integration, evaluation and analysis of all available data. The process is completed with the preparation of intelligence products that include assessments of events and judgments about the implications of the information.
The Analysis and Exploitation function would include:
• Manage Need
• Manage Analytic Mission
• Perform Analysis
• Detection
• Change Detection
• Multi-INT Data Integration &amp; Fusion
• Classification
• Identification
• Association
• Tracking
• Forecasting
• Tipping
• Exploit Data Sets
</t>
        </r>
        <r>
          <rPr>
            <b/>
            <u/>
            <sz val="9"/>
            <color indexed="81"/>
            <rFont val="Tahoma"/>
            <family val="2"/>
          </rPr>
          <t>Command and Control (CC)</t>
        </r>
        <r>
          <rPr>
            <sz val="9"/>
            <color indexed="81"/>
            <rFont val="Tahoma"/>
            <family val="2"/>
          </rPr>
          <t xml:space="preserve">
The Command and Control (CC) function provides CC for the vehicle and payloads. This function decodes, demultiplexes, and decrypts telemetry, generates and encrypts commands for transmission and processes tracking data to generate ephemeris. This function provides the capability to prepare and output commands to receive and process telemetry, tracking, and other non-mission data from the vehicle. 
The Command and Control function would include:
• Schedule Execution
• Command Generation
• Uplink Data Generation
• Telemetry Processing
• State Management
• Vehicle Maintenance
• Space Vehicle Simulation
</t>
        </r>
        <r>
          <rPr>
            <b/>
            <u/>
            <sz val="9"/>
            <color indexed="81"/>
            <rFont val="Tahoma"/>
            <family val="2"/>
          </rPr>
          <t>Dissemination</t>
        </r>
        <r>
          <rPr>
            <sz val="9"/>
            <color indexed="81"/>
            <rFont val="Tahoma"/>
            <family val="2"/>
          </rPr>
          <t xml:space="preserve">
The Dissemination Function includes the timely distribution of intelligence products to departmental and agency intelligence consumers in a suitable form.  
The Dissemination function would include:
• Manage Enterprise Services
• Measure Content access
• Visualize GEOINT
• Organize Content
</t>
        </r>
        <r>
          <rPr>
            <b/>
            <sz val="9"/>
            <color indexed="81"/>
            <rFont val="Tahoma"/>
            <family val="2"/>
          </rPr>
          <t xml:space="preserve">
</t>
        </r>
        <r>
          <rPr>
            <b/>
            <u/>
            <sz val="9"/>
            <color indexed="81"/>
            <rFont val="Tahoma"/>
            <family val="2"/>
          </rPr>
          <t>Enabling Applications</t>
        </r>
        <r>
          <rPr>
            <sz val="9"/>
            <color indexed="81"/>
            <rFont val="Tahoma"/>
            <family val="2"/>
          </rPr>
          <t xml:space="preserve">
The Enabling Applications function contains the super categories and categories of technical services that enable the secure and efficient use of compute and storage platforms. Enabling services provide abstractions of platform and network infrastructure that allow applications and content to operate independently from the particular implementation of this infrastructure.
The Enabling Applications Communication function would include:
• Information Security systems
• Messaging systems
• Communication Middleware Services
• Database Services
• Information Technology Management Services
• Information Assurance Services
</t>
        </r>
        <r>
          <rPr>
            <b/>
            <u/>
            <sz val="9"/>
            <color indexed="81"/>
            <rFont val="Tahoma"/>
            <family val="2"/>
          </rPr>
          <t xml:space="preserve">
Ground Terminal</t>
        </r>
        <r>
          <rPr>
            <sz val="9"/>
            <color indexed="81"/>
            <rFont val="Tahoma"/>
            <family val="2"/>
          </rPr>
          <t xml:space="preserve">
The Ground Terminal (GT) function receives, demodulates and conditions telemetry, tracking, command and mission (payload) data. In addition this system generates the radio frequency (RF) uplink, accepts tracking and command signals, and modulates them onto the RF uplink. 
The Ground Terminal function would include:
• GT Foundation / Field
• GT Antenna (a...n)
• GT Optical Communication Assembly (OCA) 
• GT RF and Digital Electronics (GTEL) (Band a...n)  
• GT Baseband Network and Data Handling Equipment (GTNW) 
• GT Monitor and Control (GTMC)
</t>
        </r>
        <r>
          <rPr>
            <b/>
            <sz val="9"/>
            <color indexed="81"/>
            <rFont val="Tahoma"/>
            <family val="2"/>
          </rPr>
          <t xml:space="preserve">
</t>
        </r>
        <r>
          <rPr>
            <b/>
            <u/>
            <sz val="9"/>
            <color indexed="81"/>
            <rFont val="Tahoma"/>
            <family val="2"/>
          </rPr>
          <t>Infrastructure &amp; Framework (I&amp;F)</t>
        </r>
        <r>
          <rPr>
            <sz val="9"/>
            <color indexed="81"/>
            <rFont val="Tahoma"/>
            <family val="2"/>
          </rPr>
          <t xml:space="preserve">
The Infrastructure &amp; Framework (I&amp;F) function includes hardware and/or software that supports multiple functions, supports engineering development of administrative networks, and/or supports development of systems required to interface to other ground segments (other programs) at the same Ground Site.
The Infrastructure &amp; Framework function would include:
• Compute
• Record
• Store
• Routing
• Distribution
• Service Broker
• Sharing
• Fusion
• Tools
</t>
        </r>
        <r>
          <rPr>
            <b/>
            <u/>
            <sz val="9"/>
            <color indexed="81"/>
            <rFont val="Tahoma"/>
            <family val="2"/>
          </rPr>
          <t>Mission Data Processing (MP)</t>
        </r>
        <r>
          <rPr>
            <sz val="9"/>
            <color indexed="81"/>
            <rFont val="Tahoma"/>
            <family val="2"/>
          </rPr>
          <t xml:space="preserve">
The Mission Data Processing function decodes, demultiplexes, decrypts and processes Mission data from the Payload(s) and provides usable data for analysis and exploitation.
The Mission Data Processing function would include:
• Data Conditioning
• Mission Data Processing
• Processing Workflow Management
• Mission Data Management
• Quality Assurance
</t>
        </r>
        <r>
          <rPr>
            <b/>
            <u/>
            <sz val="9"/>
            <color indexed="81"/>
            <rFont val="Tahoma"/>
            <family val="2"/>
          </rPr>
          <t>Mission Management (MM)</t>
        </r>
        <r>
          <rPr>
            <sz val="9"/>
            <color indexed="81"/>
            <rFont val="Tahoma"/>
            <family val="2"/>
          </rPr>
          <t xml:space="preserve">
The Mission (Payload Data) Management function receives tasking, generates and provides the system and mission plans, schedules, and timelines for the vehicle and Ground Segment(s).
The Mission Management function would include:
• Task Management
• Mission Analysis
• Mission Plan Generation
• Collection Schedule Generation
• Real Time Schedule Management
• Orchestration
• Mission Execution
</t>
        </r>
        <r>
          <rPr>
            <b/>
            <sz val="9"/>
            <color indexed="81"/>
            <rFont val="Tahoma"/>
            <family val="2"/>
          </rPr>
          <t xml:space="preserve">
</t>
        </r>
        <r>
          <rPr>
            <b/>
            <u/>
            <sz val="9"/>
            <color indexed="81"/>
            <rFont val="Tahoma"/>
            <family val="2"/>
          </rPr>
          <t>Tasking and Management</t>
        </r>
        <r>
          <rPr>
            <sz val="9"/>
            <color indexed="81"/>
            <rFont val="Tahoma"/>
            <family val="2"/>
          </rPr>
          <t xml:space="preserve">
The Tasking and Management function includes generating requests for data, delivering instructions to a collection element, and subsequently tracking the fulfillment of each request.
The Tasking and Management function would include:
• Manage Source Strategies
• Monitor Strategy Execution
• Determine Value
• Manage Supplier Needs
• Mange Source Models
</t>
        </r>
      </text>
    </comment>
    <comment ref="H32" authorId="4" shapeId="0" xr:uid="{7E92B99E-97FF-4DB0-A106-CD8C9C10E1A4}">
      <text>
        <r>
          <rPr>
            <sz val="9"/>
            <color indexed="81"/>
            <rFont val="Tahoma"/>
            <charset val="1"/>
          </rPr>
          <t>Code Type (e.g. Java, Python, Visualization, etc.)</t>
        </r>
      </text>
    </comment>
    <comment ref="I32" authorId="3" shapeId="0" xr:uid="{E331A2AC-D399-4532-AA48-06277FED0B7B}">
      <text>
        <r>
          <rPr>
            <sz val="9"/>
            <color indexed="81"/>
            <rFont val="Tahoma"/>
            <family val="2"/>
          </rPr>
          <t xml:space="preserve">Provide the names of the CSCI at which data is provided.
Multiple CSCIs per Function should be denoted on separate lines
For example:
- FunctionA CSCI1
- FunctionA CSCI2
- FunctionB CSCI1
</t>
        </r>
      </text>
    </comment>
    <comment ref="J32" authorId="1" shapeId="0" xr:uid="{49D303CA-6C73-4333-9824-4C1D320B8118}">
      <text>
        <r>
          <rPr>
            <sz val="9"/>
            <color indexed="81"/>
            <rFont val="Tahoma"/>
            <family val="2"/>
          </rPr>
          <t>Provide a description of the capabilities delivered as part of the SW Development</t>
        </r>
      </text>
    </comment>
    <comment ref="K32" authorId="1" shapeId="0" xr:uid="{BE2FE2EC-715C-404D-9669-C155B157A04B}">
      <text>
        <r>
          <rPr>
            <sz val="9"/>
            <color indexed="81"/>
            <rFont val="Tahoma"/>
            <family val="2"/>
          </rPr>
          <t>Indicate the baseline in which this software was incorporated
For example:
- 4.5.1
- 2b</t>
        </r>
      </text>
    </comment>
    <comment ref="L32" authorId="5" shapeId="0" xr:uid="{52977312-0214-4DB9-A694-CEB7B29A3D74}">
      <text>
        <r>
          <rPr>
            <sz val="8"/>
            <color indexed="81"/>
            <rFont val="Tahoma"/>
            <family val="2"/>
          </rPr>
          <t xml:space="preserve">Provide the primary method used for software development
 </t>
        </r>
      </text>
    </comment>
    <comment ref="M32" authorId="5" shapeId="0" xr:uid="{C80AFD97-C11F-40A4-96D7-15AD7E1499DC}">
      <text>
        <r>
          <rPr>
            <sz val="8"/>
            <color indexed="81"/>
            <rFont val="Tahoma"/>
            <family val="2"/>
          </rPr>
          <t>Total logical developed SLOC categorized as new code by the UCC-G</t>
        </r>
      </text>
    </comment>
    <comment ref="N32" authorId="5" shapeId="0" xr:uid="{9CDE5C8A-F143-42D1-A41B-66635BBF4D18}">
      <text>
        <r>
          <rPr>
            <sz val="8"/>
            <color indexed="81"/>
            <rFont val="Tahoma"/>
            <family val="2"/>
          </rPr>
          <t>Percentage of Total New Code (Column K) that is newly developed code</t>
        </r>
      </text>
    </comment>
    <comment ref="O32" authorId="3" shapeId="0" xr:uid="{8E9C670F-A36A-43BA-826A-5CC028F14399}">
      <text>
        <r>
          <rPr>
            <sz val="9"/>
            <color indexed="81"/>
            <rFont val="Tahoma"/>
            <family val="2"/>
          </rPr>
          <t xml:space="preserve">Percentage of Total New Code (Column K) that is Open Source or External code
</t>
        </r>
      </text>
    </comment>
    <comment ref="P32" authorId="5" shapeId="0" xr:uid="{0E0B40C1-51CD-4655-8E86-738501BC66E2}">
      <text>
        <r>
          <rPr>
            <sz val="9"/>
            <color indexed="81"/>
            <rFont val="Tahoma"/>
            <family val="2"/>
          </rPr>
          <t xml:space="preserve">For all open source / reuse code, indicate the level of effort (in %), if any, to incorporate the piece of code versus developing it from scratch. This % includes the effort for design, implementation, and test of the incorporated code.
</t>
        </r>
      </text>
    </comment>
    <comment ref="Q32" authorId="5" shapeId="0" xr:uid="{B9580A09-F2F9-48C9-9468-4A572096F4A5}">
      <text>
        <r>
          <rPr>
            <sz val="8"/>
            <color indexed="81"/>
            <rFont val="Tahoma"/>
            <family val="2"/>
          </rPr>
          <t>Percentage of Total New Code (Column K) that is Autogenerated code</t>
        </r>
      </text>
    </comment>
    <comment ref="R32" authorId="5" shapeId="0" xr:uid="{A1ABC444-6083-426E-AEC6-8AE378F2C066}">
      <text>
        <r>
          <rPr>
            <sz val="9"/>
            <color indexed="81"/>
            <rFont val="Tahoma"/>
            <family val="2"/>
          </rPr>
          <t>For all autogenerated code, indicate the level of effort (in %), if any, to incorporate the piece of code versus developing it from scratch. This % includes the effort for design, implementation, and test of the incorporated code.</t>
        </r>
      </text>
    </comment>
    <comment ref="S32" authorId="5" shapeId="0" xr:uid="{AC511DC9-BB9F-491F-8A5F-BE44EB7E0488}">
      <text>
        <r>
          <rPr>
            <sz val="8"/>
            <color indexed="81"/>
            <rFont val="Tahoma"/>
            <family val="2"/>
          </rPr>
          <t>Total code that has been not been modified since the last time the UCC-G was run on the delivered code</t>
        </r>
      </text>
    </comment>
    <comment ref="T32" authorId="5" shapeId="0" xr:uid="{DEB65069-588A-4949-B0DA-B8DD13DF142C}">
      <text>
        <r>
          <rPr>
            <sz val="9"/>
            <color indexed="81"/>
            <rFont val="Tahoma"/>
            <family val="2"/>
          </rPr>
          <t>For all unmodified code, please indicate the level of effort (in %), if any, to incorporate the piece of code versus developing it from scratch. This % includes the effort for design, implementation, and test of the incorporated code.</t>
        </r>
      </text>
    </comment>
    <comment ref="U32" authorId="5" shapeId="0" xr:uid="{1A0751E0-F4DD-4859-87E3-AE21ACE7C404}">
      <text>
        <r>
          <rPr>
            <sz val="8"/>
            <color indexed="81"/>
            <rFont val="Tahoma"/>
            <family val="2"/>
          </rPr>
          <t>Total code that has been modified from  its original state since the last time the UCC-G was run on the delivered code</t>
        </r>
      </text>
    </comment>
    <comment ref="V32" authorId="5" shapeId="0" xr:uid="{469B3B31-8699-4C8C-9A04-BFE2604F1351}">
      <text>
        <r>
          <rPr>
            <sz val="9"/>
            <color indexed="81"/>
            <rFont val="Tahoma"/>
            <family val="2"/>
          </rPr>
          <t>For all modified code, please indicate the level of effort (in %), if any, to incorporate the piece of code versus developing it from scratch. This % includes the effort for design, implementation, and test of the incorporated code.</t>
        </r>
      </text>
    </comment>
    <comment ref="W32" authorId="1" shapeId="0" xr:uid="{6AB4BC9C-5396-42EC-BAC4-8B89CD52DE5F}">
      <text>
        <r>
          <rPr>
            <sz val="9"/>
            <color indexed="81"/>
            <rFont val="Tahoma"/>
            <family val="2"/>
          </rPr>
          <t>Total code that has been deleted since the last time the UCC-G was run on the delivered code</t>
        </r>
      </text>
    </comment>
    <comment ref="X32" authorId="1" shapeId="0" xr:uid="{1EA67AF5-1CBF-4D28-B009-AA3323BE8BC8}">
      <text>
        <r>
          <rPr>
            <sz val="9"/>
            <color indexed="81"/>
            <rFont val="Tahoma"/>
            <family val="2"/>
          </rPr>
          <t>Provide any comments/notes necessary to provide clarification, additional detail, or context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William H. Black-DNI-Y-</author>
    <author>Saumil S. Shah-DNI-Y-</author>
    <author>woollej</author>
    <author>Annette S. Rhoads-DNI-Y-</author>
  </authors>
  <commentList>
    <comment ref="D2" authorId="0" shapeId="0" xr:uid="{4CF3DD57-9BB5-4589-8EAF-DF9A3BC9590B}">
      <text>
        <r>
          <rPr>
            <sz val="9"/>
            <color indexed="81"/>
            <rFont val="Tahoma"/>
            <family val="2"/>
          </rPr>
          <t>Please classify each tab appropriately, if populated.</t>
        </r>
      </text>
    </comment>
    <comment ref="B19" authorId="1" shapeId="0" xr:uid="{00000000-0006-0000-0600-000002000000}">
      <text>
        <r>
          <rPr>
            <sz val="9"/>
            <color indexed="81"/>
            <rFont val="Tahoma"/>
            <family val="2"/>
          </rPr>
          <t>Provide the name of the program for which the Data Management data is being reported</t>
        </r>
      </text>
    </comment>
    <comment ref="C19" authorId="1" shapeId="0" xr:uid="{00000000-0006-0000-0600-000003000000}">
      <text>
        <r>
          <rPr>
            <sz val="9"/>
            <color indexed="81"/>
            <rFont val="Tahoma"/>
            <family val="2"/>
          </rPr>
          <t>Provide the contract number or "gov" if a government team is performing the work</t>
        </r>
      </text>
    </comment>
    <comment ref="D19" authorId="2" shapeId="0" xr:uid="{00000000-0006-0000-0600-000004000000}">
      <text>
        <r>
          <rPr>
            <sz val="9"/>
            <color indexed="81"/>
            <rFont val="Tahoma"/>
            <family val="2"/>
          </rPr>
          <t>Enter the contractor or sub-contractor that developed the code, or "gov" if the code was developed by a government development team</t>
        </r>
      </text>
    </comment>
    <comment ref="E19" authorId="3" shapeId="0" xr:uid="{00000000-0006-0000-0600-000005000000}">
      <text>
        <r>
          <rPr>
            <sz val="9"/>
            <color indexed="81"/>
            <rFont val="Tahoma"/>
            <family val="2"/>
          </rPr>
          <t xml:space="preserve">Location where the majority of personnel performing Data Management are located
CONUS: (City, State)
OCONUS: (City, Country) 
</t>
        </r>
      </text>
    </comment>
    <comment ref="F19" authorId="3" shapeId="0" xr:uid="{00000000-0006-0000-0600-000006000000}">
      <text>
        <r>
          <rPr>
            <sz val="9"/>
            <color indexed="81"/>
            <rFont val="Tahoma"/>
            <family val="2"/>
          </rPr>
          <t>Short description of Data Management effort performed. 
Note: Each task performed on the program and contract should be denoted on a separate line
For example:
- MS Access to SQL
- Program X to Cloud Provider Y
- Downgrading classification level for X from TBD to TBD
- Normalizing data to USA (from United States, United State of America, USA, etc.)</t>
        </r>
      </text>
    </comment>
    <comment ref="G19" authorId="3" shapeId="0" xr:uid="{00000000-0006-0000-0600-000007000000}">
      <text>
        <r>
          <rPr>
            <sz val="9"/>
            <color indexed="81"/>
            <rFont val="Tahoma"/>
            <family val="2"/>
          </rPr>
          <t xml:space="preserve">Detailed description of  the Data Management performed
Include, but not limited to:
- Database name
- Data migration effort
- Data Conditioning effort
</t>
        </r>
      </text>
    </comment>
    <comment ref="H19" authorId="1" shapeId="0" xr:uid="{00000000-0006-0000-0600-000008000000}">
      <text>
        <r>
          <rPr>
            <sz val="9"/>
            <color indexed="81"/>
            <rFont val="Tahoma"/>
            <family val="2"/>
          </rPr>
          <t>Type of data management effort performed</t>
        </r>
      </text>
    </comment>
    <comment ref="I19" authorId="3" shapeId="0" xr:uid="{00000000-0006-0000-0600-000009000000}">
      <text>
        <r>
          <rPr>
            <sz val="9"/>
            <color indexed="81"/>
            <rFont val="Tahoma"/>
            <family val="2"/>
          </rPr>
          <t>Provide the date upon which the Data Management effort started or is projected to start (MM/DD/YYYY)</t>
        </r>
      </text>
    </comment>
    <comment ref="J19" authorId="3" shapeId="0" xr:uid="{00000000-0006-0000-0600-00000A000000}">
      <text>
        <r>
          <rPr>
            <sz val="9"/>
            <color indexed="81"/>
            <rFont val="Tahoma"/>
            <family val="2"/>
          </rPr>
          <t>Provide the date upon which the Data Management effort ended or is projected to end (MM/DD/YYYY)</t>
        </r>
      </text>
    </comment>
    <comment ref="K19" authorId="3" shapeId="0" xr:uid="{00000000-0006-0000-0600-00000B000000}">
      <text>
        <r>
          <rPr>
            <sz val="9"/>
            <color indexed="81"/>
            <rFont val="Tahoma"/>
            <family val="2"/>
          </rPr>
          <t xml:space="preserve">Quantity of Data Management personnel hours for this effort.
</t>
        </r>
      </text>
    </comment>
    <comment ref="L19" authorId="3" shapeId="0" xr:uid="{00000000-0006-0000-0600-00000C000000}">
      <text>
        <r>
          <rPr>
            <sz val="9"/>
            <color indexed="81"/>
            <rFont val="Tahoma"/>
            <family val="2"/>
          </rPr>
          <t xml:space="preserve">Size of data that is being migrated or conditioned (in Terabytes)
</t>
        </r>
      </text>
    </comment>
    <comment ref="M19" authorId="3" shapeId="0" xr:uid="{00000000-0006-0000-0600-00000D000000}">
      <text>
        <r>
          <rPr>
            <sz val="9"/>
            <color indexed="81"/>
            <rFont val="Tahoma"/>
            <family val="2"/>
          </rPr>
          <t>% of data relative to the entire set of data in database that is being manually conditioned
Note: 
- Manual conditioning consists of labor intensive modifications and/or reviews</t>
        </r>
      </text>
    </comment>
    <comment ref="N19" authorId="3" shapeId="0" xr:uid="{00000000-0006-0000-0600-00000E000000}">
      <text>
        <r>
          <rPr>
            <sz val="9"/>
            <color indexed="81"/>
            <rFont val="Tahoma"/>
            <family val="2"/>
          </rPr>
          <t>% of data relative to the entire set of data in database that is being automatically conditioned
Note: 
- Automatic conditioning is performed by software tools and applications</t>
        </r>
      </text>
    </comment>
    <comment ref="O19" authorId="4" shapeId="0" xr:uid="{00000000-0006-0000-0600-00000F000000}">
      <text>
        <r>
          <rPr>
            <sz val="9"/>
            <color indexed="81"/>
            <rFont val="Tahoma"/>
            <family val="2"/>
          </rPr>
          <t>Description of the original  format/platform/location/etc. that the data management migration effort is migrating from 
For Example:
- MS Access
- Oracle
- SQL
- Location X</t>
        </r>
        <r>
          <rPr>
            <sz val="8"/>
            <color indexed="81"/>
            <rFont val="Tahoma"/>
            <family val="2"/>
          </rPr>
          <t xml:space="preserve">
</t>
        </r>
      </text>
    </comment>
    <comment ref="P19" authorId="4" shapeId="0" xr:uid="{00000000-0006-0000-0600-000010000000}">
      <text>
        <r>
          <rPr>
            <sz val="9"/>
            <color indexed="81"/>
            <rFont val="Tahoma"/>
            <family val="2"/>
          </rPr>
          <t>Description of the original  format/platform/location/etc. that the data management migration effort is migrating to 
For Example:
- MS Access
- Oracle
- SQL
- Location Y</t>
        </r>
        <r>
          <rPr>
            <sz val="8"/>
            <color indexed="81"/>
            <rFont val="Tahoma"/>
            <family val="2"/>
          </rPr>
          <t xml:space="preserve">
</t>
        </r>
      </text>
    </comment>
    <comment ref="Q19" authorId="5" shapeId="0" xr:uid="{00000000-0006-0000-0600-000011000000}">
      <text>
        <r>
          <rPr>
            <b/>
            <sz val="9"/>
            <color indexed="81"/>
            <rFont val="Tahoma"/>
            <family val="2"/>
          </rPr>
          <t>Annette S. Rhoads-DNI-Y-:</t>
        </r>
        <r>
          <rPr>
            <sz val="9"/>
            <color indexed="81"/>
            <rFont val="Tahoma"/>
            <family val="2"/>
          </rPr>
          <t xml:space="preserve">
if this effort ties to a database(s), please provide the names of all databases. Otherwise, please note as N/A
</t>
        </r>
      </text>
    </comment>
    <comment ref="R19" authorId="1" shapeId="0" xr:uid="{00000000-0006-0000-0600-000012000000}">
      <text>
        <r>
          <rPr>
            <sz val="9"/>
            <color indexed="81"/>
            <rFont val="Tahoma"/>
            <family val="2"/>
          </rPr>
          <t>Provide any comments/notes necessary to provide clarification, additional detail, or context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Saumil S. Shah-DNI-Y-</author>
    <author>Annette S. Rhoads-Y-</author>
    <author>Sean K. Patrick-DNI-Y-</author>
  </authors>
  <commentList>
    <comment ref="D2" authorId="0" shapeId="0" xr:uid="{862F41ED-1015-42B4-AD57-CD7699D3E0C8}">
      <text>
        <r>
          <rPr>
            <sz val="9"/>
            <color indexed="81"/>
            <rFont val="Tahoma"/>
            <family val="2"/>
          </rPr>
          <t>Please classify each tab appropriately, if populated.</t>
        </r>
      </text>
    </comment>
    <comment ref="B17" authorId="1" shapeId="0" xr:uid="{F3984D6C-8E9A-4973-ACCD-5F196D14EC40}">
      <text>
        <r>
          <rPr>
            <sz val="9"/>
            <color indexed="81"/>
            <rFont val="Tahoma"/>
            <family val="2"/>
          </rPr>
          <t>Provide the name of the program for which the Database data is being reported</t>
        </r>
      </text>
    </comment>
    <comment ref="C17" authorId="1" shapeId="0" xr:uid="{A83388CB-0ADF-4329-A4AB-70C247591F94}">
      <text>
        <r>
          <rPr>
            <sz val="9"/>
            <color indexed="81"/>
            <rFont val="Tahoma"/>
            <family val="2"/>
          </rPr>
          <t>Provide the contract number or "gov" if a government team is performing the work</t>
        </r>
      </text>
    </comment>
    <comment ref="D17" authorId="2" shapeId="0" xr:uid="{6A842100-B8FB-42BE-A9FA-0589F1F5C0AE}">
      <text>
        <r>
          <rPr>
            <sz val="9"/>
            <color indexed="81"/>
            <rFont val="Tahoma"/>
            <family val="2"/>
          </rPr>
          <t xml:space="preserve">The name of the database for which information is being provided
</t>
        </r>
      </text>
    </comment>
    <comment ref="E17" authorId="2" shapeId="0" xr:uid="{8374A580-D83D-4046-A6FA-09264B0228E5}">
      <text>
        <r>
          <rPr>
            <sz val="9"/>
            <color indexed="81"/>
            <rFont val="Tahoma"/>
            <family val="2"/>
          </rPr>
          <t xml:space="preserve">Description of database that is being developed and maintained
</t>
        </r>
      </text>
    </comment>
    <comment ref="F17" authorId="2" shapeId="0" xr:uid="{A05BA811-0FF7-4524-9A9E-83E38735A487}">
      <text>
        <r>
          <rPr>
            <sz val="9"/>
            <color indexed="81"/>
            <rFont val="Tahoma"/>
            <family val="2"/>
          </rPr>
          <t xml:space="preserve">Size of database (in Terabytes)
</t>
        </r>
      </text>
    </comment>
    <comment ref="G17" authorId="2" shapeId="0" xr:uid="{E2CED20F-B5AD-4357-8AFA-E353C1B76A35}">
      <text>
        <r>
          <rPr>
            <sz val="9"/>
            <color indexed="81"/>
            <rFont val="Tahoma"/>
            <family val="2"/>
          </rPr>
          <t xml:space="preserve">The number of instances of a particular database that are being maintained, as in having the database "mirrored" or "cloned" at the same (or different) locations to provide redundancy, load balancing, etc.
</t>
        </r>
      </text>
    </comment>
    <comment ref="H17" authorId="3" shapeId="0" xr:uid="{68753639-D6F5-4CBC-AA5A-D4842451B6AF}">
      <text>
        <r>
          <rPr>
            <sz val="9"/>
            <color indexed="81"/>
            <rFont val="Tahoma"/>
            <family val="2"/>
          </rPr>
          <t>Specify the platform used for the database.
For example: Microsoft Access, MySQL, Oracle, Microsoft SQL Server, DB2, Informix, SQL Anywhere, etc.</t>
        </r>
      </text>
    </comment>
    <comment ref="I17" authorId="3" shapeId="0" xr:uid="{48FB67FE-DB1A-4954-B4D7-8D640658062E}">
      <text>
        <r>
          <rPr>
            <sz val="9"/>
            <color indexed="81"/>
            <rFont val="Tahoma"/>
            <family val="2"/>
          </rPr>
          <t>Provide the total number of tables in the database.</t>
        </r>
      </text>
    </comment>
    <comment ref="J17" authorId="4" shapeId="0" xr:uid="{3B7FA5C1-407E-4A15-BC2F-7CCE7146553B}">
      <text>
        <r>
          <rPr>
            <sz val="9"/>
            <color indexed="81"/>
            <rFont val="Tahoma"/>
            <family val="2"/>
          </rPr>
          <t>Constraints are things like "enforce referential integrity" or "field can not be null" or "field must be a valid date"</t>
        </r>
        <r>
          <rPr>
            <b/>
            <sz val="8"/>
            <color indexed="81"/>
            <rFont val="Tahoma"/>
            <family val="2"/>
          </rPr>
          <t xml:space="preserve">
</t>
        </r>
      </text>
    </comment>
    <comment ref="K17" authorId="0" shapeId="0" xr:uid="{A054746E-B85F-42FE-B9DD-88B6FE0B88C0}">
      <text>
        <r>
          <rPr>
            <sz val="9"/>
            <color indexed="81"/>
            <rFont val="Tahoma"/>
            <family val="2"/>
          </rPr>
          <t>The total numbers of fixed or known locations (fields) in all of the tables of the database</t>
        </r>
        <r>
          <rPr>
            <sz val="9"/>
            <color indexed="81"/>
            <rFont val="Tahoma"/>
            <family val="2"/>
          </rPr>
          <t xml:space="preserve">
</t>
        </r>
      </text>
    </comment>
    <comment ref="L17" authorId="4" shapeId="0" xr:uid="{31BE8E81-20E3-4EA1-B3DB-BD2F19ABFFD3}">
      <text>
        <r>
          <rPr>
            <sz val="9"/>
            <color indexed="81"/>
            <rFont val="Tahoma"/>
            <family val="2"/>
          </rPr>
          <t>Triggers are DB procedures or other code that execute automatically when certain events occur.
For example, deleting a record from the database may automatically trigger both an event log and a history record of the deleted record to indicate who, when, and what was deleted.</t>
        </r>
        <r>
          <rPr>
            <sz val="8"/>
            <color indexed="81"/>
            <rFont val="Tahoma"/>
            <family val="2"/>
          </rPr>
          <t xml:space="preserve">
</t>
        </r>
      </text>
    </comment>
    <comment ref="M17" authorId="4" shapeId="0" xr:uid="{46B5B17F-CE95-428C-849C-8D75B97DA261}">
      <text>
        <r>
          <rPr>
            <sz val="9"/>
            <color indexed="81"/>
            <rFont val="Tahoma"/>
            <family val="2"/>
          </rPr>
          <t>For the entire database application, count the number of forms used for data entry, maintenance/management, and export.
This may include web-based forms or other user interfaces written in various languages.</t>
        </r>
        <r>
          <rPr>
            <b/>
            <sz val="8"/>
            <color indexed="81"/>
            <rFont val="Tahoma"/>
            <family val="2"/>
          </rPr>
          <t xml:space="preserve">
</t>
        </r>
        <r>
          <rPr>
            <sz val="8"/>
            <color indexed="81"/>
            <rFont val="Tahoma"/>
            <family val="2"/>
          </rPr>
          <t xml:space="preserve">
</t>
        </r>
      </text>
    </comment>
    <comment ref="N17" authorId="4" shapeId="0" xr:uid="{81C69FBF-7897-4D56-870A-B5FE03F34B11}">
      <text>
        <r>
          <rPr>
            <sz val="9"/>
            <color indexed="81"/>
            <rFont val="Tahoma"/>
            <family val="2"/>
          </rPr>
          <t>Provide a count of the number of views (also known as queries)</t>
        </r>
      </text>
    </comment>
    <comment ref="O17" authorId="2" shapeId="0" xr:uid="{C2B883A5-03F0-4726-BE38-ECAF053D481D}">
      <text>
        <r>
          <rPr>
            <sz val="9"/>
            <color indexed="81"/>
            <rFont val="Tahoma"/>
            <family val="2"/>
          </rPr>
          <t xml:space="preserve">Designation of whether the database is required to maintain historical records (Yes or No)
Note: A "No" response indicates single records are maintained and any historical data is discarded.
</t>
        </r>
      </text>
    </comment>
    <comment ref="P17" authorId="1" shapeId="0" xr:uid="{6C55EBA6-936F-4562-B4A6-D16BC3D94E49}">
      <text>
        <r>
          <rPr>
            <sz val="9"/>
            <color indexed="81"/>
            <rFont val="Tahoma"/>
            <family val="2"/>
          </rPr>
          <t>Provide any comments/notes necessary to provide clarification, additional detail, or context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Trung C. Trieu-DNI-Y-</author>
    <author>Jennifer G. Woolley-DNI-Y-</author>
    <author>Saumil S. Shah-DNI-Y-</author>
    <author>Davis Aubrey M NGA-DXAC USA CTR</author>
    <author>William H. Black-DNI-Y-</author>
  </authors>
  <commentList>
    <comment ref="D2" authorId="0" shapeId="0" xr:uid="{DB80EC07-1737-46AA-B6D6-7E4DB2976438}">
      <text>
        <r>
          <rPr>
            <sz val="9"/>
            <color indexed="81"/>
            <rFont val="Tahoma"/>
            <family val="2"/>
          </rPr>
          <t>Please classify each tab appropriately, if populated.</t>
        </r>
      </text>
    </comment>
    <comment ref="B19" authorId="1" shapeId="0" xr:uid="{686A0CCF-BCC1-40C9-97DF-B23F86614A89}">
      <text>
        <r>
          <rPr>
            <sz val="9"/>
            <color indexed="81"/>
            <rFont val="Tahoma"/>
            <family val="2"/>
          </rPr>
          <t>Provide the name of the program for which SW baseline data is being reported</t>
        </r>
      </text>
    </comment>
    <comment ref="C19" authorId="2" shapeId="0" xr:uid="{2F4EF77F-8169-4A22-9FD5-36D2BAA47BF8}">
      <text>
        <r>
          <rPr>
            <sz val="9"/>
            <color indexed="81"/>
            <rFont val="Tahoma"/>
            <family val="2"/>
          </rPr>
          <t>Provide a description or name of each SW baseline being maintained</t>
        </r>
      </text>
    </comment>
    <comment ref="D19" authorId="3" shapeId="0" xr:uid="{93A3441E-6C21-4D28-8F65-0C0F57F7786E}">
      <text>
        <r>
          <rPr>
            <sz val="9"/>
            <color indexed="81"/>
            <rFont val="Tahoma"/>
            <family val="2"/>
          </rPr>
          <t>Regarding the discrepancy report, the date that the product was released or delivered:  MM/DD/YYYY</t>
        </r>
      </text>
    </comment>
    <comment ref="E19" authorId="3" shapeId="0" xr:uid="{288957A5-8824-418F-BEC2-E29A16243468}">
      <text>
        <r>
          <rPr>
            <sz val="9"/>
            <color indexed="81"/>
            <rFont val="Tahoma"/>
            <family val="2"/>
          </rPr>
          <t>Identify the top-level CSCI or components of the computer application. The contents should align with CSCI list in other tabs</t>
        </r>
      </text>
    </comment>
    <comment ref="F19" authorId="2" shapeId="0" xr:uid="{C6BF915B-1B0B-4B71-80E6-0C3B1A3B7E8A}">
      <text>
        <r>
          <rPr>
            <sz val="9"/>
            <color indexed="81"/>
            <rFont val="Tahoma"/>
            <family val="2"/>
          </rPr>
          <t xml:space="preserve">Average age (Years) of the code for each baseline being maintained.
Fractional years are acceptable; For example, 1.6 yrs.)
</t>
        </r>
      </text>
    </comment>
    <comment ref="G19" authorId="3" shapeId="0" xr:uid="{F4E6A14B-C6E3-4592-90D6-450273B495DA}">
      <text>
        <r>
          <rPr>
            <sz val="9"/>
            <color indexed="81"/>
            <rFont val="Tahoma"/>
            <family val="2"/>
          </rPr>
          <t>Enter the total maintained delivered logical SLOC for the CSCI.</t>
        </r>
      </text>
    </comment>
    <comment ref="H19" authorId="3" shapeId="0" xr:uid="{B407D5DE-AF34-4B07-BF4A-81F42DEA57F4}">
      <text>
        <r>
          <rPr>
            <sz val="9"/>
            <color indexed="81"/>
            <rFont val="Tahoma"/>
            <family val="2"/>
          </rPr>
          <t>Enter the total autogenerated logical lines of code that are maintained (in thousands). This value should be a subset of the Total Maintained SLOC.</t>
        </r>
      </text>
    </comment>
    <comment ref="I19" authorId="3" shapeId="0" xr:uid="{11EA0CF5-91AA-4095-ABBE-65DD20EAC14E}">
      <text>
        <r>
          <rPr>
            <sz val="9"/>
            <color indexed="81"/>
            <rFont val="Tahoma"/>
            <family val="2"/>
          </rPr>
          <t>Enter the programming language(s) in which the SLOC is written</t>
        </r>
      </text>
    </comment>
    <comment ref="J19" authorId="3" shapeId="0" xr:uid="{73AF234A-49FC-4B00-B209-A68AD2487687}">
      <text>
        <r>
          <rPr>
            <sz val="9"/>
            <color indexed="81"/>
            <rFont val="Tahoma"/>
            <family val="2"/>
          </rPr>
          <t xml:space="preserve">Enter the date maintenance start or will start for this CSCI on this contract </t>
        </r>
      </text>
    </comment>
    <comment ref="K19" authorId="3" shapeId="0" xr:uid="{4A5FF450-BF89-4564-B443-363850518F0D}">
      <text>
        <r>
          <rPr>
            <sz val="9"/>
            <color indexed="81"/>
            <rFont val="Tahoma"/>
            <family val="2"/>
          </rPr>
          <t>Enter the date maintenance ended for this CSCI</t>
        </r>
      </text>
    </comment>
    <comment ref="L19" authorId="3" shapeId="0" xr:uid="{DAC41486-32F9-4A37-8620-9984553AE94F}">
      <text>
        <r>
          <rPr>
            <sz val="9"/>
            <color indexed="81"/>
            <rFont val="Tahoma"/>
            <family val="2"/>
          </rPr>
          <t>Enter the date maintenance originally started for this CSCI (may be from a previous contract). If maintenance is beginning for the first time during this contract</t>
        </r>
      </text>
    </comment>
    <comment ref="M19" authorId="3" shapeId="0" xr:uid="{1D30BB12-726B-44A5-8C9A-7440EAD9FA1D}">
      <text>
        <r>
          <rPr>
            <sz val="9"/>
            <color indexed="81"/>
            <rFont val="Tahoma"/>
            <family val="2"/>
          </rPr>
          <t>Enter the total number of hours in which maintenance work will be conducted for the CSCI on this contract.</t>
        </r>
      </text>
    </comment>
    <comment ref="N19" authorId="3" shapeId="0" xr:uid="{B826A445-7FB8-4433-A140-739F054713AE}">
      <text>
        <r>
          <rPr>
            <sz val="9"/>
            <color indexed="81"/>
            <rFont val="Tahoma"/>
            <family val="2"/>
          </rPr>
          <t xml:space="preserve">Annual change to the code due only to maintenance activities (not due to current development activities). Value may be negative or positive and should reflect a yearly change, not an overall change.
</t>
        </r>
      </text>
    </comment>
    <comment ref="B26" authorId="1" shapeId="0" xr:uid="{8CCAB8CE-0A49-4DB0-B4D2-A32779A8452F}">
      <text>
        <r>
          <rPr>
            <sz val="9"/>
            <color indexed="81"/>
            <rFont val="Tahoma"/>
            <family val="2"/>
          </rPr>
          <t>Provide the name of the program for which DR data is being reported</t>
        </r>
      </text>
    </comment>
    <comment ref="C26" authorId="1" shapeId="0" xr:uid="{53E66AA0-6E0C-4CCD-8EFD-912835B37565}">
      <text>
        <r>
          <rPr>
            <sz val="9"/>
            <color indexed="81"/>
            <rFont val="Tahoma"/>
            <family val="2"/>
          </rPr>
          <t>Provide the contract number or "gov" if a government team is performing the work</t>
        </r>
      </text>
    </comment>
    <comment ref="D26" authorId="4" shapeId="0" xr:uid="{1DD537EF-0A71-48D4-B58B-5F8242D584F9}">
      <text>
        <r>
          <rPr>
            <sz val="9"/>
            <color indexed="81"/>
            <rFont val="Tahoma"/>
            <family val="2"/>
          </rPr>
          <t>Enter the contractor or sub-contractor that developed the code, or "gov" if the code was developed by a government development team</t>
        </r>
      </text>
    </comment>
    <comment ref="E26" authorId="2" shapeId="0" xr:uid="{15E04166-DF67-48C1-8052-E83994004D74}">
      <text>
        <r>
          <rPr>
            <sz val="9"/>
            <color indexed="81"/>
            <rFont val="Tahoma"/>
            <family val="2"/>
          </rPr>
          <t xml:space="preserve">Location where the majority of personnel performing DR workoffs are located (City, State)
</t>
        </r>
      </text>
    </comment>
    <comment ref="F26" authorId="1" shapeId="0" xr:uid="{7B12F63F-E163-4C4E-886E-D35DCC53E9C6}">
      <text>
        <r>
          <rPr>
            <sz val="9"/>
            <color indexed="81"/>
            <rFont val="Tahoma"/>
            <family val="2"/>
          </rPr>
          <t>Number assigned to the DR based on program naming conventions</t>
        </r>
      </text>
    </comment>
    <comment ref="G26" authorId="1" shapeId="0" xr:uid="{E9F5E125-7AD2-4B62-94F8-E21F49683D5D}">
      <text>
        <r>
          <rPr>
            <sz val="9"/>
            <color indexed="81"/>
            <rFont val="Tahoma"/>
            <family val="2"/>
          </rPr>
          <t>Please provide a description of the work to be completed as part of the DR</t>
        </r>
      </text>
    </comment>
    <comment ref="H26" authorId="1" shapeId="0" xr:uid="{F59D8655-AB80-457F-9631-A9840E3F0745}">
      <text>
        <r>
          <rPr>
            <sz val="9"/>
            <color indexed="81"/>
            <rFont val="Tahoma"/>
            <family val="2"/>
          </rPr>
          <t>Indicate the priority level of each DR based on program naming conventions (e.g., DR levels 1-5, A-E, etc.)</t>
        </r>
      </text>
    </comment>
    <comment ref="I26" authorId="1" shapeId="0" xr:uid="{4C1C5FFB-E833-4AD8-89AA-6643719789AC}">
      <text>
        <r>
          <rPr>
            <sz val="9"/>
            <color indexed="81"/>
            <rFont val="Tahoma"/>
            <family val="2"/>
          </rPr>
          <t>Designate the current status of the DR in terms of progress
For example:
- Open
- Closed
- Assigned
- Integrated
- Under Review</t>
        </r>
      </text>
    </comment>
    <comment ref="J26" authorId="2" shapeId="0" xr:uid="{D0EC71FA-4C0F-4419-8182-0000F8773EC0}">
      <text>
        <r>
          <rPr>
            <sz val="9"/>
            <color indexed="81"/>
            <rFont val="Tahoma"/>
            <family val="2"/>
          </rPr>
          <t xml:space="preserve">Description of the area of capabilities for which the DR is being worked
</t>
        </r>
        <r>
          <rPr>
            <b/>
            <u/>
            <sz val="9"/>
            <color indexed="81"/>
            <rFont val="Tahoma"/>
            <family val="2"/>
          </rPr>
          <t>Analysis and Exploitation</t>
        </r>
        <r>
          <rPr>
            <sz val="9"/>
            <color indexed="81"/>
            <rFont val="Tahoma"/>
            <family val="2"/>
          </rPr>
          <t xml:space="preserve">
The Analysis and Exploitation function is responsible for examination of mission data (dissection, investigation, cross-referencing, etc.) and conversion of this data into finished intelligence. This includes manual and automated integration, evaluation and analysis of all available data. The process is completed with the preparation of intelligence products that include assessments of events and judgments about the implications of the information.
The Analysis and Exploitation function would include:
• Manage Need
• Manage Analytic Mission
• Perform Analysis
• Detection
• Change Detection
• Multi-INT Data Integration &amp; Fusion
• Classification
• Identification
• Association
• Tracking
• Forecasting
• Tipping
• Exploit Data Sets
</t>
        </r>
        <r>
          <rPr>
            <b/>
            <u/>
            <sz val="9"/>
            <color indexed="81"/>
            <rFont val="Tahoma"/>
            <family val="2"/>
          </rPr>
          <t>Command and Control (CC)</t>
        </r>
        <r>
          <rPr>
            <sz val="9"/>
            <color indexed="81"/>
            <rFont val="Tahoma"/>
            <family val="2"/>
          </rPr>
          <t xml:space="preserve">
The Command and Control (CC) function provides CC for the vehicle and payloads. This function decodes, demultiplexes, and decrypts telemetry, generates and encrypts commands for transmission and processes tracking data to generate ephemeris. This function provides the capability to prepare and output commands to receive and process telemetry, tracking, and other non-mission data from the vehicle. 
The Command and Control function would include:
• Schedule Execution
• Command Generation
• Uplink Data Generation
• Telemetry Processing
• State Management
• Vehicle Maintenance
• Space Vehicle Simulation
</t>
        </r>
        <r>
          <rPr>
            <b/>
            <u/>
            <sz val="9"/>
            <color indexed="81"/>
            <rFont val="Tahoma"/>
            <family val="2"/>
          </rPr>
          <t>Dissemination</t>
        </r>
        <r>
          <rPr>
            <sz val="9"/>
            <color indexed="81"/>
            <rFont val="Tahoma"/>
            <family val="2"/>
          </rPr>
          <t xml:space="preserve">
The Dissemination Function includes the timely distribution of intelligence products to departmental and agency intelligence consumers in a suitable form.  
The Dissemination function would include:
• Manage Enterprise Services
• Measure Content access
• Visualize GEOINT
• Organize Content
</t>
        </r>
        <r>
          <rPr>
            <b/>
            <u/>
            <sz val="9"/>
            <color indexed="81"/>
            <rFont val="Tahoma"/>
            <family val="2"/>
          </rPr>
          <t>Enabling Applications</t>
        </r>
        <r>
          <rPr>
            <sz val="9"/>
            <color indexed="81"/>
            <rFont val="Tahoma"/>
            <family val="2"/>
          </rPr>
          <t xml:space="preserve">
The Enabling Applications function contains the super categories and categories of technical services that enable the secure and efficient use of compute and storage platforms. Enabling services provide abstractions of platform and network infrastructure that allow applications and content to operate independently from the particular implementation of this infrastructure.
The Enabling Applications Communication function would include:
• Information Security systems
• Messaging systems
• Communication Middleware Services
• Database Services
• Information Technology Management Services
• Information Assurance Services
</t>
        </r>
        <r>
          <rPr>
            <b/>
            <u/>
            <sz val="9"/>
            <color indexed="81"/>
            <rFont val="Tahoma"/>
            <family val="2"/>
          </rPr>
          <t>Ground Terminal</t>
        </r>
        <r>
          <rPr>
            <sz val="9"/>
            <color indexed="81"/>
            <rFont val="Tahoma"/>
            <family val="2"/>
          </rPr>
          <t xml:space="preserve">
The Ground Terminal (GT) function receives, demodulates and conditions telemetry, tracking, command and mission (payload) data. In addition this system generates the radio frequency (RF) uplink, accepts tracking and command signals, and modulates them onto the RF uplink. 
The Ground Terminal function would include:
• GT Foundation / Field
• GT Antenna (a...n)
• GT Optical Communication Assembly (OCA) 
• GT RF and Digital Electronics (GTEL) (Band a...n)  
• GT Baseband Network and Data Handling Equipment (GTNW) 
• GT Monitor and Control (GTMC)
</t>
        </r>
        <r>
          <rPr>
            <b/>
            <u/>
            <sz val="9"/>
            <color indexed="81"/>
            <rFont val="Tahoma"/>
            <family val="2"/>
          </rPr>
          <t>Infrastructure &amp; Framework (I&amp;F)</t>
        </r>
        <r>
          <rPr>
            <sz val="9"/>
            <color indexed="81"/>
            <rFont val="Tahoma"/>
            <family val="2"/>
          </rPr>
          <t xml:space="preserve">
The Infrastructure &amp; Framework (I&amp;F) function includes hardware and/or software that supports multiple functions, supports engineering development of administrative networks, and/or supports development of systems required to interface to other ground segments (other programs) at the same Ground Site.
The Infrastructure &amp; Framework function would include:
• Compute
• Record
• Store
• Routing
• Distribution
• Service Broker
• Sharing
• Fusion
• Tools
</t>
        </r>
        <r>
          <rPr>
            <b/>
            <u/>
            <sz val="9"/>
            <color indexed="81"/>
            <rFont val="Tahoma"/>
            <family val="2"/>
          </rPr>
          <t>Mission Data Processing (MP)</t>
        </r>
        <r>
          <rPr>
            <sz val="9"/>
            <color indexed="81"/>
            <rFont val="Tahoma"/>
            <family val="2"/>
          </rPr>
          <t xml:space="preserve">
The Mission Data Processing function decodes, demultiplexes, decrypts and processes Mission data from the Payload(s) and provides usable data for analysis and exploitation.
The Mission Data Processing function would include:
• Data Conditioning
• Mission Data Processing
• Processing Workflow Management
• Mission Data Management
• Quality Assurance
</t>
        </r>
        <r>
          <rPr>
            <b/>
            <u/>
            <sz val="9"/>
            <color indexed="81"/>
            <rFont val="Tahoma"/>
            <family val="2"/>
          </rPr>
          <t>Mission Management (MM)</t>
        </r>
        <r>
          <rPr>
            <sz val="9"/>
            <color indexed="81"/>
            <rFont val="Tahoma"/>
            <family val="2"/>
          </rPr>
          <t xml:space="preserve">
The Mission (Payload Data) Management function receives tasking, generates and provides the system and mission plans, schedules, and timelines for the vehicle and Ground Segment(s).
The Mission Management function would include:
• Task Management
• Mission Analysis
• Mission Plan Generation
• Collection Schedule Generation
• Real Time Schedule Management
• Orchestration
• Mission Execution
</t>
        </r>
        <r>
          <rPr>
            <b/>
            <u/>
            <sz val="9"/>
            <color indexed="81"/>
            <rFont val="Tahoma"/>
            <family val="2"/>
          </rPr>
          <t>Tasking and Management</t>
        </r>
        <r>
          <rPr>
            <sz val="9"/>
            <color indexed="81"/>
            <rFont val="Tahoma"/>
            <family val="2"/>
          </rPr>
          <t xml:space="preserve">
The Tasking and Management function includes generating requests for data, delivering instructions to a collection element, and subsequently tracking the fulfillment of each request.
The Tasking and Management function would include:
• Manage Source Strategies
• Monitor Strategy Execution
• Determine Value
• Manage Supplier Needs
• Mange Source Models
</t>
        </r>
      </text>
    </comment>
    <comment ref="K26" authorId="1" shapeId="0" xr:uid="{1E58B1C8-DF79-4378-A707-D9229DD78B8B}">
      <text>
        <r>
          <rPr>
            <sz val="9"/>
            <color indexed="81"/>
            <rFont val="Tahoma"/>
            <family val="2"/>
          </rPr>
          <t>Indicate the deployment in which the  DR has or will be incorporated into the baseline
Indicate "TBD" if the deployment baseline is not yet known</t>
        </r>
      </text>
    </comment>
    <comment ref="L26" authorId="1" shapeId="0" xr:uid="{84867E2C-7581-4F01-B23D-48C80F8B1EFD}">
      <text>
        <r>
          <rPr>
            <sz val="9"/>
            <color indexed="81"/>
            <rFont val="Tahoma"/>
            <family val="2"/>
          </rPr>
          <t>Indicate the source of the DR (organization, not specific names)</t>
        </r>
      </text>
    </comment>
    <comment ref="M26" authorId="1" shapeId="0" xr:uid="{87D506C3-9F15-487C-9255-95A0430FF9BB}">
      <text>
        <r>
          <rPr>
            <sz val="9"/>
            <color indexed="81"/>
            <rFont val="Tahoma"/>
            <family val="2"/>
          </rPr>
          <t>Provide the date upon which the DR was opened (MM/DD/YYYY)</t>
        </r>
      </text>
    </comment>
    <comment ref="N26" authorId="1" shapeId="0" xr:uid="{9E99005A-23F7-48F8-87A3-C6DE3D1668FE}">
      <text>
        <r>
          <rPr>
            <sz val="9"/>
            <color indexed="81"/>
            <rFont val="Tahoma"/>
            <family val="2"/>
          </rPr>
          <t>Provide the date upon which the DR was closed (MM/DD/YYYY)</t>
        </r>
      </text>
    </comment>
    <comment ref="O26" authorId="1" shapeId="0" xr:uid="{E40FF0A4-0A23-4987-819B-5B0937AA39D5}">
      <text>
        <r>
          <rPr>
            <sz val="9"/>
            <color indexed="81"/>
            <rFont val="Tahoma"/>
            <family val="2"/>
          </rPr>
          <t>Provide any comments/notes necessary to provide clarification, additional detail, or context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<sst xmlns="http://schemas.openxmlformats.org/spreadsheetml/2006/main" count="1217" uniqueCount="805">
  <si>
    <t>D</t>
  </si>
  <si>
    <t>Prime Contractor</t>
  </si>
  <si>
    <t>Instructions</t>
  </si>
  <si>
    <t>Sub-Contractors</t>
  </si>
  <si>
    <t>Contract Line Identification Number Description</t>
  </si>
  <si>
    <t>Prime Contractor Option Year Contract</t>
  </si>
  <si>
    <t>Sub-Contractor Option Year Contract</t>
  </si>
  <si>
    <t>T</t>
  </si>
  <si>
    <t>O</t>
  </si>
  <si>
    <t>Tr</t>
  </si>
  <si>
    <t>ECP</t>
  </si>
  <si>
    <t>Facilities</t>
  </si>
  <si>
    <t>Data Migration</t>
  </si>
  <si>
    <t>Data Conditioning</t>
  </si>
  <si>
    <t>Data Management</t>
  </si>
  <si>
    <t>Data Migration Only</t>
  </si>
  <si>
    <t>Data Conditioning Only</t>
  </si>
  <si>
    <t>a. Company Name</t>
  </si>
  <si>
    <t>b. Location of Contractor</t>
  </si>
  <si>
    <t>c. Contract Type</t>
  </si>
  <si>
    <t>d. Contract Start Date</t>
  </si>
  <si>
    <t>e. Contract End Date</t>
  </si>
  <si>
    <t>f. Total Contract Value</t>
  </si>
  <si>
    <t>g. % Subcontracted</t>
  </si>
  <si>
    <t>h. Comments/Notes</t>
  </si>
  <si>
    <t>i. Contract #</t>
  </si>
  <si>
    <t>j. Base/Option Year Number</t>
  </si>
  <si>
    <t>k. Contract Start Date</t>
  </si>
  <si>
    <t>l. Contract End Date</t>
  </si>
  <si>
    <t>m. Option Executed</t>
  </si>
  <si>
    <t>a. Program Name</t>
  </si>
  <si>
    <t>b. Contract #</t>
  </si>
  <si>
    <t>c. Location</t>
  </si>
  <si>
    <t>d. Description</t>
  </si>
  <si>
    <t>c. Developer</t>
  </si>
  <si>
    <t>d. Location of Developer</t>
  </si>
  <si>
    <t>h. Start Date</t>
  </si>
  <si>
    <t>i. End Date</t>
  </si>
  <si>
    <t>k. Size</t>
  </si>
  <si>
    <t>o. Comments/Notes</t>
  </si>
  <si>
    <t>n. Hours/FTE</t>
  </si>
  <si>
    <t>p. Company Name</t>
  </si>
  <si>
    <t>q. Location of Contractor</t>
  </si>
  <si>
    <t>r. Contract Type</t>
  </si>
  <si>
    <t>s. Contract #</t>
  </si>
  <si>
    <t>t. Contract Start Date</t>
  </si>
  <si>
    <t>u. Contract End Date</t>
  </si>
  <si>
    <t>v. Total Sub-Contract Value</t>
  </si>
  <si>
    <t>w. Comments/Notes</t>
  </si>
  <si>
    <t>x. Contract #</t>
  </si>
  <si>
    <t>y. Base/Option Year Number</t>
  </si>
  <si>
    <t>z. Contract Start Date</t>
  </si>
  <si>
    <t>aa. Contract End Date</t>
  </si>
  <si>
    <t>bb. Option Executed</t>
  </si>
  <si>
    <t>cc. Hours/FTE</t>
  </si>
  <si>
    <t>dd. Comments/Notes</t>
  </si>
  <si>
    <t>ee. Contract #</t>
  </si>
  <si>
    <t>ff. Contract Line Number</t>
  </si>
  <si>
    <t>gg. Contract Line Number Value</t>
  </si>
  <si>
    <t>hh. Descriptions</t>
  </si>
  <si>
    <t>ii. Comments/Notes</t>
  </si>
  <si>
    <t>Advanced R&amp;D</t>
  </si>
  <si>
    <t>Term</t>
  </si>
  <si>
    <t>Definition</t>
  </si>
  <si>
    <t>Total</t>
  </si>
  <si>
    <t xml:space="preserve">SEITPM </t>
  </si>
  <si>
    <t>1.1.1</t>
  </si>
  <si>
    <t>1.1.2</t>
  </si>
  <si>
    <t>1.2.1</t>
  </si>
  <si>
    <t>1.1.2.1</t>
  </si>
  <si>
    <t>1.2.2</t>
  </si>
  <si>
    <t>1.1.2.2</t>
  </si>
  <si>
    <t>Special Studies</t>
  </si>
  <si>
    <t>1.1.3</t>
  </si>
  <si>
    <t>Planning and implementation of technical integration efforts, as well as the testing and evaluation of required software and hardware.</t>
  </si>
  <si>
    <t>1.3.1</t>
  </si>
  <si>
    <t>1.1.3.1</t>
  </si>
  <si>
    <t>1.3.2</t>
  </si>
  <si>
    <t>1.1.3.2</t>
  </si>
  <si>
    <t>1.3.3</t>
  </si>
  <si>
    <t>1.3.4</t>
  </si>
  <si>
    <t>1.1.3.4</t>
  </si>
  <si>
    <t xml:space="preserve">System Integration </t>
  </si>
  <si>
    <t>1.1.4</t>
  </si>
  <si>
    <t>1.1.5</t>
  </si>
  <si>
    <t xml:space="preserve">Travel </t>
  </si>
  <si>
    <t>Training</t>
  </si>
  <si>
    <t>Training Development</t>
  </si>
  <si>
    <t>Procuring or developing the appropriate training programs and materials to provide instruction to program personnel.
Includes, for example:
a. The cost of developing and/or procuring the appropriate tutorial programs, training tapes, aids, services, and equipment that trainers use to facilitate instruction to program personnel
b. The resources and services expended to structure and develop the training class
Excludes, for example:
a. Any effort associated with actually executing training</t>
  </si>
  <si>
    <t>Training Execution</t>
  </si>
  <si>
    <t>Custom Software</t>
  </si>
  <si>
    <t>Development and maintenance of source code</t>
  </si>
  <si>
    <t>Custom SW Source Code SEIT</t>
  </si>
  <si>
    <t>1.3.2.1</t>
  </si>
  <si>
    <t>Custom SW Glue/Wrapper Code SEIT</t>
  </si>
  <si>
    <t>1.3.3.1</t>
  </si>
  <si>
    <t>1.3.4.1</t>
  </si>
  <si>
    <t>Custom SW Database Development Code SEIT</t>
  </si>
  <si>
    <t>Analysis of preliminary software/database requirements for Database Development code.
Derive and map out software/database design specifications for Database Development code.
Analysis of preliminary interface design specifications  for Database Development code.
Integration and test verification and validation of the Database Development code. 
Includes for example:
a. generating input to software test plans, descriptions, and procedures 
b. defining software test cases
c. performing software build and test
Excludes, for example:
a. System level IV&amp;V</t>
  </si>
  <si>
    <t>1.3.5</t>
  </si>
  <si>
    <t>1.3.5.1</t>
  </si>
  <si>
    <t>Custom Hardware</t>
  </si>
  <si>
    <t>1.4.1</t>
  </si>
  <si>
    <t>Custom HW SEITPM</t>
  </si>
  <si>
    <t>1.4.3</t>
  </si>
  <si>
    <t>1.4.4</t>
  </si>
  <si>
    <t>1.4.5</t>
  </si>
  <si>
    <t>1.5.1</t>
  </si>
  <si>
    <t>1.5.2</t>
  </si>
  <si>
    <t>COTS/GOTS SW</t>
  </si>
  <si>
    <t>1.5.2.1</t>
  </si>
  <si>
    <t>COTS SW</t>
  </si>
  <si>
    <t>1.5.2.1.1</t>
  </si>
  <si>
    <t>1.5.2.1.1.1</t>
  </si>
  <si>
    <t>1.5.2.1.2</t>
  </si>
  <si>
    <t>1.5.2.1.2.1</t>
  </si>
  <si>
    <t>1.5.2.1.3</t>
  </si>
  <si>
    <t>1.5.2.1.3.1</t>
  </si>
  <si>
    <t>1.5.2.2</t>
  </si>
  <si>
    <t>GOTS SW</t>
  </si>
  <si>
    <t>GOTS SW purchases related to initial procurement and maintenance. 
Includes, for example:
a. Licenses and administrative GOTS packages, etc.
Excludes, for example: 
a. Interface code used to integrate GOTS SW into the existing software baseline (captured under glue code WBS item)</t>
  </si>
  <si>
    <t>1.5.2.2.1</t>
  </si>
  <si>
    <t>1.5.2.2.1.1</t>
  </si>
  <si>
    <t>1.5.2.2.2</t>
  </si>
  <si>
    <t>1.5.2.2.2.1</t>
  </si>
  <si>
    <t>1.5.3</t>
  </si>
  <si>
    <t>COTS/GOTS HW</t>
  </si>
  <si>
    <t>COTS/GOTS HW purchases related to initial procurement, recaps, maintenance, and managed services. These should be separable from the COTS/GOTS/Custom SW and the Custom HW.</t>
  </si>
  <si>
    <t>1.5.3.1</t>
  </si>
  <si>
    <t>COTS HW</t>
  </si>
  <si>
    <t xml:space="preserve">COTS HW purchases related to initial procurement, recaps, maintenance, and managed services. </t>
  </si>
  <si>
    <t>1.5.3.1.1</t>
  </si>
  <si>
    <t>1.5.3.1.1.1</t>
  </si>
  <si>
    <t>1.5.3.1.2</t>
  </si>
  <si>
    <t>1.5.3.1.2.1</t>
  </si>
  <si>
    <t>1.5.3.1.3</t>
  </si>
  <si>
    <t>1.5.3.1.3.1</t>
  </si>
  <si>
    <t>1.5.3.1.4</t>
  </si>
  <si>
    <t>1.5.3.1.4.1</t>
  </si>
  <si>
    <t>1.5.3.1.5</t>
  </si>
  <si>
    <t>1.5.3.2</t>
  </si>
  <si>
    <t>GOTS HW</t>
  </si>
  <si>
    <t xml:space="preserve">GOTS HW purchases related to initial procurement, recaps, maintenance, and managed services. </t>
  </si>
  <si>
    <t>1.5.3.2.1</t>
  </si>
  <si>
    <t>1.5.3.2.1.1</t>
  </si>
  <si>
    <t>1.5.3.2.2</t>
  </si>
  <si>
    <t>1.5.3.2.2.1</t>
  </si>
  <si>
    <t>1.5.3.2.3</t>
  </si>
  <si>
    <t>1.5.3.2.3.1</t>
  </si>
  <si>
    <t>1.5.3.2.4</t>
  </si>
  <si>
    <t>1.5.3.2.4.1</t>
  </si>
  <si>
    <t>1.5.3.2.5</t>
  </si>
  <si>
    <t>Help Desk Support</t>
  </si>
  <si>
    <t>System Admin</t>
  </si>
  <si>
    <t>1.9.1</t>
  </si>
  <si>
    <t>1.9.2</t>
  </si>
  <si>
    <t>Standardization of data to ensure the source data is internally consistent and each data type has the same kind of content and format.</t>
  </si>
  <si>
    <t>1.10</t>
  </si>
  <si>
    <t>Space that is built, installed, or established to serve a particular purpose and to make an action, operations, or course of conduct easier</t>
  </si>
  <si>
    <t>1.10.1</t>
  </si>
  <si>
    <t>1.10.1.1</t>
  </si>
  <si>
    <t>1.10.2</t>
  </si>
  <si>
    <t>1.10.2.1</t>
  </si>
  <si>
    <t>1.10.3</t>
  </si>
  <si>
    <t>1.10.3.1</t>
  </si>
  <si>
    <t>1.10.4</t>
  </si>
  <si>
    <t>1.10.4.1</t>
  </si>
  <si>
    <t>1.10.5</t>
  </si>
  <si>
    <t>1.10.5.1</t>
  </si>
  <si>
    <t>Communication Lines (Circuits 1...n)</t>
  </si>
  <si>
    <t>1.11.1</t>
  </si>
  <si>
    <t>Communication Lines Leased Circuits (Circuits 1...n)</t>
  </si>
  <si>
    <t>1.11.2</t>
  </si>
  <si>
    <t>Communication Lines Purchased Circuits (Circuits 1...n)</t>
  </si>
  <si>
    <t>1.11.3</t>
  </si>
  <si>
    <t>Vehicles and Shelters (VS)</t>
  </si>
  <si>
    <t>Overhead</t>
  </si>
  <si>
    <t>Indirect costs or fixed expenses of operating the program/contract. Specifically, the costs that are not directly related to the manufacturing of a product or delivery of service</t>
  </si>
  <si>
    <t>Cost of Money</t>
  </si>
  <si>
    <t xml:space="preserve">Interest that could have been earned if the amount invested on the program/contract was invested in a government bond or time deposit </t>
  </si>
  <si>
    <t>Expenditures related to the day-to-day operations of a business</t>
  </si>
  <si>
    <t>Fee</t>
  </si>
  <si>
    <t>The payment made to the contractor in order to perform the intended service (e.g.: Incentive Fee, Award Fee, etc.)</t>
  </si>
  <si>
    <t>Hours - Total</t>
  </si>
  <si>
    <t>Hours - %  Prime Contractor</t>
  </si>
  <si>
    <t>Cost - Total</t>
  </si>
  <si>
    <t>Cost - % Prime Contractor</t>
  </si>
  <si>
    <t>Cost - % Subcontractor</t>
  </si>
  <si>
    <t>WBS #</t>
  </si>
  <si>
    <t>1.3.2.2</t>
  </si>
  <si>
    <t>1.4.2</t>
  </si>
  <si>
    <t>Name:</t>
  </si>
  <si>
    <t>Phone Number (Secure):</t>
  </si>
  <si>
    <t>Phone Number (Non-Secure):</t>
  </si>
  <si>
    <t>Email (Secure and Non-Secure):</t>
  </si>
  <si>
    <t>Organization:</t>
  </si>
  <si>
    <t>Date of Information Provided:</t>
  </si>
  <si>
    <t>Date of Information Accuracy:</t>
  </si>
  <si>
    <t>Contact Information:</t>
  </si>
  <si>
    <t>1.3.4.2</t>
  </si>
  <si>
    <t xml:space="preserve">Custom Software Maintenance </t>
  </si>
  <si>
    <t xml:space="preserve">Development Environment </t>
  </si>
  <si>
    <t>Test Environment</t>
  </si>
  <si>
    <t>Operations Environment</t>
  </si>
  <si>
    <t xml:space="preserve">Custom SW Development Source Code </t>
  </si>
  <si>
    <t xml:space="preserve">Custom SW Development Glue/Wrapper Code </t>
  </si>
  <si>
    <t>Analysis of preliminary software requirements for glue/wrapper code.
Derive and map out software/database design specifications for glue/wrapper code.
Analysis of preliminary interface design specifications for glue/wrapper code.
Integration and test verification and validation of the glue/wrapper code. 
Includes for example:
a. generating input to software test plans, descriptions, and procedures 
b. defining software test cases
c. performing software build and test
Excludes, for example:
a. System level IV&amp;V</t>
  </si>
  <si>
    <t>Analysis of preliminary software requirements for source code.
Derive and map out software design specifications for source code.
Analysis of preliminary interface design specifications for source code.
Integration and test verification and validation of the source code. 
Includes for example:
a. generating input to software test plans, descriptions, and procedures 
b. defining software test cases
c. performing software build and test
Excludes, for example:
a. System level IV&amp;V</t>
  </si>
  <si>
    <t>1.3.3.2</t>
  </si>
  <si>
    <t xml:space="preserve">Operations Environment </t>
  </si>
  <si>
    <t>COTS/GOTS SW purchases related to initial procurement, maintenance, and managed services. These should be separable from the COTS/GOTS/Custom HW and the Custom SW.
Includes, for example:
a. Licenses and administrative COTS/GOTS packages, etc.
Excludes, for example: 
a. Interface code used to integrate COTS SW into the existing software baseline (captured under glue code CES item)</t>
  </si>
  <si>
    <t>COTS SW purchases related to initial procurement, maintenance, and managed services. 
Includes, for example:
a. Licenses and administrative COTS packages, etc.
Excludes, for example: 
a. Interface code used to integrate COTS SW into the existing software baseline (captured under glue code WBS item)</t>
  </si>
  <si>
    <t>Development Environment</t>
  </si>
  <si>
    <t xml:space="preserve">Test Environment </t>
  </si>
  <si>
    <t>SW SEITPM</t>
  </si>
  <si>
    <t>1.3.5.2</t>
  </si>
  <si>
    <t>Development of glue/wrapper code for a specific block/spiral/release. 
Glue/wrapper code is defined as any code that ensures proper interface and operation of COTS, GOTS and Custom SW applications.
Includes, for example:
a. Writing the actual glue/wrapper code and conducting unit testing of that glue/wrapper code</t>
  </si>
  <si>
    <t xml:space="preserve">Maintenance of existing software custom code, glue/wrapper code and database administrative activities.
Includes for example:
a. Software and Database code maintenance activities
b. Database administrative activities
c. DR work off post deployment to Ops
</t>
  </si>
  <si>
    <t>Maintenance of existing database manipulation and administrative activities.
Includes, for example:
a. Maintenance of software code specifically for querying records from a database
b. Maintenance of software code specifically for putting records into a database
c. Database administrative activities
d. DR work off post deployment to Ops
Excludes, for example:
a. Maintenance of existing software code that does not involve database manipulation</t>
  </si>
  <si>
    <t>1.5.2.1.1.1.a</t>
  </si>
  <si>
    <t>COTS SW  Acquisition  Site 1</t>
  </si>
  <si>
    <t>COTS SW Maintenance  Site 1</t>
  </si>
  <si>
    <t>1.5.2.1.2.1.a</t>
  </si>
  <si>
    <t>1.5.2.1.1.1.b</t>
  </si>
  <si>
    <t>1.5.2.1.1.1.c</t>
  </si>
  <si>
    <t>1.5.2.1.2.1.b</t>
  </si>
  <si>
    <t>1.5.2.1.2.1.c</t>
  </si>
  <si>
    <t>COTS SW Managed Services  Site 1</t>
  </si>
  <si>
    <t>1.5.2.1.3.1.a</t>
  </si>
  <si>
    <t>1.5.2.1.3.1.b</t>
  </si>
  <si>
    <t>1.5.2.1.3.1.c</t>
  </si>
  <si>
    <t>COTS SW Managed Services (Sites 1….n)</t>
  </si>
  <si>
    <t>1.5.2.2.1.1.a</t>
  </si>
  <si>
    <t>GOTS SW Acquisition  Site 1</t>
  </si>
  <si>
    <t>GOTS SW Acquisition (Sites 1….n)</t>
  </si>
  <si>
    <t>1.5.2.2.2.1.a</t>
  </si>
  <si>
    <t>1.5.2.2.2.1.b</t>
  </si>
  <si>
    <t>1.5.2.2.2.1.c</t>
  </si>
  <si>
    <t>1.5.2.2.1.1.b</t>
  </si>
  <si>
    <t>1.5.2.2.1.1.c</t>
  </si>
  <si>
    <t>1.5.3.1.2.1.a</t>
  </si>
  <si>
    <t>1.5.3.1.2.1.b</t>
  </si>
  <si>
    <t>1.5.3.1.2.1.c</t>
  </si>
  <si>
    <t>1.5.3.1.3.1.a</t>
  </si>
  <si>
    <t>1.5.3.1.3.1.b</t>
  </si>
  <si>
    <t>1.5.3.1.3.1.c</t>
  </si>
  <si>
    <t>1.5.3.1.4.1.a</t>
  </si>
  <si>
    <t>1.5.3.1.4.1.b</t>
  </si>
  <si>
    <t>1.5.3.1.4.1.c</t>
  </si>
  <si>
    <t>1.5.3.2.1.1.a</t>
  </si>
  <si>
    <t>1.5.3.2.1.1.b</t>
  </si>
  <si>
    <t>1.5.3.2.1.1.c</t>
  </si>
  <si>
    <t>1.5.3.2.2.1.a</t>
  </si>
  <si>
    <t>1.5.3.2.2.1.b</t>
  </si>
  <si>
    <t>1.5.3.2.2.1.c</t>
  </si>
  <si>
    <t>1.5.3.2.3.1.a</t>
  </si>
  <si>
    <t>1.5.3.2.4.1.a</t>
  </si>
  <si>
    <t>1.5.3.2.4.1.b</t>
  </si>
  <si>
    <t>1.5.3.2.4.1.c</t>
  </si>
  <si>
    <t>COTS HW Acquisition (Sites 1….n)</t>
  </si>
  <si>
    <t>COTS HW Maintenance (Sites 1….n)</t>
  </si>
  <si>
    <t>COTS HW Recapitalization  Site 1</t>
  </si>
  <si>
    <t>COTS HW Maintenance Site 1</t>
  </si>
  <si>
    <t>COTS HW Acquisition  Site 1</t>
  </si>
  <si>
    <t>GOTS HW Maintenance  Site 1</t>
  </si>
  <si>
    <t>GOTS HW Recapitalization  Site 1</t>
  </si>
  <si>
    <t>GOTS HW Managed Services  Sites 1</t>
  </si>
  <si>
    <t>GOTS HW Disposal  Site 1</t>
  </si>
  <si>
    <t>1.5.3.2.5.1</t>
  </si>
  <si>
    <t>1.5.3.2.5.1.a</t>
  </si>
  <si>
    <t>1.5.3.2.3.1.b</t>
  </si>
  <si>
    <t>1.5.3.2.3.1.c</t>
  </si>
  <si>
    <t>COTS HW Managed Services  Site 1</t>
  </si>
  <si>
    <t>GOTS SW Maintenance  Site 1</t>
  </si>
  <si>
    <t>1.5.3.1.1.1.a</t>
  </si>
  <si>
    <t>1.5.3.1.1.1.b</t>
  </si>
  <si>
    <t>1.5.3.1.1.1.c</t>
  </si>
  <si>
    <t>Facility Site 1</t>
  </si>
  <si>
    <t>1.10.1.1.a</t>
  </si>
  <si>
    <t>1.10.1.1.b</t>
  </si>
  <si>
    <t>1.10.1.1.c</t>
  </si>
  <si>
    <t>Ops Environment</t>
  </si>
  <si>
    <t>1.10.2.1.a</t>
  </si>
  <si>
    <t>1.10.2.1.b</t>
  </si>
  <si>
    <t>1.10.2.1.c</t>
  </si>
  <si>
    <t>1.10.3.1.a</t>
  </si>
  <si>
    <t>1.10.3.1.b</t>
  </si>
  <si>
    <t>1.10.3.1.c</t>
  </si>
  <si>
    <t>1.10.5.1.a</t>
  </si>
  <si>
    <t>1.10.5.1.b</t>
  </si>
  <si>
    <t>1.10.5.1.c</t>
  </si>
  <si>
    <t>Facilities Physical Security Site 1</t>
  </si>
  <si>
    <t>1.10.4.1.a</t>
  </si>
  <si>
    <t>1.10.4.1.b</t>
  </si>
  <si>
    <t>1.10.4.1.c</t>
  </si>
  <si>
    <t>1.5.3.1.5.1</t>
  </si>
  <si>
    <t>1.5.3.1.5.1.a</t>
  </si>
  <si>
    <t>1.5.3.1.5.1.c</t>
  </si>
  <si>
    <t>COTS HW Disposal Site 1</t>
  </si>
  <si>
    <t>GOTS HW Acquisition Site 1</t>
  </si>
  <si>
    <t>System decommissioning/disposal of any COTS HW development, test, or operational equipment</t>
  </si>
  <si>
    <t>GOTS SW maintenance in the Development environment</t>
  </si>
  <si>
    <t xml:space="preserve">GOTS SW maintenance in the Operations environment </t>
  </si>
  <si>
    <t xml:space="preserve">GOTS SW maintenance in the Testing environment </t>
  </si>
  <si>
    <t xml:space="preserve">GOTS SW purchased for use in the Development environment </t>
  </si>
  <si>
    <t xml:space="preserve">GOTS SW purchased for use in the Testing environment </t>
  </si>
  <si>
    <t>GOTS SW purchased for use in the Operations environment</t>
  </si>
  <si>
    <t xml:space="preserve">Cost to constructing and/or modifying buildings/floor space in order to accommodate Development Environment equipment </t>
  </si>
  <si>
    <t xml:space="preserve">Cost to constructing and/or modifying buildings/floor space in order to accommodate Testing Environment equipment </t>
  </si>
  <si>
    <t xml:space="preserve">Cost to constructing and/or modifying buildings/floor space in order to accommodate Operations Environment equipment </t>
  </si>
  <si>
    <t xml:space="preserve">Ops Environment </t>
  </si>
  <si>
    <r>
      <t>Development</t>
    </r>
    <r>
      <rPr>
        <b/>
        <u/>
        <sz val="11"/>
        <color theme="1"/>
        <rFont val="Calibri"/>
        <family val="2"/>
        <scheme val="minor"/>
      </rPr>
      <t xml:space="preserve"> </t>
    </r>
    <r>
      <rPr>
        <b/>
        <sz val="11"/>
        <color theme="1"/>
        <rFont val="Calibri"/>
        <family val="2"/>
        <scheme val="minor"/>
      </rPr>
      <t xml:space="preserve"> of all the database code for a specific block/spiral/release.  
Includes, for example:
a. Creation and modification of database tables and queries</t>
    </r>
  </si>
  <si>
    <t>Custom SW Database Development Code Development (CSCI 1...n) and database test</t>
  </si>
  <si>
    <t xml:space="preserve">Custom Software and Database Maintenance </t>
  </si>
  <si>
    <t xml:space="preserve">Custom Database Maintenance and Administration </t>
  </si>
  <si>
    <t xml:space="preserve">COTS (Commercial Off the Shelf): 
Describes the purchase of SW and HW products that are standard manufactured products rather than customized products. Furthermore, COTS can be defined as commercial items, including services, available in the commercial marketplace.
GOTS (Government Off the Shelf):
SW and HW government products that are ready to use and which were created and are owned by the government. Typically GOTS are developed by the technical staff of the government agency for which it is created, or readily available.
FOSS (Free and Open Source Software):
Open-source software is computer software whose source code is available under a copyright license that permits users to study, change, and improve the software, and to redistribute it in modified or unmodified form. </t>
  </si>
  <si>
    <t>Combination of the Systems Engineering, and Integration and Test responsibility, task, and deliverable content defined for all COTS/GOTS/FOSS SW/HW items required to implement the intended function(s).
Includes, for example:
a. Subsystem SW/IT IandT management
b. Requirements definition, planning and scheduling (i.e.: Engineering Bill Of Materials)
c. Development of test plans and procedures
d. Test preparations, conduct and teardown
e. Review, analysis and documentation of test results
f. Support for the integration and testing provided by the producer/integrator of the SW/HW
g. IandT resources specifically related to and limited to COTS/GOTS SW/HW
h. Resources necessary to integrate and test the Subsystem SW/HW components</t>
  </si>
  <si>
    <r>
      <t xml:space="preserve">Hardware, Software, and personnel efforts required for </t>
    </r>
    <r>
      <rPr>
        <b/>
        <sz val="11"/>
        <rFont val="Calibri"/>
        <family val="2"/>
        <scheme val="minor"/>
      </rPr>
      <t xml:space="preserve">the development, maturation, and advancement of technologies and techniques that enable and support system development efforts. </t>
    </r>
    <r>
      <rPr>
        <b/>
        <sz val="11"/>
        <color rgb="FFFF0000"/>
        <rFont val="Calibri"/>
        <family val="2"/>
        <scheme val="minor"/>
      </rPr>
      <t xml:space="preserve">
</t>
    </r>
    <r>
      <rPr>
        <b/>
        <sz val="11"/>
        <color theme="1"/>
        <rFont val="Calibri"/>
        <family val="2"/>
        <scheme val="minor"/>
      </rPr>
      <t>Includes, for example:
a. Innovation, phenomenology, risk reduction activities, etc.
b. Prototyping of HW and/or SW, where the prototype may never be deployed to operations
c. Development and incorporation of advanced technologies into the system
Excludes, for example:
a. Development and Integration necessary to deploy capabilities to operations
b. Contractor funded Advanced R&amp;D performed prior to contract award
c. Assessment of advanced technologies for future incorporation into the system
d. Evaluation of alternatives to solve a capability shortfall or system deficiency</t>
    </r>
  </si>
  <si>
    <t>Facilities Construction and Modification Site 1</t>
  </si>
  <si>
    <t>Facilities Maintenance and Operations Site 1</t>
  </si>
  <si>
    <t>Communication Lines Maintenance and Operations</t>
  </si>
  <si>
    <t>Development, maintenance, and SEITPM to make a capability transportable, mobile, or deployable.</t>
  </si>
  <si>
    <t>Certification and Accreditation</t>
  </si>
  <si>
    <t>General and Administrative</t>
  </si>
  <si>
    <t>System Design and Architecture</t>
  </si>
  <si>
    <t>Test and Evaluation</t>
  </si>
  <si>
    <t>Database Development Code and Unit Test</t>
  </si>
  <si>
    <t>COTS SW purchased for use in the Development environment .</t>
  </si>
  <si>
    <t>COTS SW purchased for use in the Operations  environment.</t>
  </si>
  <si>
    <t>COTS SW purchased for use in the Testing environment.</t>
  </si>
  <si>
    <t>COTS SW maintenance in the Development environment.</t>
  </si>
  <si>
    <t>COTS SW maintenance in the Testing environment.</t>
  </si>
  <si>
    <t>COTS SW maintenance in the Operations environment.</t>
  </si>
  <si>
    <t>COTS SW manages services in the Development environment.</t>
  </si>
  <si>
    <t>COTS SW manages services in the Testing environment.</t>
  </si>
  <si>
    <t>COTS SW manages services in the Operations environment.</t>
  </si>
  <si>
    <t>COTS HW purchased for use in the Development environment.</t>
  </si>
  <si>
    <t>COTS HW purchased for use in the Testing environment.</t>
  </si>
  <si>
    <t>COTS HW purchased for use in the Operations environment.</t>
  </si>
  <si>
    <t>COTS HW maintenance within the Development environment.</t>
  </si>
  <si>
    <t>COTS HW maintenance within the Testing environment.</t>
  </si>
  <si>
    <t>COTS HW maintenance within the Operations environment.</t>
  </si>
  <si>
    <t>COTS HW recapitalization within the Development environment.</t>
  </si>
  <si>
    <t>COTS HW recapitalization within the Testing environment.</t>
  </si>
  <si>
    <t>COTS HW recapitalization with the Operations environment.</t>
  </si>
  <si>
    <t>COTS HW Managed Services within the Test environment.</t>
  </si>
  <si>
    <t>COTS HW Managed Services in the Operations environment.</t>
  </si>
  <si>
    <t>COTS HW Disposal of the Development Environment site HW.</t>
  </si>
  <si>
    <t>COTS HW Disposal of the Test Environment site HW.</t>
  </si>
  <si>
    <t>COTS HW Disposal of the Operations Environment site HW.</t>
  </si>
  <si>
    <t>GOTS HW acquisition within the Development environment.</t>
  </si>
  <si>
    <t>GOTS HW acquisition within the Test environment.</t>
  </si>
  <si>
    <t>GOTS HW acquisition in the Operations environment.</t>
  </si>
  <si>
    <t>GOTS HW maintenance for use in the Development environment.</t>
  </si>
  <si>
    <t>GOTS HW maintenance for use in the Test environment.</t>
  </si>
  <si>
    <t>GOTS HW maintenance for use in the Operations environment.</t>
  </si>
  <si>
    <t>GOTS HW recapitalization for use in the Development environment.</t>
  </si>
  <si>
    <t>GOTS HW recapitalization for use in the Test environment.</t>
  </si>
  <si>
    <t>GOTS HW recapitalization for use in the Operations environment .</t>
  </si>
  <si>
    <t>GOTS HW manages services in the Development environment.</t>
  </si>
  <si>
    <t>GOTS HW manages services in the Testing environment.</t>
  </si>
  <si>
    <t>GOTS HW manages services in the Operations environment.</t>
  </si>
  <si>
    <t>GOTS HW Disposal in the Development environment.</t>
  </si>
  <si>
    <t>GOTS HW Disposal in the Testing environment.</t>
  </si>
  <si>
    <t>GOTS HW Disposal in the Operations environment.</t>
  </si>
  <si>
    <t>Cost to lease buildings/floor space to accommodate Development Environment equipment.</t>
  </si>
  <si>
    <t>Cost to lease buildings/floor space to accommodate Testing Environment equipment.</t>
  </si>
  <si>
    <t>Cost to lease buildings/floor space to accommodate Operations Environment equipment.</t>
  </si>
  <si>
    <t>Cost to engineer and design facilities to accommodate Development Environment equipment.</t>
  </si>
  <si>
    <t>Cost to engineer and design facilities to accommodate Operations Environment equipment.</t>
  </si>
  <si>
    <t>Cost of engineering and design effort to accommodate equipment in a location in support of the mission for Site 1.</t>
  </si>
  <si>
    <t>Cost to lease buildings/floor space to accommodate equipment for Site 1.</t>
  </si>
  <si>
    <t>Cost of protection of personnel, hardware, programs, networks, and data from physical circumstances and events that could cause serious losses or damage to an enterprise, agency, institution for Site 1</t>
  </si>
  <si>
    <t>Cost of protection of Development Environment mission assets.</t>
  </si>
  <si>
    <t>Cost of protection of Testing Environment mission assets.</t>
  </si>
  <si>
    <t>Cost of protection of Operations Environment mission assets.</t>
  </si>
  <si>
    <t>Initial act of acquiring GOTS SW items from an external source for Site 1.</t>
  </si>
  <si>
    <t>GOTS SW maintenance, assistance, and/or troubleshooting resources for Site 1.</t>
  </si>
  <si>
    <t>Initial act of acquiring COTS HW items from an external source for Site 1.</t>
  </si>
  <si>
    <t>COTS HW maintenance, assistance and/or troubleshooting resources for Site 1.</t>
  </si>
  <si>
    <t>COTS HW for periodic replacement of equipment to ensure continued reliability of equipment and/or improved speed and capacity for Site 1.</t>
  </si>
  <si>
    <t>COTS HW associated with an organization paying a fee to remotely manage some portion of a customer’s IT infrastructure and/or end-user systems, often under a subscription or “pay as you go” pricing model for Site 1.</t>
  </si>
  <si>
    <t>Initial act of acquiring GOTS HW items from an external source for Site 1.</t>
  </si>
  <si>
    <t>GOTS HW for periodic replacement of equipment to ensure continued reliability of equipment and/or improved speed and capacity for Site 1.</t>
  </si>
  <si>
    <t>GOTS HW associated with an organization paying a fee to remotely manage some portion of a customer’s IT infrastructure and/or end-user systems, often under a subscription or “pay as you go” pricing model for Site 1.</t>
  </si>
  <si>
    <t>System decommissioning of any GOTS HW development, test, or operational equipment for Site 1.</t>
  </si>
  <si>
    <t>System decommissioning of any GOTS HW development, test, or operational equipment.</t>
  </si>
  <si>
    <t>System decommissioning of any Custom HW development, test, or operational equipment.</t>
  </si>
  <si>
    <r>
      <t xml:space="preserve">Technical effort required to transform user requirements into a system solution.
</t>
    </r>
    <r>
      <rPr>
        <b/>
        <sz val="11"/>
        <color theme="1"/>
        <rFont val="Calibri"/>
        <family val="2"/>
        <scheme val="minor"/>
      </rPr>
      <t>Includes, for example:
a. Systems engineering management (manage engineering design and development)
b. Systems requirements analysis and allocation
c. Systems architecture analysis and design (design and evaluate architecture alternatives)
d. Systems analysis and control (systems verification and validation, document requirements verification traceability matrix)
e. Data architecture and engineering (develop overall data architecture, data migration planning, data synchronization)
f. Systems migration and transition planning (develop transition and migration plan)
g. Systems security engineering (design systems security consistent with approved policies, procedures, and facilities)
h. Technology insertion and pre-production environment (engineer inclusion of advanced technologies)
i. Facility planning and engineering (design and develop all facilities)
j. Integrated logistics support (design and develop logistics support)</t>
    </r>
  </si>
  <si>
    <t>Site Surveys/Activation Sites 1…n (Specify)</t>
  </si>
  <si>
    <t xml:space="preserve">Site survey, preparation, and activation of sites for the acceptance and operation of equipment. </t>
  </si>
  <si>
    <t>Facilities Lease Sites 1…n (Specify)</t>
  </si>
  <si>
    <t>Facilities Physical Security Sites 1…n (Specify)</t>
  </si>
  <si>
    <t>Custom Hardware Maintenance Sites 1…n (Specify)</t>
  </si>
  <si>
    <t>Custom HW Recapitalization Sites 1…n (Specify)</t>
  </si>
  <si>
    <t>Custom HW Disposal  Sites 1…n (Specify)</t>
  </si>
  <si>
    <t>GOTS HW Disposal  Sites 1…n (Specify)</t>
  </si>
  <si>
    <t>Facilities Construction and Modification Sites 1…n (Specify)</t>
  </si>
  <si>
    <t xml:space="preserve">Independent Verification and Validation (IV&amp;V) </t>
  </si>
  <si>
    <t>Development, execution and maintenance of training to provide instruction to support the prime mission product.</t>
  </si>
  <si>
    <t>Personnel travel required during the lifecycle of the system.
Includes, for example:
Travel associated with the following activities:
a. Program Management
b. Deployment
c. Engineering
d. Operations and Maintenance
e. Training travel for trainees (applicable to program) 
Excludes, for example:
a. Trainer travel (captured in section related to Training)</t>
  </si>
  <si>
    <t>Any systems engineering, integration and test, and program management activities that are specifically associated with the developed SW for the system.
Includes, for example:
a. The integration of multiple custom software configuration items</t>
  </si>
  <si>
    <r>
      <t xml:space="preserve">Development of source code for a specific block/spiral/release.
Includes, for example:
a. Writing the actual source code and conducting unit level testing of that code as part of the programming process
</t>
    </r>
    <r>
      <rPr>
        <b/>
        <sz val="11"/>
        <rFont val="Calibri"/>
        <family val="2"/>
        <scheme val="minor"/>
      </rPr>
      <t>b.  Software components, consisting of the source code/applications that satisfy an end use function</t>
    </r>
  </si>
  <si>
    <t>Custom SW Source Code Development  (CSCI 1...n; Specify) and Unit Test</t>
  </si>
  <si>
    <t>Development through unit testing of source code by CSCI 1…n.
Note: A Computer Software Configuration Item (CSCI) is an aggregation of software that satisfies a function and is designated for separate configuration management by the acquirer.</t>
  </si>
  <si>
    <t>Custom SW Glue Code Development (CSCI 1...n; Specify) and Unit Test</t>
  </si>
  <si>
    <t>Development of glue code through unit test by CSCI 1…n.</t>
  </si>
  <si>
    <t>Development  of Database Development code by CSCI 1…n. through unit/database test.</t>
  </si>
  <si>
    <t>Maintenance of existing software code.  Effort shall include support of custom and glue/wrapper code.
Includes for example:
a. DR work off post deployment to Ops</t>
  </si>
  <si>
    <t>Design, development, production, procurement, assembly, maintenance, and test of custom equipment. Custom HW includes any HW that must be modified in some way for system utilization, including but not limited to FPGAs, ASICs, firmware, etc.  It cannot be purchased off the shelf and immediately used in the system, but must first be designed, developed, and/or fabricated for use.</t>
  </si>
  <si>
    <t>Any systems engineering, integration and test, and program management activities that are specifically associated with the customized hardware of the system.
Includes, for example:
a. The integration of multiple custom hardware configuration items</t>
  </si>
  <si>
    <t>Custom Hardware Development (HW Configurable Item 1...n; Specify)</t>
  </si>
  <si>
    <t>Segregable Custom HW end items that perform a particular purpose in the system by HW configurable item through functional test.</t>
  </si>
  <si>
    <t xml:space="preserve">COTS/GOTS HW and 
COTS/GOTS SW and FOSS </t>
  </si>
  <si>
    <t>COTS/GOTS HW and 
COTS/GOTS SW and FOSS SEIT</t>
  </si>
  <si>
    <t>COTS SW Maintenance Sites 1…n (Specify)</t>
  </si>
  <si>
    <t>GOTS SW Maintenance Sites 1…n (Specify)</t>
  </si>
  <si>
    <t>COTS HW Recapitalization Sites 1…n (Specify)</t>
  </si>
  <si>
    <t>COTS HW Managed Services Sites 1…n (Specify)</t>
  </si>
  <si>
    <t>COTS HW Disposal Sites 1…n (Specify)</t>
  </si>
  <si>
    <t>GOTS HW Acquisition  Sites 1…n (Specify)</t>
  </si>
  <si>
    <t>GOTS HW Maintenance Sites 1…n (Specify)</t>
  </si>
  <si>
    <t>GOTS HW Recapitalization Sites 1…n (Specify)</t>
  </si>
  <si>
    <t>GOTS HW Managed Services Sites 1…n (Specify)</t>
  </si>
  <si>
    <t>COTS SW  Acquisition Sites 1…n (Specify)</t>
  </si>
  <si>
    <t>Initial act of acquiring COTS SW items from an external source.</t>
  </si>
  <si>
    <t>Initial act of acquiring COTS SW items from an external source for Site 1.</t>
  </si>
  <si>
    <t>COTS SW maintenance, assistance, and/or troubleshooting resources for Site 1.</t>
  </si>
  <si>
    <t>COTS SW maintenance, assistance, and/or troubleshooting resources.
Includes the following:
a. Installation of recurring patches (Preventative Maintenance)
b. Purchase of new software as needed to perform these maintenance activities
c. Corrective maintenance actions beyond the capabilities of the maintainer which will restore systems to operations</t>
  </si>
  <si>
    <t>Initial act of acquiring GOTS SW items from an external source.</t>
  </si>
  <si>
    <t xml:space="preserve">GOTS SW maintenance, assistance, and/or troubleshooting resources.
Includes the following:
a. Installation of recurring patches (Preventative Maintenance)
b. Purchase of new software as needed to perform these maintenance activities
c. Corrective maintenance actions beyond the capabilities of the maintainer which will restore systems to operations
</t>
  </si>
  <si>
    <t>Initial act of acquiring COTS HW items from an external source.</t>
  </si>
  <si>
    <t>GOTS HW for periodic replacement of equipment to ensure continued reliability of equipment and/or improved speed and capacity.</t>
  </si>
  <si>
    <t>Resources intended to provide the end user with information and support related troubleshooting problems or provide guidance to computer systems.</t>
  </si>
  <si>
    <t xml:space="preserve">Resources involving the upkeep, configuration management, and reliable support of the overall system, to include computer hardware and software systems, that ensure performance meets user needs.  </t>
  </si>
  <si>
    <t>The process of transferring data between storage types, formats, or computer systems. 
Includes for example:
a. Effort involved in designing of data transfers
b. Effort involved in extraction of data
c. Effort involved in the cleansing of data
d. Effort involved in the loading of data to another system
e. Effort involved in the verification of data post migration</t>
  </si>
  <si>
    <t>Facilities Engineering and Design Site 1...n (Specify)</t>
  </si>
  <si>
    <t>Cost to lease buildings/floor space to accommodate equipment.</t>
  </si>
  <si>
    <t>Cost of protection of personnel, hardware, programs, networks, and data from physical circumstances and events that could cause serious losses or damage to an enterprise, agency, institution.
Includes, for example:
a. Efforts pertaining to protection from fire
b. Efforts pertaining to protection from natural disasters
c. Efforts pertaining to protection from burglary
d. Efforts pertaining to protection from vandalism
e. Efforts pertaining to protection from terrorism</t>
  </si>
  <si>
    <t>Process to assess the security mechanisms of the baseline and fully integrated system to satisfy security requirements (e.g.: ICD-503)</t>
  </si>
  <si>
    <t>COTS HW associated with an organization paying a fee to remotely manage some portion of a customer’s IT infrastructure and/or end-user systems, often under a subscription or “pay as you go” pricing model.</t>
  </si>
  <si>
    <t>Initial act of acquiring GOTS HW items from an external source.</t>
  </si>
  <si>
    <t>GOTS HW maintenance, assistance and/or troubleshooting resources.
Includes the following:
a. Purchase of parts and spares as needed to perform these maintenance activities
b. Efforts that detect and troubleshoot anomalies through coordinated operations and maintenance efforts 
c. Corrective maintenance actions beyond the capabilities of the maintainer which will restore systems to operations</t>
  </si>
  <si>
    <t>GOTS HW maintenance, assistance and/or troubleshooting resources for Site 1.</t>
  </si>
  <si>
    <t>GOTS HW associated with an organization paying a fee to remotely manage some portion of a customer’s IT infrastructure and/or end-user systems, often under a subscription or “pay as you go” pricing model.</t>
  </si>
  <si>
    <t xml:space="preserve">COTS HW maintenance, assistance and/or troubleshooting resources.
Includes the following:
a. Purchase of parts and spares as needed to perform these maintenance activities
b. Efforts that detect and troubleshoot anomalies through coordinated operations and maintenance efforts 
c. Preventative/Corrective maintenance actions </t>
  </si>
  <si>
    <t>COTS HW for periodic replacement of equipment to ensure continued reliability of equipment and/or improved speed and capacity.</t>
  </si>
  <si>
    <t>System decommissioning/disposal of any COTS HW development, test, or operational equipment for Site 1.</t>
  </si>
  <si>
    <t>1.5.3.2.5.1.b</t>
  </si>
  <si>
    <t>1.5.3.2.5.1.c</t>
  </si>
  <si>
    <t>The development and execution of policy and practices pertaining to the standardization and migration/conditioning of data.</t>
  </si>
  <si>
    <t>Will include the design, develop, produce, procure, lease, assemble, test, operate and maintain external communication system or service between 2 or more end points.  External communications refers to acquiring, hardware (equipment, lines or circuits) and software effort required for a system that transport data along external communication paths between required points. 
Note: A circuit is a complete path between two sites/or end points over which one-way or two-way communications may be provided
Includes, for example:
a. Leased and owned transmissions methods transmitted via terrestrial, undersea, or space systems via analog, digital, electronic, optical, or other methods
b. SEITPM performed by the Communication organization (e.g.: COMM, Transport)</t>
  </si>
  <si>
    <t>Facility Engineering and Design Site 1</t>
  </si>
  <si>
    <t xml:space="preserve">Program Management 
</t>
  </si>
  <si>
    <t xml:space="preserve">System Engineering 
</t>
  </si>
  <si>
    <t xml:space="preserve">Initial acquisition of HW, SW required to establish a communications link between 2 or more end points.
</t>
  </si>
  <si>
    <t>Cost of leased commercial communications capacity to accommodate mission requirements between 2 or more end points.
Can include the Initial set up/connectivity/initialization of leased telecommunications services the identified end points.</t>
  </si>
  <si>
    <t>This includes cost to support and maintain the communications links/service between 2 or more identified end points.  
It includes the annual operations and maintenance cost to support and maintain the procured communications links.  This will include any future recapitalization of HW/SW of the system to continue providing communications between the end points to support the mission</t>
  </si>
  <si>
    <t>Facilities Maintenance and Operations Sites 1…n (Specify)</t>
  </si>
  <si>
    <t xml:space="preserve">Cost of constructing and/or modifying real property (buildings/floor) space required to support mission equipment
Includes, for example:
a. Heating, Venting, and Air Conditioning (HVAC)
b. Power Conditioning/ Uninterrupted Power Supply (UPS)
c. Network Wiring/Cable Trays
d. Generators
e. Computer Flooring
f. Appliances
g. Furniture
h. Other subsystem items needed to build, service and operate the Space System Ground Segment
</t>
  </si>
  <si>
    <t xml:space="preserve">Cost of constructing and/or modifying real property (buildings/floor) space required to support mission equipment for Site 1. </t>
  </si>
  <si>
    <t>The application of engineering in the context of the lifetime use of the system.
Includes, for example:
System engineering activities performed to evaluate and or investigate options and alternative system designs.</t>
  </si>
  <si>
    <t>System engineering activities performed to evaluate or investigate alternative options for future execution.
Includes, for example:
a. Assessment of advanced technologies for future incorporation into the system
b. Evaluation of alternatives to solve a capability shortfall or system deficiency
Excludes, for example:
a. Development and incorporation of advanced technologies into the system</t>
  </si>
  <si>
    <t>Independent planning,  support, and testing of a system to ensure that it meets all stated performance requirements, processes and procedures. This work is performed by an independent team not involved in the development effort.
Includes, for example:
a. Program level support and personnel doing the IV&amp;V work</t>
  </si>
  <si>
    <t>The periodic replacement of equipment to ensure continued reliability of equipment and/or improved speed and capacity by site.
Includes, for example:
a. Procuring hardware to replace equipment that has experienced normal wear and tear or become technologically obsolete
Excludes, for example:
a. Procurement for new capability</t>
  </si>
  <si>
    <t>Maintenance of the Custom HW by site.
Includes, for example:
a. Maintenance of FPGAs and ASICs
b. Residing FPGA and ASICs firmware</t>
  </si>
  <si>
    <t>Function Represented:</t>
  </si>
  <si>
    <t xml:space="preserve">Development and implementation of an integration plan, includes the integration and assembly of the system with emphasis on risk management and continuing verification of all external and internal interfaces (physical, functional and logical). </t>
  </si>
  <si>
    <t>Planning and performing Test and Evaluation functions for prototype, new, or modified systems. T&amp;E emphasis areas include interoperability, information and system assurance, reliability and maintainability.
Includes, for example:
a. Developmental Test and Evaluation associated with the system
b. Operational Test and Evaluation associated with the system
c. System Wide Testing performed with all relevant program and system components.
c.  If IV&amp;V cannot be captured separately, please capture it here</t>
  </si>
  <si>
    <t>e. Description</t>
  </si>
  <si>
    <t>Development</t>
  </si>
  <si>
    <t>SW Baseline Information</t>
  </si>
  <si>
    <t>b. Baseline</t>
  </si>
  <si>
    <t>Discrepancy Report Information</t>
  </si>
  <si>
    <t>c. Database Name</t>
  </si>
  <si>
    <t>e. Size</t>
  </si>
  <si>
    <t>f. # of DB Instances</t>
  </si>
  <si>
    <t>g. Platform for Database</t>
  </si>
  <si>
    <t>h. Table List</t>
  </si>
  <si>
    <t>i. # of Different Types of Constraints on each Attribute</t>
  </si>
  <si>
    <t>j. # of Fields/Tables</t>
  </si>
  <si>
    <t>k. # of Triggers used in Database</t>
  </si>
  <si>
    <t>l. # of Data Entry Forms</t>
  </si>
  <si>
    <t>m. # of Views to be Created</t>
  </si>
  <si>
    <t>n. Track Historical Records</t>
  </si>
  <si>
    <t>Other</t>
  </si>
  <si>
    <t>UNCLASSIFIED</t>
  </si>
  <si>
    <t>Yes</t>
  </si>
  <si>
    <t>No</t>
  </si>
  <si>
    <t>Engineering Change Proposals</t>
  </si>
  <si>
    <t>This worksheet contains the tables used by various picklists throughout the workbook.</t>
  </si>
  <si>
    <t>Each "blue table" below contains the list of values for the picklist, and is a Named Range that the Data Validation function refers to</t>
  </si>
  <si>
    <t>To remove a items from the picklist, select the cell(s), do RIGHT click --&gt;select "Delete"--&gt;select "Table Rows"</t>
  </si>
  <si>
    <t>NOTE:  If you remove an item from the picklist, and that particular item has already been picked on another worksheet, the other worksheet is NOT updated automatically - - it could still be using the value you just removed</t>
  </si>
  <si>
    <t>Use the orange cells to test each picklist.  You can also use these throughout the workbook (via copy/paste) to quickly add picklists that are known to work properly</t>
  </si>
  <si>
    <t>Test the Picklist --&gt;&gt;</t>
  </si>
  <si>
    <t>Picklist Tables &amp; Named Range Names--&gt;</t>
  </si>
  <si>
    <t>ContractType</t>
  </si>
  <si>
    <t>Functions</t>
  </si>
  <si>
    <t>COTS/GOTS/FOSS</t>
  </si>
  <si>
    <t>DevelopmentStrategy</t>
  </si>
  <si>
    <t>Activity</t>
  </si>
  <si>
    <t>Domain Level</t>
  </si>
  <si>
    <t>CPAF</t>
  </si>
  <si>
    <t>Data Analysis &amp; Exploitation</t>
  </si>
  <si>
    <t>COTS</t>
  </si>
  <si>
    <t>Agile</t>
  </si>
  <si>
    <t>Cost</t>
  </si>
  <si>
    <t>CPFF</t>
  </si>
  <si>
    <t>Command &amp; Control/Mission Management</t>
  </si>
  <si>
    <t>GOTS</t>
  </si>
  <si>
    <t>Incremental</t>
  </si>
  <si>
    <t>DR Workoffs</t>
  </si>
  <si>
    <t>Technical</t>
  </si>
  <si>
    <t>SECRET</t>
  </si>
  <si>
    <t>CPIF</t>
  </si>
  <si>
    <t>Dissemination</t>
  </si>
  <si>
    <t>FOSS</t>
  </si>
  <si>
    <t>Iterative</t>
  </si>
  <si>
    <t>Combination</t>
  </si>
  <si>
    <t>Schedule</t>
  </si>
  <si>
    <t>TOP SECRET</t>
  </si>
  <si>
    <t>CPIF (PI)</t>
  </si>
  <si>
    <t>Ground Terminals</t>
  </si>
  <si>
    <t>Multiple</t>
  </si>
  <si>
    <t>CAP/SAP</t>
  </si>
  <si>
    <t>Unknown</t>
  </si>
  <si>
    <t>CS</t>
  </si>
  <si>
    <t>Infrastructure &amp; Framework</t>
  </si>
  <si>
    <t>Spiral</t>
  </si>
  <si>
    <t>FFP</t>
  </si>
  <si>
    <t>Mission Data Processing</t>
  </si>
  <si>
    <t>Waterfall</t>
  </si>
  <si>
    <t>FPIF</t>
  </si>
  <si>
    <t>Tasking &amp; Management</t>
  </si>
  <si>
    <t>FPIST</t>
  </si>
  <si>
    <t>Y/N Option</t>
  </si>
  <si>
    <t>FPIST (PI)</t>
  </si>
  <si>
    <t>FPIFT (PI)</t>
  </si>
  <si>
    <t>FPAF</t>
  </si>
  <si>
    <t>FP/EPA</t>
  </si>
  <si>
    <t>SW Code Type</t>
  </si>
  <si>
    <t>FP/PPR</t>
  </si>
  <si>
    <t>FFP/LOET</t>
  </si>
  <si>
    <t>FPIC</t>
  </si>
  <si>
    <t>IDIQ</t>
  </si>
  <si>
    <t>LC</t>
  </si>
  <si>
    <t>T&amp;M</t>
  </si>
  <si>
    <t>Other (Explain in Comments)</t>
  </si>
  <si>
    <t>Security</t>
  </si>
  <si>
    <t>c. Release / Delivery</t>
  </si>
  <si>
    <t>d. Subsystem</t>
  </si>
  <si>
    <t>DoDAF SV-6 Content</t>
  </si>
  <si>
    <t>Nature of Transaction</t>
  </si>
  <si>
    <t>Type</t>
  </si>
  <si>
    <t>Event</t>
  </si>
  <si>
    <t>Interoperability Level</t>
  </si>
  <si>
    <t>Criticality</t>
  </si>
  <si>
    <t>Performance Attributes</t>
  </si>
  <si>
    <t>Periodicity</t>
  </si>
  <si>
    <t>Timeliness</t>
  </si>
  <si>
    <t>Throughput</t>
  </si>
  <si>
    <t>Size</t>
  </si>
  <si>
    <t>Protection</t>
  </si>
  <si>
    <t>Classification</t>
  </si>
  <si>
    <t>Caveat</t>
  </si>
  <si>
    <t>Releasability</t>
  </si>
  <si>
    <t>Security Standard</t>
  </si>
  <si>
    <t>Data Description</t>
  </si>
  <si>
    <t>Name/ID</t>
  </si>
  <si>
    <t>Content</t>
  </si>
  <si>
    <t>Format Type</t>
  </si>
  <si>
    <t>Media Type</t>
  </si>
  <si>
    <t>Accuracy</t>
  </si>
  <si>
    <t>Units of Measurement</t>
  </si>
  <si>
    <t>Data Standard</t>
  </si>
  <si>
    <t>Information Assurance</t>
  </si>
  <si>
    <t>Access Control</t>
  </si>
  <si>
    <t>Availability</t>
  </si>
  <si>
    <t>Confidentiality</t>
  </si>
  <si>
    <t>Dissemination Control</t>
  </si>
  <si>
    <t>Integrity</t>
  </si>
  <si>
    <t>Non-Repudiation</t>
  </si>
  <si>
    <t>e. Average Age of Code</t>
  </si>
  <si>
    <t>f. Total Maintained Logical SLOC</t>
  </si>
  <si>
    <t>g. Autogenerated SLOC</t>
  </si>
  <si>
    <t>Hours - % Subcontractor</t>
  </si>
  <si>
    <r>
      <t xml:space="preserve">Management, system engineering, and integration efforts of day-to-day activities, through all phases of the program (Development, Production, O&amp;M, etc.…). </t>
    </r>
    <r>
      <rPr>
        <b/>
        <sz val="11"/>
        <color rgb="FFFF0000"/>
        <rFont val="Calibri"/>
        <family val="2"/>
        <scheme val="minor"/>
      </rPr>
      <t xml:space="preserve">
</t>
    </r>
    <r>
      <rPr>
        <b/>
        <sz val="11"/>
        <color theme="1"/>
        <rFont val="Calibri"/>
        <family val="2"/>
        <scheme val="minor"/>
      </rPr>
      <t xml:space="preserve">
Includes, for example:
a. Program Office SEITPM &amp; Risk Management
b. Integration and coordination with other programs
c. Planning and implementation of technical integration efforts, as well as the testing and evaluation of required software and hardware</t>
    </r>
  </si>
  <si>
    <r>
      <t xml:space="preserve">Management of day-to-day activities, through all phases of the program (Development, Production, O&amp;M, etc.…).
Includes, for example:
a. Management direction (planning and direction of contract activities)
b. Planning, schedule management, and control (preparing and maintaining integrated contract master schedule)
c. Cost and performance management (analysis and control for cost expenditures, cost performance, cost estimation, budget planning, budget execution, report generation, EVM performance, etc.)
d. Contract, subcontract, and procurement administration (subcontract management and tracking)
e. Configuration management (efforts and procedures for control of program baseline to include proper tracking of GFE/GFI items)
f. Quality assurance (provide adequate confidence that a product or service will satisfy given requirements for quality)
g. Business process engineering program management (review, analyze, and develop business management processes)
h. Security management (security management efforts consistent with approved policies, procedures, and facilities)
i. Data management (control, tracking, documentation, distribution [as in the form of an integrated development environment or IDE], and disposition)
j. ROM/ECP management and preparation
k. Source selection support
</t>
    </r>
    <r>
      <rPr>
        <b/>
        <sz val="11"/>
        <rFont val="Calibri"/>
        <family val="2"/>
        <scheme val="minor"/>
      </rPr>
      <t>l. Development, implementation, and operation of a proactive risk management program to include risk identification, quantification, and management
Excluded costs include:
a. Actual mitigation or risk avoidance costs
b. Costs tied to specific risks
c. Travel costs
d. Training costs</t>
    </r>
  </si>
  <si>
    <t>Training for managers, operators, maintainers, and support personnel.
Includes, for example:
a. Student materials (binders, handouts, etc.…)
b. Training equipment and devices
c. Instructors
d. Instructor travel
e. Training time
f: Train the Trainer
g: Training site fees</t>
  </si>
  <si>
    <t>COTS SW associated with an organization paying a fee for access to COTS SW applications, often under a subscription or “pay as you go” pricing model.</t>
  </si>
  <si>
    <t>COTS SW associated with an organization paying a fee for access to COTS SW applications, often under a subscription or “pay as you go” pricing model for Site 1.</t>
  </si>
  <si>
    <t>COTS HW Managed Services within the Development environment.</t>
  </si>
  <si>
    <t>Cost of engineering and design effort to accommodate equipment in a location in support of the mission.
Includes design considerations for mission systems power, space and cooling elements of a facility.</t>
  </si>
  <si>
    <t>Cost to engineer and design facilities to accommodate Testing Environment equipment.</t>
  </si>
  <si>
    <t>Costs of resources associated with maintenance of facilities in support of mission.</t>
  </si>
  <si>
    <t xml:space="preserve">Costs of resources associated with operations and maintenance of facilities in support of mission for Site 1.
</t>
  </si>
  <si>
    <t>Costs of resources associated with operations and maintenance of facilities in support Development Environment.</t>
  </si>
  <si>
    <t>Costs of resources associated with operations and maintenance of facilities in support Testing Environment.</t>
  </si>
  <si>
    <t>Costs of resources associated with operations and maintenance of facilities in support Operations Environment.</t>
  </si>
  <si>
    <t>CLASSIFICATION: UNCLASSIFIED</t>
  </si>
  <si>
    <t xml:space="preserve">To add items to the picklist, click on the cell just below the blue table and add your new value.  </t>
  </si>
  <si>
    <t>Database Dev</t>
  </si>
  <si>
    <t>Glue/Wrapper Code</t>
  </si>
  <si>
    <t>Refactoring/Migration Code</t>
  </si>
  <si>
    <t>Source Code</t>
  </si>
  <si>
    <t>Program Description</t>
  </si>
  <si>
    <t>a. Program</t>
  </si>
  <si>
    <t>b. Primary Program Function</t>
  </si>
  <si>
    <t>c. Secondary Program Function</t>
  </si>
  <si>
    <t>d. Protection Level</t>
  </si>
  <si>
    <t>e. Domain Level</t>
  </si>
  <si>
    <t>f. # of Users</t>
  </si>
  <si>
    <t>g. # of Accounts</t>
  </si>
  <si>
    <t>h. Retention Requirements</t>
  </si>
  <si>
    <t>Program Milestones</t>
  </si>
  <si>
    <t>i. Schedule Milestone</t>
  </si>
  <si>
    <t>j. Current Schedule</t>
  </si>
  <si>
    <t>k. Comments/Notes</t>
  </si>
  <si>
    <t>Architecture Description</t>
  </si>
  <si>
    <t>l. Program Name</t>
  </si>
  <si>
    <t>m. Contract #</t>
  </si>
  <si>
    <t>n. Release / Delivery</t>
  </si>
  <si>
    <t>o. Subsystem</t>
  </si>
  <si>
    <t>p. Total Users</t>
  </si>
  <si>
    <t>q. Number of Interfaces</t>
  </si>
  <si>
    <t>r. Number of Legacy Systems Replaced</t>
  </si>
  <si>
    <t>PL1</t>
  </si>
  <si>
    <t>PL2</t>
  </si>
  <si>
    <t>PL3</t>
  </si>
  <si>
    <t>PL4</t>
  </si>
  <si>
    <t>PL5</t>
  </si>
  <si>
    <t>UNKNOWN</t>
  </si>
  <si>
    <t>Protection Level</t>
  </si>
  <si>
    <t>jj. Program Name</t>
  </si>
  <si>
    <t>kk. Contract #</t>
  </si>
  <si>
    <t>ll. ECP Number</t>
  </si>
  <si>
    <t>mm. ECP Description</t>
  </si>
  <si>
    <t>nn. ECP Type</t>
  </si>
  <si>
    <t>oo. ATP Date</t>
  </si>
  <si>
    <t>pp. Negotiated Duration of ECP</t>
  </si>
  <si>
    <t>qq. Negotiated ECP Value</t>
  </si>
  <si>
    <t>p. Database Name(s) if applicable</t>
  </si>
  <si>
    <t>q. Comments/Notes</t>
  </si>
  <si>
    <t>Equipment Category</t>
  </si>
  <si>
    <t>Networking</t>
  </si>
  <si>
    <t>Servers</t>
  </si>
  <si>
    <t>Storage</t>
  </si>
  <si>
    <t>Services</t>
  </si>
  <si>
    <t>Workstations</t>
  </si>
  <si>
    <t>Pricing Strategy</t>
  </si>
  <si>
    <t>Price per # of Users</t>
  </si>
  <si>
    <t>Price per # of Named Users</t>
  </si>
  <si>
    <t>Price per # of Nodes</t>
  </si>
  <si>
    <t>Price per # of Seats</t>
  </si>
  <si>
    <t>Price per # of Processors</t>
  </si>
  <si>
    <t>Price per Enterprise License</t>
  </si>
  <si>
    <t>d. HW/SW</t>
  </si>
  <si>
    <t>e. Name of Application</t>
  </si>
  <si>
    <t>f. Description</t>
  </si>
  <si>
    <t>h. Category</t>
  </si>
  <si>
    <t>i. Sub-Category</t>
  </si>
  <si>
    <t>j. COTS/GOTS/FOSS</t>
  </si>
  <si>
    <t>k. Environment</t>
  </si>
  <si>
    <t>l. Domain Level</t>
  </si>
  <si>
    <t>m. Pricing Strategy</t>
  </si>
  <si>
    <t>o. Quantity</t>
  </si>
  <si>
    <t>p. Life Expectancy</t>
  </si>
  <si>
    <t>q. Warranty Period</t>
  </si>
  <si>
    <t>r. Annual Maint. Cost</t>
  </si>
  <si>
    <t>s. Comments/Notes</t>
  </si>
  <si>
    <t>s1. Nature of Transaction (L1)</t>
  </si>
  <si>
    <t>s2. Nature of Transaction (L2)</t>
  </si>
  <si>
    <t>t1. Performance Attributes (L1)</t>
  </si>
  <si>
    <t>t2. Performance Attributes (L2)</t>
  </si>
  <si>
    <t>u1. Security (L1)</t>
  </si>
  <si>
    <t>u2. Security (L2)</t>
  </si>
  <si>
    <t>v1. Data Description (L1)</t>
  </si>
  <si>
    <t>v2. Data Description (L2)</t>
  </si>
  <si>
    <t>w1. Information Assurance (L1)</t>
  </si>
  <si>
    <t>w2. Information Assurance (L2)</t>
  </si>
  <si>
    <t>x. Reference Document Name(s) if applicable</t>
  </si>
  <si>
    <t>y. Comments/Notes</t>
  </si>
  <si>
    <t>Physical</t>
  </si>
  <si>
    <t>Virtual</t>
  </si>
  <si>
    <t>Thick Client</t>
  </si>
  <si>
    <t>Thin Client</t>
  </si>
  <si>
    <t>Routers</t>
  </si>
  <si>
    <t>Switches</t>
  </si>
  <si>
    <t>Solid State</t>
  </si>
  <si>
    <t>Spinning Disk</t>
  </si>
  <si>
    <t>Tape</t>
  </si>
  <si>
    <t>RAID Array</t>
  </si>
  <si>
    <t>Other (Clarify in Comments)</t>
  </si>
  <si>
    <t>Commercial Cloud Services (C2S)</t>
  </si>
  <si>
    <t>IC GovCloud (ICGC)</t>
  </si>
  <si>
    <t>Unclassified GovCloud (UGC)</t>
  </si>
  <si>
    <t>IC Desktop Environment (DTE)</t>
  </si>
  <si>
    <t>Agency Infrastructure Service Provider (AISP)</t>
  </si>
  <si>
    <t>CLASSIFICATION:</t>
  </si>
  <si>
    <t>UCC-G Provided Fields</t>
  </si>
  <si>
    <t>Please provide the version of the UCC used for counting code.</t>
  </si>
  <si>
    <t>New Code</t>
  </si>
  <si>
    <t>Open Source / Reuse Code</t>
  </si>
  <si>
    <t>Autogenerated Code</t>
  </si>
  <si>
    <t>e. SW Code Type</t>
  </si>
  <si>
    <t>f. Function</t>
  </si>
  <si>
    <t xml:space="preserve"> </t>
  </si>
  <si>
    <t xml:space="preserve">SUMMARY TOTALS </t>
  </si>
  <si>
    <t>Planned</t>
  </si>
  <si>
    <t>Actual</t>
  </si>
  <si>
    <t>Total Features</t>
  </si>
  <si>
    <t>Total Epics / Capabilities</t>
  </si>
  <si>
    <t>Total Stories</t>
  </si>
  <si>
    <t>Total Story Points</t>
  </si>
  <si>
    <t>Total Feature Hours</t>
  </si>
  <si>
    <t>Total Sprints</t>
  </si>
  <si>
    <t>Text of what the Epic is to do is here</t>
  </si>
  <si>
    <t>Feature Description here</t>
  </si>
  <si>
    <t>TOTAL</t>
  </si>
  <si>
    <t>a. Planned</t>
  </si>
  <si>
    <t>b. Actual</t>
  </si>
  <si>
    <t>d. Epic Description</t>
  </si>
  <si>
    <t>e. Feature ID</t>
  </si>
  <si>
    <t>f. Feature Description</t>
  </si>
  <si>
    <t>i. Story Points</t>
  </si>
  <si>
    <t>j. Feature Hours</t>
  </si>
  <si>
    <t>FT-00001</t>
  </si>
  <si>
    <t>FT-00002</t>
  </si>
  <si>
    <t>FT-00003</t>
  </si>
  <si>
    <t>FT-00004</t>
  </si>
  <si>
    <t>FT-00005</t>
  </si>
  <si>
    <t>Integration and Test</t>
  </si>
  <si>
    <t>g. Original Equipment Manufacturer</t>
  </si>
  <si>
    <t>n. Unit Cost / Rate for Usage</t>
  </si>
  <si>
    <t>e. Task (Short Description)</t>
  </si>
  <si>
    <t>f. Scope (Long Description)</t>
  </si>
  <si>
    <t>g. Data Management Effort</t>
  </si>
  <si>
    <t>j. # of Hours Total</t>
  </si>
  <si>
    <t>l. %  Manually Conditioned Data</t>
  </si>
  <si>
    <t>m. %  Automatically Conditioned Data</t>
  </si>
  <si>
    <t>n. Migration From X</t>
  </si>
  <si>
    <t>o. Migration To Y</t>
  </si>
  <si>
    <t>c. Epic ID</t>
  </si>
  <si>
    <t>Epic 1</t>
  </si>
  <si>
    <t>Epic 2</t>
  </si>
  <si>
    <t>Epic 3</t>
  </si>
  <si>
    <t>Epic 4</t>
  </si>
  <si>
    <t>Epic 5</t>
  </si>
  <si>
    <t>g. Story Points</t>
  </si>
  <si>
    <t>h. Feature Hours</t>
  </si>
  <si>
    <t>g. SW Development Level 1</t>
  </si>
  <si>
    <t>h. SW Development Level 2</t>
  </si>
  <si>
    <t>i. SW Development Level 3</t>
  </si>
  <si>
    <t>j. SW Development Level 4</t>
  </si>
  <si>
    <t>k. Start Date</t>
  </si>
  <si>
    <t>l. End Date</t>
  </si>
  <si>
    <t>m. Activity</t>
  </si>
  <si>
    <t xml:space="preserve">n. Baseline Deployment </t>
  </si>
  <si>
    <t>o. Date Deployed to Operations</t>
  </si>
  <si>
    <t>p. DR UID</t>
  </si>
  <si>
    <t>q. Actual Hours for SW Development</t>
  </si>
  <si>
    <t>r. Complexity</t>
  </si>
  <si>
    <t>g. SW Programming Language</t>
  </si>
  <si>
    <t>h. CSCI Name</t>
  </si>
  <si>
    <t>i. Description</t>
  </si>
  <si>
    <t>j. Baseline Deployment</t>
  </si>
  <si>
    <t>k. Development Strategy</t>
  </si>
  <si>
    <t>la. Total New Code</t>
  </si>
  <si>
    <t>lb. % Newly Developed Code</t>
  </si>
  <si>
    <t>lc. % of Total New Code</t>
  </si>
  <si>
    <t>ld. % Adaptation Adjustment Factor (AAF)</t>
  </si>
  <si>
    <t>le.  % of Total New Code</t>
  </si>
  <si>
    <t xml:space="preserve">lf. % Adaptation Adjustment Factor (AAF) </t>
  </si>
  <si>
    <t>ma. Total Unmodified Code</t>
  </si>
  <si>
    <t xml:space="preserve">mb. % Adaptation Adjustment Factor (AAF)    </t>
  </si>
  <si>
    <t>na. Total Modified Code</t>
  </si>
  <si>
    <t xml:space="preserve">nb. % Adaptation Adjustment Factor (AAF)  </t>
  </si>
  <si>
    <t>o. Total Deleted Code</t>
  </si>
  <si>
    <t>p. Comments/Notes</t>
  </si>
  <si>
    <t>n. Modified Code</t>
  </si>
  <si>
    <t>m. Unmodified Code</t>
  </si>
  <si>
    <t>l. New Code</t>
  </si>
  <si>
    <t>OT (Other Transactions)</t>
  </si>
  <si>
    <t>h. List of Languages</t>
  </si>
  <si>
    <t>i. Maintenance Start Date</t>
  </si>
  <si>
    <t>j. Maintenance End Date</t>
  </si>
  <si>
    <t>k. Original Maintenance Start Date</t>
  </si>
  <si>
    <t>l. Total Maintenance Hours</t>
  </si>
  <si>
    <t>m. Annual Change Rate (%)</t>
  </si>
  <si>
    <t>n. Program Name</t>
  </si>
  <si>
    <t>o. Contract #</t>
  </si>
  <si>
    <t>p. Developer</t>
  </si>
  <si>
    <t>q. Location of Developer</t>
  </si>
  <si>
    <t>r. DR Number</t>
  </si>
  <si>
    <t>s. Description</t>
  </si>
  <si>
    <t>t. Priority / Severity</t>
  </si>
  <si>
    <t>u. Status</t>
  </si>
  <si>
    <t>v. Function</t>
  </si>
  <si>
    <t>w. Baseline Deployment</t>
  </si>
  <si>
    <t>x. Defect Origin</t>
  </si>
  <si>
    <t>y. Date Opened</t>
  </si>
  <si>
    <t>z. Date Closed</t>
  </si>
  <si>
    <t>aa. Comments/Notes</t>
  </si>
  <si>
    <t>Commercial Cloud Enterprise (C2E)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</si>
</sst>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00"/>
    <numFmt numFmtId="165" formatCode="0.0"/>
    <numFmt numFmtId="166" formatCode="&quot; $&quot;* #,##0.00\ ;&quot; $&quot;* \(#,##0.00\);&quot; $&quot;* \-#\ ;@\ "/>
    <numFmt numFmtId="167" formatCode="* #,##0.00\ ;* \(#,##0.00\);* \-#\ ;@\ "/>
    <numFmt numFmtId="168" formatCode="_(* #,##0_);_(* \(#,##0\);_(* &quot;-&quot;??_);_(@_)"/>
    <numFmt numFmtId="169" formatCode="m/d/yyyy;@"/>
  </numFmts>
  <fonts count="40" x14ac:knownFonts="1">
    <font>
      <sz val="11"/>
      <color theme="1"/>
      <name val="Calibri"/>
      <family val="2"/>
      <scheme val="minor"/>
    </font>
    <font>
      <sz val="8"/>
      <color indexed="81"/>
      <name val="Tahoma"/>
      <family val="2"/>
    </font>
    <font>
      <sz val="9"/>
      <color indexed="81"/>
      <name val="Tahoma"/>
      <family val="2"/>
    </font>
    <font>
      <sz val="10"/>
      <color theme="1"/>
      <name val="Calibri"/>
      <family val="2"/>
      <scheme val="minor"/>
    </font>
    <font>
      <b/>
      <sz val="10"/>
      <color theme="1"/>
      <name val="Calibri"/>
      <family val="2"/>
      <scheme val="minor"/>
    </font>
    <font>
      <b/>
      <sz val="10"/>
      <color theme="0"/>
      <name val="Calibri"/>
      <family val="2"/>
      <scheme val="minor"/>
    </font>
    <font>
      <b/>
      <sz val="11"/>
      <color rgb="FFFF0000"/>
      <name val="Calibri"/>
      <family val="2"/>
      <scheme val="minor"/>
    </font>
    <font>
      <sz val="10"/>
      <name val="Arial"/>
      <family val="2"/>
    </font>
    <font>
      <b/>
      <sz val="9"/>
      <color indexed="81"/>
      <name val="Tahoma"/>
      <family val="2"/>
    </font>
    <font>
      <b/>
      <sz val="11"/>
      <color theme="1"/>
      <name val="Calibri"/>
      <family val="2"/>
      <scheme val="minor"/>
    </font>
    <font>
      <sz val="10"/>
      <color theme="1"/>
      <name val="Calibri"/>
      <family val="2"/>
    </font>
    <font>
      <b/>
      <sz val="11"/>
      <name val="Calibri"/>
      <family val="2"/>
      <scheme val="minor"/>
    </font>
    <font>
      <b/>
      <sz val="11"/>
      <color theme="0"/>
      <name val="Calibri"/>
      <family val="2"/>
      <scheme val="minor"/>
    </font>
    <font>
      <b/>
      <u/>
      <sz val="12"/>
      <color theme="1"/>
      <name val="Calibri"/>
      <family val="2"/>
      <scheme val="minor"/>
    </font>
    <font>
      <b/>
      <u/>
      <sz val="11"/>
      <color theme="1"/>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sz val="14"/>
      <color theme="1"/>
      <name val="Calibri"/>
      <family val="2"/>
      <scheme val="minor"/>
    </font>
    <font>
      <b/>
      <sz val="12"/>
      <color rgb="FFFF0000"/>
      <name val="Calibri"/>
      <family val="2"/>
      <scheme val="minor"/>
    </font>
    <font>
      <sz val="9"/>
      <color indexed="81"/>
      <name val="Tahoma"/>
      <charset val="1"/>
    </font>
    <font>
      <b/>
      <sz val="9"/>
      <color indexed="81"/>
      <name val="Tahoma"/>
      <charset val="1"/>
    </font>
    <font>
      <sz val="11"/>
      <color rgb="FF000000"/>
      <name val="Calibri"/>
      <family val="2"/>
    </font>
    <font>
      <u/>
      <sz val="11"/>
      <color theme="10"/>
      <name val="Calibri"/>
      <family val="2"/>
    </font>
    <font>
      <b/>
      <u/>
      <sz val="9"/>
      <color indexed="81"/>
      <name val="Tahoma"/>
      <family val="2"/>
    </font>
    <font>
      <b/>
      <sz val="8"/>
      <color indexed="81"/>
      <name val="Tahoma"/>
      <family val="2"/>
    </font>
    <font>
      <sz val="10"/>
      <name val="Arial"/>
    </font>
    <font>
      <sz val="11"/>
      <name val="Arial"/>
      <family val="2"/>
    </font>
    <font>
      <b/>
      <sz val="11"/>
      <name val="Arial"/>
      <family val="2"/>
    </font>
    <font>
      <b/>
      <sz val="18"/>
      <color theme="3"/>
      <name val="Cambria"/>
      <family val="2"/>
      <scheme val="major"/>
    </font>
    <font>
      <sz val="10"/>
      <color theme="1"/>
      <name val="Arial"/>
      <family val="2"/>
    </font>
    <font>
      <b/>
      <sz val="10"/>
      <color theme="0"/>
      <name val="Arial"/>
      <family val="2"/>
    </font>
    <font>
      <sz val="10"/>
      <color indexed="8"/>
      <name val="Arial"/>
      <family val="2"/>
    </font>
    <font>
      <b/>
      <sz val="12"/>
      <color theme="0"/>
      <name val="Calibri"/>
      <family val="2"/>
      <scheme val="minor"/>
    </font>
    <font>
      <b/>
      <u/>
      <sz val="8"/>
      <color indexed="81"/>
      <name val="Tahoma"/>
      <family val="2"/>
    </font>
    <font>
      <sz val="8"/>
      <name val="Calibri"/>
      <family val="2"/>
      <scheme val="minor"/>
    </font>
    <font>
      <sz val="11"/>
      <color theme="1"/>
      <name val="Calibri"/>
      <family val="2"/>
      <scheme val="minor"/>
    </font>
    <font>
      <b/>
      <sz val="10"/>
      <name val="Calibri"/>
      <family val="2"/>
      <scheme val="minor"/>
    </font>
    <font>
      <sz val="11"/>
      <name val="Calibri"/>
      <family val="2"/>
      <scheme val="minor"/>
    </font>
    <font>
      <b/>
      <sz val="11"/>
      <name val="Calibri"/>
      <family val="2"/>
    </font>
  </fonts>
  <fills count="25">
    <fill>
      <patternFill patternType="none"/>
    </fill>
    <fill>
      <patternFill patternType="gray125"/>
    </fill>
    <fill>
      <patternFill patternType="solid">
        <fgColor theme="4" tint="-0.499984740745262"/>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rgb="FF339933"/>
        <bgColor indexed="64"/>
      </patternFill>
    </fill>
    <fill>
      <patternFill patternType="solid">
        <fgColor rgb="FF00206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2"/>
        <bgColor indexed="64"/>
      </patternFill>
    </fill>
    <fill>
      <patternFill patternType="solid">
        <fgColor theme="4"/>
        <bgColor theme="4"/>
      </patternFill>
    </fill>
    <fill>
      <patternFill patternType="solid">
        <fgColor rgb="FFFFC000"/>
        <bgColor theme="4" tint="0.79998168889431442"/>
      </patternFill>
    </fill>
    <fill>
      <patternFill patternType="solid">
        <fgColor rgb="FFFFC000"/>
        <bgColor theme="4" tint="0.59999389629810485"/>
      </patternFill>
    </fill>
    <fill>
      <patternFill patternType="solid">
        <fgColor theme="9" tint="0.79998168889431442"/>
        <bgColor theme="4" tint="0.59999389629810485"/>
      </patternFill>
    </fill>
    <fill>
      <patternFill patternType="solid">
        <fgColor theme="9" tint="0.79998168889431442"/>
        <bgColor theme="4" tint="0.79998168889431442"/>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rgb="FF000000"/>
      </left>
      <right style="thin">
        <color rgb="FF000000"/>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op>
      <bottom style="thin">
        <color theme="0"/>
      </bottom>
      <diagonal/>
    </border>
    <border>
      <left/>
      <right/>
      <top/>
      <bottom style="thick">
        <color theme="0"/>
      </bottom>
      <diagonal/>
    </border>
    <border>
      <left/>
      <right/>
      <top style="thin">
        <color indexed="8"/>
      </top>
      <bottom style="thick">
        <color theme="0"/>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style="thin">
        <color indexed="8"/>
      </top>
      <bottom/>
      <diagonal/>
    </border>
    <border>
      <left style="thin">
        <color indexed="22"/>
      </left>
      <right style="thin">
        <color indexed="22"/>
      </right>
      <top style="thick">
        <color theme="0"/>
      </top>
      <bottom/>
      <diagonal/>
    </border>
    <border>
      <left/>
      <right/>
      <top style="thin">
        <color indexed="22"/>
      </top>
      <bottom style="thin">
        <color indexed="22"/>
      </bottom>
      <diagonal/>
    </border>
    <border>
      <left style="thin">
        <color indexed="64"/>
      </left>
      <right style="thin">
        <color theme="0"/>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right style="thin">
        <color indexed="64"/>
      </right>
      <top style="thin">
        <color indexed="64"/>
      </top>
      <bottom style="medium">
        <color indexed="64"/>
      </bottom>
      <diagonal/>
    </border>
    <border>
      <left style="thin">
        <color theme="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20">
    <xf numFmtId="0" fontId="0"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22" fillId="0" borderId="0"/>
    <xf numFmtId="167" fontId="22" fillId="0" borderId="0" applyBorder="0" applyProtection="0"/>
    <xf numFmtId="166" fontId="22" fillId="0" borderId="0" applyBorder="0" applyProtection="0"/>
    <xf numFmtId="9" fontId="22" fillId="0" borderId="0" applyBorder="0" applyProtection="0"/>
    <xf numFmtId="0" fontId="23" fillId="0" borderId="0" applyNumberFormat="0" applyFill="0" applyBorder="0" applyAlignment="0" applyProtection="0"/>
    <xf numFmtId="0" fontId="26" fillId="0" borderId="0"/>
    <xf numFmtId="43" fontId="7" fillId="0" borderId="0" applyFont="0" applyFill="0" applyBorder="0" applyAlignment="0" applyProtection="0"/>
    <xf numFmtId="0" fontId="29" fillId="0" borderId="0" applyNumberFormat="0" applyFill="0" applyBorder="0" applyAlignment="0" applyProtection="0"/>
    <xf numFmtId="43" fontId="7" fillId="0" borderId="0" applyFont="0" applyFill="0" applyBorder="0" applyAlignment="0" applyProtection="0"/>
    <xf numFmtId="0" fontId="32" fillId="0" borderId="0"/>
    <xf numFmtId="44" fontId="7" fillId="0" borderId="0" applyFont="0" applyFill="0" applyBorder="0" applyAlignment="0" applyProtection="0"/>
    <xf numFmtId="9" fontId="7" fillId="0" borderId="0" applyFont="0" applyFill="0" applyBorder="0" applyAlignment="0" applyProtection="0"/>
    <xf numFmtId="43" fontId="36" fillId="0" borderId="0" applyFont="0" applyFill="0" applyBorder="0" applyAlignment="0" applyProtection="0"/>
    <xf numFmtId="9" fontId="36" fillId="0" borderId="0" applyFont="0" applyFill="0" applyBorder="0" applyAlignment="0" applyProtection="0"/>
  </cellStyleXfs>
  <cellXfs count="398">
    <xf numFmtId="0" fontId="0" fillId="0" borderId="0" xfId="0"/>
    <xf numFmtId="0" fontId="3" fillId="0" borderId="0" xfId="0" applyFont="1"/>
    <xf numFmtId="0" fontId="3" fillId="0" borderId="0" xfId="0" applyFont="1" applyFill="1"/>
    <xf numFmtId="0" fontId="0" fillId="0" borderId="0" xfId="0"/>
    <xf numFmtId="0" fontId="0" fillId="0" borderId="0" xfId="0" applyBorder="1"/>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3" fillId="0" borderId="0" xfId="0" applyFont="1" applyProtection="1">
      <protection locked="0"/>
    </xf>
    <xf numFmtId="0" fontId="3" fillId="0" borderId="0" xfId="0" applyFont="1" applyBorder="1" applyProtection="1">
      <protection locked="0"/>
    </xf>
    <xf numFmtId="14" fontId="3" fillId="0" borderId="0" xfId="0" applyNumberFormat="1" applyFont="1" applyBorder="1" applyProtection="1">
      <protection locked="0"/>
    </xf>
    <xf numFmtId="0" fontId="0" fillId="0" borderId="1" xfId="0" applyBorder="1"/>
    <xf numFmtId="0" fontId="0" fillId="0" borderId="1" xfId="0" applyFill="1" applyBorder="1"/>
    <xf numFmtId="0" fontId="3" fillId="0" borderId="0" xfId="0" applyFont="1" applyBorder="1"/>
    <xf numFmtId="49" fontId="3" fillId="0" borderId="0" xfId="0" applyNumberFormat="1" applyFont="1" applyProtection="1">
      <protection locked="0"/>
    </xf>
    <xf numFmtId="0" fontId="3" fillId="0" borderId="0" xfId="0" applyFont="1" applyAlignment="1" applyProtection="1">
      <alignment horizontal="left"/>
      <protection locked="0"/>
    </xf>
    <xf numFmtId="49" fontId="3" fillId="0" borderId="0" xfId="0" applyNumberFormat="1" applyFont="1" applyAlignment="1" applyProtection="1">
      <alignment horizontal="left"/>
      <protection locked="0"/>
    </xf>
    <xf numFmtId="0" fontId="0" fillId="4" borderId="1" xfId="0" applyFill="1" applyBorder="1"/>
    <xf numFmtId="0" fontId="3" fillId="0" borderId="0" xfId="0" applyFont="1" applyAlignment="1" applyProtection="1">
      <alignment horizontal="center"/>
      <protection locked="0"/>
    </xf>
    <xf numFmtId="0" fontId="9" fillId="0" borderId="0" xfId="0" applyFont="1" applyAlignment="1">
      <alignment horizontal="left" vertical="center"/>
    </xf>
    <xf numFmtId="0" fontId="9" fillId="0" borderId="0" xfId="0" applyFont="1" applyAlignment="1">
      <alignment vertical="center" wrapText="1"/>
    </xf>
    <xf numFmtId="0" fontId="0" fillId="0" borderId="0" xfId="0" applyFill="1"/>
    <xf numFmtId="0" fontId="3" fillId="13" borderId="13" xfId="0" applyFont="1" applyFill="1" applyBorder="1" applyProtection="1">
      <protection locked="0"/>
    </xf>
    <xf numFmtId="0" fontId="3" fillId="13" borderId="3" xfId="0" applyFont="1" applyFill="1" applyBorder="1" applyProtection="1">
      <protection locked="0"/>
    </xf>
    <xf numFmtId="0" fontId="0" fillId="13" borderId="3" xfId="0" applyFill="1" applyBorder="1"/>
    <xf numFmtId="0" fontId="0" fillId="13" borderId="16" xfId="0" applyFill="1" applyBorder="1"/>
    <xf numFmtId="0" fontId="3" fillId="13" borderId="15" xfId="0" applyFont="1" applyFill="1" applyBorder="1" applyProtection="1">
      <protection locked="0"/>
    </xf>
    <xf numFmtId="0" fontId="0" fillId="13" borderId="0" xfId="0" applyFont="1" applyFill="1" applyBorder="1" applyAlignment="1" applyProtection="1">
      <alignment horizontal="right"/>
      <protection locked="0"/>
    </xf>
    <xf numFmtId="0" fontId="3" fillId="13" borderId="0" xfId="0" applyFont="1" applyFill="1" applyBorder="1" applyProtection="1">
      <protection locked="0"/>
    </xf>
    <xf numFmtId="0" fontId="0" fillId="13" borderId="0" xfId="0" applyFill="1" applyBorder="1"/>
    <xf numFmtId="0" fontId="0" fillId="13" borderId="17" xfId="0" applyFill="1" applyBorder="1"/>
    <xf numFmtId="0" fontId="3" fillId="13" borderId="18" xfId="0" applyFont="1" applyFill="1" applyBorder="1" applyProtection="1">
      <protection locked="0"/>
    </xf>
    <xf numFmtId="0" fontId="0" fillId="13" borderId="19" xfId="0" applyFont="1" applyFill="1" applyBorder="1" applyAlignment="1" applyProtection="1">
      <alignment horizontal="right"/>
      <protection locked="0"/>
    </xf>
    <xf numFmtId="0" fontId="3" fillId="13" borderId="19" xfId="0" applyFont="1" applyFill="1" applyBorder="1" applyProtection="1">
      <protection locked="0"/>
    </xf>
    <xf numFmtId="0" fontId="0" fillId="13" borderId="19" xfId="0" applyFill="1" applyBorder="1"/>
    <xf numFmtId="0" fontId="0" fillId="13" borderId="20" xfId="0" applyFill="1" applyBorder="1"/>
    <xf numFmtId="0" fontId="13" fillId="13" borderId="3" xfId="0" applyFont="1" applyFill="1" applyBorder="1" applyAlignment="1" applyProtection="1">
      <alignment horizontal="right"/>
      <protection locked="0"/>
    </xf>
    <xf numFmtId="0" fontId="5" fillId="0" borderId="0" xfId="0" applyFont="1" applyFill="1" applyBorder="1" applyAlignment="1">
      <alignment horizontal="center" vertical="center" wrapText="1"/>
    </xf>
    <xf numFmtId="0" fontId="11" fillId="15" borderId="1" xfId="0" applyFont="1" applyFill="1" applyBorder="1" applyAlignment="1">
      <alignment vertical="center" wrapText="1"/>
    </xf>
    <xf numFmtId="0" fontId="17" fillId="0" borderId="1" xfId="0" applyFont="1" applyFill="1" applyBorder="1" applyAlignment="1">
      <alignment vertical="center" wrapText="1"/>
    </xf>
    <xf numFmtId="0" fontId="17" fillId="0" borderId="1" xfId="0" applyFont="1" applyFill="1" applyBorder="1" applyAlignment="1">
      <alignment wrapText="1"/>
    </xf>
    <xf numFmtId="0" fontId="0" fillId="0" borderId="1" xfId="0" applyFill="1" applyBorder="1" applyAlignment="1">
      <alignment wrapText="1"/>
    </xf>
    <xf numFmtId="0" fontId="17" fillId="0" borderId="1" xfId="0" applyFont="1" applyFill="1" applyBorder="1"/>
    <xf numFmtId="0" fontId="0" fillId="0" borderId="1" xfId="0" applyFill="1" applyBorder="1" applyAlignment="1">
      <alignment vertical="center" wrapText="1"/>
    </xf>
    <xf numFmtId="0" fontId="0" fillId="0" borderId="1" xfId="0" applyFill="1" applyBorder="1" applyAlignment="1">
      <alignment vertical="center"/>
    </xf>
    <xf numFmtId="0" fontId="9" fillId="0" borderId="1" xfId="0" applyFont="1" applyFill="1" applyBorder="1" applyAlignment="1">
      <alignment horizontal="left" vertical="center"/>
    </xf>
    <xf numFmtId="0" fontId="9" fillId="0" borderId="1" xfId="0" applyFont="1" applyFill="1" applyBorder="1" applyAlignment="1">
      <alignment vertical="center" wrapText="1"/>
    </xf>
    <xf numFmtId="0" fontId="9" fillId="15" borderId="1" xfId="0" applyFont="1" applyFill="1" applyBorder="1" applyAlignment="1">
      <alignment horizontal="left" vertical="center"/>
    </xf>
    <xf numFmtId="0" fontId="9" fillId="15" borderId="1" xfId="0" applyFont="1" applyFill="1" applyBorder="1" applyAlignment="1">
      <alignment vertical="center" wrapText="1"/>
    </xf>
    <xf numFmtId="0" fontId="9" fillId="16" borderId="1" xfId="0" applyFont="1" applyFill="1" applyBorder="1" applyAlignment="1">
      <alignment horizontal="left" vertical="center"/>
    </xf>
    <xf numFmtId="0" fontId="9" fillId="16" borderId="1" xfId="0" applyFont="1" applyFill="1" applyBorder="1" applyAlignment="1">
      <alignment vertical="center" wrapText="1"/>
    </xf>
    <xf numFmtId="0" fontId="9" fillId="16" borderId="1" xfId="0" applyFont="1" applyFill="1" applyBorder="1" applyAlignment="1">
      <alignment vertical="top" wrapText="1"/>
    </xf>
    <xf numFmtId="0" fontId="11" fillId="15" borderId="1" xfId="0" applyFont="1" applyFill="1" applyBorder="1" applyAlignment="1">
      <alignment horizontal="left" vertical="center"/>
    </xf>
    <xf numFmtId="0" fontId="11" fillId="16" borderId="1" xfId="0" applyFont="1" applyFill="1" applyBorder="1" applyAlignment="1">
      <alignment horizontal="left" vertical="center"/>
    </xf>
    <xf numFmtId="0" fontId="11" fillId="16" borderId="1" xfId="0" applyFont="1" applyFill="1" applyBorder="1" applyAlignment="1">
      <alignment vertical="center" wrapText="1"/>
    </xf>
    <xf numFmtId="0" fontId="11" fillId="0" borderId="1" xfId="0" applyFont="1" applyFill="1" applyBorder="1" applyAlignment="1">
      <alignment horizontal="left" vertical="center"/>
    </xf>
    <xf numFmtId="0" fontId="11"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11" fillId="14" borderId="1" xfId="0" applyFont="1" applyFill="1" applyBorder="1" applyAlignment="1">
      <alignment horizontal="left" vertical="center"/>
    </xf>
    <xf numFmtId="0" fontId="11" fillId="14" borderId="1" xfId="0" applyFont="1" applyFill="1" applyBorder="1" applyAlignment="1">
      <alignment vertical="center" wrapText="1"/>
    </xf>
    <xf numFmtId="0" fontId="9" fillId="14" borderId="1" xfId="0" applyFont="1" applyFill="1" applyBorder="1" applyAlignment="1">
      <alignment vertical="center" wrapText="1"/>
    </xf>
    <xf numFmtId="0" fontId="11" fillId="18" borderId="1" xfId="0" applyFont="1" applyFill="1" applyBorder="1" applyAlignment="1">
      <alignment horizontal="left" vertical="center"/>
    </xf>
    <xf numFmtId="0" fontId="11" fillId="18" borderId="1" xfId="0" applyFont="1" applyFill="1" applyBorder="1" applyAlignment="1">
      <alignment vertical="center" wrapText="1"/>
    </xf>
    <xf numFmtId="0" fontId="11" fillId="12" borderId="1" xfId="0" applyFont="1" applyFill="1" applyBorder="1" applyAlignment="1">
      <alignment horizontal="left" vertical="center"/>
    </xf>
    <xf numFmtId="0" fontId="11" fillId="12" borderId="1" xfId="0" applyFont="1" applyFill="1" applyBorder="1" applyAlignment="1">
      <alignment vertical="center" wrapText="1"/>
    </xf>
    <xf numFmtId="0" fontId="9" fillId="12" borderId="1" xfId="0" applyFont="1" applyFill="1" applyBorder="1" applyAlignment="1">
      <alignment vertical="center" wrapText="1"/>
    </xf>
    <xf numFmtId="0" fontId="11" fillId="17" borderId="1" xfId="0" applyFont="1" applyFill="1" applyBorder="1" applyAlignment="1">
      <alignment horizontal="left" vertical="center"/>
    </xf>
    <xf numFmtId="0" fontId="11" fillId="17" borderId="1" xfId="0" applyFont="1" applyFill="1" applyBorder="1" applyAlignment="1">
      <alignment vertical="center" wrapText="1"/>
    </xf>
    <xf numFmtId="0" fontId="9" fillId="17" borderId="1" xfId="0" applyFont="1" applyFill="1" applyBorder="1" applyAlignment="1">
      <alignment vertical="center" wrapText="1"/>
    </xf>
    <xf numFmtId="0" fontId="9" fillId="17" borderId="1" xfId="0" applyFont="1" applyFill="1" applyBorder="1" applyAlignment="1">
      <alignment horizontal="left" vertical="center"/>
    </xf>
    <xf numFmtId="0" fontId="9" fillId="18" borderId="1" xfId="0" applyFont="1" applyFill="1" applyBorder="1" applyAlignment="1">
      <alignment vertical="center" wrapText="1"/>
    </xf>
    <xf numFmtId="0" fontId="9" fillId="14" borderId="1" xfId="0" applyFont="1" applyFill="1" applyBorder="1" applyAlignment="1">
      <alignment horizontal="left" vertical="center"/>
    </xf>
    <xf numFmtId="0" fontId="11" fillId="4" borderId="1" xfId="0" applyFont="1" applyFill="1" applyBorder="1" applyAlignment="1">
      <alignment vertical="center" wrapText="1"/>
    </xf>
    <xf numFmtId="0" fontId="9" fillId="4" borderId="1" xfId="0" applyFont="1" applyFill="1" applyBorder="1" applyAlignment="1">
      <alignment vertical="center" wrapText="1"/>
    </xf>
    <xf numFmtId="0" fontId="9" fillId="0" borderId="1" xfId="0" applyFont="1" applyFill="1" applyBorder="1" applyAlignment="1">
      <alignment vertical="top" wrapText="1"/>
    </xf>
    <xf numFmtId="0" fontId="9" fillId="0" borderId="1" xfId="0" quotePrefix="1" applyFont="1" applyFill="1" applyBorder="1" applyAlignment="1">
      <alignment horizontal="left" vertical="center"/>
    </xf>
    <xf numFmtId="0" fontId="9" fillId="4" borderId="1" xfId="0" applyFont="1" applyFill="1" applyBorder="1" applyAlignment="1">
      <alignment horizontal="left" vertical="center"/>
    </xf>
    <xf numFmtId="0" fontId="15" fillId="19" borderId="1" xfId="0" applyFont="1" applyFill="1" applyBorder="1" applyAlignment="1">
      <alignment horizontal="left" vertical="center"/>
    </xf>
    <xf numFmtId="0" fontId="15" fillId="19" borderId="1" xfId="0" applyFont="1" applyFill="1" applyBorder="1" applyAlignment="1">
      <alignment vertical="center" wrapText="1"/>
    </xf>
    <xf numFmtId="0" fontId="16" fillId="19" borderId="1" xfId="0" applyFont="1" applyFill="1" applyBorder="1" applyAlignment="1">
      <alignment horizontal="center"/>
    </xf>
    <xf numFmtId="0" fontId="3" fillId="3" borderId="12" xfId="0" applyFont="1" applyFill="1" applyBorder="1"/>
    <xf numFmtId="0" fontId="18" fillId="16" borderId="12" xfId="0" applyFont="1" applyFill="1" applyBorder="1" applyAlignment="1">
      <alignment horizontal="right" vertical="center" wrapText="1"/>
    </xf>
    <xf numFmtId="0" fontId="3" fillId="0" borderId="0" xfId="0" applyFont="1" applyFill="1" applyBorder="1" applyProtection="1">
      <protection locked="0"/>
    </xf>
    <xf numFmtId="0" fontId="5" fillId="7" borderId="4" xfId="0" applyFont="1" applyFill="1" applyBorder="1" applyAlignment="1">
      <alignment horizontal="center" vertical="center" wrapText="1"/>
    </xf>
    <xf numFmtId="0" fontId="4" fillId="0" borderId="0" xfId="0" applyFont="1" applyBorder="1" applyProtection="1">
      <protection locked="0"/>
    </xf>
    <xf numFmtId="0" fontId="4" fillId="0" borderId="0" xfId="0" applyFont="1"/>
    <xf numFmtId="168" fontId="0" fillId="0" borderId="0" xfId="0" applyNumberFormat="1"/>
    <xf numFmtId="0" fontId="6" fillId="0" borderId="0" xfId="0" applyFont="1"/>
    <xf numFmtId="0" fontId="30" fillId="0" borderId="0" xfId="0" applyFont="1"/>
    <xf numFmtId="0" fontId="30" fillId="0" borderId="0" xfId="0" applyFont="1" applyAlignment="1">
      <alignment horizontal="left" indent="3"/>
    </xf>
    <xf numFmtId="0" fontId="30" fillId="0" borderId="0" xfId="0" applyFont="1" applyAlignment="1">
      <alignment horizontal="right"/>
    </xf>
    <xf numFmtId="0" fontId="30" fillId="3" borderId="1" xfId="0" applyFont="1" applyFill="1" applyBorder="1"/>
    <xf numFmtId="0" fontId="30" fillId="0" borderId="0" xfId="0" applyFont="1" applyFill="1"/>
    <xf numFmtId="0" fontId="31" fillId="20" borderId="40" xfId="0" applyFont="1" applyFill="1" applyBorder="1"/>
    <xf numFmtId="0" fontId="31" fillId="20" borderId="41" xfId="0" applyFont="1" applyFill="1" applyBorder="1"/>
    <xf numFmtId="0" fontId="32" fillId="6" borderId="42" xfId="15" applyNumberFormat="1" applyFont="1" applyFill="1" applyBorder="1" applyAlignment="1">
      <alignment wrapText="1"/>
    </xf>
    <xf numFmtId="0" fontId="30" fillId="6" borderId="39" xfId="0" applyFont="1" applyFill="1" applyBorder="1"/>
    <xf numFmtId="0" fontId="32" fillId="8" borderId="42" xfId="15" applyNumberFormat="1" applyFont="1" applyFill="1" applyBorder="1" applyAlignment="1">
      <alignment wrapText="1"/>
    </xf>
    <xf numFmtId="0" fontId="30" fillId="8" borderId="39" xfId="0" applyFont="1" applyFill="1" applyBorder="1"/>
    <xf numFmtId="0" fontId="31" fillId="20" borderId="44" xfId="0" applyFont="1" applyFill="1" applyBorder="1"/>
    <xf numFmtId="0" fontId="32" fillId="6" borderId="45" xfId="15" applyNumberFormat="1" applyFont="1" applyFill="1" applyBorder="1" applyAlignment="1">
      <alignment wrapText="1"/>
    </xf>
    <xf numFmtId="0" fontId="32" fillId="8" borderId="43" xfId="15" applyNumberFormat="1" applyFont="1" applyFill="1" applyBorder="1" applyAlignment="1">
      <alignment wrapText="1"/>
    </xf>
    <xf numFmtId="0" fontId="32" fillId="6" borderId="43" xfId="15" applyNumberFormat="1" applyFont="1" applyFill="1" applyBorder="1" applyAlignment="1">
      <alignment wrapText="1"/>
    </xf>
    <xf numFmtId="0" fontId="30" fillId="8" borderId="46" xfId="0" applyFont="1" applyFill="1" applyBorder="1"/>
    <xf numFmtId="0" fontId="32" fillId="6" borderId="42" xfId="15" applyFill="1" applyBorder="1" applyAlignment="1">
      <alignment wrapText="1"/>
    </xf>
    <xf numFmtId="0" fontId="32" fillId="8" borderId="42" xfId="15" applyFill="1" applyBorder="1" applyAlignment="1">
      <alignment wrapText="1"/>
    </xf>
    <xf numFmtId="0" fontId="5" fillId="2" borderId="4" xfId="0" applyFont="1" applyFill="1" applyBorder="1" applyAlignment="1" applyProtection="1">
      <alignment horizontal="center" vertical="center" wrapText="1"/>
    </xf>
    <xf numFmtId="0" fontId="5" fillId="2" borderId="5" xfId="0" applyFont="1" applyFill="1" applyBorder="1" applyAlignment="1" applyProtection="1">
      <alignment horizontal="center" vertical="center" wrapText="1"/>
    </xf>
    <xf numFmtId="0" fontId="3" fillId="0" borderId="0" xfId="0" applyFont="1" applyAlignment="1" applyProtection="1">
      <alignment wrapText="1"/>
      <protection locked="0"/>
    </xf>
    <xf numFmtId="49" fontId="3" fillId="0" borderId="0" xfId="0" applyNumberFormat="1" applyFont="1" applyAlignment="1" applyProtection="1">
      <alignment wrapText="1"/>
      <protection locked="0"/>
    </xf>
    <xf numFmtId="0" fontId="0" fillId="0" borderId="0" xfId="0" applyAlignment="1">
      <alignment wrapText="1"/>
    </xf>
    <xf numFmtId="0" fontId="3" fillId="13" borderId="3" xfId="0" applyFont="1" applyFill="1" applyBorder="1" applyAlignment="1" applyProtection="1">
      <alignment wrapText="1"/>
      <protection locked="0"/>
    </xf>
    <xf numFmtId="0" fontId="3" fillId="13" borderId="0" xfId="0" applyFont="1" applyFill="1" applyBorder="1" applyAlignment="1" applyProtection="1">
      <alignment wrapText="1"/>
      <protection locked="0"/>
    </xf>
    <xf numFmtId="0" fontId="3" fillId="13" borderId="19" xfId="0" applyFont="1" applyFill="1" applyBorder="1" applyAlignment="1" applyProtection="1">
      <alignment wrapText="1"/>
      <protection locked="0"/>
    </xf>
    <xf numFmtId="0" fontId="4" fillId="0" borderId="0" xfId="0" applyFont="1" applyAlignment="1" applyProtection="1">
      <alignment wrapText="1"/>
      <protection locked="0"/>
    </xf>
    <xf numFmtId="0" fontId="3" fillId="0" borderId="0" xfId="0" applyFont="1" applyBorder="1" applyAlignment="1" applyProtection="1">
      <alignment wrapText="1"/>
      <protection locked="0"/>
    </xf>
    <xf numFmtId="0" fontId="3" fillId="3" borderId="7" xfId="0" applyFont="1" applyFill="1" applyBorder="1" applyAlignment="1" applyProtection="1">
      <alignment wrapText="1"/>
      <protection locked="0"/>
    </xf>
    <xf numFmtId="0" fontId="3" fillId="0" borderId="8" xfId="0" applyFont="1" applyBorder="1" applyAlignment="1" applyProtection="1">
      <alignment wrapText="1"/>
      <protection locked="0"/>
    </xf>
    <xf numFmtId="0" fontId="3" fillId="6" borderId="14" xfId="0" applyFont="1" applyFill="1" applyBorder="1" applyAlignment="1">
      <alignment wrapText="1"/>
    </xf>
    <xf numFmtId="14" fontId="3" fillId="6" borderId="9" xfId="0" applyNumberFormat="1" applyFont="1" applyFill="1" applyBorder="1" applyAlignment="1">
      <alignment wrapText="1"/>
    </xf>
    <xf numFmtId="14" fontId="3" fillId="6" borderId="1" xfId="0" applyNumberFormat="1" applyFont="1" applyFill="1" applyBorder="1" applyAlignment="1">
      <alignment wrapText="1"/>
    </xf>
    <xf numFmtId="0" fontId="3" fillId="3" borderId="1" xfId="0" applyFont="1" applyFill="1" applyBorder="1" applyAlignment="1">
      <alignment wrapText="1"/>
    </xf>
    <xf numFmtId="0" fontId="3" fillId="8" borderId="14" xfId="0" applyFont="1" applyFill="1" applyBorder="1" applyAlignment="1">
      <alignment wrapText="1"/>
    </xf>
    <xf numFmtId="14" fontId="3" fillId="8" borderId="9" xfId="0" applyNumberFormat="1" applyFont="1" applyFill="1" applyBorder="1" applyAlignment="1">
      <alignment wrapText="1"/>
    </xf>
    <xf numFmtId="14" fontId="3" fillId="8" borderId="1" xfId="0" applyNumberFormat="1" applyFont="1" applyFill="1" applyBorder="1" applyAlignment="1">
      <alignment wrapText="1"/>
    </xf>
    <xf numFmtId="0" fontId="3" fillId="6" borderId="1" xfId="0" applyFont="1" applyFill="1" applyBorder="1" applyAlignment="1">
      <alignment wrapText="1"/>
    </xf>
    <xf numFmtId="0" fontId="3" fillId="8" borderId="1" xfId="0" applyFont="1" applyFill="1" applyBorder="1" applyAlignment="1">
      <alignment wrapText="1"/>
    </xf>
    <xf numFmtId="0" fontId="3" fillId="0" borderId="9" xfId="0" applyFont="1" applyBorder="1" applyAlignment="1" applyProtection="1">
      <alignment wrapText="1"/>
      <protection locked="0"/>
    </xf>
    <xf numFmtId="14" fontId="3" fillId="0" borderId="1" xfId="0" applyNumberFormat="1" applyFont="1" applyBorder="1" applyAlignment="1" applyProtection="1">
      <alignment wrapText="1"/>
      <protection locked="0"/>
    </xf>
    <xf numFmtId="14" fontId="3" fillId="0" borderId="2" xfId="0" applyNumberFormat="1" applyFont="1" applyBorder="1" applyAlignment="1" applyProtection="1">
      <alignment wrapText="1"/>
      <protection locked="0"/>
    </xf>
    <xf numFmtId="0" fontId="3" fillId="0" borderId="4" xfId="0" applyFont="1" applyBorder="1" applyAlignment="1" applyProtection="1">
      <alignment wrapText="1"/>
      <protection locked="0"/>
    </xf>
    <xf numFmtId="0" fontId="3" fillId="0" borderId="1" xfId="0" applyFont="1" applyBorder="1" applyAlignment="1" applyProtection="1">
      <alignment wrapText="1"/>
      <protection locked="0"/>
    </xf>
    <xf numFmtId="0" fontId="3" fillId="0" borderId="2" xfId="0" applyFont="1" applyBorder="1" applyAlignment="1" applyProtection="1">
      <alignment wrapText="1"/>
      <protection locked="0"/>
    </xf>
    <xf numFmtId="49" fontId="3" fillId="0" borderId="0" xfId="0" applyNumberFormat="1" applyFont="1" applyAlignment="1" applyProtection="1">
      <alignment horizontal="left" wrapText="1"/>
      <protection locked="0"/>
    </xf>
    <xf numFmtId="0" fontId="3" fillId="0" borderId="7" xfId="0" applyFont="1" applyBorder="1" applyAlignment="1" applyProtection="1">
      <alignment wrapText="1"/>
      <protection locked="0"/>
    </xf>
    <xf numFmtId="0" fontId="3" fillId="0" borderId="10" xfId="0" applyFont="1" applyBorder="1" applyAlignment="1" applyProtection="1">
      <alignment wrapText="1"/>
      <protection locked="0"/>
    </xf>
    <xf numFmtId="0" fontId="5" fillId="2" borderId="6" xfId="0" applyFont="1" applyFill="1" applyBorder="1" applyAlignment="1" applyProtection="1">
      <alignment horizontal="center" vertical="center" wrapText="1"/>
    </xf>
    <xf numFmtId="49" fontId="5" fillId="2" borderId="4" xfId="0" applyNumberFormat="1" applyFont="1" applyFill="1" applyBorder="1" applyAlignment="1" applyProtection="1">
      <alignment horizontal="center" vertical="center" wrapText="1"/>
    </xf>
    <xf numFmtId="0" fontId="33" fillId="11" borderId="21" xfId="0" applyFont="1" applyFill="1" applyBorder="1" applyAlignment="1">
      <alignment horizontal="center" vertical="center"/>
    </xf>
    <xf numFmtId="0" fontId="33" fillId="11" borderId="21" xfId="0" applyFont="1" applyFill="1" applyBorder="1" applyAlignment="1">
      <alignment horizontal="center" vertical="center" wrapText="1"/>
    </xf>
    <xf numFmtId="0" fontId="33" fillId="11" borderId="23" xfId="0" applyFont="1" applyFill="1" applyBorder="1" applyAlignment="1">
      <alignment horizontal="center" vertical="center" wrapText="1"/>
    </xf>
    <xf numFmtId="0" fontId="33" fillId="11" borderId="24" xfId="0" applyFont="1" applyFill="1" applyBorder="1" applyAlignment="1">
      <alignment textRotation="45" wrapText="1"/>
    </xf>
    <xf numFmtId="0" fontId="33" fillId="11" borderId="22" xfId="0" applyFont="1" applyFill="1" applyBorder="1" applyAlignment="1">
      <alignment textRotation="45" wrapText="1"/>
    </xf>
    <xf numFmtId="0" fontId="16" fillId="0" borderId="0" xfId="0" applyFont="1" applyAlignment="1">
      <alignment textRotation="45"/>
    </xf>
    <xf numFmtId="0" fontId="16" fillId="0" borderId="0" xfId="0" applyFont="1"/>
    <xf numFmtId="0" fontId="13" fillId="13" borderId="13" xfId="0" applyFont="1" applyFill="1" applyBorder="1" applyAlignment="1" applyProtection="1">
      <alignment horizontal="right" wrapText="1"/>
      <protection locked="0"/>
    </xf>
    <xf numFmtId="0" fontId="0" fillId="13" borderId="15" xfId="0" applyFont="1" applyFill="1" applyBorder="1" applyAlignment="1" applyProtection="1">
      <alignment horizontal="right" wrapText="1"/>
      <protection locked="0"/>
    </xf>
    <xf numFmtId="0" fontId="0" fillId="13" borderId="18" xfId="0" applyFont="1" applyFill="1" applyBorder="1" applyAlignment="1" applyProtection="1">
      <alignment horizontal="right" wrapText="1"/>
      <protection locked="0"/>
    </xf>
    <xf numFmtId="49" fontId="5" fillId="2" borderId="34" xfId="0" applyNumberFormat="1"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3" fillId="6" borderId="32" xfId="0" applyFont="1" applyFill="1" applyBorder="1" applyAlignment="1">
      <alignment wrapText="1"/>
    </xf>
    <xf numFmtId="0" fontId="3" fillId="8" borderId="32" xfId="0" applyFont="1" applyFill="1" applyBorder="1" applyAlignment="1">
      <alignment wrapText="1"/>
    </xf>
    <xf numFmtId="0" fontId="3" fillId="6" borderId="49" xfId="0" applyFont="1" applyFill="1" applyBorder="1" applyAlignment="1">
      <alignment wrapText="1"/>
    </xf>
    <xf numFmtId="0" fontId="3" fillId="6" borderId="50" xfId="0" applyFont="1" applyFill="1" applyBorder="1" applyAlignment="1">
      <alignment wrapText="1"/>
    </xf>
    <xf numFmtId="0" fontId="3" fillId="6" borderId="26" xfId="0" applyFont="1" applyFill="1" applyBorder="1" applyAlignment="1">
      <alignment wrapText="1"/>
    </xf>
    <xf numFmtId="0" fontId="3" fillId="3" borderId="26" xfId="0" applyFont="1" applyFill="1" applyBorder="1" applyAlignment="1">
      <alignment wrapText="1"/>
    </xf>
    <xf numFmtId="49" fontId="5" fillId="2" borderId="34" xfId="0" applyNumberFormat="1" applyFont="1" applyFill="1" applyBorder="1" applyAlignment="1">
      <alignment horizontal="center" wrapText="1"/>
    </xf>
    <xf numFmtId="0" fontId="5" fillId="2" borderId="25" xfId="0" applyFont="1" applyFill="1" applyBorder="1" applyAlignment="1">
      <alignment horizontal="center" wrapText="1"/>
    </xf>
    <xf numFmtId="14" fontId="3" fillId="6" borderId="30" xfId="0" applyNumberFormat="1" applyFont="1" applyFill="1" applyBorder="1" applyAlignment="1">
      <alignment wrapText="1"/>
    </xf>
    <xf numFmtId="14" fontId="3" fillId="8" borderId="30" xfId="0" applyNumberFormat="1" applyFont="1" applyFill="1" applyBorder="1" applyAlignment="1">
      <alignment wrapText="1"/>
    </xf>
    <xf numFmtId="0" fontId="3" fillId="6" borderId="30" xfId="0" applyFont="1" applyFill="1" applyBorder="1" applyAlignment="1">
      <alignment wrapText="1"/>
    </xf>
    <xf numFmtId="0" fontId="3" fillId="8" borderId="30" xfId="0" applyFont="1" applyFill="1" applyBorder="1" applyAlignment="1">
      <alignment wrapText="1"/>
    </xf>
    <xf numFmtId="0" fontId="3" fillId="6" borderId="37" xfId="0" applyFont="1" applyFill="1" applyBorder="1" applyAlignment="1">
      <alignment wrapText="1"/>
    </xf>
    <xf numFmtId="0" fontId="3" fillId="0" borderId="31" xfId="0" applyFont="1" applyBorder="1" applyAlignment="1" applyProtection="1">
      <alignment wrapText="1"/>
      <protection locked="0"/>
    </xf>
    <xf numFmtId="0" fontId="3" fillId="0" borderId="26" xfId="0" applyFont="1" applyBorder="1" applyAlignment="1" applyProtection="1">
      <alignment wrapText="1"/>
      <protection locked="0"/>
    </xf>
    <xf numFmtId="0" fontId="3" fillId="0" borderId="38" xfId="0" applyFont="1" applyBorder="1" applyAlignment="1" applyProtection="1">
      <alignment wrapText="1"/>
      <protection locked="0"/>
    </xf>
    <xf numFmtId="14" fontId="3" fillId="0" borderId="7" xfId="0" applyNumberFormat="1" applyFont="1" applyBorder="1" applyAlignment="1" applyProtection="1">
      <alignment wrapText="1"/>
      <protection locked="0"/>
    </xf>
    <xf numFmtId="0" fontId="5" fillId="2" borderId="34" xfId="0" applyFont="1" applyFill="1" applyBorder="1" applyAlignment="1">
      <alignment horizontal="center" wrapText="1"/>
    </xf>
    <xf numFmtId="0" fontId="3" fillId="0" borderId="1" xfId="0" applyFont="1" applyBorder="1" applyAlignment="1">
      <alignment wrapText="1"/>
    </xf>
    <xf numFmtId="0" fontId="3" fillId="0" borderId="2" xfId="0" applyFont="1" applyBorder="1" applyAlignment="1">
      <alignment wrapText="1"/>
    </xf>
    <xf numFmtId="0" fontId="3" fillId="0" borderId="7" xfId="0" applyFont="1" applyBorder="1" applyAlignment="1">
      <alignment wrapText="1"/>
    </xf>
    <xf numFmtId="0" fontId="3" fillId="3" borderId="7" xfId="0" applyFont="1" applyFill="1" applyBorder="1" applyAlignment="1">
      <alignment wrapText="1"/>
    </xf>
    <xf numFmtId="0" fontId="3" fillId="0" borderId="8" xfId="0" applyFont="1" applyBorder="1" applyAlignment="1">
      <alignment wrapText="1"/>
    </xf>
    <xf numFmtId="0" fontId="16" fillId="0" borderId="0" xfId="0" applyFont="1" applyFill="1"/>
    <xf numFmtId="0" fontId="16" fillId="0" borderId="0" xfId="0" applyFont="1" applyFill="1" applyAlignment="1">
      <alignment textRotation="45"/>
    </xf>
    <xf numFmtId="0" fontId="3" fillId="0" borderId="1" xfId="0" applyFont="1" applyBorder="1"/>
    <xf numFmtId="0" fontId="3" fillId="3" borderId="1" xfId="0" applyFont="1" applyFill="1" applyBorder="1"/>
    <xf numFmtId="164" fontId="3" fillId="0" borderId="1" xfId="0" applyNumberFormat="1" applyFont="1" applyBorder="1"/>
    <xf numFmtId="0" fontId="3" fillId="0" borderId="2" xfId="0" applyFont="1" applyBorder="1"/>
    <xf numFmtId="0" fontId="3" fillId="0" borderId="1" xfId="0" applyFont="1" applyFill="1" applyBorder="1"/>
    <xf numFmtId="0" fontId="3" fillId="0" borderId="7" xfId="0" applyFont="1" applyBorder="1"/>
    <xf numFmtId="0" fontId="3" fillId="3" borderId="7" xfId="0" applyFont="1" applyFill="1" applyBorder="1"/>
    <xf numFmtId="164" fontId="3" fillId="0" borderId="7" xfId="0" applyNumberFormat="1" applyFont="1" applyBorder="1"/>
    <xf numFmtId="0" fontId="3" fillId="0" borderId="7" xfId="0" applyFont="1" applyFill="1" applyBorder="1"/>
    <xf numFmtId="0" fontId="3" fillId="0" borderId="8" xfId="0" applyFont="1" applyBorder="1"/>
    <xf numFmtId="0" fontId="19" fillId="0" borderId="0" xfId="0" applyFont="1" applyFill="1" applyAlignment="1">
      <alignment horizontal="center"/>
    </xf>
    <xf numFmtId="0" fontId="3" fillId="6" borderId="30" xfId="0" applyFont="1" applyFill="1" applyBorder="1"/>
    <xf numFmtId="0" fontId="3" fillId="6" borderId="1" xfId="0" applyFont="1" applyFill="1" applyBorder="1"/>
    <xf numFmtId="0" fontId="3" fillId="8" borderId="30" xfId="0" applyFont="1" applyFill="1" applyBorder="1"/>
    <xf numFmtId="0" fontId="3" fillId="8" borderId="1" xfId="0" applyFont="1" applyFill="1" applyBorder="1"/>
    <xf numFmtId="0" fontId="3" fillId="6" borderId="31" xfId="0" applyFont="1" applyFill="1" applyBorder="1"/>
    <xf numFmtId="0" fontId="3" fillId="8" borderId="31" xfId="0" applyFont="1" applyFill="1" applyBorder="1"/>
    <xf numFmtId="14" fontId="0" fillId="0" borderId="1" xfId="0" applyNumberFormat="1" applyBorder="1" applyAlignment="1">
      <alignment horizontal="left"/>
    </xf>
    <xf numFmtId="0" fontId="3" fillId="0" borderId="1" xfId="0" applyFont="1" applyBorder="1" applyAlignment="1">
      <alignment horizontal="left"/>
    </xf>
    <xf numFmtId="0" fontId="22" fillId="0" borderId="1" xfId="6" applyBorder="1" applyAlignment="1">
      <alignment horizontal="left" wrapText="1"/>
    </xf>
    <xf numFmtId="0" fontId="3" fillId="3" borderId="1" xfId="0" applyFont="1" applyFill="1" applyBorder="1" applyAlignment="1">
      <alignment horizontal="left"/>
    </xf>
    <xf numFmtId="165" fontId="0" fillId="0" borderId="1" xfId="0" applyNumberFormat="1" applyBorder="1" applyAlignment="1">
      <alignment horizontal="left"/>
    </xf>
    <xf numFmtId="14" fontId="0" fillId="0" borderId="1" xfId="0" applyNumberFormat="1" applyFill="1" applyBorder="1" applyAlignment="1">
      <alignment horizontal="left"/>
    </xf>
    <xf numFmtId="0" fontId="0" fillId="0" borderId="1" xfId="0" applyFill="1" applyBorder="1" applyAlignment="1">
      <alignment horizontal="left"/>
    </xf>
    <xf numFmtId="0" fontId="0" fillId="0" borderId="2" xfId="0" applyFill="1" applyBorder="1" applyAlignment="1">
      <alignment horizontal="left" wrapText="1"/>
    </xf>
    <xf numFmtId="14" fontId="0" fillId="0" borderId="1" xfId="0" applyNumberFormat="1" applyBorder="1"/>
    <xf numFmtId="0" fontId="0" fillId="0" borderId="2" xfId="0" applyFill="1" applyBorder="1"/>
    <xf numFmtId="14" fontId="0" fillId="0" borderId="7" xfId="0" applyNumberFormat="1" applyBorder="1"/>
    <xf numFmtId="0" fontId="0" fillId="0" borderId="7" xfId="0" applyBorder="1"/>
    <xf numFmtId="0" fontId="0" fillId="0" borderId="7" xfId="0" applyFill="1" applyBorder="1"/>
    <xf numFmtId="0" fontId="0" fillId="0" borderId="8" xfId="0" applyFill="1" applyBorder="1"/>
    <xf numFmtId="0" fontId="0" fillId="0" borderId="8" xfId="0" applyBorder="1"/>
    <xf numFmtId="0" fontId="0" fillId="3" borderId="1" xfId="0" applyFill="1" applyBorder="1"/>
    <xf numFmtId="0" fontId="0" fillId="0" borderId="2" xfId="0" applyBorder="1"/>
    <xf numFmtId="0" fontId="0" fillId="3" borderId="7" xfId="0" applyFill="1" applyBorder="1"/>
    <xf numFmtId="14" fontId="0" fillId="0" borderId="1" xfId="0" applyNumberFormat="1" applyBorder="1" applyAlignment="1">
      <alignment wrapText="1"/>
    </xf>
    <xf numFmtId="0" fontId="0" fillId="8" borderId="1" xfId="0" applyFont="1" applyFill="1" applyBorder="1"/>
    <xf numFmtId="0" fontId="0" fillId="6" borderId="1" xfId="0" applyFont="1" applyFill="1" applyBorder="1"/>
    <xf numFmtId="0" fontId="5" fillId="2" borderId="34" xfId="0" applyFont="1" applyFill="1" applyBorder="1" applyAlignment="1">
      <alignment horizontal="center" vertical="center" wrapText="1"/>
    </xf>
    <xf numFmtId="0" fontId="0" fillId="8" borderId="31" xfId="0" applyFont="1" applyFill="1" applyBorder="1"/>
    <xf numFmtId="0" fontId="0" fillId="6" borderId="31" xfId="0" applyFont="1" applyFill="1" applyBorder="1"/>
    <xf numFmtId="0" fontId="0" fillId="8" borderId="26" xfId="0" applyFont="1" applyFill="1" applyBorder="1"/>
    <xf numFmtId="0" fontId="0" fillId="8" borderId="38" xfId="0" applyFont="1" applyFill="1" applyBorder="1"/>
    <xf numFmtId="0" fontId="0" fillId="6" borderId="1" xfId="0" applyFont="1" applyFill="1" applyBorder="1" applyAlignment="1">
      <alignment horizontal="center"/>
    </xf>
    <xf numFmtId="14" fontId="0" fillId="6" borderId="1" xfId="0" applyNumberFormat="1" applyFont="1" applyFill="1" applyBorder="1"/>
    <xf numFmtId="0" fontId="0" fillId="8" borderId="1" xfId="0" applyFont="1" applyFill="1" applyBorder="1" applyAlignment="1">
      <alignment horizontal="center"/>
    </xf>
    <xf numFmtId="14" fontId="0" fillId="8" borderId="1" xfId="0" applyNumberFormat="1" applyFont="1" applyFill="1" applyBorder="1"/>
    <xf numFmtId="0" fontId="5" fillId="2" borderId="35" xfId="0" applyFont="1" applyFill="1" applyBorder="1" applyAlignment="1">
      <alignment horizontal="center" vertical="center" wrapText="1"/>
    </xf>
    <xf numFmtId="0" fontId="0" fillId="8" borderId="26" xfId="0" applyFont="1" applyFill="1" applyBorder="1" applyAlignment="1">
      <alignment horizontal="center"/>
    </xf>
    <xf numFmtId="0" fontId="3" fillId="3" borderId="26" xfId="0" applyFont="1" applyFill="1" applyBorder="1"/>
    <xf numFmtId="14" fontId="0" fillId="8" borderId="26" xfId="0" applyNumberFormat="1" applyFont="1" applyFill="1" applyBorder="1"/>
    <xf numFmtId="0" fontId="0" fillId="3" borderId="1" xfId="0" applyFont="1" applyFill="1" applyBorder="1"/>
    <xf numFmtId="14" fontId="0" fillId="22" borderId="1" xfId="0" applyNumberFormat="1" applyFont="1" applyFill="1" applyBorder="1"/>
    <xf numFmtId="0" fontId="0" fillId="21" borderId="1" xfId="0" applyFont="1" applyFill="1" applyBorder="1"/>
    <xf numFmtId="14" fontId="0" fillId="21" borderId="1" xfId="0" applyNumberFormat="1" applyFont="1" applyFill="1" applyBorder="1"/>
    <xf numFmtId="0" fontId="5" fillId="7" borderId="25" xfId="0" applyFont="1" applyFill="1" applyBorder="1" applyAlignment="1">
      <alignment horizontal="center" vertical="center" wrapText="1"/>
    </xf>
    <xf numFmtId="0" fontId="0" fillId="21" borderId="26" xfId="0" applyFont="1" applyFill="1" applyBorder="1"/>
    <xf numFmtId="14" fontId="0" fillId="21" borderId="26" xfId="0" applyNumberFormat="1" applyFont="1" applyFill="1" applyBorder="1"/>
    <xf numFmtId="0" fontId="3" fillId="18" borderId="1" xfId="0" applyFont="1" applyFill="1" applyBorder="1"/>
    <xf numFmtId="0" fontId="3" fillId="18" borderId="7" xfId="0" applyFont="1" applyFill="1" applyBorder="1"/>
    <xf numFmtId="0" fontId="3" fillId="18" borderId="9" xfId="0" applyNumberFormat="1" applyFont="1" applyFill="1" applyBorder="1" applyAlignment="1">
      <alignment horizontal="left"/>
    </xf>
    <xf numFmtId="0" fontId="0" fillId="18" borderId="1" xfId="0" applyNumberFormat="1" applyFill="1" applyBorder="1" applyAlignment="1">
      <alignment horizontal="right"/>
    </xf>
    <xf numFmtId="0" fontId="0" fillId="18" borderId="1" xfId="0" applyNumberFormat="1" applyFill="1" applyBorder="1"/>
    <xf numFmtId="0" fontId="3" fillId="18" borderId="10" xfId="0" applyNumberFormat="1" applyFont="1" applyFill="1" applyBorder="1" applyAlignment="1">
      <alignment horizontal="left"/>
    </xf>
    <xf numFmtId="0" fontId="0" fillId="18" borderId="7" xfId="0" applyNumberFormat="1" applyFill="1" applyBorder="1"/>
    <xf numFmtId="0" fontId="3" fillId="18" borderId="9" xfId="0" applyFont="1" applyFill="1" applyBorder="1" applyAlignment="1">
      <alignment horizontal="left" indent="3"/>
    </xf>
    <xf numFmtId="0" fontId="0" fillId="18" borderId="1" xfId="0" applyFill="1" applyBorder="1"/>
    <xf numFmtId="0" fontId="3" fillId="18" borderId="10" xfId="0" applyFont="1" applyFill="1" applyBorder="1" applyAlignment="1">
      <alignment horizontal="left" indent="3"/>
    </xf>
    <xf numFmtId="0" fontId="0" fillId="18" borderId="7" xfId="0" applyFill="1" applyBorder="1"/>
    <xf numFmtId="0" fontId="0" fillId="24" borderId="30" xfId="0" applyFont="1" applyFill="1" applyBorder="1"/>
    <xf numFmtId="0" fontId="0" fillId="23" borderId="30" xfId="0" applyFont="1" applyFill="1" applyBorder="1"/>
    <xf numFmtId="0" fontId="0" fillId="24" borderId="37" xfId="0" applyFont="1" applyFill="1" applyBorder="1"/>
    <xf numFmtId="0" fontId="3" fillId="23" borderId="1" xfId="0" applyFont="1" applyFill="1" applyBorder="1"/>
    <xf numFmtId="0" fontId="3" fillId="23" borderId="1" xfId="0" applyNumberFormat="1" applyFont="1" applyFill="1" applyBorder="1"/>
    <xf numFmtId="0" fontId="0" fillId="24" borderId="1" xfId="0" applyFont="1" applyFill="1" applyBorder="1"/>
    <xf numFmtId="0" fontId="0" fillId="23" borderId="1" xfId="0" applyFont="1" applyFill="1" applyBorder="1"/>
    <xf numFmtId="0" fontId="0" fillId="24" borderId="26" xfId="0" applyFont="1" applyFill="1" applyBorder="1"/>
    <xf numFmtId="0" fontId="3" fillId="23" borderId="30" xfId="0" applyFont="1" applyFill="1" applyBorder="1" applyAlignment="1">
      <alignment horizontal="left" indent="3"/>
    </xf>
    <xf numFmtId="0" fontId="3" fillId="24" borderId="30" xfId="0" applyFont="1" applyFill="1" applyBorder="1" applyAlignment="1">
      <alignment horizontal="left" indent="3"/>
    </xf>
    <xf numFmtId="0" fontId="3" fillId="24" borderId="37" xfId="0" applyFont="1" applyFill="1" applyBorder="1" applyAlignment="1">
      <alignment horizontal="left" indent="3"/>
    </xf>
    <xf numFmtId="0" fontId="4" fillId="0" borderId="0" xfId="0" applyFont="1" applyProtection="1">
      <protection locked="0"/>
    </xf>
    <xf numFmtId="0" fontId="5" fillId="4" borderId="0" xfId="0" applyFont="1" applyFill="1" applyAlignment="1">
      <alignment horizontal="center" vertical="center"/>
    </xf>
    <xf numFmtId="0" fontId="10" fillId="18" borderId="9" xfId="0" applyFont="1" applyFill="1" applyBorder="1" applyAlignment="1">
      <alignment horizontal="left" wrapText="1"/>
    </xf>
    <xf numFmtId="0" fontId="10" fillId="18" borderId="10" xfId="0" applyFont="1" applyFill="1" applyBorder="1" applyAlignment="1">
      <alignment horizontal="left" wrapText="1"/>
    </xf>
    <xf numFmtId="0" fontId="3" fillId="18" borderId="9" xfId="0" applyFont="1" applyFill="1" applyBorder="1"/>
    <xf numFmtId="0" fontId="3" fillId="18" borderId="10" xfId="0" applyFont="1" applyFill="1" applyBorder="1"/>
    <xf numFmtId="0" fontId="32" fillId="0" borderId="42" xfId="15" applyBorder="1" applyAlignment="1">
      <alignment wrapText="1"/>
    </xf>
    <xf numFmtId="0" fontId="32" fillId="0" borderId="43" xfId="15" applyBorder="1" applyAlignment="1">
      <alignment wrapText="1"/>
    </xf>
    <xf numFmtId="0" fontId="5" fillId="2" borderId="0" xfId="0" applyFont="1" applyFill="1" applyAlignment="1">
      <alignment horizontal="center" vertical="center" wrapText="1"/>
    </xf>
    <xf numFmtId="0" fontId="3" fillId="6" borderId="10" xfId="0" applyFont="1" applyFill="1" applyBorder="1"/>
    <xf numFmtId="0" fontId="3" fillId="3" borderId="8" xfId="0" applyFont="1" applyFill="1" applyBorder="1" applyProtection="1">
      <protection locked="0"/>
    </xf>
    <xf numFmtId="0" fontId="3" fillId="3" borderId="30" xfId="0" applyFont="1" applyFill="1" applyBorder="1"/>
    <xf numFmtId="0" fontId="3" fillId="3" borderId="37" xfId="0" applyFont="1" applyFill="1" applyBorder="1"/>
    <xf numFmtId="0" fontId="3" fillId="8" borderId="26" xfId="0" applyFont="1" applyFill="1" applyBorder="1"/>
    <xf numFmtId="0" fontId="3" fillId="8" borderId="38" xfId="0" applyFont="1" applyFill="1" applyBorder="1"/>
    <xf numFmtId="0" fontId="3" fillId="18" borderId="1" xfId="0" applyFont="1" applyFill="1" applyBorder="1" applyAlignment="1">
      <alignment wrapText="1"/>
    </xf>
    <xf numFmtId="0" fontId="3" fillId="18" borderId="7" xfId="0" applyFont="1" applyFill="1" applyBorder="1" applyAlignment="1">
      <alignment wrapText="1"/>
    </xf>
    <xf numFmtId="0" fontId="0" fillId="13" borderId="0" xfId="0" applyFill="1" applyAlignment="1" applyProtection="1">
      <alignment horizontal="right"/>
      <protection locked="0"/>
    </xf>
    <xf numFmtId="0" fontId="3" fillId="13" borderId="0" xfId="0" applyFont="1" applyFill="1" applyProtection="1">
      <protection locked="0"/>
    </xf>
    <xf numFmtId="0" fontId="0" fillId="13" borderId="0" xfId="0" applyFill="1"/>
    <xf numFmtId="0" fontId="0" fillId="13" borderId="19" xfId="0" applyFill="1" applyBorder="1" applyAlignment="1" applyProtection="1">
      <alignment horizontal="right"/>
      <protection locked="0"/>
    </xf>
    <xf numFmtId="0" fontId="3" fillId="0" borderId="27" xfId="0" applyFont="1" applyBorder="1" applyAlignment="1" applyProtection="1">
      <alignment horizontal="left"/>
      <protection locked="0"/>
    </xf>
    <xf numFmtId="14" fontId="0" fillId="0" borderId="0" xfId="0" applyNumberFormat="1"/>
    <xf numFmtId="0" fontId="5" fillId="6" borderId="2" xfId="0" applyFont="1" applyFill="1" applyBorder="1" applyAlignment="1">
      <alignment horizontal="center" wrapText="1"/>
    </xf>
    <xf numFmtId="0" fontId="3" fillId="0" borderId="1" xfId="0" applyFont="1" applyBorder="1" applyAlignment="1">
      <alignment horizontal="left" indent="2"/>
    </xf>
    <xf numFmtId="0" fontId="0" fillId="8" borderId="2" xfId="0" applyFill="1" applyBorder="1"/>
    <xf numFmtId="0" fontId="0" fillId="6" borderId="2" xfId="0" applyFill="1" applyBorder="1"/>
    <xf numFmtId="0" fontId="3" fillId="0" borderId="1" xfId="0" applyFont="1" applyBorder="1" applyAlignment="1">
      <alignment horizontal="left" indent="1"/>
    </xf>
    <xf numFmtId="0" fontId="3" fillId="0" borderId="7" xfId="0" applyFont="1" applyBorder="1" applyAlignment="1">
      <alignment horizontal="left" indent="2"/>
    </xf>
    <xf numFmtId="0" fontId="0" fillId="6" borderId="8" xfId="0" applyFill="1" applyBorder="1"/>
    <xf numFmtId="0" fontId="3" fillId="0" borderId="54" xfId="0" applyFont="1" applyBorder="1" applyProtection="1">
      <protection locked="0"/>
    </xf>
    <xf numFmtId="168" fontId="5" fillId="14" borderId="1" xfId="18" applyNumberFormat="1" applyFont="1" applyFill="1" applyBorder="1" applyAlignment="1">
      <alignment horizontal="center" wrapText="1"/>
    </xf>
    <xf numFmtId="168" fontId="0" fillId="14" borderId="1" xfId="18" applyNumberFormat="1" applyFont="1" applyFill="1" applyBorder="1"/>
    <xf numFmtId="168" fontId="0" fillId="14" borderId="7" xfId="18" applyNumberFormat="1" applyFont="1" applyFill="1" applyBorder="1"/>
    <xf numFmtId="168" fontId="5" fillId="14" borderId="7" xfId="18" applyNumberFormat="1" applyFont="1" applyFill="1" applyBorder="1" applyAlignment="1">
      <alignment horizontal="center" wrapText="1"/>
    </xf>
    <xf numFmtId="0" fontId="0" fillId="18" borderId="9" xfId="0" applyFill="1" applyBorder="1"/>
    <xf numFmtId="0" fontId="0" fillId="18" borderId="10" xfId="0" applyFill="1" applyBorder="1"/>
    <xf numFmtId="0" fontId="3" fillId="18" borderId="1" xfId="0" applyNumberFormat="1" applyFont="1" applyFill="1" applyBorder="1"/>
    <xf numFmtId="0" fontId="27" fillId="17" borderId="17" xfId="2" applyFont="1" applyFill="1" applyBorder="1"/>
    <xf numFmtId="0" fontId="27" fillId="17" borderId="19" xfId="2" applyFont="1" applyFill="1" applyBorder="1"/>
    <xf numFmtId="0" fontId="27" fillId="17" borderId="20" xfId="2" applyFont="1" applyFill="1" applyBorder="1"/>
    <xf numFmtId="0" fontId="27" fillId="0" borderId="0" xfId="0" applyFont="1"/>
    <xf numFmtId="1" fontId="27" fillId="0" borderId="0" xfId="0" applyNumberFormat="1" applyFont="1"/>
    <xf numFmtId="0" fontId="27" fillId="17" borderId="0" xfId="2" applyFont="1" applyFill="1" applyBorder="1"/>
    <xf numFmtId="168" fontId="27" fillId="18" borderId="1" xfId="18" applyNumberFormat="1" applyFont="1" applyFill="1" applyBorder="1" applyAlignment="1">
      <alignment horizontal="center" vertical="center"/>
    </xf>
    <xf numFmtId="0" fontId="28" fillId="17" borderId="28" xfId="0" applyFont="1" applyFill="1" applyBorder="1"/>
    <xf numFmtId="0" fontId="28" fillId="17" borderId="29" xfId="0" applyFont="1" applyFill="1" applyBorder="1"/>
    <xf numFmtId="168" fontId="28" fillId="17" borderId="29" xfId="18" applyNumberFormat="1" applyFont="1" applyFill="1" applyBorder="1"/>
    <xf numFmtId="168" fontId="28" fillId="17" borderId="33" xfId="18" applyNumberFormat="1" applyFont="1" applyFill="1" applyBorder="1"/>
    <xf numFmtId="0" fontId="11" fillId="0" borderId="4" xfId="2" applyFont="1" applyBorder="1" applyAlignment="1">
      <alignment horizontal="center" vertical="center"/>
    </xf>
    <xf numFmtId="0" fontId="3" fillId="13" borderId="16" xfId="0" applyFont="1" applyFill="1" applyBorder="1" applyProtection="1">
      <protection locked="0"/>
    </xf>
    <xf numFmtId="0" fontId="3" fillId="13" borderId="17" xfId="0" applyFont="1" applyFill="1" applyBorder="1" applyProtection="1">
      <protection locked="0"/>
    </xf>
    <xf numFmtId="0" fontId="3" fillId="13" borderId="20" xfId="0" applyFont="1" applyFill="1" applyBorder="1" applyProtection="1">
      <protection locked="0"/>
    </xf>
    <xf numFmtId="0" fontId="5" fillId="2" borderId="25" xfId="0" applyFont="1" applyFill="1" applyBorder="1" applyAlignment="1" applyProtection="1">
      <alignment horizontal="center" wrapText="1"/>
    </xf>
    <xf numFmtId="0" fontId="5" fillId="2" borderId="35" xfId="0" applyFont="1" applyFill="1" applyBorder="1" applyAlignment="1" applyProtection="1">
      <alignment horizontal="center" wrapText="1"/>
    </xf>
    <xf numFmtId="0" fontId="9" fillId="15" borderId="1" xfId="0" applyFont="1" applyFill="1" applyBorder="1" applyAlignment="1">
      <alignment horizontal="left" vertical="center" wrapText="1"/>
    </xf>
    <xf numFmtId="0" fontId="5" fillId="2" borderId="53" xfId="0" applyFont="1" applyFill="1" applyBorder="1" applyAlignment="1">
      <alignment horizontal="center" vertical="center" wrapText="1"/>
    </xf>
    <xf numFmtId="0" fontId="5" fillId="2" borderId="52" xfId="0" applyFont="1" applyFill="1" applyBorder="1" applyAlignment="1">
      <alignment horizontal="center" vertical="center" wrapText="1"/>
    </xf>
    <xf numFmtId="0" fontId="0" fillId="0" borderId="0" xfId="0" applyAlignment="1">
      <alignment vertical="center" wrapText="1"/>
    </xf>
    <xf numFmtId="0" fontId="3" fillId="0" borderId="0" xfId="0" applyFont="1" applyAlignment="1" applyProtection="1">
      <alignment vertical="center" wrapText="1"/>
      <protection locked="0"/>
    </xf>
    <xf numFmtId="0" fontId="3" fillId="0" borderId="0" xfId="0" applyFont="1" applyAlignment="1">
      <alignment wrapText="1"/>
    </xf>
    <xf numFmtId="0" fontId="3" fillId="0" borderId="0" xfId="0" applyFont="1" applyAlignment="1">
      <alignment vertical="center" wrapText="1"/>
    </xf>
    <xf numFmtId="0" fontId="27" fillId="0" borderId="0" xfId="0" applyFont="1" applyAlignment="1">
      <alignment wrapText="1"/>
    </xf>
    <xf numFmtId="0" fontId="0" fillId="6" borderId="1" xfId="0" applyNumberFormat="1" applyFont="1" applyFill="1" applyBorder="1"/>
    <xf numFmtId="0" fontId="0" fillId="8" borderId="1" xfId="0" applyNumberFormat="1" applyFont="1" applyFill="1" applyBorder="1"/>
    <xf numFmtId="0" fontId="0" fillId="8" borderId="26" xfId="0" applyNumberFormat="1" applyFont="1" applyFill="1" applyBorder="1"/>
    <xf numFmtId="0" fontId="0" fillId="6" borderId="31" xfId="0" applyNumberFormat="1" applyFont="1" applyFill="1" applyBorder="1"/>
    <xf numFmtId="0" fontId="0" fillId="8" borderId="31" xfId="0" applyNumberFormat="1" applyFont="1" applyFill="1" applyBorder="1"/>
    <xf numFmtId="0" fontId="0" fillId="8" borderId="38" xfId="0" applyNumberFormat="1" applyFont="1" applyFill="1" applyBorder="1"/>
    <xf numFmtId="169" fontId="3" fillId="6" borderId="1" xfId="0" applyNumberFormat="1" applyFont="1" applyFill="1" applyBorder="1"/>
    <xf numFmtId="169" fontId="3" fillId="8" borderId="1" xfId="0" applyNumberFormat="1" applyFont="1" applyFill="1" applyBorder="1"/>
    <xf numFmtId="14" fontId="3" fillId="6" borderId="51" xfId="0" applyNumberFormat="1" applyFont="1" applyFill="1" applyBorder="1" applyAlignment="1">
      <alignment wrapText="1"/>
    </xf>
    <xf numFmtId="14" fontId="3" fillId="6" borderId="26" xfId="0" applyNumberFormat="1" applyFont="1" applyFill="1" applyBorder="1" applyAlignment="1">
      <alignment wrapText="1"/>
    </xf>
    <xf numFmtId="14" fontId="3" fillId="0" borderId="1" xfId="0" applyNumberFormat="1" applyFont="1" applyBorder="1" applyAlignment="1">
      <alignment wrapText="1"/>
    </xf>
    <xf numFmtId="14" fontId="3" fillId="0" borderId="7" xfId="0" applyNumberFormat="1" applyFont="1" applyBorder="1" applyAlignment="1">
      <alignment wrapText="1"/>
    </xf>
    <xf numFmtId="14" fontId="3" fillId="0" borderId="1" xfId="0" applyNumberFormat="1" applyFont="1" applyBorder="1"/>
    <xf numFmtId="14" fontId="3" fillId="0" borderId="7" xfId="0" applyNumberFormat="1" applyFont="1" applyBorder="1"/>
    <xf numFmtId="14" fontId="0" fillId="0" borderId="1" xfId="0" applyNumberFormat="1" applyFill="1" applyBorder="1"/>
    <xf numFmtId="14" fontId="3" fillId="6" borderId="1" xfId="0" applyNumberFormat="1" applyFont="1" applyFill="1" applyBorder="1"/>
    <xf numFmtId="0" fontId="3" fillId="18" borderId="1" xfId="0" applyFont="1" applyFill="1" applyBorder="1" applyAlignment="1"/>
    <xf numFmtId="0" fontId="3" fillId="18" borderId="7" xfId="0" applyFont="1" applyFill="1" applyBorder="1" applyAlignment="1"/>
    <xf numFmtId="9" fontId="37" fillId="0" borderId="1" xfId="19" applyFont="1" applyFill="1" applyBorder="1" applyAlignment="1">
      <alignment horizontal="center" wrapText="1"/>
    </xf>
    <xf numFmtId="9" fontId="37" fillId="0" borderId="1" xfId="19" applyFont="1" applyBorder="1" applyAlignment="1">
      <alignment horizontal="center" wrapText="1"/>
    </xf>
    <xf numFmtId="9" fontId="38" fillId="0" borderId="1" xfId="19" applyFont="1" applyBorder="1"/>
    <xf numFmtId="9" fontId="38" fillId="0" borderId="7" xfId="19" applyFont="1" applyBorder="1"/>
    <xf numFmtId="9" fontId="5" fillId="0" borderId="1" xfId="19" applyFont="1" applyBorder="1" applyAlignment="1">
      <alignment horizontal="center" wrapText="1"/>
    </xf>
    <xf numFmtId="9" fontId="0" fillId="0" borderId="1" xfId="19" applyFont="1" applyBorder="1"/>
    <xf numFmtId="9" fontId="0" fillId="0" borderId="7" xfId="19" applyFont="1" applyBorder="1"/>
    <xf numFmtId="9" fontId="38" fillId="18" borderId="1" xfId="19" applyFont="1" applyFill="1" applyBorder="1" applyAlignment="1">
      <alignment horizontal="right" wrapText="1"/>
    </xf>
    <xf numFmtId="9" fontId="38" fillId="18" borderId="1" xfId="19" applyFont="1" applyFill="1" applyBorder="1"/>
    <xf numFmtId="9" fontId="38" fillId="18" borderId="7" xfId="19" applyFont="1" applyFill="1" applyBorder="1"/>
    <xf numFmtId="0" fontId="9" fillId="0" borderId="0" xfId="0" applyFont="1"/>
    <xf numFmtId="9" fontId="3" fillId="0" borderId="7" xfId="19" applyFont="1" applyBorder="1" applyAlignment="1" applyProtection="1">
      <alignment wrapText="1"/>
      <protection locked="0"/>
    </xf>
    <xf numFmtId="9" fontId="3" fillId="6" borderId="31" xfId="19" applyFont="1" applyFill="1" applyBorder="1"/>
    <xf numFmtId="9" fontId="0" fillId="8" borderId="31" xfId="19" applyFont="1" applyFill="1" applyBorder="1"/>
    <xf numFmtId="9" fontId="0" fillId="6" borderId="31" xfId="19" applyFont="1" applyFill="1" applyBorder="1"/>
    <xf numFmtId="9" fontId="0" fillId="8" borderId="38" xfId="19" applyFont="1" applyFill="1" applyBorder="1"/>
    <xf numFmtId="0" fontId="0" fillId="0" borderId="1" xfId="0" applyNumberFormat="1" applyBorder="1"/>
    <xf numFmtId="0" fontId="0" fillId="0" borderId="7" xfId="0" applyNumberFormat="1" applyBorder="1"/>
    <xf numFmtId="0" fontId="19" fillId="5" borderId="0" xfId="0" applyFont="1" applyFill="1" applyAlignment="1">
      <alignment horizont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2" fillId="2" borderId="33" xfId="0" applyFont="1" applyFill="1" applyBorder="1" applyAlignment="1">
      <alignment horizontal="center" vertical="center"/>
    </xf>
    <xf numFmtId="0" fontId="5" fillId="2" borderId="27" xfId="0" applyFont="1" applyFill="1" applyBorder="1" applyAlignment="1">
      <alignment horizontal="center" wrapText="1"/>
    </xf>
    <xf numFmtId="0" fontId="5" fillId="2" borderId="0" xfId="0" applyFont="1" applyFill="1" applyAlignment="1">
      <alignment horizontal="center" wrapText="1"/>
    </xf>
    <xf numFmtId="0" fontId="3" fillId="6" borderId="2" xfId="0" applyFont="1" applyFill="1" applyBorder="1" applyAlignment="1">
      <alignment horizontal="center"/>
    </xf>
    <xf numFmtId="0" fontId="3" fillId="6" borderId="9" xfId="0" applyFont="1" applyFill="1" applyBorder="1" applyAlignment="1">
      <alignment horizontal="center"/>
    </xf>
    <xf numFmtId="0" fontId="3" fillId="8" borderId="2" xfId="0" applyFont="1" applyFill="1" applyBorder="1" applyAlignment="1">
      <alignment horizontal="center"/>
    </xf>
    <xf numFmtId="0" fontId="3" fillId="8" borderId="9" xfId="0" applyFont="1" applyFill="1" applyBorder="1" applyAlignment="1">
      <alignment horizontal="center"/>
    </xf>
    <xf numFmtId="0" fontId="19" fillId="5" borderId="0" xfId="0" applyFont="1" applyFill="1" applyAlignment="1">
      <alignment horizontal="center" wrapText="1"/>
    </xf>
    <xf numFmtId="0" fontId="3" fillId="6" borderId="26" xfId="0" applyFont="1" applyFill="1" applyBorder="1" applyAlignment="1">
      <alignment horizontal="center" wrapText="1"/>
    </xf>
    <xf numFmtId="0" fontId="3" fillId="6" borderId="38" xfId="0" applyFont="1" applyFill="1" applyBorder="1" applyAlignment="1">
      <alignment horizontal="center" wrapText="1"/>
    </xf>
    <xf numFmtId="14" fontId="3" fillId="8" borderId="1" xfId="0" applyNumberFormat="1" applyFont="1" applyFill="1" applyBorder="1" applyAlignment="1">
      <alignment horizontal="center" wrapText="1"/>
    </xf>
    <xf numFmtId="14" fontId="3" fillId="8" borderId="31" xfId="0" applyNumberFormat="1" applyFont="1" applyFill="1" applyBorder="1" applyAlignment="1">
      <alignment horizontal="center" wrapText="1"/>
    </xf>
    <xf numFmtId="0" fontId="3" fillId="6" borderId="1" xfId="0" applyFont="1" applyFill="1" applyBorder="1" applyAlignment="1">
      <alignment horizontal="center" wrapText="1"/>
    </xf>
    <xf numFmtId="0" fontId="3" fillId="6" borderId="31" xfId="0" applyFont="1" applyFill="1" applyBorder="1" applyAlignment="1">
      <alignment horizontal="center" wrapText="1"/>
    </xf>
    <xf numFmtId="0" fontId="5" fillId="2" borderId="25" xfId="0" applyFont="1" applyFill="1" applyBorder="1" applyAlignment="1" applyProtection="1">
      <alignment horizontal="center" wrapText="1"/>
    </xf>
    <xf numFmtId="0" fontId="5" fillId="2" borderId="35" xfId="0" applyFont="1" applyFill="1" applyBorder="1" applyAlignment="1" applyProtection="1">
      <alignment horizontal="center" wrapText="1"/>
    </xf>
    <xf numFmtId="14" fontId="3" fillId="6" borderId="1" xfId="0" applyNumberFormat="1" applyFont="1" applyFill="1" applyBorder="1" applyAlignment="1">
      <alignment horizontal="center" wrapText="1"/>
    </xf>
    <xf numFmtId="14" fontId="3" fillId="6" borderId="31" xfId="0" applyNumberFormat="1" applyFont="1" applyFill="1" applyBorder="1" applyAlignment="1">
      <alignment horizontal="center" wrapText="1"/>
    </xf>
    <xf numFmtId="0" fontId="3" fillId="8" borderId="1" xfId="0" applyFont="1" applyFill="1" applyBorder="1" applyAlignment="1">
      <alignment horizontal="center" wrapText="1"/>
    </xf>
    <xf numFmtId="0" fontId="3" fillId="8" borderId="31" xfId="0" applyFont="1" applyFill="1" applyBorder="1" applyAlignment="1">
      <alignment horizontal="center" wrapText="1"/>
    </xf>
    <xf numFmtId="0" fontId="5" fillId="2" borderId="48" xfId="0" applyFont="1" applyFill="1" applyBorder="1" applyAlignment="1" applyProtection="1">
      <alignment horizontal="center" vertical="center" wrapText="1"/>
    </xf>
    <xf numFmtId="0" fontId="5" fillId="2" borderId="36" xfId="0" applyFont="1" applyFill="1" applyBorder="1" applyAlignment="1" applyProtection="1">
      <alignment horizontal="center" vertical="center" wrapText="1"/>
    </xf>
    <xf numFmtId="0" fontId="5" fillId="2" borderId="2"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9" xfId="0" applyFont="1" applyFill="1" applyBorder="1" applyAlignment="1">
      <alignment horizontal="center" vertical="center"/>
    </xf>
    <xf numFmtId="0" fontId="3" fillId="0" borderId="0" xfId="0" applyFont="1" applyAlignment="1">
      <alignment horizontal="left" wrapText="1"/>
    </xf>
    <xf numFmtId="0" fontId="5" fillId="2" borderId="28"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27" fillId="17" borderId="55" xfId="2" applyFont="1" applyFill="1" applyBorder="1" applyAlignment="1">
      <alignment horizontal="center" vertical="center"/>
    </xf>
    <xf numFmtId="0" fontId="27" fillId="17" borderId="30" xfId="2" applyFont="1" applyFill="1" applyBorder="1" applyAlignment="1">
      <alignment horizontal="center" vertical="center"/>
    </xf>
    <xf numFmtId="0" fontId="27" fillId="17" borderId="37" xfId="2" applyFont="1" applyFill="1" applyBorder="1" applyAlignment="1">
      <alignment horizontal="center" vertical="center"/>
    </xf>
    <xf numFmtId="0" fontId="27" fillId="17" borderId="4" xfId="2" applyFont="1" applyFill="1" applyBorder="1" applyAlignment="1">
      <alignment vertical="center"/>
    </xf>
    <xf numFmtId="0" fontId="39" fillId="0" borderId="1" xfId="2" applyFont="1" applyBorder="1" applyAlignment="1">
      <alignment vertical="center"/>
    </xf>
    <xf numFmtId="0" fontId="39" fillId="0" borderId="26" xfId="2" applyFont="1" applyBorder="1" applyAlignment="1">
      <alignment vertical="center"/>
    </xf>
    <xf numFmtId="0" fontId="5" fillId="2" borderId="29" xfId="0" applyFont="1" applyFill="1" applyBorder="1" applyAlignment="1">
      <alignment horizontal="center" vertical="center" wrapText="1"/>
    </xf>
    <xf numFmtId="0" fontId="27" fillId="17" borderId="24" xfId="2" applyFont="1" applyFill="1" applyBorder="1" applyAlignment="1">
      <alignment horizontal="center" vertical="center"/>
    </xf>
    <xf numFmtId="0" fontId="27" fillId="17" borderId="56" xfId="2" applyFont="1" applyFill="1" applyBorder="1" applyAlignment="1">
      <alignment horizontal="center" vertical="center"/>
    </xf>
    <xf numFmtId="0" fontId="27" fillId="17" borderId="57" xfId="2" applyFont="1" applyFill="1" applyBorder="1" applyAlignment="1">
      <alignment horizontal="center" vertical="center"/>
    </xf>
    <xf numFmtId="0" fontId="5" fillId="9" borderId="7" xfId="0" applyFont="1" applyFill="1" applyBorder="1" applyAlignment="1">
      <alignment horizontal="center" vertical="center" wrapText="1"/>
    </xf>
    <xf numFmtId="0" fontId="5" fillId="10" borderId="7" xfId="0" applyFont="1" applyFill="1" applyBorder="1" applyAlignment="1">
      <alignment horizontal="center" vertical="center" wrapText="1"/>
    </xf>
  </cellXfs>
  <cellStyles count="20">
    <cellStyle name="Comma" xfId="18" builtinId="3"/>
    <cellStyle name="Comma 2" xfId="7" xr:uid="{00000000-0005-0000-0000-000000000000}"/>
    <cellStyle name="Comma 2 2" xfId="12" xr:uid="{0FC0006C-1076-47E0-B26D-F73AA5E5474E}"/>
    <cellStyle name="Comma 3" xfId="14" xr:uid="{4A9B435B-619B-4E8E-9E57-E4D32389D09D}"/>
    <cellStyle name="Currency 2" xfId="8" xr:uid="{00000000-0005-0000-0000-000001000000}"/>
    <cellStyle name="Currency 2 2" xfId="16" xr:uid="{303F0174-AB0B-454C-886B-116DA9601EAE}"/>
    <cellStyle name="Explanatory Text 2" xfId="9" xr:uid="{00000000-0005-0000-0000-000002000000}"/>
    <cellStyle name="Hyperlink 2" xfId="10" xr:uid="{00000000-0005-0000-0000-000004000000}"/>
    <cellStyle name="Normal" xfId="0" builtinId="0"/>
    <cellStyle name="Normal 10" xfId="4" xr:uid="{00000000-0005-0000-0000-000006000000}"/>
    <cellStyle name="Normal 2" xfId="6" xr:uid="{00000000-0005-0000-0000-000007000000}"/>
    <cellStyle name="Normal 2 2" xfId="2" xr:uid="{00000000-0005-0000-0000-000008000000}"/>
    <cellStyle name="Normal 3" xfId="11" xr:uid="{466069CB-EA8D-4FF1-B729-BBD233E52BC7}"/>
    <cellStyle name="Normal 4 2" xfId="3" xr:uid="{00000000-0005-0000-0000-000009000000}"/>
    <cellStyle name="Normal 5" xfId="1" xr:uid="{00000000-0005-0000-0000-00000A000000}"/>
    <cellStyle name="Normal_PickList Tables" xfId="15" xr:uid="{8CE8F7A4-A400-468E-9E0E-EEB44C49A3B1}"/>
    <cellStyle name="Percent" xfId="19" builtinId="5"/>
    <cellStyle name="Percent 10 10" xfId="5" xr:uid="{00000000-0005-0000-0000-00000B000000}"/>
    <cellStyle name="Percent 2" xfId="17" xr:uid="{BD2EEF33-6E39-4438-9342-C68603F34E46}"/>
    <cellStyle name="Title 2" xfId="13" xr:uid="{7020E9F4-0C7C-4DC3-B4B1-AD083ABCF1DE}"/>
  </cellStyles>
  <dxfs count="182">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bottom" textRotation="0" wrapText="1" relativeIndent="0" justifyLastLine="0" shrinkToFit="0" readingOrder="0"/>
      <border diagonalUp="0" diagonalDown="0" outline="0">
        <left style="thin">
          <color indexed="22"/>
        </left>
        <right style="thin">
          <color indexed="22"/>
        </right>
        <top style="thin">
          <color indexed="22"/>
        </top>
        <bottom style="thin">
          <color indexed="22"/>
        </bottom>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bottom" textRotation="0" wrapText="1" relativeIndent="0" justifyLastLine="0" shrinkToFit="0" readingOrder="0"/>
    </dxf>
    <dxf>
      <border outline="0">
        <bottom style="thick">
          <color theme="0"/>
        </bottom>
      </border>
    </dxf>
    <dxf>
      <font>
        <b/>
        <i val="0"/>
        <strike val="0"/>
        <condense val="0"/>
        <extend val="0"/>
        <outline val="0"/>
        <shadow val="0"/>
        <u val="none"/>
        <vertAlign val="baseline"/>
        <sz val="10"/>
        <color theme="0"/>
        <name val="Arial"/>
        <scheme val="none"/>
      </font>
      <fill>
        <patternFill patternType="solid">
          <fgColor theme="4"/>
          <bgColor theme="4"/>
        </patternFill>
      </fill>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left" vertical="bottom" textRotation="0" wrapText="0" indent="3"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3"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3"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19" formatCode="m/d/yyyy"/>
      <border diagonalUp="0" diagonalDown="0" outline="0">
        <left style="thin">
          <color indexed="64"/>
        </left>
        <right style="thin">
          <color indexed="64"/>
        </right>
        <top style="thin">
          <color indexed="64"/>
        </top>
        <bottom style="thin">
          <color indexed="64"/>
        </bottom>
      </border>
    </dxf>
    <dxf>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alignment horizontal="left" vertical="bottom" textRotation="0" wrapText="0" indent="3"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3"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3"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outline="0">
        <left style="thin">
          <color indexed="64"/>
        </left>
        <right/>
        <top style="thin">
          <color indexed="64"/>
        </top>
        <bottom style="thin">
          <color indexed="64"/>
        </bottom>
      </border>
    </dxf>
    <dxf>
      <numFmt numFmtId="168" formatCode="_(* #,##0_);_(* \(#,##0\);_(* &quot;-&quot;??_);_(@_)"/>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9" tint="0.39997558519241921"/>
        </patternFill>
      </fill>
      <border diagonalUp="0" diagonalDown="0">
        <left style="thin">
          <color indexed="64"/>
        </left>
        <right style="thin">
          <color indexed="64"/>
        </right>
        <top style="thin">
          <color indexed="64"/>
        </top>
        <bottom style="thin">
          <color indexed="64"/>
        </bottom>
      </border>
    </dxf>
    <dxf>
      <numFmt numFmtId="168" formatCode="_(* #,##0_);_(* \(#,##0\);_(* &quot;-&quot;??_);_(@_)"/>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9" tint="0.3999755851924192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8" formatCode="_(* #,##0_);_(* \(#,##0\);_(* &quot;-&quot;??_);_(@_)"/>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3" formatCode="0%"/>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border>
    </dxf>
    <dxf>
      <numFmt numFmtId="168" formatCode="_(* #,##0_);_(* \(#,##0\);_(* &quot;-&quot;??_);_(@_)"/>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bottom" textRotation="0" wrapText="0" indent="2"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bottom" textRotation="0" wrapText="0" indent="2"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left" vertical="bottom" textRotation="0" wrapText="0" indent="2"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left" vertical="bottom" textRotation="0" wrapText="0" indent="2"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rgb="FFFFC000"/>
        </patternFill>
      </fill>
      <alignment horizontal="left" vertical="bottom"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left" vertical="bottom" textRotation="0" wrapText="0" indent="2"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solid">
          <fgColor indexed="64"/>
          <bgColor rgb="FFFFC000"/>
        </patternFill>
      </fill>
      <alignment horizontal="left" vertical="bottom" textRotation="0" wrapText="0" indent="2"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7999816888943144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rgb="FF0080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9" formatCode="m/d/yyyy"/>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numFmt numFmtId="19" formatCode="m/d/yyyy"/>
      <border diagonalUp="0" diagonalDown="0" outline="0">
        <left style="thin">
          <color indexed="64"/>
        </left>
        <right style="thin">
          <color indexed="64"/>
        </right>
        <top style="thin">
          <color indexed="64"/>
        </top>
        <bottom style="thin">
          <color indexed="64"/>
        </bottom>
      </border>
    </dxf>
    <dxf>
      <numFmt numFmtId="19" formatCode="m/d/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sz val="10"/>
      </font>
      <numFmt numFmtId="0" formatCode="General"/>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solid">
          <fgColor indexed="64"/>
          <bgColor theme="9" tint="0.79998168889431442"/>
        </patternFill>
      </fill>
      <alignment horizontal="general" vertical="bottom"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outline="0">
        <left style="thin">
          <color indexed="64"/>
        </left>
        <right style="thin">
          <color indexed="64"/>
        </right>
        <top style="thin">
          <color indexed="64"/>
        </top>
        <bottom style="thin">
          <color indexed="64"/>
        </bottom>
      </border>
    </dxf>
    <dxf>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3"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rgb="FFFFC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none"/>
      </font>
      <fill>
        <patternFill patternType="solid">
          <fgColor indexed="64"/>
          <bgColor rgb="FFFFC000"/>
        </patternFill>
      </fill>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rgb="FFFFC00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rgb="FFFFC00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scheme val="minor"/>
      </font>
      <numFmt numFmtId="0" formatCode="General"/>
      <fill>
        <patternFill patternType="solid">
          <fgColor indexed="64"/>
          <bgColor theme="9" tint="0.7999816888943144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fill>
        <patternFill patternType="solid">
          <fgColor indexed="64"/>
          <bgColor theme="9" tint="0.79998168889431442"/>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Calibri"/>
        <scheme val="none"/>
      </font>
      <alignment textRotation="0" wrapText="1" indent="0" justifyLastLine="0" shrinkToFit="0" readingOrder="0"/>
    </dxf>
    <dxf>
      <border>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top style="thin">
          <color rgb="FF000000"/>
        </top>
      </border>
    </dxf>
    <dxf>
      <border outline="0">
        <left style="medium">
          <color rgb="FF000000"/>
        </left>
        <right style="medium">
          <color rgb="FF000000"/>
        </right>
        <top style="medium">
          <color rgb="FF000000"/>
        </top>
        <bottom style="medium">
          <color rgb="FF000000"/>
        </bottom>
      </border>
    </dxf>
    <dxf>
      <alignment textRotation="0" wrapText="1" indent="0" justifyLastLine="0" shrinkToFit="0" readingOrder="0"/>
      <protection locked="0" hidden="0"/>
    </dxf>
    <dxf>
      <border outline="0">
        <bottom style="thin">
          <color rgb="FF000000"/>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numFmt numFmtId="19" formatCode="m/d/yyyy"/>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numFmt numFmtId="19" formatCode="m/d/yyyy"/>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numFmt numFmtId="19" formatCode="m/d/yyyy"/>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fill>
        <patternFill patternType="solid">
          <fgColor indexed="64"/>
          <bgColor rgb="FFFFC000"/>
        </patternFill>
      </fill>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0"/>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numFmt numFmtId="30" formatCode="@"/>
      <fill>
        <patternFill patternType="solid">
          <fgColor indexed="64"/>
          <bgColor theme="9" tint="0.79998168889431442"/>
        </patternFill>
      </fill>
      <alignment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fill>
        <patternFill patternType="solid">
          <fgColor indexed="64"/>
          <bgColor rgb="FFFFC000"/>
        </patternFill>
      </fill>
      <alignment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textRotation="0" wrapText="1" indent="0" justifyLastLine="0" shrinkToFit="0" readingOrder="0"/>
      <border diagonalUp="0" diagonalDown="0" outline="0">
        <left/>
        <right/>
        <top style="thin">
          <color indexed="64"/>
        </top>
        <bottom style="thin">
          <color indexed="64"/>
        </bottom>
      </border>
      <protection locked="0" hidden="0"/>
    </dxf>
    <dxf>
      <border outline="0">
        <top style="thin">
          <color rgb="FF000000"/>
        </top>
      </border>
    </dxf>
    <dxf>
      <border outline="0">
        <left style="medium">
          <color rgb="FF000000"/>
        </left>
        <right style="medium">
          <color rgb="FF000000"/>
        </right>
        <top style="medium">
          <color rgb="FF000000"/>
        </top>
        <bottom style="medium">
          <color rgb="FF000000"/>
        </bottom>
      </border>
    </dxf>
    <dxf>
      <alignment textRotation="0" wrapText="1" indent="0" justifyLastLine="0" shrinkToFit="0" readingOrder="0"/>
      <protection locked="0" hidden="0"/>
    </dxf>
    <dxf>
      <border outline="0">
        <bottom style="thin">
          <color rgb="FF000000"/>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scheme val="minor"/>
      </fon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0"/>
        <name val="Calibri"/>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medium">
          <color indexed="64"/>
        </left>
        <right style="medium">
          <color indexed="64"/>
        </right>
        <top style="medium">
          <color indexed="64"/>
        </top>
        <bottom style="medium">
          <color indexed="64"/>
        </bottom>
      </border>
    </dxf>
    <dxf>
      <protection locked="0" hidden="0"/>
    </dxf>
    <dxf>
      <border>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0"/>
    </dxf>
  </dxfs>
  <tableStyles count="0" defaultTableStyle="TableStyleMedium9" defaultPivotStyle="PivotStyleLight16"/>
  <colors>
    <mruColors>
      <color rgb="FFFFFF66"/>
      <color rgb="FFFF9900"/>
      <color rgb="FF339933"/>
      <color rgb="FF0000FF"/>
      <color rgb="FF00808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609599</xdr:colOff>
      <xdr:row>8</xdr:row>
      <xdr:rowOff>57150</xdr:rowOff>
    </xdr:from>
    <xdr:to>
      <xdr:col>14</xdr:col>
      <xdr:colOff>581024</xdr:colOff>
      <xdr:row>19</xdr:row>
      <xdr:rowOff>114300</xdr:rowOff>
    </xdr:to>
    <xdr:sp macro="" textlink="">
      <xdr:nvSpPr>
        <xdr:cNvPr id="2" name="TextBox 1">
          <a:extLst>
            <a:ext uri="{FF2B5EF4-FFF2-40B4-BE49-F238E27FC236}">
              <a16:creationId xmlns:a16="http://schemas.microsoft.com/office/drawing/2014/main" id="{697C969A-210C-4BE7-B024-940EA56F25C2}"/>
            </a:ext>
          </a:extLst>
        </xdr:cNvPr>
        <xdr:cNvSpPr txBox="1"/>
      </xdr:nvSpPr>
      <xdr:spPr>
        <a:xfrm>
          <a:off x="609599" y="1590675"/>
          <a:ext cx="8505825" cy="215265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100" b="1" u="sng"/>
            <a:t>GENERAL INSTRUCTIONS</a:t>
          </a:r>
          <a:r>
            <a:rPr lang="en-US" sz="1100" b="1"/>
            <a:t>:</a:t>
          </a:r>
        </a:p>
        <a:p>
          <a:endParaRPr lang="en-US" sz="1100"/>
        </a:p>
        <a:p>
          <a:r>
            <a:rPr lang="en-US" sz="1100"/>
            <a:t>1.  The following workbook</a:t>
          </a:r>
          <a:r>
            <a:rPr lang="en-US" sz="1100" baseline="0"/>
            <a:t> should be filled out annually, as well as at FOC and in support of contract close-out.  If the data provided is for a follow-on contract, please ensure that the first submittal of data captures only the existing baseline prior to any modifications.</a:t>
          </a:r>
          <a:endParaRPr lang="en-US" sz="1100"/>
        </a:p>
        <a:p>
          <a:r>
            <a:rPr lang="en-US" sz="1100"/>
            <a:t>2.  Please provide as much detail as possible for each included development effort.</a:t>
          </a:r>
        </a:p>
        <a:p>
          <a:pPr marL="0" marR="0" lvl="0" indent="0" defTabSz="914400" eaLnBrk="1" fontAlgn="auto" latinLnBrk="0" hangingPunct="1">
            <a:lnSpc>
              <a:spcPct val="100000"/>
            </a:lnSpc>
            <a:spcBef>
              <a:spcPts val="0"/>
            </a:spcBef>
            <a:spcAft>
              <a:spcPts val="0"/>
            </a:spcAft>
            <a:buClrTx/>
            <a:buSzTx/>
            <a:buFontTx/>
            <a:buNone/>
            <a:tabLst/>
            <a:defRPr/>
          </a:pPr>
          <a:r>
            <a:rPr lang="en-US" sz="1100"/>
            <a:t>3.  Orange cells contain drop-down menus. </a:t>
          </a:r>
          <a:r>
            <a:rPr lang="en-US" sz="1100">
              <a:solidFill>
                <a:schemeClr val="dk1"/>
              </a:solidFill>
              <a:effectLst/>
              <a:latin typeface="+mn-lt"/>
              <a:ea typeface="+mn-ea"/>
              <a:cs typeface="+mn-cs"/>
            </a:rPr>
            <a:t>Peach cells are conditional cells that are automatically populated from other sources.</a:t>
          </a:r>
          <a:endParaRPr lang="en-US" sz="1100"/>
        </a:p>
        <a:p>
          <a:r>
            <a:rPr lang="en-US" sz="1100"/>
            <a:t>4.  Comments in each header row cell provide definitions/clarification on what data should be captured in each field.</a:t>
          </a:r>
        </a:p>
        <a:p>
          <a:r>
            <a:rPr lang="en-US" sz="1100"/>
            <a:t>5.  Please use the text box below</a:t>
          </a:r>
          <a:r>
            <a:rPr lang="en-US" sz="1100" baseline="0"/>
            <a:t> to provide a description of any changes that have occurred since the last submission of this datasheets.  This should include any contract, schedule, scope, planning, development, or other changes to the system.</a:t>
          </a:r>
        </a:p>
        <a:p>
          <a:r>
            <a:rPr lang="en-US" sz="1100" baseline="0"/>
            <a:t>6.  Please classify on each tab accordingly.</a:t>
          </a:r>
          <a:endParaRPr lang="en-US" sz="1100"/>
        </a:p>
      </xdr:txBody>
    </xdr:sp>
    <xdr:clientData/>
  </xdr:twoCellAnchor>
  <xdr:twoCellAnchor>
    <xdr:from>
      <xdr:col>1</xdr:col>
      <xdr:colOff>9525</xdr:colOff>
      <xdr:row>20</xdr:row>
      <xdr:rowOff>19050</xdr:rowOff>
    </xdr:from>
    <xdr:to>
      <xdr:col>14</xdr:col>
      <xdr:colOff>590550</xdr:colOff>
      <xdr:row>39</xdr:row>
      <xdr:rowOff>38100</xdr:rowOff>
    </xdr:to>
    <xdr:sp macro="" textlink="">
      <xdr:nvSpPr>
        <xdr:cNvPr id="3" name="TextBox 2">
          <a:extLst>
            <a:ext uri="{FF2B5EF4-FFF2-40B4-BE49-F238E27FC236}">
              <a16:creationId xmlns:a16="http://schemas.microsoft.com/office/drawing/2014/main" id="{67A8B52F-2A3E-4148-83B0-83137A90298B}"/>
            </a:ext>
          </a:extLst>
        </xdr:cNvPr>
        <xdr:cNvSpPr txBox="1"/>
      </xdr:nvSpPr>
      <xdr:spPr>
        <a:xfrm>
          <a:off x="619125" y="3838575"/>
          <a:ext cx="8505825" cy="363855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b="1" u="sng"/>
            <a:t>Description of Changes from Previous Submission</a:t>
          </a:r>
          <a:r>
            <a:rPr lang="en-US" sz="1100" b="1"/>
            <a:t>:</a:t>
          </a:r>
        </a:p>
        <a:p>
          <a:endParaRPr lang="en-US" sz="1100"/>
        </a:p>
        <a:p>
          <a:endParaRPr lang="en-US" sz="1100"/>
        </a:p>
      </xdr:txBody>
    </xdr:sp>
    <xdr:clientData/>
  </xdr:twoCellAnchor>
  <xdr:twoCellAnchor>
    <xdr:from>
      <xdr:col>1</xdr:col>
      <xdr:colOff>0</xdr:colOff>
      <xdr:row>3</xdr:row>
      <xdr:rowOff>95250</xdr:rowOff>
    </xdr:from>
    <xdr:to>
      <xdr:col>14</xdr:col>
      <xdr:colOff>571500</xdr:colOff>
      <xdr:row>7</xdr:row>
      <xdr:rowOff>9526</xdr:rowOff>
    </xdr:to>
    <xdr:sp macro="" textlink="">
      <xdr:nvSpPr>
        <xdr:cNvPr id="4" name="TextBox 3">
          <a:extLst>
            <a:ext uri="{FF2B5EF4-FFF2-40B4-BE49-F238E27FC236}">
              <a16:creationId xmlns:a16="http://schemas.microsoft.com/office/drawing/2014/main" id="{6E5AF254-C3CD-4B5F-BAC1-65FA61ADAF10}"/>
            </a:ext>
          </a:extLst>
        </xdr:cNvPr>
        <xdr:cNvSpPr txBox="1"/>
      </xdr:nvSpPr>
      <xdr:spPr>
        <a:xfrm>
          <a:off x="609600" y="676275"/>
          <a:ext cx="8496300" cy="676276"/>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US" sz="1100" b="1"/>
            <a:t>In addition to filling out these</a:t>
          </a:r>
          <a:r>
            <a:rPr lang="en-US" sz="1100" b="1" baseline="0"/>
            <a:t> spreadsheets</a:t>
          </a:r>
          <a:r>
            <a:rPr lang="en-US" sz="1100" b="1"/>
            <a:t>, please provide the following</a:t>
          </a:r>
          <a:r>
            <a:rPr lang="en-US" sz="1100" b="1" baseline="0"/>
            <a:t> in separate documentation:</a:t>
          </a:r>
        </a:p>
        <a:p>
          <a:r>
            <a:rPr lang="en-US" sz="1100" baseline="0"/>
            <a:t>- Cost Reporting information (specific format to be determined in coordination with agency cost groups)</a:t>
          </a:r>
        </a:p>
        <a:p>
          <a:r>
            <a:rPr lang="en-US" sz="1100" baseline="0"/>
            <a:t>- Detailed descriptions of implemented agile development methods and processes (if agile development is performed)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5</xdr:row>
      <xdr:rowOff>9526</xdr:rowOff>
    </xdr:from>
    <xdr:to>
      <xdr:col>4</xdr:col>
      <xdr:colOff>647700</xdr:colOff>
      <xdr:row>14</xdr:row>
      <xdr:rowOff>100854</xdr:rowOff>
    </xdr:to>
    <xdr:sp macro="" textlink="">
      <xdr:nvSpPr>
        <xdr:cNvPr id="2" name="TextBox 1">
          <a:extLst>
            <a:ext uri="{FF2B5EF4-FFF2-40B4-BE49-F238E27FC236}">
              <a16:creationId xmlns:a16="http://schemas.microsoft.com/office/drawing/2014/main" id="{F6C4CDE9-3E67-473F-9B32-CA1C7B3E0F77}"/>
            </a:ext>
          </a:extLst>
        </xdr:cNvPr>
        <xdr:cNvSpPr txBox="1"/>
      </xdr:nvSpPr>
      <xdr:spPr>
        <a:xfrm>
          <a:off x="622301" y="965201"/>
          <a:ext cx="2425699" cy="180582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Please add rows to the tables below as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0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The data provided in this section should be based on data collected as part of the data migration and data conditioning process. Database development relevant data should be excluded from this datasheet.</a:t>
          </a:r>
        </a:p>
        <a:p>
          <a:pPr marL="0" marR="0" indent="0" defTabSz="914400" eaLnBrk="1" fontAlgn="auto" latinLnBrk="0" hangingPunct="1">
            <a:lnSpc>
              <a:spcPct val="100000"/>
            </a:lnSpc>
            <a:spcBef>
              <a:spcPts val="0"/>
            </a:spcBef>
            <a:spcAft>
              <a:spcPts val="0"/>
            </a:spcAft>
            <a:buClrTx/>
            <a:buSzTx/>
            <a:buFontTx/>
            <a:buNone/>
            <a:tabLst/>
            <a:defRPr/>
          </a:pPr>
          <a:endParaRPr lang="en-US" sz="1000">
            <a:effectLst/>
          </a:endParaRPr>
        </a:p>
        <a:p>
          <a:endParaRPr lang="en-US"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4</xdr:row>
      <xdr:rowOff>114303</xdr:rowOff>
    </xdr:from>
    <xdr:to>
      <xdr:col>3</xdr:col>
      <xdr:colOff>1043214</xdr:colOff>
      <xdr:row>13</xdr:row>
      <xdr:rowOff>133350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64671" y="803732"/>
          <a:ext cx="4479472" cy="178797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a:solidFill>
                <a:sysClr val="windowText" lastClr="000000"/>
              </a:solidFill>
            </a:rPr>
            <a:t>Please add rows to the tables below as necessary</a:t>
          </a:r>
        </a:p>
        <a:p>
          <a:endParaRPr lang="en-US" sz="1000">
            <a:solidFill>
              <a:sysClr val="windowText" lastClr="000000"/>
            </a:solidFill>
            <a:latin typeface="+mn-lt"/>
            <a:ea typeface="+mn-ea"/>
            <a:cs typeface="+mn-cs"/>
          </a:endParaRPr>
        </a:p>
        <a:p>
          <a:r>
            <a:rPr lang="en-US" sz="1000">
              <a:solidFill>
                <a:sysClr val="windowText" lastClr="000000"/>
              </a:solidFill>
              <a:latin typeface="+mn-lt"/>
              <a:ea typeface="+mn-ea"/>
              <a:cs typeface="+mn-cs"/>
            </a:rPr>
            <a:t>NGA</a:t>
          </a:r>
          <a:r>
            <a:rPr lang="en-US" sz="1000" baseline="0">
              <a:solidFill>
                <a:sysClr val="windowText" lastClr="000000"/>
              </a:solidFill>
              <a:latin typeface="+mn-lt"/>
              <a:ea typeface="+mn-ea"/>
              <a:cs typeface="+mn-cs"/>
            </a:rPr>
            <a:t> </a:t>
          </a:r>
          <a:r>
            <a:rPr lang="en-US" sz="1000">
              <a:solidFill>
                <a:sysClr val="windowText" lastClr="000000"/>
              </a:solidFill>
              <a:latin typeface="+mn-lt"/>
              <a:ea typeface="+mn-ea"/>
              <a:cs typeface="+mn-cs"/>
            </a:rPr>
            <a:t>requests data for all Contracts, Subcontracts, and ECPs. It is assumed that the data collection provider will provide data via one of the following methods:</a:t>
          </a:r>
        </a:p>
        <a:p>
          <a:r>
            <a:rPr lang="en-US" sz="1000" baseline="0">
              <a:solidFill>
                <a:sysClr val="windowText" lastClr="000000"/>
              </a:solidFill>
              <a:latin typeface="+mn-lt"/>
              <a:ea typeface="+mn-ea"/>
              <a:cs typeface="+mn-cs"/>
            </a:rPr>
            <a:t>     </a:t>
          </a:r>
          <a:r>
            <a:rPr lang="en-US" sz="1000">
              <a:solidFill>
                <a:sysClr val="windowText" lastClr="000000"/>
              </a:solidFill>
              <a:latin typeface="+mn-lt"/>
              <a:ea typeface="+mn-ea"/>
              <a:cs typeface="+mn-cs"/>
            </a:rPr>
            <a:t>Data Collection Datasheet</a:t>
          </a:r>
        </a:p>
        <a:p>
          <a:r>
            <a:rPr lang="en-US" sz="1000">
              <a:solidFill>
                <a:sysClr val="windowText" lastClr="000000"/>
              </a:solidFill>
              <a:latin typeface="+mn-lt"/>
              <a:ea typeface="+mn-ea"/>
              <a:cs typeface="+mn-cs"/>
            </a:rPr>
            <a:t>     Earned Value Management Budget Logs</a:t>
          </a:r>
        </a:p>
        <a:p>
          <a:r>
            <a:rPr lang="en-US" sz="1000">
              <a:solidFill>
                <a:sysClr val="windowText" lastClr="000000"/>
              </a:solidFill>
              <a:latin typeface="+mn-lt"/>
              <a:ea typeface="+mn-ea"/>
              <a:cs typeface="+mn-cs"/>
            </a:rPr>
            <a:t>     Pre-determined ECP Database download </a:t>
          </a:r>
        </a:p>
        <a:p>
          <a:endParaRPr lang="en-US" sz="10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7938</xdr:colOff>
      <xdr:row>4</xdr:row>
      <xdr:rowOff>79377</xdr:rowOff>
    </xdr:from>
    <xdr:to>
      <xdr:col>3</xdr:col>
      <xdr:colOff>579437</xdr:colOff>
      <xdr:row>21</xdr:row>
      <xdr:rowOff>34638</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7938" y="79377"/>
          <a:ext cx="11386704" cy="321973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a:solidFill>
                <a:schemeClr val="dk1"/>
              </a:solidFill>
              <a:effectLst/>
              <a:latin typeface="+mn-lt"/>
              <a:ea typeface="+mn-ea"/>
              <a:cs typeface="+mn-cs"/>
            </a:rPr>
            <a:t>NGA requests data for the Work Breakdown Structure (WBS). Please provide cost and/or</a:t>
          </a:r>
          <a:r>
            <a:rPr lang="en-US" sz="1000" baseline="0">
              <a:solidFill>
                <a:schemeClr val="dk1"/>
              </a:solidFill>
              <a:effectLst/>
              <a:latin typeface="+mn-lt"/>
              <a:ea typeface="+mn-ea"/>
              <a:cs typeface="+mn-cs"/>
            </a:rPr>
            <a:t> labor hours in this WBS. Please use a separate worksheet tab for each Function represented in the data, if applicable.   </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Applicable definitions:</a:t>
          </a:r>
        </a:p>
        <a:p>
          <a:r>
            <a:rPr lang="en-US" sz="1000" baseline="0">
              <a:solidFill>
                <a:schemeClr val="dk1"/>
              </a:solidFill>
              <a:effectLst/>
              <a:latin typeface="+mn-lt"/>
              <a:ea typeface="+mn-ea"/>
              <a:cs typeface="+mn-cs"/>
            </a:rPr>
            <a:t>Function - A function is an aggregation of configurable items (CIs) intended to provide a specific capability (i.e. Mission Management, Mission Data Processing, Command and Control, Tasking, Processing, Dissemination, Exploitation, etc.).</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System - A system is defined as the organization of hardware, software, material, facilities, personnel, data, and services needed to perform a designated function with specified results, such as the gathering of specified data, its processing, and delivery to users. </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Site - A site is a spatial location where both planning and/or actual development has or will have occurred. If more than one site, specify in the WBS numbering scheme. </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CSCI -  A Computer Software Configuration Item (CSCI) is an aggregation of software that satisfies a function and is designated for separate configuration management by the acquirer.</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Note: A circuit is a complete path between two sites/or end points over which one-way or two-way communications may be provided</a:t>
          </a:r>
        </a:p>
        <a:p>
          <a:endParaRPr lang="en-US" sz="10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aseline="0">
              <a:solidFill>
                <a:schemeClr val="dk1"/>
              </a:solidFill>
              <a:effectLst/>
              <a:latin typeface="+mn-lt"/>
              <a:ea typeface="+mn-ea"/>
              <a:cs typeface="+mn-cs"/>
            </a:rPr>
            <a:t>Please insert rows to the table below as necessary.</a:t>
          </a:r>
        </a:p>
        <a:p>
          <a:endParaRPr lang="en-US" sz="1000" baseline="0">
            <a:solidFill>
              <a:schemeClr val="dk1"/>
            </a:solidFill>
            <a:effectLst/>
            <a:latin typeface="+mn-lt"/>
            <a:ea typeface="+mn-ea"/>
            <a:cs typeface="+mn-cs"/>
          </a:endParaRPr>
        </a:p>
        <a:p>
          <a:r>
            <a:rPr lang="en-US" sz="1000" baseline="0">
              <a:solidFill>
                <a:schemeClr val="dk1"/>
              </a:solidFill>
              <a:effectLst/>
              <a:latin typeface="+mn-lt"/>
              <a:ea typeface="+mn-ea"/>
              <a:cs typeface="+mn-cs"/>
            </a:rPr>
            <a:t>Please provide data to the lowest WBS level as possible.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95250</xdr:colOff>
      <xdr:row>5</xdr:row>
      <xdr:rowOff>152400</xdr:rowOff>
    </xdr:from>
    <xdr:to>
      <xdr:col>6</xdr:col>
      <xdr:colOff>866775</xdr:colOff>
      <xdr:row>19</xdr:row>
      <xdr:rowOff>81643</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323850" y="1114425"/>
          <a:ext cx="3552825" cy="245336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a:solidFill>
                <a:schemeClr val="dk1"/>
              </a:solidFill>
              <a:effectLst/>
              <a:latin typeface="+mn-lt"/>
              <a:ea typeface="+mn-ea"/>
              <a:cs typeface="+mn-cs"/>
            </a:rPr>
            <a:t>Please provide data via one of the following methods:</a:t>
          </a:r>
        </a:p>
        <a:p>
          <a:pPr marL="171450" lvl="0" indent="-171450">
            <a:buFont typeface="Courier New" panose="02070309020205020404" pitchFamily="49" charset="0"/>
            <a:buChar char="o"/>
          </a:pPr>
          <a:r>
            <a:rPr lang="en-US" sz="1000" baseline="0">
              <a:solidFill>
                <a:schemeClr val="dk1"/>
              </a:solidFill>
              <a:effectLst/>
              <a:latin typeface="+mn-lt"/>
              <a:ea typeface="+mn-ea"/>
              <a:cs typeface="+mn-cs"/>
            </a:rPr>
            <a:t>Completed Datasheet</a:t>
          </a:r>
        </a:p>
        <a:p>
          <a:pPr marL="628650" lvl="1" indent="-171450">
            <a:buFont typeface="Courier New" panose="02070309020205020404" pitchFamily="49" charset="0"/>
            <a:buChar char="o"/>
          </a:pPr>
          <a:r>
            <a:rPr lang="en-US" sz="1000">
              <a:solidFill>
                <a:schemeClr val="dk1"/>
              </a:solidFill>
              <a:effectLst/>
              <a:latin typeface="+mn-lt"/>
              <a:ea typeface="+mn-ea"/>
              <a:cs typeface="+mn-cs"/>
            </a:rPr>
            <a:t>Provide as much detail as possible</a:t>
          </a:r>
        </a:p>
        <a:p>
          <a:pPr marL="628650" lvl="1" indent="-171450">
            <a:buFont typeface="Courier New" panose="02070309020205020404" pitchFamily="49" charset="0"/>
            <a:buChar char="o"/>
          </a:pPr>
          <a:r>
            <a:rPr lang="en-US" sz="1000">
              <a:solidFill>
                <a:schemeClr val="dk1"/>
              </a:solidFill>
              <a:effectLst/>
              <a:latin typeface="+mn-lt"/>
              <a:ea typeface="+mn-ea"/>
              <a:cs typeface="+mn-cs"/>
            </a:rPr>
            <a:t>For any fields that are left blank, please explain in the Notes/Comments column</a:t>
          </a:r>
        </a:p>
        <a:p>
          <a:pPr marL="628650" lvl="1" indent="-171450">
            <a:buFont typeface="Courier New" panose="02070309020205020404" pitchFamily="49" charset="0"/>
            <a:buChar char="o"/>
          </a:pPr>
          <a:endParaRPr lang="en-US" sz="1000">
            <a:solidFill>
              <a:schemeClr val="dk1"/>
            </a:solidFill>
            <a:effectLst/>
            <a:latin typeface="+mn-lt"/>
            <a:ea typeface="+mn-ea"/>
            <a:cs typeface="+mn-cs"/>
          </a:endParaRPr>
        </a:p>
        <a:p>
          <a:pPr marL="171450" lvl="0" indent="-171450">
            <a:buFont typeface="Courier New" panose="02070309020205020404" pitchFamily="49" charset="0"/>
            <a:buChar char="o"/>
          </a:pPr>
          <a:r>
            <a:rPr lang="en-US" sz="1000" baseline="0">
              <a:solidFill>
                <a:schemeClr val="dk1"/>
              </a:solidFill>
              <a:effectLst/>
              <a:latin typeface="+mn-lt"/>
              <a:ea typeface="+mn-ea"/>
              <a:cs typeface="+mn-cs"/>
            </a:rPr>
            <a:t>Financial System Generated Billing Statement (i.e. C2S Billing Statements) for purchase of services that provide hardware system capabilities</a:t>
          </a:r>
        </a:p>
        <a:p>
          <a:pPr marL="171450" lvl="0" indent="-171450">
            <a:buFont typeface="Courier New" panose="02070309020205020404" pitchFamily="49" charset="0"/>
            <a:buChar char="o"/>
          </a:pPr>
          <a:endParaRPr lang="en-US" sz="100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Courier New" panose="02070309020205020404" pitchFamily="49" charset="0"/>
            <a:buChar char="o"/>
            <a:tabLst/>
            <a:defRPr/>
          </a:pPr>
          <a:r>
            <a:rPr lang="en-US" sz="1000" b="0">
              <a:solidFill>
                <a:schemeClr val="dk1"/>
              </a:solidFill>
              <a:effectLst/>
              <a:latin typeface="+mn-lt"/>
              <a:ea typeface="+mn-ea"/>
              <a:cs typeface="+mn-cs"/>
            </a:rPr>
            <a:t>The data collection provider will only provide data for GOTS or COTS hardware and software in this section.</a:t>
          </a:r>
          <a:endParaRPr lang="en-US" sz="1000">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95250</xdr:colOff>
      <xdr:row>2</xdr:row>
      <xdr:rowOff>152400</xdr:rowOff>
    </xdr:from>
    <xdr:to>
      <xdr:col>4</xdr:col>
      <xdr:colOff>866775</xdr:colOff>
      <xdr:row>11</xdr:row>
      <xdr:rowOff>34637</xdr:rowOff>
    </xdr:to>
    <xdr:sp macro="" textlink="">
      <xdr:nvSpPr>
        <xdr:cNvPr id="2" name="TextBox 1">
          <a:extLst>
            <a:ext uri="{FF2B5EF4-FFF2-40B4-BE49-F238E27FC236}">
              <a16:creationId xmlns:a16="http://schemas.microsoft.com/office/drawing/2014/main" id="{F45091D6-D089-4DF5-A4F6-F8CD43877DA0}"/>
            </a:ext>
          </a:extLst>
        </xdr:cNvPr>
        <xdr:cNvSpPr txBox="1"/>
      </xdr:nvSpPr>
      <xdr:spPr>
        <a:xfrm>
          <a:off x="268432" y="925945"/>
          <a:ext cx="4800888" cy="155632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mn-lt"/>
              <a:ea typeface="+mn-ea"/>
              <a:cs typeface="+mn-cs"/>
            </a:rPr>
            <a:t>Please provide data via one of the following methods: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prstClr val="black"/>
              </a:solidFill>
              <a:effectLst/>
              <a:uLnTx/>
              <a:uFillTx/>
              <a:latin typeface="+mn-lt"/>
              <a:ea typeface="+mn-ea"/>
              <a:cs typeface="+mn-cs"/>
            </a:rPr>
            <a:t>Completed Datasheet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prstClr val="black"/>
              </a:solidFill>
              <a:effectLst/>
              <a:uLnTx/>
              <a:uFillTx/>
              <a:latin typeface="+mn-lt"/>
              <a:ea typeface="+mn-ea"/>
              <a:cs typeface="+mn-cs"/>
            </a:rPr>
            <a:t>Version 1, or equivalent Agile software development measurement tools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mn-lt"/>
              <a:ea typeface="+mn-ea"/>
              <a:cs typeface="+mn-cs"/>
            </a:rPr>
            <a:t>The data collection provider will provide agile software development data on an annual basis. However, NGA/CAPE may request additional data if there is a major release of software prior to annual data collection.</a:t>
          </a:r>
        </a:p>
        <a:p>
          <a:endParaRPr 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9526</xdr:colOff>
      <xdr:row>5</xdr:row>
      <xdr:rowOff>9523</xdr:rowOff>
    </xdr:from>
    <xdr:to>
      <xdr:col>4</xdr:col>
      <xdr:colOff>1568450</xdr:colOff>
      <xdr:row>19</xdr:row>
      <xdr:rowOff>54428</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18169" y="943880"/>
          <a:ext cx="5541281" cy="261211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r>
            <a:rPr lang="en-US" sz="1000">
              <a:solidFill>
                <a:schemeClr val="dk1"/>
              </a:solidFill>
              <a:effectLst/>
              <a:latin typeface="+mn-lt"/>
              <a:ea typeface="+mn-ea"/>
              <a:cs typeface="+mn-cs"/>
            </a:rPr>
            <a:t>Please provide data via one of the following methods:</a:t>
          </a:r>
        </a:p>
        <a:p>
          <a:pPr marL="171450" lvl="0" indent="-171450">
            <a:buFont typeface="Arial" panose="020B0604020202020204" pitchFamily="34" charset="0"/>
            <a:buChar char="•"/>
          </a:pPr>
          <a:r>
            <a:rPr lang="en-US" sz="1000">
              <a:solidFill>
                <a:schemeClr val="dk1"/>
              </a:solidFill>
              <a:effectLst/>
              <a:latin typeface="+mn-lt"/>
              <a:ea typeface="+mn-ea"/>
              <a:cs typeface="+mn-cs"/>
            </a:rPr>
            <a:t>Completed Datasheet</a:t>
          </a:r>
        </a:p>
        <a:p>
          <a:pPr marL="171450" lvl="0" indent="-171450">
            <a:buFont typeface="Arial" panose="020B0604020202020204" pitchFamily="34" charset="0"/>
            <a:buChar char="•"/>
          </a:pPr>
          <a:r>
            <a:rPr lang="en-US" sz="1000">
              <a:solidFill>
                <a:schemeClr val="dk1"/>
              </a:solidFill>
              <a:effectLst/>
              <a:latin typeface="+mn-lt"/>
              <a:ea typeface="+mn-ea"/>
              <a:cs typeface="+mn-cs"/>
            </a:rPr>
            <a:t>JIRA, Version 1, or equivalent Agile software development measurement tools </a:t>
          </a:r>
        </a:p>
        <a:p>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The data collection provider will provide agile software development data on an annual basis. However, NGA/CAPE may request additional data if there is a major release of software prior to annual data collection.</a:t>
          </a:r>
        </a:p>
        <a:p>
          <a:r>
            <a:rPr lang="en-US" sz="1000">
              <a:solidFill>
                <a:schemeClr val="dk1"/>
              </a:solidFill>
              <a:effectLst/>
              <a:latin typeface="+mn-lt"/>
              <a:ea typeface="+mn-ea"/>
              <a:cs typeface="+mn-cs"/>
            </a:rPr>
            <a:t> </a:t>
          </a:r>
        </a:p>
        <a:p>
          <a:r>
            <a:rPr lang="en-US" sz="1000">
              <a:solidFill>
                <a:schemeClr val="dk1"/>
              </a:solidFill>
              <a:effectLst/>
              <a:latin typeface="+mn-lt"/>
              <a:ea typeface="+mn-ea"/>
              <a:cs typeface="+mn-cs"/>
            </a:rPr>
            <a:t>The data collection provider will:</a:t>
          </a:r>
        </a:p>
        <a:p>
          <a:pPr marL="171450" lvl="0" indent="-171450">
            <a:buFont typeface="Arial" panose="020B0604020202020204" pitchFamily="34" charset="0"/>
            <a:buChar char="•"/>
          </a:pPr>
          <a:r>
            <a:rPr lang="en-US" sz="1000">
              <a:solidFill>
                <a:schemeClr val="dk1"/>
              </a:solidFill>
              <a:effectLst/>
              <a:latin typeface="+mn-lt"/>
              <a:ea typeface="+mn-ea"/>
              <a:cs typeface="+mn-cs"/>
            </a:rPr>
            <a:t>provide information by</a:t>
          </a:r>
          <a:r>
            <a:rPr lang="en-US" sz="1000" baseline="0">
              <a:solidFill>
                <a:schemeClr val="dk1"/>
              </a:solidFill>
              <a:effectLst/>
              <a:latin typeface="+mn-lt"/>
              <a:ea typeface="+mn-ea"/>
              <a:cs typeface="+mn-cs"/>
            </a:rPr>
            <a:t> each major SW release</a:t>
          </a:r>
          <a:endParaRPr lang="en-US" sz="1000">
            <a:solidFill>
              <a:schemeClr val="dk1"/>
            </a:solidFill>
            <a:effectLst/>
            <a:latin typeface="+mn-lt"/>
            <a:ea typeface="+mn-ea"/>
            <a:cs typeface="+mn-cs"/>
          </a:endParaRPr>
        </a:p>
        <a:p>
          <a:pPr marL="171450" lvl="0" indent="-171450">
            <a:buFont typeface="Arial" panose="020B0604020202020204" pitchFamily="34" charset="0"/>
            <a:buChar char="•"/>
          </a:pPr>
          <a:r>
            <a:rPr lang="en-US" sz="1000">
              <a:solidFill>
                <a:schemeClr val="dk1"/>
              </a:solidFill>
              <a:effectLst/>
              <a:latin typeface="+mn-lt"/>
              <a:ea typeface="+mn-ea"/>
              <a:cs typeface="+mn-cs"/>
            </a:rPr>
            <a:t>ensure that agile software development data are, at a minimum, provided by Function. The data collection provider may provide data based on their own hierarchy structure, as long as Function exists in that structure.</a:t>
          </a:r>
        </a:p>
        <a:p>
          <a:pPr marL="171450" lvl="0" indent="-171450">
            <a:buFont typeface="Arial" panose="020B0604020202020204" pitchFamily="34" charset="0"/>
            <a:buChar char="•"/>
          </a:pPr>
          <a:r>
            <a:rPr lang="en-US" sz="1000">
              <a:solidFill>
                <a:schemeClr val="dk1"/>
              </a:solidFill>
              <a:effectLst/>
              <a:latin typeface="+mn-lt"/>
              <a:ea typeface="+mn-ea"/>
              <a:cs typeface="+mn-cs"/>
            </a:rPr>
            <a:t>include actual hours for software developers and software engineers only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24633</xdr:colOff>
      <xdr:row>3</xdr:row>
      <xdr:rowOff>1360</xdr:rowOff>
    </xdr:from>
    <xdr:to>
      <xdr:col>4</xdr:col>
      <xdr:colOff>1415143</xdr:colOff>
      <xdr:row>28</xdr:row>
      <xdr:rowOff>81642</xdr:rowOff>
    </xdr:to>
    <xdr:sp macro="" textlink="">
      <xdr:nvSpPr>
        <xdr:cNvPr id="2" name="TextBox 1">
          <a:extLst>
            <a:ext uri="{FF2B5EF4-FFF2-40B4-BE49-F238E27FC236}">
              <a16:creationId xmlns:a16="http://schemas.microsoft.com/office/drawing/2014/main" id="{A0E57D12-E858-4273-87E1-E1E09406A086}"/>
            </a:ext>
          </a:extLst>
        </xdr:cNvPr>
        <xdr:cNvSpPr txBox="1"/>
      </xdr:nvSpPr>
      <xdr:spPr>
        <a:xfrm>
          <a:off x="269562" y="1117146"/>
          <a:ext cx="5654081" cy="457971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a:solidFill>
                <a:sysClr val="windowText" lastClr="000000"/>
              </a:solidFill>
              <a:effectLst/>
              <a:latin typeface="+mn-lt"/>
              <a:ea typeface="+mn-ea"/>
              <a:cs typeface="+mn-cs"/>
            </a:rPr>
            <a:t>It is assumed that the data collection provider will provide data via</a:t>
          </a:r>
          <a:r>
            <a:rPr lang="en-US" sz="1000" baseline="0">
              <a:solidFill>
                <a:sysClr val="windowText" lastClr="000000"/>
              </a:solidFill>
              <a:effectLst/>
              <a:latin typeface="+mn-lt"/>
              <a:ea typeface="+mn-ea"/>
              <a:cs typeface="+mn-cs"/>
            </a:rPr>
            <a:t> both of </a:t>
          </a:r>
          <a:r>
            <a:rPr lang="en-US" sz="1000">
              <a:solidFill>
                <a:sysClr val="windowText" lastClr="000000"/>
              </a:solidFill>
              <a:effectLst/>
              <a:latin typeface="+mn-lt"/>
              <a:ea typeface="+mn-ea"/>
              <a:cs typeface="+mn-cs"/>
            </a:rPr>
            <a:t>the following methods:</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Data Collection Datasheet</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UCC-G output</a:t>
          </a:r>
        </a:p>
        <a:p>
          <a:pPr marL="628650" lvl="1" indent="-171450">
            <a:buFont typeface="Courier New" panose="02070309020205020404" pitchFamily="49" charset="0"/>
            <a:buChar char="o"/>
          </a:pPr>
          <a:r>
            <a:rPr lang="en-US" sz="1000">
              <a:solidFill>
                <a:sysClr val="windowText" lastClr="000000"/>
              </a:solidFill>
              <a:effectLst/>
              <a:latin typeface="+mn-lt"/>
              <a:ea typeface="+mn-ea"/>
              <a:cs typeface="+mn-cs"/>
            </a:rPr>
            <a:t>A UCC-G output should be provided for each existing software baseline</a:t>
          </a:r>
        </a:p>
        <a:p>
          <a:pPr marL="628650" marR="0" lvl="1" indent="-171450" defTabSz="914400" eaLnBrk="1" fontAlgn="auto" latinLnBrk="0" hangingPunct="1">
            <a:lnSpc>
              <a:spcPct val="100000"/>
            </a:lnSpc>
            <a:spcBef>
              <a:spcPts val="0"/>
            </a:spcBef>
            <a:spcAft>
              <a:spcPts val="0"/>
            </a:spcAft>
            <a:buClrTx/>
            <a:buSzTx/>
            <a:buFont typeface="Courier New" panose="02070309020205020404" pitchFamily="49" charset="0"/>
            <a:buChar char="o"/>
            <a:tabLst/>
            <a:defRPr/>
          </a:pPr>
          <a:r>
            <a:rPr lang="en-US" sz="1000">
              <a:solidFill>
                <a:sysClr val="windowText" lastClr="000000"/>
              </a:solidFill>
              <a:effectLst/>
              <a:latin typeface="+mn-lt"/>
              <a:ea typeface="+mn-ea"/>
              <a:cs typeface="+mn-cs"/>
            </a:rPr>
            <a:t>The data collection provider can provide code counts using a different code counter (optional), but UCC-G assessed code counts must be provided (required).</a:t>
          </a:r>
        </a:p>
        <a:p>
          <a:r>
            <a:rPr lang="en-US" sz="1000">
              <a:solidFill>
                <a:sysClr val="windowText" lastClr="000000"/>
              </a:solidFill>
              <a:effectLst/>
              <a:latin typeface="+mn-lt"/>
              <a:ea typeface="+mn-ea"/>
              <a:cs typeface="+mn-cs"/>
            </a:rPr>
            <a:t>The data collection provider will provide code count data on an annual basis. However, NGA CAPE may request additional data if there is a major release of software prior to annual data collection.</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In this case, NGA CAPE will ask for code counts by release only (but will not ask for hours and costs data to be provided to reduce the burden on the data collection provider).</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In order to receive data by release, NGA CAPE will work with the program offices to setup a file structure that will allow the UCC-G output to capture data at levels agreeable to both parties.</a:t>
          </a:r>
        </a:p>
        <a:p>
          <a:r>
            <a:rPr lang="en-US" sz="1000">
              <a:solidFill>
                <a:sysClr val="windowText" lastClr="000000"/>
              </a:solidFill>
              <a:effectLst/>
              <a:latin typeface="+mn-lt"/>
              <a:ea typeface="+mn-ea"/>
              <a:cs typeface="+mn-cs"/>
            </a:rPr>
            <a:t> </a:t>
          </a:r>
        </a:p>
        <a:p>
          <a:r>
            <a:rPr lang="en-US" sz="1000">
              <a:solidFill>
                <a:sysClr val="windowText" lastClr="000000"/>
              </a:solidFill>
              <a:effectLst/>
              <a:latin typeface="+mn-lt"/>
              <a:ea typeface="+mn-ea"/>
              <a:cs typeface="+mn-cs"/>
            </a:rPr>
            <a:t>The data collection provider will:</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provide information at the lowest level</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provide logical code counts (not physical)</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include operational software baseline code counts developed</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exclude COTS/GOTS code in the code count data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000">
              <a:solidFill>
                <a:sysClr val="windowText" lastClr="000000"/>
              </a:solidFill>
              <a:effectLst/>
              <a:latin typeface="+mn-lt"/>
              <a:ea typeface="+mn-ea"/>
              <a:cs typeface="+mn-cs"/>
            </a:rPr>
            <a:t>exclude any test and engineering code</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ensure that all information aligns with the "Date Code Counted"  </a:t>
          </a:r>
        </a:p>
        <a:p>
          <a:pPr marL="628650" lvl="1" indent="-171450">
            <a:buFont typeface="Courier New" panose="02070309020205020404" pitchFamily="49" charset="0"/>
            <a:buChar char="o"/>
          </a:pPr>
          <a:r>
            <a:rPr lang="en-US" sz="1000">
              <a:solidFill>
                <a:sysClr val="windowText" lastClr="000000"/>
              </a:solidFill>
              <a:effectLst/>
              <a:latin typeface="+mn-lt"/>
              <a:ea typeface="+mn-ea"/>
              <a:cs typeface="+mn-cs"/>
            </a:rPr>
            <a:t>For example, actual code counts provided should cover development that occurred over the same time period as the hours provided</a:t>
          </a:r>
        </a:p>
        <a:p>
          <a:pPr marL="171450" lvl="0" indent="-171450">
            <a:buFont typeface="Arial" panose="020B0604020202020204" pitchFamily="34" charset="0"/>
            <a:buChar char="•"/>
          </a:pPr>
          <a:r>
            <a:rPr lang="en-US" sz="1000">
              <a:solidFill>
                <a:sysClr val="windowText" lastClr="000000"/>
              </a:solidFill>
              <a:effectLst/>
              <a:latin typeface="+mn-lt"/>
              <a:ea typeface="+mn-ea"/>
              <a:cs typeface="+mn-cs"/>
            </a:rPr>
            <a:t>run the Diff Tool and Dup Tool when using the UCC-G  </a:t>
          </a:r>
        </a:p>
        <a:p>
          <a:pPr marL="171450" indent="-171450">
            <a:buFont typeface="Arial" panose="020B0604020202020204" pitchFamily="34" charset="0"/>
            <a:buChar char="•"/>
          </a:pPr>
          <a:r>
            <a:rPr lang="en-US" sz="1000">
              <a:solidFill>
                <a:schemeClr val="dk1"/>
              </a:solidFill>
              <a:effectLst/>
              <a:latin typeface="+mn-lt"/>
              <a:ea typeface="+mn-ea"/>
              <a:cs typeface="+mn-cs"/>
            </a:rPr>
            <a:t>ensure that code counts are, at a minimum, provided by Function. The data collection provider may provide data based on their own hierarchy structure, as long as Function exists in that structure</a:t>
          </a:r>
          <a:endParaRPr lang="en-US" sz="1000" b="1" u="sng" baseline="0">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9526</xdr:colOff>
      <xdr:row>5</xdr:row>
      <xdr:rowOff>9526</xdr:rowOff>
    </xdr:from>
    <xdr:to>
      <xdr:col>4</xdr:col>
      <xdr:colOff>647700</xdr:colOff>
      <xdr:row>14</xdr:row>
      <xdr:rowOff>100854</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00026" y="200026"/>
          <a:ext cx="5295899" cy="180582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Please add rows to the tables below as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0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The data provided in this section should be based on data collected as part of the data migration and data conditioning process. Database development relevant data should be excluded from this datasheet.</a:t>
          </a:r>
        </a:p>
        <a:p>
          <a:pPr marL="0" marR="0" indent="0" defTabSz="914400" eaLnBrk="1" fontAlgn="auto" latinLnBrk="0" hangingPunct="1">
            <a:lnSpc>
              <a:spcPct val="100000"/>
            </a:lnSpc>
            <a:spcBef>
              <a:spcPts val="0"/>
            </a:spcBef>
            <a:spcAft>
              <a:spcPts val="0"/>
            </a:spcAft>
            <a:buClrTx/>
            <a:buSzTx/>
            <a:buFontTx/>
            <a:buNone/>
            <a:tabLst/>
            <a:defRPr/>
          </a:pPr>
          <a:endParaRPr lang="en-US" sz="1000">
            <a:effectLst/>
          </a:endParaRPr>
        </a:p>
        <a:p>
          <a:endParaRPr lang="en-US" sz="10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104776</xdr:colOff>
      <xdr:row>5</xdr:row>
      <xdr:rowOff>180975</xdr:rowOff>
    </xdr:from>
    <xdr:to>
      <xdr:col>4</xdr:col>
      <xdr:colOff>478118</xdr:colOff>
      <xdr:row>13</xdr:row>
      <xdr:rowOff>190500</xdr:rowOff>
    </xdr:to>
    <xdr:sp macro="" textlink="">
      <xdr:nvSpPr>
        <xdr:cNvPr id="2" name="TextBox 1">
          <a:extLst>
            <a:ext uri="{FF2B5EF4-FFF2-40B4-BE49-F238E27FC236}">
              <a16:creationId xmlns:a16="http://schemas.microsoft.com/office/drawing/2014/main" id="{ED157E38-854F-4D47-BAD4-8EAF46C37060}"/>
            </a:ext>
          </a:extLst>
        </xdr:cNvPr>
        <xdr:cNvSpPr txBox="1"/>
      </xdr:nvSpPr>
      <xdr:spPr>
        <a:xfrm>
          <a:off x="299011" y="1122269"/>
          <a:ext cx="2584636" cy="1518584"/>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baseline="0">
              <a:solidFill>
                <a:schemeClr val="dk1"/>
              </a:solidFill>
              <a:effectLst/>
              <a:latin typeface="+mn-lt"/>
              <a:ea typeface="+mn-ea"/>
              <a:cs typeface="+mn-cs"/>
            </a:rPr>
            <a:t>Provide a database relationship diagram for each database.</a:t>
          </a:r>
        </a:p>
        <a:p>
          <a:endParaRPr lang="en-US" sz="1000" baseline="0">
            <a:solidFill>
              <a:schemeClr val="dk1"/>
            </a:solidFill>
            <a:effectLst/>
            <a:latin typeface="+mn-lt"/>
            <a:ea typeface="+mn-ea"/>
            <a:cs typeface="+mn-cs"/>
          </a:endParaRPr>
        </a:p>
        <a:p>
          <a:r>
            <a:rPr lang="en-US" sz="1000">
              <a:solidFill>
                <a:schemeClr val="dk1"/>
              </a:solidFill>
              <a:effectLst/>
              <a:latin typeface="+mn-lt"/>
              <a:ea typeface="+mn-ea"/>
              <a:cs typeface="+mn-cs"/>
            </a:rPr>
            <a:t>It is assumed that the data collection provider will provide data via:</a:t>
          </a:r>
        </a:p>
        <a:p>
          <a:pPr marL="171450" lvl="0" indent="-171450">
            <a:buFont typeface="Arial" panose="020B0604020202020204" pitchFamily="34" charset="0"/>
            <a:buChar char="•"/>
          </a:pPr>
          <a:r>
            <a:rPr lang="en-US" sz="1000">
              <a:solidFill>
                <a:schemeClr val="dk1"/>
              </a:solidFill>
              <a:effectLst/>
              <a:latin typeface="+mn-lt"/>
              <a:ea typeface="+mn-ea"/>
              <a:cs typeface="+mn-cs"/>
            </a:rPr>
            <a:t>ODNI Data Collection Datasheets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66675</xdr:rowOff>
    </xdr:from>
    <xdr:to>
      <xdr:col>4</xdr:col>
      <xdr:colOff>1543051</xdr:colOff>
      <xdr:row>15</xdr:row>
      <xdr:rowOff>73268</xdr:rowOff>
    </xdr:to>
    <xdr:sp macro="" textlink="">
      <xdr:nvSpPr>
        <xdr:cNvPr id="2" name="TextBox 1">
          <a:extLst>
            <a:ext uri="{FF2B5EF4-FFF2-40B4-BE49-F238E27FC236}">
              <a16:creationId xmlns:a16="http://schemas.microsoft.com/office/drawing/2014/main" id="{FE938981-B0DE-40D6-8EEC-88367175B5E5}"/>
            </a:ext>
          </a:extLst>
        </xdr:cNvPr>
        <xdr:cNvSpPr txBox="1"/>
      </xdr:nvSpPr>
      <xdr:spPr>
        <a:xfrm>
          <a:off x="247651" y="1028700"/>
          <a:ext cx="5905500" cy="194016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000" b="1" u="sng"/>
            <a:t>INSTRUCTIONS</a:t>
          </a:r>
          <a:r>
            <a:rPr lang="en-US" sz="1000" b="1"/>
            <a:t>:</a:t>
          </a:r>
        </a:p>
        <a:p>
          <a:endParaRPr lang="en-US" sz="1000"/>
        </a:p>
        <a:p>
          <a:r>
            <a:rPr lang="en-US" sz="1000">
              <a:solidFill>
                <a:schemeClr val="dk1"/>
              </a:solidFill>
              <a:effectLst/>
              <a:latin typeface="+mn-lt"/>
              <a:ea typeface="+mn-ea"/>
              <a:cs typeface="+mn-cs"/>
            </a:rPr>
            <a:t>It is assumed that the data collection provider will provide data via one of the following methods:</a:t>
          </a:r>
        </a:p>
        <a:p>
          <a:pPr marL="171450" lvl="0" indent="-171450">
            <a:buFont typeface="Arial" panose="020B0604020202020204" pitchFamily="34" charset="0"/>
            <a:buChar char="•"/>
          </a:pPr>
          <a:r>
            <a:rPr lang="en-US" sz="1000">
              <a:solidFill>
                <a:schemeClr val="dk1"/>
              </a:solidFill>
              <a:effectLst/>
              <a:latin typeface="+mn-lt"/>
              <a:ea typeface="+mn-ea"/>
              <a:cs typeface="+mn-cs"/>
            </a:rPr>
            <a:t>Data Collection Datasheet</a:t>
          </a:r>
        </a:p>
        <a:p>
          <a:pPr marL="171450" lvl="0" indent="-171450">
            <a:buFont typeface="Arial" panose="020B0604020202020204" pitchFamily="34" charset="0"/>
            <a:buChar char="•"/>
          </a:pPr>
          <a:r>
            <a:rPr lang="en-US" sz="1000">
              <a:solidFill>
                <a:schemeClr val="dk1"/>
              </a:solidFill>
              <a:effectLst/>
              <a:latin typeface="+mn-lt"/>
              <a:ea typeface="+mn-ea"/>
              <a:cs typeface="+mn-cs"/>
            </a:rPr>
            <a:t>Pre-determined DR Database download </a:t>
          </a:r>
        </a:p>
        <a:p>
          <a:r>
            <a:rPr lang="en-US" sz="1000">
              <a:solidFill>
                <a:schemeClr val="dk1"/>
              </a:solidFill>
              <a:effectLst/>
              <a:latin typeface="+mn-lt"/>
              <a:ea typeface="+mn-ea"/>
              <a:cs typeface="+mn-cs"/>
            </a:rPr>
            <a:t> </a:t>
          </a:r>
        </a:p>
        <a:p>
          <a:r>
            <a:rPr lang="en-US" sz="1000">
              <a:solidFill>
                <a:schemeClr val="dk1"/>
              </a:solidFill>
              <a:effectLst/>
              <a:latin typeface="+mn-lt"/>
              <a:ea typeface="+mn-ea"/>
              <a:cs typeface="+mn-cs"/>
            </a:rPr>
            <a:t>The data collection provider will also provide a description for each of the DR levels being reported within the program, so as to provide context to the data that is being reported.</a:t>
          </a:r>
        </a:p>
        <a:p>
          <a:endParaRPr lang="en-US" sz="1000" b="0" i="0" u="none" strike="noStrike">
            <a:solidFill>
              <a:schemeClr val="dk1"/>
            </a:solidFill>
            <a:effectLst/>
            <a:latin typeface="+mn-lt"/>
            <a:ea typeface="+mn-ea"/>
            <a:cs typeface="+mn-cs"/>
          </a:endParaRPr>
        </a:p>
        <a:p>
          <a:r>
            <a:rPr lang="en-US" sz="1000" b="0" i="0" u="none" strike="noStrike">
              <a:solidFill>
                <a:schemeClr val="dk1"/>
              </a:solidFill>
              <a:effectLst/>
              <a:latin typeface="+mn-lt"/>
              <a:ea typeface="+mn-ea"/>
              <a:cs typeface="+mn-cs"/>
            </a:rPr>
            <a:t>Provide software maintenance data for each major subsystem by each major release.</a:t>
          </a:r>
          <a:r>
            <a:rPr lang="en-US" sz="1000"/>
            <a:t> </a:t>
          </a:r>
          <a:r>
            <a:rPr lang="en-US" sz="1000" b="0" i="0" u="none" strike="noStrike">
              <a:solidFill>
                <a:schemeClr val="dk1"/>
              </a:solidFill>
              <a:effectLst/>
              <a:latin typeface="+mn-lt"/>
              <a:ea typeface="+mn-ea"/>
              <a:cs typeface="+mn-cs"/>
            </a:rPr>
            <a:t>No gaps should exist between the maintenance end date of one release and the start date of the next.</a:t>
          </a:r>
          <a:endParaRPr lang="en-US" sz="1000" b="1" baseline="0">
            <a:solidFill>
              <a:schemeClr val="dk1"/>
            </a:solidFill>
            <a:effectLst/>
            <a:latin typeface="+mn-lt"/>
            <a:ea typeface="+mn-ea"/>
            <a:cs typeface="+mn-cs"/>
          </a:endParaRPr>
        </a:p>
        <a:p>
          <a:endParaRPr lang="en-US" sz="1000" b="1" baseline="0">
            <a:solidFill>
              <a:srgbClr val="FF0000"/>
            </a:solidFill>
          </a:endParaRPr>
        </a:p>
        <a:p>
          <a:endParaRPr lang="en-US" sz="110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283916-7D78-4A81-A5B5-AE181DDB591F}" name="Table40" displayName="Table40" ref="B18:E19" totalsRowShown="0" headerRowDxfId="181" dataDxfId="179" headerRowBorderDxfId="180" tableBorderDxfId="178" totalsRowBorderDxfId="177">
  <tableColumns count="4">
    <tableColumn id="1" xr3:uid="{B3D85701-101D-468F-BCDA-1E4A05A2D1FB}" name="a. Program" dataDxfId="176"/>
    <tableColumn id="2" xr3:uid="{23AA6C4B-C0D0-4AA3-A7D8-CB23725516C6}" name="b. Primary Program Function" dataDxfId="175"/>
    <tableColumn id="4" xr3:uid="{1A3CF406-2556-4413-B8A3-AF1E1DBBFF38}" name="c. Secondary Program Function" dataDxfId="174"/>
    <tableColumn id="3" xr3:uid="{758C2007-0F52-428D-8870-E65EEC735BB6}" name="d. Protection Level" dataDxfId="17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0000000}" name="Table3737" displayName="Table3737" ref="B29:I34" totalsRowShown="0" headerRowDxfId="172" dataDxfId="170" headerRowBorderDxfId="171" tableBorderDxfId="169" totalsRowBorderDxfId="168">
  <tableColumns count="8">
    <tableColumn id="1" xr3:uid="{00000000-0010-0000-0000-000001000000}" name="p. Company Name" dataDxfId="167"/>
    <tableColumn id="9" xr3:uid="{00000000-0010-0000-0000-000009000000}" name="q. Location of Contractor" dataDxfId="166"/>
    <tableColumn id="8" xr3:uid="{00000000-0010-0000-0000-000008000000}" name="r. Contract Type" dataDxfId="165"/>
    <tableColumn id="6" xr3:uid="{00000000-0010-0000-0000-000006000000}" name="s. Contract #" dataDxfId="164"/>
    <tableColumn id="3" xr3:uid="{00000000-0010-0000-0000-000003000000}" name="t. Contract Start Date" dataDxfId="163"/>
    <tableColumn id="4" xr3:uid="{00000000-0010-0000-0000-000004000000}" name="u. Contract End Date" dataDxfId="162"/>
    <tableColumn id="5" xr3:uid="{00000000-0010-0000-0000-000005000000}" name="v. Total Sub-Contract Value" dataDxfId="161"/>
    <tableColumn id="10" xr3:uid="{00000000-0010-0000-0000-00000A000000}" name="w. Comments/Notes" dataDxfId="16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1000000}" name="Table3939" displayName="Table3939" ref="B17:I18" totalsRowShown="0" headerRowDxfId="159" dataDxfId="157" headerRowBorderDxfId="158" tableBorderDxfId="156" totalsRowBorderDxfId="155">
  <tableColumns count="8">
    <tableColumn id="1" xr3:uid="{00000000-0010-0000-0100-000001000000}" name="a. Company Name" dataDxfId="154"/>
    <tableColumn id="8" xr3:uid="{00000000-0010-0000-0100-000008000000}" name="b. Location of Contractor" dataDxfId="153"/>
    <tableColumn id="3" xr3:uid="{00000000-0010-0000-0100-000003000000}" name="c. Contract Type" dataDxfId="152"/>
    <tableColumn id="4" xr3:uid="{00000000-0010-0000-0100-000004000000}" name="d. Contract Start Date" dataDxfId="151"/>
    <tableColumn id="5" xr3:uid="{00000000-0010-0000-0100-000005000000}" name="e. Contract End Date" dataDxfId="150"/>
    <tableColumn id="7" xr3:uid="{00000000-0010-0000-0100-000007000000}" name="f. Total Contract Value" dataDxfId="149"/>
    <tableColumn id="10" xr3:uid="{00000000-0010-0000-0100-00000A000000}" name="g. % Subcontracted" dataDxfId="148" dataCellStyle="Percent"/>
    <tableColumn id="6" xr3:uid="{00000000-0010-0000-0100-000006000000}" name="h. Comments/Notes" dataDxfId="14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2000000}" name="Table373738" displayName="Table373738" ref="C45:F54" totalsRowShown="0" headerRowDxfId="146" dataDxfId="144" headerRowBorderDxfId="145" tableBorderDxfId="143" totalsRowBorderDxfId="142">
  <tableColumns count="4">
    <tableColumn id="1" xr3:uid="{00000000-0010-0000-0200-000001000000}" name="ff. Contract Line Number" dataDxfId="141"/>
    <tableColumn id="3" xr3:uid="{00000000-0010-0000-0200-000003000000}" name="gg. Contract Line Number Value" dataDxfId="140"/>
    <tableColumn id="2" xr3:uid="{00000000-0010-0000-0200-000002000000}" name="hh. Descriptions" dataDxfId="139"/>
    <tableColumn id="10" xr3:uid="{00000000-0010-0000-0200-00000A000000}" name="ii. Comments/Notes" dataDxfId="13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2FE789-3CA6-4B3E-9908-2A5E194E39E5}" name="Table4145464" displayName="Table4145464" ref="B57:I69" totalsRowShown="0" headerRowDxfId="137" dataDxfId="135" headerRowBorderDxfId="136" tableBorderDxfId="134" totalsRowBorderDxfId="133">
  <tableColumns count="8">
    <tableColumn id="4" xr3:uid="{1CDC4063-177E-4DA3-8DC6-360F1DAABC47}" name="jj. Program Name" dataDxfId="132">
      <calculatedColumnFormula array="1">Table40[a. Program]</calculatedColumnFormula>
    </tableColumn>
    <tableColumn id="2" xr3:uid="{66238F55-6C0F-487A-B149-187AF028E6A6}" name="kk. Contract #" dataDxfId="131">
      <calculatedColumnFormula>$B$22</calculatedColumnFormula>
    </tableColumn>
    <tableColumn id="7" xr3:uid="{88154AF8-3E53-477F-B93B-CF3E302AADD6}" name="ll. ECP Number" dataDxfId="130"/>
    <tableColumn id="5" xr3:uid="{0F263403-4760-4B43-9942-CD323FC7E365}" name="mm. ECP Description" dataDxfId="129"/>
    <tableColumn id="1" xr3:uid="{BA9038FE-6821-41B4-A12B-C4EC9872EB44}" name="nn. ECP Type" dataDxfId="128"/>
    <tableColumn id="6" xr3:uid="{E253E101-6693-4178-9E05-AC9E15A81D46}" name="oo. ATP Date" dataDxfId="127"/>
    <tableColumn id="3" xr3:uid="{B0F5D160-954B-48F0-89CA-0A127F136BA2}" name="pp. Negotiated Duration of ECP" dataDxfId="126"/>
    <tableColumn id="8" xr3:uid="{2891C581-4037-408F-A861-729A38D044C5}" name="qq. Negotiated ECP Value" dataDxfId="12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4000000}" name="Table29" displayName="Table29" ref="B25:W47" totalsRowShown="0" headerRowDxfId="124" headerRowBorderDxfId="123" tableBorderDxfId="122" totalsRowBorderDxfId="121">
  <tableColumns count="22">
    <tableColumn id="1" xr3:uid="{00000000-0010-0000-0400-000001000000}" name="a. Program Name" dataDxfId="120">
      <calculatedColumnFormula array="1">Table40[a. Program]</calculatedColumnFormula>
    </tableColumn>
    <tableColumn id="19" xr3:uid="{00000000-0010-0000-0400-000013000000}" name="b. Contract #" dataDxfId="119">
      <calculatedColumnFormula>' 3 Contract Info'!$B$22</calculatedColumnFormula>
    </tableColumn>
    <tableColumn id="20" xr3:uid="{00000000-0010-0000-0400-000014000000}" name="c. Location" dataDxfId="118"/>
    <tableColumn id="6" xr3:uid="{A4B850E2-32ED-4D63-B73A-D5FF6B88B064}" name="d. HW/SW" dataDxfId="117"/>
    <tableColumn id="11" xr3:uid="{CDA3FA60-1D63-492A-8A59-291C114705AB}" name="e. Name of Application" dataDxfId="116"/>
    <tableColumn id="5" xr3:uid="{00000000-0010-0000-0400-000005000000}" name="f. Description" dataDxfId="115"/>
    <tableColumn id="18" xr3:uid="{00000000-0010-0000-0400-000012000000}" name="g. Original Equipment Manufacturer" dataDxfId="114"/>
    <tableColumn id="2" xr3:uid="{00000000-0010-0000-0400-000002000000}" name="h. Category" dataDxfId="113"/>
    <tableColumn id="3" xr3:uid="{00000000-0010-0000-0400-000003000000}" name="i. Sub-Category" dataDxfId="112"/>
    <tableColumn id="4" xr3:uid="{00000000-0010-0000-0400-000004000000}" name="j. COTS/GOTS/FOSS" dataDxfId="111"/>
    <tableColumn id="17" xr3:uid="{00000000-0010-0000-0400-000011000000}" name="D" dataDxfId="110"/>
    <tableColumn id="16" xr3:uid="{00000000-0010-0000-0400-000010000000}" name="T" dataDxfId="109"/>
    <tableColumn id="12" xr3:uid="{00000000-0010-0000-0400-00000C000000}" name="O" dataDxfId="108"/>
    <tableColumn id="7" xr3:uid="{00000000-0010-0000-0400-000007000000}" name="Tr" dataDxfId="107"/>
    <tableColumn id="21" xr3:uid="{00000000-0010-0000-0400-000015000000}" name="l. Domain Level" dataDxfId="106"/>
    <tableColumn id="22" xr3:uid="{58192924-C3CA-4E20-A5D0-EF86EFE8CC9F}" name="m. Pricing Strategy" dataDxfId="105"/>
    <tableColumn id="8" xr3:uid="{00000000-0010-0000-0400-000008000000}" name="n. Unit Cost / Rate for Usage" dataDxfId="104"/>
    <tableColumn id="9" xr3:uid="{00000000-0010-0000-0400-000009000000}" name="o. Quantity" dataDxfId="103"/>
    <tableColumn id="10" xr3:uid="{00000000-0010-0000-0400-00000A000000}" name="p. Life Expectancy" dataDxfId="102"/>
    <tableColumn id="13" xr3:uid="{00000000-0010-0000-0400-00000D000000}" name="q. Warranty Period" dataDxfId="101"/>
    <tableColumn id="14" xr3:uid="{00000000-0010-0000-0400-00000E000000}" name="r. Annual Maint. Cost" dataDxfId="100"/>
    <tableColumn id="15" xr3:uid="{00000000-0010-0000-0400-00000F000000}" name="s. Comments/Notes" dataDxfId="9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5000000}" name="Table33" displayName="Table33" ref="B22:T50" totalsRowShown="0" headerRowDxfId="98" headerRowBorderDxfId="97" tableBorderDxfId="96" totalsRowBorderDxfId="95">
  <tableColumns count="19">
    <tableColumn id="4" xr3:uid="{00000000-0010-0000-0500-000004000000}" name="a. Program Name" dataDxfId="94">
      <calculatedColumnFormula array="1">Table40[a. Program]</calculatedColumnFormula>
    </tableColumn>
    <tableColumn id="12" xr3:uid="{00000000-0010-0000-0500-00000C000000}" name="b. Contract #" dataDxfId="93">
      <calculatedColumnFormula>' 3 Contract Info'!$B$22</calculatedColumnFormula>
    </tableColumn>
    <tableColumn id="16" xr3:uid="{00000000-0010-0000-0500-000010000000}" name="c. Developer" dataDxfId="92"/>
    <tableColumn id="15" xr3:uid="{00000000-0010-0000-0500-00000F000000}" name="d. Location of Developer" dataDxfId="91"/>
    <tableColumn id="17" xr3:uid="{00000000-0010-0000-0500-000011000000}" name="e. Description" dataDxfId="90"/>
    <tableColumn id="22" xr3:uid="{D3FE0723-558E-4A21-8690-BDDC2002B62C}" name="f. Function" dataDxfId="89">
      <calculatedColumnFormula>' 4 WBS'!$C$23</calculatedColumnFormula>
    </tableColumn>
    <tableColumn id="14" xr3:uid="{00000000-0010-0000-0500-00000E000000}" name="g. SW Development Level 1" dataDxfId="88"/>
    <tableColumn id="19" xr3:uid="{00000000-0010-0000-0500-000013000000}" name="h. SW Development Level 2" dataDxfId="87"/>
    <tableColumn id="18" xr3:uid="{00000000-0010-0000-0500-000012000000}" name="i. SW Development Level 3" dataDxfId="86"/>
    <tableColumn id="8" xr3:uid="{00000000-0010-0000-0500-000008000000}" name="j. SW Development Level 4" dataDxfId="85"/>
    <tableColumn id="2" xr3:uid="{00000000-0010-0000-0500-000002000000}" name="k. Start Date" dataDxfId="84"/>
    <tableColumn id="3" xr3:uid="{00000000-0010-0000-0500-000003000000}" name="l. End Date" dataDxfId="83"/>
    <tableColumn id="5" xr3:uid="{00000000-0010-0000-0500-000005000000}" name="m. Activity" dataDxfId="82"/>
    <tableColumn id="11" xr3:uid="{00000000-0010-0000-0500-00000B000000}" name="n. Baseline Deployment " dataDxfId="81"/>
    <tableColumn id="7" xr3:uid="{00000000-0010-0000-0500-000007000000}" name="o. Date Deployed to Operations" dataDxfId="80"/>
    <tableColumn id="6" xr3:uid="{00000000-0010-0000-0500-000006000000}" name="p. DR UID" dataDxfId="79"/>
    <tableColumn id="10" xr3:uid="{00000000-0010-0000-0500-00000A000000}" name="q. Actual Hours for SW Development" dataDxfId="78"/>
    <tableColumn id="20" xr3:uid="{00000000-0010-0000-0500-000014000000}" name="r. Complexity" dataDxfId="77"/>
    <tableColumn id="13" xr3:uid="{00000000-0010-0000-0500-00000D000000}" name="s. Comments/Notes" dataDxfId="7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0B374-343F-4DC2-BED7-3975307129AB}" name="Table34" displayName="Table34" ref="B32:X59" totalsRowShown="0" headerRowDxfId="75" headerRowBorderDxfId="74" tableBorderDxfId="73" totalsRowBorderDxfId="72">
  <tableColumns count="23">
    <tableColumn id="5" xr3:uid="{E282BE05-91B6-4A03-98FD-5F5810B066F7}" name="a. Program Name" dataDxfId="71">
      <calculatedColumnFormula array="1">Table40[a. Program]</calculatedColumnFormula>
    </tableColumn>
    <tableColumn id="10" xr3:uid="{FB94FA23-2B59-4F1E-A9BC-ED31B9599E42}" name="b. Contract #" dataDxfId="70">
      <calculatedColumnFormula>' 3 Contract Info'!$B$22</calculatedColumnFormula>
    </tableColumn>
    <tableColumn id="2" xr3:uid="{6AB13964-5B5A-4F03-8F63-936B81474F83}" name="c. Developer" dataDxfId="69">
      <calculatedColumnFormula>' 7 Agile Detail'!$D$23</calculatedColumnFormula>
    </tableColumn>
    <tableColumn id="3" xr3:uid="{D7B0CDAE-E610-47CD-AC9B-5CED58C90FB8}" name="d. Location of Developer" dataDxfId="68">
      <calculatedColumnFormula>' 7 Agile Detail'!$E$23</calculatedColumnFormula>
    </tableColumn>
    <tableColumn id="24" xr3:uid="{C36D295E-F98E-4F15-9F59-08876DF598EE}" name="e. SW Code Type" dataDxfId="67"/>
    <tableColumn id="1" xr3:uid="{C8FE8162-61F0-4CD2-9007-0C2A329C7D8D}" name="f. Function" dataDxfId="66"/>
    <tableColumn id="22" xr3:uid="{140E10CF-4E31-4FF8-BE0B-87A9AC34C742}" name="g. SW Programming Language" dataDxfId="65"/>
    <tableColumn id="21" xr3:uid="{C600D865-A3B3-4D55-98B7-C98B3AA2B306}" name="h. CSCI Name" dataDxfId="64"/>
    <tableColumn id="18" xr3:uid="{5F8C0ACA-4775-4FD6-A6A8-3B0920057FC5}" name="i. Description" dataDxfId="63"/>
    <tableColumn id="16" xr3:uid="{675937D2-223E-49C2-B66A-D723D3AF008F}" name="j. Baseline Deployment" dataDxfId="62"/>
    <tableColumn id="17" xr3:uid="{01B35DD6-3A82-4C1E-93A2-8106829A21DD}" name="k. Development Strategy" dataDxfId="61"/>
    <tableColumn id="11" xr3:uid="{F86D5ED8-27EE-4418-A3AA-21E08A284244}" name="la. Total New Code" dataDxfId="60" dataCellStyle="Comma"/>
    <tableColumn id="6" xr3:uid="{F5A2D6FA-2463-4F87-B59B-38705F2C7E8E}" name="lb. % Newly Developed Code" dataDxfId="59" dataCellStyle="Percent"/>
    <tableColumn id="20" xr3:uid="{18A7448E-2990-4882-A220-4CC3BAA640E5}" name="lc. % of Total New Code" dataDxfId="58" dataCellStyle="Percent"/>
    <tableColumn id="13" xr3:uid="{6E9E0C02-1BCB-49CB-8140-F0EDFF64C497}" name="ld. % Adaptation Adjustment Factor (AAF)" dataDxfId="57" dataCellStyle="Percent"/>
    <tableColumn id="9" xr3:uid="{B9D17FFC-F928-46BA-A574-07103D641624}" name="le.  % of Total New Code" dataDxfId="56" dataCellStyle="Percent">
      <calculatedColumnFormula>1-SUM(Table34[[#This Row],[lb. % Newly Developed Code]:[lc. % of Total New Code]])</calculatedColumnFormula>
    </tableColumn>
    <tableColumn id="8" xr3:uid="{B7DA89C6-F7E1-4C7A-ABF4-B53256B7BDBE}" name="lf. % Adaptation Adjustment Factor (AAF) " dataDxfId="55" dataCellStyle="Percent"/>
    <tableColumn id="12" xr3:uid="{5188CD6F-9EBF-4AC7-9CE2-7E27A2216D29}" name="ma. Total Unmodified Code" dataDxfId="54" dataCellStyle="Comma"/>
    <tableColumn id="7" xr3:uid="{5B62E389-CAD0-47F4-BE61-C893B16458DC}" name="mb. % Adaptation Adjustment Factor (AAF)    " dataDxfId="53" dataCellStyle="Percent"/>
    <tableColumn id="15" xr3:uid="{F3A156CC-8F7C-43D2-B653-8A01B512ECAC}" name="na. Total Modified Code" dataDxfId="52" dataCellStyle="Comma"/>
    <tableColumn id="14" xr3:uid="{74F72E20-37A1-44F2-B002-2EDF84E9C00E}" name="nb. % Adaptation Adjustment Factor (AAF)  " dataDxfId="51" dataCellStyle="Percent"/>
    <tableColumn id="19" xr3:uid="{50E571F3-633B-4BA1-ACF8-D3257748B66C}" name="o. Total Deleted Code" dataDxfId="50" dataCellStyle="Comma"/>
    <tableColumn id="4" xr3:uid="{BEA1DF0B-0B79-4349-8CFE-8CA20DFDE7D0}" name="p. Comments/Notes" dataDxfId="4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6000000}" name="Table3332" displayName="Table3332" ref="B19:R53" totalsRowShown="0" headerRowDxfId="48" headerRowBorderDxfId="47" tableBorderDxfId="46" totalsRowBorderDxfId="45">
  <tableColumns count="17">
    <tableColumn id="8" xr3:uid="{00000000-0010-0000-0600-000008000000}" name="a. Program Name" dataDxfId="44">
      <calculatedColumnFormula array="1">Table40[a. Program]</calculatedColumnFormula>
    </tableColumn>
    <tableColumn id="14" xr3:uid="{00000000-0010-0000-0600-00000E000000}" name="b. Contract #" dataDxfId="43">
      <calculatedColumnFormula>' 3 Contract Info'!$B$22</calculatedColumnFormula>
    </tableColumn>
    <tableColumn id="6" xr3:uid="{00000000-0010-0000-0600-000006000000}" name="c. Developer" dataDxfId="42">
      <calculatedColumnFormula>' 7 Agile Detail'!$D$23</calculatedColumnFormula>
    </tableColumn>
    <tableColumn id="4" xr3:uid="{00000000-0010-0000-0600-000004000000}" name="d. Location of Developer" dataDxfId="41">
      <calculatedColumnFormula>' 7 Agile Detail'!$E$23</calculatedColumnFormula>
    </tableColumn>
    <tableColumn id="28" xr3:uid="{00000000-0010-0000-0600-00001C000000}" name="e. Task (Short Description)" dataDxfId="40"/>
    <tableColumn id="7" xr3:uid="{00000000-0010-0000-0600-000007000000}" name="f. Scope (Long Description)" dataDxfId="39"/>
    <tableColumn id="1" xr3:uid="{00000000-0010-0000-0600-000001000000}" name="g. Data Management Effort" dataDxfId="38"/>
    <tableColumn id="2" xr3:uid="{00000000-0010-0000-0600-000002000000}" name="h. Start Date" dataDxfId="37"/>
    <tableColumn id="3" xr3:uid="{00000000-0010-0000-0600-000003000000}" name="i. End Date" dataDxfId="36"/>
    <tableColumn id="17" xr3:uid="{00000000-0010-0000-0600-000011000000}" name="j. # of Hours Total" dataDxfId="35"/>
    <tableColumn id="18" xr3:uid="{00000000-0010-0000-0600-000012000000}" name="k. Size" dataDxfId="34"/>
    <tableColumn id="11" xr3:uid="{00000000-0010-0000-0600-00000B000000}" name="l. %  Manually Conditioned Data" dataDxfId="33" dataCellStyle="Percent"/>
    <tableColumn id="10" xr3:uid="{00000000-0010-0000-0600-00000A000000}" name="m. %  Automatically Conditioned Data" dataDxfId="32" dataCellStyle="Percent"/>
    <tableColumn id="15" xr3:uid="{00000000-0010-0000-0600-00000F000000}" name="n. Migration From X" dataDxfId="31"/>
    <tableColumn id="5" xr3:uid="{00000000-0010-0000-0600-000005000000}" name="o. Migration To Y" dataDxfId="30"/>
    <tableColumn id="9" xr3:uid="{00000000-0010-0000-0600-000009000000}" name="p. Database Name(s) if applicable" dataDxfId="29"/>
    <tableColumn id="13" xr3:uid="{00000000-0010-0000-0600-00000D000000}" name="q. Comments/Notes" dataDxfId="28"/>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17235E-C656-4644-89CC-E6DA9F04600D}" name="Table3332508" displayName="Table3332508" ref="B17:P38" totalsRowShown="0" headerRowDxfId="27" headerRowBorderDxfId="26" tableBorderDxfId="25" totalsRowBorderDxfId="24">
  <tableColumns count="15">
    <tableColumn id="9" xr3:uid="{3D374B16-503C-4A56-ACC8-D832A1B09C7B}" name="a. Program Name" dataDxfId="23">
      <calculatedColumnFormula array="1">Table40[a. Program]</calculatedColumnFormula>
    </tableColumn>
    <tableColumn id="14" xr3:uid="{C8E6B2FF-B0E6-4C81-8D4C-273D2B9CB92A}" name="b. Contract #" dataDxfId="22">
      <calculatedColumnFormula>' 3 Contract Info'!$B$22</calculatedColumnFormula>
    </tableColumn>
    <tableColumn id="28" xr3:uid="{50349132-CDDA-457C-8AF0-88E15B770F13}" name="c. Database Name" dataDxfId="21"/>
    <tableColumn id="8" xr3:uid="{2D4E08A6-D97F-4EA4-98FB-65447B425A5B}" name="d. Description" dataDxfId="20"/>
    <tableColumn id="18" xr3:uid="{53FCAE4C-46CC-452B-B1A0-9822E121AD2E}" name="e. Size" dataDxfId="19"/>
    <tableColumn id="23" xr3:uid="{CE9583DD-2F28-432F-BA14-20A92156971A}" name="f. # of DB Instances" dataDxfId="18"/>
    <tableColumn id="3" xr3:uid="{6171FDF4-FAC0-4D51-95D7-039AE4EFD5F2}" name="g. Platform for Database" dataDxfId="17"/>
    <tableColumn id="10" xr3:uid="{61B0EDE7-38D3-4D43-9C31-BBA7CA295330}" name="h. Table List" dataDxfId="16"/>
    <tableColumn id="11" xr3:uid="{7D2EBFB6-C7D1-465D-9396-AAA306A48CCB}" name="i. # of Different Types of Constraints on each Attribute" dataDxfId="15"/>
    <tableColumn id="1" xr3:uid="{C0029DFC-399C-4F6C-AC8D-681A740DDB9E}" name="j. # of Fields/Tables" dataDxfId="14"/>
    <tableColumn id="15" xr3:uid="{AD9976FD-4C47-43AC-992E-AC399E5089CD}" name="k. # of Triggers used in Database" dataDxfId="13"/>
    <tableColumn id="17" xr3:uid="{1D6112C9-6235-43DE-9DB3-70C26883360C}" name="l. # of Data Entry Forms" dataDxfId="12"/>
    <tableColumn id="16" xr3:uid="{46DD51CE-B613-4F47-B37B-475A3958204C}" name="m. # of Views to be Created" dataDxfId="11"/>
    <tableColumn id="6" xr3:uid="{FBED5A77-0575-48E0-9FA7-6E0A47B7802F}" name="n. Track Historical Records" dataDxfId="10"/>
    <tableColumn id="13" xr3:uid="{F9ADA738-7CE4-4A06-BE08-AEAB3B31C1C9}" name="o. Comments/Notes" dataDxfId="9"/>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8F9AA5-FB17-475E-9EE4-691E9B2DE6E8}" name="Table208" displayName="Table208" ref="AJ21:AJ28" totalsRowShown="0" headerRowDxfId="8" dataDxfId="7">
  <autoFilter ref="AJ21:AJ28" xr:uid="{0B8F9AA5-FB17-475E-9EE4-691E9B2DE6E8}"/>
  <sortState xmlns:xlrd2="http://schemas.microsoft.com/office/spreadsheetml/2017/richdata2" ref="AJ22:AJ26">
    <sortCondition ref="AJ20"/>
  </sortState>
  <tableColumns count="1">
    <tableColumn id="1" xr3:uid="{8D8CDCFA-A37E-4E71-A22F-D8F0D0A340D2}" name="Equipment Category" dataDxfId="6"/>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B0D944-97AB-4E08-A4DB-2EDA3BA5DB63}" name="TableCodeCounter4245" displayName="TableCodeCounter4245" ref="H21:H28" totalsRowShown="0" headerRowDxfId="5" dataDxfId="3" headerRowBorderDxfId="4" tableBorderDxfId="2" totalsRowBorderDxfId="1" dataCellStyle="Normal_PickList Tables">
  <autoFilter ref="H21:H28" xr:uid="{F0B0D944-97AB-4E08-A4DB-2EDA3BA5DB63}"/>
  <tableColumns count="1">
    <tableColumn id="1" xr3:uid="{742ED8D8-CC79-42E4-A0E8-02F024A35854}" name="Pricing Strategy" dataDxfId="0" dataCellStyle="Normal_PickList Tab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comments" Target="../comments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comments" Target="../comments9.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omments" Target="../comments10.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5180-F19D-4D23-90AE-DDFE237534A2}">
  <sheetPr>
    <tabColor theme="8"/>
    <pageSetUpPr autoPageBreaks="0" fitToPage="1"/>
  </sheetPr>
  <dimension ref="J2:S23"/>
  <sheetViews>
    <sheetView showGridLines="0" zoomScale="70" zoomScaleNormal="70" workbookViewId="0">
      <selection activeCell="A2" sqref="A2"/>
    </sheetView>
  </sheetViews>
  <sheetFormatPr defaultColWidth="9.140625" defaultRowHeight="15" x14ac:dyDescent="0.25"/>
  <cols>
    <col min="1" max="16384" width="9.140625" style="3"/>
  </cols>
  <sheetData>
    <row r="2" spans="10:18" ht="15.75" x14ac:dyDescent="0.25">
      <c r="J2" s="355" t="s">
        <v>600</v>
      </c>
      <c r="K2" s="355"/>
      <c r="L2" s="355"/>
      <c r="M2" s="355"/>
      <c r="N2" s="355"/>
      <c r="O2" s="355"/>
      <c r="P2" s="355"/>
      <c r="Q2" s="355"/>
      <c r="R2" s="355"/>
    </row>
    <row r="23" spans="19:19" x14ac:dyDescent="0.25">
      <c r="S23" s="87"/>
    </row>
  </sheetData>
  <mergeCells count="1">
    <mergeCell ref="J2:R2"/>
  </mergeCells>
  <pageMargins left="0.7" right="0.7" top="0.75" bottom="0.5" header="0.3" footer="0.3"/>
  <pageSetup orientation="landscape" r:id="rId1"/>
  <headerFooter>
    <oddHeader>&amp;C&amp;"Courier"&amp;12UNCLASSIFIED</oddHeader>
    <oddFooter>&amp;C&amp;"Courier"&amp;12UNCLASSIFIED</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126C4-368B-4287-A4F8-66BA1470AE02}">
  <sheetPr>
    <tabColor theme="8"/>
  </sheetPr>
  <dimension ref="A2:T69"/>
  <sheetViews>
    <sheetView showGridLines="0" topLeftCell="C20" zoomScale="85" zoomScaleNormal="85" workbookViewId="0">
      <selection activeCell="T43" sqref="T43"/>
    </sheetView>
  </sheetViews>
  <sheetFormatPr defaultColWidth="9.140625" defaultRowHeight="15" x14ac:dyDescent="0.25"/>
  <cols>
    <col min="1" max="1" width="2.85546875" style="3" customWidth="1"/>
    <col min="2" max="4" width="24.7109375" style="3" customWidth="1"/>
    <col min="5" max="5" width="30.42578125" style="3" customWidth="1"/>
    <col min="6" max="6" width="17.85546875" style="3" customWidth="1"/>
    <col min="7" max="7" width="16.28515625" style="3" customWidth="1"/>
    <col min="8" max="8" width="23.5703125" style="3" customWidth="1"/>
    <col min="9" max="9" width="17.85546875" style="3" customWidth="1"/>
    <col min="10" max="10" width="18.7109375" style="3" customWidth="1"/>
    <col min="11" max="11" width="17.42578125" style="3" bestFit="1" customWidth="1"/>
    <col min="12" max="12" width="17.85546875" style="3" customWidth="1"/>
    <col min="13" max="14" width="13.85546875" style="3" customWidth="1"/>
    <col min="15" max="17" width="17.85546875" style="3" customWidth="1"/>
    <col min="18" max="18" width="20" style="3" customWidth="1"/>
    <col min="19" max="19" width="26.42578125" style="3" customWidth="1"/>
    <col min="20" max="20" width="56.42578125" style="3" customWidth="1"/>
    <col min="21" max="16384" width="9.140625" style="3"/>
  </cols>
  <sheetData>
    <row r="2" spans="4:11" ht="15.75" x14ac:dyDescent="0.25">
      <c r="D2" s="355" t="s">
        <v>600</v>
      </c>
      <c r="E2" s="355"/>
      <c r="F2" s="355"/>
      <c r="G2" s="355"/>
      <c r="H2" s="355"/>
    </row>
    <row r="6" spans="4:11" ht="15.75" thickBot="1" x14ac:dyDescent="0.3"/>
    <row r="7" spans="4:11" ht="15.75" x14ac:dyDescent="0.25">
      <c r="F7" s="22"/>
      <c r="G7" s="36" t="s">
        <v>198</v>
      </c>
      <c r="H7" s="23"/>
      <c r="I7" s="23"/>
      <c r="J7" s="24"/>
      <c r="K7" s="25"/>
    </row>
    <row r="8" spans="4:11" x14ac:dyDescent="0.25">
      <c r="F8" s="26"/>
      <c r="G8" s="27" t="s">
        <v>191</v>
      </c>
      <c r="H8" s="28"/>
      <c r="I8" s="28"/>
      <c r="J8" s="29"/>
      <c r="K8" s="30"/>
    </row>
    <row r="9" spans="4:11" x14ac:dyDescent="0.25">
      <c r="F9" s="26"/>
      <c r="G9" s="27" t="s">
        <v>192</v>
      </c>
      <c r="H9" s="28"/>
      <c r="I9" s="28"/>
      <c r="J9" s="29"/>
      <c r="K9" s="30"/>
    </row>
    <row r="10" spans="4:11" x14ac:dyDescent="0.25">
      <c r="F10" s="26"/>
      <c r="G10" s="27" t="s">
        <v>193</v>
      </c>
      <c r="H10" s="28"/>
      <c r="I10" s="28"/>
      <c r="J10" s="29"/>
      <c r="K10" s="30"/>
    </row>
    <row r="11" spans="4:11" x14ac:dyDescent="0.25">
      <c r="F11" s="26"/>
      <c r="G11" s="27" t="s">
        <v>194</v>
      </c>
      <c r="H11" s="28"/>
      <c r="I11" s="28"/>
      <c r="J11" s="29"/>
      <c r="K11" s="30"/>
    </row>
    <row r="12" spans="4:11" x14ac:dyDescent="0.25">
      <c r="F12" s="26"/>
      <c r="G12" s="27" t="s">
        <v>195</v>
      </c>
      <c r="H12" s="28"/>
      <c r="I12" s="28"/>
      <c r="J12" s="29"/>
      <c r="K12" s="30"/>
    </row>
    <row r="13" spans="4:11" x14ac:dyDescent="0.25">
      <c r="F13" s="26"/>
      <c r="G13" s="27" t="s">
        <v>196</v>
      </c>
      <c r="H13" s="28"/>
      <c r="I13" s="28"/>
      <c r="J13" s="29"/>
      <c r="K13" s="30"/>
    </row>
    <row r="14" spans="4:11" ht="15.75" thickBot="1" x14ac:dyDescent="0.3">
      <c r="F14" s="31"/>
      <c r="G14" s="32" t="s">
        <v>197</v>
      </c>
      <c r="H14" s="33"/>
      <c r="I14" s="33"/>
      <c r="J14" s="34"/>
      <c r="K14" s="35"/>
    </row>
    <row r="17" spans="2:6" s="8" customFormat="1" ht="12.75" x14ac:dyDescent="0.2">
      <c r="B17" s="256" t="s">
        <v>606</v>
      </c>
    </row>
    <row r="18" spans="2:6" s="108" customFormat="1" ht="25.5" x14ac:dyDescent="0.2">
      <c r="B18" s="7" t="s">
        <v>607</v>
      </c>
      <c r="C18" s="5" t="s">
        <v>608</v>
      </c>
      <c r="D18" s="5" t="s">
        <v>609</v>
      </c>
      <c r="E18" s="6" t="s">
        <v>610</v>
      </c>
    </row>
    <row r="19" spans="2:6" s="8" customFormat="1" ht="12.75" x14ac:dyDescent="0.2">
      <c r="B19" s="265"/>
      <c r="C19" s="182"/>
      <c r="D19" s="182"/>
      <c r="E19" s="266"/>
    </row>
    <row r="20" spans="2:6" s="8" customFormat="1" ht="15.75" thickBot="1" x14ac:dyDescent="0.3">
      <c r="E20" s="3"/>
    </row>
    <row r="21" spans="2:6" s="315" customFormat="1" x14ac:dyDescent="0.25">
      <c r="B21" s="312" t="s">
        <v>611</v>
      </c>
      <c r="C21" s="313" t="s">
        <v>612</v>
      </c>
      <c r="D21" s="313" t="s">
        <v>613</v>
      </c>
      <c r="E21" s="223" t="s">
        <v>614</v>
      </c>
      <c r="F21" s="314"/>
    </row>
    <row r="22" spans="2:6" s="8" customFormat="1" x14ac:dyDescent="0.25">
      <c r="B22" s="267"/>
      <c r="C22" s="188"/>
      <c r="D22" s="188"/>
      <c r="E22" s="191"/>
      <c r="F22" s="3"/>
    </row>
    <row r="23" spans="2:6" s="8" customFormat="1" x14ac:dyDescent="0.25">
      <c r="B23" s="267"/>
      <c r="C23" s="190"/>
      <c r="D23" s="190"/>
      <c r="E23" s="192"/>
      <c r="F23" s="3"/>
    </row>
    <row r="24" spans="2:6" s="8" customFormat="1" x14ac:dyDescent="0.25">
      <c r="B24" s="267"/>
      <c r="C24" s="188"/>
      <c r="D24" s="188"/>
      <c r="E24" s="191"/>
      <c r="F24" s="3"/>
    </row>
    <row r="25" spans="2:6" s="8" customFormat="1" ht="15.75" thickBot="1" x14ac:dyDescent="0.3">
      <c r="B25" s="268"/>
      <c r="C25" s="269"/>
      <c r="D25" s="269"/>
      <c r="E25" s="270"/>
      <c r="F25" s="3"/>
    </row>
    <row r="26" spans="2:6" s="8" customFormat="1" ht="12.75" x14ac:dyDescent="0.2">
      <c r="C26" s="257"/>
      <c r="D26" s="257"/>
      <c r="E26" s="257"/>
      <c r="F26" s="257"/>
    </row>
    <row r="27" spans="2:6" s="8" customFormat="1" ht="13.5" thickBot="1" x14ac:dyDescent="0.25">
      <c r="B27" s="256" t="s">
        <v>615</v>
      </c>
    </row>
    <row r="28" spans="2:6" s="108" customFormat="1" ht="12.75" x14ac:dyDescent="0.2">
      <c r="B28" s="168" t="s">
        <v>616</v>
      </c>
      <c r="C28" s="158" t="s">
        <v>617</v>
      </c>
      <c r="D28" s="359" t="s">
        <v>618</v>
      </c>
      <c r="E28" s="360"/>
    </row>
    <row r="29" spans="2:6" s="8" customFormat="1" ht="12.75" x14ac:dyDescent="0.2">
      <c r="B29" s="188"/>
      <c r="C29" s="325"/>
      <c r="D29" s="361"/>
      <c r="E29" s="362"/>
    </row>
    <row r="30" spans="2:6" s="8" customFormat="1" ht="12.75" x14ac:dyDescent="0.2">
      <c r="B30" s="190"/>
      <c r="C30" s="326"/>
      <c r="D30" s="363"/>
      <c r="E30" s="364"/>
    </row>
    <row r="31" spans="2:6" s="8" customFormat="1" ht="12.75" x14ac:dyDescent="0.2">
      <c r="B31" s="188"/>
      <c r="C31" s="325"/>
      <c r="D31" s="361"/>
      <c r="E31" s="362"/>
    </row>
    <row r="32" spans="2:6" s="8" customFormat="1" ht="12.75" x14ac:dyDescent="0.2">
      <c r="B32" s="190"/>
      <c r="C32" s="326"/>
      <c r="D32" s="363"/>
      <c r="E32" s="364"/>
    </row>
    <row r="33" spans="1:20" s="8" customFormat="1" ht="13.5" thickBot="1" x14ac:dyDescent="0.25">
      <c r="B33" s="188"/>
      <c r="C33" s="325"/>
      <c r="D33" s="361"/>
      <c r="E33" s="362"/>
    </row>
    <row r="34" spans="1:20" ht="25.5" customHeight="1" thickBot="1" x14ac:dyDescent="0.3">
      <c r="B34" s="256" t="s">
        <v>619</v>
      </c>
      <c r="D34" s="347"/>
      <c r="I34" s="356" t="s">
        <v>552</v>
      </c>
      <c r="J34" s="357"/>
      <c r="K34" s="357"/>
      <c r="L34" s="357"/>
      <c r="M34" s="357"/>
      <c r="N34" s="357"/>
      <c r="O34" s="357"/>
      <c r="P34" s="357"/>
      <c r="Q34" s="357"/>
      <c r="R34" s="358"/>
      <c r="S34" s="37"/>
    </row>
    <row r="35" spans="1:20" s="110" customFormat="1" ht="25.5" x14ac:dyDescent="0.25">
      <c r="B35" s="214" t="s">
        <v>620</v>
      </c>
      <c r="C35" s="149" t="s">
        <v>621</v>
      </c>
      <c r="D35" s="149" t="s">
        <v>622</v>
      </c>
      <c r="E35" s="149" t="s">
        <v>623</v>
      </c>
      <c r="F35" s="149" t="s">
        <v>624</v>
      </c>
      <c r="G35" s="149" t="s">
        <v>625</v>
      </c>
      <c r="H35" s="149" t="s">
        <v>626</v>
      </c>
      <c r="I35" s="149" t="s">
        <v>671</v>
      </c>
      <c r="J35" s="149" t="s">
        <v>672</v>
      </c>
      <c r="K35" s="149" t="s">
        <v>673</v>
      </c>
      <c r="L35" s="231" t="s">
        <v>674</v>
      </c>
      <c r="M35" s="231" t="s">
        <v>675</v>
      </c>
      <c r="N35" s="231" t="s">
        <v>676</v>
      </c>
      <c r="O35" s="231" t="s">
        <v>677</v>
      </c>
      <c r="P35" s="231" t="s">
        <v>678</v>
      </c>
      <c r="Q35" s="231" t="s">
        <v>679</v>
      </c>
      <c r="R35" s="149" t="s">
        <v>680</v>
      </c>
      <c r="S35" s="231" t="s">
        <v>681</v>
      </c>
      <c r="T35" s="223" t="s">
        <v>682</v>
      </c>
    </row>
    <row r="36" spans="1:20" x14ac:dyDescent="0.25">
      <c r="B36" s="253" cm="1">
        <f t="array" ref="B36">Table40[a. Program]</f>
        <v>0</v>
      </c>
      <c r="C36" s="251">
        <f>' 3 Contract Info'!$B$22</f>
        <v>0</v>
      </c>
      <c r="D36" s="220"/>
      <c r="E36" s="213"/>
      <c r="F36" s="213"/>
      <c r="G36" s="213"/>
      <c r="H36" s="213"/>
      <c r="I36" s="227"/>
      <c r="J36" s="319"/>
      <c r="K36" s="228"/>
      <c r="L36" s="319"/>
      <c r="M36" s="228"/>
      <c r="N36" s="319"/>
      <c r="O36" s="228"/>
      <c r="P36" s="319"/>
      <c r="Q36" s="228"/>
      <c r="R36" s="319"/>
      <c r="S36" s="319"/>
      <c r="T36" s="322"/>
    </row>
    <row r="37" spans="1:20" x14ac:dyDescent="0.25">
      <c r="B37" s="254" cm="1">
        <f t="array" ref="B37">Table40[a. Program]</f>
        <v>0</v>
      </c>
      <c r="C37" s="250">
        <f>' 3 Contract Info'!$B$22</f>
        <v>0</v>
      </c>
      <c r="D37" s="222"/>
      <c r="E37" s="212"/>
      <c r="F37" s="212"/>
      <c r="G37" s="212"/>
      <c r="H37" s="212"/>
      <c r="I37" s="229"/>
      <c r="J37" s="320"/>
      <c r="K37" s="230"/>
      <c r="L37" s="320"/>
      <c r="M37" s="230"/>
      <c r="N37" s="320"/>
      <c r="O37" s="230"/>
      <c r="P37" s="320"/>
      <c r="Q37" s="230"/>
      <c r="R37" s="320"/>
      <c r="S37" s="320"/>
      <c r="T37" s="323"/>
    </row>
    <row r="38" spans="1:20" x14ac:dyDescent="0.25">
      <c r="B38" s="253" cm="1">
        <f t="array" ref="B38">Table40[a. Program]</f>
        <v>0</v>
      </c>
      <c r="C38" s="251">
        <f>' 3 Contract Info'!$B$22</f>
        <v>0</v>
      </c>
      <c r="D38" s="220"/>
      <c r="E38" s="213"/>
      <c r="F38" s="213"/>
      <c r="G38" s="213"/>
      <c r="H38" s="213"/>
      <c r="I38" s="229"/>
      <c r="J38" s="319"/>
      <c r="K38" s="230"/>
      <c r="L38" s="319"/>
      <c r="M38" s="230"/>
      <c r="N38" s="319"/>
      <c r="O38" s="230"/>
      <c r="P38" s="319"/>
      <c r="Q38" s="230"/>
      <c r="R38" s="319"/>
      <c r="S38" s="319"/>
      <c r="T38" s="322"/>
    </row>
    <row r="39" spans="1:20" x14ac:dyDescent="0.25">
      <c r="A39" s="4"/>
      <c r="B39" s="254" cm="1">
        <f t="array" ref="B39">Table40[a. Program]</f>
        <v>0</v>
      </c>
      <c r="C39" s="250">
        <f>' 3 Contract Info'!$B$22</f>
        <v>0</v>
      </c>
      <c r="D39" s="222"/>
      <c r="E39" s="212"/>
      <c r="F39" s="212"/>
      <c r="G39" s="212"/>
      <c r="H39" s="212"/>
      <c r="I39" s="229"/>
      <c r="J39" s="320"/>
      <c r="K39" s="230"/>
      <c r="L39" s="320"/>
      <c r="M39" s="230"/>
      <c r="N39" s="320"/>
      <c r="O39" s="230"/>
      <c r="P39" s="320"/>
      <c r="Q39" s="230"/>
      <c r="R39" s="320"/>
      <c r="S39" s="320"/>
      <c r="T39" s="323"/>
    </row>
    <row r="40" spans="1:20" x14ac:dyDescent="0.25">
      <c r="A40" s="4"/>
      <c r="B40" s="253" cm="1">
        <f t="array" ref="B40">Table40[a. Program]</f>
        <v>0</v>
      </c>
      <c r="C40" s="251">
        <f>' 3 Contract Info'!$B$22</f>
        <v>0</v>
      </c>
      <c r="D40" s="220"/>
      <c r="E40" s="213"/>
      <c r="F40" s="213"/>
      <c r="G40" s="213"/>
      <c r="H40" s="213"/>
      <c r="I40" s="229"/>
      <c r="J40" s="319"/>
      <c r="K40" s="230"/>
      <c r="L40" s="319"/>
      <c r="M40" s="230"/>
      <c r="N40" s="319"/>
      <c r="O40" s="230"/>
      <c r="P40" s="319"/>
      <c r="Q40" s="230"/>
      <c r="R40" s="319"/>
      <c r="S40" s="319"/>
      <c r="T40" s="322"/>
    </row>
    <row r="41" spans="1:20" x14ac:dyDescent="0.25">
      <c r="A41" s="4"/>
      <c r="B41" s="254" cm="1">
        <f t="array" ref="B41">Table40[a. Program]</f>
        <v>0</v>
      </c>
      <c r="C41" s="250">
        <f>' 3 Contract Info'!$B$22</f>
        <v>0</v>
      </c>
      <c r="D41" s="222"/>
      <c r="E41" s="212"/>
      <c r="F41" s="212"/>
      <c r="G41" s="212"/>
      <c r="H41" s="212"/>
      <c r="I41" s="229"/>
      <c r="J41" s="320"/>
      <c r="K41" s="230"/>
      <c r="L41" s="320"/>
      <c r="M41" s="230"/>
      <c r="N41" s="320"/>
      <c r="O41" s="230"/>
      <c r="P41" s="320"/>
      <c r="Q41" s="230"/>
      <c r="R41" s="320"/>
      <c r="S41" s="320"/>
      <c r="T41" s="323"/>
    </row>
    <row r="42" spans="1:20" x14ac:dyDescent="0.25">
      <c r="A42" s="4"/>
      <c r="B42" s="253" cm="1">
        <f t="array" ref="B42">Table40[a. Program]</f>
        <v>0</v>
      </c>
      <c r="C42" s="251">
        <f>' 3 Contract Info'!$B$22</f>
        <v>0</v>
      </c>
      <c r="D42" s="220"/>
      <c r="E42" s="213"/>
      <c r="F42" s="213"/>
      <c r="G42" s="213"/>
      <c r="H42" s="213"/>
      <c r="I42" s="229"/>
      <c r="J42" s="319"/>
      <c r="K42" s="230"/>
      <c r="L42" s="319"/>
      <c r="M42" s="230"/>
      <c r="N42" s="319"/>
      <c r="O42" s="230"/>
      <c r="P42" s="319"/>
      <c r="Q42" s="230"/>
      <c r="R42" s="319"/>
      <c r="S42" s="319"/>
      <c r="T42" s="322"/>
    </row>
    <row r="43" spans="1:20" x14ac:dyDescent="0.25">
      <c r="A43" s="4"/>
      <c r="B43" s="254" cm="1">
        <f t="array" ref="B43">Table40[a. Program]</f>
        <v>0</v>
      </c>
      <c r="C43" s="250">
        <f>' 3 Contract Info'!$B$22</f>
        <v>0</v>
      </c>
      <c r="D43" s="222"/>
      <c r="E43" s="212"/>
      <c r="F43" s="212"/>
      <c r="G43" s="212"/>
      <c r="H43" s="212"/>
      <c r="I43" s="229"/>
      <c r="J43" s="320"/>
      <c r="K43" s="230"/>
      <c r="L43" s="320"/>
      <c r="M43" s="230"/>
      <c r="N43" s="320"/>
      <c r="O43" s="230"/>
      <c r="P43" s="320"/>
      <c r="Q43" s="230"/>
      <c r="R43" s="320"/>
      <c r="S43" s="320"/>
      <c r="T43" s="323"/>
    </row>
    <row r="44" spans="1:20" x14ac:dyDescent="0.25">
      <c r="A44" s="4"/>
      <c r="B44" s="253" cm="1">
        <f t="array" ref="B44">Table40[a. Program]</f>
        <v>0</v>
      </c>
      <c r="C44" s="251">
        <f>' 3 Contract Info'!$B$22</f>
        <v>0</v>
      </c>
      <c r="D44" s="220"/>
      <c r="E44" s="213"/>
      <c r="F44" s="213"/>
      <c r="G44" s="213"/>
      <c r="H44" s="213"/>
      <c r="I44" s="229"/>
      <c r="J44" s="319"/>
      <c r="K44" s="230"/>
      <c r="L44" s="319"/>
      <c r="M44" s="230"/>
      <c r="N44" s="319"/>
      <c r="O44" s="230"/>
      <c r="P44" s="319"/>
      <c r="Q44" s="230"/>
      <c r="R44" s="319"/>
      <c r="S44" s="319"/>
      <c r="T44" s="322"/>
    </row>
    <row r="45" spans="1:20" x14ac:dyDescent="0.25">
      <c r="A45" s="4"/>
      <c r="B45" s="254" cm="1">
        <f t="array" ref="B45">Table40[a. Program]</f>
        <v>0</v>
      </c>
      <c r="C45" s="250">
        <f>' 3 Contract Info'!$B$22</f>
        <v>0</v>
      </c>
      <c r="D45" s="222"/>
      <c r="E45" s="212"/>
      <c r="F45" s="212"/>
      <c r="G45" s="212"/>
      <c r="H45" s="212"/>
      <c r="I45" s="229"/>
      <c r="J45" s="320"/>
      <c r="K45" s="230"/>
      <c r="L45" s="320"/>
      <c r="M45" s="230"/>
      <c r="N45" s="320"/>
      <c r="O45" s="230"/>
      <c r="P45" s="320"/>
      <c r="Q45" s="230"/>
      <c r="R45" s="320"/>
      <c r="S45" s="320"/>
      <c r="T45" s="323"/>
    </row>
    <row r="46" spans="1:20" x14ac:dyDescent="0.25">
      <c r="A46" s="4"/>
      <c r="B46" s="253" cm="1">
        <f t="array" ref="B46">Table40[a. Program]</f>
        <v>0</v>
      </c>
      <c r="C46" s="251">
        <f>' 3 Contract Info'!$B$22</f>
        <v>0</v>
      </c>
      <c r="D46" s="220"/>
      <c r="E46" s="213"/>
      <c r="F46" s="213"/>
      <c r="G46" s="213"/>
      <c r="H46" s="213"/>
      <c r="I46" s="229"/>
      <c r="J46" s="319"/>
      <c r="K46" s="230"/>
      <c r="L46" s="319"/>
      <c r="M46" s="230"/>
      <c r="N46" s="319"/>
      <c r="O46" s="230"/>
      <c r="P46" s="319"/>
      <c r="Q46" s="230"/>
      <c r="R46" s="319"/>
      <c r="S46" s="319"/>
      <c r="T46" s="322"/>
    </row>
    <row r="47" spans="1:20" x14ac:dyDescent="0.25">
      <c r="A47" s="4"/>
      <c r="B47" s="254" cm="1">
        <f t="array" ref="B47">Table40[a. Program]</f>
        <v>0</v>
      </c>
      <c r="C47" s="250">
        <f>' 3 Contract Info'!$B$22</f>
        <v>0</v>
      </c>
      <c r="D47" s="222"/>
      <c r="E47" s="212"/>
      <c r="F47" s="212"/>
      <c r="G47" s="212"/>
      <c r="H47" s="212"/>
      <c r="I47" s="229"/>
      <c r="J47" s="320"/>
      <c r="K47" s="230"/>
      <c r="L47" s="320"/>
      <c r="M47" s="230"/>
      <c r="N47" s="320"/>
      <c r="O47" s="230"/>
      <c r="P47" s="320"/>
      <c r="Q47" s="230"/>
      <c r="R47" s="320"/>
      <c r="S47" s="320"/>
      <c r="T47" s="323"/>
    </row>
    <row r="48" spans="1:20" x14ac:dyDescent="0.25">
      <c r="A48" s="4"/>
      <c r="B48" s="253" cm="1">
        <f t="array" ref="B48">Table40[a. Program]</f>
        <v>0</v>
      </c>
      <c r="C48" s="251">
        <f>' 3 Contract Info'!$B$22</f>
        <v>0</v>
      </c>
      <c r="D48" s="220"/>
      <c r="E48" s="213"/>
      <c r="F48" s="213"/>
      <c r="G48" s="213"/>
      <c r="H48" s="213"/>
      <c r="I48" s="229"/>
      <c r="J48" s="319"/>
      <c r="K48" s="230"/>
      <c r="L48" s="319"/>
      <c r="M48" s="230"/>
      <c r="N48" s="319"/>
      <c r="O48" s="230"/>
      <c r="P48" s="319"/>
      <c r="Q48" s="230"/>
      <c r="R48" s="319"/>
      <c r="S48" s="319"/>
      <c r="T48" s="322"/>
    </row>
    <row r="49" spans="1:20" x14ac:dyDescent="0.25">
      <c r="A49" s="4"/>
      <c r="B49" s="254" cm="1">
        <f t="array" ref="B49">Table40[a. Program]</f>
        <v>0</v>
      </c>
      <c r="C49" s="250">
        <f>' 3 Contract Info'!$B$22</f>
        <v>0</v>
      </c>
      <c r="D49" s="222"/>
      <c r="E49" s="212"/>
      <c r="F49" s="212"/>
      <c r="G49" s="212"/>
      <c r="H49" s="212"/>
      <c r="I49" s="229"/>
      <c r="J49" s="320"/>
      <c r="K49" s="230"/>
      <c r="L49" s="320"/>
      <c r="M49" s="230"/>
      <c r="N49" s="320"/>
      <c r="O49" s="230"/>
      <c r="P49" s="320"/>
      <c r="Q49" s="230"/>
      <c r="R49" s="320"/>
      <c r="S49" s="320"/>
      <c r="T49" s="323"/>
    </row>
    <row r="50" spans="1:20" x14ac:dyDescent="0.25">
      <c r="A50" s="4"/>
      <c r="B50" s="253" cm="1">
        <f t="array" ref="B50">Table40[a. Program]</f>
        <v>0</v>
      </c>
      <c r="C50" s="251">
        <f>' 3 Contract Info'!$B$22</f>
        <v>0</v>
      </c>
      <c r="D50" s="220"/>
      <c r="E50" s="213"/>
      <c r="F50" s="213"/>
      <c r="G50" s="213"/>
      <c r="H50" s="213"/>
      <c r="I50" s="229"/>
      <c r="J50" s="319"/>
      <c r="K50" s="230"/>
      <c r="L50" s="319"/>
      <c r="M50" s="230"/>
      <c r="N50" s="319"/>
      <c r="O50" s="230"/>
      <c r="P50" s="319"/>
      <c r="Q50" s="230"/>
      <c r="R50" s="319"/>
      <c r="S50" s="319"/>
      <c r="T50" s="322"/>
    </row>
    <row r="51" spans="1:20" x14ac:dyDescent="0.25">
      <c r="A51" s="4"/>
      <c r="B51" s="254" cm="1">
        <f t="array" ref="B51">Table40[a. Program]</f>
        <v>0</v>
      </c>
      <c r="C51" s="250">
        <f>' 3 Contract Info'!$B$22</f>
        <v>0</v>
      </c>
      <c r="D51" s="222"/>
      <c r="E51" s="212"/>
      <c r="F51" s="212"/>
      <c r="G51" s="212"/>
      <c r="H51" s="212"/>
      <c r="I51" s="229"/>
      <c r="J51" s="320"/>
      <c r="K51" s="230"/>
      <c r="L51" s="320"/>
      <c r="M51" s="230"/>
      <c r="N51" s="320"/>
      <c r="O51" s="230"/>
      <c r="P51" s="320"/>
      <c r="Q51" s="230"/>
      <c r="R51" s="320"/>
      <c r="S51" s="320"/>
      <c r="T51" s="323"/>
    </row>
    <row r="52" spans="1:20" x14ac:dyDescent="0.25">
      <c r="A52" s="4"/>
      <c r="B52" s="253" cm="1">
        <f t="array" ref="B52">Table40[a. Program]</f>
        <v>0</v>
      </c>
      <c r="C52" s="251">
        <f>' 3 Contract Info'!$B$22</f>
        <v>0</v>
      </c>
      <c r="D52" s="220"/>
      <c r="E52" s="213"/>
      <c r="F52" s="213"/>
      <c r="G52" s="213"/>
      <c r="H52" s="213"/>
      <c r="I52" s="229"/>
      <c r="J52" s="319"/>
      <c r="K52" s="230"/>
      <c r="L52" s="319"/>
      <c r="M52" s="230"/>
      <c r="N52" s="319"/>
      <c r="O52" s="230"/>
      <c r="P52" s="319"/>
      <c r="Q52" s="230"/>
      <c r="R52" s="319"/>
      <c r="S52" s="319"/>
      <c r="T52" s="322"/>
    </row>
    <row r="53" spans="1:20" x14ac:dyDescent="0.25">
      <c r="A53" s="4"/>
      <c r="B53" s="254" cm="1">
        <f t="array" ref="B53">Table40[a. Program]</f>
        <v>0</v>
      </c>
      <c r="C53" s="250">
        <f>' 3 Contract Info'!$B$22</f>
        <v>0</v>
      </c>
      <c r="D53" s="222"/>
      <c r="E53" s="212"/>
      <c r="F53" s="212"/>
      <c r="G53" s="212"/>
      <c r="H53" s="212"/>
      <c r="I53" s="229"/>
      <c r="J53" s="320"/>
      <c r="K53" s="230"/>
      <c r="L53" s="320"/>
      <c r="M53" s="230"/>
      <c r="N53" s="320"/>
      <c r="O53" s="230"/>
      <c r="P53" s="320"/>
      <c r="Q53" s="230"/>
      <c r="R53" s="320"/>
      <c r="S53" s="320"/>
      <c r="T53" s="323"/>
    </row>
    <row r="54" spans="1:20" x14ac:dyDescent="0.25">
      <c r="A54" s="4"/>
      <c r="B54" s="253" cm="1">
        <f t="array" ref="B54">Table40[a. Program]</f>
        <v>0</v>
      </c>
      <c r="C54" s="251">
        <f>' 3 Contract Info'!$B$22</f>
        <v>0</v>
      </c>
      <c r="D54" s="220"/>
      <c r="E54" s="213"/>
      <c r="F54" s="213"/>
      <c r="G54" s="213"/>
      <c r="H54" s="213"/>
      <c r="I54" s="229"/>
      <c r="J54" s="319"/>
      <c r="K54" s="230"/>
      <c r="L54" s="319"/>
      <c r="M54" s="230"/>
      <c r="N54" s="319"/>
      <c r="O54" s="230"/>
      <c r="P54" s="319"/>
      <c r="Q54" s="230"/>
      <c r="R54" s="319"/>
      <c r="S54" s="319"/>
      <c r="T54" s="322"/>
    </row>
    <row r="55" spans="1:20" x14ac:dyDescent="0.25">
      <c r="A55" s="4"/>
      <c r="B55" s="254" cm="1">
        <f t="array" ref="B55">Table40[a. Program]</f>
        <v>0</v>
      </c>
      <c r="C55" s="250">
        <f>' 3 Contract Info'!$B$22</f>
        <v>0</v>
      </c>
      <c r="D55" s="222"/>
      <c r="E55" s="212"/>
      <c r="F55" s="212"/>
      <c r="G55" s="212"/>
      <c r="H55" s="212"/>
      <c r="I55" s="229"/>
      <c r="J55" s="320"/>
      <c r="K55" s="230"/>
      <c r="L55" s="320"/>
      <c r="M55" s="230"/>
      <c r="N55" s="320"/>
      <c r="O55" s="230"/>
      <c r="P55" s="320"/>
      <c r="Q55" s="230"/>
      <c r="R55" s="320"/>
      <c r="S55" s="320"/>
      <c r="T55" s="323"/>
    </row>
    <row r="56" spans="1:20" x14ac:dyDescent="0.25">
      <c r="A56" s="4"/>
      <c r="B56" s="253" cm="1">
        <f t="array" ref="B56">Table40[a. Program]</f>
        <v>0</v>
      </c>
      <c r="C56" s="251">
        <f>' 3 Contract Info'!$B$22</f>
        <v>0</v>
      </c>
      <c r="D56" s="220"/>
      <c r="E56" s="213"/>
      <c r="F56" s="213"/>
      <c r="G56" s="213"/>
      <c r="H56" s="213"/>
      <c r="I56" s="229"/>
      <c r="J56" s="319"/>
      <c r="K56" s="230"/>
      <c r="L56" s="319"/>
      <c r="M56" s="230"/>
      <c r="N56" s="319"/>
      <c r="O56" s="230"/>
      <c r="P56" s="319"/>
      <c r="Q56" s="230"/>
      <c r="R56" s="319"/>
      <c r="S56" s="319"/>
      <c r="T56" s="322"/>
    </row>
    <row r="57" spans="1:20" x14ac:dyDescent="0.25">
      <c r="A57" s="4"/>
      <c r="B57" s="254" cm="1">
        <f t="array" ref="B57">Table40[a. Program]</f>
        <v>0</v>
      </c>
      <c r="C57" s="250">
        <f>' 3 Contract Info'!$B$22</f>
        <v>0</v>
      </c>
      <c r="D57" s="222"/>
      <c r="E57" s="212"/>
      <c r="F57" s="212"/>
      <c r="G57" s="212"/>
      <c r="H57" s="212"/>
      <c r="I57" s="229"/>
      <c r="J57" s="320"/>
      <c r="K57" s="230"/>
      <c r="L57" s="320"/>
      <c r="M57" s="230"/>
      <c r="N57" s="320"/>
      <c r="O57" s="230"/>
      <c r="P57" s="320"/>
      <c r="Q57" s="230"/>
      <c r="R57" s="320"/>
      <c r="S57" s="320"/>
      <c r="T57" s="323"/>
    </row>
    <row r="58" spans="1:20" x14ac:dyDescent="0.25">
      <c r="A58" s="4"/>
      <c r="B58" s="253" cm="1">
        <f t="array" ref="B58">Table40[a. Program]</f>
        <v>0</v>
      </c>
      <c r="C58" s="251">
        <f>' 3 Contract Info'!$B$22</f>
        <v>0</v>
      </c>
      <c r="D58" s="220"/>
      <c r="E58" s="213"/>
      <c r="F58" s="213"/>
      <c r="G58" s="213"/>
      <c r="H58" s="213"/>
      <c r="I58" s="229"/>
      <c r="J58" s="319"/>
      <c r="K58" s="230"/>
      <c r="L58" s="319"/>
      <c r="M58" s="230"/>
      <c r="N58" s="319"/>
      <c r="O58" s="230"/>
      <c r="P58" s="319"/>
      <c r="Q58" s="230"/>
      <c r="R58" s="319"/>
      <c r="S58" s="319"/>
      <c r="T58" s="322"/>
    </row>
    <row r="59" spans="1:20" x14ac:dyDescent="0.25">
      <c r="A59" s="4"/>
      <c r="B59" s="254" cm="1">
        <f t="array" ref="B59">Table40[a. Program]</f>
        <v>0</v>
      </c>
      <c r="C59" s="250">
        <f>' 3 Contract Info'!$B$22</f>
        <v>0</v>
      </c>
      <c r="D59" s="222"/>
      <c r="E59" s="212"/>
      <c r="F59" s="212"/>
      <c r="G59" s="212"/>
      <c r="H59" s="212"/>
      <c r="I59" s="229"/>
      <c r="J59" s="320"/>
      <c r="K59" s="230"/>
      <c r="L59" s="320"/>
      <c r="M59" s="230"/>
      <c r="N59" s="320"/>
      <c r="O59" s="230"/>
      <c r="P59" s="320"/>
      <c r="Q59" s="230"/>
      <c r="R59" s="320"/>
      <c r="S59" s="320"/>
      <c r="T59" s="323"/>
    </row>
    <row r="60" spans="1:20" x14ac:dyDescent="0.25">
      <c r="A60" s="4"/>
      <c r="B60" s="253" cm="1">
        <f t="array" ref="B60">Table40[a. Program]</f>
        <v>0</v>
      </c>
      <c r="C60" s="251">
        <f>' 3 Contract Info'!$B$22</f>
        <v>0</v>
      </c>
      <c r="D60" s="220"/>
      <c r="E60" s="213"/>
      <c r="F60" s="213"/>
      <c r="G60" s="213"/>
      <c r="H60" s="213"/>
      <c r="I60" s="229"/>
      <c r="J60" s="319"/>
      <c r="K60" s="230"/>
      <c r="L60" s="319"/>
      <c r="M60" s="230"/>
      <c r="N60" s="319"/>
      <c r="O60" s="230"/>
      <c r="P60" s="319"/>
      <c r="Q60" s="230"/>
      <c r="R60" s="319"/>
      <c r="S60" s="319"/>
      <c r="T60" s="322"/>
    </row>
    <row r="61" spans="1:20" x14ac:dyDescent="0.25">
      <c r="A61" s="4"/>
      <c r="B61" s="254" cm="1">
        <f t="array" ref="B61">Table40[a. Program]</f>
        <v>0</v>
      </c>
      <c r="C61" s="250">
        <f>' 3 Contract Info'!$B$22</f>
        <v>0</v>
      </c>
      <c r="D61" s="222"/>
      <c r="E61" s="212"/>
      <c r="F61" s="212"/>
      <c r="G61" s="212"/>
      <c r="H61" s="212"/>
      <c r="I61" s="229"/>
      <c r="J61" s="320"/>
      <c r="K61" s="230"/>
      <c r="L61" s="320"/>
      <c r="M61" s="230"/>
      <c r="N61" s="320"/>
      <c r="O61" s="230"/>
      <c r="P61" s="320"/>
      <c r="Q61" s="230"/>
      <c r="R61" s="320"/>
      <c r="S61" s="320"/>
      <c r="T61" s="323"/>
    </row>
    <row r="62" spans="1:20" x14ac:dyDescent="0.25">
      <c r="A62" s="4"/>
      <c r="B62" s="253" cm="1">
        <f t="array" ref="B62">Table40[a. Program]</f>
        <v>0</v>
      </c>
      <c r="C62" s="251">
        <f>' 3 Contract Info'!$B$22</f>
        <v>0</v>
      </c>
      <c r="D62" s="220"/>
      <c r="E62" s="213"/>
      <c r="F62" s="213"/>
      <c r="G62" s="213"/>
      <c r="H62" s="213"/>
      <c r="I62" s="229"/>
      <c r="J62" s="319"/>
      <c r="K62" s="230"/>
      <c r="L62" s="319"/>
      <c r="M62" s="230"/>
      <c r="N62" s="319"/>
      <c r="O62" s="230"/>
      <c r="P62" s="319"/>
      <c r="Q62" s="230"/>
      <c r="R62" s="319"/>
      <c r="S62" s="319"/>
      <c r="T62" s="322"/>
    </row>
    <row r="63" spans="1:20" x14ac:dyDescent="0.25">
      <c r="A63" s="4"/>
      <c r="B63" s="254" cm="1">
        <f t="array" ref="B63">Table40[a. Program]</f>
        <v>0</v>
      </c>
      <c r="C63" s="250">
        <f>' 3 Contract Info'!$B$22</f>
        <v>0</v>
      </c>
      <c r="D63" s="222"/>
      <c r="E63" s="212"/>
      <c r="F63" s="212"/>
      <c r="G63" s="212"/>
      <c r="H63" s="212"/>
      <c r="I63" s="229"/>
      <c r="J63" s="320"/>
      <c r="K63" s="230"/>
      <c r="L63" s="320"/>
      <c r="M63" s="230"/>
      <c r="N63" s="320"/>
      <c r="O63" s="230"/>
      <c r="P63" s="320"/>
      <c r="Q63" s="230"/>
      <c r="R63" s="320"/>
      <c r="S63" s="320"/>
      <c r="T63" s="323"/>
    </row>
    <row r="64" spans="1:20" x14ac:dyDescent="0.25">
      <c r="A64" s="4"/>
      <c r="B64" s="253" cm="1">
        <f t="array" ref="B64">Table40[a. Program]</f>
        <v>0</v>
      </c>
      <c r="C64" s="251">
        <f>' 3 Contract Info'!$B$22</f>
        <v>0</v>
      </c>
      <c r="D64" s="220"/>
      <c r="E64" s="213"/>
      <c r="F64" s="213"/>
      <c r="G64" s="213"/>
      <c r="H64" s="213"/>
      <c r="I64" s="229"/>
      <c r="J64" s="319"/>
      <c r="K64" s="230"/>
      <c r="L64" s="319"/>
      <c r="M64" s="230"/>
      <c r="N64" s="319"/>
      <c r="O64" s="230"/>
      <c r="P64" s="319"/>
      <c r="Q64" s="230"/>
      <c r="R64" s="319"/>
      <c r="S64" s="319"/>
      <c r="T64" s="322"/>
    </row>
    <row r="65" spans="1:20" x14ac:dyDescent="0.25">
      <c r="A65" s="4"/>
      <c r="B65" s="254" cm="1">
        <f t="array" ref="B65">Table40[a. Program]</f>
        <v>0</v>
      </c>
      <c r="C65" s="250">
        <f>' 3 Contract Info'!$B$22</f>
        <v>0</v>
      </c>
      <c r="D65" s="222"/>
      <c r="E65" s="212"/>
      <c r="F65" s="212"/>
      <c r="G65" s="212"/>
      <c r="H65" s="212"/>
      <c r="I65" s="229"/>
      <c r="J65" s="320"/>
      <c r="K65" s="230"/>
      <c r="L65" s="320"/>
      <c r="M65" s="230"/>
      <c r="N65" s="320"/>
      <c r="O65" s="230"/>
      <c r="P65" s="320"/>
      <c r="Q65" s="230"/>
      <c r="R65" s="320"/>
      <c r="S65" s="320"/>
      <c r="T65" s="323"/>
    </row>
    <row r="66" spans="1:20" x14ac:dyDescent="0.25">
      <c r="A66" s="4"/>
      <c r="B66" s="253" cm="1">
        <f t="array" ref="B66">Table40[a. Program]</f>
        <v>0</v>
      </c>
      <c r="C66" s="251">
        <f>' 3 Contract Info'!$B$22</f>
        <v>0</v>
      </c>
      <c r="D66" s="220"/>
      <c r="E66" s="213"/>
      <c r="F66" s="213"/>
      <c r="G66" s="213"/>
      <c r="H66" s="213"/>
      <c r="I66" s="229"/>
      <c r="J66" s="319"/>
      <c r="K66" s="230"/>
      <c r="L66" s="319"/>
      <c r="M66" s="230"/>
      <c r="N66" s="319"/>
      <c r="O66" s="230"/>
      <c r="P66" s="319"/>
      <c r="Q66" s="230"/>
      <c r="R66" s="319"/>
      <c r="S66" s="319"/>
      <c r="T66" s="322"/>
    </row>
    <row r="67" spans="1:20" x14ac:dyDescent="0.25">
      <c r="A67" s="4"/>
      <c r="B67" s="254" cm="1">
        <f t="array" ref="B67">Table40[a. Program]</f>
        <v>0</v>
      </c>
      <c r="C67" s="250">
        <f>' 3 Contract Info'!$B$22</f>
        <v>0</v>
      </c>
      <c r="D67" s="222"/>
      <c r="E67" s="212"/>
      <c r="F67" s="212"/>
      <c r="G67" s="212"/>
      <c r="H67" s="212"/>
      <c r="I67" s="229"/>
      <c r="J67" s="320"/>
      <c r="K67" s="230"/>
      <c r="L67" s="320"/>
      <c r="M67" s="230"/>
      <c r="N67" s="320"/>
      <c r="O67" s="230"/>
      <c r="P67" s="320"/>
      <c r="Q67" s="230"/>
      <c r="R67" s="320"/>
      <c r="S67" s="320"/>
      <c r="T67" s="323"/>
    </row>
    <row r="68" spans="1:20" x14ac:dyDescent="0.25">
      <c r="A68" s="4"/>
      <c r="B68" s="253" cm="1">
        <f t="array" ref="B68">Table40[a. Program]</f>
        <v>0</v>
      </c>
      <c r="C68" s="251">
        <f>' 3 Contract Info'!$B$22</f>
        <v>0</v>
      </c>
      <c r="D68" s="220"/>
      <c r="E68" s="213"/>
      <c r="F68" s="213"/>
      <c r="G68" s="213"/>
      <c r="H68" s="213"/>
      <c r="I68" s="229"/>
      <c r="J68" s="319"/>
      <c r="K68" s="230"/>
      <c r="L68" s="319"/>
      <c r="M68" s="230"/>
      <c r="N68" s="319"/>
      <c r="O68" s="230"/>
      <c r="P68" s="319"/>
      <c r="Q68" s="230"/>
      <c r="R68" s="319"/>
      <c r="S68" s="319"/>
      <c r="T68" s="322"/>
    </row>
    <row r="69" spans="1:20" ht="15.75" thickBot="1" x14ac:dyDescent="0.3">
      <c r="A69" s="4"/>
      <c r="B69" s="255" cm="1">
        <f t="array" ref="B69">Table40[a. Program]</f>
        <v>0</v>
      </c>
      <c r="C69" s="252">
        <f>' 3 Contract Info'!$B$22</f>
        <v>0</v>
      </c>
      <c r="D69" s="226"/>
      <c r="E69" s="217"/>
      <c r="F69" s="217"/>
      <c r="G69" s="217"/>
      <c r="H69" s="217"/>
      <c r="I69" s="232"/>
      <c r="J69" s="321"/>
      <c r="K69" s="233"/>
      <c r="L69" s="321"/>
      <c r="M69" s="233"/>
      <c r="N69" s="321"/>
      <c r="O69" s="233"/>
      <c r="P69" s="321"/>
      <c r="Q69" s="233"/>
      <c r="R69" s="321"/>
      <c r="S69" s="321"/>
      <c r="T69" s="324"/>
    </row>
  </sheetData>
  <mergeCells count="8">
    <mergeCell ref="D2:H2"/>
    <mergeCell ref="I34:R34"/>
    <mergeCell ref="D28:E28"/>
    <mergeCell ref="D29:E29"/>
    <mergeCell ref="D30:E30"/>
    <mergeCell ref="D31:E31"/>
    <mergeCell ref="D32:E32"/>
    <mergeCell ref="D33:E33"/>
  </mergeCells>
  <dataValidations count="8">
    <dataValidation type="list" allowBlank="1" showInputMessage="1" showErrorMessage="1" sqref="Q36:Q69" xr:uid="{D9233005-5B29-4A18-96D8-63CF5AEDE64D}">
      <formula1>Information_Assurance</formula1>
    </dataValidation>
    <dataValidation type="list" allowBlank="1" showInputMessage="1" showErrorMessage="1" sqref="O36:O69" xr:uid="{255755E1-2DF9-487C-9045-109F8DAC568E}">
      <formula1>Data_Description</formula1>
    </dataValidation>
    <dataValidation type="list" allowBlank="1" showInputMessage="1" showErrorMessage="1" sqref="M36:M69" xr:uid="{C23B7769-83DD-4319-B631-E831DEEB3751}">
      <formula1>Security</formula1>
    </dataValidation>
    <dataValidation type="list" allowBlank="1" showInputMessage="1" showErrorMessage="1" sqref="K36:K69" xr:uid="{4398C6C4-841A-4083-8A2D-A4F7D073401C}">
      <formula1>Performance_Attributes</formula1>
    </dataValidation>
    <dataValidation type="list" allowBlank="1" showInputMessage="1" showErrorMessage="1" sqref="I36:I69" xr:uid="{F08507FE-9ED0-4E87-853C-DE6AF19FB66A}">
      <formula1>NoT</formula1>
    </dataValidation>
    <dataValidation type="list" allowBlank="1" showInputMessage="1" showErrorMessage="1" sqref="E19" xr:uid="{0EC21621-47BD-48D9-8D18-778B25739D92}">
      <formula1>Protection_Level</formula1>
    </dataValidation>
    <dataValidation type="list" allowBlank="1" showInputMessage="1" showErrorMessage="1" sqref="C19:D19" xr:uid="{E6EADFAF-DF36-4AA3-BF91-28D165378B61}">
      <formula1>Functions</formula1>
    </dataValidation>
    <dataValidation type="list" allowBlank="1" showInputMessage="1" showErrorMessage="1" sqref="B22:B25" xr:uid="{1CAEE7A4-31A6-4B13-AE27-2153E1E6D1A3}">
      <formula1>Domain_Level</formula1>
    </dataValidation>
  </dataValidations>
  <pageMargins left="0.7" right="0.7" top="0.75" bottom="0.5" header="0.3" footer="0.3"/>
  <pageSetup orientation="portrait" r:id="rId1"/>
  <headerFooter>
    <oddHeader>&amp;C&amp;"Courier"&amp;12UNCLASSIFIED</oddHeader>
    <oddFooter>&amp;C&amp;"Courier"&amp;12UNCLASSIFIED</oddFooter>
  </headerFooter>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8"/>
    <pageSetUpPr autoPageBreaks="0" fitToPage="1"/>
  </sheetPr>
  <dimension ref="B2:J69"/>
  <sheetViews>
    <sheetView showGridLines="0" topLeftCell="A37" zoomScale="55" zoomScaleNormal="55" workbookViewId="0">
      <selection activeCell="F29" sqref="F29"/>
    </sheetView>
  </sheetViews>
  <sheetFormatPr defaultColWidth="9.140625" defaultRowHeight="12.75" x14ac:dyDescent="0.2"/>
  <cols>
    <col min="1" max="1" width="4.7109375" style="8" customWidth="1"/>
    <col min="2" max="2" width="24.5703125" style="108" customWidth="1"/>
    <col min="3" max="3" width="25.140625" style="109" customWidth="1"/>
    <col min="4" max="4" width="28" style="108" bestFit="1" customWidth="1"/>
    <col min="5" max="5" width="19.28515625" style="108" bestFit="1" customWidth="1"/>
    <col min="6" max="6" width="26.28515625" style="108" customWidth="1"/>
    <col min="7" max="7" width="27.140625" style="108" customWidth="1"/>
    <col min="8" max="8" width="17.140625" style="108" bestFit="1" customWidth="1"/>
    <col min="9" max="9" width="20.85546875" style="108" customWidth="1"/>
    <col min="10" max="10" width="16.140625" style="8" customWidth="1"/>
    <col min="11" max="16384" width="9.140625" style="8"/>
  </cols>
  <sheetData>
    <row r="2" spans="2:9" ht="15.75" x14ac:dyDescent="0.25">
      <c r="D2" s="365" t="s">
        <v>600</v>
      </c>
      <c r="E2" s="365"/>
      <c r="F2" s="365"/>
      <c r="G2" s="365"/>
      <c r="H2" s="365"/>
    </row>
    <row r="5" spans="2:9" ht="13.5" thickBot="1" x14ac:dyDescent="0.25">
      <c r="I5" s="8"/>
    </row>
    <row r="6" spans="2:9" ht="15.75" customHeight="1" x14ac:dyDescent="0.25">
      <c r="E6" s="110"/>
      <c r="F6" s="145" t="s">
        <v>198</v>
      </c>
      <c r="G6" s="111"/>
      <c r="H6" s="111"/>
      <c r="I6" s="25"/>
    </row>
    <row r="7" spans="2:9" ht="15.75" customHeight="1" x14ac:dyDescent="0.25">
      <c r="E7" s="110"/>
      <c r="F7" s="146" t="s">
        <v>191</v>
      </c>
      <c r="G7" s="112"/>
      <c r="H7" s="112"/>
      <c r="I7" s="30"/>
    </row>
    <row r="8" spans="2:9" ht="15.75" customHeight="1" x14ac:dyDescent="0.25">
      <c r="E8" s="110"/>
      <c r="F8" s="146" t="s">
        <v>192</v>
      </c>
      <c r="G8" s="112"/>
      <c r="H8" s="112"/>
      <c r="I8" s="30"/>
    </row>
    <row r="9" spans="2:9" ht="15.75" customHeight="1" x14ac:dyDescent="0.25">
      <c r="E9" s="110"/>
      <c r="F9" s="146" t="s">
        <v>193</v>
      </c>
      <c r="G9" s="112"/>
      <c r="H9" s="112"/>
      <c r="I9" s="30"/>
    </row>
    <row r="10" spans="2:9" ht="15.75" customHeight="1" x14ac:dyDescent="0.25">
      <c r="E10" s="110"/>
      <c r="F10" s="146" t="s">
        <v>194</v>
      </c>
      <c r="G10" s="112"/>
      <c r="H10" s="112"/>
      <c r="I10" s="30"/>
    </row>
    <row r="11" spans="2:9" ht="15.75" customHeight="1" x14ac:dyDescent="0.25">
      <c r="E11" s="110"/>
      <c r="F11" s="146" t="s">
        <v>195</v>
      </c>
      <c r="G11" s="112"/>
      <c r="H11" s="112"/>
      <c r="I11" s="30"/>
    </row>
    <row r="12" spans="2:9" ht="15.75" customHeight="1" x14ac:dyDescent="0.25">
      <c r="E12" s="110"/>
      <c r="F12" s="146" t="s">
        <v>196</v>
      </c>
      <c r="G12" s="112"/>
      <c r="H12" s="112"/>
      <c r="I12" s="30"/>
    </row>
    <row r="13" spans="2:9" ht="15.75" customHeight="1" thickBot="1" x14ac:dyDescent="0.3">
      <c r="E13" s="110"/>
      <c r="F13" s="147" t="s">
        <v>197</v>
      </c>
      <c r="G13" s="113"/>
      <c r="H13" s="113"/>
      <c r="I13" s="35"/>
    </row>
    <row r="16" spans="2:9" x14ac:dyDescent="0.2">
      <c r="B16" s="114" t="s">
        <v>1</v>
      </c>
    </row>
    <row r="17" spans="2:10" s="315" customFormat="1" ht="27" customHeight="1" x14ac:dyDescent="0.25">
      <c r="B17" s="136" t="s">
        <v>17</v>
      </c>
      <c r="C17" s="5" t="s">
        <v>18</v>
      </c>
      <c r="D17" s="106" t="s">
        <v>19</v>
      </c>
      <c r="E17" s="106" t="s">
        <v>20</v>
      </c>
      <c r="F17" s="106" t="s">
        <v>21</v>
      </c>
      <c r="G17" s="106" t="s">
        <v>22</v>
      </c>
      <c r="H17" s="106" t="s">
        <v>23</v>
      </c>
      <c r="I17" s="107" t="s">
        <v>24</v>
      </c>
    </row>
    <row r="18" spans="2:10" x14ac:dyDescent="0.2">
      <c r="B18" s="135"/>
      <c r="C18" s="134"/>
      <c r="D18" s="116"/>
      <c r="E18" s="167"/>
      <c r="F18" s="167"/>
      <c r="G18" s="167"/>
      <c r="H18" s="348"/>
      <c r="I18" s="117"/>
    </row>
    <row r="20" spans="2:10" ht="26.25" thickBot="1" x14ac:dyDescent="0.25">
      <c r="B20" s="114" t="s">
        <v>5</v>
      </c>
    </row>
    <row r="21" spans="2:10" s="315" customFormat="1" x14ac:dyDescent="0.25">
      <c r="B21" s="148" t="s">
        <v>25</v>
      </c>
      <c r="C21" s="149" t="s">
        <v>26</v>
      </c>
      <c r="D21" s="149" t="s">
        <v>27</v>
      </c>
      <c r="E21" s="150" t="s">
        <v>28</v>
      </c>
      <c r="F21" s="149" t="s">
        <v>29</v>
      </c>
      <c r="G21" s="149" t="s">
        <v>40</v>
      </c>
      <c r="H21" s="378" t="s">
        <v>39</v>
      </c>
      <c r="I21" s="379"/>
    </row>
    <row r="22" spans="2:10" x14ac:dyDescent="0.2">
      <c r="B22" s="151"/>
      <c r="C22" s="118"/>
      <c r="D22" s="119"/>
      <c r="E22" s="120"/>
      <c r="F22" s="121"/>
      <c r="G22" s="120"/>
      <c r="H22" s="374"/>
      <c r="I22" s="375"/>
    </row>
    <row r="23" spans="2:10" x14ac:dyDescent="0.2">
      <c r="B23" s="152"/>
      <c r="C23" s="122"/>
      <c r="D23" s="123"/>
      <c r="E23" s="124"/>
      <c r="F23" s="121"/>
      <c r="G23" s="124"/>
      <c r="H23" s="368"/>
      <c r="I23" s="369"/>
    </row>
    <row r="24" spans="2:10" x14ac:dyDescent="0.2">
      <c r="B24" s="151"/>
      <c r="C24" s="118"/>
      <c r="D24" s="119"/>
      <c r="E24" s="120"/>
      <c r="F24" s="121"/>
      <c r="G24" s="125"/>
      <c r="H24" s="370"/>
      <c r="I24" s="371"/>
    </row>
    <row r="25" spans="2:10" x14ac:dyDescent="0.2">
      <c r="B25" s="152"/>
      <c r="C25" s="122"/>
      <c r="D25" s="123"/>
      <c r="E25" s="124"/>
      <c r="F25" s="121"/>
      <c r="G25" s="126"/>
      <c r="H25" s="376"/>
      <c r="I25" s="377"/>
    </row>
    <row r="26" spans="2:10" ht="13.5" thickBot="1" x14ac:dyDescent="0.25">
      <c r="B26" s="153"/>
      <c r="C26" s="154"/>
      <c r="D26" s="327"/>
      <c r="E26" s="328"/>
      <c r="F26" s="156"/>
      <c r="G26" s="155"/>
      <c r="H26" s="366"/>
      <c r="I26" s="367"/>
    </row>
    <row r="27" spans="2:10" x14ac:dyDescent="0.2">
      <c r="B27" s="115"/>
    </row>
    <row r="28" spans="2:10" x14ac:dyDescent="0.2">
      <c r="B28" s="114" t="s">
        <v>3</v>
      </c>
    </row>
    <row r="29" spans="2:10" s="315" customFormat="1" ht="25.5" x14ac:dyDescent="0.25">
      <c r="B29" s="136" t="s">
        <v>41</v>
      </c>
      <c r="C29" s="6" t="s">
        <v>42</v>
      </c>
      <c r="D29" s="106" t="s">
        <v>43</v>
      </c>
      <c r="E29" s="137" t="s">
        <v>44</v>
      </c>
      <c r="F29" s="106" t="s">
        <v>45</v>
      </c>
      <c r="G29" s="107" t="s">
        <v>46</v>
      </c>
      <c r="H29" s="107" t="s">
        <v>47</v>
      </c>
      <c r="I29" s="107" t="s">
        <v>48</v>
      </c>
    </row>
    <row r="30" spans="2:10" x14ac:dyDescent="0.2">
      <c r="B30" s="127"/>
      <c r="C30" s="127"/>
      <c r="D30" s="116"/>
      <c r="E30" s="127"/>
      <c r="F30" s="128"/>
      <c r="G30" s="129"/>
      <c r="H30" s="129"/>
      <c r="I30" s="130"/>
    </row>
    <row r="31" spans="2:10" x14ac:dyDescent="0.2">
      <c r="B31" s="127"/>
      <c r="C31" s="127"/>
      <c r="D31" s="116"/>
      <c r="E31" s="127"/>
      <c r="F31" s="128"/>
      <c r="G31" s="129"/>
      <c r="H31" s="129"/>
      <c r="I31" s="131"/>
    </row>
    <row r="32" spans="2:10" x14ac:dyDescent="0.2">
      <c r="B32" s="127"/>
      <c r="C32" s="127"/>
      <c r="D32" s="116"/>
      <c r="E32" s="127"/>
      <c r="F32" s="131"/>
      <c r="G32" s="129"/>
      <c r="H32" s="132"/>
      <c r="I32" s="131"/>
      <c r="J32" s="18"/>
    </row>
    <row r="33" spans="2:10" x14ac:dyDescent="0.2">
      <c r="B33" s="127"/>
      <c r="C33" s="127"/>
      <c r="D33" s="116"/>
      <c r="E33" s="127"/>
      <c r="F33" s="131"/>
      <c r="G33" s="132"/>
      <c r="H33" s="132"/>
      <c r="I33" s="131"/>
    </row>
    <row r="34" spans="2:10" x14ac:dyDescent="0.2">
      <c r="B34" s="127"/>
      <c r="C34" s="127"/>
      <c r="D34" s="116"/>
      <c r="E34" s="127"/>
      <c r="F34" s="131"/>
      <c r="G34" s="132"/>
      <c r="H34" s="132"/>
      <c r="I34" s="131"/>
    </row>
    <row r="35" spans="2:10" x14ac:dyDescent="0.2">
      <c r="B35" s="115"/>
      <c r="C35" s="115"/>
      <c r="D35" s="115"/>
      <c r="E35" s="115"/>
      <c r="F35" s="115"/>
      <c r="G35" s="115"/>
      <c r="H35" s="115"/>
    </row>
    <row r="36" spans="2:10" ht="26.25" thickBot="1" x14ac:dyDescent="0.25">
      <c r="B36" s="114" t="s">
        <v>6</v>
      </c>
    </row>
    <row r="37" spans="2:10" s="108" customFormat="1" x14ac:dyDescent="0.2">
      <c r="B37" s="157" t="s">
        <v>49</v>
      </c>
      <c r="C37" s="309" t="s">
        <v>50</v>
      </c>
      <c r="D37" s="158" t="s">
        <v>51</v>
      </c>
      <c r="E37" s="158" t="s">
        <v>52</v>
      </c>
      <c r="F37" s="158" t="s">
        <v>53</v>
      </c>
      <c r="G37" s="158" t="s">
        <v>54</v>
      </c>
      <c r="H37" s="372" t="s">
        <v>55</v>
      </c>
      <c r="I37" s="373"/>
    </row>
    <row r="38" spans="2:10" x14ac:dyDescent="0.2">
      <c r="B38" s="159"/>
      <c r="C38" s="120"/>
      <c r="D38" s="120"/>
      <c r="E38" s="120"/>
      <c r="F38" s="121"/>
      <c r="G38" s="120"/>
      <c r="H38" s="374"/>
      <c r="I38" s="375"/>
      <c r="J38" s="15"/>
    </row>
    <row r="39" spans="2:10" x14ac:dyDescent="0.2">
      <c r="B39" s="160"/>
      <c r="C39" s="124"/>
      <c r="D39" s="124"/>
      <c r="E39" s="124"/>
      <c r="F39" s="121"/>
      <c r="G39" s="124"/>
      <c r="H39" s="368"/>
      <c r="I39" s="369"/>
      <c r="J39" s="16"/>
    </row>
    <row r="40" spans="2:10" x14ac:dyDescent="0.2">
      <c r="B40" s="161"/>
      <c r="C40" s="125"/>
      <c r="D40" s="120"/>
      <c r="E40" s="125"/>
      <c r="F40" s="121"/>
      <c r="G40" s="125"/>
      <c r="H40" s="370"/>
      <c r="I40" s="371"/>
      <c r="J40" s="16"/>
    </row>
    <row r="41" spans="2:10" x14ac:dyDescent="0.2">
      <c r="B41" s="162"/>
      <c r="C41" s="126"/>
      <c r="D41" s="126"/>
      <c r="E41" s="126"/>
      <c r="F41" s="121"/>
      <c r="G41" s="126"/>
      <c r="H41" s="376"/>
      <c r="I41" s="377"/>
      <c r="J41" s="16"/>
    </row>
    <row r="42" spans="2:10" ht="15.75" customHeight="1" thickBot="1" x14ac:dyDescent="0.25">
      <c r="B42" s="163"/>
      <c r="C42" s="155"/>
      <c r="D42" s="155"/>
      <c r="E42" s="155"/>
      <c r="F42" s="156"/>
      <c r="G42" s="155"/>
      <c r="H42" s="366"/>
      <c r="I42" s="367"/>
      <c r="J42" s="16"/>
    </row>
    <row r="43" spans="2:10" x14ac:dyDescent="0.2">
      <c r="I43" s="133"/>
      <c r="J43" s="16"/>
    </row>
    <row r="44" spans="2:10" ht="26.25" thickBot="1" x14ac:dyDescent="0.25">
      <c r="B44" s="114" t="s">
        <v>4</v>
      </c>
      <c r="C44" s="114"/>
    </row>
    <row r="45" spans="2:10" s="108" customFormat="1" x14ac:dyDescent="0.2">
      <c r="B45" s="168" t="s">
        <v>56</v>
      </c>
      <c r="C45" s="309" t="s">
        <v>57</v>
      </c>
      <c r="D45" s="309" t="s">
        <v>58</v>
      </c>
      <c r="E45" s="309" t="s">
        <v>59</v>
      </c>
      <c r="F45" s="310" t="s">
        <v>60</v>
      </c>
    </row>
    <row r="46" spans="2:10" x14ac:dyDescent="0.2">
      <c r="B46" s="161"/>
      <c r="C46" s="131"/>
      <c r="D46" s="131"/>
      <c r="E46" s="131"/>
      <c r="F46" s="164"/>
    </row>
    <row r="47" spans="2:10" x14ac:dyDescent="0.2">
      <c r="B47" s="162"/>
      <c r="C47" s="131"/>
      <c r="D47" s="131"/>
      <c r="E47" s="131"/>
      <c r="F47" s="164"/>
    </row>
    <row r="48" spans="2:10" x14ac:dyDescent="0.2">
      <c r="B48" s="161"/>
      <c r="C48" s="131"/>
      <c r="D48" s="131"/>
      <c r="E48" s="131"/>
      <c r="F48" s="164"/>
    </row>
    <row r="49" spans="2:10" x14ac:dyDescent="0.2">
      <c r="B49" s="162"/>
      <c r="C49" s="131"/>
      <c r="D49" s="131"/>
      <c r="E49" s="131"/>
      <c r="F49" s="164"/>
    </row>
    <row r="50" spans="2:10" x14ac:dyDescent="0.2">
      <c r="B50" s="161"/>
      <c r="C50" s="131"/>
      <c r="D50" s="131"/>
      <c r="E50" s="131"/>
      <c r="F50" s="164"/>
    </row>
    <row r="51" spans="2:10" x14ac:dyDescent="0.2">
      <c r="B51" s="162"/>
      <c r="C51" s="131"/>
      <c r="D51" s="131"/>
      <c r="E51" s="131"/>
      <c r="F51" s="164"/>
    </row>
    <row r="52" spans="2:10" x14ac:dyDescent="0.2">
      <c r="B52" s="161"/>
      <c r="C52" s="131"/>
      <c r="D52" s="131"/>
      <c r="E52" s="131"/>
      <c r="F52" s="164"/>
    </row>
    <row r="53" spans="2:10" x14ac:dyDescent="0.2">
      <c r="B53" s="162"/>
      <c r="C53" s="131"/>
      <c r="D53" s="131"/>
      <c r="E53" s="131"/>
      <c r="F53" s="164"/>
    </row>
    <row r="54" spans="2:10" ht="13.5" thickBot="1" x14ac:dyDescent="0.25">
      <c r="B54" s="163"/>
      <c r="C54" s="165"/>
      <c r="D54" s="165"/>
      <c r="E54" s="165"/>
      <c r="F54" s="166"/>
    </row>
    <row r="55" spans="2:10" x14ac:dyDescent="0.2">
      <c r="B55" s="115"/>
      <c r="C55" s="115"/>
      <c r="D55" s="115"/>
      <c r="E55" s="115"/>
    </row>
    <row r="56" spans="2:10" ht="25.5" x14ac:dyDescent="0.2">
      <c r="B56" s="114" t="s">
        <v>489</v>
      </c>
      <c r="C56" s="115"/>
    </row>
    <row r="57" spans="2:10" s="108" customFormat="1" ht="25.5" x14ac:dyDescent="0.2">
      <c r="B57" s="7" t="s">
        <v>634</v>
      </c>
      <c r="C57" s="5" t="s">
        <v>635</v>
      </c>
      <c r="D57" s="5" t="s">
        <v>636</v>
      </c>
      <c r="E57" s="5" t="s">
        <v>637</v>
      </c>
      <c r="F57" s="5" t="s">
        <v>638</v>
      </c>
      <c r="G57" s="5" t="s">
        <v>639</v>
      </c>
      <c r="H57" s="5" t="s">
        <v>640</v>
      </c>
      <c r="I57" s="6" t="s">
        <v>641</v>
      </c>
      <c r="J57" s="109"/>
    </row>
    <row r="58" spans="2:10" x14ac:dyDescent="0.2">
      <c r="B58" s="258" cm="1">
        <f t="array" ref="B58">Table40[a. Program]</f>
        <v>0</v>
      </c>
      <c r="C58" s="271">
        <f t="shared" ref="C58:C69" si="0">$B$22</f>
        <v>0</v>
      </c>
      <c r="D58" s="169"/>
      <c r="E58" s="169"/>
      <c r="F58" s="121"/>
      <c r="G58" s="329"/>
      <c r="H58" s="169"/>
      <c r="I58" s="170"/>
      <c r="J58" s="14"/>
    </row>
    <row r="59" spans="2:10" x14ac:dyDescent="0.2">
      <c r="B59" s="258" cm="1">
        <f t="array" ref="B59">Table40[a. Program]</f>
        <v>0</v>
      </c>
      <c r="C59" s="271">
        <f t="shared" si="0"/>
        <v>0</v>
      </c>
      <c r="D59" s="169"/>
      <c r="E59" s="169"/>
      <c r="F59" s="121"/>
      <c r="G59" s="329"/>
      <c r="H59" s="169"/>
      <c r="I59" s="170"/>
      <c r="J59" s="14"/>
    </row>
    <row r="60" spans="2:10" x14ac:dyDescent="0.2">
      <c r="B60" s="258" cm="1">
        <f t="array" ref="B60">Table40[a. Program]</f>
        <v>0</v>
      </c>
      <c r="C60" s="271">
        <f t="shared" si="0"/>
        <v>0</v>
      </c>
      <c r="D60" s="169"/>
      <c r="E60" s="169"/>
      <c r="F60" s="121"/>
      <c r="G60" s="329"/>
      <c r="H60" s="169"/>
      <c r="I60" s="170"/>
      <c r="J60" s="14"/>
    </row>
    <row r="61" spans="2:10" x14ac:dyDescent="0.2">
      <c r="B61" s="258" cm="1">
        <f t="array" ref="B61">Table40[a. Program]</f>
        <v>0</v>
      </c>
      <c r="C61" s="271">
        <f t="shared" si="0"/>
        <v>0</v>
      </c>
      <c r="D61" s="169"/>
      <c r="E61" s="169"/>
      <c r="F61" s="121"/>
      <c r="G61" s="329"/>
      <c r="H61" s="169"/>
      <c r="I61" s="170"/>
    </row>
    <row r="62" spans="2:10" x14ac:dyDescent="0.2">
      <c r="B62" s="258" cm="1">
        <f t="array" ref="B62">Table40[a. Program]</f>
        <v>0</v>
      </c>
      <c r="C62" s="271">
        <f t="shared" si="0"/>
        <v>0</v>
      </c>
      <c r="D62" s="169"/>
      <c r="E62" s="169"/>
      <c r="F62" s="121"/>
      <c r="G62" s="329"/>
      <c r="H62" s="169"/>
      <c r="I62" s="170"/>
    </row>
    <row r="63" spans="2:10" x14ac:dyDescent="0.2">
      <c r="B63" s="258" cm="1">
        <f t="array" ref="B63">Table40[a. Program]</f>
        <v>0</v>
      </c>
      <c r="C63" s="271">
        <f t="shared" si="0"/>
        <v>0</v>
      </c>
      <c r="D63" s="169"/>
      <c r="E63" s="169"/>
      <c r="F63" s="121"/>
      <c r="G63" s="329"/>
      <c r="H63" s="169"/>
      <c r="I63" s="170"/>
    </row>
    <row r="64" spans="2:10" x14ac:dyDescent="0.2">
      <c r="B64" s="258" cm="1">
        <f t="array" ref="B64">Table40[a. Program]</f>
        <v>0</v>
      </c>
      <c r="C64" s="271">
        <f t="shared" si="0"/>
        <v>0</v>
      </c>
      <c r="D64" s="169"/>
      <c r="E64" s="169"/>
      <c r="F64" s="121"/>
      <c r="G64" s="329"/>
      <c r="H64" s="169"/>
      <c r="I64" s="170"/>
    </row>
    <row r="65" spans="2:9" x14ac:dyDescent="0.2">
      <c r="B65" s="258" cm="1">
        <f t="array" ref="B65">Table40[a. Program]</f>
        <v>0</v>
      </c>
      <c r="C65" s="271">
        <f t="shared" si="0"/>
        <v>0</v>
      </c>
      <c r="D65" s="169"/>
      <c r="E65" s="169"/>
      <c r="F65" s="121"/>
      <c r="G65" s="329"/>
      <c r="H65" s="169"/>
      <c r="I65" s="170"/>
    </row>
    <row r="66" spans="2:9" x14ac:dyDescent="0.2">
      <c r="B66" s="258" cm="1">
        <f t="array" ref="B66">Table40[a. Program]</f>
        <v>0</v>
      </c>
      <c r="C66" s="271">
        <f t="shared" si="0"/>
        <v>0</v>
      </c>
      <c r="D66" s="169"/>
      <c r="E66" s="169"/>
      <c r="F66" s="121"/>
      <c r="G66" s="329"/>
      <c r="H66" s="169"/>
      <c r="I66" s="170"/>
    </row>
    <row r="67" spans="2:9" x14ac:dyDescent="0.2">
      <c r="B67" s="258" cm="1">
        <f t="array" ref="B67">Table40[a. Program]</f>
        <v>0</v>
      </c>
      <c r="C67" s="271">
        <f t="shared" si="0"/>
        <v>0</v>
      </c>
      <c r="D67" s="169"/>
      <c r="E67" s="169"/>
      <c r="F67" s="121"/>
      <c r="G67" s="329"/>
      <c r="H67" s="169"/>
      <c r="I67" s="170"/>
    </row>
    <row r="68" spans="2:9" x14ac:dyDescent="0.2">
      <c r="B68" s="258" cm="1">
        <f t="array" ref="B68">Table40[a. Program]</f>
        <v>0</v>
      </c>
      <c r="C68" s="271">
        <f t="shared" si="0"/>
        <v>0</v>
      </c>
      <c r="D68" s="169"/>
      <c r="E68" s="169"/>
      <c r="F68" s="121"/>
      <c r="G68" s="329"/>
      <c r="H68" s="169"/>
      <c r="I68" s="170"/>
    </row>
    <row r="69" spans="2:9" x14ac:dyDescent="0.2">
      <c r="B69" s="259" cm="1">
        <f t="array" ref="B69">Table40[a. Program]</f>
        <v>0</v>
      </c>
      <c r="C69" s="272">
        <f t="shared" si="0"/>
        <v>0</v>
      </c>
      <c r="D69" s="171"/>
      <c r="E69" s="171"/>
      <c r="F69" s="172"/>
      <c r="G69" s="330"/>
      <c r="H69" s="171"/>
      <c r="I69" s="173"/>
    </row>
  </sheetData>
  <mergeCells count="13">
    <mergeCell ref="D2:H2"/>
    <mergeCell ref="H42:I42"/>
    <mergeCell ref="H39:I39"/>
    <mergeCell ref="H40:I40"/>
    <mergeCell ref="H37:I37"/>
    <mergeCell ref="H38:I38"/>
    <mergeCell ref="H41:I41"/>
    <mergeCell ref="H26:I26"/>
    <mergeCell ref="H21:I21"/>
    <mergeCell ref="H22:I22"/>
    <mergeCell ref="H23:I23"/>
    <mergeCell ref="H24:I24"/>
    <mergeCell ref="H25:I25"/>
  </mergeCells>
  <dataValidations count="2">
    <dataValidation type="list" allowBlank="1" showInputMessage="1" showErrorMessage="1" sqref="D30:D34 D18" xr:uid="{00000000-0002-0000-0000-000000000000}">
      <formula1>Contract_Type</formula1>
    </dataValidation>
    <dataValidation type="list" allowBlank="1" showInputMessage="1" showErrorMessage="1" sqref="F58:F69" xr:uid="{FC98BE12-7961-42C1-A94E-6C0712B586B3}">
      <formula1>ECP</formula1>
    </dataValidation>
  </dataValidations>
  <printOptions headings="1" gridLines="1"/>
  <pageMargins left="0.7" right="0.7" top="0.75" bottom="0.5" header="0.3" footer="0.3"/>
  <pageSetup orientation="landscape" cellComments="atEnd" r:id="rId1"/>
  <headerFooter>
    <oddHeader>&amp;C&amp;"Courier"&amp;12UNCLASSIFIED</oddHeader>
    <oddFooter>&amp;C&amp;"Courier"&amp;12UNCLASSIFIED</oddFooter>
  </headerFooter>
  <drawing r:id="rId2"/>
  <legacyDrawing r:id="rId3"/>
  <tableParts count="4">
    <tablePart r:id="rId4"/>
    <tablePart r:id="rId5"/>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'PickList Tables'!$R$22:$R$24</xm:f>
          </x14:formula1>
          <xm:sqref>F22:F26 F38:F42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8"/>
    <pageSetUpPr fitToPage="1"/>
  </sheetPr>
  <dimension ref="A1:Q184"/>
  <sheetViews>
    <sheetView showGridLines="0" topLeftCell="A8" zoomScale="55" zoomScaleNormal="55" workbookViewId="0">
      <selection activeCell="F16" sqref="F16"/>
    </sheetView>
  </sheetViews>
  <sheetFormatPr defaultColWidth="9.140625" defaultRowHeight="15" outlineLevelRow="2" x14ac:dyDescent="0.25"/>
  <cols>
    <col min="1" max="1" width="13.85546875" style="19" customWidth="1"/>
    <col min="2" max="2" width="33.7109375" style="20" customWidth="1"/>
    <col min="3" max="3" width="114.5703125" style="20" customWidth="1"/>
    <col min="4" max="5" width="12.28515625" customWidth="1"/>
    <col min="6" max="6" width="20.28515625" customWidth="1"/>
    <col min="7" max="9" width="12.28515625" customWidth="1"/>
    <col min="10" max="16" width="8.7109375" customWidth="1"/>
    <col min="17" max="16384" width="9.140625" style="21"/>
  </cols>
  <sheetData>
    <row r="1" spans="3:16" x14ac:dyDescent="0.25">
      <c r="D1" s="3"/>
      <c r="E1" s="3"/>
      <c r="F1" s="3"/>
      <c r="G1" s="3"/>
      <c r="H1" s="3"/>
      <c r="I1" s="3"/>
      <c r="J1" s="3"/>
      <c r="K1" s="3"/>
      <c r="L1" s="3"/>
      <c r="M1" s="3"/>
      <c r="N1" s="3"/>
      <c r="O1" s="3"/>
      <c r="P1" s="3"/>
    </row>
    <row r="2" spans="3:16" ht="15.75" x14ac:dyDescent="0.25">
      <c r="C2" s="355" t="s">
        <v>600</v>
      </c>
      <c r="D2" s="355"/>
      <c r="E2" s="355"/>
      <c r="F2" s="355"/>
      <c r="G2" s="355"/>
      <c r="H2" s="3"/>
      <c r="I2" s="3"/>
      <c r="J2" s="3"/>
      <c r="K2" s="3"/>
      <c r="L2" s="3"/>
      <c r="M2" s="3"/>
      <c r="N2" s="3"/>
      <c r="O2" s="3"/>
      <c r="P2" s="3"/>
    </row>
    <row r="3" spans="3:16" x14ac:dyDescent="0.25">
      <c r="D3" s="3"/>
      <c r="E3" s="3"/>
      <c r="F3" s="3"/>
      <c r="G3" s="3"/>
      <c r="H3" s="3"/>
      <c r="I3" s="3"/>
      <c r="J3" s="3"/>
      <c r="K3" s="3"/>
      <c r="L3" s="3"/>
      <c r="M3" s="3"/>
      <c r="N3" s="3"/>
      <c r="O3" s="3"/>
      <c r="P3" s="3"/>
    </row>
    <row r="4" spans="3:16" x14ac:dyDescent="0.25">
      <c r="D4" s="3"/>
      <c r="E4" s="3"/>
      <c r="F4" s="3"/>
      <c r="G4" s="3"/>
      <c r="H4" s="3"/>
      <c r="I4" s="3"/>
      <c r="J4" s="3"/>
      <c r="K4" s="3"/>
      <c r="L4" s="3"/>
      <c r="M4" s="3"/>
      <c r="N4" s="3"/>
      <c r="O4" s="3"/>
      <c r="P4" s="3"/>
    </row>
    <row r="5" spans="3:16" x14ac:dyDescent="0.25">
      <c r="D5" s="3"/>
      <c r="E5" s="3"/>
      <c r="F5" s="3"/>
      <c r="G5" s="3"/>
      <c r="H5" s="3"/>
      <c r="I5" s="3"/>
      <c r="J5" s="3"/>
      <c r="K5" s="3"/>
      <c r="L5" s="3"/>
      <c r="M5" s="3"/>
      <c r="N5" s="3"/>
      <c r="O5" s="3"/>
      <c r="P5" s="3"/>
    </row>
    <row r="6" spans="3:16" ht="15.75" thickBot="1" x14ac:dyDescent="0.3">
      <c r="D6" s="3"/>
      <c r="E6" s="3"/>
      <c r="F6" s="3"/>
      <c r="G6" s="3"/>
      <c r="H6" s="3"/>
      <c r="I6" s="3"/>
      <c r="J6" s="3"/>
      <c r="K6" s="3"/>
      <c r="L6" s="3"/>
      <c r="M6" s="3"/>
      <c r="N6" s="3"/>
      <c r="O6" s="3"/>
      <c r="P6" s="3"/>
    </row>
    <row r="7" spans="3:16" ht="15.75" x14ac:dyDescent="0.25">
      <c r="D7" s="3"/>
      <c r="E7" s="3"/>
      <c r="F7" s="22"/>
      <c r="G7" s="36" t="s">
        <v>198</v>
      </c>
      <c r="H7" s="23"/>
      <c r="I7" s="23"/>
      <c r="J7" s="24"/>
      <c r="K7" s="25"/>
      <c r="L7" s="3"/>
      <c r="M7" s="3"/>
      <c r="N7" s="3"/>
      <c r="O7" s="3"/>
      <c r="P7" s="3"/>
    </row>
    <row r="8" spans="3:16" x14ac:dyDescent="0.25">
      <c r="D8" s="3"/>
      <c r="E8" s="3"/>
      <c r="F8" s="26"/>
      <c r="G8" s="27" t="s">
        <v>191</v>
      </c>
      <c r="H8" s="28"/>
      <c r="I8" s="28"/>
      <c r="J8" s="29"/>
      <c r="K8" s="30"/>
      <c r="L8" s="3"/>
      <c r="M8" s="3"/>
      <c r="N8" s="3"/>
      <c r="O8" s="3"/>
      <c r="P8" s="3"/>
    </row>
    <row r="9" spans="3:16" x14ac:dyDescent="0.25">
      <c r="D9" s="3"/>
      <c r="E9" s="3"/>
      <c r="F9" s="26"/>
      <c r="G9" s="27" t="s">
        <v>192</v>
      </c>
      <c r="H9" s="28"/>
      <c r="I9" s="28"/>
      <c r="J9" s="29"/>
      <c r="K9" s="30"/>
      <c r="L9" s="3"/>
      <c r="M9" s="3"/>
      <c r="N9" s="3"/>
      <c r="O9" s="3"/>
      <c r="P9" s="3"/>
    </row>
    <row r="10" spans="3:16" x14ac:dyDescent="0.25">
      <c r="D10" s="3"/>
      <c r="E10" s="3"/>
      <c r="F10" s="26"/>
      <c r="G10" s="27" t="s">
        <v>193</v>
      </c>
      <c r="H10" s="28"/>
      <c r="I10" s="28"/>
      <c r="J10" s="29"/>
      <c r="K10" s="30"/>
      <c r="L10" s="3"/>
      <c r="M10" s="3"/>
      <c r="N10" s="3"/>
      <c r="O10" s="3"/>
      <c r="P10" s="3"/>
    </row>
    <row r="11" spans="3:16" x14ac:dyDescent="0.25">
      <c r="D11" s="3"/>
      <c r="E11" s="3"/>
      <c r="F11" s="26"/>
      <c r="G11" s="27" t="s">
        <v>194</v>
      </c>
      <c r="H11" s="28"/>
      <c r="I11" s="28"/>
      <c r="J11" s="29"/>
      <c r="K11" s="30"/>
      <c r="L11" s="3"/>
      <c r="M11" s="3"/>
      <c r="N11" s="3"/>
      <c r="O11" s="3"/>
      <c r="P11" s="3"/>
    </row>
    <row r="12" spans="3:16" x14ac:dyDescent="0.25">
      <c r="D12" s="3"/>
      <c r="E12" s="3"/>
      <c r="F12" s="26"/>
      <c r="G12" s="27" t="s">
        <v>195</v>
      </c>
      <c r="H12" s="28"/>
      <c r="I12" s="28"/>
      <c r="J12" s="29"/>
      <c r="K12" s="30"/>
      <c r="L12" s="3"/>
      <c r="M12" s="3"/>
      <c r="N12" s="3"/>
      <c r="O12" s="3"/>
      <c r="P12" s="3"/>
    </row>
    <row r="13" spans="3:16" x14ac:dyDescent="0.25">
      <c r="D13" s="3"/>
      <c r="E13" s="3"/>
      <c r="F13" s="26"/>
      <c r="G13" s="27" t="s">
        <v>196</v>
      </c>
      <c r="H13" s="28"/>
      <c r="I13" s="28"/>
      <c r="J13" s="29"/>
      <c r="K13" s="30"/>
      <c r="L13" s="3"/>
      <c r="M13" s="3"/>
      <c r="N13" s="3"/>
      <c r="O13" s="3"/>
      <c r="P13" s="3"/>
    </row>
    <row r="14" spans="3:16" ht="15.75" thickBot="1" x14ac:dyDescent="0.3">
      <c r="D14" s="3"/>
      <c r="E14" s="3"/>
      <c r="F14" s="31"/>
      <c r="G14" s="32" t="s">
        <v>197</v>
      </c>
      <c r="H14" s="33"/>
      <c r="I14" s="33"/>
      <c r="J14" s="34"/>
      <c r="K14" s="35"/>
      <c r="L14" s="3"/>
      <c r="M14" s="3"/>
      <c r="N14" s="3"/>
      <c r="O14" s="3"/>
      <c r="P14" s="3"/>
    </row>
    <row r="15" spans="3:16" x14ac:dyDescent="0.25">
      <c r="D15" s="3"/>
      <c r="E15" s="3"/>
      <c r="F15" s="3"/>
      <c r="G15" s="3"/>
      <c r="H15" s="3"/>
      <c r="I15" s="3"/>
      <c r="J15" s="3"/>
      <c r="K15" s="3"/>
      <c r="L15" s="3"/>
      <c r="M15" s="3"/>
      <c r="N15" s="3"/>
      <c r="O15" s="3"/>
      <c r="P15" s="3"/>
    </row>
    <row r="16" spans="3:16" x14ac:dyDescent="0.25">
      <c r="D16" s="3"/>
      <c r="E16" s="3"/>
      <c r="F16" s="3"/>
      <c r="G16" s="3"/>
      <c r="H16" s="3"/>
      <c r="I16" s="3"/>
      <c r="J16" s="3"/>
      <c r="K16" s="3"/>
      <c r="L16" s="3"/>
      <c r="M16" s="3"/>
      <c r="N16" s="3"/>
      <c r="O16" s="3"/>
      <c r="P16" s="3"/>
    </row>
    <row r="17" spans="1:17" x14ac:dyDescent="0.25">
      <c r="D17" s="3"/>
      <c r="E17" s="3"/>
      <c r="F17" s="3"/>
      <c r="G17" s="3"/>
      <c r="H17" s="3"/>
      <c r="I17" s="3"/>
      <c r="J17" s="3"/>
      <c r="K17" s="3"/>
      <c r="L17" s="3"/>
      <c r="M17" s="3"/>
      <c r="N17" s="3"/>
      <c r="O17" s="3"/>
      <c r="P17" s="3"/>
    </row>
    <row r="18" spans="1:17" x14ac:dyDescent="0.25">
      <c r="D18" s="3"/>
      <c r="E18" s="3"/>
      <c r="F18" s="3"/>
      <c r="G18" s="3"/>
      <c r="H18" s="3"/>
      <c r="I18" s="3"/>
      <c r="J18" s="3"/>
      <c r="K18" s="3"/>
      <c r="L18" s="3"/>
      <c r="M18" s="3"/>
      <c r="N18" s="3"/>
      <c r="O18" s="3"/>
      <c r="P18" s="3"/>
    </row>
    <row r="19" spans="1:17" x14ac:dyDescent="0.25">
      <c r="D19" s="3"/>
      <c r="E19" s="3"/>
      <c r="F19" s="3"/>
      <c r="G19" s="3"/>
      <c r="H19" s="3"/>
      <c r="I19" s="3"/>
      <c r="J19" s="3"/>
      <c r="K19" s="3"/>
      <c r="L19" s="3"/>
      <c r="M19" s="3"/>
      <c r="N19" s="3"/>
      <c r="O19" s="3"/>
      <c r="P19" s="3"/>
    </row>
    <row r="20" spans="1:17" x14ac:dyDescent="0.25">
      <c r="D20" s="3"/>
      <c r="E20" s="3"/>
      <c r="F20" s="3"/>
      <c r="G20" s="3"/>
      <c r="H20" s="3"/>
      <c r="I20" s="3"/>
      <c r="J20" s="3"/>
      <c r="K20" s="3"/>
      <c r="L20" s="3"/>
      <c r="M20" s="3"/>
      <c r="N20" s="3"/>
      <c r="O20" s="3"/>
      <c r="P20" s="3"/>
    </row>
    <row r="21" spans="1:17" x14ac:dyDescent="0.25">
      <c r="D21" s="20"/>
      <c r="E21" s="3"/>
      <c r="F21" s="3"/>
      <c r="G21" s="3"/>
      <c r="H21" s="3"/>
      <c r="I21" s="3"/>
      <c r="J21" s="3"/>
      <c r="K21" s="3"/>
      <c r="L21" s="3"/>
      <c r="M21" s="3"/>
      <c r="N21" s="3"/>
      <c r="O21" s="3"/>
      <c r="P21" s="3"/>
    </row>
    <row r="22" spans="1:17" ht="15.75" thickBot="1" x14ac:dyDescent="0.3">
      <c r="D22" s="3"/>
      <c r="E22" s="3"/>
      <c r="F22" s="3"/>
      <c r="G22" s="3"/>
      <c r="H22" s="3"/>
      <c r="I22" s="3"/>
      <c r="J22" s="3"/>
      <c r="K22" s="3"/>
      <c r="L22" s="3"/>
      <c r="M22" s="3"/>
      <c r="N22" s="3"/>
      <c r="O22" s="3"/>
      <c r="P22" s="3"/>
    </row>
    <row r="23" spans="1:17" ht="34.5" customHeight="1" thickBot="1" x14ac:dyDescent="0.3">
      <c r="B23" s="81" t="s">
        <v>466</v>
      </c>
      <c r="C23" s="80"/>
    </row>
    <row r="24" spans="1:17" s="174" customFormat="1" ht="69.95" customHeight="1" x14ac:dyDescent="0.25">
      <c r="A24" s="138" t="s">
        <v>188</v>
      </c>
      <c r="B24" s="139" t="s">
        <v>62</v>
      </c>
      <c r="C24" s="140" t="s">
        <v>63</v>
      </c>
      <c r="D24" s="141" t="s">
        <v>183</v>
      </c>
      <c r="E24" s="142" t="s">
        <v>184</v>
      </c>
      <c r="F24" s="141" t="s">
        <v>586</v>
      </c>
      <c r="G24" s="142" t="s">
        <v>185</v>
      </c>
      <c r="H24" s="141" t="s">
        <v>186</v>
      </c>
      <c r="I24" s="142" t="s">
        <v>187</v>
      </c>
      <c r="J24" s="143"/>
      <c r="K24" s="144"/>
      <c r="L24" s="144"/>
      <c r="M24" s="144"/>
      <c r="N24" s="144"/>
      <c r="O24" s="144"/>
      <c r="P24" s="144"/>
    </row>
    <row r="25" spans="1:17" s="174" customFormat="1" ht="15.75" x14ac:dyDescent="0.25">
      <c r="A25" s="77">
        <v>1</v>
      </c>
      <c r="B25" s="78" t="s">
        <v>64</v>
      </c>
      <c r="C25" s="78"/>
      <c r="D25" s="79"/>
      <c r="E25" s="79"/>
      <c r="F25" s="79"/>
      <c r="G25" s="79"/>
      <c r="H25" s="79"/>
      <c r="I25" s="79"/>
      <c r="J25" s="143"/>
      <c r="K25" s="143"/>
      <c r="L25" s="143"/>
      <c r="M25" s="143"/>
      <c r="N25" s="143"/>
      <c r="O25" s="143"/>
      <c r="P25" s="143"/>
      <c r="Q25" s="175"/>
    </row>
    <row r="26" spans="1:17" ht="120" x14ac:dyDescent="0.25">
      <c r="A26" s="45">
        <v>1.1000000000000001</v>
      </c>
      <c r="B26" s="46" t="s">
        <v>65</v>
      </c>
      <c r="C26" s="46" t="s">
        <v>587</v>
      </c>
      <c r="D26" s="39"/>
      <c r="E26" s="12"/>
      <c r="F26" s="12"/>
      <c r="G26" s="12"/>
      <c r="H26" s="12"/>
      <c r="I26" s="12"/>
    </row>
    <row r="27" spans="1:17" ht="375" outlineLevel="1" x14ac:dyDescent="0.25">
      <c r="A27" s="47" t="s">
        <v>66</v>
      </c>
      <c r="B27" s="48" t="s">
        <v>453</v>
      </c>
      <c r="C27" s="48" t="s">
        <v>588</v>
      </c>
      <c r="D27" s="39"/>
      <c r="E27" s="12"/>
      <c r="F27" s="12"/>
      <c r="G27" s="12"/>
      <c r="H27" s="12"/>
      <c r="I27" s="12"/>
    </row>
    <row r="28" spans="1:17" ht="60" outlineLevel="1" x14ac:dyDescent="0.25">
      <c r="A28" s="47" t="s">
        <v>67</v>
      </c>
      <c r="B28" s="48" t="s">
        <v>454</v>
      </c>
      <c r="C28" s="38" t="s">
        <v>461</v>
      </c>
      <c r="D28" s="39"/>
      <c r="E28" s="12"/>
      <c r="F28" s="12"/>
      <c r="G28" s="12"/>
      <c r="H28" s="12"/>
      <c r="I28" s="12"/>
    </row>
    <row r="29" spans="1:17" ht="225" customHeight="1" outlineLevel="1" x14ac:dyDescent="0.25">
      <c r="A29" s="49" t="s">
        <v>69</v>
      </c>
      <c r="B29" s="50" t="s">
        <v>324</v>
      </c>
      <c r="C29" s="50" t="s">
        <v>388</v>
      </c>
      <c r="D29" s="12"/>
      <c r="E29" s="12"/>
      <c r="F29" s="12"/>
      <c r="G29" s="12"/>
      <c r="H29" s="12"/>
      <c r="I29" s="12"/>
    </row>
    <row r="30" spans="1:17" ht="120" outlineLevel="1" x14ac:dyDescent="0.25">
      <c r="A30" s="49" t="s">
        <v>71</v>
      </c>
      <c r="B30" s="50" t="s">
        <v>72</v>
      </c>
      <c r="C30" s="51" t="s">
        <v>462</v>
      </c>
      <c r="D30" s="39"/>
      <c r="E30" s="12"/>
      <c r="F30" s="12"/>
      <c r="G30" s="12"/>
      <c r="H30" s="12"/>
      <c r="I30" s="12"/>
    </row>
    <row r="31" spans="1:17" ht="33" customHeight="1" outlineLevel="1" collapsed="1" x14ac:dyDescent="0.25">
      <c r="A31" s="47" t="s">
        <v>73</v>
      </c>
      <c r="B31" s="311" t="s">
        <v>732</v>
      </c>
      <c r="C31" s="48" t="s">
        <v>74</v>
      </c>
      <c r="D31" s="39"/>
      <c r="E31" s="12"/>
      <c r="F31" s="12"/>
      <c r="G31" s="12"/>
      <c r="H31" s="12"/>
      <c r="I31" s="12"/>
    </row>
    <row r="32" spans="1:17" ht="120" outlineLevel="1" x14ac:dyDescent="0.25">
      <c r="A32" s="49" t="s">
        <v>76</v>
      </c>
      <c r="B32" s="50" t="s">
        <v>325</v>
      </c>
      <c r="C32" s="54" t="s">
        <v>468</v>
      </c>
      <c r="D32" s="39"/>
      <c r="E32" s="12"/>
      <c r="F32" s="12"/>
      <c r="G32" s="12"/>
      <c r="H32" s="12"/>
      <c r="I32" s="12"/>
    </row>
    <row r="33" spans="1:16" ht="75" outlineLevel="1" x14ac:dyDescent="0.25">
      <c r="A33" s="49" t="s">
        <v>78</v>
      </c>
      <c r="B33" s="50" t="s">
        <v>398</v>
      </c>
      <c r="C33" s="50" t="s">
        <v>463</v>
      </c>
      <c r="D33" s="39"/>
      <c r="E33" s="12"/>
      <c r="F33" s="12"/>
      <c r="G33" s="12"/>
      <c r="H33" s="12"/>
      <c r="I33" s="12"/>
    </row>
    <row r="34" spans="1:16" ht="45" outlineLevel="1" x14ac:dyDescent="0.25">
      <c r="A34" s="49" t="s">
        <v>81</v>
      </c>
      <c r="B34" s="50" t="s">
        <v>82</v>
      </c>
      <c r="C34" s="54" t="s">
        <v>467</v>
      </c>
      <c r="D34" s="39"/>
      <c r="E34" s="12"/>
      <c r="F34" s="12"/>
      <c r="G34" s="12"/>
      <c r="H34" s="12"/>
      <c r="I34" s="12"/>
    </row>
    <row r="35" spans="1:16" ht="30" outlineLevel="1" collapsed="1" x14ac:dyDescent="0.25">
      <c r="A35" s="47" t="s">
        <v>83</v>
      </c>
      <c r="B35" s="48" t="s">
        <v>389</v>
      </c>
      <c r="C35" s="38" t="s">
        <v>390</v>
      </c>
      <c r="D35" s="12"/>
      <c r="E35" s="12"/>
      <c r="F35" s="12"/>
      <c r="G35" s="12"/>
      <c r="H35" s="12"/>
      <c r="I35" s="12"/>
    </row>
    <row r="36" spans="1:16" ht="180" outlineLevel="1" x14ac:dyDescent="0.25">
      <c r="A36" s="47" t="s">
        <v>84</v>
      </c>
      <c r="B36" s="48" t="s">
        <v>85</v>
      </c>
      <c r="C36" s="48" t="s">
        <v>400</v>
      </c>
      <c r="D36" s="12"/>
      <c r="E36" s="12"/>
      <c r="F36" s="12"/>
      <c r="G36" s="12"/>
      <c r="H36" s="12"/>
      <c r="I36" s="12"/>
    </row>
    <row r="37" spans="1:16" x14ac:dyDescent="0.25">
      <c r="A37" s="45">
        <v>1.2</v>
      </c>
      <c r="B37" s="46" t="s">
        <v>86</v>
      </c>
      <c r="C37" s="46" t="s">
        <v>399</v>
      </c>
      <c r="D37" s="12"/>
      <c r="E37" s="12"/>
      <c r="F37" s="12"/>
      <c r="G37" s="12"/>
      <c r="H37" s="12"/>
      <c r="I37" s="12"/>
    </row>
    <row r="38" spans="1:16" ht="135" outlineLevel="1" x14ac:dyDescent="0.25">
      <c r="A38" s="47" t="s">
        <v>68</v>
      </c>
      <c r="B38" s="48" t="s">
        <v>87</v>
      </c>
      <c r="C38" s="48" t="s">
        <v>88</v>
      </c>
      <c r="D38" s="12"/>
      <c r="E38" s="12"/>
      <c r="F38" s="12"/>
      <c r="G38" s="12"/>
      <c r="H38" s="12"/>
      <c r="I38" s="12"/>
    </row>
    <row r="39" spans="1:16" ht="150" outlineLevel="1" x14ac:dyDescent="0.25">
      <c r="A39" s="47" t="s">
        <v>70</v>
      </c>
      <c r="B39" s="48" t="s">
        <v>89</v>
      </c>
      <c r="C39" s="48" t="s">
        <v>589</v>
      </c>
      <c r="D39" s="12"/>
      <c r="E39" s="12"/>
      <c r="F39" s="12"/>
      <c r="G39" s="12"/>
      <c r="H39" s="12"/>
      <c r="I39" s="12"/>
    </row>
    <row r="40" spans="1:16" x14ac:dyDescent="0.25">
      <c r="A40" s="45">
        <v>1.3</v>
      </c>
      <c r="B40" s="46" t="s">
        <v>90</v>
      </c>
      <c r="C40" s="46" t="s">
        <v>91</v>
      </c>
      <c r="D40" s="12"/>
      <c r="E40" s="12"/>
      <c r="F40" s="12"/>
      <c r="G40" s="12"/>
      <c r="H40" s="12"/>
      <c r="I40" s="12"/>
    </row>
    <row r="41" spans="1:16" ht="75" outlineLevel="1" x14ac:dyDescent="0.25">
      <c r="A41" s="52" t="s">
        <v>75</v>
      </c>
      <c r="B41" s="38" t="s">
        <v>214</v>
      </c>
      <c r="C41" s="48" t="s">
        <v>401</v>
      </c>
      <c r="D41" s="11"/>
      <c r="E41" s="12"/>
      <c r="F41" s="12"/>
      <c r="G41" s="12"/>
      <c r="H41" s="12"/>
      <c r="I41" s="12"/>
      <c r="J41" s="3"/>
      <c r="K41" s="3"/>
      <c r="L41" s="3"/>
      <c r="M41" s="3"/>
      <c r="N41" s="3"/>
      <c r="O41" s="3"/>
      <c r="P41" s="3"/>
    </row>
    <row r="42" spans="1:16" ht="75" outlineLevel="1" x14ac:dyDescent="0.25">
      <c r="A42" s="52" t="s">
        <v>77</v>
      </c>
      <c r="B42" s="38" t="s">
        <v>204</v>
      </c>
      <c r="C42" s="48" t="s">
        <v>402</v>
      </c>
      <c r="D42" s="11"/>
      <c r="E42" s="12"/>
      <c r="F42" s="12"/>
      <c r="G42" s="12"/>
      <c r="H42" s="12"/>
      <c r="I42" s="12"/>
    </row>
    <row r="43" spans="1:16" ht="188.25" customHeight="1" outlineLevel="1" x14ac:dyDescent="0.25">
      <c r="A43" s="53" t="s">
        <v>93</v>
      </c>
      <c r="B43" s="54" t="s">
        <v>92</v>
      </c>
      <c r="C43" s="54" t="s">
        <v>207</v>
      </c>
      <c r="D43" s="12"/>
      <c r="E43" s="12"/>
      <c r="F43" s="12"/>
      <c r="G43" s="12"/>
      <c r="H43" s="12"/>
      <c r="I43" s="12"/>
    </row>
    <row r="44" spans="1:16" ht="57" customHeight="1" outlineLevel="1" x14ac:dyDescent="0.25">
      <c r="A44" s="53" t="s">
        <v>189</v>
      </c>
      <c r="B44" s="54" t="s">
        <v>403</v>
      </c>
      <c r="C44" s="50" t="s">
        <v>404</v>
      </c>
      <c r="D44" s="41"/>
      <c r="E44" s="12"/>
      <c r="F44" s="12"/>
      <c r="G44" s="12"/>
      <c r="H44" s="12"/>
      <c r="I44" s="12"/>
    </row>
    <row r="45" spans="1:16" ht="89.25" customHeight="1" outlineLevel="1" x14ac:dyDescent="0.25">
      <c r="A45" s="52" t="s">
        <v>79</v>
      </c>
      <c r="B45" s="38" t="s">
        <v>205</v>
      </c>
      <c r="C45" s="48" t="s">
        <v>216</v>
      </c>
      <c r="D45" s="12"/>
      <c r="E45" s="12"/>
      <c r="F45" s="12"/>
      <c r="G45" s="12"/>
      <c r="H45" s="12"/>
      <c r="I45" s="12"/>
    </row>
    <row r="46" spans="1:16" ht="180" outlineLevel="1" x14ac:dyDescent="0.25">
      <c r="A46" s="53" t="s">
        <v>95</v>
      </c>
      <c r="B46" s="54" t="s">
        <v>94</v>
      </c>
      <c r="C46" s="50" t="s">
        <v>206</v>
      </c>
      <c r="D46" s="12"/>
      <c r="E46" s="12"/>
      <c r="F46" s="12"/>
      <c r="G46" s="12"/>
      <c r="H46" s="12"/>
      <c r="I46" s="12"/>
    </row>
    <row r="47" spans="1:16" ht="45" outlineLevel="1" x14ac:dyDescent="0.25">
      <c r="A47" s="53" t="s">
        <v>208</v>
      </c>
      <c r="B47" s="54" t="s">
        <v>405</v>
      </c>
      <c r="C47" s="50" t="s">
        <v>406</v>
      </c>
      <c r="D47" s="11"/>
      <c r="E47" s="12"/>
      <c r="F47" s="12"/>
      <c r="G47" s="12"/>
      <c r="H47" s="12"/>
      <c r="I47" s="12"/>
    </row>
    <row r="48" spans="1:16" ht="45" outlineLevel="1" x14ac:dyDescent="0.25">
      <c r="A48" s="52" t="s">
        <v>80</v>
      </c>
      <c r="B48" s="38" t="s">
        <v>326</v>
      </c>
      <c r="C48" s="48" t="s">
        <v>311</v>
      </c>
      <c r="D48" s="11"/>
      <c r="E48" s="12"/>
      <c r="F48" s="12"/>
      <c r="G48" s="12"/>
      <c r="H48" s="12"/>
      <c r="I48" s="12"/>
    </row>
    <row r="49" spans="1:16" ht="180" outlineLevel="1" x14ac:dyDescent="0.25">
      <c r="A49" s="53" t="s">
        <v>96</v>
      </c>
      <c r="B49" s="54" t="s">
        <v>97</v>
      </c>
      <c r="C49" s="50" t="s">
        <v>98</v>
      </c>
      <c r="D49" s="12"/>
      <c r="E49" s="12"/>
      <c r="F49" s="12"/>
      <c r="G49" s="12"/>
      <c r="H49" s="12"/>
      <c r="I49" s="12"/>
    </row>
    <row r="50" spans="1:16" ht="62.25" customHeight="1" outlineLevel="1" x14ac:dyDescent="0.25">
      <c r="A50" s="53" t="s">
        <v>199</v>
      </c>
      <c r="B50" s="54" t="s">
        <v>312</v>
      </c>
      <c r="C50" s="50" t="s">
        <v>407</v>
      </c>
      <c r="D50" s="11"/>
      <c r="E50" s="12"/>
      <c r="F50" s="12"/>
      <c r="G50" s="12"/>
      <c r="H50" s="12"/>
      <c r="I50" s="12"/>
    </row>
    <row r="51" spans="1:16" ht="105" outlineLevel="1" x14ac:dyDescent="0.25">
      <c r="A51" s="52" t="s">
        <v>99</v>
      </c>
      <c r="B51" s="38" t="s">
        <v>313</v>
      </c>
      <c r="C51" s="48" t="s">
        <v>217</v>
      </c>
      <c r="D51" s="12"/>
      <c r="E51" s="12"/>
      <c r="F51" s="12"/>
      <c r="G51" s="12"/>
      <c r="H51" s="12"/>
      <c r="I51" s="12"/>
    </row>
    <row r="52" spans="1:16" ht="60" outlineLevel="1" x14ac:dyDescent="0.25">
      <c r="A52" s="53" t="s">
        <v>100</v>
      </c>
      <c r="B52" s="54" t="s">
        <v>200</v>
      </c>
      <c r="C52" s="50" t="s">
        <v>408</v>
      </c>
      <c r="D52" s="12"/>
      <c r="E52" s="12"/>
      <c r="F52" s="12"/>
      <c r="G52" s="12"/>
      <c r="H52" s="12"/>
      <c r="I52" s="12"/>
      <c r="J52" s="3"/>
      <c r="K52" s="3"/>
      <c r="L52" s="3"/>
      <c r="M52" s="3"/>
      <c r="N52" s="3"/>
      <c r="O52" s="3"/>
      <c r="P52" s="3"/>
    </row>
    <row r="53" spans="1:16" ht="150" outlineLevel="1" x14ac:dyDescent="0.25">
      <c r="A53" s="53" t="s">
        <v>215</v>
      </c>
      <c r="B53" s="54" t="s">
        <v>314</v>
      </c>
      <c r="C53" s="50" t="s">
        <v>218</v>
      </c>
      <c r="D53" s="12"/>
      <c r="E53" s="12"/>
      <c r="F53" s="12"/>
      <c r="G53" s="12"/>
      <c r="H53" s="12"/>
      <c r="I53" s="12"/>
    </row>
    <row r="54" spans="1:16" ht="74.25" customHeight="1" x14ac:dyDescent="0.25">
      <c r="A54" s="55">
        <v>1.4</v>
      </c>
      <c r="B54" s="56" t="s">
        <v>101</v>
      </c>
      <c r="C54" s="46" t="s">
        <v>409</v>
      </c>
      <c r="D54" s="12"/>
      <c r="E54" s="12"/>
      <c r="F54" s="12"/>
      <c r="G54" s="12"/>
      <c r="H54" s="12"/>
      <c r="I54" s="12"/>
    </row>
    <row r="55" spans="1:16" ht="75" outlineLevel="1" x14ac:dyDescent="0.25">
      <c r="A55" s="52" t="s">
        <v>102</v>
      </c>
      <c r="B55" s="38" t="s">
        <v>103</v>
      </c>
      <c r="C55" s="38" t="s">
        <v>410</v>
      </c>
      <c r="D55" s="42"/>
      <c r="E55" s="12"/>
      <c r="F55" s="12"/>
      <c r="G55" s="12"/>
      <c r="H55" s="12"/>
      <c r="I55" s="12"/>
    </row>
    <row r="56" spans="1:16" ht="45" outlineLevel="1" x14ac:dyDescent="0.25">
      <c r="A56" s="52" t="s">
        <v>190</v>
      </c>
      <c r="B56" s="38" t="s">
        <v>411</v>
      </c>
      <c r="C56" s="38" t="s">
        <v>412</v>
      </c>
      <c r="D56" s="42"/>
      <c r="E56" s="12"/>
      <c r="F56" s="12"/>
      <c r="G56" s="12"/>
      <c r="H56" s="12"/>
      <c r="I56" s="12"/>
    </row>
    <row r="57" spans="1:16" ht="75" outlineLevel="1" x14ac:dyDescent="0.25">
      <c r="A57" s="52" t="s">
        <v>104</v>
      </c>
      <c r="B57" s="38" t="s">
        <v>393</v>
      </c>
      <c r="C57" s="38" t="s">
        <v>465</v>
      </c>
      <c r="D57" s="39"/>
      <c r="E57" s="12"/>
      <c r="F57" s="12"/>
      <c r="G57" s="12"/>
      <c r="H57" s="12"/>
      <c r="I57" s="12"/>
    </row>
    <row r="58" spans="1:16" ht="135" outlineLevel="1" x14ac:dyDescent="0.25">
      <c r="A58" s="52" t="s">
        <v>105</v>
      </c>
      <c r="B58" s="38" t="s">
        <v>394</v>
      </c>
      <c r="C58" s="48" t="s">
        <v>464</v>
      </c>
      <c r="D58" s="43"/>
      <c r="E58" s="12"/>
      <c r="F58" s="12"/>
      <c r="G58" s="12"/>
      <c r="H58" s="12"/>
      <c r="I58" s="12"/>
    </row>
    <row r="59" spans="1:16" ht="72.75" customHeight="1" outlineLevel="1" x14ac:dyDescent="0.25">
      <c r="A59" s="52" t="s">
        <v>106</v>
      </c>
      <c r="B59" s="38" t="s">
        <v>395</v>
      </c>
      <c r="C59" s="48" t="s">
        <v>387</v>
      </c>
      <c r="D59" s="43"/>
      <c r="E59" s="12"/>
      <c r="F59" s="12"/>
      <c r="G59" s="12"/>
      <c r="H59" s="12"/>
      <c r="I59" s="12"/>
    </row>
    <row r="60" spans="1:16" ht="177.75" customHeight="1" x14ac:dyDescent="0.25">
      <c r="A60" s="55">
        <v>1.5</v>
      </c>
      <c r="B60" s="56" t="s">
        <v>413</v>
      </c>
      <c r="C60" s="57" t="s">
        <v>315</v>
      </c>
      <c r="D60" s="44"/>
      <c r="E60" s="12"/>
      <c r="F60" s="12"/>
      <c r="G60" s="12"/>
      <c r="H60" s="12"/>
      <c r="I60" s="12"/>
    </row>
    <row r="61" spans="1:16" ht="195.75" customHeight="1" outlineLevel="1" x14ac:dyDescent="0.25">
      <c r="A61" s="52" t="s">
        <v>107</v>
      </c>
      <c r="B61" s="38" t="s">
        <v>414</v>
      </c>
      <c r="C61" s="48" t="s">
        <v>316</v>
      </c>
      <c r="D61" s="12"/>
      <c r="E61" s="12"/>
      <c r="F61" s="12"/>
      <c r="G61" s="12"/>
      <c r="H61" s="12"/>
      <c r="I61" s="12"/>
    </row>
    <row r="62" spans="1:16" ht="141.75" customHeight="1" outlineLevel="1" x14ac:dyDescent="0.25">
      <c r="A62" s="52" t="s">
        <v>108</v>
      </c>
      <c r="B62" s="38" t="s">
        <v>109</v>
      </c>
      <c r="C62" s="48" t="s">
        <v>210</v>
      </c>
      <c r="D62" s="12"/>
      <c r="E62" s="12"/>
      <c r="F62" s="12"/>
      <c r="G62" s="12"/>
      <c r="H62" s="12"/>
      <c r="I62" s="12"/>
    </row>
    <row r="63" spans="1:16" ht="105" outlineLevel="1" x14ac:dyDescent="0.25">
      <c r="A63" s="53" t="s">
        <v>110</v>
      </c>
      <c r="B63" s="54" t="s">
        <v>111</v>
      </c>
      <c r="C63" s="50" t="s">
        <v>211</v>
      </c>
      <c r="D63" s="12"/>
      <c r="E63" s="12"/>
      <c r="F63" s="12"/>
      <c r="G63" s="12"/>
      <c r="H63" s="12"/>
      <c r="I63" s="12"/>
    </row>
    <row r="64" spans="1:16" ht="30" outlineLevel="1" x14ac:dyDescent="0.25">
      <c r="A64" s="58" t="s">
        <v>112</v>
      </c>
      <c r="B64" s="59" t="s">
        <v>424</v>
      </c>
      <c r="C64" s="60" t="s">
        <v>425</v>
      </c>
      <c r="D64" s="12"/>
      <c r="E64" s="12"/>
      <c r="F64" s="12"/>
      <c r="G64" s="12"/>
      <c r="H64" s="12"/>
      <c r="I64" s="12"/>
    </row>
    <row r="65" spans="1:16" outlineLevel="1" x14ac:dyDescent="0.25">
      <c r="A65" s="61" t="s">
        <v>113</v>
      </c>
      <c r="B65" s="62" t="s">
        <v>220</v>
      </c>
      <c r="C65" s="62" t="s">
        <v>426</v>
      </c>
      <c r="D65" s="40"/>
      <c r="E65" s="12"/>
      <c r="F65" s="12"/>
      <c r="G65" s="12"/>
      <c r="H65" s="12"/>
      <c r="I65" s="12"/>
      <c r="J65" s="3"/>
      <c r="K65" s="3"/>
      <c r="L65" s="3"/>
      <c r="M65" s="3"/>
      <c r="N65" s="3"/>
      <c r="O65" s="3"/>
      <c r="P65" s="3"/>
    </row>
    <row r="66" spans="1:16" outlineLevel="2" x14ac:dyDescent="0.25">
      <c r="A66" s="63" t="s">
        <v>219</v>
      </c>
      <c r="B66" s="64" t="s">
        <v>201</v>
      </c>
      <c r="C66" s="65" t="s">
        <v>327</v>
      </c>
      <c r="D66" s="12"/>
      <c r="E66" s="12"/>
      <c r="F66" s="12"/>
      <c r="G66" s="12"/>
      <c r="H66" s="12"/>
      <c r="I66" s="12"/>
    </row>
    <row r="67" spans="1:16" outlineLevel="2" x14ac:dyDescent="0.25">
      <c r="A67" s="63" t="s">
        <v>223</v>
      </c>
      <c r="B67" s="64" t="s">
        <v>202</v>
      </c>
      <c r="C67" s="65" t="s">
        <v>329</v>
      </c>
      <c r="D67" s="12"/>
      <c r="E67" s="12"/>
      <c r="F67" s="12"/>
      <c r="G67" s="12"/>
      <c r="H67" s="12"/>
      <c r="I67" s="12"/>
    </row>
    <row r="68" spans="1:16" outlineLevel="2" x14ac:dyDescent="0.25">
      <c r="A68" s="63" t="s">
        <v>224</v>
      </c>
      <c r="B68" s="64" t="s">
        <v>203</v>
      </c>
      <c r="C68" s="65" t="s">
        <v>328</v>
      </c>
      <c r="D68" s="12"/>
      <c r="E68" s="12"/>
      <c r="F68" s="12"/>
      <c r="G68" s="12"/>
      <c r="H68" s="12"/>
      <c r="I68" s="12"/>
    </row>
    <row r="69" spans="1:16" ht="90" outlineLevel="1" x14ac:dyDescent="0.25">
      <c r="A69" s="58" t="s">
        <v>114</v>
      </c>
      <c r="B69" s="59" t="s">
        <v>415</v>
      </c>
      <c r="C69" s="60" t="s">
        <v>428</v>
      </c>
      <c r="D69" s="12"/>
      <c r="E69" s="12"/>
      <c r="F69" s="12"/>
      <c r="G69" s="12"/>
      <c r="H69" s="12"/>
      <c r="I69" s="12"/>
    </row>
    <row r="70" spans="1:16" ht="58.5" customHeight="1" outlineLevel="1" x14ac:dyDescent="0.25">
      <c r="A70" s="61" t="s">
        <v>115</v>
      </c>
      <c r="B70" s="62" t="s">
        <v>221</v>
      </c>
      <c r="C70" s="62" t="s">
        <v>427</v>
      </c>
      <c r="D70" s="40"/>
      <c r="E70" s="12"/>
      <c r="F70" s="12"/>
      <c r="G70" s="12"/>
      <c r="H70" s="12"/>
      <c r="I70" s="12"/>
      <c r="J70" s="3"/>
      <c r="K70" s="3"/>
      <c r="L70" s="3"/>
      <c r="M70" s="3"/>
      <c r="N70" s="3"/>
      <c r="O70" s="3"/>
      <c r="P70" s="3"/>
    </row>
    <row r="71" spans="1:16" outlineLevel="2" x14ac:dyDescent="0.25">
      <c r="A71" s="63" t="s">
        <v>222</v>
      </c>
      <c r="B71" s="64" t="s">
        <v>201</v>
      </c>
      <c r="C71" s="65" t="s">
        <v>330</v>
      </c>
      <c r="D71" s="12"/>
      <c r="E71" s="12"/>
      <c r="F71" s="12"/>
      <c r="G71" s="12"/>
      <c r="H71" s="12"/>
      <c r="I71" s="12"/>
    </row>
    <row r="72" spans="1:16" outlineLevel="2" x14ac:dyDescent="0.25">
      <c r="A72" s="63" t="s">
        <v>225</v>
      </c>
      <c r="B72" s="64" t="s">
        <v>202</v>
      </c>
      <c r="C72" s="65" t="s">
        <v>331</v>
      </c>
      <c r="D72" s="12"/>
      <c r="E72" s="12"/>
      <c r="F72" s="12"/>
      <c r="G72" s="12"/>
      <c r="H72" s="12"/>
      <c r="I72" s="12"/>
    </row>
    <row r="73" spans="1:16" outlineLevel="2" x14ac:dyDescent="0.25">
      <c r="A73" s="63" t="s">
        <v>226</v>
      </c>
      <c r="B73" s="64" t="s">
        <v>209</v>
      </c>
      <c r="C73" s="65" t="s">
        <v>332</v>
      </c>
      <c r="D73" s="12"/>
      <c r="E73" s="12"/>
      <c r="F73" s="12"/>
      <c r="G73" s="12"/>
      <c r="H73" s="12"/>
      <c r="I73" s="12"/>
    </row>
    <row r="74" spans="1:16" ht="30" outlineLevel="1" x14ac:dyDescent="0.25">
      <c r="A74" s="58" t="s">
        <v>116</v>
      </c>
      <c r="B74" s="59" t="s">
        <v>231</v>
      </c>
      <c r="C74" s="59" t="s">
        <v>590</v>
      </c>
      <c r="D74" s="40"/>
      <c r="E74" s="12"/>
      <c r="F74" s="12"/>
      <c r="G74" s="12"/>
      <c r="H74" s="12"/>
      <c r="I74" s="12"/>
    </row>
    <row r="75" spans="1:16" ht="30" outlineLevel="1" x14ac:dyDescent="0.25">
      <c r="A75" s="61" t="s">
        <v>117</v>
      </c>
      <c r="B75" s="62" t="s">
        <v>227</v>
      </c>
      <c r="C75" s="62" t="s">
        <v>591</v>
      </c>
      <c r="D75" s="40"/>
      <c r="E75" s="12"/>
      <c r="F75" s="12"/>
      <c r="G75" s="12"/>
      <c r="H75" s="12"/>
      <c r="I75" s="12"/>
      <c r="J75" s="3"/>
      <c r="K75" s="3"/>
      <c r="L75" s="3"/>
      <c r="M75" s="3"/>
      <c r="N75" s="3"/>
      <c r="O75" s="3"/>
      <c r="P75" s="3"/>
    </row>
    <row r="76" spans="1:16" outlineLevel="2" x14ac:dyDescent="0.25">
      <c r="A76" s="64" t="s">
        <v>228</v>
      </c>
      <c r="B76" s="64" t="s">
        <v>212</v>
      </c>
      <c r="C76" s="65" t="s">
        <v>333</v>
      </c>
      <c r="D76" s="12"/>
      <c r="E76" s="12"/>
      <c r="F76" s="12"/>
      <c r="G76" s="12"/>
      <c r="H76" s="12"/>
      <c r="I76" s="12"/>
    </row>
    <row r="77" spans="1:16" outlineLevel="2" x14ac:dyDescent="0.25">
      <c r="A77" s="64" t="s">
        <v>229</v>
      </c>
      <c r="B77" s="64" t="s">
        <v>213</v>
      </c>
      <c r="C77" s="65" t="s">
        <v>334</v>
      </c>
      <c r="D77" s="12"/>
      <c r="E77" s="12"/>
      <c r="F77" s="12"/>
      <c r="G77" s="12"/>
      <c r="H77" s="12"/>
      <c r="I77" s="12"/>
    </row>
    <row r="78" spans="1:16" outlineLevel="2" x14ac:dyDescent="0.25">
      <c r="A78" s="64" t="s">
        <v>230</v>
      </c>
      <c r="B78" s="64" t="s">
        <v>203</v>
      </c>
      <c r="C78" s="65" t="s">
        <v>335</v>
      </c>
      <c r="D78" s="12"/>
      <c r="E78" s="12"/>
      <c r="F78" s="12"/>
      <c r="G78" s="12"/>
      <c r="H78" s="12"/>
      <c r="I78" s="12"/>
    </row>
    <row r="79" spans="1:16" ht="105" outlineLevel="1" x14ac:dyDescent="0.25">
      <c r="A79" s="53" t="s">
        <v>118</v>
      </c>
      <c r="B79" s="54" t="s">
        <v>119</v>
      </c>
      <c r="C79" s="50" t="s">
        <v>120</v>
      </c>
      <c r="D79" s="12"/>
      <c r="E79" s="12"/>
      <c r="F79" s="12"/>
      <c r="G79" s="12"/>
      <c r="H79" s="12"/>
      <c r="I79" s="12"/>
    </row>
    <row r="80" spans="1:16" outlineLevel="1" x14ac:dyDescent="0.25">
      <c r="A80" s="58" t="s">
        <v>121</v>
      </c>
      <c r="B80" s="59" t="s">
        <v>234</v>
      </c>
      <c r="C80" s="60" t="s">
        <v>429</v>
      </c>
      <c r="D80" s="12"/>
      <c r="E80" s="12"/>
      <c r="F80" s="12"/>
      <c r="G80" s="12"/>
      <c r="H80" s="12"/>
      <c r="I80" s="12"/>
    </row>
    <row r="81" spans="1:16" outlineLevel="1" x14ac:dyDescent="0.25">
      <c r="A81" s="61" t="s">
        <v>122</v>
      </c>
      <c r="B81" s="62" t="s">
        <v>233</v>
      </c>
      <c r="C81" s="62" t="s">
        <v>376</v>
      </c>
      <c r="D81" s="40"/>
      <c r="E81" s="12"/>
      <c r="F81" s="12"/>
      <c r="G81" s="12"/>
      <c r="H81" s="12"/>
      <c r="I81" s="12"/>
      <c r="J81" s="3"/>
      <c r="K81" s="3"/>
      <c r="L81" s="3"/>
      <c r="M81" s="3"/>
      <c r="N81" s="3"/>
      <c r="O81" s="3"/>
      <c r="P81" s="3"/>
    </row>
    <row r="82" spans="1:16" outlineLevel="2" x14ac:dyDescent="0.25">
      <c r="A82" s="63" t="s">
        <v>232</v>
      </c>
      <c r="B82" s="64" t="s">
        <v>201</v>
      </c>
      <c r="C82" s="65" t="s">
        <v>304</v>
      </c>
      <c r="D82" s="12"/>
      <c r="E82" s="12"/>
      <c r="F82" s="12"/>
      <c r="G82" s="12"/>
      <c r="H82" s="12"/>
      <c r="I82" s="12"/>
    </row>
    <row r="83" spans="1:16" outlineLevel="2" x14ac:dyDescent="0.25">
      <c r="A83" s="63" t="s">
        <v>238</v>
      </c>
      <c r="B83" s="64" t="s">
        <v>202</v>
      </c>
      <c r="C83" s="65" t="s">
        <v>305</v>
      </c>
      <c r="D83" s="12"/>
      <c r="E83" s="12"/>
      <c r="F83" s="12"/>
      <c r="G83" s="12"/>
      <c r="H83" s="12"/>
      <c r="I83" s="12"/>
    </row>
    <row r="84" spans="1:16" outlineLevel="2" x14ac:dyDescent="0.25">
      <c r="A84" s="63" t="s">
        <v>239</v>
      </c>
      <c r="B84" s="64" t="s">
        <v>209</v>
      </c>
      <c r="C84" s="65" t="s">
        <v>306</v>
      </c>
      <c r="D84" s="12"/>
      <c r="E84" s="12"/>
      <c r="F84" s="12"/>
      <c r="G84" s="12"/>
      <c r="H84" s="12"/>
      <c r="I84" s="12"/>
    </row>
    <row r="85" spans="1:16" ht="105" outlineLevel="1" x14ac:dyDescent="0.25">
      <c r="A85" s="58" t="s">
        <v>123</v>
      </c>
      <c r="B85" s="59" t="s">
        <v>416</v>
      </c>
      <c r="C85" s="60" t="s">
        <v>430</v>
      </c>
      <c r="D85" s="12"/>
      <c r="E85" s="12"/>
      <c r="F85" s="12"/>
      <c r="G85" s="12"/>
      <c r="H85" s="12"/>
      <c r="I85" s="12"/>
    </row>
    <row r="86" spans="1:16" outlineLevel="1" x14ac:dyDescent="0.25">
      <c r="A86" s="61" t="s">
        <v>124</v>
      </c>
      <c r="B86" s="62" t="s">
        <v>273</v>
      </c>
      <c r="C86" s="62" t="s">
        <v>377</v>
      </c>
      <c r="D86" s="40"/>
      <c r="E86" s="12"/>
      <c r="F86" s="12"/>
      <c r="G86" s="12"/>
      <c r="H86" s="12"/>
      <c r="I86" s="12"/>
      <c r="J86" s="3"/>
      <c r="K86" s="3"/>
      <c r="L86" s="3"/>
      <c r="M86" s="3"/>
      <c r="N86" s="3"/>
      <c r="O86" s="3"/>
      <c r="P86" s="3"/>
    </row>
    <row r="87" spans="1:16" outlineLevel="2" x14ac:dyDescent="0.25">
      <c r="A87" s="66" t="s">
        <v>235</v>
      </c>
      <c r="B87" s="67" t="s">
        <v>212</v>
      </c>
      <c r="C87" s="68" t="s">
        <v>301</v>
      </c>
      <c r="D87" s="12"/>
      <c r="E87" s="12"/>
      <c r="F87" s="12"/>
      <c r="G87" s="12"/>
      <c r="H87" s="12"/>
      <c r="I87" s="12"/>
    </row>
    <row r="88" spans="1:16" outlineLevel="2" x14ac:dyDescent="0.25">
      <c r="A88" s="66" t="s">
        <v>236</v>
      </c>
      <c r="B88" s="67" t="s">
        <v>202</v>
      </c>
      <c r="C88" s="68" t="s">
        <v>303</v>
      </c>
      <c r="D88" s="12"/>
      <c r="E88" s="12"/>
      <c r="F88" s="12"/>
      <c r="G88" s="12"/>
      <c r="H88" s="12"/>
      <c r="I88" s="12"/>
    </row>
    <row r="89" spans="1:16" outlineLevel="2" x14ac:dyDescent="0.25">
      <c r="A89" s="66" t="s">
        <v>237</v>
      </c>
      <c r="B89" s="67" t="s">
        <v>203</v>
      </c>
      <c r="C89" s="68" t="s">
        <v>302</v>
      </c>
      <c r="D89" s="12"/>
      <c r="E89" s="12"/>
      <c r="F89" s="12"/>
      <c r="G89" s="12"/>
      <c r="H89" s="12"/>
      <c r="I89" s="12"/>
    </row>
    <row r="90" spans="1:16" ht="30" outlineLevel="1" x14ac:dyDescent="0.25">
      <c r="A90" s="52" t="s">
        <v>125</v>
      </c>
      <c r="B90" s="48" t="s">
        <v>126</v>
      </c>
      <c r="C90" s="48" t="s">
        <v>127</v>
      </c>
      <c r="D90" s="12"/>
      <c r="E90" s="12"/>
      <c r="F90" s="12"/>
      <c r="G90" s="12"/>
      <c r="H90" s="12"/>
      <c r="I90" s="12"/>
    </row>
    <row r="91" spans="1:16" outlineLevel="1" x14ac:dyDescent="0.25">
      <c r="A91" s="53" t="s">
        <v>128</v>
      </c>
      <c r="B91" s="50" t="s">
        <v>129</v>
      </c>
      <c r="C91" s="50" t="s">
        <v>130</v>
      </c>
      <c r="D91" s="12"/>
      <c r="E91" s="12"/>
      <c r="F91" s="12"/>
      <c r="G91" s="12"/>
      <c r="H91" s="12"/>
      <c r="I91" s="12"/>
    </row>
    <row r="92" spans="1:16" outlineLevel="1" x14ac:dyDescent="0.25">
      <c r="A92" s="58" t="s">
        <v>131</v>
      </c>
      <c r="B92" s="60" t="s">
        <v>259</v>
      </c>
      <c r="C92" s="60" t="s">
        <v>431</v>
      </c>
      <c r="D92" s="12"/>
      <c r="E92" s="12"/>
      <c r="F92" s="12"/>
      <c r="G92" s="12"/>
      <c r="H92" s="12"/>
      <c r="I92" s="12"/>
      <c r="J92" s="3"/>
      <c r="K92" s="3"/>
      <c r="L92" s="3"/>
      <c r="M92" s="3"/>
      <c r="N92" s="3"/>
      <c r="O92" s="3"/>
      <c r="P92" s="3"/>
    </row>
    <row r="93" spans="1:16" outlineLevel="1" x14ac:dyDescent="0.25">
      <c r="A93" s="61" t="s">
        <v>132</v>
      </c>
      <c r="B93" s="62" t="s">
        <v>263</v>
      </c>
      <c r="C93" s="62" t="s">
        <v>378</v>
      </c>
      <c r="D93" s="40"/>
      <c r="E93" s="12"/>
      <c r="F93" s="12"/>
      <c r="G93" s="12"/>
      <c r="H93" s="12"/>
      <c r="I93" s="12"/>
    </row>
    <row r="94" spans="1:16" outlineLevel="2" x14ac:dyDescent="0.25">
      <c r="A94" s="69" t="s">
        <v>274</v>
      </c>
      <c r="B94" s="67" t="s">
        <v>212</v>
      </c>
      <c r="C94" s="68" t="s">
        <v>336</v>
      </c>
      <c r="D94" s="12"/>
      <c r="E94" s="12"/>
      <c r="F94" s="12"/>
      <c r="G94" s="12"/>
      <c r="H94" s="12"/>
      <c r="I94" s="12"/>
    </row>
    <row r="95" spans="1:16" outlineLevel="2" x14ac:dyDescent="0.25">
      <c r="A95" s="69" t="s">
        <v>275</v>
      </c>
      <c r="B95" s="67" t="s">
        <v>213</v>
      </c>
      <c r="C95" s="68" t="s">
        <v>337</v>
      </c>
      <c r="D95" s="12"/>
      <c r="E95" s="12"/>
      <c r="F95" s="12"/>
      <c r="G95" s="12"/>
      <c r="H95" s="12"/>
      <c r="I95" s="12"/>
    </row>
    <row r="96" spans="1:16" outlineLevel="2" x14ac:dyDescent="0.25">
      <c r="A96" s="69" t="s">
        <v>276</v>
      </c>
      <c r="B96" s="67" t="s">
        <v>203</v>
      </c>
      <c r="C96" s="68" t="s">
        <v>338</v>
      </c>
      <c r="D96" s="12"/>
      <c r="E96" s="12"/>
      <c r="F96" s="12"/>
      <c r="G96" s="12"/>
      <c r="H96" s="12"/>
      <c r="I96" s="12"/>
    </row>
    <row r="97" spans="1:16" ht="90" outlineLevel="1" x14ac:dyDescent="0.25">
      <c r="A97" s="58" t="s">
        <v>133</v>
      </c>
      <c r="B97" s="60" t="s">
        <v>260</v>
      </c>
      <c r="C97" s="60" t="s">
        <v>445</v>
      </c>
      <c r="D97" s="12"/>
      <c r="E97" s="12"/>
      <c r="F97" s="12"/>
      <c r="G97" s="12"/>
      <c r="H97" s="12"/>
      <c r="I97" s="12"/>
      <c r="J97" s="3"/>
      <c r="K97" s="3"/>
      <c r="L97" s="3"/>
      <c r="M97" s="3"/>
      <c r="N97" s="3"/>
      <c r="O97" s="3"/>
      <c r="P97" s="3"/>
    </row>
    <row r="98" spans="1:16" outlineLevel="1" x14ac:dyDescent="0.25">
      <c r="A98" s="61" t="s">
        <v>134</v>
      </c>
      <c r="B98" s="62" t="s">
        <v>262</v>
      </c>
      <c r="C98" s="62" t="s">
        <v>379</v>
      </c>
      <c r="D98" s="40"/>
      <c r="E98" s="12"/>
      <c r="F98" s="12"/>
      <c r="G98" s="12"/>
      <c r="H98" s="12"/>
      <c r="I98" s="12"/>
    </row>
    <row r="99" spans="1:16" outlineLevel="2" x14ac:dyDescent="0.25">
      <c r="A99" s="69" t="s">
        <v>240</v>
      </c>
      <c r="B99" s="68" t="s">
        <v>201</v>
      </c>
      <c r="C99" s="68" t="s">
        <v>339</v>
      </c>
      <c r="D99" s="12"/>
      <c r="E99" s="12"/>
      <c r="F99" s="12"/>
      <c r="G99" s="12"/>
      <c r="H99" s="12"/>
      <c r="I99" s="12"/>
    </row>
    <row r="100" spans="1:16" outlineLevel="2" x14ac:dyDescent="0.25">
      <c r="A100" s="69" t="s">
        <v>241</v>
      </c>
      <c r="B100" s="68" t="s">
        <v>213</v>
      </c>
      <c r="C100" s="68" t="s">
        <v>340</v>
      </c>
      <c r="D100" s="12"/>
      <c r="E100" s="12"/>
      <c r="F100" s="12"/>
      <c r="G100" s="12"/>
      <c r="H100" s="12"/>
      <c r="I100" s="12"/>
    </row>
    <row r="101" spans="1:16" outlineLevel="2" x14ac:dyDescent="0.25">
      <c r="A101" s="69" t="s">
        <v>242</v>
      </c>
      <c r="B101" s="68" t="s">
        <v>209</v>
      </c>
      <c r="C101" s="68" t="s">
        <v>341</v>
      </c>
      <c r="D101" s="12"/>
      <c r="E101" s="12"/>
      <c r="F101" s="12"/>
      <c r="G101" s="12"/>
      <c r="H101" s="12"/>
      <c r="I101" s="12"/>
    </row>
    <row r="102" spans="1:16" ht="30" outlineLevel="1" x14ac:dyDescent="0.25">
      <c r="A102" s="58" t="s">
        <v>135</v>
      </c>
      <c r="B102" s="60" t="s">
        <v>417</v>
      </c>
      <c r="C102" s="60" t="s">
        <v>446</v>
      </c>
      <c r="D102" s="12"/>
      <c r="E102" s="12"/>
      <c r="F102" s="12"/>
      <c r="G102" s="12"/>
      <c r="H102" s="12"/>
      <c r="I102" s="12"/>
      <c r="J102" s="3"/>
      <c r="K102" s="3"/>
      <c r="L102" s="3"/>
      <c r="M102" s="3"/>
      <c r="N102" s="3"/>
      <c r="O102" s="3"/>
      <c r="P102" s="3"/>
    </row>
    <row r="103" spans="1:16" ht="30" outlineLevel="1" x14ac:dyDescent="0.25">
      <c r="A103" s="61" t="s">
        <v>136</v>
      </c>
      <c r="B103" s="62" t="s">
        <v>261</v>
      </c>
      <c r="C103" s="62" t="s">
        <v>380</v>
      </c>
      <c r="D103" s="40"/>
      <c r="E103" s="12"/>
      <c r="F103" s="12"/>
      <c r="G103" s="12"/>
      <c r="H103" s="12"/>
      <c r="I103" s="12"/>
    </row>
    <row r="104" spans="1:16" outlineLevel="2" x14ac:dyDescent="0.25">
      <c r="A104" s="69" t="s">
        <v>243</v>
      </c>
      <c r="B104" s="68" t="s">
        <v>201</v>
      </c>
      <c r="C104" s="68" t="s">
        <v>342</v>
      </c>
      <c r="D104" s="12"/>
      <c r="E104" s="12"/>
      <c r="F104" s="12"/>
      <c r="G104" s="12"/>
      <c r="H104" s="12"/>
      <c r="I104" s="12"/>
    </row>
    <row r="105" spans="1:16" outlineLevel="2" x14ac:dyDescent="0.25">
      <c r="A105" s="69" t="s">
        <v>244</v>
      </c>
      <c r="B105" s="68" t="s">
        <v>213</v>
      </c>
      <c r="C105" s="68" t="s">
        <v>343</v>
      </c>
      <c r="D105" s="12"/>
      <c r="E105" s="12"/>
      <c r="F105" s="12"/>
      <c r="G105" s="12"/>
      <c r="H105" s="12"/>
      <c r="I105" s="12"/>
    </row>
    <row r="106" spans="1:16" outlineLevel="2" x14ac:dyDescent="0.25">
      <c r="A106" s="69" t="s">
        <v>245</v>
      </c>
      <c r="B106" s="68" t="s">
        <v>203</v>
      </c>
      <c r="C106" s="68" t="s">
        <v>344</v>
      </c>
      <c r="D106" s="12"/>
      <c r="E106" s="12"/>
      <c r="F106" s="12"/>
      <c r="G106" s="12"/>
      <c r="H106" s="12"/>
      <c r="I106" s="12"/>
    </row>
    <row r="107" spans="1:16" ht="30" outlineLevel="1" x14ac:dyDescent="0.25">
      <c r="A107" s="58" t="s">
        <v>137</v>
      </c>
      <c r="B107" s="59" t="s">
        <v>418</v>
      </c>
      <c r="C107" s="60" t="s">
        <v>440</v>
      </c>
      <c r="D107" s="12"/>
      <c r="E107" s="12"/>
      <c r="F107" s="12"/>
      <c r="G107" s="12"/>
      <c r="H107" s="12"/>
      <c r="I107" s="12"/>
      <c r="J107" s="3"/>
      <c r="K107" s="3"/>
      <c r="L107" s="3"/>
      <c r="M107" s="3"/>
      <c r="N107" s="3"/>
      <c r="O107" s="3"/>
      <c r="P107" s="3"/>
    </row>
    <row r="108" spans="1:16" ht="30" outlineLevel="1" x14ac:dyDescent="0.25">
      <c r="A108" s="61" t="s">
        <v>138</v>
      </c>
      <c r="B108" s="62" t="s">
        <v>272</v>
      </c>
      <c r="C108" s="62" t="s">
        <v>381</v>
      </c>
      <c r="D108" s="40"/>
      <c r="E108" s="12"/>
      <c r="F108" s="12"/>
      <c r="G108" s="12"/>
      <c r="H108" s="12"/>
      <c r="I108" s="12"/>
    </row>
    <row r="109" spans="1:16" outlineLevel="2" x14ac:dyDescent="0.25">
      <c r="A109" s="69" t="s">
        <v>246</v>
      </c>
      <c r="B109" s="68" t="s">
        <v>201</v>
      </c>
      <c r="C109" s="68" t="s">
        <v>592</v>
      </c>
      <c r="D109" s="12"/>
      <c r="E109" s="12"/>
      <c r="F109" s="12"/>
      <c r="G109" s="12"/>
      <c r="H109" s="12"/>
      <c r="I109" s="12"/>
    </row>
    <row r="110" spans="1:16" outlineLevel="2" x14ac:dyDescent="0.25">
      <c r="A110" s="69" t="s">
        <v>247</v>
      </c>
      <c r="B110" s="68" t="s">
        <v>213</v>
      </c>
      <c r="C110" s="68" t="s">
        <v>345</v>
      </c>
      <c r="D110" s="12"/>
      <c r="E110" s="12"/>
      <c r="F110" s="12"/>
      <c r="G110" s="12"/>
      <c r="H110" s="12"/>
      <c r="I110" s="12"/>
    </row>
    <row r="111" spans="1:16" outlineLevel="2" x14ac:dyDescent="0.25">
      <c r="A111" s="69" t="s">
        <v>248</v>
      </c>
      <c r="B111" s="68" t="s">
        <v>203</v>
      </c>
      <c r="C111" s="68" t="s">
        <v>346</v>
      </c>
      <c r="D111" s="12"/>
      <c r="E111" s="12"/>
      <c r="F111" s="12"/>
      <c r="G111" s="12"/>
      <c r="H111" s="12"/>
      <c r="I111" s="12"/>
    </row>
    <row r="112" spans="1:16" ht="30" outlineLevel="1" x14ac:dyDescent="0.25">
      <c r="A112" s="58" t="s">
        <v>139</v>
      </c>
      <c r="B112" s="60" t="s">
        <v>419</v>
      </c>
      <c r="C112" s="60" t="s">
        <v>300</v>
      </c>
      <c r="D112" s="41"/>
      <c r="E112" s="12"/>
      <c r="F112" s="12"/>
      <c r="G112" s="12"/>
      <c r="H112" s="12"/>
      <c r="I112" s="12"/>
      <c r="J112" s="3"/>
      <c r="K112" s="3"/>
      <c r="L112" s="3"/>
      <c r="M112" s="3"/>
      <c r="N112" s="3"/>
      <c r="O112" s="3"/>
      <c r="P112" s="3"/>
    </row>
    <row r="113" spans="1:16" outlineLevel="1" x14ac:dyDescent="0.25">
      <c r="A113" s="61" t="s">
        <v>295</v>
      </c>
      <c r="B113" s="62" t="s">
        <v>298</v>
      </c>
      <c r="C113" s="70" t="s">
        <v>447</v>
      </c>
      <c r="D113" s="41"/>
      <c r="E113" s="12"/>
      <c r="F113" s="12"/>
      <c r="G113" s="12"/>
      <c r="H113" s="12"/>
      <c r="I113" s="12"/>
      <c r="J113" s="3"/>
      <c r="K113" s="3"/>
      <c r="L113" s="3"/>
      <c r="M113" s="3"/>
      <c r="N113" s="3"/>
      <c r="O113" s="3"/>
      <c r="P113" s="3"/>
    </row>
    <row r="114" spans="1:16" outlineLevel="2" x14ac:dyDescent="0.25">
      <c r="A114" s="69" t="s">
        <v>296</v>
      </c>
      <c r="B114" s="68" t="s">
        <v>201</v>
      </c>
      <c r="C114" s="68" t="s">
        <v>347</v>
      </c>
      <c r="D114" s="12"/>
      <c r="E114" s="12"/>
      <c r="F114" s="12"/>
      <c r="G114" s="12"/>
      <c r="H114" s="12"/>
      <c r="I114" s="12"/>
      <c r="J114" s="3"/>
      <c r="K114" s="3"/>
      <c r="L114" s="3"/>
      <c r="M114" s="3"/>
      <c r="N114" s="3"/>
      <c r="O114" s="3"/>
      <c r="P114" s="3"/>
    </row>
    <row r="115" spans="1:16" outlineLevel="2" x14ac:dyDescent="0.25">
      <c r="A115" s="69" t="s">
        <v>247</v>
      </c>
      <c r="B115" s="68" t="s">
        <v>213</v>
      </c>
      <c r="C115" s="68" t="s">
        <v>348</v>
      </c>
      <c r="D115" s="12"/>
      <c r="E115" s="12"/>
      <c r="F115" s="12"/>
      <c r="G115" s="12"/>
      <c r="H115" s="12"/>
      <c r="I115" s="12"/>
      <c r="J115" s="3"/>
      <c r="K115" s="3"/>
      <c r="L115" s="3"/>
      <c r="M115" s="3"/>
      <c r="N115" s="3"/>
      <c r="O115" s="3"/>
      <c r="P115" s="3"/>
    </row>
    <row r="116" spans="1:16" outlineLevel="2" x14ac:dyDescent="0.25">
      <c r="A116" s="69" t="s">
        <v>297</v>
      </c>
      <c r="B116" s="68" t="s">
        <v>203</v>
      </c>
      <c r="C116" s="68" t="s">
        <v>349</v>
      </c>
      <c r="D116" s="12"/>
      <c r="E116" s="12"/>
      <c r="F116" s="12"/>
      <c r="G116" s="12"/>
      <c r="H116" s="12"/>
      <c r="I116" s="12"/>
    </row>
    <row r="117" spans="1:16" outlineLevel="1" x14ac:dyDescent="0.25">
      <c r="A117" s="53" t="s">
        <v>140</v>
      </c>
      <c r="B117" s="50" t="s">
        <v>141</v>
      </c>
      <c r="C117" s="50" t="s">
        <v>142</v>
      </c>
      <c r="D117" s="44"/>
      <c r="E117" s="12"/>
      <c r="F117" s="12"/>
      <c r="G117" s="12"/>
      <c r="H117" s="12"/>
      <c r="I117" s="12"/>
    </row>
    <row r="118" spans="1:16" ht="30" outlineLevel="1" x14ac:dyDescent="0.25">
      <c r="A118" s="58" t="s">
        <v>143</v>
      </c>
      <c r="B118" s="60" t="s">
        <v>420</v>
      </c>
      <c r="C118" s="60" t="s">
        <v>441</v>
      </c>
      <c r="D118" s="12"/>
      <c r="E118" s="12"/>
      <c r="F118" s="12"/>
      <c r="G118" s="12"/>
      <c r="H118" s="12"/>
      <c r="I118" s="12"/>
      <c r="J118" s="3"/>
      <c r="K118" s="3"/>
      <c r="L118" s="3"/>
      <c r="M118" s="3"/>
      <c r="N118" s="3"/>
      <c r="O118" s="3"/>
      <c r="P118" s="3"/>
    </row>
    <row r="119" spans="1:16" outlineLevel="1" x14ac:dyDescent="0.25">
      <c r="A119" s="61" t="s">
        <v>144</v>
      </c>
      <c r="B119" s="62" t="s">
        <v>299</v>
      </c>
      <c r="C119" s="62" t="s">
        <v>382</v>
      </c>
      <c r="D119" s="12"/>
      <c r="E119" s="12"/>
      <c r="F119" s="12"/>
      <c r="G119" s="12"/>
      <c r="H119" s="12"/>
      <c r="I119" s="12"/>
    </row>
    <row r="120" spans="1:16" outlineLevel="2" x14ac:dyDescent="0.25">
      <c r="A120" s="69" t="s">
        <v>249</v>
      </c>
      <c r="B120" s="68" t="s">
        <v>201</v>
      </c>
      <c r="C120" s="68" t="s">
        <v>350</v>
      </c>
      <c r="D120" s="12"/>
      <c r="E120" s="12"/>
      <c r="F120" s="12"/>
      <c r="G120" s="12"/>
      <c r="H120" s="12"/>
      <c r="I120" s="12"/>
    </row>
    <row r="121" spans="1:16" outlineLevel="2" x14ac:dyDescent="0.25">
      <c r="A121" s="69" t="s">
        <v>250</v>
      </c>
      <c r="B121" s="68" t="s">
        <v>213</v>
      </c>
      <c r="C121" s="68" t="s">
        <v>351</v>
      </c>
      <c r="D121" s="12"/>
      <c r="E121" s="12"/>
      <c r="F121" s="12"/>
      <c r="G121" s="12"/>
      <c r="H121" s="12"/>
      <c r="I121" s="12"/>
    </row>
    <row r="122" spans="1:16" outlineLevel="2" x14ac:dyDescent="0.25">
      <c r="A122" s="69" t="s">
        <v>251</v>
      </c>
      <c r="B122" s="68" t="s">
        <v>203</v>
      </c>
      <c r="C122" s="68" t="s">
        <v>352</v>
      </c>
      <c r="D122" s="12"/>
      <c r="E122" s="12"/>
      <c r="F122" s="12"/>
      <c r="G122" s="12"/>
      <c r="H122" s="12"/>
      <c r="I122" s="12"/>
    </row>
    <row r="123" spans="1:16" ht="90" outlineLevel="1" x14ac:dyDescent="0.25">
      <c r="A123" s="58" t="s">
        <v>145</v>
      </c>
      <c r="B123" s="60" t="s">
        <v>421</v>
      </c>
      <c r="C123" s="60" t="s">
        <v>442</v>
      </c>
      <c r="D123" s="12"/>
      <c r="E123" s="12"/>
      <c r="F123" s="12"/>
      <c r="G123" s="12"/>
      <c r="H123" s="12"/>
      <c r="I123" s="12"/>
      <c r="J123" s="3"/>
      <c r="K123" s="3"/>
      <c r="L123" s="3"/>
      <c r="M123" s="3"/>
      <c r="N123" s="3"/>
      <c r="O123" s="3"/>
      <c r="P123" s="3"/>
    </row>
    <row r="124" spans="1:16" outlineLevel="1" x14ac:dyDescent="0.25">
      <c r="A124" s="61" t="s">
        <v>146</v>
      </c>
      <c r="B124" s="62" t="s">
        <v>264</v>
      </c>
      <c r="C124" s="62" t="s">
        <v>443</v>
      </c>
      <c r="D124" s="12"/>
      <c r="E124" s="12"/>
      <c r="F124" s="12"/>
      <c r="G124" s="12"/>
      <c r="H124" s="12"/>
      <c r="I124" s="12"/>
    </row>
    <row r="125" spans="1:16" outlineLevel="2" x14ac:dyDescent="0.25">
      <c r="A125" s="69" t="s">
        <v>252</v>
      </c>
      <c r="B125" s="68" t="s">
        <v>201</v>
      </c>
      <c r="C125" s="68" t="s">
        <v>353</v>
      </c>
      <c r="D125" s="12"/>
      <c r="E125" s="12"/>
      <c r="F125" s="12"/>
      <c r="G125" s="12"/>
      <c r="H125" s="12"/>
      <c r="I125" s="12"/>
    </row>
    <row r="126" spans="1:16" outlineLevel="2" x14ac:dyDescent="0.25">
      <c r="A126" s="69" t="s">
        <v>253</v>
      </c>
      <c r="B126" s="68" t="s">
        <v>213</v>
      </c>
      <c r="C126" s="68" t="s">
        <v>354</v>
      </c>
      <c r="D126" s="12"/>
      <c r="E126" s="12"/>
      <c r="F126" s="12"/>
      <c r="G126" s="12"/>
      <c r="H126" s="12"/>
      <c r="I126" s="12"/>
    </row>
    <row r="127" spans="1:16" outlineLevel="2" x14ac:dyDescent="0.25">
      <c r="A127" s="69" t="s">
        <v>254</v>
      </c>
      <c r="B127" s="68" t="s">
        <v>203</v>
      </c>
      <c r="C127" s="68" t="s">
        <v>355</v>
      </c>
      <c r="D127" s="12"/>
      <c r="E127" s="12"/>
      <c r="F127" s="12"/>
      <c r="G127" s="12"/>
      <c r="H127" s="12"/>
      <c r="I127" s="12"/>
    </row>
    <row r="128" spans="1:16" ht="30" outlineLevel="1" x14ac:dyDescent="0.25">
      <c r="A128" s="58" t="s">
        <v>147</v>
      </c>
      <c r="B128" s="60" t="s">
        <v>422</v>
      </c>
      <c r="C128" s="60" t="s">
        <v>432</v>
      </c>
      <c r="D128" s="12"/>
      <c r="E128" s="12"/>
      <c r="F128" s="12"/>
      <c r="G128" s="12"/>
      <c r="H128" s="12"/>
      <c r="I128" s="12"/>
      <c r="J128" s="3"/>
      <c r="K128" s="3"/>
      <c r="L128" s="3"/>
      <c r="M128" s="3"/>
      <c r="N128" s="3"/>
      <c r="O128" s="3"/>
      <c r="P128" s="3"/>
    </row>
    <row r="129" spans="1:16" ht="30" outlineLevel="1" x14ac:dyDescent="0.25">
      <c r="A129" s="61" t="s">
        <v>148</v>
      </c>
      <c r="B129" s="62" t="s">
        <v>265</v>
      </c>
      <c r="C129" s="62" t="s">
        <v>383</v>
      </c>
      <c r="D129" s="40"/>
      <c r="E129" s="12"/>
      <c r="F129" s="12"/>
      <c r="G129" s="12"/>
      <c r="H129" s="12"/>
      <c r="I129" s="12"/>
    </row>
    <row r="130" spans="1:16" outlineLevel="2" x14ac:dyDescent="0.25">
      <c r="A130" s="69" t="s">
        <v>255</v>
      </c>
      <c r="B130" s="68" t="s">
        <v>201</v>
      </c>
      <c r="C130" s="68" t="s">
        <v>356</v>
      </c>
      <c r="D130" s="12"/>
      <c r="E130" s="12"/>
      <c r="F130" s="12"/>
      <c r="G130" s="12"/>
      <c r="H130" s="12"/>
      <c r="I130" s="12"/>
    </row>
    <row r="131" spans="1:16" outlineLevel="2" x14ac:dyDescent="0.25">
      <c r="A131" s="69" t="s">
        <v>270</v>
      </c>
      <c r="B131" s="68" t="s">
        <v>213</v>
      </c>
      <c r="C131" s="68" t="s">
        <v>357</v>
      </c>
      <c r="D131" s="12"/>
      <c r="E131" s="12"/>
      <c r="F131" s="12"/>
      <c r="G131" s="12"/>
      <c r="H131" s="12"/>
      <c r="I131" s="12"/>
    </row>
    <row r="132" spans="1:16" outlineLevel="2" x14ac:dyDescent="0.25">
      <c r="A132" s="69" t="s">
        <v>271</v>
      </c>
      <c r="B132" s="68" t="s">
        <v>203</v>
      </c>
      <c r="C132" s="68" t="s">
        <v>358</v>
      </c>
      <c r="D132" s="12"/>
      <c r="E132" s="12"/>
      <c r="F132" s="12"/>
      <c r="G132" s="12"/>
      <c r="H132" s="12"/>
      <c r="I132" s="12"/>
    </row>
    <row r="133" spans="1:16" ht="30" outlineLevel="1" x14ac:dyDescent="0.25">
      <c r="A133" s="58" t="s">
        <v>149</v>
      </c>
      <c r="B133" s="59" t="s">
        <v>423</v>
      </c>
      <c r="C133" s="60" t="s">
        <v>444</v>
      </c>
      <c r="D133" s="12"/>
      <c r="E133" s="12"/>
      <c r="F133" s="12"/>
      <c r="G133" s="12"/>
      <c r="H133" s="12"/>
      <c r="I133" s="12"/>
      <c r="J133" s="3"/>
      <c r="K133" s="3"/>
      <c r="L133" s="3"/>
      <c r="M133" s="3"/>
      <c r="N133" s="3"/>
      <c r="O133" s="3"/>
      <c r="P133" s="3"/>
    </row>
    <row r="134" spans="1:16" ht="30" outlineLevel="1" x14ac:dyDescent="0.25">
      <c r="A134" s="61" t="s">
        <v>150</v>
      </c>
      <c r="B134" s="62" t="s">
        <v>266</v>
      </c>
      <c r="C134" s="62" t="s">
        <v>384</v>
      </c>
      <c r="D134" s="40"/>
      <c r="E134" s="12"/>
      <c r="F134" s="12"/>
      <c r="G134" s="12"/>
      <c r="H134" s="12"/>
      <c r="I134" s="12"/>
    </row>
    <row r="135" spans="1:16" outlineLevel="2" x14ac:dyDescent="0.25">
      <c r="A135" s="69" t="s">
        <v>256</v>
      </c>
      <c r="B135" s="68" t="s">
        <v>201</v>
      </c>
      <c r="C135" s="68" t="s">
        <v>359</v>
      </c>
      <c r="D135" s="12"/>
      <c r="E135" s="12"/>
      <c r="F135" s="12"/>
      <c r="G135" s="12"/>
      <c r="H135" s="12"/>
      <c r="I135" s="12"/>
    </row>
    <row r="136" spans="1:16" outlineLevel="2" x14ac:dyDescent="0.25">
      <c r="A136" s="69" t="s">
        <v>257</v>
      </c>
      <c r="B136" s="68" t="s">
        <v>213</v>
      </c>
      <c r="C136" s="68" t="s">
        <v>360</v>
      </c>
      <c r="D136" s="12"/>
      <c r="E136" s="12"/>
      <c r="F136" s="12"/>
      <c r="G136" s="12"/>
      <c r="H136" s="12"/>
      <c r="I136" s="12"/>
    </row>
    <row r="137" spans="1:16" outlineLevel="2" x14ac:dyDescent="0.25">
      <c r="A137" s="69" t="s">
        <v>258</v>
      </c>
      <c r="B137" s="68" t="s">
        <v>203</v>
      </c>
      <c r="C137" s="68" t="s">
        <v>361</v>
      </c>
      <c r="D137" s="12"/>
      <c r="E137" s="12"/>
      <c r="F137" s="12"/>
      <c r="G137" s="12"/>
      <c r="H137" s="12"/>
      <c r="I137" s="12"/>
    </row>
    <row r="138" spans="1:16" ht="30" outlineLevel="1" x14ac:dyDescent="0.25">
      <c r="A138" s="71" t="s">
        <v>151</v>
      </c>
      <c r="B138" s="60" t="s">
        <v>396</v>
      </c>
      <c r="C138" s="60" t="s">
        <v>386</v>
      </c>
      <c r="D138" s="12"/>
      <c r="E138" s="12"/>
      <c r="F138" s="12"/>
      <c r="G138" s="12"/>
      <c r="H138" s="12"/>
      <c r="I138" s="12"/>
      <c r="J138" s="3"/>
      <c r="K138" s="3"/>
      <c r="L138" s="3"/>
      <c r="M138" s="3"/>
      <c r="N138" s="3"/>
      <c r="O138" s="3"/>
      <c r="P138" s="3"/>
    </row>
    <row r="139" spans="1:16" outlineLevel="2" x14ac:dyDescent="0.25">
      <c r="A139" s="61" t="s">
        <v>268</v>
      </c>
      <c r="B139" s="62" t="s">
        <v>267</v>
      </c>
      <c r="C139" s="70" t="s">
        <v>385</v>
      </c>
      <c r="D139" s="40"/>
      <c r="E139" s="12"/>
      <c r="F139" s="12"/>
      <c r="G139" s="12"/>
      <c r="H139" s="12"/>
      <c r="I139" s="12"/>
      <c r="J139" s="3"/>
      <c r="K139" s="3"/>
      <c r="L139" s="3"/>
      <c r="M139" s="3"/>
      <c r="N139" s="3"/>
      <c r="O139" s="3"/>
      <c r="P139" s="3"/>
    </row>
    <row r="140" spans="1:16" outlineLevel="2" x14ac:dyDescent="0.25">
      <c r="A140" s="68" t="s">
        <v>269</v>
      </c>
      <c r="B140" s="68" t="s">
        <v>201</v>
      </c>
      <c r="C140" s="68" t="s">
        <v>362</v>
      </c>
      <c r="D140" s="12"/>
      <c r="E140" s="12"/>
      <c r="F140" s="12"/>
      <c r="G140" s="12"/>
      <c r="H140" s="12"/>
      <c r="I140" s="12"/>
      <c r="J140" s="3"/>
      <c r="K140" s="3"/>
      <c r="L140" s="3"/>
      <c r="M140" s="3"/>
      <c r="N140" s="3"/>
      <c r="O140" s="3"/>
      <c r="P140" s="3"/>
    </row>
    <row r="141" spans="1:16" outlineLevel="2" x14ac:dyDescent="0.25">
      <c r="A141" s="68" t="s">
        <v>448</v>
      </c>
      <c r="B141" s="68" t="s">
        <v>213</v>
      </c>
      <c r="C141" s="68" t="s">
        <v>363</v>
      </c>
      <c r="D141" s="12"/>
      <c r="E141" s="12"/>
      <c r="F141" s="12"/>
      <c r="G141" s="12"/>
      <c r="H141" s="12"/>
      <c r="I141" s="12"/>
      <c r="J141" s="3"/>
      <c r="K141" s="3"/>
      <c r="L141" s="3"/>
      <c r="M141" s="3"/>
      <c r="N141" s="3"/>
      <c r="O141" s="3"/>
      <c r="P141" s="3"/>
    </row>
    <row r="142" spans="1:16" outlineLevel="2" x14ac:dyDescent="0.25">
      <c r="A142" s="68" t="s">
        <v>449</v>
      </c>
      <c r="B142" s="68" t="s">
        <v>203</v>
      </c>
      <c r="C142" s="68" t="s">
        <v>364</v>
      </c>
      <c r="D142" s="12"/>
      <c r="E142" s="12"/>
      <c r="F142" s="12"/>
      <c r="G142" s="12"/>
      <c r="H142" s="12"/>
      <c r="I142" s="12"/>
    </row>
    <row r="143" spans="1:16" ht="30" x14ac:dyDescent="0.25">
      <c r="A143" s="55">
        <v>1.6</v>
      </c>
      <c r="B143" s="72" t="s">
        <v>152</v>
      </c>
      <c r="C143" s="56" t="s">
        <v>433</v>
      </c>
      <c r="D143" s="12"/>
      <c r="E143" s="12"/>
      <c r="F143" s="12"/>
      <c r="G143" s="12"/>
      <c r="H143" s="12"/>
      <c r="I143" s="12"/>
    </row>
    <row r="144" spans="1:16" ht="30" x14ac:dyDescent="0.25">
      <c r="A144" s="55">
        <v>1.7</v>
      </c>
      <c r="B144" s="72" t="s">
        <v>153</v>
      </c>
      <c r="C144" s="56" t="s">
        <v>434</v>
      </c>
      <c r="D144" s="40"/>
      <c r="E144" s="12"/>
      <c r="F144" s="12"/>
      <c r="G144" s="12"/>
      <c r="H144" s="12"/>
      <c r="I144" s="12"/>
    </row>
    <row r="145" spans="1:16" ht="195" x14ac:dyDescent="0.25">
      <c r="A145" s="55">
        <v>1.8</v>
      </c>
      <c r="B145" s="73" t="s">
        <v>61</v>
      </c>
      <c r="C145" s="74" t="s">
        <v>317</v>
      </c>
      <c r="D145" s="12"/>
      <c r="E145" s="12"/>
      <c r="F145" s="12"/>
      <c r="G145" s="12"/>
      <c r="H145" s="12"/>
      <c r="I145" s="12"/>
    </row>
    <row r="146" spans="1:16" ht="38.25" customHeight="1" x14ac:dyDescent="0.25">
      <c r="A146" s="55">
        <v>1.9</v>
      </c>
      <c r="B146" s="73" t="s">
        <v>14</v>
      </c>
      <c r="C146" s="56" t="s">
        <v>450</v>
      </c>
      <c r="D146" s="12"/>
      <c r="E146" s="12"/>
      <c r="F146" s="12"/>
      <c r="G146" s="12"/>
      <c r="H146" s="12"/>
      <c r="I146" s="12"/>
    </row>
    <row r="147" spans="1:16" ht="120" outlineLevel="1" x14ac:dyDescent="0.25">
      <c r="A147" s="47" t="s">
        <v>154</v>
      </c>
      <c r="B147" s="48" t="s">
        <v>12</v>
      </c>
      <c r="C147" s="38" t="s">
        <v>435</v>
      </c>
      <c r="D147" s="12"/>
      <c r="E147" s="12"/>
      <c r="F147" s="12"/>
      <c r="G147" s="12"/>
      <c r="H147" s="12"/>
      <c r="I147" s="12"/>
    </row>
    <row r="148" spans="1:16" ht="30" outlineLevel="1" x14ac:dyDescent="0.25">
      <c r="A148" s="47" t="s">
        <v>155</v>
      </c>
      <c r="B148" s="48" t="s">
        <v>13</v>
      </c>
      <c r="C148" s="38" t="s">
        <v>156</v>
      </c>
      <c r="D148" s="12"/>
      <c r="E148" s="12"/>
      <c r="F148" s="12"/>
      <c r="G148" s="12"/>
      <c r="H148" s="12"/>
      <c r="I148" s="12"/>
    </row>
    <row r="149" spans="1:16" ht="30" x14ac:dyDescent="0.25">
      <c r="A149" s="75" t="s">
        <v>157</v>
      </c>
      <c r="B149" s="73" t="s">
        <v>11</v>
      </c>
      <c r="C149" s="46" t="s">
        <v>158</v>
      </c>
      <c r="D149" s="12"/>
      <c r="E149" s="12"/>
      <c r="F149" s="12"/>
      <c r="G149" s="12"/>
      <c r="H149" s="12"/>
      <c r="I149" s="12"/>
    </row>
    <row r="150" spans="1:16" ht="45" outlineLevel="1" x14ac:dyDescent="0.25">
      <c r="A150" s="52" t="s">
        <v>159</v>
      </c>
      <c r="B150" s="38" t="s">
        <v>436</v>
      </c>
      <c r="C150" s="48" t="s">
        <v>593</v>
      </c>
      <c r="D150" s="11"/>
      <c r="E150" s="12"/>
      <c r="F150" s="12"/>
      <c r="G150" s="12"/>
      <c r="H150" s="12"/>
      <c r="I150" s="12"/>
      <c r="J150" s="3"/>
      <c r="K150" s="3"/>
    </row>
    <row r="151" spans="1:16" ht="30" outlineLevel="1" x14ac:dyDescent="0.25">
      <c r="A151" s="53" t="s">
        <v>160</v>
      </c>
      <c r="B151" s="54" t="s">
        <v>452</v>
      </c>
      <c r="C151" s="54" t="s">
        <v>370</v>
      </c>
      <c r="D151" s="11"/>
      <c r="E151" s="12"/>
      <c r="F151" s="12"/>
      <c r="G151" s="12"/>
      <c r="H151" s="12"/>
      <c r="I151" s="12"/>
      <c r="J151" s="3"/>
      <c r="K151" s="3"/>
      <c r="L151" s="3"/>
      <c r="M151" s="3"/>
      <c r="N151" s="3"/>
      <c r="O151" s="3"/>
      <c r="P151" s="3"/>
    </row>
    <row r="152" spans="1:16" outlineLevel="2" x14ac:dyDescent="0.25">
      <c r="A152" s="58" t="s">
        <v>278</v>
      </c>
      <c r="B152" s="59" t="s">
        <v>201</v>
      </c>
      <c r="C152" s="59" t="s">
        <v>368</v>
      </c>
      <c r="D152" s="11"/>
      <c r="E152" s="12"/>
      <c r="F152" s="12"/>
      <c r="G152" s="12"/>
      <c r="H152" s="12"/>
      <c r="I152" s="12"/>
      <c r="J152" s="3"/>
      <c r="K152" s="3"/>
    </row>
    <row r="153" spans="1:16" outlineLevel="2" x14ac:dyDescent="0.25">
      <c r="A153" s="58" t="s">
        <v>279</v>
      </c>
      <c r="B153" s="59" t="s">
        <v>202</v>
      </c>
      <c r="C153" s="59" t="s">
        <v>594</v>
      </c>
      <c r="D153" s="11"/>
      <c r="E153" s="12"/>
      <c r="F153" s="12"/>
      <c r="G153" s="12"/>
      <c r="H153" s="12"/>
      <c r="I153" s="12"/>
      <c r="J153" s="3"/>
      <c r="K153" s="3"/>
    </row>
    <row r="154" spans="1:16" outlineLevel="2" x14ac:dyDescent="0.25">
      <c r="A154" s="58" t="s">
        <v>280</v>
      </c>
      <c r="B154" s="59" t="s">
        <v>281</v>
      </c>
      <c r="C154" s="59" t="s">
        <v>369</v>
      </c>
      <c r="D154" s="11"/>
      <c r="E154" s="12"/>
      <c r="F154" s="12"/>
      <c r="G154" s="12"/>
      <c r="H154" s="12"/>
      <c r="I154" s="12"/>
      <c r="J154" s="3"/>
      <c r="K154" s="3"/>
    </row>
    <row r="155" spans="1:16" ht="180" outlineLevel="1" x14ac:dyDescent="0.25">
      <c r="A155" s="52" t="s">
        <v>161</v>
      </c>
      <c r="B155" s="38" t="s">
        <v>397</v>
      </c>
      <c r="C155" s="48" t="s">
        <v>459</v>
      </c>
      <c r="D155" s="11"/>
      <c r="E155" s="12"/>
      <c r="F155" s="12"/>
      <c r="G155" s="12"/>
      <c r="H155" s="12"/>
      <c r="I155" s="12"/>
      <c r="L155" s="3"/>
      <c r="M155" s="3"/>
      <c r="N155" s="3"/>
      <c r="O155" s="3"/>
      <c r="P155" s="3"/>
    </row>
    <row r="156" spans="1:16" ht="30" outlineLevel="1" x14ac:dyDescent="0.25">
      <c r="A156" s="53" t="s">
        <v>162</v>
      </c>
      <c r="B156" s="54" t="s">
        <v>318</v>
      </c>
      <c r="C156" s="54" t="s">
        <v>460</v>
      </c>
      <c r="D156" s="11"/>
      <c r="E156" s="12"/>
      <c r="F156" s="12"/>
      <c r="G156" s="12"/>
      <c r="H156" s="12"/>
      <c r="I156" s="12"/>
      <c r="J156" s="3"/>
      <c r="K156" s="3"/>
    </row>
    <row r="157" spans="1:16" ht="30" outlineLevel="2" x14ac:dyDescent="0.25">
      <c r="A157" s="58" t="s">
        <v>282</v>
      </c>
      <c r="B157" s="59" t="s">
        <v>201</v>
      </c>
      <c r="C157" s="59" t="s">
        <v>307</v>
      </c>
      <c r="D157" s="11"/>
      <c r="E157" s="12"/>
      <c r="F157" s="12"/>
      <c r="G157" s="12"/>
      <c r="H157" s="12"/>
      <c r="I157" s="12"/>
    </row>
    <row r="158" spans="1:16" outlineLevel="2" x14ac:dyDescent="0.25">
      <c r="A158" s="58" t="s">
        <v>283</v>
      </c>
      <c r="B158" s="59" t="s">
        <v>202</v>
      </c>
      <c r="C158" s="59" t="s">
        <v>308</v>
      </c>
      <c r="D158" s="11"/>
      <c r="E158" s="12"/>
      <c r="F158" s="12"/>
      <c r="G158" s="12"/>
      <c r="H158" s="12"/>
      <c r="I158" s="12"/>
    </row>
    <row r="159" spans="1:16" outlineLevel="2" x14ac:dyDescent="0.25">
      <c r="A159" s="58" t="s">
        <v>284</v>
      </c>
      <c r="B159" s="59" t="s">
        <v>281</v>
      </c>
      <c r="C159" s="59" t="s">
        <v>309</v>
      </c>
      <c r="D159" s="11"/>
      <c r="E159" s="12"/>
      <c r="F159" s="12"/>
      <c r="G159" s="12"/>
      <c r="H159" s="12"/>
      <c r="I159" s="12"/>
    </row>
    <row r="160" spans="1:16" outlineLevel="1" x14ac:dyDescent="0.25">
      <c r="A160" s="52" t="s">
        <v>163</v>
      </c>
      <c r="B160" s="38" t="s">
        <v>391</v>
      </c>
      <c r="C160" s="48" t="s">
        <v>437</v>
      </c>
      <c r="D160" s="11"/>
      <c r="E160" s="12"/>
      <c r="F160" s="12"/>
      <c r="G160" s="12"/>
      <c r="H160" s="12"/>
      <c r="I160" s="12"/>
      <c r="J160" s="3"/>
      <c r="K160" s="3"/>
      <c r="L160" s="3"/>
      <c r="M160" s="3"/>
      <c r="N160" s="3"/>
      <c r="O160" s="3"/>
      <c r="P160" s="3"/>
    </row>
    <row r="161" spans="1:16" outlineLevel="1" x14ac:dyDescent="0.25">
      <c r="A161" s="53" t="s">
        <v>164</v>
      </c>
      <c r="B161" s="54" t="s">
        <v>277</v>
      </c>
      <c r="C161" s="54" t="s">
        <v>371</v>
      </c>
      <c r="D161" s="11"/>
      <c r="E161" s="12"/>
      <c r="F161" s="12"/>
      <c r="G161" s="12"/>
      <c r="H161" s="12"/>
      <c r="I161" s="12"/>
    </row>
    <row r="162" spans="1:16" outlineLevel="2" x14ac:dyDescent="0.25">
      <c r="A162" s="58" t="s">
        <v>285</v>
      </c>
      <c r="B162" s="59" t="s">
        <v>201</v>
      </c>
      <c r="C162" s="59" t="s">
        <v>365</v>
      </c>
      <c r="D162" s="11"/>
      <c r="E162" s="12"/>
      <c r="F162" s="12"/>
      <c r="G162" s="12"/>
      <c r="H162" s="12"/>
      <c r="I162" s="12"/>
    </row>
    <row r="163" spans="1:16" outlineLevel="2" x14ac:dyDescent="0.25">
      <c r="A163" s="58" t="s">
        <v>286</v>
      </c>
      <c r="B163" s="59" t="s">
        <v>202</v>
      </c>
      <c r="C163" s="59" t="s">
        <v>366</v>
      </c>
      <c r="D163" s="11"/>
      <c r="E163" s="12"/>
      <c r="F163" s="12"/>
      <c r="G163" s="12"/>
      <c r="H163" s="12"/>
      <c r="I163" s="12"/>
    </row>
    <row r="164" spans="1:16" outlineLevel="2" x14ac:dyDescent="0.25">
      <c r="A164" s="58" t="s">
        <v>287</v>
      </c>
      <c r="B164" s="59" t="s">
        <v>281</v>
      </c>
      <c r="C164" s="59" t="s">
        <v>367</v>
      </c>
      <c r="D164" s="11"/>
      <c r="E164" s="12"/>
      <c r="F164" s="12"/>
      <c r="G164" s="12"/>
      <c r="H164" s="12"/>
      <c r="I164" s="12"/>
    </row>
    <row r="165" spans="1:16" ht="30" outlineLevel="1" x14ac:dyDescent="0.25">
      <c r="A165" s="52" t="s">
        <v>165</v>
      </c>
      <c r="B165" s="38" t="s">
        <v>458</v>
      </c>
      <c r="C165" s="38" t="s">
        <v>595</v>
      </c>
      <c r="D165" s="11"/>
      <c r="E165" s="12"/>
      <c r="F165" s="12"/>
      <c r="G165" s="12"/>
      <c r="H165" s="12"/>
      <c r="I165" s="12"/>
      <c r="J165" s="3"/>
      <c r="K165" s="3"/>
      <c r="L165" s="3"/>
      <c r="M165" s="3"/>
      <c r="N165" s="3"/>
      <c r="O165" s="3"/>
      <c r="P165" s="3"/>
    </row>
    <row r="166" spans="1:16" ht="30" outlineLevel="1" x14ac:dyDescent="0.25">
      <c r="A166" s="53" t="s">
        <v>166</v>
      </c>
      <c r="B166" s="54" t="s">
        <v>319</v>
      </c>
      <c r="C166" s="54" t="s">
        <v>596</v>
      </c>
      <c r="D166" s="40"/>
      <c r="E166" s="12"/>
      <c r="F166" s="12"/>
      <c r="G166" s="12"/>
      <c r="H166" s="12"/>
      <c r="I166" s="12"/>
    </row>
    <row r="167" spans="1:16" outlineLevel="2" x14ac:dyDescent="0.25">
      <c r="A167" s="58" t="s">
        <v>292</v>
      </c>
      <c r="B167" s="59" t="s">
        <v>212</v>
      </c>
      <c r="C167" s="59" t="s">
        <v>597</v>
      </c>
      <c r="D167" s="12"/>
      <c r="E167" s="12"/>
      <c r="F167" s="12"/>
      <c r="G167" s="12"/>
      <c r="H167" s="12"/>
      <c r="I167" s="12"/>
    </row>
    <row r="168" spans="1:16" outlineLevel="2" x14ac:dyDescent="0.25">
      <c r="A168" s="58" t="s">
        <v>293</v>
      </c>
      <c r="B168" s="59" t="s">
        <v>202</v>
      </c>
      <c r="C168" s="59" t="s">
        <v>598</v>
      </c>
      <c r="D168" s="12"/>
      <c r="E168" s="12"/>
      <c r="F168" s="12"/>
      <c r="G168" s="12"/>
      <c r="H168" s="12"/>
      <c r="I168" s="12"/>
    </row>
    <row r="169" spans="1:16" outlineLevel="2" x14ac:dyDescent="0.25">
      <c r="A169" s="58" t="s">
        <v>294</v>
      </c>
      <c r="B169" s="59" t="s">
        <v>281</v>
      </c>
      <c r="C169" s="59" t="s">
        <v>599</v>
      </c>
      <c r="D169" s="12"/>
      <c r="E169" s="12"/>
      <c r="F169" s="12"/>
      <c r="G169" s="12"/>
      <c r="H169" s="12"/>
      <c r="I169" s="12"/>
    </row>
    <row r="170" spans="1:16" ht="135" outlineLevel="1" x14ac:dyDescent="0.25">
      <c r="A170" s="52" t="s">
        <v>167</v>
      </c>
      <c r="B170" s="38" t="s">
        <v>392</v>
      </c>
      <c r="C170" s="38" t="s">
        <v>438</v>
      </c>
      <c r="D170" s="12"/>
      <c r="E170" s="12"/>
      <c r="F170" s="12"/>
      <c r="G170" s="12"/>
      <c r="H170" s="12"/>
      <c r="I170" s="12"/>
      <c r="J170" s="3"/>
      <c r="K170" s="3"/>
      <c r="L170" s="3"/>
      <c r="M170" s="3"/>
      <c r="N170" s="3"/>
      <c r="O170" s="3"/>
      <c r="P170" s="3"/>
    </row>
    <row r="171" spans="1:16" ht="30" outlineLevel="1" x14ac:dyDescent="0.25">
      <c r="A171" s="53" t="s">
        <v>168</v>
      </c>
      <c r="B171" s="54" t="s">
        <v>291</v>
      </c>
      <c r="C171" s="54" t="s">
        <v>372</v>
      </c>
      <c r="D171" s="40"/>
      <c r="E171" s="12"/>
      <c r="F171" s="12"/>
      <c r="G171" s="12"/>
      <c r="H171" s="12"/>
      <c r="I171" s="12"/>
    </row>
    <row r="172" spans="1:16" outlineLevel="2" x14ac:dyDescent="0.25">
      <c r="A172" s="58" t="s">
        <v>288</v>
      </c>
      <c r="B172" s="59" t="s">
        <v>212</v>
      </c>
      <c r="C172" s="60" t="s">
        <v>373</v>
      </c>
      <c r="D172" s="12"/>
      <c r="E172" s="12"/>
      <c r="F172" s="12"/>
      <c r="G172" s="12"/>
      <c r="H172" s="12"/>
      <c r="I172" s="12"/>
    </row>
    <row r="173" spans="1:16" outlineLevel="2" x14ac:dyDescent="0.25">
      <c r="A173" s="58" t="s">
        <v>289</v>
      </c>
      <c r="B173" s="59" t="s">
        <v>213</v>
      </c>
      <c r="C173" s="60" t="s">
        <v>374</v>
      </c>
      <c r="D173" s="12"/>
      <c r="E173" s="12"/>
      <c r="F173" s="12"/>
      <c r="G173" s="12"/>
      <c r="H173" s="12"/>
      <c r="I173" s="12"/>
    </row>
    <row r="174" spans="1:16" outlineLevel="2" x14ac:dyDescent="0.25">
      <c r="A174" s="58" t="s">
        <v>290</v>
      </c>
      <c r="B174" s="59" t="s">
        <v>310</v>
      </c>
      <c r="C174" s="60" t="s">
        <v>375</v>
      </c>
      <c r="D174" s="12"/>
      <c r="E174" s="12"/>
      <c r="F174" s="12"/>
      <c r="G174" s="12"/>
      <c r="H174" s="12"/>
      <c r="I174" s="12"/>
    </row>
    <row r="175" spans="1:16" ht="180" x14ac:dyDescent="0.25">
      <c r="A175" s="45">
        <v>1.1100000000000001</v>
      </c>
      <c r="B175" s="73" t="s">
        <v>169</v>
      </c>
      <c r="C175" s="46" t="s">
        <v>451</v>
      </c>
      <c r="D175" s="11"/>
      <c r="E175" s="12"/>
      <c r="F175" s="12"/>
      <c r="G175" s="12"/>
      <c r="H175" s="12"/>
      <c r="I175" s="12"/>
    </row>
    <row r="176" spans="1:16" ht="30" outlineLevel="1" x14ac:dyDescent="0.25">
      <c r="A176" s="52" t="s">
        <v>170</v>
      </c>
      <c r="B176" s="48" t="s">
        <v>173</v>
      </c>
      <c r="C176" s="48" t="s">
        <v>455</v>
      </c>
      <c r="D176" s="11"/>
      <c r="E176" s="12"/>
      <c r="F176" s="12"/>
      <c r="G176" s="12"/>
      <c r="H176" s="12"/>
      <c r="I176" s="12"/>
    </row>
    <row r="177" spans="1:11" ht="30" outlineLevel="1" x14ac:dyDescent="0.25">
      <c r="A177" s="52" t="s">
        <v>172</v>
      </c>
      <c r="B177" s="48" t="s">
        <v>171</v>
      </c>
      <c r="C177" s="48" t="s">
        <v>456</v>
      </c>
      <c r="D177" s="11"/>
      <c r="E177" s="12"/>
      <c r="F177" s="12"/>
      <c r="G177" s="12"/>
      <c r="H177" s="12"/>
      <c r="I177" s="12"/>
    </row>
    <row r="178" spans="1:11" ht="60" outlineLevel="1" x14ac:dyDescent="0.25">
      <c r="A178" s="52" t="s">
        <v>174</v>
      </c>
      <c r="B178" s="48" t="s">
        <v>320</v>
      </c>
      <c r="C178" s="48" t="s">
        <v>457</v>
      </c>
      <c r="D178" s="11"/>
      <c r="E178" s="12"/>
      <c r="F178" s="12"/>
      <c r="G178" s="12"/>
      <c r="H178" s="12"/>
      <c r="I178" s="12"/>
    </row>
    <row r="179" spans="1:11" x14ac:dyDescent="0.25">
      <c r="A179" s="45">
        <v>1.1200000000000001</v>
      </c>
      <c r="B179" s="73" t="s">
        <v>175</v>
      </c>
      <c r="C179" s="56" t="s">
        <v>321</v>
      </c>
      <c r="D179" s="11"/>
      <c r="E179" s="12"/>
      <c r="F179" s="12"/>
      <c r="G179" s="12"/>
      <c r="H179" s="12"/>
      <c r="I179" s="12"/>
    </row>
    <row r="180" spans="1:11" ht="30" x14ac:dyDescent="0.25">
      <c r="A180" s="55">
        <v>1.1299999999999999</v>
      </c>
      <c r="B180" s="72" t="s">
        <v>322</v>
      </c>
      <c r="C180" s="46" t="s">
        <v>439</v>
      </c>
      <c r="D180" s="17"/>
      <c r="E180" s="12"/>
      <c r="F180" s="12"/>
      <c r="G180" s="12"/>
      <c r="H180" s="12"/>
      <c r="I180" s="12"/>
      <c r="J180" s="21"/>
      <c r="K180" s="21"/>
    </row>
    <row r="181" spans="1:11" ht="30" x14ac:dyDescent="0.25">
      <c r="A181" s="76">
        <v>1.1399999999999999</v>
      </c>
      <c r="B181" s="73" t="s">
        <v>176</v>
      </c>
      <c r="C181" s="73" t="s">
        <v>177</v>
      </c>
      <c r="D181" s="17"/>
      <c r="E181" s="12"/>
      <c r="F181" s="12"/>
      <c r="G181" s="12"/>
      <c r="H181" s="12"/>
      <c r="I181" s="12"/>
    </row>
    <row r="182" spans="1:11" ht="30" x14ac:dyDescent="0.25">
      <c r="A182" s="76">
        <v>1.1499999999999999</v>
      </c>
      <c r="B182" s="73" t="s">
        <v>178</v>
      </c>
      <c r="C182" s="73" t="s">
        <v>179</v>
      </c>
      <c r="D182" s="17"/>
      <c r="E182" s="12"/>
      <c r="F182" s="12"/>
      <c r="G182" s="12"/>
      <c r="H182" s="12"/>
      <c r="I182" s="12"/>
    </row>
    <row r="183" spans="1:11" x14ac:dyDescent="0.25">
      <c r="A183" s="76">
        <v>1.1599999999999999</v>
      </c>
      <c r="B183" s="73" t="s">
        <v>323</v>
      </c>
      <c r="C183" s="73" t="s">
        <v>180</v>
      </c>
      <c r="D183" s="17"/>
      <c r="E183" s="12"/>
      <c r="F183" s="12"/>
      <c r="G183" s="12"/>
      <c r="H183" s="12"/>
      <c r="I183" s="12"/>
    </row>
    <row r="184" spans="1:11" x14ac:dyDescent="0.25">
      <c r="A184" s="76">
        <v>1.17</v>
      </c>
      <c r="B184" s="73" t="s">
        <v>181</v>
      </c>
      <c r="C184" s="73" t="s">
        <v>182</v>
      </c>
      <c r="D184" s="17"/>
      <c r="E184" s="12"/>
      <c r="F184" s="12"/>
      <c r="G184" s="12"/>
      <c r="H184" s="12"/>
      <c r="I184" s="12"/>
    </row>
  </sheetData>
  <mergeCells count="1">
    <mergeCell ref="C2:G2"/>
  </mergeCells>
  <dataValidations count="1">
    <dataValidation type="list" allowBlank="1" showInputMessage="1" showErrorMessage="1" sqref="C23" xr:uid="{00000000-0002-0000-0100-000000000000}">
      <formula1>Functions</formula1>
    </dataValidation>
  </dataValidations>
  <pageMargins left="0.25" right="0.25" top="0.75" bottom="0.5" header="0.3" footer="0.3"/>
  <pageSetup scale="39" fitToHeight="0" orientation="portrait" r:id="rId1"/>
  <headerFooter>
    <oddHeader>&amp;C&amp;"Courier"&amp;12UNCLASSIFIED</oddHeader>
    <oddFooter>&amp;C&amp;"Courier"&amp;12UNCLASSIFIED</oddFooter>
  </headerFooter>
  <ignoredErrors>
    <ignoredError sqref="A149" numberStoredAsText="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8"/>
    <pageSetUpPr fitToPage="1"/>
  </sheetPr>
  <dimension ref="B1:AB47"/>
  <sheetViews>
    <sheetView showGridLines="0" topLeftCell="G14" zoomScale="70" zoomScaleNormal="70" workbookViewId="0">
      <selection activeCell="W30" sqref="W30"/>
    </sheetView>
  </sheetViews>
  <sheetFormatPr defaultColWidth="9.140625" defaultRowHeight="15" x14ac:dyDescent="0.25"/>
  <cols>
    <col min="1" max="1" width="3.42578125" style="1" customWidth="1"/>
    <col min="2" max="2" width="15.5703125" style="1" customWidth="1"/>
    <col min="3" max="3" width="13" style="1" customWidth="1"/>
    <col min="4" max="6" width="13.140625" style="1" customWidth="1"/>
    <col min="7" max="7" width="14.7109375" style="1" customWidth="1"/>
    <col min="8" max="8" width="19" style="1" customWidth="1"/>
    <col min="9" max="9" width="13.28515625" style="1" customWidth="1"/>
    <col min="10" max="10" width="15.42578125" style="1" customWidth="1"/>
    <col min="11" max="11" width="18.140625" customWidth="1"/>
    <col min="12" max="15" width="4.85546875" style="1" customWidth="1"/>
    <col min="16" max="17" width="14.140625" style="1" customWidth="1"/>
    <col min="18" max="18" width="16.85546875" style="1" customWidth="1"/>
    <col min="19" max="19" width="12.5703125" style="1" customWidth="1"/>
    <col min="20" max="22" width="17.85546875" style="1" customWidth="1"/>
    <col min="23" max="23" width="31" style="1" customWidth="1"/>
    <col min="24" max="24" width="58" style="1" customWidth="1"/>
    <col min="25" max="25" width="32.5703125" style="1" customWidth="1"/>
    <col min="26" max="26" width="28" style="1" customWidth="1"/>
    <col min="27" max="27" width="33.42578125" style="1" bestFit="1" customWidth="1"/>
    <col min="28" max="28" width="11.42578125" style="1" bestFit="1" customWidth="1"/>
    <col min="29" max="29" width="15.5703125" style="1" bestFit="1" customWidth="1"/>
    <col min="30" max="30" width="11.140625" style="1" bestFit="1" customWidth="1"/>
    <col min="31" max="31" width="16" style="1" customWidth="1"/>
    <col min="32" max="16384" width="9.140625" style="1"/>
  </cols>
  <sheetData>
    <row r="1" spans="4:28" x14ac:dyDescent="0.25">
      <c r="K1" s="3"/>
    </row>
    <row r="2" spans="4:28" ht="15.75" x14ac:dyDescent="0.25">
      <c r="D2" s="355" t="s">
        <v>600</v>
      </c>
      <c r="E2" s="355"/>
      <c r="F2" s="355"/>
      <c r="G2" s="355"/>
      <c r="H2" s="355"/>
      <c r="I2" s="355"/>
      <c r="J2" s="355"/>
      <c r="K2" s="1"/>
    </row>
    <row r="3" spans="4:28" x14ac:dyDescent="0.25">
      <c r="K3" s="3"/>
    </row>
    <row r="4" spans="4:28" x14ac:dyDescent="0.25">
      <c r="K4" s="3"/>
    </row>
    <row r="5" spans="4:28" x14ac:dyDescent="0.25">
      <c r="K5" s="3"/>
    </row>
    <row r="6" spans="4:28" ht="13.5" thickBot="1" x14ac:dyDescent="0.25">
      <c r="K6" s="1"/>
    </row>
    <row r="7" spans="4:28" ht="15.75" x14ac:dyDescent="0.25">
      <c r="H7" s="22"/>
      <c r="I7" s="36" t="s">
        <v>198</v>
      </c>
      <c r="J7" s="23"/>
      <c r="K7" s="23"/>
      <c r="L7" s="24"/>
      <c r="M7" s="25"/>
    </row>
    <row r="8" spans="4:28" x14ac:dyDescent="0.25">
      <c r="H8" s="26"/>
      <c r="I8" s="27" t="s">
        <v>191</v>
      </c>
      <c r="J8" s="28"/>
      <c r="K8" s="28"/>
      <c r="L8" s="29"/>
      <c r="M8" s="30"/>
      <c r="AB8" s="13"/>
    </row>
    <row r="9" spans="4:28" x14ac:dyDescent="0.25">
      <c r="H9" s="26"/>
      <c r="I9" s="27" t="s">
        <v>192</v>
      </c>
      <c r="J9" s="28"/>
      <c r="K9" s="28"/>
      <c r="L9" s="29"/>
      <c r="M9" s="30"/>
      <c r="N9" s="3"/>
      <c r="O9"/>
      <c r="AB9" s="13"/>
    </row>
    <row r="10" spans="4:28" x14ac:dyDescent="0.25">
      <c r="H10" s="26"/>
      <c r="I10" s="27" t="s">
        <v>193</v>
      </c>
      <c r="J10" s="28"/>
      <c r="K10" s="28"/>
      <c r="L10" s="29"/>
      <c r="M10" s="30"/>
      <c r="N10" s="3"/>
      <c r="O10"/>
      <c r="AB10" s="13"/>
    </row>
    <row r="11" spans="4:28" x14ac:dyDescent="0.25">
      <c r="H11" s="26"/>
      <c r="I11" s="27" t="s">
        <v>194</v>
      </c>
      <c r="J11" s="28"/>
      <c r="K11" s="28"/>
      <c r="L11" s="29"/>
      <c r="M11" s="30"/>
      <c r="N11" s="3"/>
      <c r="O11"/>
    </row>
    <row r="12" spans="4:28" x14ac:dyDescent="0.25">
      <c r="H12" s="26"/>
      <c r="I12" s="27" t="s">
        <v>195</v>
      </c>
      <c r="J12" s="28"/>
      <c r="K12" s="28"/>
      <c r="L12" s="29"/>
      <c r="M12" s="30"/>
    </row>
    <row r="13" spans="4:28" x14ac:dyDescent="0.25">
      <c r="H13" s="26"/>
      <c r="I13" s="27" t="s">
        <v>196</v>
      </c>
      <c r="J13" s="28"/>
      <c r="K13" s="28"/>
      <c r="L13" s="29"/>
      <c r="M13" s="30"/>
    </row>
    <row r="14" spans="4:28" ht="15.75" thickBot="1" x14ac:dyDescent="0.3">
      <c r="H14" s="31"/>
      <c r="I14" s="32" t="s">
        <v>197</v>
      </c>
      <c r="J14" s="33"/>
      <c r="K14" s="33"/>
      <c r="L14" s="34"/>
      <c r="M14" s="35"/>
    </row>
    <row r="15" spans="4:28" ht="12.75" x14ac:dyDescent="0.2">
      <c r="K15" s="1"/>
    </row>
    <row r="16" spans="4:28" ht="12.75" x14ac:dyDescent="0.2">
      <c r="K16" s="1"/>
    </row>
    <row r="17" spans="2:24" ht="12.75" x14ac:dyDescent="0.2">
      <c r="I17" s="383"/>
      <c r="J17" s="383"/>
      <c r="K17" s="383"/>
    </row>
    <row r="18" spans="2:24" ht="12.75" x14ac:dyDescent="0.2">
      <c r="K18" s="1"/>
    </row>
    <row r="19" spans="2:24" ht="12.75" x14ac:dyDescent="0.2">
      <c r="K19" s="1"/>
    </row>
    <row r="20" spans="2:24" ht="12.75" x14ac:dyDescent="0.2">
      <c r="K20" s="1"/>
    </row>
    <row r="21" spans="2:24" ht="12.75" x14ac:dyDescent="0.2">
      <c r="K21" s="1"/>
    </row>
    <row r="22" spans="2:24" ht="12.75" x14ac:dyDescent="0.2">
      <c r="K22" s="1"/>
    </row>
    <row r="23" spans="2:24" ht="12.75" x14ac:dyDescent="0.2">
      <c r="K23" s="1"/>
    </row>
    <row r="24" spans="2:24" ht="12.75" x14ac:dyDescent="0.2">
      <c r="K24" s="1"/>
      <c r="L24" s="380" t="s">
        <v>663</v>
      </c>
      <c r="M24" s="381"/>
      <c r="N24" s="381"/>
      <c r="O24" s="382"/>
    </row>
    <row r="25" spans="2:24" s="317" customFormat="1" ht="25.5" x14ac:dyDescent="0.2">
      <c r="B25" s="7" t="s">
        <v>30</v>
      </c>
      <c r="C25" s="5" t="s">
        <v>31</v>
      </c>
      <c r="D25" s="5" t="s">
        <v>32</v>
      </c>
      <c r="E25" s="5" t="s">
        <v>657</v>
      </c>
      <c r="F25" s="5" t="s">
        <v>658</v>
      </c>
      <c r="G25" s="5" t="s">
        <v>659</v>
      </c>
      <c r="H25" s="5" t="s">
        <v>733</v>
      </c>
      <c r="I25" s="5" t="s">
        <v>660</v>
      </c>
      <c r="J25" s="5" t="s">
        <v>661</v>
      </c>
      <c r="K25" s="264" t="s">
        <v>662</v>
      </c>
      <c r="L25" s="5" t="s">
        <v>0</v>
      </c>
      <c r="M25" s="5" t="s">
        <v>7</v>
      </c>
      <c r="N25" s="5" t="s">
        <v>8</v>
      </c>
      <c r="O25" s="5" t="s">
        <v>9</v>
      </c>
      <c r="P25" s="5" t="s">
        <v>664</v>
      </c>
      <c r="Q25" s="5" t="s">
        <v>665</v>
      </c>
      <c r="R25" s="5" t="s">
        <v>734</v>
      </c>
      <c r="S25" s="5" t="s">
        <v>666</v>
      </c>
      <c r="T25" s="5" t="s">
        <v>667</v>
      </c>
      <c r="U25" s="5" t="s">
        <v>668</v>
      </c>
      <c r="V25" s="5" t="s">
        <v>669</v>
      </c>
      <c r="W25" s="6" t="s">
        <v>670</v>
      </c>
      <c r="X25" s="316"/>
    </row>
    <row r="26" spans="2:24" ht="12.75" x14ac:dyDescent="0.2">
      <c r="B26" s="260" cm="1">
        <f t="array" ref="B26">Table40[a. Program]</f>
        <v>0</v>
      </c>
      <c r="C26" s="234">
        <f>' 3 Contract Info'!$B$22</f>
        <v>0</v>
      </c>
      <c r="D26" s="176"/>
      <c r="E26" s="177"/>
      <c r="F26" s="176"/>
      <c r="G26" s="176"/>
      <c r="H26" s="176"/>
      <c r="I26" s="177"/>
      <c r="J26" s="177"/>
      <c r="K26" s="177"/>
      <c r="L26" s="176"/>
      <c r="M26" s="176"/>
      <c r="N26" s="176"/>
      <c r="O26" s="176"/>
      <c r="P26" s="177"/>
      <c r="Q26" s="177"/>
      <c r="R26" s="178"/>
      <c r="S26" s="176"/>
      <c r="T26" s="331"/>
      <c r="U26" s="176"/>
      <c r="V26" s="178"/>
      <c r="W26" s="179"/>
    </row>
    <row r="27" spans="2:24" ht="12.75" x14ac:dyDescent="0.2">
      <c r="B27" s="260" cm="1">
        <f t="array" ref="B27">Table40[a. Program]</f>
        <v>0</v>
      </c>
      <c r="C27" s="234">
        <f>' 3 Contract Info'!$B$22</f>
        <v>0</v>
      </c>
      <c r="D27" s="176"/>
      <c r="E27" s="177"/>
      <c r="F27" s="176"/>
      <c r="G27" s="176"/>
      <c r="H27" s="176"/>
      <c r="I27" s="177"/>
      <c r="J27" s="177"/>
      <c r="K27" s="177"/>
      <c r="L27" s="176"/>
      <c r="M27" s="176"/>
      <c r="N27" s="176"/>
      <c r="O27" s="176"/>
      <c r="P27" s="177"/>
      <c r="Q27" s="177"/>
      <c r="R27" s="178"/>
      <c r="S27" s="176"/>
      <c r="T27" s="331"/>
      <c r="U27" s="176"/>
      <c r="V27" s="178"/>
      <c r="W27" s="179"/>
    </row>
    <row r="28" spans="2:24" ht="12.75" x14ac:dyDescent="0.2">
      <c r="B28" s="260" cm="1">
        <f t="array" ref="B28">Table40[a. Program]</f>
        <v>0</v>
      </c>
      <c r="C28" s="234">
        <f>' 3 Contract Info'!$B$22</f>
        <v>0</v>
      </c>
      <c r="D28" s="176"/>
      <c r="E28" s="177"/>
      <c r="F28" s="176"/>
      <c r="G28" s="176"/>
      <c r="H28" s="176"/>
      <c r="I28" s="177"/>
      <c r="J28" s="177"/>
      <c r="K28" s="177"/>
      <c r="L28" s="176"/>
      <c r="M28" s="176"/>
      <c r="N28" s="176"/>
      <c r="O28" s="176"/>
      <c r="P28" s="177"/>
      <c r="Q28" s="177"/>
      <c r="R28" s="178"/>
      <c r="S28" s="176"/>
      <c r="T28" s="331"/>
      <c r="U28" s="180"/>
      <c r="V28" s="178"/>
      <c r="W28" s="179"/>
    </row>
    <row r="29" spans="2:24" ht="12.75" x14ac:dyDescent="0.2">
      <c r="B29" s="260" cm="1">
        <f t="array" ref="B29">Table40[a. Program]</f>
        <v>0</v>
      </c>
      <c r="C29" s="234">
        <f>' 3 Contract Info'!$B$22</f>
        <v>0</v>
      </c>
      <c r="D29" s="176"/>
      <c r="E29" s="177"/>
      <c r="F29" s="176"/>
      <c r="G29" s="176"/>
      <c r="H29" s="176"/>
      <c r="I29" s="177"/>
      <c r="J29" s="177"/>
      <c r="K29" s="177"/>
      <c r="L29" s="176"/>
      <c r="M29" s="176"/>
      <c r="N29" s="176"/>
      <c r="O29" s="176"/>
      <c r="P29" s="177"/>
      <c r="Q29" s="177"/>
      <c r="R29" s="178"/>
      <c r="S29" s="176"/>
      <c r="T29" s="331"/>
      <c r="U29" s="180"/>
      <c r="V29" s="178"/>
      <c r="W29" s="179"/>
    </row>
    <row r="30" spans="2:24" ht="12.75" x14ac:dyDescent="0.2">
      <c r="B30" s="260" cm="1">
        <f t="array" ref="B30">Table40[a. Program]</f>
        <v>0</v>
      </c>
      <c r="C30" s="234">
        <f>' 3 Contract Info'!$B$22</f>
        <v>0</v>
      </c>
      <c r="D30" s="176"/>
      <c r="E30" s="177"/>
      <c r="F30" s="176"/>
      <c r="G30" s="176"/>
      <c r="H30" s="176"/>
      <c r="I30" s="177"/>
      <c r="J30" s="177"/>
      <c r="K30" s="177"/>
      <c r="L30" s="176"/>
      <c r="M30" s="176"/>
      <c r="N30" s="176"/>
      <c r="O30" s="176"/>
      <c r="P30" s="177"/>
      <c r="Q30" s="177"/>
      <c r="R30" s="178"/>
      <c r="S30" s="176"/>
      <c r="T30" s="331"/>
      <c r="U30" s="180"/>
      <c r="V30" s="178"/>
      <c r="W30" s="179"/>
    </row>
    <row r="31" spans="2:24" ht="12.75" x14ac:dyDescent="0.2">
      <c r="B31" s="260" cm="1">
        <f t="array" ref="B31">Table40[a. Program]</f>
        <v>0</v>
      </c>
      <c r="C31" s="234">
        <f>' 3 Contract Info'!$B$22</f>
        <v>0</v>
      </c>
      <c r="D31" s="176"/>
      <c r="E31" s="177"/>
      <c r="F31" s="176"/>
      <c r="G31" s="176"/>
      <c r="H31" s="176"/>
      <c r="I31" s="177"/>
      <c r="J31" s="177"/>
      <c r="K31" s="177"/>
      <c r="L31" s="176"/>
      <c r="M31" s="176"/>
      <c r="N31" s="176"/>
      <c r="O31" s="176"/>
      <c r="P31" s="177"/>
      <c r="Q31" s="177"/>
      <c r="R31" s="178"/>
      <c r="S31" s="176"/>
      <c r="T31" s="331"/>
      <c r="U31" s="180"/>
      <c r="V31" s="178"/>
      <c r="W31" s="179"/>
    </row>
    <row r="32" spans="2:24" ht="12.75" x14ac:dyDescent="0.2">
      <c r="B32" s="260" cm="1">
        <f t="array" ref="B32">Table40[a. Program]</f>
        <v>0</v>
      </c>
      <c r="C32" s="234">
        <f>' 3 Contract Info'!$B$22</f>
        <v>0</v>
      </c>
      <c r="D32" s="176"/>
      <c r="E32" s="177"/>
      <c r="F32" s="176"/>
      <c r="G32" s="176"/>
      <c r="H32" s="176"/>
      <c r="I32" s="177"/>
      <c r="J32" s="177"/>
      <c r="K32" s="177"/>
      <c r="L32" s="176"/>
      <c r="M32" s="176"/>
      <c r="N32" s="176"/>
      <c r="O32" s="176"/>
      <c r="P32" s="177"/>
      <c r="Q32" s="177"/>
      <c r="R32" s="178"/>
      <c r="S32" s="176"/>
      <c r="T32" s="331"/>
      <c r="U32" s="180"/>
      <c r="V32" s="178"/>
      <c r="W32" s="179"/>
    </row>
    <row r="33" spans="2:23" ht="12.75" x14ac:dyDescent="0.2">
      <c r="B33" s="260" cm="1">
        <f t="array" ref="B33">Table40[a. Program]</f>
        <v>0</v>
      </c>
      <c r="C33" s="234">
        <f>' 3 Contract Info'!$B$22</f>
        <v>0</v>
      </c>
      <c r="D33" s="176"/>
      <c r="E33" s="177"/>
      <c r="F33" s="176"/>
      <c r="G33" s="176"/>
      <c r="H33" s="176"/>
      <c r="I33" s="177"/>
      <c r="J33" s="177"/>
      <c r="K33" s="177"/>
      <c r="L33" s="176"/>
      <c r="M33" s="176"/>
      <c r="N33" s="176"/>
      <c r="O33" s="176"/>
      <c r="P33" s="177"/>
      <c r="Q33" s="177"/>
      <c r="R33" s="178"/>
      <c r="S33" s="176"/>
      <c r="T33" s="331"/>
      <c r="U33" s="180"/>
      <c r="V33" s="178"/>
      <c r="W33" s="179"/>
    </row>
    <row r="34" spans="2:23" ht="12.75" x14ac:dyDescent="0.2">
      <c r="B34" s="260" cm="1">
        <f t="array" ref="B34">Table40[a. Program]</f>
        <v>0</v>
      </c>
      <c r="C34" s="234">
        <f>' 3 Contract Info'!$B$22</f>
        <v>0</v>
      </c>
      <c r="D34" s="176"/>
      <c r="E34" s="177"/>
      <c r="F34" s="176"/>
      <c r="G34" s="176"/>
      <c r="H34" s="176"/>
      <c r="I34" s="177"/>
      <c r="J34" s="177"/>
      <c r="K34" s="177"/>
      <c r="L34" s="176"/>
      <c r="M34" s="176"/>
      <c r="N34" s="176"/>
      <c r="O34" s="176"/>
      <c r="P34" s="177"/>
      <c r="Q34" s="177"/>
      <c r="R34" s="178"/>
      <c r="S34" s="176"/>
      <c r="T34" s="331"/>
      <c r="U34" s="180"/>
      <c r="V34" s="178"/>
      <c r="W34" s="179"/>
    </row>
    <row r="35" spans="2:23" ht="12.75" x14ac:dyDescent="0.2">
      <c r="B35" s="260" cm="1">
        <f t="array" ref="B35">Table40[a. Program]</f>
        <v>0</v>
      </c>
      <c r="C35" s="234">
        <f>' 3 Contract Info'!$B$22</f>
        <v>0</v>
      </c>
      <c r="D35" s="176"/>
      <c r="E35" s="177"/>
      <c r="F35" s="176"/>
      <c r="G35" s="176"/>
      <c r="H35" s="176"/>
      <c r="I35" s="177"/>
      <c r="J35" s="177"/>
      <c r="K35" s="177"/>
      <c r="L35" s="176"/>
      <c r="M35" s="176"/>
      <c r="N35" s="176"/>
      <c r="O35" s="176"/>
      <c r="P35" s="177"/>
      <c r="Q35" s="177"/>
      <c r="R35" s="178"/>
      <c r="S35" s="176"/>
      <c r="T35" s="331"/>
      <c r="U35" s="180"/>
      <c r="V35" s="178"/>
      <c r="W35" s="179"/>
    </row>
    <row r="36" spans="2:23" ht="12.75" x14ac:dyDescent="0.2">
      <c r="B36" s="260" cm="1">
        <f t="array" ref="B36">Table40[a. Program]</f>
        <v>0</v>
      </c>
      <c r="C36" s="234">
        <f>' 3 Contract Info'!$B$22</f>
        <v>0</v>
      </c>
      <c r="D36" s="176"/>
      <c r="E36" s="177"/>
      <c r="F36" s="176"/>
      <c r="G36" s="176"/>
      <c r="H36" s="176"/>
      <c r="I36" s="177"/>
      <c r="J36" s="177"/>
      <c r="K36" s="177"/>
      <c r="L36" s="176"/>
      <c r="M36" s="176"/>
      <c r="N36" s="176"/>
      <c r="O36" s="176"/>
      <c r="P36" s="177"/>
      <c r="Q36" s="177"/>
      <c r="R36" s="178"/>
      <c r="S36" s="176"/>
      <c r="T36" s="331"/>
      <c r="U36" s="180"/>
      <c r="V36" s="178"/>
      <c r="W36" s="179"/>
    </row>
    <row r="37" spans="2:23" ht="12.75" x14ac:dyDescent="0.2">
      <c r="B37" s="260" cm="1">
        <f t="array" ref="B37">Table40[a. Program]</f>
        <v>0</v>
      </c>
      <c r="C37" s="234">
        <f>' 3 Contract Info'!$B$22</f>
        <v>0</v>
      </c>
      <c r="D37" s="176"/>
      <c r="E37" s="177"/>
      <c r="F37" s="176"/>
      <c r="G37" s="176"/>
      <c r="H37" s="176"/>
      <c r="I37" s="177"/>
      <c r="J37" s="177"/>
      <c r="K37" s="177"/>
      <c r="L37" s="176"/>
      <c r="M37" s="176"/>
      <c r="N37" s="176"/>
      <c r="O37" s="176"/>
      <c r="P37" s="177"/>
      <c r="Q37" s="177"/>
      <c r="R37" s="178"/>
      <c r="S37" s="176"/>
      <c r="T37" s="331"/>
      <c r="U37" s="180"/>
      <c r="V37" s="178"/>
      <c r="W37" s="179"/>
    </row>
    <row r="38" spans="2:23" ht="12.75" x14ac:dyDescent="0.2">
      <c r="B38" s="260" cm="1">
        <f t="array" ref="B38">Table40[a. Program]</f>
        <v>0</v>
      </c>
      <c r="C38" s="234">
        <f>' 3 Contract Info'!$B$22</f>
        <v>0</v>
      </c>
      <c r="D38" s="176"/>
      <c r="E38" s="177"/>
      <c r="F38" s="176"/>
      <c r="G38" s="176"/>
      <c r="H38" s="176"/>
      <c r="I38" s="177"/>
      <c r="J38" s="177"/>
      <c r="K38" s="177"/>
      <c r="L38" s="176"/>
      <c r="M38" s="176"/>
      <c r="N38" s="176"/>
      <c r="O38" s="176"/>
      <c r="P38" s="177"/>
      <c r="Q38" s="177"/>
      <c r="R38" s="178"/>
      <c r="S38" s="176"/>
      <c r="T38" s="331"/>
      <c r="U38" s="180"/>
      <c r="V38" s="178"/>
      <c r="W38" s="179"/>
    </row>
    <row r="39" spans="2:23" ht="12.75" x14ac:dyDescent="0.2">
      <c r="B39" s="260" cm="1">
        <f t="array" ref="B39">Table40[a. Program]</f>
        <v>0</v>
      </c>
      <c r="C39" s="234">
        <f>' 3 Contract Info'!$B$22</f>
        <v>0</v>
      </c>
      <c r="D39" s="176"/>
      <c r="E39" s="177"/>
      <c r="F39" s="176"/>
      <c r="G39" s="176"/>
      <c r="H39" s="176"/>
      <c r="I39" s="177"/>
      <c r="J39" s="177"/>
      <c r="K39" s="177"/>
      <c r="L39" s="176"/>
      <c r="M39" s="176"/>
      <c r="N39" s="176"/>
      <c r="O39" s="176"/>
      <c r="P39" s="177"/>
      <c r="Q39" s="177"/>
      <c r="R39" s="178"/>
      <c r="S39" s="176"/>
      <c r="T39" s="331"/>
      <c r="U39" s="180"/>
      <c r="V39" s="178"/>
      <c r="W39" s="179"/>
    </row>
    <row r="40" spans="2:23" ht="12.75" x14ac:dyDescent="0.2">
      <c r="B40" s="260" cm="1">
        <f t="array" ref="B40">Table40[a. Program]</f>
        <v>0</v>
      </c>
      <c r="C40" s="234">
        <f>' 3 Contract Info'!$B$22</f>
        <v>0</v>
      </c>
      <c r="D40" s="176"/>
      <c r="E40" s="177"/>
      <c r="F40" s="176"/>
      <c r="G40" s="176"/>
      <c r="H40" s="176"/>
      <c r="I40" s="177"/>
      <c r="J40" s="177"/>
      <c r="K40" s="177"/>
      <c r="L40" s="176"/>
      <c r="M40" s="176"/>
      <c r="N40" s="176"/>
      <c r="O40" s="176"/>
      <c r="P40" s="177"/>
      <c r="Q40" s="177"/>
      <c r="R40" s="178"/>
      <c r="S40" s="176"/>
      <c r="T40" s="331"/>
      <c r="U40" s="180"/>
      <c r="V40" s="178"/>
      <c r="W40" s="179"/>
    </row>
    <row r="41" spans="2:23" ht="12.75" x14ac:dyDescent="0.2">
      <c r="B41" s="260" cm="1">
        <f t="array" ref="B41">Table40[a. Program]</f>
        <v>0</v>
      </c>
      <c r="C41" s="234">
        <f>' 3 Contract Info'!$B$22</f>
        <v>0</v>
      </c>
      <c r="D41" s="176"/>
      <c r="E41" s="177"/>
      <c r="F41" s="176"/>
      <c r="G41" s="176"/>
      <c r="H41" s="176"/>
      <c r="I41" s="177"/>
      <c r="J41" s="177"/>
      <c r="K41" s="177"/>
      <c r="L41" s="176"/>
      <c r="M41" s="176"/>
      <c r="N41" s="176"/>
      <c r="O41" s="176"/>
      <c r="P41" s="177"/>
      <c r="Q41" s="177"/>
      <c r="R41" s="178"/>
      <c r="S41" s="176"/>
      <c r="T41" s="331"/>
      <c r="U41" s="180"/>
      <c r="V41" s="178"/>
      <c r="W41" s="179"/>
    </row>
    <row r="42" spans="2:23" ht="12.75" x14ac:dyDescent="0.2">
      <c r="B42" s="260" cm="1">
        <f t="array" ref="B42">Table40[a. Program]</f>
        <v>0</v>
      </c>
      <c r="C42" s="234">
        <f>' 3 Contract Info'!$B$22</f>
        <v>0</v>
      </c>
      <c r="D42" s="176"/>
      <c r="E42" s="177"/>
      <c r="F42" s="176"/>
      <c r="G42" s="176"/>
      <c r="H42" s="176"/>
      <c r="I42" s="177"/>
      <c r="J42" s="177"/>
      <c r="K42" s="177"/>
      <c r="L42" s="176"/>
      <c r="M42" s="176"/>
      <c r="N42" s="176"/>
      <c r="O42" s="176"/>
      <c r="P42" s="177"/>
      <c r="Q42" s="177"/>
      <c r="R42" s="178"/>
      <c r="S42" s="176"/>
      <c r="T42" s="331"/>
      <c r="U42" s="180"/>
      <c r="V42" s="178"/>
      <c r="W42" s="179"/>
    </row>
    <row r="43" spans="2:23" ht="12.75" x14ac:dyDescent="0.2">
      <c r="B43" s="260" cm="1">
        <f t="array" ref="B43">Table40[a. Program]</f>
        <v>0</v>
      </c>
      <c r="C43" s="234">
        <f>' 3 Contract Info'!$B$22</f>
        <v>0</v>
      </c>
      <c r="D43" s="176"/>
      <c r="E43" s="177"/>
      <c r="F43" s="176"/>
      <c r="G43" s="176"/>
      <c r="H43" s="176"/>
      <c r="I43" s="177"/>
      <c r="J43" s="177"/>
      <c r="K43" s="177"/>
      <c r="L43" s="176"/>
      <c r="M43" s="176"/>
      <c r="N43" s="176"/>
      <c r="O43" s="176"/>
      <c r="P43" s="177"/>
      <c r="Q43" s="177"/>
      <c r="R43" s="178"/>
      <c r="S43" s="176"/>
      <c r="T43" s="331"/>
      <c r="U43" s="180"/>
      <c r="V43" s="178"/>
      <c r="W43" s="179"/>
    </row>
    <row r="44" spans="2:23" ht="12.75" x14ac:dyDescent="0.2">
      <c r="B44" s="260" cm="1">
        <f t="array" ref="B44">Table40[a. Program]</f>
        <v>0</v>
      </c>
      <c r="C44" s="234">
        <f>' 3 Contract Info'!$B$22</f>
        <v>0</v>
      </c>
      <c r="D44" s="176"/>
      <c r="E44" s="177"/>
      <c r="F44" s="176"/>
      <c r="G44" s="176"/>
      <c r="H44" s="176"/>
      <c r="I44" s="177"/>
      <c r="J44" s="177"/>
      <c r="K44" s="177"/>
      <c r="L44" s="176"/>
      <c r="M44" s="176"/>
      <c r="N44" s="176"/>
      <c r="O44" s="176"/>
      <c r="P44" s="177"/>
      <c r="Q44" s="177"/>
      <c r="R44" s="178"/>
      <c r="S44" s="176"/>
      <c r="T44" s="331"/>
      <c r="U44" s="180"/>
      <c r="V44" s="178"/>
      <c r="W44" s="179"/>
    </row>
    <row r="45" spans="2:23" ht="12.75" x14ac:dyDescent="0.2">
      <c r="B45" s="260" cm="1">
        <f t="array" ref="B45">Table40[a. Program]</f>
        <v>0</v>
      </c>
      <c r="C45" s="234">
        <f>' 3 Contract Info'!$B$22</f>
        <v>0</v>
      </c>
      <c r="D45" s="176"/>
      <c r="E45" s="177"/>
      <c r="F45" s="176"/>
      <c r="G45" s="176"/>
      <c r="H45" s="176"/>
      <c r="I45" s="177"/>
      <c r="J45" s="177"/>
      <c r="K45" s="177"/>
      <c r="L45" s="176"/>
      <c r="M45" s="176"/>
      <c r="N45" s="176"/>
      <c r="O45" s="176"/>
      <c r="P45" s="177"/>
      <c r="Q45" s="177"/>
      <c r="R45" s="178"/>
      <c r="S45" s="176"/>
      <c r="T45" s="331"/>
      <c r="U45" s="180"/>
      <c r="V45" s="178"/>
      <c r="W45" s="179"/>
    </row>
    <row r="46" spans="2:23" ht="12.75" x14ac:dyDescent="0.2">
      <c r="B46" s="260" cm="1">
        <f t="array" ref="B46">Table40[a. Program]</f>
        <v>0</v>
      </c>
      <c r="C46" s="234">
        <f>' 3 Contract Info'!$B$22</f>
        <v>0</v>
      </c>
      <c r="D46" s="176"/>
      <c r="E46" s="177"/>
      <c r="F46" s="176"/>
      <c r="G46" s="176"/>
      <c r="H46" s="176"/>
      <c r="I46" s="177"/>
      <c r="J46" s="177"/>
      <c r="K46" s="177"/>
      <c r="L46" s="176"/>
      <c r="M46" s="176"/>
      <c r="N46" s="176"/>
      <c r="O46" s="176"/>
      <c r="P46" s="177"/>
      <c r="Q46" s="177"/>
      <c r="R46" s="178"/>
      <c r="S46" s="176"/>
      <c r="T46" s="331"/>
      <c r="U46" s="180"/>
      <c r="V46" s="178"/>
      <c r="W46" s="179"/>
    </row>
    <row r="47" spans="2:23" ht="12.75" x14ac:dyDescent="0.2">
      <c r="B47" s="261" cm="1">
        <f t="array" ref="B47">Table40[a. Program]</f>
        <v>0</v>
      </c>
      <c r="C47" s="235">
        <f>' 3 Contract Info'!$B$22</f>
        <v>0</v>
      </c>
      <c r="D47" s="181"/>
      <c r="E47" s="182"/>
      <c r="F47" s="181"/>
      <c r="G47" s="181"/>
      <c r="H47" s="181"/>
      <c r="I47" s="182"/>
      <c r="J47" s="182"/>
      <c r="K47" s="182"/>
      <c r="L47" s="181"/>
      <c r="M47" s="181"/>
      <c r="N47" s="181"/>
      <c r="O47" s="181"/>
      <c r="P47" s="182"/>
      <c r="Q47" s="182"/>
      <c r="R47" s="183"/>
      <c r="S47" s="181"/>
      <c r="T47" s="332"/>
      <c r="U47" s="184"/>
      <c r="V47" s="183"/>
      <c r="W47" s="185"/>
    </row>
  </sheetData>
  <mergeCells count="3">
    <mergeCell ref="L24:O24"/>
    <mergeCell ref="I17:K17"/>
    <mergeCell ref="D2:J2"/>
  </mergeCells>
  <dataValidations count="6">
    <dataValidation type="list" allowBlank="1" showInputMessage="1" showErrorMessage="1" sqref="K26:K47" xr:uid="{28089AF1-6FB8-4FEB-84C7-38841017722B}">
      <formula1>COTS_GOTS</formula1>
    </dataValidation>
    <dataValidation type="list" allowBlank="1" showInputMessage="1" showErrorMessage="1" sqref="P26:P47" xr:uid="{073525D0-4888-4CD6-B433-5A0B9BFB373C}">
      <formula1>Domain_Level</formula1>
    </dataValidation>
    <dataValidation type="list" allowBlank="1" showInputMessage="1" showErrorMessage="1" sqref="I26:I47" xr:uid="{FC7632B7-FA6C-4A81-9467-E08D0136F113}">
      <formula1>Category</formula1>
    </dataValidation>
    <dataValidation type="list" allowBlank="1" showInputMessage="1" showErrorMessage="1" sqref="E26:E47" xr:uid="{026768E3-875F-47B1-8F7D-980AC1EE881E}">
      <formula1>"HW,SW"</formula1>
    </dataValidation>
    <dataValidation type="list" allowBlank="1" showInputMessage="1" showErrorMessage="1" sqref="Q26:Q47" xr:uid="{FDA5EC03-A730-4D8C-B11A-B7750EFC3DA3}">
      <formula1>Pricing_Strategy</formula1>
    </dataValidation>
    <dataValidation type="list" allowBlank="1" showInputMessage="1" showErrorMessage="1" sqref="J26:J47" xr:uid="{914B45A4-9624-4E90-9782-63EA1F546743}">
      <formula1>IF(I26="Servers",Servers,IF(I26="Workstations",Workstations,IF(I26="Networking",Networking,IF(I26="Storage",Storage,IF(I26="Security", Security,IF(I26="Services",Services,0))))))</formula1>
    </dataValidation>
  </dataValidations>
  <printOptions headings="1" gridLines="1"/>
  <pageMargins left="0.25" right="0.25" top="0.75" bottom="0.5" header="0.3" footer="0.3"/>
  <pageSetup scale="42" orientation="landscape" cellComments="atEnd" r:id="rId1"/>
  <headerFooter>
    <oddHeader>&amp;C&amp;"Courier"&amp;12UNCLASSIFIED</oddHeader>
    <oddFooter>&amp;C&amp;"Courier"&amp;12UNCLASSIFIED</oddFoot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482BF-6BC5-496B-ADFD-BB6A8E4DDE23}">
  <sheetPr>
    <tabColor theme="8"/>
  </sheetPr>
  <dimension ref="B1:Y152"/>
  <sheetViews>
    <sheetView showGridLines="0" zoomScale="70" zoomScaleNormal="70" workbookViewId="0">
      <selection activeCell="L23" sqref="L23"/>
    </sheetView>
  </sheetViews>
  <sheetFormatPr defaultRowHeight="15" x14ac:dyDescent="0.25"/>
  <cols>
    <col min="1" max="1" width="2.5703125" customWidth="1"/>
    <col min="2" max="2" width="23.5703125" customWidth="1"/>
    <col min="3" max="3" width="34.28515625" bestFit="1" customWidth="1"/>
    <col min="4" max="4" width="16.42578125" customWidth="1"/>
    <col min="5" max="5" width="22.140625" customWidth="1"/>
    <col min="6" max="7" width="19.5703125" customWidth="1"/>
    <col min="8" max="11" width="17.7109375" customWidth="1"/>
    <col min="12" max="17" width="10.5703125" customWidth="1"/>
    <col min="18" max="18" width="10" customWidth="1"/>
    <col min="19" max="21" width="10.28515625" customWidth="1"/>
  </cols>
  <sheetData>
    <row r="1" spans="2:25" s="1" customFormat="1" x14ac:dyDescent="0.25">
      <c r="I1" s="3"/>
    </row>
    <row r="2" spans="2:25" s="1" customFormat="1" ht="15.75" x14ac:dyDescent="0.25">
      <c r="D2" s="355" t="s">
        <v>600</v>
      </c>
      <c r="E2" s="355"/>
      <c r="F2" s="355"/>
      <c r="G2" s="355"/>
      <c r="H2" s="355"/>
    </row>
    <row r="3" spans="2:25" s="1" customFormat="1" ht="13.5" thickBot="1" x14ac:dyDescent="0.25"/>
    <row r="4" spans="2:25" s="1" customFormat="1" ht="15.75" x14ac:dyDescent="0.25">
      <c r="F4" s="22"/>
      <c r="G4" s="36" t="s">
        <v>198</v>
      </c>
      <c r="H4" s="23"/>
      <c r="I4" s="306"/>
    </row>
    <row r="5" spans="2:25" s="1" customFormat="1" x14ac:dyDescent="0.25">
      <c r="F5" s="26"/>
      <c r="G5" s="27" t="s">
        <v>191</v>
      </c>
      <c r="H5" s="28"/>
      <c r="I5" s="307"/>
      <c r="Y5" s="13"/>
    </row>
    <row r="6" spans="2:25" s="1" customFormat="1" x14ac:dyDescent="0.25">
      <c r="F6" s="26"/>
      <c r="G6" s="27" t="s">
        <v>192</v>
      </c>
      <c r="H6" s="28"/>
      <c r="I6" s="307"/>
      <c r="L6" s="3"/>
      <c r="M6" s="3"/>
      <c r="Y6" s="13"/>
    </row>
    <row r="7" spans="2:25" s="1" customFormat="1" x14ac:dyDescent="0.25">
      <c r="F7" s="26"/>
      <c r="G7" s="27" t="s">
        <v>193</v>
      </c>
      <c r="H7" s="28"/>
      <c r="I7" s="307"/>
      <c r="L7" s="3"/>
      <c r="M7" s="3"/>
      <c r="Y7" s="13"/>
    </row>
    <row r="8" spans="2:25" s="1" customFormat="1" x14ac:dyDescent="0.25">
      <c r="F8" s="26"/>
      <c r="G8" s="27" t="s">
        <v>194</v>
      </c>
      <c r="H8" s="28"/>
      <c r="I8" s="307"/>
      <c r="L8" s="3"/>
      <c r="M8" s="3"/>
    </row>
    <row r="9" spans="2:25" s="1" customFormat="1" x14ac:dyDescent="0.25">
      <c r="F9" s="26"/>
      <c r="G9" s="27" t="s">
        <v>195</v>
      </c>
      <c r="H9" s="28"/>
      <c r="I9" s="307"/>
    </row>
    <row r="10" spans="2:25" s="1" customFormat="1" x14ac:dyDescent="0.25">
      <c r="F10" s="26"/>
      <c r="G10" s="27" t="s">
        <v>196</v>
      </c>
      <c r="H10" s="28"/>
      <c r="I10" s="307"/>
    </row>
    <row r="11" spans="2:25" s="1" customFormat="1" ht="15.75" thickBot="1" x14ac:dyDescent="0.3">
      <c r="F11" s="31"/>
      <c r="G11" s="32" t="s">
        <v>197</v>
      </c>
      <c r="H11" s="33"/>
      <c r="I11" s="308"/>
    </row>
    <row r="12" spans="2:25" s="1" customFormat="1" ht="12.75" x14ac:dyDescent="0.2"/>
    <row r="13" spans="2:25" s="2" customFormat="1" ht="15.75" x14ac:dyDescent="0.25">
      <c r="D13" s="186"/>
      <c r="E13" s="186"/>
      <c r="F13" s="186"/>
      <c r="G13" s="186"/>
      <c r="H13" s="186"/>
    </row>
    <row r="14" spans="2:25" ht="15.75" thickBot="1" x14ac:dyDescent="0.3"/>
    <row r="15" spans="2:25" ht="15.75" thickBot="1" x14ac:dyDescent="0.3">
      <c r="B15" s="384" t="s">
        <v>708</v>
      </c>
      <c r="C15" s="392"/>
      <c r="D15" s="392"/>
      <c r="E15" s="392"/>
      <c r="F15" s="392"/>
      <c r="G15" s="392"/>
      <c r="H15" s="392"/>
      <c r="I15" s="385"/>
      <c r="J15" s="297"/>
    </row>
    <row r="16" spans="2:25" x14ac:dyDescent="0.25">
      <c r="B16" s="386"/>
      <c r="C16" s="393"/>
      <c r="D16" s="389"/>
      <c r="E16" s="389"/>
      <c r="F16" s="305" t="s">
        <v>720</v>
      </c>
      <c r="G16" s="305" t="s">
        <v>721</v>
      </c>
      <c r="H16" s="299"/>
      <c r="I16" s="294"/>
      <c r="J16" s="297"/>
    </row>
    <row r="17" spans="2:12" x14ac:dyDescent="0.25">
      <c r="B17" s="387"/>
      <c r="C17" s="394"/>
      <c r="D17" s="390" t="s">
        <v>712</v>
      </c>
      <c r="E17" s="390"/>
      <c r="F17" s="188"/>
      <c r="G17" s="188"/>
      <c r="H17" s="299"/>
      <c r="I17" s="294"/>
      <c r="J17" s="297"/>
    </row>
    <row r="18" spans="2:12" x14ac:dyDescent="0.25">
      <c r="B18" s="387"/>
      <c r="C18" s="394"/>
      <c r="D18" s="390" t="s">
        <v>711</v>
      </c>
      <c r="E18" s="390"/>
      <c r="F18" s="190"/>
      <c r="G18" s="190"/>
      <c r="H18" s="299"/>
      <c r="I18" s="294"/>
      <c r="J18" s="297"/>
    </row>
    <row r="19" spans="2:12" x14ac:dyDescent="0.25">
      <c r="B19" s="387"/>
      <c r="C19" s="394"/>
      <c r="D19" s="390" t="s">
        <v>713</v>
      </c>
      <c r="E19" s="390"/>
      <c r="F19" s="188"/>
      <c r="G19" s="188"/>
      <c r="H19" s="299"/>
      <c r="I19" s="294"/>
      <c r="J19" s="297"/>
    </row>
    <row r="20" spans="2:12" x14ac:dyDescent="0.25">
      <c r="B20" s="387"/>
      <c r="C20" s="394"/>
      <c r="D20" s="390" t="s">
        <v>714</v>
      </c>
      <c r="E20" s="390"/>
      <c r="F20" s="300">
        <f>H152</f>
        <v>0</v>
      </c>
      <c r="G20" s="300">
        <f>J152</f>
        <v>0</v>
      </c>
      <c r="H20" s="299"/>
      <c r="I20" s="294"/>
      <c r="J20" s="297"/>
    </row>
    <row r="21" spans="2:12" x14ac:dyDescent="0.25">
      <c r="B21" s="387"/>
      <c r="C21" s="394"/>
      <c r="D21" s="390" t="s">
        <v>715</v>
      </c>
      <c r="E21" s="390"/>
      <c r="F21" s="300">
        <f>I152</f>
        <v>0</v>
      </c>
      <c r="G21" s="300">
        <f>K152</f>
        <v>0</v>
      </c>
      <c r="H21" s="299"/>
      <c r="I21" s="294"/>
      <c r="J21" s="297"/>
    </row>
    <row r="22" spans="2:12" ht="15.75" thickBot="1" x14ac:dyDescent="0.3">
      <c r="B22" s="388"/>
      <c r="C22" s="395"/>
      <c r="D22" s="391" t="s">
        <v>716</v>
      </c>
      <c r="E22" s="391"/>
      <c r="F22" s="269"/>
      <c r="G22" s="269"/>
      <c r="H22" s="295"/>
      <c r="I22" s="296"/>
      <c r="J22" s="297"/>
    </row>
    <row r="23" spans="2:12" x14ac:dyDescent="0.25">
      <c r="B23" s="297"/>
      <c r="C23" s="297"/>
      <c r="D23" s="297"/>
      <c r="E23" s="297"/>
      <c r="F23" s="297"/>
      <c r="G23" s="297"/>
      <c r="H23" s="297"/>
      <c r="I23" s="298"/>
      <c r="J23" s="297"/>
    </row>
    <row r="24" spans="2:12" ht="15.75" thickBot="1" x14ac:dyDescent="0.3">
      <c r="B24" s="297"/>
      <c r="C24" s="297"/>
      <c r="D24" s="297"/>
      <c r="E24" s="297"/>
      <c r="F24" s="297"/>
      <c r="G24" s="297"/>
      <c r="H24" s="297"/>
      <c r="I24" s="298"/>
      <c r="J24" s="297"/>
    </row>
    <row r="25" spans="2:12" ht="15.75" thickBot="1" x14ac:dyDescent="0.3">
      <c r="B25" s="297"/>
      <c r="C25" s="297"/>
      <c r="D25" s="297"/>
      <c r="E25" s="297"/>
      <c r="F25" s="384" t="s">
        <v>709</v>
      </c>
      <c r="G25" s="385"/>
      <c r="H25" s="384" t="s">
        <v>710</v>
      </c>
      <c r="I25" s="385"/>
      <c r="L25" s="297"/>
    </row>
    <row r="26" spans="2:12" s="110" customFormat="1" ht="27.95" customHeight="1" x14ac:dyDescent="0.25">
      <c r="B26" s="214" t="s">
        <v>743</v>
      </c>
      <c r="C26" s="149" t="s">
        <v>722</v>
      </c>
      <c r="D26" s="149" t="s">
        <v>723</v>
      </c>
      <c r="E26" s="149" t="s">
        <v>724</v>
      </c>
      <c r="F26" s="149" t="s">
        <v>749</v>
      </c>
      <c r="G26" s="149" t="s">
        <v>750</v>
      </c>
      <c r="H26" s="149" t="s">
        <v>725</v>
      </c>
      <c r="I26" s="223" t="s">
        <v>726</v>
      </c>
      <c r="J26" s="318"/>
    </row>
    <row r="27" spans="2:12" x14ac:dyDescent="0.25">
      <c r="B27" s="187" t="s">
        <v>744</v>
      </c>
      <c r="C27" s="188" t="s">
        <v>717</v>
      </c>
      <c r="D27" s="188" t="s">
        <v>727</v>
      </c>
      <c r="E27" s="188" t="s">
        <v>718</v>
      </c>
      <c r="F27" s="188"/>
      <c r="G27" s="188"/>
      <c r="H27" s="188"/>
      <c r="I27" s="191"/>
      <c r="J27" s="297"/>
    </row>
    <row r="28" spans="2:12" x14ac:dyDescent="0.25">
      <c r="B28" s="189"/>
      <c r="C28" s="190"/>
      <c r="D28" s="190" t="s">
        <v>727</v>
      </c>
      <c r="E28" s="190" t="s">
        <v>718</v>
      </c>
      <c r="F28" s="190"/>
      <c r="G28" s="190"/>
      <c r="H28" s="190"/>
      <c r="I28" s="192"/>
      <c r="J28" s="297"/>
    </row>
    <row r="29" spans="2:12" x14ac:dyDescent="0.25">
      <c r="B29" s="187"/>
      <c r="C29" s="188"/>
      <c r="D29" s="188" t="s">
        <v>727</v>
      </c>
      <c r="E29" s="188" t="s">
        <v>718</v>
      </c>
      <c r="F29" s="188"/>
      <c r="G29" s="188"/>
      <c r="H29" s="188"/>
      <c r="I29" s="191"/>
      <c r="J29" s="297"/>
    </row>
    <row r="30" spans="2:12" x14ac:dyDescent="0.25">
      <c r="B30" s="189"/>
      <c r="C30" s="190"/>
      <c r="D30" s="190" t="s">
        <v>727</v>
      </c>
      <c r="E30" s="190" t="s">
        <v>718</v>
      </c>
      <c r="F30" s="190"/>
      <c r="G30" s="190"/>
      <c r="H30" s="190"/>
      <c r="I30" s="192"/>
      <c r="J30" s="297"/>
    </row>
    <row r="31" spans="2:12" x14ac:dyDescent="0.25">
      <c r="B31" s="187"/>
      <c r="C31" s="188"/>
      <c r="D31" s="188" t="s">
        <v>727</v>
      </c>
      <c r="E31" s="188" t="s">
        <v>718</v>
      </c>
      <c r="F31" s="188"/>
      <c r="G31" s="188"/>
      <c r="H31" s="188"/>
      <c r="I31" s="191"/>
      <c r="J31" s="297"/>
    </row>
    <row r="32" spans="2:12" x14ac:dyDescent="0.25">
      <c r="B32" s="189"/>
      <c r="C32" s="190"/>
      <c r="D32" s="190" t="s">
        <v>728</v>
      </c>
      <c r="E32" s="190" t="s">
        <v>718</v>
      </c>
      <c r="F32" s="190"/>
      <c r="G32" s="190"/>
      <c r="H32" s="190"/>
      <c r="I32" s="192"/>
      <c r="J32" s="297"/>
    </row>
    <row r="33" spans="2:10" x14ac:dyDescent="0.25">
      <c r="B33" s="187"/>
      <c r="C33" s="188"/>
      <c r="D33" s="188" t="s">
        <v>728</v>
      </c>
      <c r="E33" s="188" t="s">
        <v>718</v>
      </c>
      <c r="F33" s="188"/>
      <c r="G33" s="188"/>
      <c r="H33" s="188"/>
      <c r="I33" s="191"/>
      <c r="J33" s="297"/>
    </row>
    <row r="34" spans="2:10" x14ac:dyDescent="0.25">
      <c r="B34" s="189"/>
      <c r="C34" s="190"/>
      <c r="D34" s="190" t="s">
        <v>728</v>
      </c>
      <c r="E34" s="190" t="s">
        <v>718</v>
      </c>
      <c r="F34" s="190"/>
      <c r="G34" s="190"/>
      <c r="H34" s="190"/>
      <c r="I34" s="192"/>
      <c r="J34" s="297"/>
    </row>
    <row r="35" spans="2:10" x14ac:dyDescent="0.25">
      <c r="B35" s="187"/>
      <c r="C35" s="188"/>
      <c r="D35" s="188" t="s">
        <v>728</v>
      </c>
      <c r="E35" s="188" t="s">
        <v>718</v>
      </c>
      <c r="F35" s="188"/>
      <c r="G35" s="188"/>
      <c r="H35" s="188"/>
      <c r="I35" s="191"/>
      <c r="J35" s="297"/>
    </row>
    <row r="36" spans="2:10" x14ac:dyDescent="0.25">
      <c r="B36" s="189"/>
      <c r="C36" s="190"/>
      <c r="D36" s="190" t="s">
        <v>728</v>
      </c>
      <c r="E36" s="190" t="s">
        <v>718</v>
      </c>
      <c r="F36" s="190"/>
      <c r="G36" s="190"/>
      <c r="H36" s="190"/>
      <c r="I36" s="192"/>
      <c r="J36" s="297"/>
    </row>
    <row r="37" spans="2:10" x14ac:dyDescent="0.25">
      <c r="B37" s="187"/>
      <c r="C37" s="188"/>
      <c r="D37" s="188" t="s">
        <v>729</v>
      </c>
      <c r="E37" s="188" t="s">
        <v>718</v>
      </c>
      <c r="F37" s="188"/>
      <c r="G37" s="188"/>
      <c r="H37" s="188"/>
      <c r="I37" s="191"/>
      <c r="J37" s="297"/>
    </row>
    <row r="38" spans="2:10" x14ac:dyDescent="0.25">
      <c r="B38" s="189"/>
      <c r="C38" s="190"/>
      <c r="D38" s="190" t="s">
        <v>729</v>
      </c>
      <c r="E38" s="190" t="s">
        <v>718</v>
      </c>
      <c r="F38" s="190"/>
      <c r="G38" s="190"/>
      <c r="H38" s="190"/>
      <c r="I38" s="192"/>
      <c r="J38" s="297"/>
    </row>
    <row r="39" spans="2:10" x14ac:dyDescent="0.25">
      <c r="B39" s="187"/>
      <c r="C39" s="188"/>
      <c r="D39" s="188" t="s">
        <v>729</v>
      </c>
      <c r="E39" s="188" t="s">
        <v>718</v>
      </c>
      <c r="F39" s="188"/>
      <c r="G39" s="188"/>
      <c r="H39" s="188"/>
      <c r="I39" s="191"/>
      <c r="J39" s="297"/>
    </row>
    <row r="40" spans="2:10" x14ac:dyDescent="0.25">
      <c r="B40" s="189"/>
      <c r="C40" s="190"/>
      <c r="D40" s="190" t="s">
        <v>729</v>
      </c>
      <c r="E40" s="190" t="s">
        <v>718</v>
      </c>
      <c r="F40" s="190"/>
      <c r="G40" s="190"/>
      <c r="H40" s="190"/>
      <c r="I40" s="192"/>
      <c r="J40" s="297"/>
    </row>
    <row r="41" spans="2:10" x14ac:dyDescent="0.25">
      <c r="B41" s="187"/>
      <c r="C41" s="188"/>
      <c r="D41" s="188" t="s">
        <v>729</v>
      </c>
      <c r="E41" s="188" t="s">
        <v>718</v>
      </c>
      <c r="F41" s="188"/>
      <c r="G41" s="188"/>
      <c r="H41" s="188"/>
      <c r="I41" s="191"/>
      <c r="J41" s="297"/>
    </row>
    <row r="42" spans="2:10" x14ac:dyDescent="0.25">
      <c r="B42" s="189"/>
      <c r="C42" s="190"/>
      <c r="D42" s="190" t="s">
        <v>730</v>
      </c>
      <c r="E42" s="190" t="s">
        <v>718</v>
      </c>
      <c r="F42" s="190"/>
      <c r="G42" s="190"/>
      <c r="H42" s="190"/>
      <c r="I42" s="192"/>
      <c r="J42" s="297"/>
    </row>
    <row r="43" spans="2:10" x14ac:dyDescent="0.25">
      <c r="B43" s="187"/>
      <c r="C43" s="188"/>
      <c r="D43" s="188" t="s">
        <v>730</v>
      </c>
      <c r="E43" s="188" t="s">
        <v>718</v>
      </c>
      <c r="F43" s="188"/>
      <c r="G43" s="188"/>
      <c r="H43" s="188"/>
      <c r="I43" s="191"/>
      <c r="J43" s="297"/>
    </row>
    <row r="44" spans="2:10" x14ac:dyDescent="0.25">
      <c r="B44" s="189"/>
      <c r="C44" s="190"/>
      <c r="D44" s="190" t="s">
        <v>730</v>
      </c>
      <c r="E44" s="190" t="s">
        <v>718</v>
      </c>
      <c r="F44" s="190"/>
      <c r="G44" s="190"/>
      <c r="H44" s="190"/>
      <c r="I44" s="192"/>
      <c r="J44" s="297"/>
    </row>
    <row r="45" spans="2:10" x14ac:dyDescent="0.25">
      <c r="B45" s="187"/>
      <c r="C45" s="188"/>
      <c r="D45" s="188" t="s">
        <v>730</v>
      </c>
      <c r="E45" s="188" t="s">
        <v>718</v>
      </c>
      <c r="F45" s="188"/>
      <c r="G45" s="188"/>
      <c r="H45" s="188"/>
      <c r="I45" s="191"/>
      <c r="J45" s="297"/>
    </row>
    <row r="46" spans="2:10" x14ac:dyDescent="0.25">
      <c r="B46" s="189"/>
      <c r="C46" s="190"/>
      <c r="D46" s="190" t="s">
        <v>730</v>
      </c>
      <c r="E46" s="190" t="s">
        <v>718</v>
      </c>
      <c r="F46" s="190"/>
      <c r="G46" s="190"/>
      <c r="H46" s="190"/>
      <c r="I46" s="192"/>
      <c r="J46" s="297"/>
    </row>
    <row r="47" spans="2:10" x14ac:dyDescent="0.25">
      <c r="B47" s="187"/>
      <c r="C47" s="188"/>
      <c r="D47" s="188" t="s">
        <v>731</v>
      </c>
      <c r="E47" s="188" t="s">
        <v>718</v>
      </c>
      <c r="F47" s="188"/>
      <c r="G47" s="188"/>
      <c r="H47" s="188"/>
      <c r="I47" s="191"/>
      <c r="J47" s="297"/>
    </row>
    <row r="48" spans="2:10" x14ac:dyDescent="0.25">
      <c r="B48" s="189"/>
      <c r="C48" s="190"/>
      <c r="D48" s="190" t="s">
        <v>731</v>
      </c>
      <c r="E48" s="190" t="s">
        <v>718</v>
      </c>
      <c r="F48" s="190"/>
      <c r="G48" s="190"/>
      <c r="H48" s="190"/>
      <c r="I48" s="192"/>
      <c r="J48" s="297"/>
    </row>
    <row r="49" spans="2:10" x14ac:dyDescent="0.25">
      <c r="B49" s="187"/>
      <c r="C49" s="188"/>
      <c r="D49" s="188" t="s">
        <v>731</v>
      </c>
      <c r="E49" s="188" t="s">
        <v>718</v>
      </c>
      <c r="F49" s="188"/>
      <c r="G49" s="188"/>
      <c r="H49" s="188"/>
      <c r="I49" s="191"/>
      <c r="J49" s="297"/>
    </row>
    <row r="50" spans="2:10" x14ac:dyDescent="0.25">
      <c r="B50" s="189"/>
      <c r="C50" s="190"/>
      <c r="D50" s="190" t="s">
        <v>731</v>
      </c>
      <c r="E50" s="190" t="s">
        <v>718</v>
      </c>
      <c r="F50" s="190"/>
      <c r="G50" s="190"/>
      <c r="H50" s="190"/>
      <c r="I50" s="192"/>
      <c r="J50" s="297"/>
    </row>
    <row r="51" spans="2:10" x14ac:dyDescent="0.25">
      <c r="B51" s="187"/>
      <c r="C51" s="188"/>
      <c r="D51" s="188" t="s">
        <v>731</v>
      </c>
      <c r="E51" s="188" t="s">
        <v>718</v>
      </c>
      <c r="F51" s="188"/>
      <c r="G51" s="188"/>
      <c r="H51" s="188"/>
      <c r="I51" s="191"/>
      <c r="J51" s="297"/>
    </row>
    <row r="52" spans="2:10" x14ac:dyDescent="0.25">
      <c r="B52" s="189" t="s">
        <v>745</v>
      </c>
      <c r="C52" s="190" t="s">
        <v>717</v>
      </c>
      <c r="D52" s="190" t="s">
        <v>727</v>
      </c>
      <c r="E52" s="190" t="s">
        <v>718</v>
      </c>
      <c r="F52" s="190"/>
      <c r="G52" s="190"/>
      <c r="H52" s="190"/>
      <c r="I52" s="192"/>
      <c r="J52" s="297"/>
    </row>
    <row r="53" spans="2:10" x14ac:dyDescent="0.25">
      <c r="B53" s="187"/>
      <c r="C53" s="188"/>
      <c r="D53" s="188" t="s">
        <v>727</v>
      </c>
      <c r="E53" s="188" t="s">
        <v>718</v>
      </c>
      <c r="F53" s="188"/>
      <c r="G53" s="188"/>
      <c r="H53" s="188"/>
      <c r="I53" s="191"/>
      <c r="J53" s="297"/>
    </row>
    <row r="54" spans="2:10" x14ac:dyDescent="0.25">
      <c r="B54" s="189"/>
      <c r="C54" s="190"/>
      <c r="D54" s="190" t="s">
        <v>727</v>
      </c>
      <c r="E54" s="190" t="s">
        <v>718</v>
      </c>
      <c r="F54" s="190"/>
      <c r="G54" s="190"/>
      <c r="H54" s="190"/>
      <c r="I54" s="192"/>
      <c r="J54" s="297"/>
    </row>
    <row r="55" spans="2:10" x14ac:dyDescent="0.25">
      <c r="B55" s="187"/>
      <c r="C55" s="188"/>
      <c r="D55" s="188" t="s">
        <v>727</v>
      </c>
      <c r="E55" s="188" t="s">
        <v>718</v>
      </c>
      <c r="F55" s="188"/>
      <c r="G55" s="188"/>
      <c r="H55" s="188"/>
      <c r="I55" s="191"/>
      <c r="J55" s="297"/>
    </row>
    <row r="56" spans="2:10" x14ac:dyDescent="0.25">
      <c r="B56" s="189"/>
      <c r="C56" s="190"/>
      <c r="D56" s="190" t="s">
        <v>727</v>
      </c>
      <c r="E56" s="190" t="s">
        <v>718</v>
      </c>
      <c r="F56" s="190"/>
      <c r="G56" s="190"/>
      <c r="H56" s="190"/>
      <c r="I56" s="192"/>
      <c r="J56" s="297"/>
    </row>
    <row r="57" spans="2:10" x14ac:dyDescent="0.25">
      <c r="B57" s="187"/>
      <c r="C57" s="188"/>
      <c r="D57" s="188" t="s">
        <v>728</v>
      </c>
      <c r="E57" s="188" t="s">
        <v>718</v>
      </c>
      <c r="F57" s="188"/>
      <c r="G57" s="188"/>
      <c r="H57" s="188"/>
      <c r="I57" s="191"/>
      <c r="J57" s="297"/>
    </row>
    <row r="58" spans="2:10" x14ac:dyDescent="0.25">
      <c r="B58" s="189"/>
      <c r="C58" s="190"/>
      <c r="D58" s="190" t="s">
        <v>728</v>
      </c>
      <c r="E58" s="190" t="s">
        <v>718</v>
      </c>
      <c r="F58" s="190"/>
      <c r="G58" s="190"/>
      <c r="H58" s="190"/>
      <c r="I58" s="192"/>
      <c r="J58" s="297"/>
    </row>
    <row r="59" spans="2:10" x14ac:dyDescent="0.25">
      <c r="B59" s="187"/>
      <c r="C59" s="188"/>
      <c r="D59" s="188" t="s">
        <v>728</v>
      </c>
      <c r="E59" s="188" t="s">
        <v>718</v>
      </c>
      <c r="F59" s="188"/>
      <c r="G59" s="188"/>
      <c r="H59" s="188"/>
      <c r="I59" s="191"/>
      <c r="J59" s="297"/>
    </row>
    <row r="60" spans="2:10" x14ac:dyDescent="0.25">
      <c r="B60" s="189"/>
      <c r="C60" s="190"/>
      <c r="D60" s="190" t="s">
        <v>728</v>
      </c>
      <c r="E60" s="190" t="s">
        <v>718</v>
      </c>
      <c r="F60" s="190"/>
      <c r="G60" s="190"/>
      <c r="H60" s="190"/>
      <c r="I60" s="192"/>
      <c r="J60" s="297"/>
    </row>
    <row r="61" spans="2:10" x14ac:dyDescent="0.25">
      <c r="B61" s="187"/>
      <c r="C61" s="188"/>
      <c r="D61" s="188" t="s">
        <v>728</v>
      </c>
      <c r="E61" s="188" t="s">
        <v>718</v>
      </c>
      <c r="F61" s="188"/>
      <c r="G61" s="188"/>
      <c r="H61" s="188"/>
      <c r="I61" s="191"/>
      <c r="J61" s="297"/>
    </row>
    <row r="62" spans="2:10" x14ac:dyDescent="0.25">
      <c r="B62" s="189"/>
      <c r="C62" s="190"/>
      <c r="D62" s="190" t="s">
        <v>729</v>
      </c>
      <c r="E62" s="190" t="s">
        <v>718</v>
      </c>
      <c r="F62" s="190"/>
      <c r="G62" s="190"/>
      <c r="H62" s="190"/>
      <c r="I62" s="192"/>
      <c r="J62" s="297"/>
    </row>
    <row r="63" spans="2:10" x14ac:dyDescent="0.25">
      <c r="B63" s="187"/>
      <c r="C63" s="188"/>
      <c r="D63" s="188" t="s">
        <v>729</v>
      </c>
      <c r="E63" s="188" t="s">
        <v>718</v>
      </c>
      <c r="F63" s="188"/>
      <c r="G63" s="188"/>
      <c r="H63" s="188"/>
      <c r="I63" s="191"/>
      <c r="J63" s="297"/>
    </row>
    <row r="64" spans="2:10" x14ac:dyDescent="0.25">
      <c r="B64" s="189"/>
      <c r="C64" s="190"/>
      <c r="D64" s="190" t="s">
        <v>729</v>
      </c>
      <c r="E64" s="190" t="s">
        <v>718</v>
      </c>
      <c r="F64" s="190"/>
      <c r="G64" s="190"/>
      <c r="H64" s="190"/>
      <c r="I64" s="192"/>
      <c r="J64" s="297"/>
    </row>
    <row r="65" spans="2:10" x14ac:dyDescent="0.25">
      <c r="B65" s="187"/>
      <c r="C65" s="188"/>
      <c r="D65" s="188" t="s">
        <v>729</v>
      </c>
      <c r="E65" s="188" t="s">
        <v>718</v>
      </c>
      <c r="F65" s="188"/>
      <c r="G65" s="188"/>
      <c r="H65" s="188"/>
      <c r="I65" s="191"/>
      <c r="J65" s="297"/>
    </row>
    <row r="66" spans="2:10" x14ac:dyDescent="0.25">
      <c r="B66" s="189"/>
      <c r="C66" s="190"/>
      <c r="D66" s="190" t="s">
        <v>729</v>
      </c>
      <c r="E66" s="190" t="s">
        <v>718</v>
      </c>
      <c r="F66" s="190"/>
      <c r="G66" s="190"/>
      <c r="H66" s="190"/>
      <c r="I66" s="192"/>
      <c r="J66" s="297"/>
    </row>
    <row r="67" spans="2:10" x14ac:dyDescent="0.25">
      <c r="B67" s="187"/>
      <c r="C67" s="188"/>
      <c r="D67" s="188" t="s">
        <v>730</v>
      </c>
      <c r="E67" s="188" t="s">
        <v>718</v>
      </c>
      <c r="F67" s="188"/>
      <c r="G67" s="188"/>
      <c r="H67" s="188"/>
      <c r="I67" s="191"/>
      <c r="J67" s="297"/>
    </row>
    <row r="68" spans="2:10" x14ac:dyDescent="0.25">
      <c r="B68" s="189"/>
      <c r="C68" s="190"/>
      <c r="D68" s="190" t="s">
        <v>730</v>
      </c>
      <c r="E68" s="190" t="s">
        <v>718</v>
      </c>
      <c r="F68" s="190"/>
      <c r="G68" s="190"/>
      <c r="H68" s="190"/>
      <c r="I68" s="192"/>
      <c r="J68" s="297"/>
    </row>
    <row r="69" spans="2:10" x14ac:dyDescent="0.25">
      <c r="B69" s="187"/>
      <c r="C69" s="188"/>
      <c r="D69" s="188" t="s">
        <v>730</v>
      </c>
      <c r="E69" s="188" t="s">
        <v>718</v>
      </c>
      <c r="F69" s="188"/>
      <c r="G69" s="188"/>
      <c r="H69" s="188"/>
      <c r="I69" s="191"/>
      <c r="J69" s="297"/>
    </row>
    <row r="70" spans="2:10" x14ac:dyDescent="0.25">
      <c r="B70" s="189"/>
      <c r="C70" s="190"/>
      <c r="D70" s="190" t="s">
        <v>730</v>
      </c>
      <c r="E70" s="190" t="s">
        <v>718</v>
      </c>
      <c r="F70" s="190"/>
      <c r="G70" s="190"/>
      <c r="H70" s="190"/>
      <c r="I70" s="192"/>
      <c r="J70" s="297"/>
    </row>
    <row r="71" spans="2:10" x14ac:dyDescent="0.25">
      <c r="B71" s="187"/>
      <c r="C71" s="188"/>
      <c r="D71" s="188" t="s">
        <v>730</v>
      </c>
      <c r="E71" s="188" t="s">
        <v>718</v>
      </c>
      <c r="F71" s="188"/>
      <c r="G71" s="188"/>
      <c r="H71" s="188"/>
      <c r="I71" s="191"/>
      <c r="J71" s="297"/>
    </row>
    <row r="72" spans="2:10" x14ac:dyDescent="0.25">
      <c r="B72" s="189"/>
      <c r="C72" s="190"/>
      <c r="D72" s="190" t="s">
        <v>731</v>
      </c>
      <c r="E72" s="190" t="s">
        <v>718</v>
      </c>
      <c r="F72" s="190"/>
      <c r="G72" s="190"/>
      <c r="H72" s="190"/>
      <c r="I72" s="192"/>
      <c r="J72" s="297"/>
    </row>
    <row r="73" spans="2:10" x14ac:dyDescent="0.25">
      <c r="B73" s="187"/>
      <c r="C73" s="188"/>
      <c r="D73" s="188" t="s">
        <v>731</v>
      </c>
      <c r="E73" s="188" t="s">
        <v>718</v>
      </c>
      <c r="F73" s="188"/>
      <c r="G73" s="188"/>
      <c r="H73" s="188"/>
      <c r="I73" s="191"/>
      <c r="J73" s="297"/>
    </row>
    <row r="74" spans="2:10" x14ac:dyDescent="0.25">
      <c r="B74" s="189"/>
      <c r="C74" s="190"/>
      <c r="D74" s="190" t="s">
        <v>731</v>
      </c>
      <c r="E74" s="190" t="s">
        <v>718</v>
      </c>
      <c r="F74" s="190"/>
      <c r="G74" s="190"/>
      <c r="H74" s="190"/>
      <c r="I74" s="192"/>
      <c r="J74" s="297"/>
    </row>
    <row r="75" spans="2:10" x14ac:dyDescent="0.25">
      <c r="B75" s="187"/>
      <c r="C75" s="188"/>
      <c r="D75" s="188" t="s">
        <v>731</v>
      </c>
      <c r="E75" s="188" t="s">
        <v>718</v>
      </c>
      <c r="F75" s="188"/>
      <c r="G75" s="188"/>
      <c r="H75" s="188"/>
      <c r="I75" s="191"/>
      <c r="J75" s="297"/>
    </row>
    <row r="76" spans="2:10" x14ac:dyDescent="0.25">
      <c r="B76" s="189"/>
      <c r="C76" s="190"/>
      <c r="D76" s="190" t="s">
        <v>731</v>
      </c>
      <c r="E76" s="190" t="s">
        <v>718</v>
      </c>
      <c r="F76" s="190"/>
      <c r="G76" s="190"/>
      <c r="H76" s="190"/>
      <c r="I76" s="192"/>
      <c r="J76" s="297"/>
    </row>
    <row r="77" spans="2:10" x14ac:dyDescent="0.25">
      <c r="B77" s="187" t="s">
        <v>746</v>
      </c>
      <c r="C77" s="188" t="s">
        <v>717</v>
      </c>
      <c r="D77" s="188" t="s">
        <v>727</v>
      </c>
      <c r="E77" s="188" t="s">
        <v>718</v>
      </c>
      <c r="F77" s="188"/>
      <c r="G77" s="188"/>
      <c r="H77" s="188"/>
      <c r="I77" s="191"/>
      <c r="J77" s="297"/>
    </row>
    <row r="78" spans="2:10" x14ac:dyDescent="0.25">
      <c r="B78" s="189"/>
      <c r="C78" s="190"/>
      <c r="D78" s="190" t="s">
        <v>727</v>
      </c>
      <c r="E78" s="190" t="s">
        <v>718</v>
      </c>
      <c r="F78" s="190"/>
      <c r="G78" s="190"/>
      <c r="H78" s="190"/>
      <c r="I78" s="192"/>
      <c r="J78" s="297"/>
    </row>
    <row r="79" spans="2:10" x14ac:dyDescent="0.25">
      <c r="B79" s="187"/>
      <c r="C79" s="188"/>
      <c r="D79" s="188" t="s">
        <v>727</v>
      </c>
      <c r="E79" s="188" t="s">
        <v>718</v>
      </c>
      <c r="F79" s="188"/>
      <c r="G79" s="188"/>
      <c r="H79" s="188"/>
      <c r="I79" s="191"/>
      <c r="J79" s="297"/>
    </row>
    <row r="80" spans="2:10" x14ac:dyDescent="0.25">
      <c r="B80" s="189"/>
      <c r="C80" s="190"/>
      <c r="D80" s="190" t="s">
        <v>727</v>
      </c>
      <c r="E80" s="190" t="s">
        <v>718</v>
      </c>
      <c r="F80" s="190"/>
      <c r="G80" s="190"/>
      <c r="H80" s="190"/>
      <c r="I80" s="192"/>
      <c r="J80" s="297"/>
    </row>
    <row r="81" spans="2:10" x14ac:dyDescent="0.25">
      <c r="B81" s="187"/>
      <c r="C81" s="188"/>
      <c r="D81" s="188" t="s">
        <v>727</v>
      </c>
      <c r="E81" s="188" t="s">
        <v>718</v>
      </c>
      <c r="F81" s="188"/>
      <c r="G81" s="188"/>
      <c r="H81" s="188"/>
      <c r="I81" s="191"/>
      <c r="J81" s="297"/>
    </row>
    <row r="82" spans="2:10" x14ac:dyDescent="0.25">
      <c r="B82" s="189"/>
      <c r="C82" s="190"/>
      <c r="D82" s="190" t="s">
        <v>728</v>
      </c>
      <c r="E82" s="190" t="s">
        <v>718</v>
      </c>
      <c r="F82" s="190"/>
      <c r="G82" s="190"/>
      <c r="H82" s="190"/>
      <c r="I82" s="192"/>
      <c r="J82" s="297"/>
    </row>
    <row r="83" spans="2:10" x14ac:dyDescent="0.25">
      <c r="B83" s="187"/>
      <c r="C83" s="188"/>
      <c r="D83" s="188" t="s">
        <v>728</v>
      </c>
      <c r="E83" s="188" t="s">
        <v>718</v>
      </c>
      <c r="F83" s="188"/>
      <c r="G83" s="188"/>
      <c r="H83" s="188"/>
      <c r="I83" s="191"/>
      <c r="J83" s="297"/>
    </row>
    <row r="84" spans="2:10" x14ac:dyDescent="0.25">
      <c r="B84" s="189"/>
      <c r="C84" s="190"/>
      <c r="D84" s="190" t="s">
        <v>728</v>
      </c>
      <c r="E84" s="190" t="s">
        <v>718</v>
      </c>
      <c r="F84" s="190"/>
      <c r="G84" s="190"/>
      <c r="H84" s="190"/>
      <c r="I84" s="192"/>
      <c r="J84" s="297"/>
    </row>
    <row r="85" spans="2:10" x14ac:dyDescent="0.25">
      <c r="B85" s="187"/>
      <c r="C85" s="188"/>
      <c r="D85" s="188" t="s">
        <v>728</v>
      </c>
      <c r="E85" s="188" t="s">
        <v>718</v>
      </c>
      <c r="F85" s="188"/>
      <c r="G85" s="188"/>
      <c r="H85" s="188"/>
      <c r="I85" s="191"/>
      <c r="J85" s="297"/>
    </row>
    <row r="86" spans="2:10" x14ac:dyDescent="0.25">
      <c r="B86" s="189"/>
      <c r="C86" s="190"/>
      <c r="D86" s="190" t="s">
        <v>728</v>
      </c>
      <c r="E86" s="190" t="s">
        <v>718</v>
      </c>
      <c r="F86" s="190"/>
      <c r="G86" s="190"/>
      <c r="H86" s="190"/>
      <c r="I86" s="192"/>
      <c r="J86" s="297"/>
    </row>
    <row r="87" spans="2:10" x14ac:dyDescent="0.25">
      <c r="B87" s="187"/>
      <c r="C87" s="188"/>
      <c r="D87" s="188" t="s">
        <v>729</v>
      </c>
      <c r="E87" s="188" t="s">
        <v>718</v>
      </c>
      <c r="F87" s="188"/>
      <c r="G87" s="188"/>
      <c r="H87" s="188"/>
      <c r="I87" s="191"/>
      <c r="J87" s="297"/>
    </row>
    <row r="88" spans="2:10" x14ac:dyDescent="0.25">
      <c r="B88" s="189"/>
      <c r="C88" s="190"/>
      <c r="D88" s="190" t="s">
        <v>729</v>
      </c>
      <c r="E88" s="190" t="s">
        <v>718</v>
      </c>
      <c r="F88" s="190"/>
      <c r="G88" s="190"/>
      <c r="H88" s="190"/>
      <c r="I88" s="192"/>
      <c r="J88" s="297"/>
    </row>
    <row r="89" spans="2:10" x14ac:dyDescent="0.25">
      <c r="B89" s="187"/>
      <c r="C89" s="188"/>
      <c r="D89" s="188" t="s">
        <v>729</v>
      </c>
      <c r="E89" s="188" t="s">
        <v>718</v>
      </c>
      <c r="F89" s="188"/>
      <c r="G89" s="188"/>
      <c r="H89" s="188"/>
      <c r="I89" s="191"/>
      <c r="J89" s="297"/>
    </row>
    <row r="90" spans="2:10" x14ac:dyDescent="0.25">
      <c r="B90" s="189"/>
      <c r="C90" s="190"/>
      <c r="D90" s="190" t="s">
        <v>729</v>
      </c>
      <c r="E90" s="190" t="s">
        <v>718</v>
      </c>
      <c r="F90" s="190"/>
      <c r="G90" s="190"/>
      <c r="H90" s="190"/>
      <c r="I90" s="192"/>
      <c r="J90" s="297"/>
    </row>
    <row r="91" spans="2:10" x14ac:dyDescent="0.25">
      <c r="B91" s="187"/>
      <c r="C91" s="188"/>
      <c r="D91" s="188" t="s">
        <v>729</v>
      </c>
      <c r="E91" s="188" t="s">
        <v>718</v>
      </c>
      <c r="F91" s="188"/>
      <c r="G91" s="188"/>
      <c r="H91" s="188"/>
      <c r="I91" s="191"/>
      <c r="J91" s="297"/>
    </row>
    <row r="92" spans="2:10" x14ac:dyDescent="0.25">
      <c r="B92" s="189"/>
      <c r="C92" s="190"/>
      <c r="D92" s="190" t="s">
        <v>730</v>
      </c>
      <c r="E92" s="190" t="s">
        <v>718</v>
      </c>
      <c r="F92" s="190"/>
      <c r="G92" s="190"/>
      <c r="H92" s="190"/>
      <c r="I92" s="192"/>
      <c r="J92" s="297"/>
    </row>
    <row r="93" spans="2:10" x14ac:dyDescent="0.25">
      <c r="B93" s="187"/>
      <c r="C93" s="188"/>
      <c r="D93" s="188" t="s">
        <v>730</v>
      </c>
      <c r="E93" s="188" t="s">
        <v>718</v>
      </c>
      <c r="F93" s="188"/>
      <c r="G93" s="188"/>
      <c r="H93" s="188"/>
      <c r="I93" s="191"/>
      <c r="J93" s="297"/>
    </row>
    <row r="94" spans="2:10" x14ac:dyDescent="0.25">
      <c r="B94" s="189"/>
      <c r="C94" s="190"/>
      <c r="D94" s="190" t="s">
        <v>730</v>
      </c>
      <c r="E94" s="190" t="s">
        <v>718</v>
      </c>
      <c r="F94" s="190"/>
      <c r="G94" s="190"/>
      <c r="H94" s="190"/>
      <c r="I94" s="192"/>
      <c r="J94" s="297"/>
    </row>
    <row r="95" spans="2:10" x14ac:dyDescent="0.25">
      <c r="B95" s="187"/>
      <c r="C95" s="188"/>
      <c r="D95" s="188" t="s">
        <v>730</v>
      </c>
      <c r="E95" s="188" t="s">
        <v>718</v>
      </c>
      <c r="F95" s="188"/>
      <c r="G95" s="188"/>
      <c r="H95" s="188"/>
      <c r="I95" s="191"/>
      <c r="J95" s="297"/>
    </row>
    <row r="96" spans="2:10" x14ac:dyDescent="0.25">
      <c r="B96" s="189"/>
      <c r="C96" s="190"/>
      <c r="D96" s="190" t="s">
        <v>730</v>
      </c>
      <c r="E96" s="190" t="s">
        <v>718</v>
      </c>
      <c r="F96" s="190"/>
      <c r="G96" s="190"/>
      <c r="H96" s="190"/>
      <c r="I96" s="192"/>
      <c r="J96" s="297"/>
    </row>
    <row r="97" spans="2:10" x14ac:dyDescent="0.25">
      <c r="B97" s="187"/>
      <c r="C97" s="188"/>
      <c r="D97" s="188" t="s">
        <v>731</v>
      </c>
      <c r="E97" s="188" t="s">
        <v>718</v>
      </c>
      <c r="F97" s="188"/>
      <c r="G97" s="188"/>
      <c r="H97" s="188"/>
      <c r="I97" s="191"/>
      <c r="J97" s="297"/>
    </row>
    <row r="98" spans="2:10" x14ac:dyDescent="0.25">
      <c r="B98" s="189"/>
      <c r="C98" s="190"/>
      <c r="D98" s="190" t="s">
        <v>731</v>
      </c>
      <c r="E98" s="190" t="s">
        <v>718</v>
      </c>
      <c r="F98" s="190"/>
      <c r="G98" s="190"/>
      <c r="H98" s="190"/>
      <c r="I98" s="192"/>
      <c r="J98" s="297"/>
    </row>
    <row r="99" spans="2:10" x14ac:dyDescent="0.25">
      <c r="B99" s="187"/>
      <c r="C99" s="188"/>
      <c r="D99" s="188" t="s">
        <v>731</v>
      </c>
      <c r="E99" s="188" t="s">
        <v>718</v>
      </c>
      <c r="F99" s="188"/>
      <c r="G99" s="188"/>
      <c r="H99" s="188"/>
      <c r="I99" s="191"/>
      <c r="J99" s="297"/>
    </row>
    <row r="100" spans="2:10" x14ac:dyDescent="0.25">
      <c r="B100" s="189"/>
      <c r="C100" s="190"/>
      <c r="D100" s="190" t="s">
        <v>731</v>
      </c>
      <c r="E100" s="190" t="s">
        <v>718</v>
      </c>
      <c r="F100" s="190"/>
      <c r="G100" s="190"/>
      <c r="H100" s="190"/>
      <c r="I100" s="192"/>
      <c r="J100" s="297"/>
    </row>
    <row r="101" spans="2:10" x14ac:dyDescent="0.25">
      <c r="B101" s="187"/>
      <c r="C101" s="188"/>
      <c r="D101" s="188" t="s">
        <v>731</v>
      </c>
      <c r="E101" s="188" t="s">
        <v>718</v>
      </c>
      <c r="F101" s="188"/>
      <c r="G101" s="188"/>
      <c r="H101" s="188"/>
      <c r="I101" s="191"/>
      <c r="J101" s="297"/>
    </row>
    <row r="102" spans="2:10" x14ac:dyDescent="0.25">
      <c r="B102" s="189" t="s">
        <v>747</v>
      </c>
      <c r="C102" s="190" t="s">
        <v>717</v>
      </c>
      <c r="D102" s="190" t="s">
        <v>727</v>
      </c>
      <c r="E102" s="190" t="s">
        <v>718</v>
      </c>
      <c r="F102" s="190"/>
      <c r="G102" s="190"/>
      <c r="H102" s="190"/>
      <c r="I102" s="192"/>
      <c r="J102" s="297"/>
    </row>
    <row r="103" spans="2:10" x14ac:dyDescent="0.25">
      <c r="B103" s="187"/>
      <c r="C103" s="188"/>
      <c r="D103" s="188" t="s">
        <v>727</v>
      </c>
      <c r="E103" s="188" t="s">
        <v>718</v>
      </c>
      <c r="F103" s="188"/>
      <c r="G103" s="188"/>
      <c r="H103" s="188"/>
      <c r="I103" s="191"/>
      <c r="J103" s="297"/>
    </row>
    <row r="104" spans="2:10" x14ac:dyDescent="0.25">
      <c r="B104" s="189"/>
      <c r="C104" s="190"/>
      <c r="D104" s="190" t="s">
        <v>727</v>
      </c>
      <c r="E104" s="190" t="s">
        <v>718</v>
      </c>
      <c r="F104" s="190"/>
      <c r="G104" s="190"/>
      <c r="H104" s="190"/>
      <c r="I104" s="192"/>
      <c r="J104" s="297"/>
    </row>
    <row r="105" spans="2:10" x14ac:dyDescent="0.25">
      <c r="B105" s="187"/>
      <c r="C105" s="188"/>
      <c r="D105" s="188" t="s">
        <v>727</v>
      </c>
      <c r="E105" s="188" t="s">
        <v>718</v>
      </c>
      <c r="F105" s="188"/>
      <c r="G105" s="188"/>
      <c r="H105" s="188"/>
      <c r="I105" s="191"/>
      <c r="J105" s="297"/>
    </row>
    <row r="106" spans="2:10" x14ac:dyDescent="0.25">
      <c r="B106" s="189"/>
      <c r="C106" s="190"/>
      <c r="D106" s="190" t="s">
        <v>727</v>
      </c>
      <c r="E106" s="190" t="s">
        <v>718</v>
      </c>
      <c r="F106" s="190"/>
      <c r="G106" s="190"/>
      <c r="H106" s="190"/>
      <c r="I106" s="192"/>
      <c r="J106" s="297"/>
    </row>
    <row r="107" spans="2:10" x14ac:dyDescent="0.25">
      <c r="B107" s="187"/>
      <c r="C107" s="188"/>
      <c r="D107" s="188" t="s">
        <v>728</v>
      </c>
      <c r="E107" s="188" t="s">
        <v>718</v>
      </c>
      <c r="F107" s="188"/>
      <c r="G107" s="188"/>
      <c r="H107" s="188"/>
      <c r="I107" s="191"/>
      <c r="J107" s="297"/>
    </row>
    <row r="108" spans="2:10" x14ac:dyDescent="0.25">
      <c r="B108" s="189"/>
      <c r="C108" s="190"/>
      <c r="D108" s="190" t="s">
        <v>728</v>
      </c>
      <c r="E108" s="190" t="s">
        <v>718</v>
      </c>
      <c r="F108" s="190"/>
      <c r="G108" s="190"/>
      <c r="H108" s="190"/>
      <c r="I108" s="192"/>
      <c r="J108" s="297"/>
    </row>
    <row r="109" spans="2:10" x14ac:dyDescent="0.25">
      <c r="B109" s="187"/>
      <c r="C109" s="188"/>
      <c r="D109" s="188" t="s">
        <v>728</v>
      </c>
      <c r="E109" s="188" t="s">
        <v>718</v>
      </c>
      <c r="F109" s="188"/>
      <c r="G109" s="188"/>
      <c r="H109" s="188"/>
      <c r="I109" s="191"/>
      <c r="J109" s="297"/>
    </row>
    <row r="110" spans="2:10" x14ac:dyDescent="0.25">
      <c r="B110" s="189"/>
      <c r="C110" s="190"/>
      <c r="D110" s="190" t="s">
        <v>728</v>
      </c>
      <c r="E110" s="190" t="s">
        <v>718</v>
      </c>
      <c r="F110" s="190"/>
      <c r="G110" s="190"/>
      <c r="H110" s="190"/>
      <c r="I110" s="192"/>
      <c r="J110" s="297"/>
    </row>
    <row r="111" spans="2:10" x14ac:dyDescent="0.25">
      <c r="B111" s="187"/>
      <c r="C111" s="188"/>
      <c r="D111" s="188" t="s">
        <v>728</v>
      </c>
      <c r="E111" s="188" t="s">
        <v>718</v>
      </c>
      <c r="F111" s="188"/>
      <c r="G111" s="188"/>
      <c r="H111" s="188"/>
      <c r="I111" s="191"/>
      <c r="J111" s="297"/>
    </row>
    <row r="112" spans="2:10" x14ac:dyDescent="0.25">
      <c r="B112" s="189"/>
      <c r="C112" s="190"/>
      <c r="D112" s="190" t="s">
        <v>729</v>
      </c>
      <c r="E112" s="190" t="s">
        <v>718</v>
      </c>
      <c r="F112" s="190"/>
      <c r="G112" s="190"/>
      <c r="H112" s="190"/>
      <c r="I112" s="192"/>
      <c r="J112" s="297"/>
    </row>
    <row r="113" spans="2:10" x14ac:dyDescent="0.25">
      <c r="B113" s="187"/>
      <c r="C113" s="188"/>
      <c r="D113" s="188" t="s">
        <v>729</v>
      </c>
      <c r="E113" s="188" t="s">
        <v>718</v>
      </c>
      <c r="F113" s="188"/>
      <c r="G113" s="188"/>
      <c r="H113" s="188"/>
      <c r="I113" s="191"/>
      <c r="J113" s="297"/>
    </row>
    <row r="114" spans="2:10" x14ac:dyDescent="0.25">
      <c r="B114" s="189"/>
      <c r="C114" s="190"/>
      <c r="D114" s="190" t="s">
        <v>729</v>
      </c>
      <c r="E114" s="190" t="s">
        <v>718</v>
      </c>
      <c r="F114" s="190"/>
      <c r="G114" s="190"/>
      <c r="H114" s="190"/>
      <c r="I114" s="192"/>
      <c r="J114" s="297"/>
    </row>
    <row r="115" spans="2:10" x14ac:dyDescent="0.25">
      <c r="B115" s="187"/>
      <c r="C115" s="188"/>
      <c r="D115" s="188" t="s">
        <v>729</v>
      </c>
      <c r="E115" s="188" t="s">
        <v>718</v>
      </c>
      <c r="F115" s="188"/>
      <c r="G115" s="188"/>
      <c r="H115" s="188"/>
      <c r="I115" s="191"/>
      <c r="J115" s="297"/>
    </row>
    <row r="116" spans="2:10" x14ac:dyDescent="0.25">
      <c r="B116" s="189"/>
      <c r="C116" s="190"/>
      <c r="D116" s="190" t="s">
        <v>729</v>
      </c>
      <c r="E116" s="190" t="s">
        <v>718</v>
      </c>
      <c r="F116" s="190"/>
      <c r="G116" s="190"/>
      <c r="H116" s="190"/>
      <c r="I116" s="192"/>
      <c r="J116" s="297"/>
    </row>
    <row r="117" spans="2:10" x14ac:dyDescent="0.25">
      <c r="B117" s="187"/>
      <c r="C117" s="188"/>
      <c r="D117" s="188" t="s">
        <v>730</v>
      </c>
      <c r="E117" s="188" t="s">
        <v>718</v>
      </c>
      <c r="F117" s="188"/>
      <c r="G117" s="188"/>
      <c r="H117" s="188"/>
      <c r="I117" s="191"/>
      <c r="J117" s="297"/>
    </row>
    <row r="118" spans="2:10" x14ac:dyDescent="0.25">
      <c r="B118" s="189"/>
      <c r="C118" s="190"/>
      <c r="D118" s="190" t="s">
        <v>730</v>
      </c>
      <c r="E118" s="190" t="s">
        <v>718</v>
      </c>
      <c r="F118" s="190"/>
      <c r="G118" s="190"/>
      <c r="H118" s="190"/>
      <c r="I118" s="192"/>
      <c r="J118" s="297"/>
    </row>
    <row r="119" spans="2:10" x14ac:dyDescent="0.25">
      <c r="B119" s="187"/>
      <c r="C119" s="188"/>
      <c r="D119" s="188" t="s">
        <v>730</v>
      </c>
      <c r="E119" s="188" t="s">
        <v>718</v>
      </c>
      <c r="F119" s="188"/>
      <c r="G119" s="188"/>
      <c r="H119" s="188"/>
      <c r="I119" s="191"/>
      <c r="J119" s="297"/>
    </row>
    <row r="120" spans="2:10" x14ac:dyDescent="0.25">
      <c r="B120" s="189"/>
      <c r="C120" s="190"/>
      <c r="D120" s="190" t="s">
        <v>730</v>
      </c>
      <c r="E120" s="190" t="s">
        <v>718</v>
      </c>
      <c r="F120" s="190"/>
      <c r="G120" s="190"/>
      <c r="H120" s="190"/>
      <c r="I120" s="192"/>
      <c r="J120" s="297"/>
    </row>
    <row r="121" spans="2:10" x14ac:dyDescent="0.25">
      <c r="B121" s="187"/>
      <c r="C121" s="188"/>
      <c r="D121" s="188" t="s">
        <v>730</v>
      </c>
      <c r="E121" s="188" t="s">
        <v>718</v>
      </c>
      <c r="F121" s="188"/>
      <c r="G121" s="188"/>
      <c r="H121" s="188"/>
      <c r="I121" s="191"/>
      <c r="J121" s="297"/>
    </row>
    <row r="122" spans="2:10" x14ac:dyDescent="0.25">
      <c r="B122" s="189"/>
      <c r="C122" s="190"/>
      <c r="D122" s="190" t="s">
        <v>731</v>
      </c>
      <c r="E122" s="190" t="s">
        <v>718</v>
      </c>
      <c r="F122" s="190"/>
      <c r="G122" s="190"/>
      <c r="H122" s="190"/>
      <c r="I122" s="192"/>
      <c r="J122" s="297"/>
    </row>
    <row r="123" spans="2:10" x14ac:dyDescent="0.25">
      <c r="B123" s="187"/>
      <c r="C123" s="188"/>
      <c r="D123" s="188" t="s">
        <v>731</v>
      </c>
      <c r="E123" s="188" t="s">
        <v>718</v>
      </c>
      <c r="F123" s="188"/>
      <c r="G123" s="188"/>
      <c r="H123" s="188"/>
      <c r="I123" s="191"/>
      <c r="J123" s="297"/>
    </row>
    <row r="124" spans="2:10" x14ac:dyDescent="0.25">
      <c r="B124" s="189"/>
      <c r="C124" s="190"/>
      <c r="D124" s="190" t="s">
        <v>731</v>
      </c>
      <c r="E124" s="190" t="s">
        <v>718</v>
      </c>
      <c r="F124" s="190"/>
      <c r="G124" s="190"/>
      <c r="H124" s="190"/>
      <c r="I124" s="192"/>
      <c r="J124" s="297"/>
    </row>
    <row r="125" spans="2:10" x14ac:dyDescent="0.25">
      <c r="B125" s="187"/>
      <c r="C125" s="188"/>
      <c r="D125" s="188" t="s">
        <v>731</v>
      </c>
      <c r="E125" s="188" t="s">
        <v>718</v>
      </c>
      <c r="F125" s="188"/>
      <c r="G125" s="188"/>
      <c r="H125" s="188"/>
      <c r="I125" s="191"/>
      <c r="J125" s="297"/>
    </row>
    <row r="126" spans="2:10" x14ac:dyDescent="0.25">
      <c r="B126" s="189"/>
      <c r="C126" s="190"/>
      <c r="D126" s="190" t="s">
        <v>731</v>
      </c>
      <c r="E126" s="190" t="s">
        <v>718</v>
      </c>
      <c r="F126" s="190"/>
      <c r="G126" s="190"/>
      <c r="H126" s="190"/>
      <c r="I126" s="192"/>
      <c r="J126" s="297"/>
    </row>
    <row r="127" spans="2:10" x14ac:dyDescent="0.25">
      <c r="B127" s="187" t="s">
        <v>748</v>
      </c>
      <c r="C127" s="188" t="s">
        <v>717</v>
      </c>
      <c r="D127" s="188" t="s">
        <v>727</v>
      </c>
      <c r="E127" s="188" t="s">
        <v>718</v>
      </c>
      <c r="F127" s="188"/>
      <c r="G127" s="188"/>
      <c r="H127" s="188"/>
      <c r="I127" s="191"/>
      <c r="J127" s="297"/>
    </row>
    <row r="128" spans="2:10" x14ac:dyDescent="0.25">
      <c r="B128" s="189"/>
      <c r="C128" s="190"/>
      <c r="D128" s="190" t="s">
        <v>727</v>
      </c>
      <c r="E128" s="190" t="s">
        <v>718</v>
      </c>
      <c r="F128" s="190"/>
      <c r="G128" s="190"/>
      <c r="H128" s="190"/>
      <c r="I128" s="192"/>
      <c r="J128" s="297"/>
    </row>
    <row r="129" spans="2:10" x14ac:dyDescent="0.25">
      <c r="B129" s="187"/>
      <c r="C129" s="188"/>
      <c r="D129" s="188" t="s">
        <v>727</v>
      </c>
      <c r="E129" s="188" t="s">
        <v>718</v>
      </c>
      <c r="F129" s="188"/>
      <c r="G129" s="188"/>
      <c r="H129" s="188"/>
      <c r="I129" s="191"/>
      <c r="J129" s="297"/>
    </row>
    <row r="130" spans="2:10" x14ac:dyDescent="0.25">
      <c r="B130" s="189"/>
      <c r="C130" s="190"/>
      <c r="D130" s="190" t="s">
        <v>727</v>
      </c>
      <c r="E130" s="190" t="s">
        <v>718</v>
      </c>
      <c r="F130" s="190"/>
      <c r="G130" s="190"/>
      <c r="H130" s="190"/>
      <c r="I130" s="192"/>
      <c r="J130" s="297"/>
    </row>
    <row r="131" spans="2:10" x14ac:dyDescent="0.25">
      <c r="B131" s="187"/>
      <c r="C131" s="188"/>
      <c r="D131" s="188" t="s">
        <v>727</v>
      </c>
      <c r="E131" s="188" t="s">
        <v>718</v>
      </c>
      <c r="F131" s="188"/>
      <c r="G131" s="188"/>
      <c r="H131" s="188"/>
      <c r="I131" s="191"/>
      <c r="J131" s="297"/>
    </row>
    <row r="132" spans="2:10" x14ac:dyDescent="0.25">
      <c r="B132" s="189"/>
      <c r="C132" s="190"/>
      <c r="D132" s="190" t="s">
        <v>728</v>
      </c>
      <c r="E132" s="190" t="s">
        <v>718</v>
      </c>
      <c r="F132" s="190"/>
      <c r="G132" s="190"/>
      <c r="H132" s="190"/>
      <c r="I132" s="192"/>
      <c r="J132" s="297"/>
    </row>
    <row r="133" spans="2:10" x14ac:dyDescent="0.25">
      <c r="B133" s="187"/>
      <c r="C133" s="188"/>
      <c r="D133" s="188" t="s">
        <v>728</v>
      </c>
      <c r="E133" s="188" t="s">
        <v>718</v>
      </c>
      <c r="F133" s="188"/>
      <c r="G133" s="188"/>
      <c r="H133" s="188"/>
      <c r="I133" s="191"/>
      <c r="J133" s="297"/>
    </row>
    <row r="134" spans="2:10" x14ac:dyDescent="0.25">
      <c r="B134" s="189"/>
      <c r="C134" s="190"/>
      <c r="D134" s="190" t="s">
        <v>728</v>
      </c>
      <c r="E134" s="190" t="s">
        <v>718</v>
      </c>
      <c r="F134" s="190"/>
      <c r="G134" s="190"/>
      <c r="H134" s="190"/>
      <c r="I134" s="192"/>
      <c r="J134" s="297"/>
    </row>
    <row r="135" spans="2:10" x14ac:dyDescent="0.25">
      <c r="B135" s="187"/>
      <c r="C135" s="188"/>
      <c r="D135" s="188" t="s">
        <v>728</v>
      </c>
      <c r="E135" s="188" t="s">
        <v>718</v>
      </c>
      <c r="F135" s="188"/>
      <c r="G135" s="188"/>
      <c r="H135" s="188"/>
      <c r="I135" s="191"/>
      <c r="J135" s="297"/>
    </row>
    <row r="136" spans="2:10" x14ac:dyDescent="0.25">
      <c r="B136" s="189"/>
      <c r="C136" s="190"/>
      <c r="D136" s="190" t="s">
        <v>728</v>
      </c>
      <c r="E136" s="190" t="s">
        <v>718</v>
      </c>
      <c r="F136" s="190"/>
      <c r="G136" s="190"/>
      <c r="H136" s="190"/>
      <c r="I136" s="192"/>
      <c r="J136" s="297"/>
    </row>
    <row r="137" spans="2:10" x14ac:dyDescent="0.25">
      <c r="B137" s="187"/>
      <c r="C137" s="188"/>
      <c r="D137" s="188" t="s">
        <v>729</v>
      </c>
      <c r="E137" s="188" t="s">
        <v>718</v>
      </c>
      <c r="F137" s="188"/>
      <c r="G137" s="188"/>
      <c r="H137" s="188"/>
      <c r="I137" s="191"/>
      <c r="J137" s="297"/>
    </row>
    <row r="138" spans="2:10" x14ac:dyDescent="0.25">
      <c r="B138" s="189"/>
      <c r="C138" s="190"/>
      <c r="D138" s="190" t="s">
        <v>729</v>
      </c>
      <c r="E138" s="190" t="s">
        <v>718</v>
      </c>
      <c r="F138" s="190"/>
      <c r="G138" s="190"/>
      <c r="H138" s="190"/>
      <c r="I138" s="192"/>
      <c r="J138" s="297"/>
    </row>
    <row r="139" spans="2:10" x14ac:dyDescent="0.25">
      <c r="B139" s="187"/>
      <c r="C139" s="188"/>
      <c r="D139" s="188" t="s">
        <v>729</v>
      </c>
      <c r="E139" s="188" t="s">
        <v>718</v>
      </c>
      <c r="F139" s="188"/>
      <c r="G139" s="188"/>
      <c r="H139" s="188"/>
      <c r="I139" s="191"/>
      <c r="J139" s="297"/>
    </row>
    <row r="140" spans="2:10" x14ac:dyDescent="0.25">
      <c r="B140" s="189"/>
      <c r="C140" s="190"/>
      <c r="D140" s="190" t="s">
        <v>729</v>
      </c>
      <c r="E140" s="190" t="s">
        <v>718</v>
      </c>
      <c r="F140" s="190"/>
      <c r="G140" s="190"/>
      <c r="H140" s="190"/>
      <c r="I140" s="192"/>
      <c r="J140" s="297"/>
    </row>
    <row r="141" spans="2:10" x14ac:dyDescent="0.25">
      <c r="B141" s="187"/>
      <c r="C141" s="188"/>
      <c r="D141" s="188" t="s">
        <v>729</v>
      </c>
      <c r="E141" s="188" t="s">
        <v>718</v>
      </c>
      <c r="F141" s="188"/>
      <c r="G141" s="188"/>
      <c r="H141" s="188"/>
      <c r="I141" s="191"/>
      <c r="J141" s="297"/>
    </row>
    <row r="142" spans="2:10" x14ac:dyDescent="0.25">
      <c r="B142" s="189"/>
      <c r="C142" s="190"/>
      <c r="D142" s="190" t="s">
        <v>730</v>
      </c>
      <c r="E142" s="190" t="s">
        <v>718</v>
      </c>
      <c r="F142" s="190"/>
      <c r="G142" s="190"/>
      <c r="H142" s="190"/>
      <c r="I142" s="192"/>
      <c r="J142" s="297"/>
    </row>
    <row r="143" spans="2:10" x14ac:dyDescent="0.25">
      <c r="B143" s="187"/>
      <c r="C143" s="188"/>
      <c r="D143" s="188" t="s">
        <v>730</v>
      </c>
      <c r="E143" s="188" t="s">
        <v>718</v>
      </c>
      <c r="F143" s="188"/>
      <c r="G143" s="188"/>
      <c r="H143" s="188"/>
      <c r="I143" s="191"/>
      <c r="J143" s="297"/>
    </row>
    <row r="144" spans="2:10" x14ac:dyDescent="0.25">
      <c r="B144" s="189"/>
      <c r="C144" s="190"/>
      <c r="D144" s="190" t="s">
        <v>730</v>
      </c>
      <c r="E144" s="190" t="s">
        <v>718</v>
      </c>
      <c r="F144" s="190"/>
      <c r="G144" s="190"/>
      <c r="H144" s="190"/>
      <c r="I144" s="192"/>
      <c r="J144" s="297"/>
    </row>
    <row r="145" spans="2:12" x14ac:dyDescent="0.25">
      <c r="B145" s="187"/>
      <c r="C145" s="188"/>
      <c r="D145" s="188" t="s">
        <v>730</v>
      </c>
      <c r="E145" s="188" t="s">
        <v>718</v>
      </c>
      <c r="F145" s="188"/>
      <c r="G145" s="188"/>
      <c r="H145" s="188"/>
      <c r="I145" s="191"/>
      <c r="J145" s="297"/>
    </row>
    <row r="146" spans="2:12" x14ac:dyDescent="0.25">
      <c r="B146" s="189"/>
      <c r="C146" s="190"/>
      <c r="D146" s="190" t="s">
        <v>730</v>
      </c>
      <c r="E146" s="190" t="s">
        <v>718</v>
      </c>
      <c r="F146" s="190"/>
      <c r="G146" s="190"/>
      <c r="H146" s="190"/>
      <c r="I146" s="192"/>
      <c r="J146" s="297"/>
    </row>
    <row r="147" spans="2:12" x14ac:dyDescent="0.25">
      <c r="B147" s="187"/>
      <c r="C147" s="188"/>
      <c r="D147" s="188" t="s">
        <v>731</v>
      </c>
      <c r="E147" s="188" t="s">
        <v>718</v>
      </c>
      <c r="F147" s="188"/>
      <c r="G147" s="188"/>
      <c r="H147" s="188"/>
      <c r="I147" s="191"/>
      <c r="J147" s="297"/>
    </row>
    <row r="148" spans="2:12" x14ac:dyDescent="0.25">
      <c r="B148" s="189"/>
      <c r="C148" s="190"/>
      <c r="D148" s="190" t="s">
        <v>731</v>
      </c>
      <c r="E148" s="190" t="s">
        <v>718</v>
      </c>
      <c r="F148" s="190"/>
      <c r="G148" s="190"/>
      <c r="H148" s="190"/>
      <c r="I148" s="192"/>
      <c r="J148" s="297"/>
    </row>
    <row r="149" spans="2:12" x14ac:dyDescent="0.25">
      <c r="B149" s="187"/>
      <c r="C149" s="188"/>
      <c r="D149" s="188" t="s">
        <v>731</v>
      </c>
      <c r="E149" s="188" t="s">
        <v>718</v>
      </c>
      <c r="F149" s="188"/>
      <c r="G149" s="188"/>
      <c r="H149" s="188"/>
      <c r="I149" s="191"/>
      <c r="J149" s="297"/>
    </row>
    <row r="150" spans="2:12" x14ac:dyDescent="0.25">
      <c r="B150" s="189"/>
      <c r="C150" s="190"/>
      <c r="D150" s="190" t="s">
        <v>731</v>
      </c>
      <c r="E150" s="190" t="s">
        <v>718</v>
      </c>
      <c r="F150" s="190"/>
      <c r="G150" s="190"/>
      <c r="H150" s="190"/>
      <c r="I150" s="192"/>
      <c r="J150" s="297"/>
    </row>
    <row r="151" spans="2:12" ht="15.75" thickBot="1" x14ac:dyDescent="0.3">
      <c r="B151" s="187"/>
      <c r="C151" s="188"/>
      <c r="D151" s="188" t="s">
        <v>731</v>
      </c>
      <c r="E151" s="188" t="s">
        <v>718</v>
      </c>
      <c r="F151" s="188"/>
      <c r="G151" s="188"/>
      <c r="H151" s="188"/>
      <c r="I151" s="191"/>
      <c r="J151" s="297"/>
    </row>
    <row r="152" spans="2:12" ht="15.75" thickBot="1" x14ac:dyDescent="0.3">
      <c r="B152" s="301" t="s">
        <v>719</v>
      </c>
      <c r="C152" s="302"/>
      <c r="D152" s="302"/>
      <c r="E152" s="302"/>
      <c r="F152" s="302"/>
      <c r="G152" s="302"/>
      <c r="H152" s="303">
        <f>SUM(F27:F151)</f>
        <v>0</v>
      </c>
      <c r="I152" s="303">
        <f>SUM(G27:G151)</f>
        <v>0</v>
      </c>
      <c r="J152" s="303">
        <f>SUM(H27:H151)</f>
        <v>0</v>
      </c>
      <c r="K152" s="304">
        <f>SUM(I27:I151)</f>
        <v>0</v>
      </c>
      <c r="L152" s="297"/>
    </row>
  </sheetData>
  <mergeCells count="13">
    <mergeCell ref="D2:H2"/>
    <mergeCell ref="H25:I25"/>
    <mergeCell ref="B16:B22"/>
    <mergeCell ref="D16:E16"/>
    <mergeCell ref="D17:E17"/>
    <mergeCell ref="D18:E18"/>
    <mergeCell ref="D19:E19"/>
    <mergeCell ref="D20:E20"/>
    <mergeCell ref="D21:E21"/>
    <mergeCell ref="D22:E22"/>
    <mergeCell ref="B15:I15"/>
    <mergeCell ref="C16:C22"/>
    <mergeCell ref="F25:G25"/>
  </mergeCells>
  <phoneticPr fontId="35" type="noConversion"/>
  <pageMargins left="0.7" right="0.7" top="0.75" bottom="0.5" header="0.3" footer="0.3"/>
  <pageSetup orientation="portrait" r:id="rId1"/>
  <headerFooter>
    <oddHeader>&amp;C&amp;"Courier"&amp;12UNCLASSIFIED</oddHeader>
    <oddFooter>&amp;C&amp;"Courier"&amp;12UNCLASSIFIED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8"/>
    <pageSetUpPr autoPageBreaks="0" fitToPage="1"/>
  </sheetPr>
  <dimension ref="A1:T50"/>
  <sheetViews>
    <sheetView showGridLines="0" topLeftCell="C1" zoomScale="55" zoomScaleNormal="55" workbookViewId="0">
      <selection activeCell="U28" sqref="U28"/>
    </sheetView>
  </sheetViews>
  <sheetFormatPr defaultRowHeight="15" x14ac:dyDescent="0.25"/>
  <cols>
    <col min="1" max="1" width="3" customWidth="1"/>
    <col min="2" max="2" width="27.28515625" customWidth="1"/>
    <col min="3" max="3" width="17.28515625" customWidth="1"/>
    <col min="4" max="4" width="12.42578125" customWidth="1"/>
    <col min="5" max="5" width="22.42578125" customWidth="1"/>
    <col min="6" max="6" width="19.5703125" customWidth="1"/>
    <col min="7" max="8" width="18" customWidth="1"/>
    <col min="9" max="10" width="18" style="3" customWidth="1"/>
    <col min="11" max="11" width="16.28515625" style="3" customWidth="1"/>
    <col min="12" max="12" width="11.7109375" customWidth="1"/>
    <col min="13" max="13" width="11.140625" style="3" customWidth="1"/>
    <col min="14" max="14" width="13.140625" style="3" customWidth="1"/>
    <col min="15" max="15" width="14.7109375" style="3" customWidth="1"/>
    <col min="16" max="16" width="16.28515625" customWidth="1"/>
    <col min="17" max="17" width="13.85546875" customWidth="1"/>
    <col min="18" max="18" width="14.85546875" customWidth="1"/>
    <col min="19" max="19" width="16.85546875" bestFit="1" customWidth="1"/>
    <col min="20" max="20" width="23.5703125" customWidth="1"/>
  </cols>
  <sheetData>
    <row r="1" spans="4:15" x14ac:dyDescent="0.25">
      <c r="H1" s="3"/>
      <c r="K1"/>
      <c r="L1" s="3"/>
      <c r="O1"/>
    </row>
    <row r="2" spans="4:15" s="3" customFormat="1" ht="15.75" x14ac:dyDescent="0.25">
      <c r="D2" s="355" t="s">
        <v>600</v>
      </c>
      <c r="E2" s="355"/>
      <c r="F2" s="355"/>
      <c r="G2" s="355"/>
      <c r="H2" s="355"/>
    </row>
    <row r="3" spans="4:15" s="3" customFormat="1" x14ac:dyDescent="0.25"/>
    <row r="4" spans="4:15" s="3" customFormat="1" x14ac:dyDescent="0.25"/>
    <row r="5" spans="4:15" s="3" customFormat="1" ht="15.75" thickBot="1" x14ac:dyDescent="0.3"/>
    <row r="6" spans="4:15" ht="15.75" x14ac:dyDescent="0.25">
      <c r="G6" s="22"/>
      <c r="H6" s="36" t="s">
        <v>198</v>
      </c>
      <c r="I6" s="23"/>
      <c r="J6" s="23"/>
      <c r="K6" s="24"/>
      <c r="L6" s="25"/>
      <c r="O6"/>
    </row>
    <row r="7" spans="4:15" x14ac:dyDescent="0.25">
      <c r="F7" s="82"/>
      <c r="G7" s="26"/>
      <c r="H7" s="27" t="s">
        <v>191</v>
      </c>
      <c r="I7" s="28"/>
      <c r="J7" s="28"/>
      <c r="K7" s="29"/>
      <c r="L7" s="30"/>
      <c r="O7"/>
    </row>
    <row r="8" spans="4:15" x14ac:dyDescent="0.25">
      <c r="F8" s="82"/>
      <c r="G8" s="26"/>
      <c r="H8" s="27" t="s">
        <v>192</v>
      </c>
      <c r="I8" s="28"/>
      <c r="J8" s="28"/>
      <c r="K8" s="29"/>
      <c r="L8" s="30"/>
      <c r="O8"/>
    </row>
    <row r="9" spans="4:15" x14ac:dyDescent="0.25">
      <c r="F9" s="82"/>
      <c r="G9" s="26"/>
      <c r="H9" s="27" t="s">
        <v>193</v>
      </c>
      <c r="I9" s="28"/>
      <c r="J9" s="28"/>
      <c r="K9" s="29"/>
      <c r="L9" s="30"/>
      <c r="O9"/>
    </row>
    <row r="10" spans="4:15" x14ac:dyDescent="0.25">
      <c r="F10" s="82"/>
      <c r="G10" s="26"/>
      <c r="H10" s="27" t="s">
        <v>194</v>
      </c>
      <c r="I10" s="28"/>
      <c r="J10" s="28"/>
      <c r="K10" s="29"/>
      <c r="L10" s="30"/>
      <c r="O10"/>
    </row>
    <row r="11" spans="4:15" s="3" customFormat="1" x14ac:dyDescent="0.25">
      <c r="F11" s="82"/>
      <c r="G11" s="26"/>
      <c r="H11" s="27" t="s">
        <v>195</v>
      </c>
      <c r="I11" s="28"/>
      <c r="J11" s="28"/>
      <c r="K11" s="29"/>
      <c r="L11" s="30"/>
    </row>
    <row r="12" spans="4:15" x14ac:dyDescent="0.25">
      <c r="F12" s="82"/>
      <c r="G12" s="26"/>
      <c r="H12" s="27" t="s">
        <v>196</v>
      </c>
      <c r="I12" s="28"/>
      <c r="J12" s="28"/>
      <c r="K12" s="29"/>
      <c r="L12" s="30"/>
      <c r="O12"/>
    </row>
    <row r="13" spans="4:15" s="3" customFormat="1" ht="15.75" thickBot="1" x14ac:dyDescent="0.3">
      <c r="F13" s="82"/>
      <c r="G13" s="31"/>
      <c r="H13" s="32" t="s">
        <v>197</v>
      </c>
      <c r="I13" s="33"/>
      <c r="J13" s="33"/>
      <c r="K13" s="34"/>
      <c r="L13" s="35"/>
    </row>
    <row r="14" spans="4:15" s="3" customFormat="1" x14ac:dyDescent="0.25">
      <c r="F14" s="82"/>
      <c r="G14" s="1"/>
      <c r="H14" s="1"/>
      <c r="I14" s="1"/>
      <c r="J14" s="1"/>
      <c r="K14" s="1"/>
      <c r="L14" s="1"/>
    </row>
    <row r="15" spans="4:15" s="3" customFormat="1" x14ac:dyDescent="0.25"/>
    <row r="16" spans="4:15" x14ac:dyDescent="0.25">
      <c r="G16" s="1"/>
      <c r="H16" s="1"/>
      <c r="I16" s="1"/>
      <c r="J16" s="1"/>
      <c r="K16" s="1"/>
      <c r="L16" s="1"/>
      <c r="O16"/>
    </row>
    <row r="17" spans="1:20" s="3" customFormat="1" x14ac:dyDescent="0.25"/>
    <row r="18" spans="1:20" s="3" customFormat="1" x14ac:dyDescent="0.25"/>
    <row r="19" spans="1:20" x14ac:dyDescent="0.25">
      <c r="H19" s="3"/>
      <c r="K19"/>
      <c r="M19"/>
      <c r="O19"/>
    </row>
    <row r="20" spans="1:20" s="3" customFormat="1" x14ac:dyDescent="0.25"/>
    <row r="21" spans="1:20" s="3" customFormat="1" x14ac:dyDescent="0.25"/>
    <row r="22" spans="1:20" s="110" customFormat="1" ht="41.45" customHeight="1" x14ac:dyDescent="0.25">
      <c r="B22" s="7" t="s">
        <v>30</v>
      </c>
      <c r="C22" s="5" t="s">
        <v>31</v>
      </c>
      <c r="D22" s="5" t="s">
        <v>34</v>
      </c>
      <c r="E22" s="5" t="s">
        <v>35</v>
      </c>
      <c r="F22" s="5" t="s">
        <v>469</v>
      </c>
      <c r="G22" s="5" t="s">
        <v>706</v>
      </c>
      <c r="H22" s="5" t="s">
        <v>751</v>
      </c>
      <c r="I22" s="5" t="s">
        <v>752</v>
      </c>
      <c r="J22" s="5" t="s">
        <v>753</v>
      </c>
      <c r="K22" s="5" t="s">
        <v>754</v>
      </c>
      <c r="L22" s="5" t="s">
        <v>755</v>
      </c>
      <c r="M22" s="5" t="s">
        <v>756</v>
      </c>
      <c r="N22" s="5" t="s">
        <v>757</v>
      </c>
      <c r="O22" s="5" t="s">
        <v>758</v>
      </c>
      <c r="P22" s="5" t="s">
        <v>759</v>
      </c>
      <c r="Q22" s="5" t="s">
        <v>760</v>
      </c>
      <c r="R22" s="83" t="s">
        <v>761</v>
      </c>
      <c r="S22" s="83" t="s">
        <v>762</v>
      </c>
      <c r="T22" s="6" t="s">
        <v>670</v>
      </c>
    </row>
    <row r="23" spans="1:20" x14ac:dyDescent="0.25">
      <c r="B23" s="236" cm="1">
        <f t="array" ref="B23">Table40[a. Program]</f>
        <v>0</v>
      </c>
      <c r="C23" s="237">
        <f>' 3 Contract Info'!$B$22</f>
        <v>0</v>
      </c>
      <c r="D23" s="193"/>
      <c r="E23" s="193"/>
      <c r="F23" s="193"/>
      <c r="G23" s="335">
        <f>' 4 WBS'!$C$23</f>
        <v>0</v>
      </c>
      <c r="H23" s="194"/>
      <c r="I23" s="194"/>
      <c r="J23" s="194"/>
      <c r="K23" s="195"/>
      <c r="L23" s="193"/>
      <c r="M23" s="193"/>
      <c r="N23" s="196"/>
      <c r="O23" s="197"/>
      <c r="P23" s="198"/>
      <c r="Q23" s="199"/>
      <c r="R23" s="199"/>
      <c r="S23" s="199"/>
      <c r="T23" s="200"/>
    </row>
    <row r="24" spans="1:20" x14ac:dyDescent="0.25">
      <c r="B24" s="236" cm="1">
        <f t="array" ref="B24">Table40[a. Program]</f>
        <v>0</v>
      </c>
      <c r="C24" s="238">
        <f>' 3 Contract Info'!$B$22</f>
        <v>0</v>
      </c>
      <c r="D24" s="201"/>
      <c r="E24" s="201"/>
      <c r="F24" s="201"/>
      <c r="G24" s="335">
        <f>' 4 WBS'!$C$23</f>
        <v>0</v>
      </c>
      <c r="H24" s="176"/>
      <c r="I24" s="176"/>
      <c r="J24" s="176"/>
      <c r="K24" s="176"/>
      <c r="L24" s="201"/>
      <c r="M24" s="201"/>
      <c r="N24" s="177"/>
      <c r="O24" s="12"/>
      <c r="P24" s="333"/>
      <c r="Q24" s="11"/>
      <c r="R24" s="12"/>
      <c r="S24" s="12"/>
      <c r="T24" s="202"/>
    </row>
    <row r="25" spans="1:20" x14ac:dyDescent="0.25">
      <c r="B25" s="236" cm="1">
        <f t="array" ref="B25">Table40[a. Program]</f>
        <v>0</v>
      </c>
      <c r="C25" s="238">
        <f>' 3 Contract Info'!$B$22</f>
        <v>0</v>
      </c>
      <c r="D25" s="201"/>
      <c r="E25" s="201"/>
      <c r="F25" s="201"/>
      <c r="G25" s="335">
        <f>' 4 WBS'!$C$23</f>
        <v>0</v>
      </c>
      <c r="H25" s="176"/>
      <c r="I25" s="176"/>
      <c r="J25" s="176"/>
      <c r="K25" s="176"/>
      <c r="L25" s="201"/>
      <c r="M25" s="201"/>
      <c r="N25" s="177"/>
      <c r="O25" s="12"/>
      <c r="P25" s="333"/>
      <c r="Q25" s="12"/>
      <c r="R25" s="12"/>
      <c r="S25" s="12"/>
      <c r="T25" s="202"/>
    </row>
    <row r="26" spans="1:20" x14ac:dyDescent="0.25">
      <c r="A26" s="4"/>
      <c r="B26" s="236" cm="1">
        <f t="array" ref="B26">Table40[a. Program]</f>
        <v>0</v>
      </c>
      <c r="C26" s="238">
        <f>' 3 Contract Info'!$B$22</f>
        <v>0</v>
      </c>
      <c r="D26" s="201"/>
      <c r="E26" s="201"/>
      <c r="F26" s="201"/>
      <c r="G26" s="335">
        <f>' 4 WBS'!$C$23</f>
        <v>0</v>
      </c>
      <c r="H26" s="176"/>
      <c r="I26" s="176"/>
      <c r="J26" s="176"/>
      <c r="K26" s="176"/>
      <c r="L26" s="201"/>
      <c r="M26" s="201"/>
      <c r="N26" s="177"/>
      <c r="O26" s="12"/>
      <c r="P26" s="333"/>
      <c r="Q26" s="12"/>
      <c r="R26" s="12"/>
      <c r="S26" s="12"/>
      <c r="T26" s="202"/>
    </row>
    <row r="27" spans="1:20" x14ac:dyDescent="0.25">
      <c r="A27" s="4"/>
      <c r="B27" s="236" cm="1">
        <f t="array" ref="B27">Table40[a. Program]</f>
        <v>0</v>
      </c>
      <c r="C27" s="238">
        <f>' 3 Contract Info'!$B$22</f>
        <v>0</v>
      </c>
      <c r="D27" s="201"/>
      <c r="E27" s="201"/>
      <c r="F27" s="201"/>
      <c r="G27" s="335">
        <f>' 4 WBS'!$C$23</f>
        <v>0</v>
      </c>
      <c r="H27" s="176"/>
      <c r="I27" s="176"/>
      <c r="J27" s="176"/>
      <c r="K27" s="176"/>
      <c r="L27" s="201"/>
      <c r="M27" s="201"/>
      <c r="N27" s="177"/>
      <c r="O27" s="12"/>
      <c r="P27" s="333"/>
      <c r="Q27" s="12"/>
      <c r="R27" s="12"/>
      <c r="S27" s="12"/>
      <c r="T27" s="202"/>
    </row>
    <row r="28" spans="1:20" x14ac:dyDescent="0.25">
      <c r="A28" s="4"/>
      <c r="B28" s="236" cm="1">
        <f t="array" ref="B28">Table40[a. Program]</f>
        <v>0</v>
      </c>
      <c r="C28" s="238">
        <f>' 3 Contract Info'!$B$22</f>
        <v>0</v>
      </c>
      <c r="D28" s="201"/>
      <c r="E28" s="201"/>
      <c r="F28" s="201"/>
      <c r="G28" s="335">
        <f>' 4 WBS'!$C$23</f>
        <v>0</v>
      </c>
      <c r="H28" s="176"/>
      <c r="I28" s="176"/>
      <c r="J28" s="176"/>
      <c r="K28" s="176"/>
      <c r="L28" s="201"/>
      <c r="M28" s="201"/>
      <c r="N28" s="177"/>
      <c r="O28" s="12"/>
      <c r="P28" s="333"/>
      <c r="Q28" s="12"/>
      <c r="R28" s="12"/>
      <c r="S28" s="12"/>
      <c r="T28" s="202"/>
    </row>
    <row r="29" spans="1:20" x14ac:dyDescent="0.25">
      <c r="A29" s="4"/>
      <c r="B29" s="236" cm="1">
        <f t="array" ref="B29">Table40[a. Program]</f>
        <v>0</v>
      </c>
      <c r="C29" s="238">
        <f>' 3 Contract Info'!$B$22</f>
        <v>0</v>
      </c>
      <c r="D29" s="201"/>
      <c r="E29" s="201"/>
      <c r="F29" s="201"/>
      <c r="G29" s="335">
        <f>' 4 WBS'!$C$23</f>
        <v>0</v>
      </c>
      <c r="H29" s="176"/>
      <c r="I29" s="176"/>
      <c r="J29" s="176"/>
      <c r="K29" s="176"/>
      <c r="L29" s="201"/>
      <c r="M29" s="201"/>
      <c r="N29" s="177"/>
      <c r="O29" s="11"/>
      <c r="P29" s="201"/>
      <c r="Q29" s="11"/>
      <c r="R29" s="12"/>
      <c r="S29" s="12"/>
      <c r="T29" s="202"/>
    </row>
    <row r="30" spans="1:20" x14ac:dyDescent="0.25">
      <c r="A30" s="4"/>
      <c r="B30" s="236" cm="1">
        <f t="array" ref="B30">Table40[a. Program]</f>
        <v>0</v>
      </c>
      <c r="C30" s="238">
        <f>' 3 Contract Info'!$B$22</f>
        <v>0</v>
      </c>
      <c r="D30" s="201"/>
      <c r="E30" s="201"/>
      <c r="F30" s="201"/>
      <c r="G30" s="335">
        <f>' 4 WBS'!$C$23</f>
        <v>0</v>
      </c>
      <c r="H30" s="176"/>
      <c r="I30" s="176"/>
      <c r="J30" s="176"/>
      <c r="K30" s="176"/>
      <c r="L30" s="201"/>
      <c r="M30" s="201"/>
      <c r="N30" s="177"/>
      <c r="O30" s="11"/>
      <c r="P30" s="201"/>
      <c r="Q30" s="11"/>
      <c r="R30" s="12"/>
      <c r="S30" s="12"/>
      <c r="T30" s="202"/>
    </row>
    <row r="31" spans="1:20" x14ac:dyDescent="0.25">
      <c r="A31" s="4"/>
      <c r="B31" s="236" cm="1">
        <f t="array" ref="B31">Table40[a. Program]</f>
        <v>0</v>
      </c>
      <c r="C31" s="238">
        <f>' 3 Contract Info'!$B$22</f>
        <v>0</v>
      </c>
      <c r="D31" s="201"/>
      <c r="E31" s="201"/>
      <c r="F31" s="201"/>
      <c r="G31" s="335">
        <f>' 4 WBS'!$C$23</f>
        <v>0</v>
      </c>
      <c r="H31" s="176"/>
      <c r="I31" s="176"/>
      <c r="J31" s="176"/>
      <c r="K31" s="176"/>
      <c r="L31" s="201"/>
      <c r="M31" s="201"/>
      <c r="N31" s="177"/>
      <c r="O31" s="11"/>
      <c r="P31" s="201"/>
      <c r="Q31" s="11"/>
      <c r="R31" s="12"/>
      <c r="S31" s="12"/>
      <c r="T31" s="202"/>
    </row>
    <row r="32" spans="1:20" x14ac:dyDescent="0.25">
      <c r="A32" s="4"/>
      <c r="B32" s="236" cm="1">
        <f t="array" ref="B32">Table40[a. Program]</f>
        <v>0</v>
      </c>
      <c r="C32" s="238">
        <f>' 3 Contract Info'!$B$22</f>
        <v>0</v>
      </c>
      <c r="D32" s="201"/>
      <c r="E32" s="201"/>
      <c r="F32" s="201"/>
      <c r="G32" s="335">
        <f>' 4 WBS'!$C$23</f>
        <v>0</v>
      </c>
      <c r="H32" s="176"/>
      <c r="I32" s="176"/>
      <c r="J32" s="176"/>
      <c r="K32" s="176"/>
      <c r="L32" s="201"/>
      <c r="M32" s="201"/>
      <c r="N32" s="177"/>
      <c r="O32" s="11"/>
      <c r="P32" s="201"/>
      <c r="Q32" s="11"/>
      <c r="R32" s="12"/>
      <c r="S32" s="12"/>
      <c r="T32" s="202"/>
    </row>
    <row r="33" spans="1:20" x14ac:dyDescent="0.25">
      <c r="A33" s="4"/>
      <c r="B33" s="236" cm="1">
        <f t="array" ref="B33">Table40[a. Program]</f>
        <v>0</v>
      </c>
      <c r="C33" s="238">
        <f>' 3 Contract Info'!$B$22</f>
        <v>0</v>
      </c>
      <c r="D33" s="201"/>
      <c r="E33" s="201"/>
      <c r="F33" s="201"/>
      <c r="G33" s="335">
        <f>' 4 WBS'!$C$23</f>
        <v>0</v>
      </c>
      <c r="H33" s="176"/>
      <c r="I33" s="176"/>
      <c r="J33" s="176"/>
      <c r="K33" s="176"/>
      <c r="L33" s="201"/>
      <c r="M33" s="201"/>
      <c r="N33" s="177"/>
      <c r="O33" s="11"/>
      <c r="P33" s="201"/>
      <c r="Q33" s="11"/>
      <c r="R33" s="12"/>
      <c r="S33" s="12"/>
      <c r="T33" s="202"/>
    </row>
    <row r="34" spans="1:20" x14ac:dyDescent="0.25">
      <c r="A34" s="4"/>
      <c r="B34" s="236" cm="1">
        <f t="array" ref="B34">Table40[a. Program]</f>
        <v>0</v>
      </c>
      <c r="C34" s="238">
        <f>' 3 Contract Info'!$B$22</f>
        <v>0</v>
      </c>
      <c r="D34" s="201"/>
      <c r="E34" s="201"/>
      <c r="F34" s="201"/>
      <c r="G34" s="335">
        <f>' 4 WBS'!$C$23</f>
        <v>0</v>
      </c>
      <c r="H34" s="176"/>
      <c r="I34" s="176"/>
      <c r="J34" s="176"/>
      <c r="K34" s="176"/>
      <c r="L34" s="201"/>
      <c r="M34" s="201"/>
      <c r="N34" s="177"/>
      <c r="O34" s="11"/>
      <c r="P34" s="201"/>
      <c r="Q34" s="11"/>
      <c r="R34" s="12"/>
      <c r="S34" s="12"/>
      <c r="T34" s="202"/>
    </row>
    <row r="35" spans="1:20" x14ac:dyDescent="0.25">
      <c r="A35" s="4"/>
      <c r="B35" s="236" cm="1">
        <f t="array" ref="B35">Table40[a. Program]</f>
        <v>0</v>
      </c>
      <c r="C35" s="238">
        <f>' 3 Contract Info'!$B$22</f>
        <v>0</v>
      </c>
      <c r="D35" s="201"/>
      <c r="E35" s="201"/>
      <c r="F35" s="201"/>
      <c r="G35" s="335">
        <f>' 4 WBS'!$C$23</f>
        <v>0</v>
      </c>
      <c r="H35" s="176"/>
      <c r="I35" s="176"/>
      <c r="J35" s="176"/>
      <c r="K35" s="176"/>
      <c r="L35" s="201"/>
      <c r="M35" s="201"/>
      <c r="N35" s="177"/>
      <c r="O35" s="11"/>
      <c r="P35" s="201"/>
      <c r="Q35" s="11"/>
      <c r="R35" s="12"/>
      <c r="S35" s="12"/>
      <c r="T35" s="202"/>
    </row>
    <row r="36" spans="1:20" x14ac:dyDescent="0.25">
      <c r="A36" s="4"/>
      <c r="B36" s="236" cm="1">
        <f t="array" ref="B36">Table40[a. Program]</f>
        <v>0</v>
      </c>
      <c r="C36" s="238">
        <f>' 3 Contract Info'!$B$22</f>
        <v>0</v>
      </c>
      <c r="D36" s="201"/>
      <c r="E36" s="201"/>
      <c r="F36" s="201"/>
      <c r="G36" s="335">
        <f>' 4 WBS'!$C$23</f>
        <v>0</v>
      </c>
      <c r="H36" s="176"/>
      <c r="I36" s="176"/>
      <c r="J36" s="176"/>
      <c r="K36" s="176"/>
      <c r="L36" s="201"/>
      <c r="M36" s="201"/>
      <c r="N36" s="177"/>
      <c r="O36" s="11"/>
      <c r="P36" s="201"/>
      <c r="Q36" s="11"/>
      <c r="R36" s="12"/>
      <c r="S36" s="12"/>
      <c r="T36" s="202"/>
    </row>
    <row r="37" spans="1:20" x14ac:dyDescent="0.25">
      <c r="A37" s="4"/>
      <c r="B37" s="236" cm="1">
        <f t="array" ref="B37">Table40[a. Program]</f>
        <v>0</v>
      </c>
      <c r="C37" s="238">
        <f>' 3 Contract Info'!$B$22</f>
        <v>0</v>
      </c>
      <c r="D37" s="201"/>
      <c r="E37" s="201"/>
      <c r="F37" s="201"/>
      <c r="G37" s="335">
        <f>' 4 WBS'!$C$23</f>
        <v>0</v>
      </c>
      <c r="H37" s="176"/>
      <c r="I37" s="176"/>
      <c r="J37" s="176"/>
      <c r="K37" s="176"/>
      <c r="L37" s="201"/>
      <c r="M37" s="201"/>
      <c r="N37" s="177"/>
      <c r="O37" s="11"/>
      <c r="P37" s="201"/>
      <c r="Q37" s="11"/>
      <c r="R37" s="12"/>
      <c r="S37" s="12"/>
      <c r="T37" s="202"/>
    </row>
    <row r="38" spans="1:20" x14ac:dyDescent="0.25">
      <c r="A38" s="4"/>
      <c r="B38" s="236" cm="1">
        <f t="array" ref="B38">Table40[a. Program]</f>
        <v>0</v>
      </c>
      <c r="C38" s="238">
        <f>' 3 Contract Info'!$B$22</f>
        <v>0</v>
      </c>
      <c r="D38" s="201"/>
      <c r="E38" s="201"/>
      <c r="F38" s="201"/>
      <c r="G38" s="335">
        <f>' 4 WBS'!$C$23</f>
        <v>0</v>
      </c>
      <c r="H38" s="176"/>
      <c r="I38" s="176"/>
      <c r="J38" s="176"/>
      <c r="K38" s="176"/>
      <c r="L38" s="201"/>
      <c r="M38" s="201"/>
      <c r="N38" s="177"/>
      <c r="O38" s="11"/>
      <c r="P38" s="201"/>
      <c r="Q38" s="11"/>
      <c r="R38" s="12"/>
      <c r="S38" s="12"/>
      <c r="T38" s="202"/>
    </row>
    <row r="39" spans="1:20" x14ac:dyDescent="0.25">
      <c r="A39" s="4"/>
      <c r="B39" s="236" cm="1">
        <f t="array" ref="B39">Table40[a. Program]</f>
        <v>0</v>
      </c>
      <c r="C39" s="238">
        <f>' 3 Contract Info'!$B$22</f>
        <v>0</v>
      </c>
      <c r="D39" s="201"/>
      <c r="E39" s="201"/>
      <c r="F39" s="201"/>
      <c r="G39" s="335">
        <f>' 4 WBS'!$C$23</f>
        <v>0</v>
      </c>
      <c r="H39" s="176"/>
      <c r="I39" s="176"/>
      <c r="J39" s="176"/>
      <c r="K39" s="176"/>
      <c r="L39" s="201"/>
      <c r="M39" s="201"/>
      <c r="N39" s="177"/>
      <c r="O39" s="11"/>
      <c r="P39" s="201"/>
      <c r="Q39" s="11"/>
      <c r="R39" s="12"/>
      <c r="S39" s="12"/>
      <c r="T39" s="202"/>
    </row>
    <row r="40" spans="1:20" x14ac:dyDescent="0.25">
      <c r="A40" s="4"/>
      <c r="B40" s="236" cm="1">
        <f t="array" ref="B40">Table40[a. Program]</f>
        <v>0</v>
      </c>
      <c r="C40" s="238">
        <f>' 3 Contract Info'!$B$22</f>
        <v>0</v>
      </c>
      <c r="D40" s="201"/>
      <c r="E40" s="201"/>
      <c r="F40" s="201"/>
      <c r="G40" s="335">
        <f>' 4 WBS'!$C$23</f>
        <v>0</v>
      </c>
      <c r="H40" s="176"/>
      <c r="I40" s="176"/>
      <c r="J40" s="176"/>
      <c r="K40" s="176"/>
      <c r="L40" s="201"/>
      <c r="M40" s="201"/>
      <c r="N40" s="177"/>
      <c r="O40" s="11"/>
      <c r="P40" s="201"/>
      <c r="Q40" s="11"/>
      <c r="R40" s="12"/>
      <c r="S40" s="12"/>
      <c r="T40" s="202"/>
    </row>
    <row r="41" spans="1:20" x14ac:dyDescent="0.25">
      <c r="A41" s="4"/>
      <c r="B41" s="236" cm="1">
        <f t="array" ref="B41">Table40[a. Program]</f>
        <v>0</v>
      </c>
      <c r="C41" s="238">
        <f>' 3 Contract Info'!$B$22</f>
        <v>0</v>
      </c>
      <c r="D41" s="201"/>
      <c r="E41" s="201"/>
      <c r="F41" s="201"/>
      <c r="G41" s="335">
        <f>' 4 WBS'!$C$23</f>
        <v>0</v>
      </c>
      <c r="H41" s="176"/>
      <c r="I41" s="176"/>
      <c r="J41" s="176"/>
      <c r="K41" s="176"/>
      <c r="L41" s="201"/>
      <c r="M41" s="201"/>
      <c r="N41" s="177"/>
      <c r="O41" s="11"/>
      <c r="P41" s="201"/>
      <c r="Q41" s="11"/>
      <c r="R41" s="12"/>
      <c r="S41" s="12"/>
      <c r="T41" s="202"/>
    </row>
    <row r="42" spans="1:20" x14ac:dyDescent="0.25">
      <c r="A42" s="4"/>
      <c r="B42" s="236" cm="1">
        <f t="array" ref="B42">Table40[a. Program]</f>
        <v>0</v>
      </c>
      <c r="C42" s="238">
        <f>' 3 Contract Info'!$B$22</f>
        <v>0</v>
      </c>
      <c r="D42" s="201"/>
      <c r="E42" s="201"/>
      <c r="F42" s="201"/>
      <c r="G42" s="335">
        <f>' 4 WBS'!$C$23</f>
        <v>0</v>
      </c>
      <c r="H42" s="176"/>
      <c r="I42" s="176"/>
      <c r="J42" s="176"/>
      <c r="K42" s="176"/>
      <c r="L42" s="201"/>
      <c r="M42" s="201"/>
      <c r="N42" s="177"/>
      <c r="O42" s="11"/>
      <c r="P42" s="201"/>
      <c r="Q42" s="11"/>
      <c r="R42" s="12"/>
      <c r="S42" s="12"/>
      <c r="T42" s="202"/>
    </row>
    <row r="43" spans="1:20" x14ac:dyDescent="0.25">
      <c r="A43" s="4"/>
      <c r="B43" s="236" cm="1">
        <f t="array" ref="B43">Table40[a. Program]</f>
        <v>0</v>
      </c>
      <c r="C43" s="238">
        <f>' 3 Contract Info'!$B$22</f>
        <v>0</v>
      </c>
      <c r="D43" s="201"/>
      <c r="E43" s="201"/>
      <c r="F43" s="201"/>
      <c r="G43" s="335">
        <f>' 4 WBS'!$C$23</f>
        <v>0</v>
      </c>
      <c r="H43" s="176"/>
      <c r="I43" s="176"/>
      <c r="J43" s="176"/>
      <c r="K43" s="176"/>
      <c r="L43" s="201"/>
      <c r="M43" s="201"/>
      <c r="N43" s="177"/>
      <c r="O43" s="11"/>
      <c r="P43" s="201"/>
      <c r="Q43" s="11"/>
      <c r="R43" s="12"/>
      <c r="S43" s="12"/>
      <c r="T43" s="202"/>
    </row>
    <row r="44" spans="1:20" x14ac:dyDescent="0.25">
      <c r="A44" s="4"/>
      <c r="B44" s="236" cm="1">
        <f t="array" ref="B44">Table40[a. Program]</f>
        <v>0</v>
      </c>
      <c r="C44" s="238">
        <f>' 3 Contract Info'!$B$22</f>
        <v>0</v>
      </c>
      <c r="D44" s="201"/>
      <c r="E44" s="201"/>
      <c r="F44" s="201"/>
      <c r="G44" s="335">
        <f>' 4 WBS'!$C$23</f>
        <v>0</v>
      </c>
      <c r="H44" s="176"/>
      <c r="I44" s="176"/>
      <c r="J44" s="176"/>
      <c r="K44" s="176"/>
      <c r="L44" s="201"/>
      <c r="M44" s="201"/>
      <c r="N44" s="177"/>
      <c r="O44" s="11"/>
      <c r="P44" s="201"/>
      <c r="Q44" s="11"/>
      <c r="R44" s="12"/>
      <c r="S44" s="12"/>
      <c r="T44" s="202"/>
    </row>
    <row r="45" spans="1:20" x14ac:dyDescent="0.25">
      <c r="A45" s="4"/>
      <c r="B45" s="236" cm="1">
        <f t="array" ref="B45">Table40[a. Program]</f>
        <v>0</v>
      </c>
      <c r="C45" s="238">
        <f>' 3 Contract Info'!$B$22</f>
        <v>0</v>
      </c>
      <c r="D45" s="201"/>
      <c r="E45" s="201"/>
      <c r="F45" s="201"/>
      <c r="G45" s="335">
        <f>' 4 WBS'!$C$23</f>
        <v>0</v>
      </c>
      <c r="H45" s="176"/>
      <c r="I45" s="176"/>
      <c r="J45" s="176"/>
      <c r="K45" s="176"/>
      <c r="L45" s="201"/>
      <c r="M45" s="201"/>
      <c r="N45" s="177"/>
      <c r="O45" s="11"/>
      <c r="P45" s="201"/>
      <c r="Q45" s="11"/>
      <c r="R45" s="12"/>
      <c r="S45" s="12"/>
      <c r="T45" s="202"/>
    </row>
    <row r="46" spans="1:20" x14ac:dyDescent="0.25">
      <c r="A46" s="4"/>
      <c r="B46" s="236" cm="1">
        <f t="array" ref="B46">Table40[a. Program]</f>
        <v>0</v>
      </c>
      <c r="C46" s="238">
        <f>' 3 Contract Info'!$B$22</f>
        <v>0</v>
      </c>
      <c r="D46" s="201"/>
      <c r="E46" s="201"/>
      <c r="F46" s="201"/>
      <c r="G46" s="335">
        <f>' 4 WBS'!$C$23</f>
        <v>0</v>
      </c>
      <c r="H46" s="176"/>
      <c r="I46" s="176"/>
      <c r="J46" s="176"/>
      <c r="K46" s="176"/>
      <c r="L46" s="201"/>
      <c r="M46" s="201"/>
      <c r="N46" s="177"/>
      <c r="O46" s="11"/>
      <c r="P46" s="201"/>
      <c r="Q46" s="11"/>
      <c r="R46" s="12"/>
      <c r="S46" s="12"/>
      <c r="T46" s="202"/>
    </row>
    <row r="47" spans="1:20" x14ac:dyDescent="0.25">
      <c r="A47" s="4"/>
      <c r="B47" s="236" cm="1">
        <f t="array" ref="B47">Table40[a. Program]</f>
        <v>0</v>
      </c>
      <c r="C47" s="238">
        <f>' 3 Contract Info'!$B$22</f>
        <v>0</v>
      </c>
      <c r="D47" s="201"/>
      <c r="E47" s="201"/>
      <c r="F47" s="201"/>
      <c r="G47" s="335">
        <f>' 4 WBS'!$C$23</f>
        <v>0</v>
      </c>
      <c r="H47" s="176"/>
      <c r="I47" s="176"/>
      <c r="J47" s="176"/>
      <c r="K47" s="176"/>
      <c r="L47" s="201"/>
      <c r="M47" s="201"/>
      <c r="N47" s="177"/>
      <c r="O47" s="11"/>
      <c r="P47" s="201"/>
      <c r="Q47" s="11"/>
      <c r="R47" s="12"/>
      <c r="S47" s="12"/>
      <c r="T47" s="202"/>
    </row>
    <row r="48" spans="1:20" x14ac:dyDescent="0.25">
      <c r="A48" s="4"/>
      <c r="B48" s="236" cm="1">
        <f t="array" ref="B48">Table40[a. Program]</f>
        <v>0</v>
      </c>
      <c r="C48" s="238">
        <f>' 3 Contract Info'!$B$22</f>
        <v>0</v>
      </c>
      <c r="D48" s="201"/>
      <c r="E48" s="201"/>
      <c r="F48" s="201"/>
      <c r="G48" s="335">
        <f>' 4 WBS'!$C$23</f>
        <v>0</v>
      </c>
      <c r="H48" s="176"/>
      <c r="I48" s="176"/>
      <c r="J48" s="176"/>
      <c r="K48" s="176"/>
      <c r="L48" s="201"/>
      <c r="M48" s="201"/>
      <c r="N48" s="177"/>
      <c r="O48" s="11"/>
      <c r="P48" s="201"/>
      <c r="Q48" s="11"/>
      <c r="R48" s="12"/>
      <c r="S48" s="12"/>
      <c r="T48" s="202"/>
    </row>
    <row r="49" spans="1:20" x14ac:dyDescent="0.25">
      <c r="A49" s="4"/>
      <c r="B49" s="236" cm="1">
        <f t="array" ref="B49">Table40[a. Program]</f>
        <v>0</v>
      </c>
      <c r="C49" s="238">
        <f>' 3 Contract Info'!$B$22</f>
        <v>0</v>
      </c>
      <c r="D49" s="201"/>
      <c r="E49" s="201"/>
      <c r="F49" s="201"/>
      <c r="G49" s="335">
        <f>' 4 WBS'!$C$23</f>
        <v>0</v>
      </c>
      <c r="H49" s="176"/>
      <c r="I49" s="176"/>
      <c r="J49" s="176"/>
      <c r="K49" s="176"/>
      <c r="L49" s="201"/>
      <c r="M49" s="201"/>
      <c r="N49" s="177"/>
      <c r="O49" s="11"/>
      <c r="P49" s="201"/>
      <c r="Q49" s="11"/>
      <c r="R49" s="12"/>
      <c r="S49" s="12"/>
      <c r="T49" s="202"/>
    </row>
    <row r="50" spans="1:20" x14ac:dyDescent="0.25">
      <c r="A50" s="4"/>
      <c r="B50" s="239" cm="1">
        <f t="array" ref="B50">Table40[a. Program]</f>
        <v>0</v>
      </c>
      <c r="C50" s="240">
        <f>' 3 Contract Info'!$B$22</f>
        <v>0</v>
      </c>
      <c r="D50" s="203"/>
      <c r="E50" s="203"/>
      <c r="F50" s="203"/>
      <c r="G50" s="336">
        <f>' 4 WBS'!$C$23</f>
        <v>0</v>
      </c>
      <c r="H50" s="181"/>
      <c r="I50" s="181"/>
      <c r="J50" s="181"/>
      <c r="K50" s="181"/>
      <c r="L50" s="203"/>
      <c r="M50" s="203"/>
      <c r="N50" s="182"/>
      <c r="O50" s="204"/>
      <c r="P50" s="203"/>
      <c r="Q50" s="204"/>
      <c r="R50" s="205"/>
      <c r="S50" s="205"/>
      <c r="T50" s="206"/>
    </row>
  </sheetData>
  <mergeCells count="1">
    <mergeCell ref="D2:H2"/>
  </mergeCells>
  <dataValidations count="1">
    <dataValidation type="list" allowBlank="1" showInputMessage="1" showErrorMessage="1" sqref="N23:N50" xr:uid="{0675D29A-CB4B-447A-8E3F-85AEA6CF22F2}">
      <formula1>Activity</formula1>
    </dataValidation>
  </dataValidations>
  <printOptions headings="1" gridLines="1"/>
  <pageMargins left="0.25" right="0.25" top="0.75" bottom="0.5" header="0.3" footer="0.3"/>
  <pageSetup orientation="landscape" cellComments="atEnd" r:id="rId1"/>
  <headerFooter>
    <oddHeader>&amp;C&amp;"Courier"&amp;12UNCLASSIFIED</oddHeader>
    <oddFooter>&amp;C&amp;"Courier"&amp;12UNCLASSIFIED</oddFooter>
  </headerFooter>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F6A9-5B0E-4E7F-9BC7-489A49050DFE}">
  <sheetPr>
    <tabColor theme="8"/>
  </sheetPr>
  <dimension ref="B2:X60"/>
  <sheetViews>
    <sheetView showGridLines="0" topLeftCell="O18" zoomScale="70" zoomScaleNormal="70" workbookViewId="0">
      <selection activeCell="Y38" sqref="Y38"/>
    </sheetView>
  </sheetViews>
  <sheetFormatPr defaultColWidth="8.7109375" defaultRowHeight="15" x14ac:dyDescent="0.25"/>
  <cols>
    <col min="1" max="1" width="3.5703125" style="3" customWidth="1"/>
    <col min="2" max="2" width="19.140625" style="3" customWidth="1"/>
    <col min="3" max="3" width="19.85546875" style="3" customWidth="1"/>
    <col min="4" max="5" width="21.85546875" style="3" customWidth="1"/>
    <col min="6" max="6" width="22.7109375" style="3" customWidth="1"/>
    <col min="7" max="7" width="22" style="3" customWidth="1"/>
    <col min="8" max="8" width="22.7109375" style="3" customWidth="1"/>
    <col min="9" max="9" width="34.28515625" style="3" customWidth="1"/>
    <col min="10" max="10" width="66.5703125" style="3" customWidth="1"/>
    <col min="11" max="12" width="21.5703125" style="3" customWidth="1"/>
    <col min="13" max="13" width="19" style="3" customWidth="1"/>
    <col min="14" max="14" width="21.5703125" style="3" customWidth="1"/>
    <col min="15" max="16" width="22.7109375" style="3" customWidth="1"/>
    <col min="17" max="18" width="21.5703125" style="3" customWidth="1"/>
    <col min="19" max="19" width="19" style="3" customWidth="1"/>
    <col min="20" max="20" width="21.5703125" style="3" customWidth="1"/>
    <col min="21" max="21" width="19" style="3" customWidth="1"/>
    <col min="22" max="22" width="19.140625" style="3" customWidth="1"/>
    <col min="23" max="23" width="25.28515625" style="3" customWidth="1"/>
    <col min="24" max="24" width="29.42578125" style="3" customWidth="1"/>
    <col min="25" max="16384" width="8.7109375" style="3"/>
  </cols>
  <sheetData>
    <row r="2" spans="4:11" ht="15.75" x14ac:dyDescent="0.25">
      <c r="D2" s="355" t="s">
        <v>699</v>
      </c>
      <c r="E2" s="355"/>
      <c r="F2" s="355"/>
      <c r="G2" s="355"/>
      <c r="H2" s="355"/>
    </row>
    <row r="3" spans="4:11" ht="15.75" thickBot="1" x14ac:dyDescent="0.3"/>
    <row r="4" spans="4:11" ht="15.75" x14ac:dyDescent="0.25">
      <c r="F4" s="22"/>
      <c r="G4" s="36" t="s">
        <v>198</v>
      </c>
      <c r="H4" s="23"/>
      <c r="I4" s="23"/>
      <c r="J4" s="24"/>
      <c r="K4" s="25"/>
    </row>
    <row r="5" spans="4:11" x14ac:dyDescent="0.25">
      <c r="F5" s="26"/>
      <c r="G5" s="273" t="s">
        <v>191</v>
      </c>
      <c r="H5" s="274"/>
      <c r="I5" s="274"/>
      <c r="J5" s="275"/>
      <c r="K5" s="30"/>
    </row>
    <row r="6" spans="4:11" x14ac:dyDescent="0.25">
      <c r="F6" s="26"/>
      <c r="G6" s="273" t="s">
        <v>192</v>
      </c>
      <c r="H6" s="274"/>
      <c r="I6" s="274"/>
      <c r="J6" s="275"/>
      <c r="K6" s="30"/>
    </row>
    <row r="7" spans="4:11" x14ac:dyDescent="0.25">
      <c r="F7" s="26"/>
      <c r="G7" s="273" t="s">
        <v>193</v>
      </c>
      <c r="H7" s="274"/>
      <c r="I7" s="274"/>
      <c r="J7" s="275"/>
      <c r="K7" s="30"/>
    </row>
    <row r="8" spans="4:11" x14ac:dyDescent="0.25">
      <c r="F8" s="26"/>
      <c r="G8" s="273" t="s">
        <v>194</v>
      </c>
      <c r="H8" s="274"/>
      <c r="I8" s="274"/>
      <c r="J8" s="275"/>
      <c r="K8" s="30"/>
    </row>
    <row r="9" spans="4:11" x14ac:dyDescent="0.25">
      <c r="F9" s="26"/>
      <c r="G9" s="273" t="s">
        <v>195</v>
      </c>
      <c r="H9" s="274"/>
      <c r="I9" s="274"/>
      <c r="J9" s="275"/>
      <c r="K9" s="30"/>
    </row>
    <row r="10" spans="4:11" x14ac:dyDescent="0.25">
      <c r="F10" s="26"/>
      <c r="G10" s="273" t="s">
        <v>196</v>
      </c>
      <c r="H10" s="274"/>
      <c r="I10" s="274"/>
      <c r="J10" s="275"/>
      <c r="K10" s="30"/>
    </row>
    <row r="11" spans="4:11" ht="15.75" thickBot="1" x14ac:dyDescent="0.3">
      <c r="F11" s="31"/>
      <c r="G11" s="276" t="s">
        <v>197</v>
      </c>
      <c r="H11" s="33"/>
      <c r="I11" s="33"/>
      <c r="J11" s="34"/>
      <c r="K11" s="35"/>
    </row>
    <row r="12" spans="4:11" x14ac:dyDescent="0.25">
      <c r="E12" s="3" t="s">
        <v>707</v>
      </c>
    </row>
    <row r="25" spans="2:24" s="8" customFormat="1" ht="12.75" x14ac:dyDescent="0.2"/>
    <row r="26" spans="2:24" s="8" customFormat="1" ht="12.75" x14ac:dyDescent="0.2">
      <c r="E26" s="256"/>
    </row>
    <row r="27" spans="2:24" s="8" customFormat="1" ht="12.75" x14ac:dyDescent="0.2">
      <c r="E27" s="256"/>
      <c r="M27" s="287"/>
      <c r="N27" s="277" t="s">
        <v>700</v>
      </c>
    </row>
    <row r="28" spans="2:24" s="8" customFormat="1" ht="13.5" thickBot="1" x14ac:dyDescent="0.25">
      <c r="E28" s="256"/>
      <c r="M28" s="286"/>
      <c r="N28" s="8" t="s">
        <v>701</v>
      </c>
    </row>
    <row r="29" spans="2:24" ht="15.75" thickBot="1" x14ac:dyDescent="0.3"/>
    <row r="30" spans="2:24" ht="26.25" customHeight="1" thickBot="1" x14ac:dyDescent="0.3">
      <c r="M30" s="384" t="s">
        <v>782</v>
      </c>
      <c r="N30" s="392"/>
      <c r="O30" s="392"/>
      <c r="P30" s="392"/>
      <c r="Q30" s="392"/>
      <c r="R30" s="385"/>
      <c r="S30" s="8"/>
      <c r="T30" s="8"/>
      <c r="U30" s="8"/>
      <c r="V30" s="8"/>
    </row>
    <row r="31" spans="2:24" ht="26.25" customHeight="1" thickBot="1" x14ac:dyDescent="0.3">
      <c r="M31" s="384" t="s">
        <v>702</v>
      </c>
      <c r="N31" s="385"/>
      <c r="O31" s="384" t="s">
        <v>703</v>
      </c>
      <c r="P31" s="385"/>
      <c r="Q31" s="384" t="s">
        <v>704</v>
      </c>
      <c r="R31" s="385"/>
      <c r="S31" s="384" t="s">
        <v>781</v>
      </c>
      <c r="T31" s="385"/>
      <c r="U31" s="384" t="s">
        <v>780</v>
      </c>
      <c r="V31" s="385"/>
    </row>
    <row r="32" spans="2:24" s="110" customFormat="1" ht="38.25" x14ac:dyDescent="0.25">
      <c r="B32" s="7" t="s">
        <v>30</v>
      </c>
      <c r="C32" s="5" t="s">
        <v>31</v>
      </c>
      <c r="D32" s="5" t="s">
        <v>34</v>
      </c>
      <c r="E32" s="5" t="s">
        <v>35</v>
      </c>
      <c r="F32" s="5" t="s">
        <v>705</v>
      </c>
      <c r="G32" s="5" t="s">
        <v>706</v>
      </c>
      <c r="H32" s="5" t="s">
        <v>763</v>
      </c>
      <c r="I32" s="5" t="s">
        <v>764</v>
      </c>
      <c r="J32" s="5" t="s">
        <v>765</v>
      </c>
      <c r="K32" s="5" t="s">
        <v>766</v>
      </c>
      <c r="L32" s="5" t="s">
        <v>767</v>
      </c>
      <c r="M32" s="5" t="s">
        <v>768</v>
      </c>
      <c r="N32" s="5" t="s">
        <v>769</v>
      </c>
      <c r="O32" s="5" t="s">
        <v>770</v>
      </c>
      <c r="P32" s="5" t="s">
        <v>771</v>
      </c>
      <c r="Q32" s="5" t="s">
        <v>772</v>
      </c>
      <c r="R32" s="5" t="s">
        <v>773</v>
      </c>
      <c r="S32" s="5" t="s">
        <v>774</v>
      </c>
      <c r="T32" s="5" t="s">
        <v>775</v>
      </c>
      <c r="U32" s="5" t="s">
        <v>776</v>
      </c>
      <c r="V32" s="5" t="s">
        <v>777</v>
      </c>
      <c r="W32" s="5" t="s">
        <v>778</v>
      </c>
      <c r="X32" s="6" t="s">
        <v>779</v>
      </c>
    </row>
    <row r="33" spans="2:24" x14ac:dyDescent="0.25">
      <c r="B33" s="260" cm="1">
        <f t="array" ref="B33">Table40[a. Program]</f>
        <v>0</v>
      </c>
      <c r="C33" s="234">
        <f>' 3 Contract Info'!$B$22</f>
        <v>0</v>
      </c>
      <c r="D33" s="293">
        <f>' 7 Agile Detail'!$D$23</f>
        <v>0</v>
      </c>
      <c r="E33" s="293">
        <f>' 7 Agile Detail'!$E$23</f>
        <v>0</v>
      </c>
      <c r="F33" s="177"/>
      <c r="G33" s="177"/>
      <c r="H33" s="176"/>
      <c r="I33" s="176"/>
      <c r="J33" s="176"/>
      <c r="K33" s="176"/>
      <c r="L33" s="177"/>
      <c r="M33" s="287"/>
      <c r="N33" s="337"/>
      <c r="O33" s="337"/>
      <c r="P33" s="338"/>
      <c r="Q33" s="344">
        <f>1-SUM(Table34[[#This Row],[lb. % Newly Developed Code]:[lc. % of Total New Code]])</f>
        <v>1</v>
      </c>
      <c r="R33" s="338"/>
      <c r="S33" s="287"/>
      <c r="T33" s="341"/>
      <c r="U33" s="287"/>
      <c r="V33" s="341"/>
      <c r="W33" s="287"/>
      <c r="X33" s="279"/>
    </row>
    <row r="34" spans="2:24" x14ac:dyDescent="0.25">
      <c r="B34" s="291" cm="1">
        <f t="array" ref="B34">Table40[a. Program]</f>
        <v>0</v>
      </c>
      <c r="C34" s="242">
        <f>' 3 Contract Info'!$B$22</f>
        <v>0</v>
      </c>
      <c r="D34" s="238">
        <f>' 7 Agile Detail'!$D$23</f>
        <v>0</v>
      </c>
      <c r="E34" s="238">
        <f>' 7 Agile Detail'!$E$23</f>
        <v>0</v>
      </c>
      <c r="F34" s="177"/>
      <c r="G34" s="177"/>
      <c r="H34" s="280"/>
      <c r="I34" s="280"/>
      <c r="J34" s="280"/>
      <c r="K34" s="280"/>
      <c r="L34" s="177"/>
      <c r="M34" s="288"/>
      <c r="N34" s="339"/>
      <c r="O34" s="339"/>
      <c r="P34" s="339"/>
      <c r="Q34" s="345">
        <f>1-SUM(Table34[[#This Row],[lb. % Newly Developed Code]:[lc. % of Total New Code]])</f>
        <v>1</v>
      </c>
      <c r="R34" s="339"/>
      <c r="S34" s="287"/>
      <c r="T34" s="342"/>
      <c r="U34" s="288"/>
      <c r="V34" s="342"/>
      <c r="W34" s="288"/>
      <c r="X34" s="281"/>
    </row>
    <row r="35" spans="2:24" x14ac:dyDescent="0.25">
      <c r="B35" s="291" cm="1">
        <f t="array" ref="B35">Table40[a. Program]</f>
        <v>0</v>
      </c>
      <c r="C35" s="242">
        <f>' 3 Contract Info'!$B$22</f>
        <v>0</v>
      </c>
      <c r="D35" s="238">
        <f>' 7 Agile Detail'!$D$23</f>
        <v>0</v>
      </c>
      <c r="E35" s="238">
        <f>' 7 Agile Detail'!$E$23</f>
        <v>0</v>
      </c>
      <c r="F35" s="177"/>
      <c r="G35" s="177"/>
      <c r="H35" s="280"/>
      <c r="I35" s="280"/>
      <c r="J35" s="280"/>
      <c r="K35" s="280"/>
      <c r="L35" s="177"/>
      <c r="M35" s="288"/>
      <c r="N35" s="339"/>
      <c r="O35" s="339"/>
      <c r="P35" s="339"/>
      <c r="Q35" s="345">
        <f>1-SUM(Table34[[#This Row],[lb. % Newly Developed Code]:[lc. % of Total New Code]])</f>
        <v>1</v>
      </c>
      <c r="R35" s="339"/>
      <c r="S35" s="287"/>
      <c r="T35" s="342"/>
      <c r="U35" s="288"/>
      <c r="V35" s="342"/>
      <c r="W35" s="288"/>
      <c r="X35" s="282"/>
    </row>
    <row r="36" spans="2:24" x14ac:dyDescent="0.25">
      <c r="B36" s="291" cm="1">
        <f t="array" ref="B36">Table40[a. Program]</f>
        <v>0</v>
      </c>
      <c r="C36" s="242">
        <f>' 3 Contract Info'!$B$22</f>
        <v>0</v>
      </c>
      <c r="D36" s="238">
        <f>' 7 Agile Detail'!$D$23</f>
        <v>0</v>
      </c>
      <c r="E36" s="238">
        <f>' 7 Agile Detail'!$E$23</f>
        <v>0</v>
      </c>
      <c r="F36" s="177"/>
      <c r="G36" s="177"/>
      <c r="H36" s="280"/>
      <c r="I36" s="280"/>
      <c r="J36" s="280"/>
      <c r="K36" s="280"/>
      <c r="L36" s="177"/>
      <c r="M36" s="288"/>
      <c r="N36" s="339"/>
      <c r="O36" s="339"/>
      <c r="P36" s="339"/>
      <c r="Q36" s="345">
        <f>1-SUM(Table34[[#This Row],[lb. % Newly Developed Code]:[lc. % of Total New Code]])</f>
        <v>1</v>
      </c>
      <c r="R36" s="339"/>
      <c r="S36" s="287"/>
      <c r="T36" s="342"/>
      <c r="U36" s="288"/>
      <c r="V36" s="342"/>
      <c r="W36" s="288"/>
      <c r="X36" s="281"/>
    </row>
    <row r="37" spans="2:24" x14ac:dyDescent="0.25">
      <c r="B37" s="291" cm="1">
        <f t="array" ref="B37">Table40[a. Program]</f>
        <v>0</v>
      </c>
      <c r="C37" s="242">
        <f>' 3 Contract Info'!$B$22</f>
        <v>0</v>
      </c>
      <c r="D37" s="238">
        <f>' 7 Agile Detail'!$D$23</f>
        <v>0</v>
      </c>
      <c r="E37" s="238">
        <f>' 7 Agile Detail'!$E$23</f>
        <v>0</v>
      </c>
      <c r="F37" s="177"/>
      <c r="G37" s="177"/>
      <c r="H37" s="280"/>
      <c r="I37" s="280"/>
      <c r="J37" s="280"/>
      <c r="K37" s="280"/>
      <c r="L37" s="177"/>
      <c r="M37" s="288"/>
      <c r="N37" s="339"/>
      <c r="O37" s="339"/>
      <c r="P37" s="339"/>
      <c r="Q37" s="345">
        <f>1-SUM(Table34[[#This Row],[lb. % Newly Developed Code]:[lc. % of Total New Code]])</f>
        <v>1</v>
      </c>
      <c r="R37" s="339"/>
      <c r="S37" s="287"/>
      <c r="T37" s="342"/>
      <c r="U37" s="288"/>
      <c r="V37" s="342"/>
      <c r="W37" s="288"/>
      <c r="X37" s="282"/>
    </row>
    <row r="38" spans="2:24" x14ac:dyDescent="0.25">
      <c r="B38" s="291" cm="1">
        <f t="array" ref="B38">Table40[a. Program]</f>
        <v>0</v>
      </c>
      <c r="C38" s="242">
        <f>' 3 Contract Info'!$B$22</f>
        <v>0</v>
      </c>
      <c r="D38" s="238">
        <f>' 7 Agile Detail'!$D$23</f>
        <v>0</v>
      </c>
      <c r="E38" s="238">
        <f>' 7 Agile Detail'!$E$23</f>
        <v>0</v>
      </c>
      <c r="F38" s="177"/>
      <c r="G38" s="177"/>
      <c r="H38" s="280"/>
      <c r="I38" s="280"/>
      <c r="J38" s="280"/>
      <c r="K38" s="280"/>
      <c r="L38" s="177"/>
      <c r="M38" s="288"/>
      <c r="N38" s="339"/>
      <c r="O38" s="339"/>
      <c r="P38" s="339"/>
      <c r="Q38" s="345">
        <f>1-SUM(Table34[[#This Row],[lb. % Newly Developed Code]:[lc. % of Total New Code]])</f>
        <v>1</v>
      </c>
      <c r="R38" s="339"/>
      <c r="S38" s="287"/>
      <c r="T38" s="342"/>
      <c r="U38" s="288"/>
      <c r="V38" s="342"/>
      <c r="W38" s="288"/>
      <c r="X38" s="281"/>
    </row>
    <row r="39" spans="2:24" x14ac:dyDescent="0.25">
      <c r="B39" s="291" cm="1">
        <f t="array" ref="B39">Table40[a. Program]</f>
        <v>0</v>
      </c>
      <c r="C39" s="242">
        <f>' 3 Contract Info'!$B$22</f>
        <v>0</v>
      </c>
      <c r="D39" s="238">
        <f>' 7 Agile Detail'!$D$23</f>
        <v>0</v>
      </c>
      <c r="E39" s="238">
        <f>' 7 Agile Detail'!$E$23</f>
        <v>0</v>
      </c>
      <c r="F39" s="177"/>
      <c r="G39" s="177"/>
      <c r="H39" s="280"/>
      <c r="I39" s="280"/>
      <c r="J39" s="280"/>
      <c r="K39" s="280"/>
      <c r="L39" s="177"/>
      <c r="M39" s="288"/>
      <c r="N39" s="339"/>
      <c r="O39" s="339"/>
      <c r="P39" s="339"/>
      <c r="Q39" s="345">
        <f>1-SUM(Table34[[#This Row],[lb. % Newly Developed Code]:[lc. % of Total New Code]])</f>
        <v>1</v>
      </c>
      <c r="R39" s="339"/>
      <c r="S39" s="287"/>
      <c r="T39" s="342"/>
      <c r="U39" s="288"/>
      <c r="V39" s="342"/>
      <c r="W39" s="288"/>
      <c r="X39" s="282"/>
    </row>
    <row r="40" spans="2:24" x14ac:dyDescent="0.25">
      <c r="B40" s="291" cm="1">
        <f t="array" ref="B40">Table40[a. Program]</f>
        <v>0</v>
      </c>
      <c r="C40" s="242">
        <f>' 3 Contract Info'!$B$22</f>
        <v>0</v>
      </c>
      <c r="D40" s="238">
        <f>' 7 Agile Detail'!$D$23</f>
        <v>0</v>
      </c>
      <c r="E40" s="238">
        <f>' 7 Agile Detail'!$E$23</f>
        <v>0</v>
      </c>
      <c r="F40" s="177"/>
      <c r="G40" s="177"/>
      <c r="H40" s="280"/>
      <c r="I40" s="280"/>
      <c r="J40" s="280"/>
      <c r="K40" s="280"/>
      <c r="L40" s="177"/>
      <c r="M40" s="288"/>
      <c r="N40" s="339"/>
      <c r="O40" s="339"/>
      <c r="P40" s="339"/>
      <c r="Q40" s="345">
        <f>1-SUM(Table34[[#This Row],[lb. % Newly Developed Code]:[lc. % of Total New Code]])</f>
        <v>1</v>
      </c>
      <c r="R40" s="339"/>
      <c r="S40" s="287"/>
      <c r="T40" s="342"/>
      <c r="U40" s="288"/>
      <c r="V40" s="342"/>
      <c r="W40" s="288"/>
      <c r="X40" s="281"/>
    </row>
    <row r="41" spans="2:24" x14ac:dyDescent="0.25">
      <c r="B41" s="291" cm="1">
        <f t="array" ref="B41">Table40[a. Program]</f>
        <v>0</v>
      </c>
      <c r="C41" s="242">
        <f>' 3 Contract Info'!$B$22</f>
        <v>0</v>
      </c>
      <c r="D41" s="238">
        <f>' 7 Agile Detail'!$D$23</f>
        <v>0</v>
      </c>
      <c r="E41" s="238">
        <f>' 7 Agile Detail'!$E$23</f>
        <v>0</v>
      </c>
      <c r="F41" s="177"/>
      <c r="G41" s="177"/>
      <c r="H41" s="280"/>
      <c r="I41" s="280"/>
      <c r="J41" s="280"/>
      <c r="K41" s="280"/>
      <c r="L41" s="177"/>
      <c r="M41" s="288"/>
      <c r="N41" s="339"/>
      <c r="O41" s="339"/>
      <c r="P41" s="339"/>
      <c r="Q41" s="345">
        <f>1-SUM(Table34[[#This Row],[lb. % Newly Developed Code]:[lc. % of Total New Code]])</f>
        <v>1</v>
      </c>
      <c r="R41" s="339"/>
      <c r="S41" s="287"/>
      <c r="T41" s="342"/>
      <c r="U41" s="288"/>
      <c r="V41" s="342"/>
      <c r="W41" s="288"/>
      <c r="X41" s="282"/>
    </row>
    <row r="42" spans="2:24" x14ac:dyDescent="0.25">
      <c r="B42" s="291" cm="1">
        <f t="array" ref="B42">Table40[a. Program]</f>
        <v>0</v>
      </c>
      <c r="C42" s="242">
        <f>' 3 Contract Info'!$B$22</f>
        <v>0</v>
      </c>
      <c r="D42" s="238">
        <f>' 7 Agile Detail'!$D$23</f>
        <v>0</v>
      </c>
      <c r="E42" s="238">
        <f>' 7 Agile Detail'!$E$23</f>
        <v>0</v>
      </c>
      <c r="F42" s="177"/>
      <c r="G42" s="177"/>
      <c r="H42" s="283"/>
      <c r="I42" s="283"/>
      <c r="J42" s="283"/>
      <c r="K42" s="283"/>
      <c r="L42" s="177"/>
      <c r="M42" s="288"/>
      <c r="N42" s="339"/>
      <c r="O42" s="339"/>
      <c r="P42" s="339"/>
      <c r="Q42" s="345">
        <f>1-SUM(Table34[[#This Row],[lb. % Newly Developed Code]:[lc. % of Total New Code]])</f>
        <v>1</v>
      </c>
      <c r="R42" s="339"/>
      <c r="S42" s="287"/>
      <c r="T42" s="342"/>
      <c r="U42" s="288"/>
      <c r="V42" s="342"/>
      <c r="W42" s="288"/>
      <c r="X42" s="281"/>
    </row>
    <row r="43" spans="2:24" x14ac:dyDescent="0.25">
      <c r="B43" s="291" cm="1">
        <f t="array" ref="B43">Table40[a. Program]</f>
        <v>0</v>
      </c>
      <c r="C43" s="242">
        <f>' 3 Contract Info'!$B$22</f>
        <v>0</v>
      </c>
      <c r="D43" s="238">
        <f>' 7 Agile Detail'!$D$23</f>
        <v>0</v>
      </c>
      <c r="E43" s="238">
        <f>' 7 Agile Detail'!$E$23</f>
        <v>0</v>
      </c>
      <c r="F43" s="177"/>
      <c r="G43" s="177"/>
      <c r="H43" s="280"/>
      <c r="I43" s="280"/>
      <c r="J43" s="280"/>
      <c r="K43" s="280"/>
      <c r="L43" s="177"/>
      <c r="M43" s="288"/>
      <c r="N43" s="339"/>
      <c r="O43" s="339"/>
      <c r="P43" s="339"/>
      <c r="Q43" s="345">
        <f>1-SUM(Table34[[#This Row],[lb. % Newly Developed Code]:[lc. % of Total New Code]])</f>
        <v>1</v>
      </c>
      <c r="R43" s="339"/>
      <c r="S43" s="287"/>
      <c r="T43" s="342"/>
      <c r="U43" s="288"/>
      <c r="V43" s="342"/>
      <c r="W43" s="288"/>
      <c r="X43" s="282"/>
    </row>
    <row r="44" spans="2:24" x14ac:dyDescent="0.25">
      <c r="B44" s="291" cm="1">
        <f t="array" ref="B44">Table40[a. Program]</f>
        <v>0</v>
      </c>
      <c r="C44" s="242">
        <f>' 3 Contract Info'!$B$22</f>
        <v>0</v>
      </c>
      <c r="D44" s="238">
        <f>' 7 Agile Detail'!$D$23</f>
        <v>0</v>
      </c>
      <c r="E44" s="238">
        <f>' 7 Agile Detail'!$E$23</f>
        <v>0</v>
      </c>
      <c r="F44" s="177"/>
      <c r="G44" s="177"/>
      <c r="H44" s="280"/>
      <c r="I44" s="280"/>
      <c r="J44" s="280"/>
      <c r="K44" s="280"/>
      <c r="L44" s="177"/>
      <c r="M44" s="288"/>
      <c r="N44" s="339"/>
      <c r="O44" s="339"/>
      <c r="P44" s="339"/>
      <c r="Q44" s="345">
        <f>1-SUM(Table34[[#This Row],[lb. % Newly Developed Code]:[lc. % of Total New Code]])</f>
        <v>1</v>
      </c>
      <c r="R44" s="339"/>
      <c r="S44" s="287"/>
      <c r="T44" s="342"/>
      <c r="U44" s="288"/>
      <c r="V44" s="342"/>
      <c r="W44" s="288"/>
      <c r="X44" s="281"/>
    </row>
    <row r="45" spans="2:24" x14ac:dyDescent="0.25">
      <c r="B45" s="291" cm="1">
        <f t="array" ref="B45">Table40[a. Program]</f>
        <v>0</v>
      </c>
      <c r="C45" s="242">
        <f>' 3 Contract Info'!$B$22</f>
        <v>0</v>
      </c>
      <c r="D45" s="238">
        <f>' 7 Agile Detail'!$D$23</f>
        <v>0</v>
      </c>
      <c r="E45" s="238">
        <f>' 7 Agile Detail'!$E$23</f>
        <v>0</v>
      </c>
      <c r="F45" s="177"/>
      <c r="G45" s="177"/>
      <c r="H45" s="280"/>
      <c r="I45" s="280"/>
      <c r="J45" s="280"/>
      <c r="K45" s="280"/>
      <c r="L45" s="177"/>
      <c r="M45" s="288"/>
      <c r="N45" s="339"/>
      <c r="O45" s="339"/>
      <c r="P45" s="339"/>
      <c r="Q45" s="345">
        <f>1-SUM(Table34[[#This Row],[lb. % Newly Developed Code]:[lc. % of Total New Code]])</f>
        <v>1</v>
      </c>
      <c r="R45" s="339"/>
      <c r="S45" s="287"/>
      <c r="T45" s="342"/>
      <c r="U45" s="288"/>
      <c r="V45" s="342"/>
      <c r="W45" s="288"/>
      <c r="X45" s="282"/>
    </row>
    <row r="46" spans="2:24" x14ac:dyDescent="0.25">
      <c r="B46" s="291" cm="1">
        <f t="array" ref="B46">Table40[a. Program]</f>
        <v>0</v>
      </c>
      <c r="C46" s="242">
        <f>' 3 Contract Info'!$B$22</f>
        <v>0</v>
      </c>
      <c r="D46" s="238">
        <f>' 7 Agile Detail'!$D$23</f>
        <v>0</v>
      </c>
      <c r="E46" s="238">
        <f>' 7 Agile Detail'!$E$23</f>
        <v>0</v>
      </c>
      <c r="F46" s="177"/>
      <c r="G46" s="177"/>
      <c r="H46" s="280"/>
      <c r="I46" s="280"/>
      <c r="J46" s="280"/>
      <c r="K46" s="280"/>
      <c r="L46" s="177"/>
      <c r="M46" s="288"/>
      <c r="N46" s="339"/>
      <c r="O46" s="339"/>
      <c r="P46" s="339"/>
      <c r="Q46" s="345">
        <f>1-SUM(Table34[[#This Row],[lb. % Newly Developed Code]:[lc. % of Total New Code]])</f>
        <v>1</v>
      </c>
      <c r="R46" s="339"/>
      <c r="S46" s="287"/>
      <c r="T46" s="342"/>
      <c r="U46" s="288"/>
      <c r="V46" s="342"/>
      <c r="W46" s="288"/>
      <c r="X46" s="281"/>
    </row>
    <row r="47" spans="2:24" x14ac:dyDescent="0.25">
      <c r="B47" s="291" cm="1">
        <f t="array" ref="B47">Table40[a. Program]</f>
        <v>0</v>
      </c>
      <c r="C47" s="242">
        <f>' 3 Contract Info'!$B$22</f>
        <v>0</v>
      </c>
      <c r="D47" s="238">
        <f>' 7 Agile Detail'!$D$23</f>
        <v>0</v>
      </c>
      <c r="E47" s="238">
        <f>' 7 Agile Detail'!$E$23</f>
        <v>0</v>
      </c>
      <c r="F47" s="177"/>
      <c r="G47" s="177"/>
      <c r="H47" s="194"/>
      <c r="I47" s="194"/>
      <c r="J47" s="194"/>
      <c r="K47" s="194"/>
      <c r="L47" s="177"/>
      <c r="M47" s="288"/>
      <c r="N47" s="339"/>
      <c r="O47" s="339"/>
      <c r="P47" s="339"/>
      <c r="Q47" s="345">
        <f>1-SUM(Table34[[#This Row],[lb. % Newly Developed Code]:[lc. % of Total New Code]])</f>
        <v>1</v>
      </c>
      <c r="R47" s="339"/>
      <c r="S47" s="287"/>
      <c r="T47" s="342"/>
      <c r="U47" s="288"/>
      <c r="V47" s="342"/>
      <c r="W47" s="288"/>
      <c r="X47" s="282"/>
    </row>
    <row r="48" spans="2:24" x14ac:dyDescent="0.25">
      <c r="B48" s="291" cm="1">
        <f t="array" ref="B48">Table40[a. Program]</f>
        <v>0</v>
      </c>
      <c r="C48" s="242">
        <f>' 3 Contract Info'!$B$22</f>
        <v>0</v>
      </c>
      <c r="D48" s="238">
        <f>' 7 Agile Detail'!$D$23</f>
        <v>0</v>
      </c>
      <c r="E48" s="238">
        <f>' 7 Agile Detail'!$E$23</f>
        <v>0</v>
      </c>
      <c r="F48" s="177"/>
      <c r="G48" s="177"/>
      <c r="H48" s="283"/>
      <c r="I48" s="283"/>
      <c r="J48" s="283"/>
      <c r="K48" s="283"/>
      <c r="L48" s="177"/>
      <c r="M48" s="288"/>
      <c r="N48" s="339"/>
      <c r="O48" s="339"/>
      <c r="P48" s="339"/>
      <c r="Q48" s="345">
        <f>1-SUM(Table34[[#This Row],[lb. % Newly Developed Code]:[lc. % of Total New Code]])</f>
        <v>1</v>
      </c>
      <c r="R48" s="339"/>
      <c r="S48" s="287"/>
      <c r="T48" s="342"/>
      <c r="U48" s="288"/>
      <c r="V48" s="342"/>
      <c r="W48" s="288"/>
      <c r="X48" s="281"/>
    </row>
    <row r="49" spans="2:24" x14ac:dyDescent="0.25">
      <c r="B49" s="291" cm="1">
        <f t="array" ref="B49">Table40[a. Program]</f>
        <v>0</v>
      </c>
      <c r="C49" s="242">
        <f>' 3 Contract Info'!$B$22</f>
        <v>0</v>
      </c>
      <c r="D49" s="238">
        <f>' 7 Agile Detail'!$D$23</f>
        <v>0</v>
      </c>
      <c r="E49" s="238">
        <f>' 7 Agile Detail'!$E$23</f>
        <v>0</v>
      </c>
      <c r="F49" s="177"/>
      <c r="G49" s="177"/>
      <c r="H49" s="280"/>
      <c r="I49" s="280"/>
      <c r="J49" s="280"/>
      <c r="K49" s="280"/>
      <c r="L49" s="177"/>
      <c r="M49" s="288"/>
      <c r="N49" s="339"/>
      <c r="O49" s="339"/>
      <c r="P49" s="339"/>
      <c r="Q49" s="345">
        <f>1-SUM(Table34[[#This Row],[lb. % Newly Developed Code]:[lc. % of Total New Code]])</f>
        <v>1</v>
      </c>
      <c r="R49" s="339"/>
      <c r="S49" s="287"/>
      <c r="T49" s="342"/>
      <c r="U49" s="288"/>
      <c r="V49" s="342"/>
      <c r="W49" s="288"/>
      <c r="X49" s="282"/>
    </row>
    <row r="50" spans="2:24" x14ac:dyDescent="0.25">
      <c r="B50" s="291" cm="1">
        <f t="array" ref="B50">Table40[a. Program]</f>
        <v>0</v>
      </c>
      <c r="C50" s="242">
        <f>' 3 Contract Info'!$B$22</f>
        <v>0</v>
      </c>
      <c r="D50" s="238">
        <f>' 7 Agile Detail'!$D$23</f>
        <v>0</v>
      </c>
      <c r="E50" s="238">
        <f>' 7 Agile Detail'!$E$23</f>
        <v>0</v>
      </c>
      <c r="F50" s="177"/>
      <c r="G50" s="177"/>
      <c r="H50" s="280"/>
      <c r="I50" s="280"/>
      <c r="J50" s="280"/>
      <c r="K50" s="280"/>
      <c r="L50" s="177"/>
      <c r="M50" s="288"/>
      <c r="N50" s="339"/>
      <c r="O50" s="339"/>
      <c r="P50" s="339"/>
      <c r="Q50" s="345">
        <f>1-SUM(Table34[[#This Row],[lb. % Newly Developed Code]:[lc. % of Total New Code]])</f>
        <v>1</v>
      </c>
      <c r="R50" s="339"/>
      <c r="S50" s="287"/>
      <c r="T50" s="342"/>
      <c r="U50" s="288"/>
      <c r="V50" s="342"/>
      <c r="W50" s="288"/>
      <c r="X50" s="281"/>
    </row>
    <row r="51" spans="2:24" x14ac:dyDescent="0.25">
      <c r="B51" s="291" cm="1">
        <f t="array" ref="B51">Table40[a. Program]</f>
        <v>0</v>
      </c>
      <c r="C51" s="242">
        <f>' 3 Contract Info'!$B$22</f>
        <v>0</v>
      </c>
      <c r="D51" s="238">
        <f>' 7 Agile Detail'!$D$23</f>
        <v>0</v>
      </c>
      <c r="E51" s="238">
        <f>' 7 Agile Detail'!$E$23</f>
        <v>0</v>
      </c>
      <c r="F51" s="177"/>
      <c r="G51" s="177"/>
      <c r="H51" s="280"/>
      <c r="I51" s="280"/>
      <c r="J51" s="280"/>
      <c r="K51" s="280"/>
      <c r="L51" s="177"/>
      <c r="M51" s="288"/>
      <c r="N51" s="339"/>
      <c r="O51" s="339"/>
      <c r="P51" s="339"/>
      <c r="Q51" s="345">
        <f>1-SUM(Table34[[#This Row],[lb. % Newly Developed Code]:[lc. % of Total New Code]])</f>
        <v>1</v>
      </c>
      <c r="R51" s="339"/>
      <c r="S51" s="287"/>
      <c r="T51" s="342"/>
      <c r="U51" s="288"/>
      <c r="V51" s="342"/>
      <c r="W51" s="288"/>
      <c r="X51" s="282"/>
    </row>
    <row r="52" spans="2:24" x14ac:dyDescent="0.25">
      <c r="B52" s="291" cm="1">
        <f t="array" ref="B52">Table40[a. Program]</f>
        <v>0</v>
      </c>
      <c r="C52" s="242">
        <f>' 3 Contract Info'!$B$22</f>
        <v>0</v>
      </c>
      <c r="D52" s="238">
        <f>' 7 Agile Detail'!$D$23</f>
        <v>0</v>
      </c>
      <c r="E52" s="238">
        <f>' 7 Agile Detail'!$E$23</f>
        <v>0</v>
      </c>
      <c r="F52" s="177"/>
      <c r="G52" s="177"/>
      <c r="H52" s="280"/>
      <c r="I52" s="280"/>
      <c r="J52" s="280"/>
      <c r="K52" s="280"/>
      <c r="L52" s="177"/>
      <c r="M52" s="288"/>
      <c r="N52" s="339"/>
      <c r="O52" s="339"/>
      <c r="P52" s="339"/>
      <c r="Q52" s="345">
        <f>1-SUM(Table34[[#This Row],[lb. % Newly Developed Code]:[lc. % of Total New Code]])</f>
        <v>1</v>
      </c>
      <c r="R52" s="339"/>
      <c r="S52" s="287"/>
      <c r="T52" s="342"/>
      <c r="U52" s="288"/>
      <c r="V52" s="342"/>
      <c r="W52" s="288"/>
      <c r="X52" s="281"/>
    </row>
    <row r="53" spans="2:24" x14ac:dyDescent="0.25">
      <c r="B53" s="291" cm="1">
        <f t="array" ref="B53">Table40[a. Program]</f>
        <v>0</v>
      </c>
      <c r="C53" s="242">
        <f>' 3 Contract Info'!$B$22</f>
        <v>0</v>
      </c>
      <c r="D53" s="238">
        <f>' 7 Agile Detail'!$D$23</f>
        <v>0</v>
      </c>
      <c r="E53" s="238">
        <f>' 7 Agile Detail'!$E$23</f>
        <v>0</v>
      </c>
      <c r="F53" s="177"/>
      <c r="G53" s="177"/>
      <c r="H53" s="283"/>
      <c r="I53" s="283"/>
      <c r="J53" s="283"/>
      <c r="K53" s="283"/>
      <c r="L53" s="177"/>
      <c r="M53" s="288"/>
      <c r="N53" s="339"/>
      <c r="O53" s="339"/>
      <c r="P53" s="339"/>
      <c r="Q53" s="345">
        <f>1-SUM(Table34[[#This Row],[lb. % Newly Developed Code]:[lc. % of Total New Code]])</f>
        <v>1</v>
      </c>
      <c r="R53" s="339"/>
      <c r="S53" s="287"/>
      <c r="T53" s="342"/>
      <c r="U53" s="288"/>
      <c r="V53" s="342"/>
      <c r="W53" s="288"/>
      <c r="X53" s="282"/>
    </row>
    <row r="54" spans="2:24" x14ac:dyDescent="0.25">
      <c r="B54" s="291" cm="1">
        <f t="array" ref="B54">Table40[a. Program]</f>
        <v>0</v>
      </c>
      <c r="C54" s="242">
        <f>' 3 Contract Info'!$B$22</f>
        <v>0</v>
      </c>
      <c r="D54" s="238">
        <f>' 7 Agile Detail'!$D$23</f>
        <v>0</v>
      </c>
      <c r="E54" s="238">
        <f>' 7 Agile Detail'!$E$23</f>
        <v>0</v>
      </c>
      <c r="F54" s="177"/>
      <c r="G54" s="177"/>
      <c r="H54" s="280"/>
      <c r="I54" s="280"/>
      <c r="J54" s="280"/>
      <c r="K54" s="280"/>
      <c r="L54" s="177"/>
      <c r="M54" s="288"/>
      <c r="N54" s="339"/>
      <c r="O54" s="339"/>
      <c r="P54" s="339"/>
      <c r="Q54" s="345">
        <f>1-SUM(Table34[[#This Row],[lb. % Newly Developed Code]:[lc. % of Total New Code]])</f>
        <v>1</v>
      </c>
      <c r="R54" s="339"/>
      <c r="S54" s="287"/>
      <c r="T54" s="342"/>
      <c r="U54" s="288"/>
      <c r="V54" s="342"/>
      <c r="W54" s="288"/>
      <c r="X54" s="281"/>
    </row>
    <row r="55" spans="2:24" x14ac:dyDescent="0.25">
      <c r="B55" s="291" cm="1">
        <f t="array" ref="B55">Table40[a. Program]</f>
        <v>0</v>
      </c>
      <c r="C55" s="242">
        <f>' 3 Contract Info'!$B$22</f>
        <v>0</v>
      </c>
      <c r="D55" s="238">
        <f>' 7 Agile Detail'!$D$23</f>
        <v>0</v>
      </c>
      <c r="E55" s="238">
        <f>' 7 Agile Detail'!$E$23</f>
        <v>0</v>
      </c>
      <c r="F55" s="177"/>
      <c r="G55" s="177"/>
      <c r="H55" s="280"/>
      <c r="I55" s="280"/>
      <c r="J55" s="280"/>
      <c r="K55" s="280"/>
      <c r="L55" s="177"/>
      <c r="M55" s="288"/>
      <c r="N55" s="339"/>
      <c r="O55" s="339"/>
      <c r="P55" s="339"/>
      <c r="Q55" s="345">
        <f>1-SUM(Table34[[#This Row],[lb. % Newly Developed Code]:[lc. % of Total New Code]])</f>
        <v>1</v>
      </c>
      <c r="R55" s="339"/>
      <c r="S55" s="287"/>
      <c r="T55" s="342"/>
      <c r="U55" s="288"/>
      <c r="V55" s="342"/>
      <c r="W55" s="288"/>
      <c r="X55" s="282"/>
    </row>
    <row r="56" spans="2:24" x14ac:dyDescent="0.25">
      <c r="B56" s="291" cm="1">
        <f t="array" ref="B56">Table40[a. Program]</f>
        <v>0</v>
      </c>
      <c r="C56" s="242">
        <f>' 3 Contract Info'!$B$22</f>
        <v>0</v>
      </c>
      <c r="D56" s="238">
        <f>' 7 Agile Detail'!$D$23</f>
        <v>0</v>
      </c>
      <c r="E56" s="238">
        <f>' 7 Agile Detail'!$E$23</f>
        <v>0</v>
      </c>
      <c r="F56" s="177"/>
      <c r="G56" s="177"/>
      <c r="H56" s="280"/>
      <c r="I56" s="280"/>
      <c r="J56" s="280"/>
      <c r="K56" s="280"/>
      <c r="L56" s="177"/>
      <c r="M56" s="288"/>
      <c r="N56" s="339"/>
      <c r="O56" s="339"/>
      <c r="P56" s="339"/>
      <c r="Q56" s="345">
        <f>1-SUM(Table34[[#This Row],[lb. % Newly Developed Code]:[lc. % of Total New Code]])</f>
        <v>1</v>
      </c>
      <c r="R56" s="339"/>
      <c r="S56" s="287"/>
      <c r="T56" s="342"/>
      <c r="U56" s="288"/>
      <c r="V56" s="342"/>
      <c r="W56" s="288"/>
      <c r="X56" s="281"/>
    </row>
    <row r="57" spans="2:24" x14ac:dyDescent="0.25">
      <c r="B57" s="291" cm="1">
        <f t="array" ref="B57">Table40[a. Program]</f>
        <v>0</v>
      </c>
      <c r="C57" s="242">
        <f>' 3 Contract Info'!$B$22</f>
        <v>0</v>
      </c>
      <c r="D57" s="238">
        <f>' 7 Agile Detail'!$D$23</f>
        <v>0</v>
      </c>
      <c r="E57" s="238">
        <f>' 7 Agile Detail'!$E$23</f>
        <v>0</v>
      </c>
      <c r="F57" s="177"/>
      <c r="G57" s="177"/>
      <c r="H57" s="280"/>
      <c r="I57" s="280"/>
      <c r="J57" s="280"/>
      <c r="K57" s="280"/>
      <c r="L57" s="177"/>
      <c r="M57" s="288"/>
      <c r="N57" s="339"/>
      <c r="O57" s="339"/>
      <c r="P57" s="339"/>
      <c r="Q57" s="345">
        <f>1-SUM(Table34[[#This Row],[lb. % Newly Developed Code]:[lc. % of Total New Code]])</f>
        <v>1</v>
      </c>
      <c r="R57" s="339"/>
      <c r="S57" s="287"/>
      <c r="T57" s="342"/>
      <c r="U57" s="288"/>
      <c r="V57" s="342"/>
      <c r="W57" s="288"/>
      <c r="X57" s="282"/>
    </row>
    <row r="58" spans="2:24" x14ac:dyDescent="0.25">
      <c r="B58" s="291" cm="1">
        <f t="array" ref="B58">Table40[a. Program]</f>
        <v>0</v>
      </c>
      <c r="C58" s="242">
        <f>' 3 Contract Info'!$B$22</f>
        <v>0</v>
      </c>
      <c r="D58" s="238">
        <f>' 7 Agile Detail'!$D$23</f>
        <v>0</v>
      </c>
      <c r="E58" s="238">
        <f>' 7 Agile Detail'!$E$23</f>
        <v>0</v>
      </c>
      <c r="F58" s="177"/>
      <c r="G58" s="177"/>
      <c r="H58" s="280"/>
      <c r="I58" s="280"/>
      <c r="J58" s="280"/>
      <c r="K58" s="280"/>
      <c r="L58" s="177"/>
      <c r="M58" s="288"/>
      <c r="N58" s="339"/>
      <c r="O58" s="339"/>
      <c r="P58" s="339"/>
      <c r="Q58" s="345">
        <f>1-SUM(Table34[[#This Row],[lb. % Newly Developed Code]:[lc. % of Total New Code]])</f>
        <v>1</v>
      </c>
      <c r="R58" s="339"/>
      <c r="S58" s="287"/>
      <c r="T58" s="342"/>
      <c r="U58" s="288"/>
      <c r="V58" s="342"/>
      <c r="W58" s="288"/>
      <c r="X58" s="281"/>
    </row>
    <row r="59" spans="2:24" x14ac:dyDescent="0.25">
      <c r="B59" s="292" cm="1">
        <f t="array" ref="B59">Table40[a. Program]</f>
        <v>0</v>
      </c>
      <c r="C59" s="244">
        <f>' 3 Contract Info'!$B$22</f>
        <v>0</v>
      </c>
      <c r="D59" s="240">
        <f>' 7 Agile Detail'!$D$23</f>
        <v>0</v>
      </c>
      <c r="E59" s="240">
        <f>' 7 Agile Detail'!$E$23</f>
        <v>0</v>
      </c>
      <c r="F59" s="182"/>
      <c r="G59" s="182"/>
      <c r="H59" s="284"/>
      <c r="I59" s="284"/>
      <c r="J59" s="284"/>
      <c r="K59" s="284"/>
      <c r="L59" s="182"/>
      <c r="M59" s="289"/>
      <c r="N59" s="340"/>
      <c r="O59" s="340"/>
      <c r="P59" s="340"/>
      <c r="Q59" s="346">
        <f>1-SUM(Table34[[#This Row],[lb. % Newly Developed Code]:[lc. % of Total New Code]])</f>
        <v>1</v>
      </c>
      <c r="R59" s="340"/>
      <c r="S59" s="290"/>
      <c r="T59" s="343"/>
      <c r="U59" s="289"/>
      <c r="V59" s="343"/>
      <c r="W59" s="289"/>
      <c r="X59" s="285"/>
    </row>
    <row r="60" spans="2:24" x14ac:dyDescent="0.25">
      <c r="G60" s="278"/>
    </row>
  </sheetData>
  <mergeCells count="7">
    <mergeCell ref="D2:H2"/>
    <mergeCell ref="U31:V31"/>
    <mergeCell ref="S31:T31"/>
    <mergeCell ref="M31:N31"/>
    <mergeCell ref="O31:P31"/>
    <mergeCell ref="Q31:R31"/>
    <mergeCell ref="M30:R30"/>
  </mergeCells>
  <dataValidations count="3">
    <dataValidation type="list" allowBlank="1" showInputMessage="1" showErrorMessage="1" sqref="L33:L59" xr:uid="{92A49AC6-E338-4893-9569-F7C6A07E4AA0}">
      <formula1>Development_Strategy</formula1>
    </dataValidation>
    <dataValidation type="list" allowBlank="1" showInputMessage="1" showErrorMessage="1" sqref="F33:F59" xr:uid="{04254F86-B730-4168-899B-C1437DB9CDEF}">
      <formula1>SW_Code_Type</formula1>
    </dataValidation>
    <dataValidation type="list" allowBlank="1" showInputMessage="1" showErrorMessage="1" sqref="G33:G59" xr:uid="{C7FDF59E-C5E0-42A9-A1E8-EB38EBD65CD9}">
      <formula1>Functions</formula1>
    </dataValidation>
  </dataValidations>
  <pageMargins left="0.7" right="0.7" top="0.75" bottom="0.5" header="0.3" footer="0.3"/>
  <pageSetup orientation="portrait" r:id="rId1"/>
  <headerFooter>
    <oddHeader>&amp;C&amp;"Courier"&amp;12UNCLASSIFIED</oddHeader>
    <oddFooter>&amp;C&amp;"Courier"&amp;12UNCLASSIFIED</oddFooter>
  </headerFooter>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tabColor theme="8"/>
    <pageSetUpPr autoPageBreaks="0" fitToPage="1"/>
  </sheetPr>
  <dimension ref="A1:R53"/>
  <sheetViews>
    <sheetView showGridLines="0" topLeftCell="F7" zoomScale="70" zoomScaleNormal="70" workbookViewId="0">
      <selection activeCell="T29" sqref="T29"/>
    </sheetView>
  </sheetViews>
  <sheetFormatPr defaultColWidth="9.140625" defaultRowHeight="15" x14ac:dyDescent="0.25"/>
  <cols>
    <col min="1" max="1" width="2.85546875" style="3" customWidth="1"/>
    <col min="2" max="7" width="16.7109375" style="3" customWidth="1"/>
    <col min="8" max="8" width="19.5703125" style="3" customWidth="1"/>
    <col min="9" max="12" width="12.7109375" style="3" customWidth="1"/>
    <col min="13" max="14" width="14.85546875" style="3" customWidth="1"/>
    <col min="15" max="16" width="16.140625" customWidth="1"/>
    <col min="17" max="17" width="20.5703125" style="3" customWidth="1"/>
    <col min="18" max="18" width="21.5703125" style="3" customWidth="1"/>
    <col min="19" max="16384" width="9.140625" style="3"/>
  </cols>
  <sheetData>
    <row r="1" spans="4:16" x14ac:dyDescent="0.25">
      <c r="O1" s="3"/>
      <c r="P1" s="3"/>
    </row>
    <row r="2" spans="4:16" ht="15.75" x14ac:dyDescent="0.25">
      <c r="D2" s="355" t="s">
        <v>600</v>
      </c>
      <c r="E2" s="355"/>
      <c r="F2" s="355"/>
      <c r="G2" s="355"/>
      <c r="H2" s="355"/>
      <c r="O2" s="3"/>
      <c r="P2" s="3"/>
    </row>
    <row r="3" spans="4:16" x14ac:dyDescent="0.25">
      <c r="O3" s="3"/>
      <c r="P3" s="3"/>
    </row>
    <row r="4" spans="4:16" x14ac:dyDescent="0.25">
      <c r="O4" s="3"/>
      <c r="P4" s="3"/>
    </row>
    <row r="5" spans="4:16" x14ac:dyDescent="0.25">
      <c r="O5" s="3"/>
      <c r="P5" s="3"/>
    </row>
    <row r="6" spans="4:16" ht="15.75" thickBot="1" x14ac:dyDescent="0.3">
      <c r="O6" s="3"/>
      <c r="P6" s="3"/>
    </row>
    <row r="7" spans="4:16" ht="15.75" x14ac:dyDescent="0.25">
      <c r="F7" s="22"/>
      <c r="G7" s="36" t="s">
        <v>198</v>
      </c>
      <c r="H7" s="23"/>
      <c r="I7" s="23"/>
      <c r="J7" s="24"/>
      <c r="K7" s="25"/>
      <c r="O7" s="3"/>
      <c r="P7" s="3"/>
    </row>
    <row r="8" spans="4:16" x14ac:dyDescent="0.25">
      <c r="F8" s="26"/>
      <c r="G8" s="27" t="s">
        <v>191</v>
      </c>
      <c r="H8" s="28"/>
      <c r="I8" s="28"/>
      <c r="J8" s="29"/>
      <c r="K8" s="30"/>
      <c r="O8" s="3"/>
      <c r="P8" s="3"/>
    </row>
    <row r="9" spans="4:16" x14ac:dyDescent="0.25">
      <c r="F9" s="26"/>
      <c r="G9" s="27" t="s">
        <v>192</v>
      </c>
      <c r="H9" s="28"/>
      <c r="I9" s="28"/>
      <c r="J9" s="29"/>
      <c r="K9" s="30"/>
      <c r="O9" s="3"/>
      <c r="P9" s="3"/>
    </row>
    <row r="10" spans="4:16" x14ac:dyDescent="0.25">
      <c r="F10" s="26"/>
      <c r="G10" s="27" t="s">
        <v>193</v>
      </c>
      <c r="H10" s="28"/>
      <c r="I10" s="28"/>
      <c r="J10" s="29"/>
      <c r="K10" s="30"/>
      <c r="O10" s="3"/>
      <c r="P10" s="3"/>
    </row>
    <row r="11" spans="4:16" x14ac:dyDescent="0.25">
      <c r="F11" s="26"/>
      <c r="G11" s="27" t="s">
        <v>194</v>
      </c>
      <c r="H11" s="28"/>
      <c r="I11" s="28"/>
      <c r="J11" s="29"/>
      <c r="K11" s="30"/>
      <c r="O11" s="3"/>
      <c r="P11" s="3"/>
    </row>
    <row r="12" spans="4:16" x14ac:dyDescent="0.25">
      <c r="F12" s="26"/>
      <c r="G12" s="27" t="s">
        <v>195</v>
      </c>
      <c r="H12" s="28"/>
      <c r="I12" s="28"/>
      <c r="J12" s="29"/>
      <c r="K12" s="30"/>
      <c r="O12" s="3"/>
      <c r="P12" s="3"/>
    </row>
    <row r="13" spans="4:16" x14ac:dyDescent="0.25">
      <c r="F13" s="26"/>
      <c r="G13" s="27" t="s">
        <v>196</v>
      </c>
      <c r="H13" s="28"/>
      <c r="I13" s="28"/>
      <c r="J13" s="29"/>
      <c r="K13" s="30"/>
      <c r="O13" s="3"/>
      <c r="P13" s="3"/>
    </row>
    <row r="14" spans="4:16" ht="15.75" thickBot="1" x14ac:dyDescent="0.3">
      <c r="F14" s="31"/>
      <c r="G14" s="32" t="s">
        <v>197</v>
      </c>
      <c r="H14" s="33"/>
      <c r="I14" s="33"/>
      <c r="J14" s="34"/>
      <c r="K14" s="35"/>
      <c r="O14" s="3"/>
      <c r="P14" s="3"/>
    </row>
    <row r="15" spans="4:16" x14ac:dyDescent="0.25">
      <c r="O15" s="3"/>
      <c r="P15" s="3"/>
    </row>
    <row r="16" spans="4:16" x14ac:dyDescent="0.25">
      <c r="O16" s="3"/>
      <c r="P16" s="3"/>
    </row>
    <row r="17" spans="1:18" x14ac:dyDescent="0.25">
      <c r="O17" s="3"/>
      <c r="P17" s="3"/>
    </row>
    <row r="18" spans="1:18" ht="25.5" customHeight="1" x14ac:dyDescent="0.25">
      <c r="M18" s="397" t="s">
        <v>16</v>
      </c>
      <c r="N18" s="397"/>
      <c r="O18" s="396" t="s">
        <v>15</v>
      </c>
      <c r="P18" s="396"/>
      <c r="Q18" s="37"/>
    </row>
    <row r="19" spans="1:18" s="110" customFormat="1" ht="38.25" x14ac:dyDescent="0.25">
      <c r="B19" s="7" t="s">
        <v>30</v>
      </c>
      <c r="C19" s="5" t="s">
        <v>31</v>
      </c>
      <c r="D19" s="5" t="s">
        <v>34</v>
      </c>
      <c r="E19" s="5" t="s">
        <v>35</v>
      </c>
      <c r="F19" s="5" t="s">
        <v>735</v>
      </c>
      <c r="G19" s="5" t="s">
        <v>736</v>
      </c>
      <c r="H19" s="5" t="s">
        <v>737</v>
      </c>
      <c r="I19" s="5" t="s">
        <v>36</v>
      </c>
      <c r="J19" s="5" t="s">
        <v>37</v>
      </c>
      <c r="K19" s="83" t="s">
        <v>738</v>
      </c>
      <c r="L19" s="5" t="s">
        <v>38</v>
      </c>
      <c r="M19" s="5" t="s">
        <v>739</v>
      </c>
      <c r="N19" s="5" t="s">
        <v>740</v>
      </c>
      <c r="O19" s="5" t="s">
        <v>741</v>
      </c>
      <c r="P19" s="5" t="s">
        <v>742</v>
      </c>
      <c r="Q19" s="83" t="s">
        <v>642</v>
      </c>
      <c r="R19" s="6" t="s">
        <v>643</v>
      </c>
    </row>
    <row r="20" spans="1:18" x14ac:dyDescent="0.25">
      <c r="B20" s="241" cm="1">
        <f t="array" ref="B20">Table40[a. Program]</f>
        <v>0</v>
      </c>
      <c r="C20" s="242">
        <f>' 3 Contract Info'!$B$22</f>
        <v>0</v>
      </c>
      <c r="D20" s="238">
        <f>' 7 Agile Detail'!$D$23</f>
        <v>0</v>
      </c>
      <c r="E20" s="238">
        <f>' 7 Agile Detail'!$E$23</f>
        <v>0</v>
      </c>
      <c r="F20" s="12"/>
      <c r="G20" s="12"/>
      <c r="H20" s="208"/>
      <c r="I20" s="201"/>
      <c r="J20" s="201"/>
      <c r="K20" s="353"/>
      <c r="L20" s="353"/>
      <c r="M20" s="342"/>
      <c r="N20" s="342"/>
      <c r="O20" s="353"/>
      <c r="P20" s="353"/>
      <c r="Q20" s="353"/>
      <c r="R20" s="209"/>
    </row>
    <row r="21" spans="1:18" x14ac:dyDescent="0.25">
      <c r="B21" s="241" cm="1">
        <f t="array" ref="B21">Table40[a. Program]</f>
        <v>0</v>
      </c>
      <c r="C21" s="242">
        <f>' 3 Contract Info'!$B$22</f>
        <v>0</v>
      </c>
      <c r="D21" s="238">
        <f>' 7 Agile Detail'!$D$23</f>
        <v>0</v>
      </c>
      <c r="E21" s="238">
        <f>' 7 Agile Detail'!$E$23</f>
        <v>0</v>
      </c>
      <c r="F21" s="11"/>
      <c r="G21" s="11"/>
      <c r="H21" s="208"/>
      <c r="I21" s="201"/>
      <c r="J21" s="201"/>
      <c r="K21" s="353"/>
      <c r="L21" s="353"/>
      <c r="M21" s="342"/>
      <c r="N21" s="342"/>
      <c r="O21" s="353"/>
      <c r="P21" s="353"/>
      <c r="Q21" s="353"/>
      <c r="R21" s="209"/>
    </row>
    <row r="22" spans="1:18" x14ac:dyDescent="0.25">
      <c r="B22" s="241" cm="1">
        <f t="array" ref="B22">Table40[a. Program]</f>
        <v>0</v>
      </c>
      <c r="C22" s="242">
        <f>' 3 Contract Info'!$B$22</f>
        <v>0</v>
      </c>
      <c r="D22" s="238">
        <f>' 7 Agile Detail'!$D$23</f>
        <v>0</v>
      </c>
      <c r="E22" s="238">
        <f>' 7 Agile Detail'!$E$23</f>
        <v>0</v>
      </c>
      <c r="F22" s="12"/>
      <c r="G22" s="12"/>
      <c r="H22" s="208"/>
      <c r="I22" s="201"/>
      <c r="J22" s="201"/>
      <c r="K22" s="353"/>
      <c r="L22" s="353"/>
      <c r="M22" s="342"/>
      <c r="N22" s="342"/>
      <c r="O22" s="353"/>
      <c r="P22" s="353"/>
      <c r="Q22" s="353"/>
      <c r="R22" s="209"/>
    </row>
    <row r="23" spans="1:18" x14ac:dyDescent="0.25">
      <c r="A23" s="4"/>
      <c r="B23" s="241" cm="1">
        <f t="array" ref="B23">Table40[a. Program]</f>
        <v>0</v>
      </c>
      <c r="C23" s="242">
        <f>' 3 Contract Info'!$B$22</f>
        <v>0</v>
      </c>
      <c r="D23" s="238">
        <f>' 7 Agile Detail'!$D$23</f>
        <v>0</v>
      </c>
      <c r="E23" s="238">
        <f>' 7 Agile Detail'!$E$23</f>
        <v>0</v>
      </c>
      <c r="F23" s="12"/>
      <c r="G23" s="12"/>
      <c r="H23" s="208"/>
      <c r="I23" s="201"/>
      <c r="J23" s="201"/>
      <c r="K23" s="353"/>
      <c r="L23" s="353"/>
      <c r="M23" s="342"/>
      <c r="N23" s="342"/>
      <c r="O23" s="353"/>
      <c r="P23" s="353"/>
      <c r="Q23" s="353"/>
      <c r="R23" s="209"/>
    </row>
    <row r="24" spans="1:18" x14ac:dyDescent="0.25">
      <c r="A24" s="4"/>
      <c r="B24" s="241" cm="1">
        <f t="array" ref="B24">Table40[a. Program]</f>
        <v>0</v>
      </c>
      <c r="C24" s="242">
        <f>' 3 Contract Info'!$B$22</f>
        <v>0</v>
      </c>
      <c r="D24" s="238">
        <f>' 7 Agile Detail'!$D$23</f>
        <v>0</v>
      </c>
      <c r="E24" s="238">
        <f>' 7 Agile Detail'!$E$23</f>
        <v>0</v>
      </c>
      <c r="F24" s="12"/>
      <c r="G24" s="12"/>
      <c r="H24" s="208"/>
      <c r="I24" s="201"/>
      <c r="J24" s="201"/>
      <c r="K24" s="353"/>
      <c r="L24" s="353"/>
      <c r="M24" s="342"/>
      <c r="N24" s="342"/>
      <c r="O24" s="353"/>
      <c r="P24" s="353"/>
      <c r="Q24" s="353"/>
      <c r="R24" s="209"/>
    </row>
    <row r="25" spans="1:18" x14ac:dyDescent="0.25">
      <c r="A25" s="4"/>
      <c r="B25" s="241" cm="1">
        <f t="array" ref="B25">Table40[a. Program]</f>
        <v>0</v>
      </c>
      <c r="C25" s="242">
        <f>' 3 Contract Info'!$B$22</f>
        <v>0</v>
      </c>
      <c r="D25" s="238">
        <f>' 7 Agile Detail'!$D$23</f>
        <v>0</v>
      </c>
      <c r="E25" s="238">
        <f>' 7 Agile Detail'!$E$23</f>
        <v>0</v>
      </c>
      <c r="F25" s="12"/>
      <c r="G25" s="12"/>
      <c r="H25" s="208"/>
      <c r="I25" s="201"/>
      <c r="J25" s="201"/>
      <c r="K25" s="353"/>
      <c r="L25" s="353"/>
      <c r="M25" s="342"/>
      <c r="N25" s="342"/>
      <c r="O25" s="353"/>
      <c r="P25" s="353"/>
      <c r="Q25" s="353"/>
      <c r="R25" s="209"/>
    </row>
    <row r="26" spans="1:18" x14ac:dyDescent="0.25">
      <c r="A26" s="4"/>
      <c r="B26" s="241" cm="1">
        <f t="array" ref="B26">Table40[a. Program]</f>
        <v>0</v>
      </c>
      <c r="C26" s="242">
        <f>' 3 Contract Info'!$B$22</f>
        <v>0</v>
      </c>
      <c r="D26" s="238">
        <f>' 7 Agile Detail'!$D$23</f>
        <v>0</v>
      </c>
      <c r="E26" s="238">
        <f>' 7 Agile Detail'!$E$23</f>
        <v>0</v>
      </c>
      <c r="F26" s="11"/>
      <c r="G26" s="11"/>
      <c r="H26" s="208"/>
      <c r="I26" s="201"/>
      <c r="J26" s="201"/>
      <c r="K26" s="353"/>
      <c r="L26" s="353"/>
      <c r="M26" s="342"/>
      <c r="N26" s="342"/>
      <c r="O26" s="353"/>
      <c r="P26" s="353"/>
      <c r="Q26" s="353"/>
      <c r="R26" s="209"/>
    </row>
    <row r="27" spans="1:18" x14ac:dyDescent="0.25">
      <c r="A27" s="4"/>
      <c r="B27" s="241" cm="1">
        <f t="array" ref="B27">Table40[a. Program]</f>
        <v>0</v>
      </c>
      <c r="C27" s="242">
        <f>' 3 Contract Info'!$B$22</f>
        <v>0</v>
      </c>
      <c r="D27" s="238">
        <f>' 7 Agile Detail'!$D$23</f>
        <v>0</v>
      </c>
      <c r="E27" s="238">
        <f>' 7 Agile Detail'!$E$23</f>
        <v>0</v>
      </c>
      <c r="F27" s="11"/>
      <c r="G27" s="11"/>
      <c r="H27" s="208"/>
      <c r="I27" s="201"/>
      <c r="J27" s="201"/>
      <c r="K27" s="353"/>
      <c r="L27" s="353"/>
      <c r="M27" s="342"/>
      <c r="N27" s="342"/>
      <c r="O27" s="353"/>
      <c r="P27" s="353"/>
      <c r="Q27" s="353"/>
      <c r="R27" s="209"/>
    </row>
    <row r="28" spans="1:18" x14ac:dyDescent="0.25">
      <c r="A28" s="4"/>
      <c r="B28" s="241" cm="1">
        <f t="array" ref="B28">Table40[a. Program]</f>
        <v>0</v>
      </c>
      <c r="C28" s="242">
        <f>' 3 Contract Info'!$B$22</f>
        <v>0</v>
      </c>
      <c r="D28" s="238">
        <f>' 7 Agile Detail'!$D$23</f>
        <v>0</v>
      </c>
      <c r="E28" s="238">
        <f>' 7 Agile Detail'!$E$23</f>
        <v>0</v>
      </c>
      <c r="F28" s="11"/>
      <c r="G28" s="11"/>
      <c r="H28" s="208"/>
      <c r="I28" s="201"/>
      <c r="J28" s="201"/>
      <c r="K28" s="353"/>
      <c r="L28" s="353"/>
      <c r="M28" s="342"/>
      <c r="N28" s="342"/>
      <c r="O28" s="353"/>
      <c r="P28" s="353"/>
      <c r="Q28" s="353"/>
      <c r="R28" s="209"/>
    </row>
    <row r="29" spans="1:18" x14ac:dyDescent="0.25">
      <c r="A29" s="4"/>
      <c r="B29" s="241" cm="1">
        <f t="array" ref="B29">Table40[a. Program]</f>
        <v>0</v>
      </c>
      <c r="C29" s="242">
        <f>' 3 Contract Info'!$B$22</f>
        <v>0</v>
      </c>
      <c r="D29" s="238">
        <f>' 7 Agile Detail'!$D$23</f>
        <v>0</v>
      </c>
      <c r="E29" s="238">
        <f>' 7 Agile Detail'!$E$23</f>
        <v>0</v>
      </c>
      <c r="F29" s="11"/>
      <c r="G29" s="11"/>
      <c r="H29" s="208"/>
      <c r="I29" s="201"/>
      <c r="J29" s="201"/>
      <c r="K29" s="353"/>
      <c r="L29" s="353"/>
      <c r="M29" s="342"/>
      <c r="N29" s="342"/>
      <c r="O29" s="353"/>
      <c r="P29" s="353"/>
      <c r="Q29" s="353"/>
      <c r="R29" s="209"/>
    </row>
    <row r="30" spans="1:18" x14ac:dyDescent="0.25">
      <c r="A30" s="4"/>
      <c r="B30" s="241" cm="1">
        <f t="array" ref="B30">Table40[a. Program]</f>
        <v>0</v>
      </c>
      <c r="C30" s="242">
        <f>' 3 Contract Info'!$B$22</f>
        <v>0</v>
      </c>
      <c r="D30" s="238">
        <f>' 7 Agile Detail'!$D$23</f>
        <v>0</v>
      </c>
      <c r="E30" s="238">
        <f>' 7 Agile Detail'!$E$23</f>
        <v>0</v>
      </c>
      <c r="F30" s="11"/>
      <c r="G30" s="11"/>
      <c r="H30" s="208"/>
      <c r="I30" s="201"/>
      <c r="J30" s="201"/>
      <c r="K30" s="353"/>
      <c r="L30" s="353"/>
      <c r="M30" s="342"/>
      <c r="N30" s="342"/>
      <c r="O30" s="353"/>
      <c r="P30" s="353"/>
      <c r="Q30" s="353"/>
      <c r="R30" s="209"/>
    </row>
    <row r="31" spans="1:18" x14ac:dyDescent="0.25">
      <c r="A31" s="4"/>
      <c r="B31" s="241" cm="1">
        <f t="array" ref="B31">Table40[a. Program]</f>
        <v>0</v>
      </c>
      <c r="C31" s="242">
        <f>' 3 Contract Info'!$B$22</f>
        <v>0</v>
      </c>
      <c r="D31" s="238">
        <f>' 7 Agile Detail'!$D$23</f>
        <v>0</v>
      </c>
      <c r="E31" s="238">
        <f>' 7 Agile Detail'!$E$23</f>
        <v>0</v>
      </c>
      <c r="F31" s="11"/>
      <c r="G31" s="11"/>
      <c r="H31" s="208"/>
      <c r="I31" s="201"/>
      <c r="J31" s="201"/>
      <c r="K31" s="353"/>
      <c r="L31" s="353"/>
      <c r="M31" s="342"/>
      <c r="N31" s="342"/>
      <c r="O31" s="353"/>
      <c r="P31" s="353"/>
      <c r="Q31" s="353"/>
      <c r="R31" s="209"/>
    </row>
    <row r="32" spans="1:18" x14ac:dyDescent="0.25">
      <c r="A32" s="4"/>
      <c r="B32" s="241" cm="1">
        <f t="array" ref="B32">Table40[a. Program]</f>
        <v>0</v>
      </c>
      <c r="C32" s="242">
        <f>' 3 Contract Info'!$B$22</f>
        <v>0</v>
      </c>
      <c r="D32" s="238">
        <f>' 7 Agile Detail'!$D$23</f>
        <v>0</v>
      </c>
      <c r="E32" s="238">
        <f>' 7 Agile Detail'!$E$23</f>
        <v>0</v>
      </c>
      <c r="F32" s="11"/>
      <c r="G32" s="11"/>
      <c r="H32" s="208"/>
      <c r="I32" s="201"/>
      <c r="J32" s="201"/>
      <c r="K32" s="353"/>
      <c r="L32" s="353"/>
      <c r="M32" s="342"/>
      <c r="N32" s="342"/>
      <c r="O32" s="353"/>
      <c r="P32" s="353"/>
      <c r="Q32" s="353"/>
      <c r="R32" s="209"/>
    </row>
    <row r="33" spans="1:18" x14ac:dyDescent="0.25">
      <c r="A33" s="4"/>
      <c r="B33" s="241" cm="1">
        <f t="array" ref="B33">Table40[a. Program]</f>
        <v>0</v>
      </c>
      <c r="C33" s="242">
        <f>' 3 Contract Info'!$B$22</f>
        <v>0</v>
      </c>
      <c r="D33" s="238">
        <f>' 7 Agile Detail'!$D$23</f>
        <v>0</v>
      </c>
      <c r="E33" s="238">
        <f>' 7 Agile Detail'!$E$23</f>
        <v>0</v>
      </c>
      <c r="F33" s="11"/>
      <c r="G33" s="11"/>
      <c r="H33" s="208"/>
      <c r="I33" s="201"/>
      <c r="J33" s="201"/>
      <c r="K33" s="353"/>
      <c r="L33" s="353"/>
      <c r="M33" s="342"/>
      <c r="N33" s="342"/>
      <c r="O33" s="353"/>
      <c r="P33" s="353"/>
      <c r="Q33" s="353"/>
      <c r="R33" s="209"/>
    </row>
    <row r="34" spans="1:18" x14ac:dyDescent="0.25">
      <c r="A34" s="4"/>
      <c r="B34" s="241" cm="1">
        <f t="array" ref="B34">Table40[a. Program]</f>
        <v>0</v>
      </c>
      <c r="C34" s="242">
        <f>' 3 Contract Info'!$B$22</f>
        <v>0</v>
      </c>
      <c r="D34" s="238">
        <f>' 7 Agile Detail'!$D$23</f>
        <v>0</v>
      </c>
      <c r="E34" s="238">
        <f>' 7 Agile Detail'!$E$23</f>
        <v>0</v>
      </c>
      <c r="F34" s="11"/>
      <c r="G34" s="11"/>
      <c r="H34" s="208"/>
      <c r="I34" s="201"/>
      <c r="J34" s="201"/>
      <c r="K34" s="353"/>
      <c r="L34" s="353"/>
      <c r="M34" s="342"/>
      <c r="N34" s="342"/>
      <c r="O34" s="353"/>
      <c r="P34" s="353"/>
      <c r="Q34" s="353"/>
      <c r="R34" s="209"/>
    </row>
    <row r="35" spans="1:18" x14ac:dyDescent="0.25">
      <c r="A35" s="4"/>
      <c r="B35" s="241" cm="1">
        <f t="array" ref="B35">Table40[a. Program]</f>
        <v>0</v>
      </c>
      <c r="C35" s="242">
        <f>' 3 Contract Info'!$B$22</f>
        <v>0</v>
      </c>
      <c r="D35" s="238">
        <f>' 7 Agile Detail'!$D$23</f>
        <v>0</v>
      </c>
      <c r="E35" s="238">
        <f>' 7 Agile Detail'!$E$23</f>
        <v>0</v>
      </c>
      <c r="F35" s="11"/>
      <c r="G35" s="11"/>
      <c r="H35" s="208"/>
      <c r="I35" s="201"/>
      <c r="J35" s="201"/>
      <c r="K35" s="353"/>
      <c r="L35" s="353"/>
      <c r="M35" s="342"/>
      <c r="N35" s="342"/>
      <c r="O35" s="353"/>
      <c r="P35" s="353"/>
      <c r="Q35" s="353"/>
      <c r="R35" s="209"/>
    </row>
    <row r="36" spans="1:18" x14ac:dyDescent="0.25">
      <c r="A36" s="4"/>
      <c r="B36" s="241" cm="1">
        <f t="array" ref="B36">Table40[a. Program]</f>
        <v>0</v>
      </c>
      <c r="C36" s="242">
        <f>' 3 Contract Info'!$B$22</f>
        <v>0</v>
      </c>
      <c r="D36" s="238">
        <f>' 7 Agile Detail'!$D$23</f>
        <v>0</v>
      </c>
      <c r="E36" s="238">
        <f>' 7 Agile Detail'!$E$23</f>
        <v>0</v>
      </c>
      <c r="F36" s="11"/>
      <c r="G36" s="11"/>
      <c r="H36" s="208"/>
      <c r="I36" s="201"/>
      <c r="J36" s="201"/>
      <c r="K36" s="353"/>
      <c r="L36" s="353"/>
      <c r="M36" s="342"/>
      <c r="N36" s="342"/>
      <c r="O36" s="353"/>
      <c r="P36" s="353"/>
      <c r="Q36" s="353"/>
      <c r="R36" s="209"/>
    </row>
    <row r="37" spans="1:18" x14ac:dyDescent="0.25">
      <c r="A37" s="4"/>
      <c r="B37" s="241" cm="1">
        <f t="array" ref="B37">Table40[a. Program]</f>
        <v>0</v>
      </c>
      <c r="C37" s="242">
        <f>' 3 Contract Info'!$B$22</f>
        <v>0</v>
      </c>
      <c r="D37" s="238">
        <f>' 7 Agile Detail'!$D$23</f>
        <v>0</v>
      </c>
      <c r="E37" s="238">
        <f>' 7 Agile Detail'!$E$23</f>
        <v>0</v>
      </c>
      <c r="F37" s="11"/>
      <c r="G37" s="11"/>
      <c r="H37" s="208"/>
      <c r="I37" s="201"/>
      <c r="J37" s="201"/>
      <c r="K37" s="353"/>
      <c r="L37" s="353"/>
      <c r="M37" s="342"/>
      <c r="N37" s="342"/>
      <c r="O37" s="353"/>
      <c r="P37" s="353"/>
      <c r="Q37" s="353"/>
      <c r="R37" s="209"/>
    </row>
    <row r="38" spans="1:18" x14ac:dyDescent="0.25">
      <c r="A38" s="4"/>
      <c r="B38" s="241" cm="1">
        <f t="array" ref="B38">Table40[a. Program]</f>
        <v>0</v>
      </c>
      <c r="C38" s="242">
        <f>' 3 Contract Info'!$B$22</f>
        <v>0</v>
      </c>
      <c r="D38" s="238">
        <f>' 7 Agile Detail'!$D$23</f>
        <v>0</v>
      </c>
      <c r="E38" s="238">
        <f>' 7 Agile Detail'!$E$23</f>
        <v>0</v>
      </c>
      <c r="F38" s="11"/>
      <c r="G38" s="11"/>
      <c r="H38" s="208"/>
      <c r="I38" s="201"/>
      <c r="J38" s="201"/>
      <c r="K38" s="353"/>
      <c r="L38" s="353"/>
      <c r="M38" s="342"/>
      <c r="N38" s="342"/>
      <c r="O38" s="353"/>
      <c r="P38" s="353"/>
      <c r="Q38" s="353"/>
      <c r="R38" s="209"/>
    </row>
    <row r="39" spans="1:18" x14ac:dyDescent="0.25">
      <c r="A39" s="4"/>
      <c r="B39" s="241" cm="1">
        <f t="array" ref="B39">Table40[a. Program]</f>
        <v>0</v>
      </c>
      <c r="C39" s="242">
        <f>' 3 Contract Info'!$B$22</f>
        <v>0</v>
      </c>
      <c r="D39" s="238">
        <f>' 7 Agile Detail'!$D$23</f>
        <v>0</v>
      </c>
      <c r="E39" s="238">
        <f>' 7 Agile Detail'!$E$23</f>
        <v>0</v>
      </c>
      <c r="F39" s="11"/>
      <c r="G39" s="11"/>
      <c r="H39" s="208"/>
      <c r="I39" s="201"/>
      <c r="J39" s="201"/>
      <c r="K39" s="353"/>
      <c r="L39" s="353"/>
      <c r="M39" s="342"/>
      <c r="N39" s="342"/>
      <c r="O39" s="353"/>
      <c r="P39" s="353"/>
      <c r="Q39" s="353"/>
      <c r="R39" s="209"/>
    </row>
    <row r="40" spans="1:18" x14ac:dyDescent="0.25">
      <c r="A40" s="4"/>
      <c r="B40" s="241" cm="1">
        <f t="array" ref="B40">Table40[a. Program]</f>
        <v>0</v>
      </c>
      <c r="C40" s="242">
        <f>' 3 Contract Info'!$B$22</f>
        <v>0</v>
      </c>
      <c r="D40" s="238">
        <f>' 7 Agile Detail'!$D$23</f>
        <v>0</v>
      </c>
      <c r="E40" s="238">
        <f>' 7 Agile Detail'!$E$23</f>
        <v>0</v>
      </c>
      <c r="F40" s="11"/>
      <c r="G40" s="11"/>
      <c r="H40" s="208"/>
      <c r="I40" s="201"/>
      <c r="J40" s="201"/>
      <c r="K40" s="353"/>
      <c r="L40" s="353"/>
      <c r="M40" s="342"/>
      <c r="N40" s="342"/>
      <c r="O40" s="353"/>
      <c r="P40" s="353"/>
      <c r="Q40" s="353"/>
      <c r="R40" s="209"/>
    </row>
    <row r="41" spans="1:18" x14ac:dyDescent="0.25">
      <c r="A41" s="4"/>
      <c r="B41" s="241" cm="1">
        <f t="array" ref="B41">Table40[a. Program]</f>
        <v>0</v>
      </c>
      <c r="C41" s="242">
        <f>' 3 Contract Info'!$B$22</f>
        <v>0</v>
      </c>
      <c r="D41" s="238">
        <f>' 7 Agile Detail'!$D$23</f>
        <v>0</v>
      </c>
      <c r="E41" s="238">
        <f>' 7 Agile Detail'!$E$23</f>
        <v>0</v>
      </c>
      <c r="F41" s="11"/>
      <c r="G41" s="11"/>
      <c r="H41" s="208"/>
      <c r="I41" s="201"/>
      <c r="J41" s="201"/>
      <c r="K41" s="353"/>
      <c r="L41" s="353"/>
      <c r="M41" s="342"/>
      <c r="N41" s="342"/>
      <c r="O41" s="353"/>
      <c r="P41" s="353"/>
      <c r="Q41" s="353"/>
      <c r="R41" s="209"/>
    </row>
    <row r="42" spans="1:18" x14ac:dyDescent="0.25">
      <c r="A42" s="4"/>
      <c r="B42" s="241" cm="1">
        <f t="array" ref="B42">Table40[a. Program]</f>
        <v>0</v>
      </c>
      <c r="C42" s="242">
        <f>' 3 Contract Info'!$B$22</f>
        <v>0</v>
      </c>
      <c r="D42" s="238">
        <f>' 7 Agile Detail'!$D$23</f>
        <v>0</v>
      </c>
      <c r="E42" s="238">
        <f>' 7 Agile Detail'!$E$23</f>
        <v>0</v>
      </c>
      <c r="F42" s="11"/>
      <c r="G42" s="11"/>
      <c r="H42" s="208"/>
      <c r="I42" s="201"/>
      <c r="J42" s="201"/>
      <c r="K42" s="353"/>
      <c r="L42" s="353"/>
      <c r="M42" s="342"/>
      <c r="N42" s="342"/>
      <c r="O42" s="353"/>
      <c r="P42" s="353"/>
      <c r="Q42" s="353"/>
      <c r="R42" s="209"/>
    </row>
    <row r="43" spans="1:18" x14ac:dyDescent="0.25">
      <c r="A43" s="4"/>
      <c r="B43" s="241" cm="1">
        <f t="array" ref="B43">Table40[a. Program]</f>
        <v>0</v>
      </c>
      <c r="C43" s="242">
        <f>' 3 Contract Info'!$B$22</f>
        <v>0</v>
      </c>
      <c r="D43" s="238">
        <f>' 7 Agile Detail'!$D$23</f>
        <v>0</v>
      </c>
      <c r="E43" s="238">
        <f>' 7 Agile Detail'!$E$23</f>
        <v>0</v>
      </c>
      <c r="F43" s="11"/>
      <c r="G43" s="11"/>
      <c r="H43" s="208"/>
      <c r="I43" s="201"/>
      <c r="J43" s="201"/>
      <c r="K43" s="353"/>
      <c r="L43" s="353"/>
      <c r="M43" s="342"/>
      <c r="N43" s="342"/>
      <c r="O43" s="353"/>
      <c r="P43" s="353"/>
      <c r="Q43" s="353"/>
      <c r="R43" s="209"/>
    </row>
    <row r="44" spans="1:18" x14ac:dyDescent="0.25">
      <c r="A44" s="4"/>
      <c r="B44" s="241" cm="1">
        <f t="array" ref="B44">Table40[a. Program]</f>
        <v>0</v>
      </c>
      <c r="C44" s="242">
        <f>' 3 Contract Info'!$B$22</f>
        <v>0</v>
      </c>
      <c r="D44" s="238">
        <f>' 7 Agile Detail'!$D$23</f>
        <v>0</v>
      </c>
      <c r="E44" s="238">
        <f>' 7 Agile Detail'!$E$23</f>
        <v>0</v>
      </c>
      <c r="F44" s="11"/>
      <c r="G44" s="11"/>
      <c r="H44" s="208"/>
      <c r="I44" s="201"/>
      <c r="J44" s="201"/>
      <c r="K44" s="353"/>
      <c r="L44" s="353"/>
      <c r="M44" s="342"/>
      <c r="N44" s="342"/>
      <c r="O44" s="353"/>
      <c r="P44" s="353"/>
      <c r="Q44" s="353"/>
      <c r="R44" s="209"/>
    </row>
    <row r="45" spans="1:18" x14ac:dyDescent="0.25">
      <c r="A45" s="4"/>
      <c r="B45" s="241" cm="1">
        <f t="array" ref="B45">Table40[a. Program]</f>
        <v>0</v>
      </c>
      <c r="C45" s="242">
        <f>' 3 Contract Info'!$B$22</f>
        <v>0</v>
      </c>
      <c r="D45" s="238">
        <f>' 7 Agile Detail'!$D$23</f>
        <v>0</v>
      </c>
      <c r="E45" s="238">
        <f>' 7 Agile Detail'!$E$23</f>
        <v>0</v>
      </c>
      <c r="F45" s="11"/>
      <c r="G45" s="11"/>
      <c r="H45" s="208"/>
      <c r="I45" s="201"/>
      <c r="J45" s="201"/>
      <c r="K45" s="353"/>
      <c r="L45" s="353"/>
      <c r="M45" s="342"/>
      <c r="N45" s="342"/>
      <c r="O45" s="353"/>
      <c r="P45" s="353"/>
      <c r="Q45" s="353"/>
      <c r="R45" s="209"/>
    </row>
    <row r="46" spans="1:18" x14ac:dyDescent="0.25">
      <c r="A46" s="4"/>
      <c r="B46" s="241" cm="1">
        <f t="array" ref="B46">Table40[a. Program]</f>
        <v>0</v>
      </c>
      <c r="C46" s="242">
        <f>' 3 Contract Info'!$B$22</f>
        <v>0</v>
      </c>
      <c r="D46" s="238">
        <f>' 7 Agile Detail'!$D$23</f>
        <v>0</v>
      </c>
      <c r="E46" s="238">
        <f>' 7 Agile Detail'!$E$23</f>
        <v>0</v>
      </c>
      <c r="F46" s="11"/>
      <c r="G46" s="11"/>
      <c r="H46" s="208"/>
      <c r="I46" s="201"/>
      <c r="J46" s="201"/>
      <c r="K46" s="353"/>
      <c r="L46" s="353"/>
      <c r="M46" s="342"/>
      <c r="N46" s="342"/>
      <c r="O46" s="353"/>
      <c r="P46" s="353"/>
      <c r="Q46" s="353"/>
      <c r="R46" s="209"/>
    </row>
    <row r="47" spans="1:18" x14ac:dyDescent="0.25">
      <c r="A47" s="4"/>
      <c r="B47" s="241" cm="1">
        <f t="array" ref="B47">Table40[a. Program]</f>
        <v>0</v>
      </c>
      <c r="C47" s="242">
        <f>' 3 Contract Info'!$B$22</f>
        <v>0</v>
      </c>
      <c r="D47" s="238">
        <f>' 7 Agile Detail'!$D$23</f>
        <v>0</v>
      </c>
      <c r="E47" s="238">
        <f>' 7 Agile Detail'!$E$23</f>
        <v>0</v>
      </c>
      <c r="F47" s="11"/>
      <c r="G47" s="11"/>
      <c r="H47" s="208"/>
      <c r="I47" s="201"/>
      <c r="J47" s="201"/>
      <c r="K47" s="353"/>
      <c r="L47" s="353"/>
      <c r="M47" s="342"/>
      <c r="N47" s="342"/>
      <c r="O47" s="353"/>
      <c r="P47" s="353"/>
      <c r="Q47" s="353"/>
      <c r="R47" s="209"/>
    </row>
    <row r="48" spans="1:18" x14ac:dyDescent="0.25">
      <c r="A48" s="4"/>
      <c r="B48" s="241" cm="1">
        <f t="array" ref="B48">Table40[a. Program]</f>
        <v>0</v>
      </c>
      <c r="C48" s="242">
        <f>' 3 Contract Info'!$B$22</f>
        <v>0</v>
      </c>
      <c r="D48" s="238">
        <f>' 7 Agile Detail'!$D$23</f>
        <v>0</v>
      </c>
      <c r="E48" s="238">
        <f>' 7 Agile Detail'!$E$23</f>
        <v>0</v>
      </c>
      <c r="F48" s="11"/>
      <c r="G48" s="11"/>
      <c r="H48" s="208"/>
      <c r="I48" s="201"/>
      <c r="J48" s="201"/>
      <c r="K48" s="353"/>
      <c r="L48" s="353"/>
      <c r="M48" s="342"/>
      <c r="N48" s="342"/>
      <c r="O48" s="353"/>
      <c r="P48" s="353"/>
      <c r="Q48" s="353"/>
      <c r="R48" s="209"/>
    </row>
    <row r="49" spans="1:18" x14ac:dyDescent="0.25">
      <c r="A49" s="4"/>
      <c r="B49" s="241" cm="1">
        <f t="array" ref="B49">Table40[a. Program]</f>
        <v>0</v>
      </c>
      <c r="C49" s="242">
        <f>' 3 Contract Info'!$B$22</f>
        <v>0</v>
      </c>
      <c r="D49" s="238">
        <f>' 7 Agile Detail'!$D$23</f>
        <v>0</v>
      </c>
      <c r="E49" s="238">
        <f>' 7 Agile Detail'!$E$23</f>
        <v>0</v>
      </c>
      <c r="F49" s="11"/>
      <c r="G49" s="11"/>
      <c r="H49" s="208"/>
      <c r="I49" s="201"/>
      <c r="J49" s="201"/>
      <c r="K49" s="353"/>
      <c r="L49" s="353"/>
      <c r="M49" s="342"/>
      <c r="N49" s="342"/>
      <c r="O49" s="353"/>
      <c r="P49" s="353"/>
      <c r="Q49" s="353"/>
      <c r="R49" s="209"/>
    </row>
    <row r="50" spans="1:18" x14ac:dyDescent="0.25">
      <c r="A50" s="4"/>
      <c r="B50" s="241" cm="1">
        <f t="array" ref="B50">Table40[a. Program]</f>
        <v>0</v>
      </c>
      <c r="C50" s="242">
        <f>' 3 Contract Info'!$B$22</f>
        <v>0</v>
      </c>
      <c r="D50" s="238">
        <f>' 7 Agile Detail'!$D$23</f>
        <v>0</v>
      </c>
      <c r="E50" s="238">
        <f>' 7 Agile Detail'!$E$23</f>
        <v>0</v>
      </c>
      <c r="F50" s="11"/>
      <c r="G50" s="11"/>
      <c r="H50" s="208"/>
      <c r="I50" s="201"/>
      <c r="J50" s="201"/>
      <c r="K50" s="353"/>
      <c r="L50" s="353"/>
      <c r="M50" s="342"/>
      <c r="N50" s="342"/>
      <c r="O50" s="353"/>
      <c r="P50" s="353"/>
      <c r="Q50" s="353"/>
      <c r="R50" s="209"/>
    </row>
    <row r="51" spans="1:18" x14ac:dyDescent="0.25">
      <c r="A51" s="4"/>
      <c r="B51" s="241" cm="1">
        <f t="array" ref="B51">Table40[a. Program]</f>
        <v>0</v>
      </c>
      <c r="C51" s="242">
        <f>' 3 Contract Info'!$B$22</f>
        <v>0</v>
      </c>
      <c r="D51" s="238">
        <f>' 7 Agile Detail'!$D$23</f>
        <v>0</v>
      </c>
      <c r="E51" s="238">
        <f>' 7 Agile Detail'!$E$23</f>
        <v>0</v>
      </c>
      <c r="F51" s="11"/>
      <c r="G51" s="11"/>
      <c r="H51" s="208"/>
      <c r="I51" s="201"/>
      <c r="J51" s="201"/>
      <c r="K51" s="353"/>
      <c r="L51" s="353"/>
      <c r="M51" s="342"/>
      <c r="N51" s="342"/>
      <c r="O51" s="353"/>
      <c r="P51" s="353"/>
      <c r="Q51" s="353"/>
      <c r="R51" s="209"/>
    </row>
    <row r="52" spans="1:18" x14ac:dyDescent="0.25">
      <c r="A52" s="4"/>
      <c r="B52" s="241" cm="1">
        <f t="array" ref="B52">Table40[a. Program]</f>
        <v>0</v>
      </c>
      <c r="C52" s="242">
        <f>' 3 Contract Info'!$B$22</f>
        <v>0</v>
      </c>
      <c r="D52" s="238">
        <f>' 7 Agile Detail'!$D$23</f>
        <v>0</v>
      </c>
      <c r="E52" s="238">
        <f>' 7 Agile Detail'!$E$23</f>
        <v>0</v>
      </c>
      <c r="F52" s="11"/>
      <c r="G52" s="11"/>
      <c r="H52" s="208"/>
      <c r="I52" s="201"/>
      <c r="J52" s="201"/>
      <c r="K52" s="353"/>
      <c r="L52" s="353"/>
      <c r="M52" s="342"/>
      <c r="N52" s="342"/>
      <c r="O52" s="353"/>
      <c r="P52" s="353"/>
      <c r="Q52" s="353"/>
      <c r="R52" s="209"/>
    </row>
    <row r="53" spans="1:18" x14ac:dyDescent="0.25">
      <c r="A53" s="4"/>
      <c r="B53" s="243" cm="1">
        <f t="array" ref="B53">Table40[a. Program]</f>
        <v>0</v>
      </c>
      <c r="C53" s="244">
        <f>' 3 Contract Info'!$B$22</f>
        <v>0</v>
      </c>
      <c r="D53" s="240">
        <f>' 7 Agile Detail'!$D$23</f>
        <v>0</v>
      </c>
      <c r="E53" s="240">
        <f>' 7 Agile Detail'!$E$23</f>
        <v>0</v>
      </c>
      <c r="F53" s="204"/>
      <c r="G53" s="204"/>
      <c r="H53" s="210"/>
      <c r="I53" s="203"/>
      <c r="J53" s="203"/>
      <c r="K53" s="354"/>
      <c r="L53" s="354"/>
      <c r="M53" s="343"/>
      <c r="N53" s="343"/>
      <c r="O53" s="354"/>
      <c r="P53" s="354"/>
      <c r="Q53" s="354"/>
      <c r="R53" s="207"/>
    </row>
  </sheetData>
  <mergeCells count="3">
    <mergeCell ref="O18:P18"/>
    <mergeCell ref="M18:N18"/>
    <mergeCell ref="D2:H2"/>
  </mergeCells>
  <dataValidations count="1">
    <dataValidation type="list" allowBlank="1" showInputMessage="1" showErrorMessage="1" sqref="H21:H53 H20" xr:uid="{97F871F2-9C90-4DA7-848E-50AB52CB527E}">
      <formula1>Data_Management</formula1>
    </dataValidation>
  </dataValidations>
  <printOptions headings="1" gridLines="1"/>
  <pageMargins left="0.25" right="0.25" top="0.75" bottom="0.5" header="0.3" footer="0.3"/>
  <pageSetup orientation="landscape" cellComments="atEnd" r:id="rId1"/>
  <headerFooter>
    <oddHeader>&amp;C&amp;"Courier"&amp;12UNCLASSIFIED</oddHeader>
    <oddFooter>&amp;C&amp;"Courier"&amp;12UNCLASSIFIED</oddFooter>
  </headerFooter>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5650-1124-4016-B12D-94BD68C7FEA1}">
  <sheetPr>
    <tabColor theme="8"/>
    <pageSetUpPr autoPageBreaks="0" fitToPage="1"/>
  </sheetPr>
  <dimension ref="A2:P38"/>
  <sheetViews>
    <sheetView showGridLines="0" topLeftCell="B1" zoomScale="70" zoomScaleNormal="70" workbookViewId="0">
      <selection activeCell="D22" sqref="D22"/>
    </sheetView>
  </sheetViews>
  <sheetFormatPr defaultColWidth="9.140625" defaultRowHeight="15" x14ac:dyDescent="0.25"/>
  <cols>
    <col min="1" max="1" width="2.85546875" style="3" customWidth="1"/>
    <col min="2" max="2" width="10.28515625" style="3" customWidth="1"/>
    <col min="3" max="3" width="11.85546875" style="3" customWidth="1"/>
    <col min="4" max="4" width="12.85546875" style="3" customWidth="1"/>
    <col min="5" max="5" width="11.85546875" style="3" customWidth="1"/>
    <col min="6" max="6" width="12.85546875" style="3" customWidth="1"/>
    <col min="7" max="7" width="21.42578125" style="3" customWidth="1"/>
    <col min="8" max="8" width="19.140625" style="3" customWidth="1"/>
    <col min="9" max="9" width="12.7109375" style="3" customWidth="1"/>
    <col min="10" max="10" width="19.140625" style="3" customWidth="1"/>
    <col min="11" max="12" width="16.7109375" style="3" customWidth="1"/>
    <col min="13" max="13" width="9.140625" style="3"/>
    <col min="14" max="14" width="16.7109375" style="3" customWidth="1"/>
    <col min="15" max="15" width="16.5703125" style="3" customWidth="1"/>
    <col min="16" max="16" width="15.5703125" style="3" customWidth="1"/>
    <col min="17" max="17" width="16.140625" style="3" customWidth="1"/>
    <col min="18" max="18" width="45.5703125" style="3" customWidth="1"/>
    <col min="19" max="19" width="70.140625" style="3" customWidth="1"/>
    <col min="20" max="20" width="54" style="3" customWidth="1"/>
    <col min="21" max="16384" width="9.140625" style="3"/>
  </cols>
  <sheetData>
    <row r="2" spans="4:11" ht="15.75" x14ac:dyDescent="0.25">
      <c r="D2" s="355" t="s">
        <v>600</v>
      </c>
      <c r="E2" s="355"/>
      <c r="F2" s="355"/>
      <c r="G2" s="355"/>
      <c r="H2" s="355"/>
    </row>
    <row r="6" spans="4:11" ht="15.75" thickBot="1" x14ac:dyDescent="0.3"/>
    <row r="7" spans="4:11" ht="15.75" x14ac:dyDescent="0.25">
      <c r="F7" s="22"/>
      <c r="G7" s="36" t="s">
        <v>198</v>
      </c>
      <c r="H7" s="23"/>
      <c r="I7" s="23"/>
      <c r="J7" s="24"/>
      <c r="K7" s="25"/>
    </row>
    <row r="8" spans="4:11" x14ac:dyDescent="0.25">
      <c r="F8" s="26"/>
      <c r="G8" s="27" t="s">
        <v>191</v>
      </c>
      <c r="H8" s="28"/>
      <c r="I8" s="28"/>
      <c r="J8" s="29"/>
      <c r="K8" s="30"/>
    </row>
    <row r="9" spans="4:11" x14ac:dyDescent="0.25">
      <c r="F9" s="26"/>
      <c r="G9" s="27" t="s">
        <v>192</v>
      </c>
      <c r="H9" s="28"/>
      <c r="I9" s="28"/>
      <c r="J9" s="29"/>
      <c r="K9" s="30"/>
    </row>
    <row r="10" spans="4:11" x14ac:dyDescent="0.25">
      <c r="F10" s="26"/>
      <c r="G10" s="27" t="s">
        <v>193</v>
      </c>
      <c r="H10" s="28"/>
      <c r="I10" s="28"/>
      <c r="J10" s="29"/>
      <c r="K10" s="30"/>
    </row>
    <row r="11" spans="4:11" x14ac:dyDescent="0.25">
      <c r="F11" s="26"/>
      <c r="G11" s="27" t="s">
        <v>194</v>
      </c>
      <c r="H11" s="28"/>
      <c r="I11" s="28"/>
      <c r="J11" s="29"/>
      <c r="K11" s="30"/>
    </row>
    <row r="12" spans="4:11" x14ac:dyDescent="0.25">
      <c r="F12" s="26"/>
      <c r="G12" s="27" t="s">
        <v>195</v>
      </c>
      <c r="H12" s="28"/>
      <c r="I12" s="28"/>
      <c r="J12" s="29"/>
      <c r="K12" s="30"/>
    </row>
    <row r="13" spans="4:11" x14ac:dyDescent="0.25">
      <c r="F13" s="26"/>
      <c r="G13" s="27" t="s">
        <v>196</v>
      </c>
      <c r="H13" s="28"/>
      <c r="I13" s="28"/>
      <c r="J13" s="29"/>
      <c r="K13" s="30"/>
    </row>
    <row r="14" spans="4:11" ht="15.75" thickBot="1" x14ac:dyDescent="0.3">
      <c r="F14" s="31"/>
      <c r="G14" s="32" t="s">
        <v>197</v>
      </c>
      <c r="H14" s="33"/>
      <c r="I14" s="33"/>
      <c r="J14" s="34"/>
      <c r="K14" s="35"/>
    </row>
    <row r="17" spans="1:16" s="110" customFormat="1" ht="47.25" customHeight="1" x14ac:dyDescent="0.25">
      <c r="B17" s="7" t="s">
        <v>30</v>
      </c>
      <c r="C17" s="5" t="s">
        <v>31</v>
      </c>
      <c r="D17" s="5" t="s">
        <v>474</v>
      </c>
      <c r="E17" s="5" t="s">
        <v>33</v>
      </c>
      <c r="F17" s="5" t="s">
        <v>475</v>
      </c>
      <c r="G17" s="5" t="s">
        <v>476</v>
      </c>
      <c r="H17" s="5" t="s">
        <v>477</v>
      </c>
      <c r="I17" s="5" t="s">
        <v>478</v>
      </c>
      <c r="J17" s="5" t="s">
        <v>479</v>
      </c>
      <c r="K17" s="5" t="s">
        <v>480</v>
      </c>
      <c r="L17" s="5" t="s">
        <v>481</v>
      </c>
      <c r="M17" s="5" t="s">
        <v>482</v>
      </c>
      <c r="N17" s="5" t="s">
        <v>483</v>
      </c>
      <c r="O17" s="5" t="s">
        <v>484</v>
      </c>
      <c r="P17" s="6" t="s">
        <v>39</v>
      </c>
    </row>
    <row r="18" spans="1:16" x14ac:dyDescent="0.25">
      <c r="B18" s="241" cm="1">
        <f t="array" ref="B18">Table40[a. Program]</f>
        <v>0</v>
      </c>
      <c r="C18" s="242">
        <f>' 3 Contract Info'!$B$22</f>
        <v>0</v>
      </c>
      <c r="D18" s="12"/>
      <c r="E18" s="12"/>
      <c r="F18" s="201"/>
      <c r="G18" s="201"/>
      <c r="H18" s="201"/>
      <c r="I18" s="201"/>
      <c r="J18" s="211"/>
      <c r="K18" s="211"/>
      <c r="L18" s="211"/>
      <c r="M18" s="211"/>
      <c r="N18" s="211"/>
      <c r="O18" s="201"/>
      <c r="P18" s="209"/>
    </row>
    <row r="19" spans="1:16" x14ac:dyDescent="0.25">
      <c r="B19" s="241" cm="1">
        <f t="array" ref="B19">Table40[a. Program]</f>
        <v>0</v>
      </c>
      <c r="C19" s="242">
        <f>' 3 Contract Info'!$B$22</f>
        <v>0</v>
      </c>
      <c r="D19" s="11"/>
      <c r="E19" s="11"/>
      <c r="F19" s="11"/>
      <c r="G19" s="11"/>
      <c r="H19" s="11"/>
      <c r="I19" s="11"/>
      <c r="J19" s="11"/>
      <c r="K19" s="11"/>
      <c r="L19" s="11"/>
      <c r="M19" s="11"/>
      <c r="N19" s="11"/>
      <c r="O19" s="11"/>
      <c r="P19" s="209"/>
    </row>
    <row r="20" spans="1:16" x14ac:dyDescent="0.25">
      <c r="B20" s="241" cm="1">
        <f t="array" ref="B20">Table40[a. Program]</f>
        <v>0</v>
      </c>
      <c r="C20" s="242">
        <f>' 3 Contract Info'!$B$22</f>
        <v>0</v>
      </c>
      <c r="D20" s="12"/>
      <c r="E20" s="12"/>
      <c r="F20" s="11"/>
      <c r="G20" s="11"/>
      <c r="H20" s="11"/>
      <c r="I20" s="11"/>
      <c r="J20" s="11"/>
      <c r="K20" s="11"/>
      <c r="L20" s="11"/>
      <c r="M20" s="11"/>
      <c r="N20" s="11"/>
      <c r="O20" s="11"/>
      <c r="P20" s="209"/>
    </row>
    <row r="21" spans="1:16" x14ac:dyDescent="0.25">
      <c r="A21" s="4"/>
      <c r="B21" s="241" cm="1">
        <f t="array" ref="B21">Table40[a. Program]</f>
        <v>0</v>
      </c>
      <c r="C21" s="242">
        <f>' 3 Contract Info'!$B$22</f>
        <v>0</v>
      </c>
      <c r="D21" s="12"/>
      <c r="E21" s="12"/>
      <c r="F21" s="11"/>
      <c r="G21" s="11"/>
      <c r="H21" s="11"/>
      <c r="I21" s="11"/>
      <c r="J21" s="11"/>
      <c r="K21" s="11"/>
      <c r="L21" s="11"/>
      <c r="M21" s="11"/>
      <c r="N21" s="11"/>
      <c r="O21" s="11"/>
      <c r="P21" s="209"/>
    </row>
    <row r="22" spans="1:16" x14ac:dyDescent="0.25">
      <c r="A22" s="4"/>
      <c r="B22" s="241" cm="1">
        <f t="array" ref="B22">Table40[a. Program]</f>
        <v>0</v>
      </c>
      <c r="C22" s="242">
        <f>' 3 Contract Info'!$B$22</f>
        <v>0</v>
      </c>
      <c r="D22" s="12"/>
      <c r="E22" s="12"/>
      <c r="F22" s="11"/>
      <c r="G22" s="11"/>
      <c r="H22" s="11"/>
      <c r="I22" s="11"/>
      <c r="J22" s="11"/>
      <c r="K22" s="11"/>
      <c r="L22" s="11"/>
      <c r="M22" s="11"/>
      <c r="N22" s="11"/>
      <c r="O22" s="11"/>
      <c r="P22" s="209"/>
    </row>
    <row r="23" spans="1:16" x14ac:dyDescent="0.25">
      <c r="A23" s="4"/>
      <c r="B23" s="241" cm="1">
        <f t="array" ref="B23">Table40[a. Program]</f>
        <v>0</v>
      </c>
      <c r="C23" s="242">
        <f>' 3 Contract Info'!$B$22</f>
        <v>0</v>
      </c>
      <c r="D23" s="12"/>
      <c r="E23" s="12"/>
      <c r="F23" s="11"/>
      <c r="G23" s="11"/>
      <c r="H23" s="11"/>
      <c r="I23" s="11"/>
      <c r="J23" s="11"/>
      <c r="K23" s="11"/>
      <c r="L23" s="11"/>
      <c r="M23" s="11"/>
      <c r="N23" s="11"/>
      <c r="O23" s="11"/>
      <c r="P23" s="209"/>
    </row>
    <row r="24" spans="1:16" x14ac:dyDescent="0.25">
      <c r="A24" s="4"/>
      <c r="B24" s="241" cm="1">
        <f t="array" ref="B24">Table40[a. Program]</f>
        <v>0</v>
      </c>
      <c r="C24" s="242">
        <f>' 3 Contract Info'!$B$22</f>
        <v>0</v>
      </c>
      <c r="D24" s="11"/>
      <c r="E24" s="11"/>
      <c r="F24" s="11"/>
      <c r="G24" s="11"/>
      <c r="H24" s="11"/>
      <c r="I24" s="11"/>
      <c r="J24" s="11"/>
      <c r="K24" s="11"/>
      <c r="L24" s="11"/>
      <c r="M24" s="11"/>
      <c r="N24" s="11"/>
      <c r="O24" s="11"/>
      <c r="P24" s="209"/>
    </row>
    <row r="25" spans="1:16" x14ac:dyDescent="0.25">
      <c r="A25" s="4"/>
      <c r="B25" s="241" cm="1">
        <f t="array" ref="B25">Table40[a. Program]</f>
        <v>0</v>
      </c>
      <c r="C25" s="242">
        <f>' 3 Contract Info'!$B$22</f>
        <v>0</v>
      </c>
      <c r="D25" s="11"/>
      <c r="E25" s="11"/>
      <c r="F25" s="11"/>
      <c r="G25" s="11"/>
      <c r="H25" s="11"/>
      <c r="I25" s="11"/>
      <c r="J25" s="11"/>
      <c r="K25" s="11"/>
      <c r="L25" s="11"/>
      <c r="M25" s="11"/>
      <c r="N25" s="11"/>
      <c r="O25" s="11"/>
      <c r="P25" s="209"/>
    </row>
    <row r="26" spans="1:16" x14ac:dyDescent="0.25">
      <c r="A26" s="4"/>
      <c r="B26" s="241" cm="1">
        <f t="array" ref="B26">Table40[a. Program]</f>
        <v>0</v>
      </c>
      <c r="C26" s="242">
        <f>' 3 Contract Info'!$B$22</f>
        <v>0</v>
      </c>
      <c r="D26" s="11"/>
      <c r="E26" s="11"/>
      <c r="F26" s="11"/>
      <c r="G26" s="11"/>
      <c r="H26" s="11"/>
      <c r="I26" s="11"/>
      <c r="J26" s="11"/>
      <c r="K26" s="11"/>
      <c r="L26" s="11"/>
      <c r="M26" s="11"/>
      <c r="N26" s="11"/>
      <c r="O26" s="11"/>
      <c r="P26" s="209"/>
    </row>
    <row r="27" spans="1:16" x14ac:dyDescent="0.25">
      <c r="A27" s="4"/>
      <c r="B27" s="241" cm="1">
        <f t="array" ref="B27">Table40[a. Program]</f>
        <v>0</v>
      </c>
      <c r="C27" s="242">
        <f>' 3 Contract Info'!$B$22</f>
        <v>0</v>
      </c>
      <c r="D27" s="11"/>
      <c r="E27" s="11"/>
      <c r="F27" s="11"/>
      <c r="G27" s="11"/>
      <c r="H27" s="11"/>
      <c r="I27" s="11"/>
      <c r="J27" s="11"/>
      <c r="K27" s="11"/>
      <c r="L27" s="11"/>
      <c r="M27" s="11"/>
      <c r="N27" s="11"/>
      <c r="O27" s="11"/>
      <c r="P27" s="209"/>
    </row>
    <row r="28" spans="1:16" x14ac:dyDescent="0.25">
      <c r="A28" s="4"/>
      <c r="B28" s="241" cm="1">
        <f t="array" ref="B28">Table40[a. Program]</f>
        <v>0</v>
      </c>
      <c r="C28" s="242">
        <f>' 3 Contract Info'!$B$22</f>
        <v>0</v>
      </c>
      <c r="D28" s="11"/>
      <c r="E28" s="11"/>
      <c r="F28" s="11"/>
      <c r="G28" s="11"/>
      <c r="H28" s="11"/>
      <c r="I28" s="11"/>
      <c r="J28" s="11"/>
      <c r="K28" s="11"/>
      <c r="L28" s="11"/>
      <c r="M28" s="11"/>
      <c r="N28" s="11"/>
      <c r="O28" s="11"/>
      <c r="P28" s="209"/>
    </row>
    <row r="29" spans="1:16" x14ac:dyDescent="0.25">
      <c r="A29" s="4"/>
      <c r="B29" s="241" cm="1">
        <f t="array" ref="B29">Table40[a. Program]</f>
        <v>0</v>
      </c>
      <c r="C29" s="242">
        <f>' 3 Contract Info'!$B$22</f>
        <v>0</v>
      </c>
      <c r="D29" s="11"/>
      <c r="E29" s="11"/>
      <c r="F29" s="11"/>
      <c r="G29" s="11"/>
      <c r="H29" s="11"/>
      <c r="I29" s="11"/>
      <c r="J29" s="11"/>
      <c r="K29" s="11"/>
      <c r="L29" s="11"/>
      <c r="M29" s="11"/>
      <c r="N29" s="11"/>
      <c r="O29" s="11"/>
      <c r="P29" s="209"/>
    </row>
    <row r="30" spans="1:16" x14ac:dyDescent="0.25">
      <c r="A30" s="4"/>
      <c r="B30" s="241" cm="1">
        <f t="array" ref="B30">Table40[a. Program]</f>
        <v>0</v>
      </c>
      <c r="C30" s="242">
        <f>' 3 Contract Info'!$B$22</f>
        <v>0</v>
      </c>
      <c r="D30" s="11"/>
      <c r="E30" s="11"/>
      <c r="F30" s="11"/>
      <c r="G30" s="11"/>
      <c r="H30" s="11"/>
      <c r="I30" s="11"/>
      <c r="J30" s="11"/>
      <c r="K30" s="11"/>
      <c r="L30" s="11"/>
      <c r="M30" s="11"/>
      <c r="N30" s="11"/>
      <c r="O30" s="11"/>
      <c r="P30" s="209"/>
    </row>
    <row r="31" spans="1:16" x14ac:dyDescent="0.25">
      <c r="A31" s="4"/>
      <c r="B31" s="241" cm="1">
        <f t="array" ref="B31">Table40[a. Program]</f>
        <v>0</v>
      </c>
      <c r="C31" s="242">
        <f>' 3 Contract Info'!$B$22</f>
        <v>0</v>
      </c>
      <c r="D31" s="11"/>
      <c r="E31" s="11"/>
      <c r="F31" s="11"/>
      <c r="G31" s="11"/>
      <c r="H31" s="11"/>
      <c r="I31" s="11"/>
      <c r="J31" s="11"/>
      <c r="K31" s="11"/>
      <c r="L31" s="11"/>
      <c r="M31" s="11"/>
      <c r="N31" s="11"/>
      <c r="O31" s="11"/>
      <c r="P31" s="209"/>
    </row>
    <row r="32" spans="1:16" x14ac:dyDescent="0.25">
      <c r="A32" s="4"/>
      <c r="B32" s="241" cm="1">
        <f t="array" ref="B32">Table40[a. Program]</f>
        <v>0</v>
      </c>
      <c r="C32" s="242">
        <f>' 3 Contract Info'!$B$22</f>
        <v>0</v>
      </c>
      <c r="D32" s="11"/>
      <c r="E32" s="11"/>
      <c r="F32" s="11"/>
      <c r="G32" s="11"/>
      <c r="H32" s="11"/>
      <c r="I32" s="11"/>
      <c r="J32" s="11"/>
      <c r="K32" s="11"/>
      <c r="L32" s="11"/>
      <c r="M32" s="11"/>
      <c r="N32" s="11"/>
      <c r="O32" s="11"/>
      <c r="P32" s="209"/>
    </row>
    <row r="33" spans="1:16" x14ac:dyDescent="0.25">
      <c r="A33" s="4"/>
      <c r="B33" s="241" cm="1">
        <f t="array" ref="B33">Table40[a. Program]</f>
        <v>0</v>
      </c>
      <c r="C33" s="242">
        <f>' 3 Contract Info'!$B$22</f>
        <v>0</v>
      </c>
      <c r="D33" s="11"/>
      <c r="E33" s="11"/>
      <c r="F33" s="11"/>
      <c r="G33" s="11"/>
      <c r="H33" s="11"/>
      <c r="I33" s="11"/>
      <c r="J33" s="11"/>
      <c r="K33" s="11"/>
      <c r="L33" s="11"/>
      <c r="M33" s="11"/>
      <c r="N33" s="11"/>
      <c r="O33" s="11"/>
      <c r="P33" s="209"/>
    </row>
    <row r="34" spans="1:16" x14ac:dyDescent="0.25">
      <c r="A34" s="4"/>
      <c r="B34" s="241" cm="1">
        <f t="array" ref="B34">Table40[a. Program]</f>
        <v>0</v>
      </c>
      <c r="C34" s="242">
        <f>' 3 Contract Info'!$B$22</f>
        <v>0</v>
      </c>
      <c r="D34" s="11"/>
      <c r="E34" s="11"/>
      <c r="F34" s="11"/>
      <c r="G34" s="11"/>
      <c r="H34" s="11"/>
      <c r="I34" s="11"/>
      <c r="J34" s="11"/>
      <c r="K34" s="11"/>
      <c r="L34" s="11"/>
      <c r="M34" s="11"/>
      <c r="N34" s="11"/>
      <c r="O34" s="11"/>
      <c r="P34" s="209"/>
    </row>
    <row r="35" spans="1:16" x14ac:dyDescent="0.25">
      <c r="A35" s="4"/>
      <c r="B35" s="241" cm="1">
        <f t="array" ref="B35">Table40[a. Program]</f>
        <v>0</v>
      </c>
      <c r="C35" s="242">
        <f>' 3 Contract Info'!$B$22</f>
        <v>0</v>
      </c>
      <c r="D35" s="11"/>
      <c r="E35" s="11"/>
      <c r="F35" s="11"/>
      <c r="G35" s="11"/>
      <c r="H35" s="11"/>
      <c r="I35" s="11"/>
      <c r="J35" s="11"/>
      <c r="K35" s="11"/>
      <c r="L35" s="11"/>
      <c r="M35" s="11"/>
      <c r="N35" s="11"/>
      <c r="O35" s="11"/>
      <c r="P35" s="209"/>
    </row>
    <row r="36" spans="1:16" x14ac:dyDescent="0.25">
      <c r="A36" s="4"/>
      <c r="B36" s="241" cm="1">
        <f t="array" ref="B36">Table40[a. Program]</f>
        <v>0</v>
      </c>
      <c r="C36" s="242">
        <f>' 3 Contract Info'!$B$22</f>
        <v>0</v>
      </c>
      <c r="D36" s="11"/>
      <c r="E36" s="11"/>
      <c r="F36" s="11"/>
      <c r="G36" s="11"/>
      <c r="H36" s="11"/>
      <c r="I36" s="11"/>
      <c r="J36" s="11"/>
      <c r="K36" s="11"/>
      <c r="L36" s="11"/>
      <c r="M36" s="11"/>
      <c r="N36" s="11"/>
      <c r="O36" s="11"/>
      <c r="P36" s="209"/>
    </row>
    <row r="37" spans="1:16" x14ac:dyDescent="0.25">
      <c r="A37" s="4"/>
      <c r="B37" s="241" cm="1">
        <f t="array" ref="B37">Table40[a. Program]</f>
        <v>0</v>
      </c>
      <c r="C37" s="242">
        <f>' 3 Contract Info'!$B$22</f>
        <v>0</v>
      </c>
      <c r="D37" s="11"/>
      <c r="E37" s="11"/>
      <c r="F37" s="11"/>
      <c r="G37" s="11"/>
      <c r="H37" s="11"/>
      <c r="I37" s="11"/>
      <c r="J37" s="11"/>
      <c r="K37" s="11"/>
      <c r="L37" s="11"/>
      <c r="M37" s="11"/>
      <c r="N37" s="11"/>
      <c r="O37" s="11"/>
      <c r="P37" s="209"/>
    </row>
    <row r="38" spans="1:16" x14ac:dyDescent="0.25">
      <c r="A38" s="4"/>
      <c r="B38" s="243" cm="1">
        <f t="array" ref="B38">Table40[a. Program]</f>
        <v>0</v>
      </c>
      <c r="C38" s="244">
        <f>' 3 Contract Info'!$B$22</f>
        <v>0</v>
      </c>
      <c r="D38" s="204"/>
      <c r="E38" s="204"/>
      <c r="F38" s="204"/>
      <c r="G38" s="204"/>
      <c r="H38" s="204"/>
      <c r="I38" s="204"/>
      <c r="J38" s="204"/>
      <c r="K38" s="204"/>
      <c r="L38" s="204"/>
      <c r="M38" s="204"/>
      <c r="N38" s="204"/>
      <c r="O38" s="204"/>
      <c r="P38" s="207"/>
    </row>
  </sheetData>
  <mergeCells count="1">
    <mergeCell ref="D2:H2"/>
  </mergeCells>
  <printOptions headings="1" gridLines="1"/>
  <pageMargins left="0.25" right="0.25" top="0.75" bottom="0.5" header="0.3" footer="0.3"/>
  <pageSetup orientation="landscape" cellComments="atEnd" r:id="rId1"/>
  <headerFooter>
    <oddHeader>&amp;C&amp;"Courier"&amp;12UNCLASSIFIED</oddHeader>
    <oddFooter>&amp;C&amp;"Courier"&amp;12UNCLASSIFIED</oddFoot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F160D-726E-4121-80D3-2560E52B9079}">
  <sheetPr>
    <tabColor theme="8"/>
    <pageSetUpPr fitToPage="1"/>
  </sheetPr>
  <dimension ref="B2:R52"/>
  <sheetViews>
    <sheetView showGridLines="0" zoomScale="70" zoomScaleNormal="70" workbookViewId="0">
      <selection activeCell="D2" sqref="D2:H2"/>
    </sheetView>
  </sheetViews>
  <sheetFormatPr defaultColWidth="9.140625" defaultRowHeight="15" x14ac:dyDescent="0.25"/>
  <cols>
    <col min="1" max="1" width="3.7109375" style="3" customWidth="1"/>
    <col min="2" max="2" width="23.140625" style="3" customWidth="1"/>
    <col min="3" max="3" width="22" style="3" customWidth="1"/>
    <col min="4" max="4" width="20.28515625" style="3" bestFit="1" customWidth="1"/>
    <col min="5" max="5" width="25.42578125" style="3" customWidth="1"/>
    <col min="6" max="6" width="17.42578125" style="3" customWidth="1"/>
    <col min="7" max="7" width="16.140625" style="3" customWidth="1"/>
    <col min="8" max="8" width="24" style="3" bestFit="1" customWidth="1"/>
    <col min="9" max="9" width="16.7109375" style="3" customWidth="1"/>
    <col min="10" max="10" width="16.28515625" style="3" customWidth="1"/>
    <col min="11" max="11" width="18.140625" style="3" customWidth="1"/>
    <col min="12" max="12" width="12" style="3" customWidth="1"/>
    <col min="13" max="14" width="13.7109375" style="3" customWidth="1"/>
    <col min="15" max="15" width="37.85546875" style="3" customWidth="1"/>
    <col min="16" max="16384" width="9.140625" style="3"/>
  </cols>
  <sheetData>
    <row r="2" spans="2:11" ht="15.75" x14ac:dyDescent="0.25">
      <c r="D2" s="355" t="s">
        <v>600</v>
      </c>
      <c r="E2" s="355"/>
      <c r="F2" s="355"/>
      <c r="G2" s="355"/>
      <c r="H2" s="355"/>
    </row>
    <row r="6" spans="2:11" ht="15.75" thickBot="1" x14ac:dyDescent="0.3"/>
    <row r="7" spans="2:11" ht="15.75" x14ac:dyDescent="0.25">
      <c r="F7" s="22"/>
      <c r="G7" s="36" t="s">
        <v>198</v>
      </c>
      <c r="H7" s="23"/>
      <c r="I7" s="23"/>
      <c r="J7" s="24"/>
      <c r="K7" s="25"/>
    </row>
    <row r="8" spans="2:11" x14ac:dyDescent="0.25">
      <c r="F8" s="26"/>
      <c r="G8" s="27" t="s">
        <v>191</v>
      </c>
      <c r="H8" s="28"/>
      <c r="I8" s="28"/>
      <c r="J8" s="29"/>
      <c r="K8" s="30"/>
    </row>
    <row r="9" spans="2:11" x14ac:dyDescent="0.25">
      <c r="F9" s="26"/>
      <c r="G9" s="27" t="s">
        <v>192</v>
      </c>
      <c r="H9" s="28"/>
      <c r="I9" s="28"/>
      <c r="J9" s="29"/>
      <c r="K9" s="30"/>
    </row>
    <row r="10" spans="2:11" x14ac:dyDescent="0.25">
      <c r="F10" s="26"/>
      <c r="G10" s="27" t="s">
        <v>193</v>
      </c>
      <c r="H10" s="28"/>
      <c r="I10" s="28"/>
      <c r="J10" s="29"/>
      <c r="K10" s="30"/>
    </row>
    <row r="11" spans="2:11" x14ac:dyDescent="0.25">
      <c r="F11" s="26"/>
      <c r="G11" s="27" t="s">
        <v>194</v>
      </c>
      <c r="H11" s="28"/>
      <c r="I11" s="28"/>
      <c r="J11" s="29"/>
      <c r="K11" s="30"/>
    </row>
    <row r="12" spans="2:11" x14ac:dyDescent="0.25">
      <c r="F12" s="26"/>
      <c r="G12" s="27" t="s">
        <v>195</v>
      </c>
      <c r="H12" s="28"/>
      <c r="I12" s="28"/>
      <c r="J12" s="29"/>
      <c r="K12" s="30"/>
    </row>
    <row r="13" spans="2:11" x14ac:dyDescent="0.25">
      <c r="F13" s="26"/>
      <c r="G13" s="27" t="s">
        <v>196</v>
      </c>
      <c r="H13" s="28"/>
      <c r="I13" s="28"/>
      <c r="J13" s="29"/>
      <c r="K13" s="30"/>
    </row>
    <row r="14" spans="2:11" ht="15.75" thickBot="1" x14ac:dyDescent="0.3">
      <c r="F14" s="31"/>
      <c r="G14" s="32" t="s">
        <v>197</v>
      </c>
      <c r="H14" s="33"/>
      <c r="I14" s="33"/>
      <c r="J14" s="34"/>
      <c r="K14" s="35"/>
    </row>
    <row r="16" spans="2:11" s="8" customFormat="1" ht="12.75" x14ac:dyDescent="0.2">
      <c r="B16" s="9"/>
      <c r="C16" s="9"/>
      <c r="D16" s="9"/>
      <c r="E16" s="9"/>
      <c r="F16" s="10"/>
      <c r="G16" s="10"/>
      <c r="H16" s="10"/>
    </row>
    <row r="17" spans="2:18" s="8" customFormat="1" ht="12.75" x14ac:dyDescent="0.2">
      <c r="B17" s="9"/>
      <c r="C17" s="9"/>
      <c r="D17" s="9"/>
      <c r="E17" s="9"/>
      <c r="F17" s="10"/>
      <c r="G17" s="10"/>
      <c r="H17" s="10"/>
    </row>
    <row r="18" spans="2:18" s="8" customFormat="1" ht="13.5" thickBot="1" x14ac:dyDescent="0.25">
      <c r="B18" s="84" t="s">
        <v>471</v>
      </c>
      <c r="C18" s="9"/>
      <c r="D18" s="9"/>
      <c r="E18" s="9"/>
      <c r="F18" s="10"/>
      <c r="G18" s="10"/>
      <c r="H18" s="10"/>
    </row>
    <row r="19" spans="2:18" s="108" customFormat="1" ht="38.25" x14ac:dyDescent="0.2">
      <c r="B19" s="214" t="s">
        <v>30</v>
      </c>
      <c r="C19" s="149" t="s">
        <v>472</v>
      </c>
      <c r="D19" s="149" t="s">
        <v>550</v>
      </c>
      <c r="E19" s="149" t="s">
        <v>551</v>
      </c>
      <c r="F19" s="149" t="s">
        <v>583</v>
      </c>
      <c r="G19" s="149" t="s">
        <v>584</v>
      </c>
      <c r="H19" s="149" t="s">
        <v>585</v>
      </c>
      <c r="I19" s="149" t="s">
        <v>784</v>
      </c>
      <c r="J19" s="149" t="s">
        <v>785</v>
      </c>
      <c r="K19" s="149" t="s">
        <v>786</v>
      </c>
      <c r="L19" s="149" t="s">
        <v>787</v>
      </c>
      <c r="M19" s="149" t="s">
        <v>788</v>
      </c>
      <c r="N19" s="149" t="s">
        <v>789</v>
      </c>
    </row>
    <row r="20" spans="2:18" s="8" customFormat="1" x14ac:dyDescent="0.25">
      <c r="B20" s="246" cm="1">
        <f t="array" ref="B20">Table40[a. Program]</f>
        <v>0</v>
      </c>
      <c r="C20" s="188"/>
      <c r="D20" s="334"/>
      <c r="E20" s="188"/>
      <c r="F20" s="188"/>
      <c r="G20" s="188"/>
      <c r="H20" s="188"/>
      <c r="I20" s="188"/>
      <c r="J20" s="334"/>
      <c r="K20" s="334"/>
      <c r="L20" s="334"/>
      <c r="M20" s="188"/>
      <c r="N20" s="349"/>
    </row>
    <row r="21" spans="2:18" s="8" customFormat="1" x14ac:dyDescent="0.25">
      <c r="B21" s="245" cm="1">
        <f t="array" ref="B21">Table40[a. Program]</f>
        <v>0</v>
      </c>
      <c r="C21" s="212"/>
      <c r="D21" s="222"/>
      <c r="E21" s="212"/>
      <c r="F21" s="212"/>
      <c r="G21" s="212"/>
      <c r="H21" s="212"/>
      <c r="I21" s="212"/>
      <c r="J21" s="222"/>
      <c r="K21" s="222"/>
      <c r="L21" s="222"/>
      <c r="M21" s="212"/>
      <c r="N21" s="350"/>
    </row>
    <row r="22" spans="2:18" s="8" customFormat="1" x14ac:dyDescent="0.25">
      <c r="B22" s="246" cm="1">
        <f t="array" ref="B22">Table40[a. Program]</f>
        <v>0</v>
      </c>
      <c r="C22" s="213"/>
      <c r="D22" s="220"/>
      <c r="E22" s="213"/>
      <c r="F22" s="213"/>
      <c r="G22" s="213"/>
      <c r="H22" s="213"/>
      <c r="I22" s="213"/>
      <c r="J22" s="220"/>
      <c r="K22" s="220"/>
      <c r="L22" s="220"/>
      <c r="M22" s="213"/>
      <c r="N22" s="351"/>
    </row>
    <row r="23" spans="2:18" s="8" customFormat="1" ht="15.75" thickBot="1" x14ac:dyDescent="0.3">
      <c r="B23" s="247" cm="1">
        <f t="array" ref="B23">Table40[a. Program]</f>
        <v>0</v>
      </c>
      <c r="C23" s="217"/>
      <c r="D23" s="226"/>
      <c r="E23" s="217"/>
      <c r="F23" s="217"/>
      <c r="G23" s="217"/>
      <c r="H23" s="217"/>
      <c r="I23" s="217"/>
      <c r="J23" s="226"/>
      <c r="K23" s="226"/>
      <c r="L23" s="226"/>
      <c r="M23" s="217"/>
      <c r="N23" s="352"/>
    </row>
    <row r="24" spans="2:18" s="8" customFormat="1" x14ac:dyDescent="0.25">
      <c r="B24" s="3"/>
      <c r="C24" s="3"/>
      <c r="D24" s="9"/>
      <c r="E24" s="9"/>
      <c r="F24" s="10"/>
      <c r="G24" s="10"/>
      <c r="H24" s="10"/>
    </row>
    <row r="25" spans="2:18" ht="15.75" thickBot="1" x14ac:dyDescent="0.3">
      <c r="B25" s="85" t="s">
        <v>473</v>
      </c>
    </row>
    <row r="26" spans="2:18" s="110" customFormat="1" ht="25.5" x14ac:dyDescent="0.25">
      <c r="B26" s="214" t="s">
        <v>790</v>
      </c>
      <c r="C26" s="149" t="s">
        <v>791</v>
      </c>
      <c r="D26" s="149" t="s">
        <v>792</v>
      </c>
      <c r="E26" s="149" t="s">
        <v>793</v>
      </c>
      <c r="F26" s="149" t="s">
        <v>794</v>
      </c>
      <c r="G26" s="149" t="s">
        <v>795</v>
      </c>
      <c r="H26" s="149" t="s">
        <v>796</v>
      </c>
      <c r="I26" s="149" t="s">
        <v>797</v>
      </c>
      <c r="J26" s="149" t="s">
        <v>798</v>
      </c>
      <c r="K26" s="149" t="s">
        <v>799</v>
      </c>
      <c r="L26" s="149" t="s">
        <v>800</v>
      </c>
      <c r="M26" s="149" t="s">
        <v>801</v>
      </c>
      <c r="N26" s="149" t="s">
        <v>802</v>
      </c>
      <c r="O26" s="223" t="s">
        <v>803</v>
      </c>
    </row>
    <row r="27" spans="2:18" x14ac:dyDescent="0.25">
      <c r="B27" s="246" cm="1">
        <f t="array" ref="B27">Table40[a. Program]</f>
        <v>0</v>
      </c>
      <c r="C27" s="248">
        <f>' 3 Contract Info'!$B$22</f>
        <v>0</v>
      </c>
      <c r="D27" s="249">
        <f>' 7 Agile Detail'!$D$23</f>
        <v>0</v>
      </c>
      <c r="E27" s="249">
        <f>' 7 Agile Detail'!$E$23</f>
        <v>0</v>
      </c>
      <c r="F27" s="188"/>
      <c r="G27" s="188"/>
      <c r="H27" s="219"/>
      <c r="I27" s="219"/>
      <c r="J27" s="177"/>
      <c r="K27" s="219"/>
      <c r="L27" s="219"/>
      <c r="M27" s="220"/>
      <c r="N27" s="220"/>
      <c r="O27" s="191"/>
      <c r="P27" s="86"/>
      <c r="Q27" s="86"/>
      <c r="R27" s="86"/>
    </row>
    <row r="28" spans="2:18" x14ac:dyDescent="0.25">
      <c r="B28" s="245" cm="1">
        <f t="array" ref="B28">Table40[a. Program]</f>
        <v>0</v>
      </c>
      <c r="C28" s="250">
        <f>' 3 Contract Info'!$B$22</f>
        <v>0</v>
      </c>
      <c r="D28" s="250">
        <f>' 7 Agile Detail'!$D$23</f>
        <v>0</v>
      </c>
      <c r="E28" s="250">
        <f>' 7 Agile Detail'!$E$23</f>
        <v>0</v>
      </c>
      <c r="F28" s="212"/>
      <c r="G28" s="212"/>
      <c r="H28" s="221"/>
      <c r="I28" s="221"/>
      <c r="J28" s="177"/>
      <c r="K28" s="221"/>
      <c r="L28" s="221"/>
      <c r="M28" s="222"/>
      <c r="N28" s="222"/>
      <c r="O28" s="215"/>
      <c r="P28" s="86"/>
      <c r="Q28" s="86"/>
      <c r="R28" s="86"/>
    </row>
    <row r="29" spans="2:18" x14ac:dyDescent="0.25">
      <c r="B29" s="246" cm="1">
        <f t="array" ref="B29">Table40[a. Program]</f>
        <v>0</v>
      </c>
      <c r="C29" s="251">
        <f>' 3 Contract Info'!$B$22</f>
        <v>0</v>
      </c>
      <c r="D29" s="251">
        <f>' 7 Agile Detail'!$D$23</f>
        <v>0</v>
      </c>
      <c r="E29" s="251">
        <f>' 7 Agile Detail'!$E$23</f>
        <v>0</v>
      </c>
      <c r="F29" s="213"/>
      <c r="G29" s="213"/>
      <c r="H29" s="219"/>
      <c r="I29" s="219"/>
      <c r="J29" s="177"/>
      <c r="K29" s="219"/>
      <c r="L29" s="219"/>
      <c r="M29" s="220"/>
      <c r="N29" s="220"/>
      <c r="O29" s="216"/>
      <c r="P29" s="86"/>
      <c r="Q29" s="86"/>
      <c r="R29" s="86"/>
    </row>
    <row r="30" spans="2:18" x14ac:dyDescent="0.25">
      <c r="B30" s="245" cm="1">
        <f t="array" ref="B30">Table40[a. Program]</f>
        <v>0</v>
      </c>
      <c r="C30" s="250">
        <f>' 3 Contract Info'!$B$22</f>
        <v>0</v>
      </c>
      <c r="D30" s="250">
        <f>' 7 Agile Detail'!$D$23</f>
        <v>0</v>
      </c>
      <c r="E30" s="250">
        <f>' 7 Agile Detail'!$E$23</f>
        <v>0</v>
      </c>
      <c r="F30" s="212"/>
      <c r="G30" s="212"/>
      <c r="H30" s="221"/>
      <c r="I30" s="221"/>
      <c r="J30" s="177"/>
      <c r="K30" s="221"/>
      <c r="L30" s="221"/>
      <c r="M30" s="222"/>
      <c r="N30" s="222"/>
      <c r="O30" s="215"/>
      <c r="P30" s="86"/>
      <c r="Q30" s="86"/>
      <c r="R30" s="86"/>
    </row>
    <row r="31" spans="2:18" x14ac:dyDescent="0.25">
      <c r="B31" s="246" cm="1">
        <f t="array" ref="B31">Table40[a. Program]</f>
        <v>0</v>
      </c>
      <c r="C31" s="251">
        <f>' 3 Contract Info'!$B$22</f>
        <v>0</v>
      </c>
      <c r="D31" s="251">
        <f>' 7 Agile Detail'!$D$23</f>
        <v>0</v>
      </c>
      <c r="E31" s="251">
        <f>' 7 Agile Detail'!$E$23</f>
        <v>0</v>
      </c>
      <c r="F31" s="213"/>
      <c r="G31" s="213"/>
      <c r="H31" s="219"/>
      <c r="I31" s="219"/>
      <c r="J31" s="177"/>
      <c r="K31" s="219"/>
      <c r="L31" s="219"/>
      <c r="M31" s="220"/>
      <c r="N31" s="220"/>
      <c r="O31" s="216"/>
      <c r="P31" s="86"/>
      <c r="Q31" s="86"/>
      <c r="R31" s="86"/>
    </row>
    <row r="32" spans="2:18" x14ac:dyDescent="0.25">
      <c r="B32" s="245" cm="1">
        <f t="array" ref="B32">Table40[a. Program]</f>
        <v>0</v>
      </c>
      <c r="C32" s="250">
        <f>' 3 Contract Info'!$B$22</f>
        <v>0</v>
      </c>
      <c r="D32" s="250">
        <f>' 7 Agile Detail'!$D$23</f>
        <v>0</v>
      </c>
      <c r="E32" s="250">
        <f>' 7 Agile Detail'!$E$23</f>
        <v>0</v>
      </c>
      <c r="F32" s="212"/>
      <c r="G32" s="212"/>
      <c r="H32" s="221"/>
      <c r="I32" s="221"/>
      <c r="J32" s="177"/>
      <c r="K32" s="221"/>
      <c r="L32" s="221"/>
      <c r="M32" s="222"/>
      <c r="N32" s="222"/>
      <c r="O32" s="215"/>
      <c r="P32" s="86"/>
      <c r="Q32" s="86"/>
      <c r="R32" s="86"/>
    </row>
    <row r="33" spans="2:18" x14ac:dyDescent="0.25">
      <c r="B33" s="246" cm="1">
        <f t="array" ref="B33">Table40[a. Program]</f>
        <v>0</v>
      </c>
      <c r="C33" s="251">
        <f>' 3 Contract Info'!$B$22</f>
        <v>0</v>
      </c>
      <c r="D33" s="251">
        <f>' 7 Agile Detail'!$D$23</f>
        <v>0</v>
      </c>
      <c r="E33" s="251">
        <f>' 7 Agile Detail'!$E$23</f>
        <v>0</v>
      </c>
      <c r="F33" s="213"/>
      <c r="G33" s="213"/>
      <c r="H33" s="219"/>
      <c r="I33" s="219"/>
      <c r="J33" s="177"/>
      <c r="K33" s="219"/>
      <c r="L33" s="219"/>
      <c r="M33" s="220"/>
      <c r="N33" s="220"/>
      <c r="O33" s="216"/>
      <c r="P33" s="86"/>
      <c r="Q33" s="86"/>
      <c r="R33" s="86"/>
    </row>
    <row r="34" spans="2:18" x14ac:dyDescent="0.25">
      <c r="B34" s="245" cm="1">
        <f t="array" ref="B34">Table40[a. Program]</f>
        <v>0</v>
      </c>
      <c r="C34" s="250">
        <f>' 3 Contract Info'!$B$22</f>
        <v>0</v>
      </c>
      <c r="D34" s="250">
        <f>' 7 Agile Detail'!$D$23</f>
        <v>0</v>
      </c>
      <c r="E34" s="250">
        <f>' 7 Agile Detail'!$E$23</f>
        <v>0</v>
      </c>
      <c r="F34" s="212"/>
      <c r="G34" s="212"/>
      <c r="H34" s="221"/>
      <c r="I34" s="221"/>
      <c r="J34" s="177"/>
      <c r="K34" s="221"/>
      <c r="L34" s="221"/>
      <c r="M34" s="222"/>
      <c r="N34" s="222"/>
      <c r="O34" s="215"/>
      <c r="P34" s="86"/>
      <c r="Q34" s="86"/>
      <c r="R34" s="86"/>
    </row>
    <row r="35" spans="2:18" x14ac:dyDescent="0.25">
      <c r="B35" s="246" cm="1">
        <f t="array" ref="B35">Table40[a. Program]</f>
        <v>0</v>
      </c>
      <c r="C35" s="251">
        <f>' 3 Contract Info'!$B$22</f>
        <v>0</v>
      </c>
      <c r="D35" s="251">
        <f>' 7 Agile Detail'!$D$23</f>
        <v>0</v>
      </c>
      <c r="E35" s="251">
        <f>' 7 Agile Detail'!$E$23</f>
        <v>0</v>
      </c>
      <c r="F35" s="213"/>
      <c r="G35" s="213"/>
      <c r="H35" s="219"/>
      <c r="I35" s="219"/>
      <c r="J35" s="177"/>
      <c r="K35" s="219"/>
      <c r="L35" s="219"/>
      <c r="M35" s="220"/>
      <c r="N35" s="220"/>
      <c r="O35" s="216"/>
      <c r="P35" s="86"/>
      <c r="Q35" s="86"/>
      <c r="R35" s="86"/>
    </row>
    <row r="36" spans="2:18" x14ac:dyDescent="0.25">
      <c r="B36" s="245" cm="1">
        <f t="array" ref="B36">Table40[a. Program]</f>
        <v>0</v>
      </c>
      <c r="C36" s="250">
        <f>' 3 Contract Info'!$B$22</f>
        <v>0</v>
      </c>
      <c r="D36" s="250">
        <f>' 7 Agile Detail'!$D$23</f>
        <v>0</v>
      </c>
      <c r="E36" s="250">
        <f>' 7 Agile Detail'!$E$23</f>
        <v>0</v>
      </c>
      <c r="F36" s="212"/>
      <c r="G36" s="212"/>
      <c r="H36" s="221"/>
      <c r="I36" s="221"/>
      <c r="J36" s="177"/>
      <c r="K36" s="221"/>
      <c r="L36" s="221"/>
      <c r="M36" s="222"/>
      <c r="N36" s="222"/>
      <c r="O36" s="215"/>
      <c r="P36" s="86"/>
      <c r="Q36" s="86"/>
      <c r="R36" s="86"/>
    </row>
    <row r="37" spans="2:18" x14ac:dyDescent="0.25">
      <c r="B37" s="246" cm="1">
        <f t="array" ref="B37">Table40[a. Program]</f>
        <v>0</v>
      </c>
      <c r="C37" s="251">
        <f>' 3 Contract Info'!$B$22</f>
        <v>0</v>
      </c>
      <c r="D37" s="251">
        <f>' 7 Agile Detail'!$D$23</f>
        <v>0</v>
      </c>
      <c r="E37" s="251">
        <f>' 7 Agile Detail'!$E$23</f>
        <v>0</v>
      </c>
      <c r="F37" s="213"/>
      <c r="G37" s="213"/>
      <c r="H37" s="219"/>
      <c r="I37" s="219"/>
      <c r="J37" s="177"/>
      <c r="K37" s="219"/>
      <c r="L37" s="219"/>
      <c r="M37" s="220"/>
      <c r="N37" s="220"/>
      <c r="O37" s="216"/>
      <c r="P37" s="86"/>
      <c r="Q37" s="86"/>
      <c r="R37" s="86"/>
    </row>
    <row r="38" spans="2:18" x14ac:dyDescent="0.25">
      <c r="B38" s="245" cm="1">
        <f t="array" ref="B38">Table40[a. Program]</f>
        <v>0</v>
      </c>
      <c r="C38" s="250">
        <f>' 3 Contract Info'!$B$22</f>
        <v>0</v>
      </c>
      <c r="D38" s="250">
        <f>' 7 Agile Detail'!$D$23</f>
        <v>0</v>
      </c>
      <c r="E38" s="250">
        <f>' 7 Agile Detail'!$E$23</f>
        <v>0</v>
      </c>
      <c r="F38" s="212"/>
      <c r="G38" s="212"/>
      <c r="H38" s="221"/>
      <c r="I38" s="221"/>
      <c r="J38" s="177"/>
      <c r="K38" s="221"/>
      <c r="L38" s="221"/>
      <c r="M38" s="222"/>
      <c r="N38" s="222"/>
      <c r="O38" s="215"/>
      <c r="P38" s="86"/>
      <c r="Q38" s="86"/>
      <c r="R38" s="86"/>
    </row>
    <row r="39" spans="2:18" x14ac:dyDescent="0.25">
      <c r="B39" s="246" cm="1">
        <f t="array" ref="B39">Table40[a. Program]</f>
        <v>0</v>
      </c>
      <c r="C39" s="251">
        <f>' 3 Contract Info'!$B$22</f>
        <v>0</v>
      </c>
      <c r="D39" s="251">
        <f>' 7 Agile Detail'!$D$23</f>
        <v>0</v>
      </c>
      <c r="E39" s="251">
        <f>' 7 Agile Detail'!$E$23</f>
        <v>0</v>
      </c>
      <c r="F39" s="213"/>
      <c r="G39" s="213"/>
      <c r="H39" s="219"/>
      <c r="I39" s="219"/>
      <c r="J39" s="177"/>
      <c r="K39" s="219"/>
      <c r="L39" s="219"/>
      <c r="M39" s="220"/>
      <c r="N39" s="220"/>
      <c r="O39" s="216"/>
      <c r="P39" s="86"/>
      <c r="Q39" s="86"/>
      <c r="R39" s="86"/>
    </row>
    <row r="40" spans="2:18" x14ac:dyDescent="0.25">
      <c r="B40" s="245" cm="1">
        <f t="array" ref="B40">Table40[a. Program]</f>
        <v>0</v>
      </c>
      <c r="C40" s="250">
        <f>' 3 Contract Info'!$B$22</f>
        <v>0</v>
      </c>
      <c r="D40" s="250">
        <f>' 7 Agile Detail'!$D$23</f>
        <v>0</v>
      </c>
      <c r="E40" s="250">
        <f>' 7 Agile Detail'!$E$23</f>
        <v>0</v>
      </c>
      <c r="F40" s="212"/>
      <c r="G40" s="212"/>
      <c r="H40" s="221"/>
      <c r="I40" s="221"/>
      <c r="J40" s="177"/>
      <c r="K40" s="221"/>
      <c r="L40" s="221"/>
      <c r="M40" s="222"/>
      <c r="N40" s="222"/>
      <c r="O40" s="215"/>
      <c r="P40" s="86"/>
      <c r="Q40" s="86"/>
      <c r="R40" s="86"/>
    </row>
    <row r="41" spans="2:18" x14ac:dyDescent="0.25">
      <c r="B41" s="246" cm="1">
        <f t="array" ref="B41">Table40[a. Program]</f>
        <v>0</v>
      </c>
      <c r="C41" s="251">
        <f>' 3 Contract Info'!$B$22</f>
        <v>0</v>
      </c>
      <c r="D41" s="251">
        <f>' 7 Agile Detail'!$D$23</f>
        <v>0</v>
      </c>
      <c r="E41" s="251">
        <f>' 7 Agile Detail'!$E$23</f>
        <v>0</v>
      </c>
      <c r="F41" s="213"/>
      <c r="G41" s="213"/>
      <c r="H41" s="219"/>
      <c r="I41" s="219"/>
      <c r="J41" s="177"/>
      <c r="K41" s="219"/>
      <c r="L41" s="219"/>
      <c r="M41" s="220"/>
      <c r="N41" s="220"/>
      <c r="O41" s="216"/>
      <c r="P41" s="86"/>
      <c r="Q41" s="86"/>
      <c r="R41" s="86"/>
    </row>
    <row r="42" spans="2:18" x14ac:dyDescent="0.25">
      <c r="B42" s="245" cm="1">
        <f t="array" ref="B42">Table40[a. Program]</f>
        <v>0</v>
      </c>
      <c r="C42" s="250">
        <f>' 3 Contract Info'!$B$22</f>
        <v>0</v>
      </c>
      <c r="D42" s="250">
        <f>' 7 Agile Detail'!$D$23</f>
        <v>0</v>
      </c>
      <c r="E42" s="250">
        <f>' 7 Agile Detail'!$E$23</f>
        <v>0</v>
      </c>
      <c r="F42" s="212"/>
      <c r="G42" s="212"/>
      <c r="H42" s="221"/>
      <c r="I42" s="221"/>
      <c r="J42" s="177"/>
      <c r="K42" s="221"/>
      <c r="L42" s="221"/>
      <c r="M42" s="222"/>
      <c r="N42" s="222"/>
      <c r="O42" s="215"/>
      <c r="P42" s="86"/>
      <c r="Q42" s="86"/>
      <c r="R42" s="86"/>
    </row>
    <row r="43" spans="2:18" x14ac:dyDescent="0.25">
      <c r="B43" s="246" cm="1">
        <f t="array" ref="B43">Table40[a. Program]</f>
        <v>0</v>
      </c>
      <c r="C43" s="251">
        <f>' 3 Contract Info'!$B$22</f>
        <v>0</v>
      </c>
      <c r="D43" s="251">
        <f>' 7 Agile Detail'!$D$23</f>
        <v>0</v>
      </c>
      <c r="E43" s="251">
        <f>' 7 Agile Detail'!$E$23</f>
        <v>0</v>
      </c>
      <c r="F43" s="213"/>
      <c r="G43" s="213"/>
      <c r="H43" s="219"/>
      <c r="I43" s="219"/>
      <c r="J43" s="177"/>
      <c r="K43" s="219"/>
      <c r="L43" s="219"/>
      <c r="M43" s="220"/>
      <c r="N43" s="220"/>
      <c r="O43" s="216"/>
      <c r="P43" s="86"/>
      <c r="Q43" s="86"/>
      <c r="R43" s="86"/>
    </row>
    <row r="44" spans="2:18" x14ac:dyDescent="0.25">
      <c r="B44" s="245" cm="1">
        <f t="array" ref="B44">Table40[a. Program]</f>
        <v>0</v>
      </c>
      <c r="C44" s="250">
        <f>' 3 Contract Info'!$B$22</f>
        <v>0</v>
      </c>
      <c r="D44" s="250">
        <f>' 7 Agile Detail'!$D$23</f>
        <v>0</v>
      </c>
      <c r="E44" s="250">
        <f>' 7 Agile Detail'!$E$23</f>
        <v>0</v>
      </c>
      <c r="F44" s="212"/>
      <c r="G44" s="212"/>
      <c r="H44" s="221"/>
      <c r="I44" s="221"/>
      <c r="J44" s="177"/>
      <c r="K44" s="221"/>
      <c r="L44" s="221"/>
      <c r="M44" s="222"/>
      <c r="N44" s="222"/>
      <c r="O44" s="215"/>
      <c r="P44" s="86"/>
      <c r="Q44" s="86"/>
      <c r="R44" s="86"/>
    </row>
    <row r="45" spans="2:18" x14ac:dyDescent="0.25">
      <c r="B45" s="246" cm="1">
        <f t="array" ref="B45">Table40[a. Program]</f>
        <v>0</v>
      </c>
      <c r="C45" s="251">
        <f>' 3 Contract Info'!$B$22</f>
        <v>0</v>
      </c>
      <c r="D45" s="251">
        <f>' 7 Agile Detail'!$D$23</f>
        <v>0</v>
      </c>
      <c r="E45" s="251">
        <f>' 7 Agile Detail'!$E$23</f>
        <v>0</v>
      </c>
      <c r="F45" s="213"/>
      <c r="G45" s="213"/>
      <c r="H45" s="219"/>
      <c r="I45" s="219"/>
      <c r="J45" s="177"/>
      <c r="K45" s="219"/>
      <c r="L45" s="219"/>
      <c r="M45" s="220"/>
      <c r="N45" s="220"/>
      <c r="O45" s="216"/>
      <c r="P45" s="86"/>
      <c r="Q45" s="86"/>
      <c r="R45" s="86"/>
    </row>
    <row r="46" spans="2:18" x14ac:dyDescent="0.25">
      <c r="B46" s="245" cm="1">
        <f t="array" ref="B46">Table40[a. Program]</f>
        <v>0</v>
      </c>
      <c r="C46" s="250">
        <f>' 3 Contract Info'!$B$22</f>
        <v>0</v>
      </c>
      <c r="D46" s="250">
        <f>' 7 Agile Detail'!$D$23</f>
        <v>0</v>
      </c>
      <c r="E46" s="250">
        <f>' 7 Agile Detail'!$E$23</f>
        <v>0</v>
      </c>
      <c r="F46" s="212"/>
      <c r="G46" s="212"/>
      <c r="H46" s="221"/>
      <c r="I46" s="221"/>
      <c r="J46" s="177"/>
      <c r="K46" s="221"/>
      <c r="L46" s="221"/>
      <c r="M46" s="222"/>
      <c r="N46" s="222"/>
      <c r="O46" s="215"/>
      <c r="P46" s="86"/>
      <c r="Q46" s="86"/>
      <c r="R46" s="86"/>
    </row>
    <row r="47" spans="2:18" x14ac:dyDescent="0.25">
      <c r="B47" s="246" cm="1">
        <f t="array" ref="B47">Table40[a. Program]</f>
        <v>0</v>
      </c>
      <c r="C47" s="251">
        <f>' 3 Contract Info'!$B$22</f>
        <v>0</v>
      </c>
      <c r="D47" s="251">
        <f>' 7 Agile Detail'!$D$23</f>
        <v>0</v>
      </c>
      <c r="E47" s="251">
        <f>' 7 Agile Detail'!$E$23</f>
        <v>0</v>
      </c>
      <c r="F47" s="213"/>
      <c r="G47" s="213"/>
      <c r="H47" s="219"/>
      <c r="I47" s="219"/>
      <c r="J47" s="177"/>
      <c r="K47" s="219"/>
      <c r="L47" s="219"/>
      <c r="M47" s="220"/>
      <c r="N47" s="220"/>
      <c r="O47" s="216"/>
      <c r="P47" s="86"/>
      <c r="Q47" s="86"/>
      <c r="R47" s="86"/>
    </row>
    <row r="48" spans="2:18" x14ac:dyDescent="0.25">
      <c r="B48" s="245" cm="1">
        <f t="array" ref="B48">Table40[a. Program]</f>
        <v>0</v>
      </c>
      <c r="C48" s="250">
        <f>' 3 Contract Info'!$B$22</f>
        <v>0</v>
      </c>
      <c r="D48" s="250">
        <f>' 7 Agile Detail'!$D$23</f>
        <v>0</v>
      </c>
      <c r="E48" s="250">
        <f>' 7 Agile Detail'!$E$23</f>
        <v>0</v>
      </c>
      <c r="F48" s="212"/>
      <c r="G48" s="212"/>
      <c r="H48" s="221"/>
      <c r="I48" s="221"/>
      <c r="J48" s="177"/>
      <c r="K48" s="221"/>
      <c r="L48" s="221"/>
      <c r="M48" s="222"/>
      <c r="N48" s="222"/>
      <c r="O48" s="215"/>
      <c r="P48" s="86"/>
      <c r="Q48" s="86"/>
      <c r="R48" s="86"/>
    </row>
    <row r="49" spans="2:18" x14ac:dyDescent="0.25">
      <c r="B49" s="246" cm="1">
        <f t="array" ref="B49">Table40[a. Program]</f>
        <v>0</v>
      </c>
      <c r="C49" s="251">
        <f>' 3 Contract Info'!$B$22</f>
        <v>0</v>
      </c>
      <c r="D49" s="251">
        <f>' 7 Agile Detail'!$D$23</f>
        <v>0</v>
      </c>
      <c r="E49" s="251">
        <f>' 7 Agile Detail'!$E$23</f>
        <v>0</v>
      </c>
      <c r="F49" s="213"/>
      <c r="G49" s="213"/>
      <c r="H49" s="219"/>
      <c r="I49" s="219"/>
      <c r="J49" s="177"/>
      <c r="K49" s="219"/>
      <c r="L49" s="219"/>
      <c r="M49" s="220"/>
      <c r="N49" s="220"/>
      <c r="O49" s="216"/>
      <c r="P49" s="86"/>
      <c r="Q49" s="86"/>
      <c r="R49" s="86"/>
    </row>
    <row r="50" spans="2:18" x14ac:dyDescent="0.25">
      <c r="B50" s="245" cm="1">
        <f t="array" ref="B50">Table40[a. Program]</f>
        <v>0</v>
      </c>
      <c r="C50" s="250">
        <f>' 3 Contract Info'!$B$22</f>
        <v>0</v>
      </c>
      <c r="D50" s="250">
        <f>' 7 Agile Detail'!$D$23</f>
        <v>0</v>
      </c>
      <c r="E50" s="250">
        <f>' 7 Agile Detail'!$E$23</f>
        <v>0</v>
      </c>
      <c r="F50" s="212"/>
      <c r="G50" s="212"/>
      <c r="H50" s="221"/>
      <c r="I50" s="221"/>
      <c r="J50" s="177"/>
      <c r="K50" s="221"/>
      <c r="L50" s="221"/>
      <c r="M50" s="222"/>
      <c r="N50" s="222"/>
      <c r="O50" s="215"/>
      <c r="P50" s="86"/>
      <c r="Q50" s="86"/>
      <c r="R50" s="86"/>
    </row>
    <row r="51" spans="2:18" x14ac:dyDescent="0.25">
      <c r="B51" s="246" cm="1">
        <f t="array" ref="B51">Table40[a. Program]</f>
        <v>0</v>
      </c>
      <c r="C51" s="251">
        <f>' 3 Contract Info'!$B$22</f>
        <v>0</v>
      </c>
      <c r="D51" s="251">
        <f>' 7 Agile Detail'!$D$23</f>
        <v>0</v>
      </c>
      <c r="E51" s="251">
        <f>' 7 Agile Detail'!$E$23</f>
        <v>0</v>
      </c>
      <c r="F51" s="213"/>
      <c r="G51" s="213"/>
      <c r="H51" s="219"/>
      <c r="I51" s="219"/>
      <c r="J51" s="177"/>
      <c r="K51" s="219"/>
      <c r="L51" s="219"/>
      <c r="M51" s="220"/>
      <c r="N51" s="220"/>
      <c r="O51" s="216"/>
      <c r="P51" s="86"/>
      <c r="Q51" s="86"/>
      <c r="R51" s="86"/>
    </row>
    <row r="52" spans="2:18" ht="15.75" thickBot="1" x14ac:dyDescent="0.3">
      <c r="B52" s="247" cm="1">
        <f t="array" ref="B52">Table40[a. Program]</f>
        <v>0</v>
      </c>
      <c r="C52" s="252">
        <f>' 3 Contract Info'!$B$22</f>
        <v>0</v>
      </c>
      <c r="D52" s="252">
        <f>' 7 Agile Detail'!$D$23</f>
        <v>0</v>
      </c>
      <c r="E52" s="252">
        <f>' 7 Agile Detail'!$E$23</f>
        <v>0</v>
      </c>
      <c r="F52" s="217"/>
      <c r="G52" s="217"/>
      <c r="H52" s="224"/>
      <c r="I52" s="224"/>
      <c r="J52" s="225"/>
      <c r="K52" s="224"/>
      <c r="L52" s="224"/>
      <c r="M52" s="226"/>
      <c r="N52" s="226"/>
      <c r="O52" s="218"/>
      <c r="P52" s="86"/>
      <c r="Q52" s="86"/>
      <c r="R52" s="86"/>
    </row>
  </sheetData>
  <mergeCells count="1">
    <mergeCell ref="D2:H2"/>
  </mergeCells>
  <dataValidations count="1">
    <dataValidation type="list" allowBlank="1" showInputMessage="1" showErrorMessage="1" sqref="J27:J52" xr:uid="{1CCEB876-292B-420C-933B-016101F7CA7A}">
      <formula1>Functions</formula1>
    </dataValidation>
  </dataValidations>
  <printOptions headings="1" gridLines="1"/>
  <pageMargins left="0.25" right="0.25" top="0.75" bottom="0.5" header="0.3" footer="0.3"/>
  <pageSetup scale="47" orientation="landscape" cellComments="atEnd" r:id="rId1"/>
  <headerFooter>
    <oddHeader>&amp;C&amp;"Courier"&amp;12UNCLASSIFIED</oddHeader>
    <oddFooter>&amp;C&amp;"Courier"&amp;12UNCLASSIFIED</oddFooter>
  </headerFooter>
  <ignoredErrors>
    <ignoredError xmlns:x16r3="http://schemas.microsoft.com/office/spreadsheetml/2018/08/main" sqref="D27:E52" x16r3:misleadingFormat="1"/>
  </ignoredError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E8E5-5495-4E92-8BFA-2BFA77C48B5B}">
  <sheetPr>
    <tabColor rgb="FFFFC000"/>
    <pageSetUpPr fitToPage="1"/>
  </sheetPr>
  <dimension ref="A2:AT41"/>
  <sheetViews>
    <sheetView showGridLines="0" tabSelected="1" zoomScale="70" zoomScaleNormal="70" workbookViewId="0">
      <pane ySplit="21" topLeftCell="A22" activePane="bottomLeft" state="frozen"/>
      <selection pane="bottomLeft" activeCell="B2" sqref="B2:I2"/>
    </sheetView>
  </sheetViews>
  <sheetFormatPr defaultColWidth="36.42578125" defaultRowHeight="12.75" x14ac:dyDescent="0.2"/>
  <cols>
    <col min="1" max="1" width="36.42578125" style="88"/>
    <col min="2" max="2" width="24.85546875" style="88" customWidth="1"/>
    <col min="3" max="3" width="2.5703125" style="88" customWidth="1"/>
    <col min="4" max="4" width="24.85546875" style="88" customWidth="1"/>
    <col min="5" max="5" width="2.5703125" style="88" customWidth="1"/>
    <col min="6" max="6" width="24.85546875" style="88" customWidth="1"/>
    <col min="7" max="7" width="2.5703125" style="88" customWidth="1"/>
    <col min="8" max="8" width="24.85546875" style="88" customWidth="1"/>
    <col min="9" max="9" width="2.5703125" style="88" customWidth="1"/>
    <col min="10" max="10" width="24.85546875" style="88" customWidth="1"/>
    <col min="11" max="11" width="2.5703125" style="88" customWidth="1"/>
    <col min="12" max="12" width="24.85546875" style="88" customWidth="1"/>
    <col min="13" max="13" width="2.5703125" style="88" customWidth="1"/>
    <col min="14" max="14" width="24.85546875" style="88" customWidth="1"/>
    <col min="15" max="15" width="2.5703125" style="88" customWidth="1"/>
    <col min="16" max="16" width="24.85546875" style="88" customWidth="1"/>
    <col min="17" max="17" width="2.5703125" style="88" customWidth="1"/>
    <col min="18" max="18" width="24.85546875" style="88" customWidth="1"/>
    <col min="19" max="19" width="2.5703125" style="88" customWidth="1"/>
    <col min="20" max="20" width="24.85546875" style="88" customWidth="1"/>
    <col min="21" max="21" width="2.5703125" style="88" customWidth="1"/>
    <col min="22" max="22" width="24.85546875" style="88" customWidth="1"/>
    <col min="23" max="23" width="1.85546875" style="88" customWidth="1"/>
    <col min="24" max="24" width="24.85546875" style="88" customWidth="1"/>
    <col min="25" max="25" width="3.28515625" style="88" customWidth="1"/>
    <col min="26" max="26" width="24.85546875" style="88" customWidth="1"/>
    <col min="27" max="27" width="3.140625" style="88" customWidth="1"/>
    <col min="28" max="28" width="24.85546875" style="88" customWidth="1"/>
    <col min="29" max="29" width="2.85546875" style="88" customWidth="1"/>
    <col min="30" max="30" width="24.85546875" style="88" customWidth="1"/>
    <col min="31" max="31" width="2.85546875" style="88" customWidth="1"/>
    <col min="32" max="32" width="24.85546875" style="88" customWidth="1"/>
    <col min="33" max="33" width="2.85546875" style="88" customWidth="1"/>
    <col min="34" max="34" width="24.85546875" style="88" customWidth="1"/>
    <col min="35" max="35" width="2.85546875" style="88" customWidth="1"/>
    <col min="36" max="36" width="24.85546875" style="88" customWidth="1"/>
    <col min="37" max="37" width="2.85546875" style="88" customWidth="1"/>
    <col min="38" max="38" width="24.85546875" style="88" customWidth="1"/>
    <col min="39" max="39" width="2.85546875" style="88" customWidth="1"/>
    <col min="40" max="40" width="24.85546875" style="88" customWidth="1"/>
    <col min="41" max="41" width="2.85546875" style="88" customWidth="1"/>
    <col min="42" max="42" width="24.85546875" style="88" customWidth="1"/>
    <col min="43" max="43" width="2.85546875" style="88" customWidth="1"/>
    <col min="44" max="44" width="24.85546875" style="88" customWidth="1"/>
    <col min="45" max="45" width="2.85546875" style="88" customWidth="1"/>
    <col min="46" max="46" width="24.85546875" style="88" customWidth="1"/>
    <col min="47" max="16384" width="36.42578125" style="88"/>
  </cols>
  <sheetData>
    <row r="2" spans="1:9" ht="15.75" x14ac:dyDescent="0.25">
      <c r="B2" s="355" t="s">
        <v>600</v>
      </c>
      <c r="C2" s="355"/>
      <c r="D2" s="355"/>
      <c r="E2" s="355"/>
      <c r="F2" s="355"/>
      <c r="G2" s="355"/>
      <c r="H2" s="355"/>
      <c r="I2" s="355"/>
    </row>
    <row r="4" spans="1:9" x14ac:dyDescent="0.2">
      <c r="A4" s="88" t="s">
        <v>2</v>
      </c>
    </row>
    <row r="6" spans="1:9" x14ac:dyDescent="0.2">
      <c r="A6" s="88" t="s">
        <v>490</v>
      </c>
    </row>
    <row r="8" spans="1:9" x14ac:dyDescent="0.2">
      <c r="A8" s="88" t="s">
        <v>491</v>
      </c>
    </row>
    <row r="11" spans="1:9" x14ac:dyDescent="0.2">
      <c r="A11" s="88" t="s">
        <v>601</v>
      </c>
    </row>
    <row r="13" spans="1:9" x14ac:dyDescent="0.2">
      <c r="A13" s="88" t="s">
        <v>492</v>
      </c>
    </row>
    <row r="14" spans="1:9" x14ac:dyDescent="0.2">
      <c r="A14" s="89" t="s">
        <v>493</v>
      </c>
    </row>
    <row r="16" spans="1:9" x14ac:dyDescent="0.2">
      <c r="A16" s="88" t="s">
        <v>494</v>
      </c>
    </row>
    <row r="19" spans="1:46" x14ac:dyDescent="0.2">
      <c r="A19" s="90" t="s">
        <v>495</v>
      </c>
      <c r="B19" s="91"/>
      <c r="C19" s="92"/>
      <c r="D19" s="91"/>
      <c r="E19" s="92"/>
      <c r="F19" s="91"/>
      <c r="G19" s="92"/>
      <c r="H19" s="91"/>
      <c r="I19" s="92"/>
      <c r="J19" s="91"/>
      <c r="K19" s="92"/>
      <c r="L19" s="91"/>
      <c r="M19" s="92"/>
      <c r="N19" s="91"/>
      <c r="O19" s="92"/>
      <c r="P19" s="91"/>
      <c r="Q19" s="92"/>
      <c r="R19" s="91"/>
      <c r="S19" s="92"/>
      <c r="T19" s="91"/>
      <c r="U19" s="92"/>
      <c r="V19" s="91"/>
      <c r="W19" s="92"/>
      <c r="X19" s="91"/>
      <c r="Y19" s="92"/>
      <c r="Z19" s="91"/>
      <c r="AA19" s="92"/>
      <c r="AB19" s="91"/>
      <c r="AD19" s="91"/>
      <c r="AF19" s="91"/>
      <c r="AH19" s="91"/>
      <c r="AJ19" s="91"/>
      <c r="AL19" s="91"/>
      <c r="AN19" s="91"/>
      <c r="AP19" s="91"/>
      <c r="AR19" s="91"/>
      <c r="AT19" s="91"/>
    </row>
    <row r="21" spans="1:46" ht="13.5" thickBot="1" x14ac:dyDescent="0.25">
      <c r="A21" s="90" t="s">
        <v>496</v>
      </c>
      <c r="B21" s="99" t="s">
        <v>497</v>
      </c>
      <c r="D21" s="94" t="s">
        <v>498</v>
      </c>
      <c r="F21" s="94" t="s">
        <v>499</v>
      </c>
      <c r="H21" s="94" t="s">
        <v>650</v>
      </c>
      <c r="J21" s="99" t="s">
        <v>500</v>
      </c>
      <c r="L21" s="99" t="s">
        <v>501</v>
      </c>
      <c r="N21" s="99" t="s">
        <v>10</v>
      </c>
      <c r="P21" s="94" t="s">
        <v>14</v>
      </c>
      <c r="R21" s="99" t="s">
        <v>536</v>
      </c>
      <c r="T21" s="94" t="s">
        <v>502</v>
      </c>
      <c r="V21" s="93" t="s">
        <v>553</v>
      </c>
      <c r="X21" s="93" t="s">
        <v>558</v>
      </c>
      <c r="Z21" s="93" t="s">
        <v>549</v>
      </c>
      <c r="AB21" s="93" t="s">
        <v>568</v>
      </c>
      <c r="AD21" s="93" t="s">
        <v>576</v>
      </c>
      <c r="AF21" s="93" t="s">
        <v>541</v>
      </c>
      <c r="AH21" s="93" t="s">
        <v>633</v>
      </c>
      <c r="AJ21" s="88" t="s">
        <v>644</v>
      </c>
      <c r="AL21" s="93" t="s">
        <v>646</v>
      </c>
      <c r="AN21" s="93" t="s">
        <v>649</v>
      </c>
      <c r="AP21" s="93" t="s">
        <v>645</v>
      </c>
      <c r="AR21" s="93" t="s">
        <v>647</v>
      </c>
      <c r="AT21" s="93" t="s">
        <v>648</v>
      </c>
    </row>
    <row r="22" spans="1:46" ht="26.25" thickTop="1" x14ac:dyDescent="0.2">
      <c r="B22" s="100" t="s">
        <v>503</v>
      </c>
      <c r="D22" s="95" t="s">
        <v>504</v>
      </c>
      <c r="F22" s="95" t="s">
        <v>505</v>
      </c>
      <c r="H22" s="262" t="s">
        <v>651</v>
      </c>
      <c r="J22" s="100" t="s">
        <v>506</v>
      </c>
      <c r="L22" s="100" t="s">
        <v>470</v>
      </c>
      <c r="N22" s="100" t="s">
        <v>507</v>
      </c>
      <c r="P22" s="95" t="s">
        <v>13</v>
      </c>
      <c r="R22" s="100" t="s">
        <v>487</v>
      </c>
      <c r="T22" s="95" t="s">
        <v>486</v>
      </c>
      <c r="V22" s="96" t="s">
        <v>554</v>
      </c>
      <c r="X22" s="96" t="s">
        <v>559</v>
      </c>
      <c r="Z22" s="96" t="s">
        <v>563</v>
      </c>
      <c r="AB22" s="96" t="s">
        <v>569</v>
      </c>
      <c r="AD22" s="96" t="s">
        <v>577</v>
      </c>
      <c r="AF22" s="104" t="s">
        <v>602</v>
      </c>
      <c r="AH22" s="104" t="s">
        <v>627</v>
      </c>
      <c r="AJ22" s="88" t="s">
        <v>645</v>
      </c>
      <c r="AL22" s="104" t="s">
        <v>683</v>
      </c>
      <c r="AN22" s="104" t="s">
        <v>685</v>
      </c>
      <c r="AP22" s="104" t="s">
        <v>687</v>
      </c>
      <c r="AR22" s="104" t="s">
        <v>689</v>
      </c>
      <c r="AT22" s="105" t="s">
        <v>804</v>
      </c>
    </row>
    <row r="23" spans="1:46" ht="38.25" x14ac:dyDescent="0.2">
      <c r="B23" s="101" t="s">
        <v>508</v>
      </c>
      <c r="D23" s="97" t="s">
        <v>509</v>
      </c>
      <c r="F23" s="97" t="s">
        <v>510</v>
      </c>
      <c r="H23" s="262" t="s">
        <v>652</v>
      </c>
      <c r="J23" s="101" t="s">
        <v>511</v>
      </c>
      <c r="L23" s="101" t="s">
        <v>512</v>
      </c>
      <c r="N23" s="101" t="s">
        <v>513</v>
      </c>
      <c r="P23" s="97" t="s">
        <v>12</v>
      </c>
      <c r="R23" s="101" t="s">
        <v>488</v>
      </c>
      <c r="T23" s="97" t="s">
        <v>514</v>
      </c>
      <c r="V23" s="98" t="s">
        <v>555</v>
      </c>
      <c r="X23" s="98" t="s">
        <v>560</v>
      </c>
      <c r="Z23" s="98" t="s">
        <v>564</v>
      </c>
      <c r="AB23" s="98" t="s">
        <v>570</v>
      </c>
      <c r="AD23" s="98" t="s">
        <v>578</v>
      </c>
      <c r="AF23" s="105" t="s">
        <v>603</v>
      </c>
      <c r="AH23" s="105" t="s">
        <v>628</v>
      </c>
      <c r="AJ23" s="88" t="s">
        <v>549</v>
      </c>
      <c r="AL23" s="105" t="s">
        <v>684</v>
      </c>
      <c r="AN23" s="105" t="s">
        <v>686</v>
      </c>
      <c r="AP23" s="105" t="s">
        <v>688</v>
      </c>
      <c r="AR23" s="105" t="s">
        <v>690</v>
      </c>
      <c r="AT23" s="104" t="s">
        <v>694</v>
      </c>
    </row>
    <row r="24" spans="1:46" x14ac:dyDescent="0.2">
      <c r="B24" s="102" t="s">
        <v>515</v>
      </c>
      <c r="D24" s="95" t="s">
        <v>516</v>
      </c>
      <c r="F24" s="95" t="s">
        <v>517</v>
      </c>
      <c r="H24" s="262" t="s">
        <v>653</v>
      </c>
      <c r="J24" s="102" t="s">
        <v>518</v>
      </c>
      <c r="L24" s="95" t="s">
        <v>519</v>
      </c>
      <c r="N24" s="102" t="s">
        <v>520</v>
      </c>
      <c r="R24" s="95" t="s">
        <v>526</v>
      </c>
      <c r="T24" s="95" t="s">
        <v>521</v>
      </c>
      <c r="V24" s="96" t="s">
        <v>556</v>
      </c>
      <c r="X24" s="96" t="s">
        <v>561</v>
      </c>
      <c r="Z24" s="96" t="s">
        <v>565</v>
      </c>
      <c r="AB24" s="96" t="s">
        <v>571</v>
      </c>
      <c r="AD24" s="96" t="s">
        <v>579</v>
      </c>
      <c r="AF24" s="104" t="s">
        <v>604</v>
      </c>
      <c r="AH24" s="104" t="s">
        <v>629</v>
      </c>
      <c r="AJ24" s="88" t="s">
        <v>646</v>
      </c>
      <c r="AR24" s="104" t="s">
        <v>691</v>
      </c>
      <c r="AT24" s="105" t="s">
        <v>695</v>
      </c>
    </row>
    <row r="25" spans="1:46" ht="25.5" x14ac:dyDescent="0.2">
      <c r="B25" s="101" t="s">
        <v>522</v>
      </c>
      <c r="D25" s="97" t="s">
        <v>523</v>
      </c>
      <c r="H25" s="262" t="s">
        <v>654</v>
      </c>
      <c r="J25" s="101" t="s">
        <v>524</v>
      </c>
      <c r="N25" s="101" t="s">
        <v>485</v>
      </c>
      <c r="T25" s="97" t="s">
        <v>525</v>
      </c>
      <c r="V25" s="98" t="s">
        <v>557</v>
      </c>
      <c r="X25" s="98" t="s">
        <v>562</v>
      </c>
      <c r="Z25" s="98" t="s">
        <v>566</v>
      </c>
      <c r="AB25" s="98" t="s">
        <v>572</v>
      </c>
      <c r="AD25" s="98" t="s">
        <v>580</v>
      </c>
      <c r="AF25" s="105" t="s">
        <v>605</v>
      </c>
      <c r="AH25" s="105" t="s">
        <v>630</v>
      </c>
      <c r="AJ25" s="88" t="s">
        <v>647</v>
      </c>
      <c r="AR25" s="105" t="s">
        <v>692</v>
      </c>
      <c r="AT25" s="104" t="s">
        <v>696</v>
      </c>
    </row>
    <row r="26" spans="1:46" ht="25.5" x14ac:dyDescent="0.2">
      <c r="B26" s="102" t="s">
        <v>527</v>
      </c>
      <c r="D26" s="95" t="s">
        <v>528</v>
      </c>
      <c r="H26" s="263" t="s">
        <v>655</v>
      </c>
      <c r="J26" s="102" t="s">
        <v>529</v>
      </c>
      <c r="N26" s="95"/>
      <c r="Z26" s="96" t="s">
        <v>567</v>
      </c>
      <c r="AB26" s="96" t="s">
        <v>573</v>
      </c>
      <c r="AD26" s="96" t="s">
        <v>581</v>
      </c>
      <c r="AF26" s="104"/>
      <c r="AH26" s="104" t="s">
        <v>631</v>
      </c>
      <c r="AJ26" s="88" t="s">
        <v>648</v>
      </c>
      <c r="AR26" s="104" t="s">
        <v>693</v>
      </c>
      <c r="AT26" s="105" t="s">
        <v>697</v>
      </c>
    </row>
    <row r="27" spans="1:46" ht="25.5" x14ac:dyDescent="0.2">
      <c r="B27" s="101" t="s">
        <v>530</v>
      </c>
      <c r="D27" s="97" t="s">
        <v>531</v>
      </c>
      <c r="H27" s="262" t="s">
        <v>656</v>
      </c>
      <c r="J27" s="101" t="s">
        <v>532</v>
      </c>
      <c r="AB27" s="98" t="s">
        <v>574</v>
      </c>
      <c r="AD27" s="98" t="s">
        <v>582</v>
      </c>
      <c r="AH27" s="105" t="s">
        <v>632</v>
      </c>
      <c r="AJ27" s="88" t="s">
        <v>649</v>
      </c>
      <c r="AT27" s="104" t="s">
        <v>698</v>
      </c>
    </row>
    <row r="28" spans="1:46" x14ac:dyDescent="0.2">
      <c r="B28" s="102" t="s">
        <v>533</v>
      </c>
      <c r="D28" s="95" t="s">
        <v>534</v>
      </c>
      <c r="H28" s="263" t="s">
        <v>485</v>
      </c>
      <c r="J28" s="102" t="s">
        <v>485</v>
      </c>
      <c r="AB28" s="96" t="s">
        <v>575</v>
      </c>
      <c r="AJ28" s="88" t="s">
        <v>485</v>
      </c>
      <c r="AT28" s="105" t="s">
        <v>693</v>
      </c>
    </row>
    <row r="29" spans="1:46" x14ac:dyDescent="0.2">
      <c r="B29" s="101" t="s">
        <v>535</v>
      </c>
      <c r="H29" s="103"/>
      <c r="J29" s="103"/>
    </row>
    <row r="30" spans="1:46" x14ac:dyDescent="0.2">
      <c r="B30" s="102" t="s">
        <v>537</v>
      </c>
    </row>
    <row r="31" spans="1:46" ht="15" customHeight="1" x14ac:dyDescent="0.2">
      <c r="B31" s="101" t="s">
        <v>538</v>
      </c>
    </row>
    <row r="32" spans="1:46" x14ac:dyDescent="0.2">
      <c r="B32" s="102" t="s">
        <v>539</v>
      </c>
    </row>
    <row r="33" spans="2:2" x14ac:dyDescent="0.2">
      <c r="B33" s="101" t="s">
        <v>540</v>
      </c>
    </row>
    <row r="34" spans="2:2" x14ac:dyDescent="0.2">
      <c r="B34" s="102" t="s">
        <v>542</v>
      </c>
    </row>
    <row r="35" spans="2:2" x14ac:dyDescent="0.2">
      <c r="B35" s="101" t="s">
        <v>543</v>
      </c>
    </row>
    <row r="36" spans="2:2" x14ac:dyDescent="0.2">
      <c r="B36" s="102" t="s">
        <v>544</v>
      </c>
    </row>
    <row r="37" spans="2:2" x14ac:dyDescent="0.2">
      <c r="B37" s="101" t="s">
        <v>545</v>
      </c>
    </row>
    <row r="38" spans="2:2" x14ac:dyDescent="0.2">
      <c r="B38" s="102" t="s">
        <v>546</v>
      </c>
    </row>
    <row r="39" spans="2:2" x14ac:dyDescent="0.2">
      <c r="B39" s="101" t="s">
        <v>547</v>
      </c>
    </row>
    <row r="40" spans="2:2" x14ac:dyDescent="0.2">
      <c r="B40" s="102" t="s">
        <v>783</v>
      </c>
    </row>
    <row r="41" spans="2:2" ht="25.5" x14ac:dyDescent="0.2">
      <c r="B41" s="101" t="s">
        <v>548</v>
      </c>
    </row>
  </sheetData>
  <mergeCells count="1">
    <mergeCell ref="B2:I2"/>
  </mergeCells>
  <phoneticPr fontId="35" type="noConversion"/>
  <dataValidations count="24">
    <dataValidation type="list" allowBlank="1" showInputMessage="1" showErrorMessage="1" sqref="B6:B18" xr:uid="{A5567751-F582-4937-86BA-673295FB20DD}">
      <formula1>#REF!</formula1>
    </dataValidation>
    <dataValidation type="list" allowBlank="1" showInputMessage="1" showErrorMessage="1" sqref="AD19" xr:uid="{FF5DB80D-C324-4BF0-82F3-18E5063020FF}">
      <formula1>Information_Assurance</formula1>
    </dataValidation>
    <dataValidation type="list" allowBlank="1" showInputMessage="1" showErrorMessage="1" sqref="D19" xr:uid="{DCC7E766-8260-42AA-B799-7BA8A7646A5C}">
      <formula1>Functions</formula1>
    </dataValidation>
    <dataValidation type="list" allowBlank="1" showInputMessage="1" showErrorMessage="1" sqref="F19" xr:uid="{9031A4F1-8C17-4E93-9AD1-CCC683EDD953}">
      <formula1>COTS_GOTS</formula1>
    </dataValidation>
    <dataValidation type="list" allowBlank="1" showInputMessage="1" showErrorMessage="1" sqref="J19" xr:uid="{974C8449-A890-4861-BB43-038E333F41AA}">
      <formula1>Development_Strategy</formula1>
    </dataValidation>
    <dataValidation type="list" allowBlank="1" showInputMessage="1" showErrorMessage="1" sqref="L19" xr:uid="{305DB7AC-D264-4687-B459-C9E229880DE8}">
      <formula1>Activity</formula1>
    </dataValidation>
    <dataValidation type="list" allowBlank="1" showInputMessage="1" showErrorMessage="1" sqref="N19" xr:uid="{E044B4D6-7B14-4241-B90D-238209C635CF}">
      <formula1>ECP</formula1>
    </dataValidation>
    <dataValidation type="list" allowBlank="1" showInputMessage="1" showErrorMessage="1" sqref="P19" xr:uid="{3833201E-CE26-4C68-AB8C-ECEC92C99F37}">
      <formula1>Data_Management</formula1>
    </dataValidation>
    <dataValidation type="list" allowBlank="1" showInputMessage="1" showErrorMessage="1" sqref="R19" xr:uid="{8BFF96D3-1AF6-4E98-8232-35EB8155D2F0}">
      <formula1>YN_Option</formula1>
    </dataValidation>
    <dataValidation type="list" allowBlank="1" showInputMessage="1" showErrorMessage="1" sqref="T19" xr:uid="{3B2AC2E1-2C8C-4700-9416-B11A4C0A52EC}">
      <formula1>Domain_Level</formula1>
    </dataValidation>
    <dataValidation type="list" allowBlank="1" showInputMessage="1" showErrorMessage="1" sqref="V19" xr:uid="{622C633F-3615-41DB-8468-E7A96A206270}">
      <formula1>NoT</formula1>
    </dataValidation>
    <dataValidation type="list" allowBlank="1" showInputMessage="1" showErrorMessage="1" sqref="X19" xr:uid="{CDA340FB-861E-47E4-BC0D-1DFDC645A4AE}">
      <formula1>Performance_Attributes</formula1>
    </dataValidation>
    <dataValidation type="list" allowBlank="1" showInputMessage="1" showErrorMessage="1" sqref="Z19" xr:uid="{601D07FB-6E47-43CA-A51F-35820C5030EB}">
      <formula1>Security</formula1>
    </dataValidation>
    <dataValidation type="list" allowBlank="1" showInputMessage="1" showErrorMessage="1" sqref="AB19" xr:uid="{670E8A42-2FB9-42BF-A54C-6465F5AFE95D}">
      <formula1>Data_Description</formula1>
    </dataValidation>
    <dataValidation type="list" allowBlank="1" showInputMessage="1" showErrorMessage="1" sqref="B19" xr:uid="{E3195370-0525-4C3B-8A63-9282FA4A51B3}">
      <formula1>Contract_Type</formula1>
    </dataValidation>
    <dataValidation type="list" allowBlank="1" showInputMessage="1" showErrorMessage="1" sqref="AF19" xr:uid="{8B791987-ACD9-4457-956C-61DAF30C1A8E}">
      <formula1>SW_Code_Type</formula1>
    </dataValidation>
    <dataValidation type="list" allowBlank="1" showInputMessage="1" showErrorMessage="1" sqref="AH19" xr:uid="{F1BE3B2C-5375-4CD8-A7C9-C587386D7307}">
      <formula1>Protection_Level</formula1>
    </dataValidation>
    <dataValidation type="list" allowBlank="1" showInputMessage="1" showErrorMessage="1" sqref="AJ19" xr:uid="{03B99588-E322-430B-8782-25128215530A}">
      <formula1>Category</formula1>
    </dataValidation>
    <dataValidation type="list" allowBlank="1" showInputMessage="1" showErrorMessage="1" sqref="H19" xr:uid="{161A260A-0541-4537-86A4-B8B631FD1E4E}">
      <formula1>Pricing_Strategy</formula1>
    </dataValidation>
    <dataValidation type="list" allowBlank="1" showInputMessage="1" showErrorMessage="1" sqref="AL19" xr:uid="{7FFB5A2D-D028-4B49-986A-213981429CE8}">
      <formula1>Servers</formula1>
    </dataValidation>
    <dataValidation type="list" allowBlank="1" showInputMessage="1" showErrorMessage="1" sqref="AN19" xr:uid="{9AC92774-A19E-4D51-A46C-6D85107F420D}">
      <formula1>Workstations</formula1>
    </dataValidation>
    <dataValidation type="list" allowBlank="1" showInputMessage="1" showErrorMessage="1" sqref="AP19" xr:uid="{54374C32-3486-4D93-A66C-D230D844DF78}">
      <formula1>Networking</formula1>
    </dataValidation>
    <dataValidation type="list" allowBlank="1" showInputMessage="1" showErrorMessage="1" sqref="AR19" xr:uid="{3504F5A2-3A35-42A0-B08C-B82BF71A5D93}">
      <formula1>Storage</formula1>
    </dataValidation>
    <dataValidation type="list" allowBlank="1" showInputMessage="1" showErrorMessage="1" sqref="AT19" xr:uid="{68147FC2-4D5A-490B-B3FA-654321C685E6}">
      <formula1>Services</formula1>
    </dataValidation>
  </dataValidations>
  <pageMargins left="0.7" right="0.7" top="0.75" bottom="0.5" header="0.3" footer="0.3"/>
  <pageSetup scale="18" fitToHeight="0" orientation="landscape" r:id="rId1"/>
  <headerFooter>
    <oddHeader>&amp;C&amp;"Courier"&amp;12UNCLASSIFIED</oddHeader>
    <oddFooter>&amp;C&amp;"Courier"&amp;12UNCLASSIFIED</oddFooter>
  </headerFooter>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lass:Classification xmlns:class="urn:us:gov:cia:enterprise:schema:Classification:2.3" dateClassified="2025-05-12" portionMarking="false" caveat="false" tool="Desktop" toolVersion="202510">
  <class:ClassificationMarking type="USClassificationMarking" value="UNCLASSIFIED"/>
  <class:ClassifiedBy>CG</class:ClassifiedBy>
  <class:ClassificationHeader>
    <class:ClassificationBanner>UNCLASSIFIED</class:ClassificationBanner>
    <class:DescriptiveMarkings/>
  </class:ClassificationHeader>
  <class:ClassificationFooter>
    <class:DescriptiveMarkings/>
    <class:ClassificationBanner>UNCLASSIFIED</class:ClassificationBanner>
  </class:ClassificationFooter>
</class:Classification>
</file>

<file path=customXml/itemProps1.xml><?xml version="1.0" encoding="utf-8"?>
<ds:datastoreItem xmlns:ds="http://schemas.openxmlformats.org/officeDocument/2006/customXml" ds:itemID="{B32B9829-5F3C-486E-BC57-93D3D5672B98}">
  <ds:schemaRefs>
    <ds:schemaRef ds:uri="urn:us:gov:cia:enterprise:schema:Classification: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1 Introduction</vt:lpstr>
      <vt:lpstr>2 Program Info</vt:lpstr>
      <vt:lpstr> 3 Contract Info</vt:lpstr>
      <vt:lpstr> 4 WBS</vt:lpstr>
      <vt:lpstr> 5 COTS-GOTS </vt:lpstr>
      <vt:lpstr>6 Agile Measures</vt:lpstr>
      <vt:lpstr> 7 Agile Detail</vt:lpstr>
      <vt:lpstr>8 Code Counts</vt:lpstr>
      <vt:lpstr> 9 Data Management</vt:lpstr>
      <vt:lpstr>10 Database</vt:lpstr>
      <vt:lpstr>11 Discrepancy Reports</vt:lpstr>
      <vt:lpstr>PickList Tables</vt:lpstr>
      <vt:lpstr>Activity</vt:lpstr>
      <vt:lpstr>Category</vt:lpstr>
      <vt:lpstr>Contract_Type</vt:lpstr>
      <vt:lpstr>COTS_GOTS</vt:lpstr>
      <vt:lpstr>Data_Description</vt:lpstr>
      <vt:lpstr>Data_Management</vt:lpstr>
      <vt:lpstr>Development_Strategy</vt:lpstr>
      <vt:lpstr>Domain_Level</vt:lpstr>
      <vt:lpstr>ECP</vt:lpstr>
      <vt:lpstr>Functions</vt:lpstr>
      <vt:lpstr>Information_Assurance</vt:lpstr>
      <vt:lpstr>Networking</vt:lpstr>
      <vt:lpstr>NoT</vt:lpstr>
      <vt:lpstr>Performance_Attributes</vt:lpstr>
      <vt:lpstr>Pricing_Strategy</vt:lpstr>
      <vt:lpstr>Protection_Level</vt:lpstr>
      <vt:lpstr>Security</vt:lpstr>
      <vt:lpstr>Servers</vt:lpstr>
      <vt:lpstr>Services</vt:lpstr>
      <vt:lpstr>Storage</vt:lpstr>
      <vt:lpstr>SW_Code_Type</vt:lpstr>
      <vt:lpstr>Workstations</vt:lpstr>
      <vt:lpstr>YN_Option</vt:lpstr>
    </vt:vector>
  </TitlesOfParts>
  <Company>U.S.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Thomas</dc:creator>
  <cp:lastModifiedBy>Gu Charles X NGA-DXAC USA CIV</cp:lastModifiedBy>
  <cp:lastPrinted>2019-05-16T12:29:38Z</cp:lastPrinted>
  <dcterms:created xsi:type="dcterms:W3CDTF">2012-03-06T15:30:12Z</dcterms:created>
  <dcterms:modified xsi:type="dcterms:W3CDTF">2025-05-12T18:13:38Z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202510</vt:lpwstr>
  </property>
  <property fmtid="{D5CDD505-2E9C-101B-9397-08002B2CF9AE}" pid="20" name="AACG_CustomClassXMLPart">
    <vt:lpwstr>{B32B9829-5F3C-486E-BC57-93D3D5672B98}</vt:lpwstr>
  </property>
</Properties>
</file>