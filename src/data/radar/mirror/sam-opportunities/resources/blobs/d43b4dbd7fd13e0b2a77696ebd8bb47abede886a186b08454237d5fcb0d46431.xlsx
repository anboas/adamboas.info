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.sharepoint.com/sites/CustomerEngagement/Shared Documents/Procurement Documents/FY26/Software/Broadcom (VMware) ELA 2026/02 Market Research_RFI/RFI 3 - Consolidated Contract/"/>
    </mc:Choice>
  </mc:AlternateContent>
  <xr:revisionPtr revIDLastSave="0" documentId="8_{C2E7D719-825A-4CFD-896C-675DFA063F77}" xr6:coauthVersionLast="47" xr6:coauthVersionMax="47" xr10:uidLastSave="{00000000-0000-0000-0000-000000000000}"/>
  <bookViews>
    <workbookView xWindow="-28920" yWindow="-120" windowWidth="29040" windowHeight="15720" firstSheet="1" activeTab="1" xr2:uid="{00000000-000D-0000-FFFF-FFFF00000000}"/>
  </bookViews>
  <sheets>
    <sheet name="CLIN 1 - VMware" sheetId="1" r:id="rId1"/>
    <sheet name="CLIN 2 - CA Service Virt" sheetId="2" r:id="rId2"/>
    <sheet name="CLIN 3 - CA Mainframe" sheetId="3" r:id="rId3"/>
  </sheets>
  <definedNames>
    <definedName name="_xlnm._FilterDatabase" localSheetId="2" hidden="1">'CLIN 3 - CA Mainframe'!$A$3:$S$3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O5" i="1"/>
  <c r="L5" i="1"/>
  <c r="I5" i="1"/>
  <c r="F5" i="1"/>
  <c r="S6" i="1"/>
  <c r="S7" i="1"/>
  <c r="S8" i="1"/>
  <c r="S9" i="1"/>
  <c r="S10" i="1"/>
  <c r="S11" i="1"/>
  <c r="S13" i="1"/>
  <c r="S14" i="1"/>
  <c r="S15" i="1"/>
  <c r="S16" i="1"/>
  <c r="F4" i="3"/>
  <c r="F5" i="3"/>
  <c r="F6" i="3"/>
  <c r="F7" i="3"/>
  <c r="F8" i="3"/>
  <c r="F9" i="3"/>
  <c r="F10" i="3"/>
  <c r="S10" i="3" s="1"/>
  <c r="F11" i="3"/>
  <c r="F12" i="3"/>
  <c r="F13" i="3"/>
  <c r="S13" i="3" s="1"/>
  <c r="F14" i="3"/>
  <c r="F15" i="3"/>
  <c r="S15" i="3" s="1"/>
  <c r="F16" i="3"/>
  <c r="R16" i="3"/>
  <c r="O16" i="3"/>
  <c r="L16" i="3"/>
  <c r="I16" i="3"/>
  <c r="R15" i="3"/>
  <c r="O15" i="3"/>
  <c r="L15" i="3"/>
  <c r="I15" i="3"/>
  <c r="R14" i="3"/>
  <c r="O14" i="3"/>
  <c r="L14" i="3"/>
  <c r="I14" i="3"/>
  <c r="R13" i="3"/>
  <c r="O13" i="3"/>
  <c r="L13" i="3"/>
  <c r="I13" i="3"/>
  <c r="R12" i="3"/>
  <c r="O12" i="3"/>
  <c r="L12" i="3"/>
  <c r="I12" i="3"/>
  <c r="R11" i="3"/>
  <c r="O11" i="3"/>
  <c r="L11" i="3"/>
  <c r="I11" i="3"/>
  <c r="R10" i="3"/>
  <c r="O10" i="3"/>
  <c r="L10" i="3"/>
  <c r="I10" i="3"/>
  <c r="R9" i="3"/>
  <c r="O9" i="3"/>
  <c r="L9" i="3"/>
  <c r="I9" i="3"/>
  <c r="R8" i="3"/>
  <c r="O8" i="3"/>
  <c r="L8" i="3"/>
  <c r="I8" i="3"/>
  <c r="R7" i="3"/>
  <c r="O7" i="3"/>
  <c r="L7" i="3"/>
  <c r="I7" i="3"/>
  <c r="R6" i="3"/>
  <c r="O6" i="3"/>
  <c r="L6" i="3"/>
  <c r="I6" i="3"/>
  <c r="S6" i="3" s="1"/>
  <c r="R5" i="3"/>
  <c r="O5" i="3"/>
  <c r="L5" i="3"/>
  <c r="I5" i="3"/>
  <c r="R4" i="3"/>
  <c r="O4" i="3"/>
  <c r="L4" i="3"/>
  <c r="I4" i="3"/>
  <c r="R7" i="2"/>
  <c r="O7" i="2"/>
  <c r="L7" i="2"/>
  <c r="I7" i="2"/>
  <c r="F7" i="2"/>
  <c r="R6" i="2"/>
  <c r="O6" i="2"/>
  <c r="L6" i="2"/>
  <c r="I6" i="2"/>
  <c r="F6" i="2"/>
  <c r="R5" i="2"/>
  <c r="O5" i="2"/>
  <c r="L5" i="2"/>
  <c r="I5" i="2"/>
  <c r="F5" i="2"/>
  <c r="R4" i="2"/>
  <c r="O4" i="2"/>
  <c r="L4" i="2"/>
  <c r="I4" i="2"/>
  <c r="F4" i="2"/>
  <c r="R6" i="1"/>
  <c r="R7" i="1"/>
  <c r="R8" i="1"/>
  <c r="R9" i="1"/>
  <c r="R10" i="1"/>
  <c r="R11" i="1"/>
  <c r="R12" i="1"/>
  <c r="R13" i="1"/>
  <c r="R14" i="1"/>
  <c r="R15" i="1"/>
  <c r="R16" i="1"/>
  <c r="O6" i="1"/>
  <c r="O7" i="1"/>
  <c r="O8" i="1"/>
  <c r="O9" i="1"/>
  <c r="O10" i="1"/>
  <c r="O11" i="1"/>
  <c r="O12" i="1"/>
  <c r="O13" i="1"/>
  <c r="O14" i="1"/>
  <c r="O15" i="1"/>
  <c r="O16" i="1"/>
  <c r="L6" i="1"/>
  <c r="L7" i="1"/>
  <c r="L8" i="1"/>
  <c r="L9" i="1"/>
  <c r="L10" i="1"/>
  <c r="L11" i="1"/>
  <c r="L12" i="1"/>
  <c r="L13" i="1"/>
  <c r="L14" i="1"/>
  <c r="L15" i="1"/>
  <c r="L16" i="1"/>
  <c r="I6" i="1"/>
  <c r="I7" i="1"/>
  <c r="I8" i="1"/>
  <c r="I9" i="1"/>
  <c r="I10" i="1"/>
  <c r="I11" i="1"/>
  <c r="I12" i="1"/>
  <c r="I13" i="1"/>
  <c r="I14" i="1"/>
  <c r="I15" i="1"/>
  <c r="I16" i="1"/>
  <c r="F6" i="1"/>
  <c r="F7" i="1"/>
  <c r="F8" i="1"/>
  <c r="F9" i="1"/>
  <c r="F10" i="1"/>
  <c r="F11" i="1"/>
  <c r="F12" i="1"/>
  <c r="F13" i="1"/>
  <c r="F14" i="1"/>
  <c r="F15" i="1"/>
  <c r="F16" i="1"/>
  <c r="R4" i="1"/>
  <c r="O4" i="1"/>
  <c r="S4" i="1" s="1"/>
  <c r="L4" i="1"/>
  <c r="I4" i="1"/>
  <c r="F4" i="1"/>
  <c r="S12" i="1" l="1"/>
  <c r="S5" i="1"/>
  <c r="S14" i="3"/>
  <c r="S9" i="3"/>
  <c r="S7" i="3"/>
  <c r="S12" i="3"/>
  <c r="S8" i="3"/>
  <c r="S11" i="3"/>
  <c r="S5" i="3"/>
  <c r="S16" i="3"/>
  <c r="S4" i="2"/>
  <c r="S7" i="2"/>
  <c r="S4" i="3"/>
  <c r="F17" i="3"/>
  <c r="F17" i="1"/>
  <c r="I17" i="1"/>
  <c r="S5" i="2"/>
  <c r="S6" i="2"/>
  <c r="R17" i="1"/>
  <c r="L17" i="1"/>
  <c r="O17" i="1"/>
  <c r="O8" i="2"/>
  <c r="L8" i="2"/>
  <c r="I8" i="2"/>
  <c r="R8" i="2"/>
  <c r="I17" i="3"/>
  <c r="L17" i="3"/>
  <c r="R17" i="3"/>
  <c r="O17" i="3"/>
  <c r="F8" i="2"/>
  <c r="S17" i="1" l="1"/>
  <c r="S17" i="3"/>
  <c r="S8" i="2"/>
</calcChain>
</file>

<file path=xl/sharedStrings.xml><?xml version="1.0" encoding="utf-8"?>
<sst xmlns="http://schemas.openxmlformats.org/spreadsheetml/2006/main" count="151" uniqueCount="106">
  <si>
    <t xml:space="preserve">VMare Products
Base Period - August 16th, 2026 - August 15th, 2027
Option Year One (OY1) - August 16th, 2027 - August 15th, 2028
Option Year Two (OY2) - August 16th, 2028 - August 15th, 2029
Option Year Three (OY3) - August 16th, 2029 - August 15th, 2030
Option Year Four (OY4) - August 16th, 2030 - August 15th, 2031
</t>
  </si>
  <si>
    <t>Bundled pricing will not be accepted. 
Itemized pricing is required.</t>
  </si>
  <si>
    <t>Base Year</t>
  </si>
  <si>
    <t>Option Year 1</t>
  </si>
  <si>
    <t>Option Year 2</t>
  </si>
  <si>
    <t>Option Year 3</t>
  </si>
  <si>
    <t>Option Year 4</t>
  </si>
  <si>
    <t>REF</t>
  </si>
  <si>
    <t>Product Description</t>
  </si>
  <si>
    <t>Part Number</t>
  </si>
  <si>
    <t>BY 
Quantity</t>
  </si>
  <si>
    <t>BY 
Annual Price</t>
  </si>
  <si>
    <t>BY 
Extended 
Cost</t>
  </si>
  <si>
    <t>Option Year (OY) 1
Quantity</t>
  </si>
  <si>
    <t>OY1
Annual Price</t>
  </si>
  <si>
    <t>OY1
Extended 
Cost</t>
  </si>
  <si>
    <t>OY2 
Quantity</t>
  </si>
  <si>
    <t>OY2
Annual Price</t>
  </si>
  <si>
    <t>OY2
Extended 
Cost</t>
  </si>
  <si>
    <t>OY3 
Quantity</t>
  </si>
  <si>
    <t>OY3
Annual Price</t>
  </si>
  <si>
    <t>OY3
Extended 
Cost</t>
  </si>
  <si>
    <t>OY4 
Quantity</t>
  </si>
  <si>
    <t>OY4
Annual Price</t>
  </si>
  <si>
    <t>OY4
Extended 
Cost</t>
  </si>
  <si>
    <t>Totals</t>
  </si>
  <si>
    <t>1.1</t>
  </si>
  <si>
    <t>Vmware VCF (per CPU Core)</t>
  </si>
  <si>
    <t>1.2</t>
  </si>
  <si>
    <t>Additional Vmware VCF (per CPU Core) - up to 100,000 additional
Optional Task</t>
  </si>
  <si>
    <t>1.3</t>
  </si>
  <si>
    <t>Technical Account Manager (Dedicated)</t>
  </si>
  <si>
    <t>1.4</t>
  </si>
  <si>
    <t>Program Manager (Dedicated)</t>
  </si>
  <si>
    <t>1.5</t>
  </si>
  <si>
    <t> Project Manager</t>
  </si>
  <si>
    <t>1.6</t>
  </si>
  <si>
    <t> Consulting Architect</t>
  </si>
  <si>
    <t>1.7</t>
  </si>
  <si>
    <t>Senior Consultant</t>
  </si>
  <si>
    <t>1.8</t>
  </si>
  <si>
    <t>VMware Live Recovery for VCF</t>
  </si>
  <si>
    <t>VCF-VLR-PVM</t>
  </si>
  <si>
    <t>1.9</t>
  </si>
  <si>
    <t xml:space="preserve">AVI Load Balancer </t>
  </si>
  <si>
    <t>ANS-VMW-ALB</t>
  </si>
  <si>
    <t>EHRM CA Service Virtualization Products
Base Period - September 25th, 2026 -  August 15th, 2027 (Initial Period of Performance to co-terminate)
Option Year One (OY1) - August 16th, 2027 -  August 15th, 2028
Option Year Two (OY2) - August 16th, 2028 -  August 15th, 2029
Option Year Three (OY3) - August 16th, 2029 -  August 15th, 2030
Option Year Four (OY4) - August 16th, 2030 -  August 15th, 2031</t>
  </si>
  <si>
    <t>Initial Period</t>
  </si>
  <si>
    <t>CLIN</t>
  </si>
  <si>
    <t>BY 
11-Month Price</t>
  </si>
  <si>
    <t>2.1</t>
  </si>
  <si>
    <t xml:space="preserve">CA Service Virtualization Functional Transactions Maintenance </t>
  </si>
  <si>
    <t>SVFNTR990-M</t>
  </si>
  <si>
    <t>2.2</t>
  </si>
  <si>
    <t>CA Service Virtualization for Performance - Maintenance</t>
  </si>
  <si>
    <t xml:space="preserve">LSSVPF990‐M </t>
  </si>
  <si>
    <t>2.3</t>
  </si>
  <si>
    <t>CA Broadcom Application Test Virtual User - Maintenance</t>
  </si>
  <si>
    <t xml:space="preserve">LSAVRU990‐M </t>
  </si>
  <si>
    <t>2.4</t>
  </si>
  <si>
    <t>CA Broadcom Power User Maintenance</t>
  </si>
  <si>
    <t xml:space="preserve">LSSVPU990‐M </t>
  </si>
  <si>
    <t>Mainframe CA Products
Base Period - August 16th, 2026 - August 15th, 2027
Option Year One (OY1) - August 16th, 2027 - August 15th, 2028
Option Year Two (OY2) - August 16th, 2028 - August 15th, 2029
Option Year Three (OY3) - August 16th, 2029 - August 15th, 2030
Option Year Four (OY4) - August 16th, 2030 - August 15th, 2031</t>
  </si>
  <si>
    <t>Option year 1</t>
  </si>
  <si>
    <t>BT 
Quantity</t>
  </si>
  <si>
    <t>BT 
Annual Price</t>
  </si>
  <si>
    <t>BT 
Extended 
Cost</t>
  </si>
  <si>
    <t>3.1</t>
  </si>
  <si>
    <t>Control No:  SW4055
Description: Workload Automation Agent SE
License Metric:  Per Agent
License Duration:  Subscription
Site No:  202534 (Support ID#)
Customer No:  9664369 (Physical Site)
Mfg Model No:  Not Applicable 
HW Serial No:  Not Applicable 
SW Serial No:  50366011+38-WKLASE990
SW License Key:  Non-mainframe item_no keys 
OEM Agreement No:  50366011
MCC:  A00   AppCode:  CPS</t>
  </si>
  <si>
    <t>WKLASE990-S.1Y</t>
  </si>
  <si>
    <t>3.2</t>
  </si>
  <si>
    <t xml:space="preserve">Control No:  SW4516
Description: Workload Automation Restart Option for z/OS Schedulers
License Metric:  Per MIP
License Duration:  Subscription
Site No:  202534 (Support ID#)
Customer No:  9664369 (Physical Site)
Mfg Model No:  A01-3931-409; A02-3932-B03; A01-3931-401
HW Serial No:  AEAB8; AEAC8; AEAA8 (DR)
SW Serial No:  50366011+27-ELEBAS002
SW License Key:  TBD
OEM Agreement No:  52261657
MCC:  A00   AppCode:  CPS
</t>
  </si>
  <si>
    <t>ELEBAS002-S.1Y</t>
  </si>
  <si>
    <t>3.3</t>
  </si>
  <si>
    <t xml:space="preserve">Control No:  SW4517
Description:  Mainframe DevOps Suite
License Metric:  Per MIP
License Duration:  Subscription
Site No:  202534 (Support ID#)
Customer No:  9664369 (Physical Site)
Mfg Model No:  A01-3931-409; A02-3932-B03; A01-3931-401
HW Serial No:   AEAB8; AEAC8; AEAA8 (DR)
SW Serial No:  52261657-36-1
SW License Key:  TBD
OEM Agreement No:  52261657
MCC:  A00   AppCode:  BDN; CPS
</t>
  </si>
  <si>
    <t>MFDVHP002-S.1Y</t>
  </si>
  <si>
    <t>3.4</t>
  </si>
  <si>
    <t xml:space="preserve">Control No:  SW4537
Description: CA 7 Workload Automation with Automation Intelligence
License Metric:  Per MIP
License Type:  Subscription
Site No:  202534 (Support ID#)
Customer No:  9664369 (Physical Site)
Mfg Model No:  A01-3931-409; A02-3932-B03; A01-3931-401
HW Serial No:   AEAB8; AEAC8; AEAA8 (DR)
SW Serial No: 50366011+5-SEVBAS002
SW License Key:  TBD
OEM Agreement No:  52261657
MCC:  A00   AppCode:  CPS
</t>
  </si>
  <si>
    <t>SEVBAS002-S.1Y</t>
  </si>
  <si>
    <t>3.5</t>
  </si>
  <si>
    <t>Control No:  SW4546
Description: Top Secret for z/OS 
License Metric:  Per MIP
License Type:  Subscription
Site No:  202534 (Support ID#)
Customer No:  9664369 (Physical Site)
Mfg Model No: A01-3931-409; A02-3932-B03; A01-3931-401
HW Serial No: AEAB8; AEAC8; AEAA8 (DR)
SW Serial No: TBD
SW License Key: TBD
OEM Agreement No: 52261657
MCC:  A00   AppCode:  BDN; CPS</t>
  </si>
  <si>
    <t>TSSMIP002-S.1Y</t>
  </si>
  <si>
    <t>3.6</t>
  </si>
  <si>
    <t>Control No:  SW4548
Description: VISION:Results 
License Metric:  Per MIP
License Type:  Subscription
Site No:  202534 (Support ID#)
Customer No:  9664369 (Physical Site)
Mfg Model No: A01-3931-409; A02-3932-B03; A01-3931-401
HW Serial No: AEAB8; AEAC8; AEAA8 (DR)
SW Serial No: 50366011+34-VSNRES002
SW License Key: TBD
OEM Agreement No: 52261657
MCC:  A00   AppCode:  BDN; CPS</t>
  </si>
  <si>
    <t>VSNRES002-S.1Y</t>
  </si>
  <si>
    <t>3.7</t>
  </si>
  <si>
    <t xml:space="preserve">Control No:  SW4549.SWMA
Description:  VISION:Results Interface to IDMS/DB
License Metric:  Per MIP
License Duration:  Subscription
Site No: 202534 (Support ID#)
Customer No: 9664369 (Physical Site)
Mfg Model No: A01-3931-409; A02-3932-B03; A01-3931-401
HW Serial No: AEAB8; AEAC8; AEAA8 (DR)
SW Serial No: 50366011+35-VSNRIF002  
SW License Key: TBD
OEM Agreement No: 52261657
MCC:  A00   AppCode:  CPS
</t>
  </si>
  <si>
    <t>VSNRIF002-S.1Y</t>
  </si>
  <si>
    <t>3.8</t>
  </si>
  <si>
    <t xml:space="preserve">Control No:  SW4550.SWMA
Description:  VISION:Sixty 
License Metric:  Per MIP
License Duration:  Subscription
Site No: 202534 (Support ID#)
Customer No: 9664369 (Physical Site)
Mfg Model No: A01-3931-409; A02-3932-B03; A01-3931-401
HW Serial No: AEAB8; AEAC8; AEAA8 (DR)
SW Serial No: 50366011+36-VSNSIX002  
SW License Key: TBD
OEM Agreement No: 52261657
MCC:  A00   AppCode:  CPS
</t>
  </si>
  <si>
    <t>VSNSIX002-S.1Y</t>
  </si>
  <si>
    <t>3.9</t>
  </si>
  <si>
    <t xml:space="preserve">Control No:  SW4555.SWMA
Description:  Mainframe Security Suite MIPS License Metric:  Per MIP
License Duration:  Subscription
Site No: 202534 (Support ID#)
Customer No: 9664369 (Physical Site)
Mfg Model No: A01-3931-409; A02-3932-B03; A01-3931-401
HW Serial No: AEAB8; AEAC8; AEAA8 (DR)
SW Serial No: 52261657-15-1  
SW License Key: TBD
OEM Agreement No: 52261657
MCC:  A00   AppCode:  CPS
</t>
  </si>
  <si>
    <t>MFSCSM002-S.1Y</t>
  </si>
  <si>
    <t>3.10</t>
  </si>
  <si>
    <t xml:space="preserve">Control No:  SW4538.SWMA
Description:  SOLVE:Access Session Management for z/OS
lLicense Metric:  Per MIP
License Duration:  Subscription
Site No: 202534 (Support ID#)
Customer No: 9664369 (Physical Site)
Mfg Model No: A01-3931-409; A02-3932-B03; A01-3931-401
HW Serial No: AEAB8; AEAC8; AEAA8 (DR)
SW Serial No: 50366011+16-SLACZM002  
SW License Key: TBD
OEM Agreement No: 52261657
MCC:  A00   AppCode:  CPS
</t>
  </si>
  <si>
    <t>SLACZM002-S.1Y</t>
  </si>
  <si>
    <t>3.11</t>
  </si>
  <si>
    <t xml:space="preserve">Control No:  SW4547.SWMA
Description:  VISION:Excel
License Metric:  Per MIP
License Duration:  Subscription
Site No: 202534 (Support ID#)
Customer No: 9664369 (Physical Site)
Mfg Model No: A01-3931-409; A02-3932-B03; A01-3931-401
HW Serial No: AEAB8; AEAC8; AEAA8 (DR)
SW Serial No: 50366011+33-VSNEXL002  
SW License Key: TBD
OEM Agreement No: 52261657
MCC:  A00   AppCode:  CPS
</t>
  </si>
  <si>
    <t>VSNEXL002-S.1Y</t>
  </si>
  <si>
    <t>3.12</t>
  </si>
  <si>
    <t xml:space="preserve">Control No:  SW5210.SWMA
Description:  IDMS/DB for z/OS Plus
License Metric:  Per MIP
License Duration:  Subscription
Site No: 202534 (Support ID#)
Customer No: 9664369 (Physical Site)
Mfg Model No: A01-3931-409; A02-3932-B03; A01-3931-401
HW Serial No: AEAB8; AEAC8; AEAA8 (DR)
SW Serial No: TBD  
SW License Key: TBD
OEM Agreement No: 52261657
MCC:  A00   AppCode:  CPS
</t>
  </si>
  <si>
    <t>IDMHBM002</t>
  </si>
  <si>
    <t>3.13</t>
  </si>
  <si>
    <t xml:space="preserve">Control No:  SW5211.SWMA
Description:  Flexible Storage Suite MIPS
License Metric:  Per MIP
License Duration:  Subscription
Site No:  202534 (Support ID#)
Customer No:  9664369 (Physical Site)
 Mfg Model No: A01-3931-409; A02-3932-B03; A01-3931-401
HW Serial No: AEAB8; AEAC8; AEAA8 (DR)
SW Serial No: TBD  
SW License Key: TBD
OEM Agreement No: 52261657    
MCC:  A00   AppCode:  BDN; CPS
</t>
  </si>
  <si>
    <t>FSSMIP002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</si>
</sst>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0"/>
      <name val="Segoe"/>
    </font>
    <font>
      <sz val="9"/>
      <color theme="1"/>
      <name val="Segoe"/>
    </font>
    <font>
      <sz val="9"/>
      <color theme="1"/>
      <name val="Aptos"/>
      <family val="2"/>
    </font>
    <font>
      <sz val="8"/>
      <name val="Calibri"/>
      <family val="2"/>
      <scheme val="minor"/>
    </font>
    <font>
      <sz val="9"/>
      <color theme="1"/>
      <name val="Aptos"/>
    </font>
    <font>
      <b/>
      <sz val="16"/>
      <color theme="1"/>
      <name val="Calibri"/>
      <family val="2"/>
      <scheme val="minor"/>
    </font>
    <font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64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7">
    <xf numFmtId="0" fontId="0" fillId="0" borderId="0" xfId="0"/>
    <xf numFmtId="0" fontId="4" fillId="2" borderId="1" xfId="1" applyFont="1" applyFill="1" applyBorder="1" applyAlignment="1" applyProtection="1">
      <alignment vertical="center" wrapText="1"/>
      <protection hidden="1"/>
    </xf>
    <xf numFmtId="0" fontId="4" fillId="2" borderId="2" xfId="1" applyFont="1" applyFill="1" applyBorder="1" applyAlignment="1" applyProtection="1">
      <alignment vertical="center" wrapText="1"/>
      <protection hidden="1"/>
    </xf>
    <xf numFmtId="0" fontId="4" fillId="2" borderId="3" xfId="0" applyFont="1" applyFill="1" applyBorder="1" applyAlignment="1" applyProtection="1">
      <alignment horizontal="center" vertical="center" wrapText="1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5" xfId="0" applyFont="1" applyFill="1" applyBorder="1" applyAlignment="1" applyProtection="1">
      <alignment horizontal="center" vertical="center" wrapText="1"/>
      <protection hidden="1"/>
    </xf>
    <xf numFmtId="164" fontId="4" fillId="2" borderId="4" xfId="0" applyNumberFormat="1" applyFont="1" applyFill="1" applyBorder="1" applyAlignment="1" applyProtection="1">
      <alignment horizontal="center" vertical="center" wrapText="1"/>
      <protection hidden="1"/>
    </xf>
    <xf numFmtId="0" fontId="4" fillId="2" borderId="6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/>
    <xf numFmtId="0" fontId="5" fillId="0" borderId="4" xfId="1" applyFont="1" applyBorder="1" applyAlignment="1" applyProtection="1">
      <alignment vertical="top" wrapText="1"/>
      <protection hidden="1"/>
    </xf>
    <xf numFmtId="0" fontId="5" fillId="3" borderId="4" xfId="1" applyFont="1" applyFill="1" applyBorder="1" applyAlignment="1" applyProtection="1">
      <alignment vertical="top" wrapText="1"/>
      <protection hidden="1"/>
    </xf>
    <xf numFmtId="0" fontId="5" fillId="0" borderId="3" xfId="1" applyFont="1" applyBorder="1" applyAlignment="1" applyProtection="1">
      <alignment vertical="top" wrapText="1"/>
      <protection hidden="1"/>
    </xf>
    <xf numFmtId="164" fontId="1" fillId="4" borderId="4" xfId="1" applyNumberFormat="1" applyFont="1" applyFill="1" applyBorder="1" applyAlignment="1" applyProtection="1">
      <alignment horizontal="right" vertical="center" wrapText="1"/>
      <protection locked="0"/>
    </xf>
    <xf numFmtId="164" fontId="5" fillId="0" borderId="5" xfId="1" applyNumberFormat="1" applyFont="1" applyBorder="1" applyAlignment="1" applyProtection="1">
      <alignment vertical="top" wrapText="1"/>
      <protection hidden="1"/>
    </xf>
    <xf numFmtId="3" fontId="5" fillId="0" borderId="3" xfId="1" applyNumberFormat="1" applyFont="1" applyBorder="1" applyAlignment="1" applyProtection="1">
      <alignment vertical="top" wrapText="1"/>
      <protection hidden="1"/>
    </xf>
    <xf numFmtId="164" fontId="5" fillId="0" borderId="6" xfId="1" applyNumberFormat="1" applyFont="1" applyBorder="1" applyAlignment="1" applyProtection="1">
      <alignment vertical="top" wrapText="1"/>
      <protection hidden="1"/>
    </xf>
    <xf numFmtId="0" fontId="6" fillId="0" borderId="4" xfId="1" applyFont="1" applyBorder="1" applyAlignment="1" applyProtection="1">
      <alignment vertical="top" wrapText="1"/>
      <protection hidden="1"/>
    </xf>
    <xf numFmtId="164" fontId="0" fillId="0" borderId="0" xfId="0" applyNumberFormat="1"/>
    <xf numFmtId="164" fontId="2" fillId="0" borderId="0" xfId="0" applyNumberFormat="1" applyFont="1"/>
    <xf numFmtId="49" fontId="5" fillId="0" borderId="4" xfId="1" applyNumberFormat="1" applyFont="1" applyBorder="1" applyAlignment="1" applyProtection="1">
      <alignment vertical="top" wrapText="1"/>
      <protection hidden="1"/>
    </xf>
    <xf numFmtId="0" fontId="8" fillId="0" borderId="4" xfId="1" applyFont="1" applyBorder="1" applyAlignment="1" applyProtection="1">
      <alignment vertical="top" wrapText="1"/>
      <protection hidden="1"/>
    </xf>
    <xf numFmtId="49" fontId="5" fillId="0" borderId="5" xfId="1" applyNumberFormat="1" applyFont="1" applyBorder="1" applyAlignment="1" applyProtection="1">
      <alignment vertical="top" wrapText="1"/>
      <protection hidden="1"/>
    </xf>
    <xf numFmtId="0" fontId="5" fillId="3" borderId="7" xfId="1" applyFont="1" applyFill="1" applyBorder="1" applyAlignment="1" applyProtection="1">
      <alignment vertical="top" wrapText="1"/>
      <protection hidden="1"/>
    </xf>
    <xf numFmtId="0" fontId="4" fillId="2" borderId="8" xfId="1" applyFont="1" applyFill="1" applyBorder="1" applyAlignment="1" applyProtection="1">
      <alignment vertical="center" wrapText="1"/>
      <protection hidden="1"/>
    </xf>
    <xf numFmtId="0" fontId="4" fillId="2" borderId="5" xfId="1" applyFont="1" applyFill="1" applyBorder="1" applyAlignment="1" applyProtection="1">
      <alignment vertical="center" wrapText="1"/>
      <protection hidden="1"/>
    </xf>
    <xf numFmtId="0" fontId="4" fillId="2" borderId="9" xfId="0" applyFont="1" applyFill="1" applyBorder="1" applyAlignment="1" applyProtection="1">
      <alignment horizontal="center" vertical="center" wrapText="1"/>
      <protection hidden="1"/>
    </xf>
    <xf numFmtId="0" fontId="4" fillId="2" borderId="10" xfId="0" applyFont="1" applyFill="1" applyBorder="1" applyAlignment="1" applyProtection="1">
      <alignment horizontal="center" vertical="center" wrapText="1"/>
      <protection hidden="1"/>
    </xf>
    <xf numFmtId="0" fontId="4" fillId="2" borderId="2" xfId="0" applyFont="1" applyFill="1" applyBorder="1" applyAlignment="1" applyProtection="1">
      <alignment horizontal="center" vertical="center" wrapText="1"/>
      <protection hidden="1"/>
    </xf>
    <xf numFmtId="164" fontId="4" fillId="2" borderId="10" xfId="0" applyNumberFormat="1" applyFont="1" applyFill="1" applyBorder="1" applyAlignment="1" applyProtection="1">
      <alignment horizontal="center" vertical="center" wrapText="1"/>
      <protection hidden="1"/>
    </xf>
    <xf numFmtId="0" fontId="4" fillId="2" borderId="11" xfId="0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Alignment="1">
      <alignment horizontal="left"/>
    </xf>
    <xf numFmtId="0" fontId="10" fillId="0" borderId="0" xfId="0" applyFont="1"/>
    <xf numFmtId="0" fontId="0" fillId="2" borderId="4" xfId="0" applyFill="1" applyBorder="1" applyAlignment="1">
      <alignment horizontal="left"/>
    </xf>
    <xf numFmtId="0" fontId="0" fillId="2" borderId="4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horizontal="center"/>
    </xf>
    <xf numFmtId="0" fontId="9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4" xfId="0" applyFill="1" applyBorder="1" applyAlignment="1">
      <alignment horizontal="left" wrapText="1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</cellXfs>
  <cellStyles count="2">
    <cellStyle name="Normal" xfId="0" builtinId="0"/>
    <cellStyle name="Normal 2 2" xfId="1" xr:uid="{21BDC679-70F9-49D5-8465-C54D7CC93212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zoomScale="90" zoomScaleNormal="90" workbookViewId="0">
      <pane ySplit="3" topLeftCell="A4" activePane="bottomLeft" state="frozen"/>
      <selection pane="bottomLeft" activeCell="C24" sqref="C24"/>
    </sheetView>
  </sheetViews>
  <sheetFormatPr defaultRowHeight="15"/>
  <cols>
    <col min="1" max="1" width="9.140625" customWidth="1"/>
    <col min="2" max="2" width="23.85546875" customWidth="1"/>
    <col min="3" max="3" width="20.140625" customWidth="1"/>
    <col min="4" max="4" width="9.140625" customWidth="1"/>
    <col min="5" max="5" width="15" customWidth="1"/>
    <col min="6" max="6" width="19.85546875" customWidth="1"/>
    <col min="7" max="7" width="10.85546875" customWidth="1"/>
    <col min="8" max="8" width="14.28515625" customWidth="1"/>
    <col min="9" max="9" width="16.5703125" customWidth="1"/>
    <col min="10" max="10" width="13.28515625" customWidth="1"/>
    <col min="11" max="11" width="11.7109375" customWidth="1"/>
    <col min="12" max="12" width="16.5703125" customWidth="1"/>
    <col min="13" max="13" width="13.7109375" customWidth="1"/>
    <col min="14" max="14" width="9.140625" customWidth="1"/>
    <col min="15" max="15" width="18.140625" customWidth="1"/>
    <col min="16" max="16" width="13.85546875" customWidth="1"/>
    <col min="17" max="17" width="14.140625" customWidth="1"/>
    <col min="18" max="18" width="18.85546875" customWidth="1"/>
    <col min="19" max="19" width="22.5703125" customWidth="1"/>
  </cols>
  <sheetData>
    <row r="1" spans="1:20" ht="105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20" ht="43.5" customHeight="1">
      <c r="A2" s="36" t="s">
        <v>1</v>
      </c>
      <c r="B2" s="37"/>
      <c r="C2" s="37"/>
      <c r="D2" s="35" t="s">
        <v>2</v>
      </c>
      <c r="E2" s="35"/>
      <c r="F2" s="35"/>
      <c r="G2" s="38" t="s">
        <v>3</v>
      </c>
      <c r="H2" s="35"/>
      <c r="I2" s="35"/>
      <c r="J2" s="35" t="s">
        <v>4</v>
      </c>
      <c r="K2" s="35"/>
      <c r="L2" s="35"/>
      <c r="M2" s="35" t="s">
        <v>5</v>
      </c>
      <c r="N2" s="35"/>
      <c r="O2" s="35"/>
      <c r="P2" s="35" t="s">
        <v>6</v>
      </c>
      <c r="Q2" s="35"/>
      <c r="R2" s="35"/>
      <c r="S2" s="30"/>
    </row>
    <row r="3" spans="1:20" ht="36">
      <c r="A3" s="1" t="s">
        <v>7</v>
      </c>
      <c r="B3" s="1" t="s">
        <v>8</v>
      </c>
      <c r="C3" s="2" t="s">
        <v>9</v>
      </c>
      <c r="D3" s="25" t="s">
        <v>10</v>
      </c>
      <c r="E3" s="26" t="s">
        <v>11</v>
      </c>
      <c r="F3" s="27" t="s">
        <v>12</v>
      </c>
      <c r="G3" s="25" t="s">
        <v>13</v>
      </c>
      <c r="H3" s="28" t="s">
        <v>14</v>
      </c>
      <c r="I3" s="27" t="s">
        <v>15</v>
      </c>
      <c r="J3" s="25" t="s">
        <v>16</v>
      </c>
      <c r="K3" s="26" t="s">
        <v>17</v>
      </c>
      <c r="L3" s="27" t="s">
        <v>18</v>
      </c>
      <c r="M3" s="25" t="s">
        <v>19</v>
      </c>
      <c r="N3" s="26" t="s">
        <v>20</v>
      </c>
      <c r="O3" s="27" t="s">
        <v>21</v>
      </c>
      <c r="P3" s="25" t="s">
        <v>22</v>
      </c>
      <c r="Q3" s="26" t="s">
        <v>23</v>
      </c>
      <c r="R3" s="29" t="s">
        <v>24</v>
      </c>
      <c r="S3" s="29" t="s">
        <v>25</v>
      </c>
      <c r="T3" s="8"/>
    </row>
    <row r="4" spans="1:20" ht="24">
      <c r="A4" s="19" t="s">
        <v>26</v>
      </c>
      <c r="B4" s="9" t="s">
        <v>27</v>
      </c>
      <c r="C4" s="10"/>
      <c r="D4" s="11">
        <v>100000</v>
      </c>
      <c r="E4" s="12"/>
      <c r="F4" s="13">
        <f>D4*E4</f>
        <v>0</v>
      </c>
      <c r="G4" s="11">
        <v>100000</v>
      </c>
      <c r="H4" s="12"/>
      <c r="I4" s="13">
        <f>G4*H4</f>
        <v>0</v>
      </c>
      <c r="J4" s="11">
        <v>100000</v>
      </c>
      <c r="K4" s="12"/>
      <c r="L4" s="13">
        <f>J4*K4</f>
        <v>0</v>
      </c>
      <c r="M4" s="11">
        <v>100000</v>
      </c>
      <c r="N4" s="12"/>
      <c r="O4" s="13">
        <f>M4*N4</f>
        <v>0</v>
      </c>
      <c r="P4" s="11">
        <v>100000</v>
      </c>
      <c r="Q4" s="12"/>
      <c r="R4" s="15">
        <f>P4*Q4</f>
        <v>0</v>
      </c>
      <c r="S4" s="15">
        <f>SUM(R4,O4,L4,I4,F4)</f>
        <v>0</v>
      </c>
    </row>
    <row r="5" spans="1:20" ht="48">
      <c r="A5" s="19" t="s">
        <v>28</v>
      </c>
      <c r="B5" s="9" t="s">
        <v>29</v>
      </c>
      <c r="C5" s="10"/>
      <c r="D5" s="11">
        <v>1</v>
      </c>
      <c r="E5" s="12"/>
      <c r="F5" s="13">
        <f>D5*E5</f>
        <v>0</v>
      </c>
      <c r="G5" s="11">
        <v>1</v>
      </c>
      <c r="H5" s="12"/>
      <c r="I5" s="13">
        <f>G5*H5</f>
        <v>0</v>
      </c>
      <c r="J5" s="11">
        <v>1</v>
      </c>
      <c r="K5" s="12"/>
      <c r="L5" s="13">
        <f>J5*K5</f>
        <v>0</v>
      </c>
      <c r="M5" s="11">
        <v>1</v>
      </c>
      <c r="N5" s="12"/>
      <c r="O5" s="13">
        <f>M5*N5</f>
        <v>0</v>
      </c>
      <c r="P5" s="11">
        <v>1</v>
      </c>
      <c r="Q5" s="12"/>
      <c r="R5" s="15">
        <f>P5*Q5</f>
        <v>0</v>
      </c>
      <c r="S5" s="15">
        <f t="shared" ref="S5:S16" si="0">SUM(R5,O5,L5,I5,F5)</f>
        <v>0</v>
      </c>
    </row>
    <row r="6" spans="1:20" ht="28.5" customHeight="1">
      <c r="A6" s="19" t="s">
        <v>30</v>
      </c>
      <c r="B6" s="16" t="s">
        <v>31</v>
      </c>
      <c r="C6" s="10"/>
      <c r="D6" s="14">
        <v>1</v>
      </c>
      <c r="E6" s="12"/>
      <c r="F6" s="13">
        <f t="shared" ref="F6:F16" si="1">D6*E6</f>
        <v>0</v>
      </c>
      <c r="G6" s="14">
        <v>1</v>
      </c>
      <c r="H6" s="12"/>
      <c r="I6" s="13">
        <f t="shared" ref="I6:I16" si="2">G6*H6</f>
        <v>0</v>
      </c>
      <c r="J6" s="14">
        <v>1</v>
      </c>
      <c r="K6" s="12"/>
      <c r="L6" s="13">
        <f t="shared" ref="L6:L16" si="3">J6*K6</f>
        <v>0</v>
      </c>
      <c r="M6" s="14">
        <v>1</v>
      </c>
      <c r="N6" s="12"/>
      <c r="O6" s="13">
        <f t="shared" ref="O6:O16" si="4">M6*N6</f>
        <v>0</v>
      </c>
      <c r="P6" s="14">
        <v>1</v>
      </c>
      <c r="Q6" s="12"/>
      <c r="R6" s="15">
        <f t="shared" ref="R6:R16" si="5">P6*Q6</f>
        <v>0</v>
      </c>
      <c r="S6" s="15">
        <f t="shared" si="0"/>
        <v>0</v>
      </c>
    </row>
    <row r="7" spans="1:20">
      <c r="A7" s="19" t="s">
        <v>32</v>
      </c>
      <c r="B7" s="16" t="s">
        <v>33</v>
      </c>
      <c r="C7" s="10"/>
      <c r="D7" s="14">
        <v>1</v>
      </c>
      <c r="E7" s="12"/>
      <c r="F7" s="13">
        <f t="shared" si="1"/>
        <v>0</v>
      </c>
      <c r="G7" s="14">
        <v>1</v>
      </c>
      <c r="H7" s="12"/>
      <c r="I7" s="13">
        <f t="shared" si="2"/>
        <v>0</v>
      </c>
      <c r="J7" s="14">
        <v>1</v>
      </c>
      <c r="K7" s="12"/>
      <c r="L7" s="13">
        <f t="shared" si="3"/>
        <v>0</v>
      </c>
      <c r="M7" s="14">
        <v>1</v>
      </c>
      <c r="N7" s="12"/>
      <c r="O7" s="13">
        <f t="shared" si="4"/>
        <v>0</v>
      </c>
      <c r="P7" s="14">
        <v>1</v>
      </c>
      <c r="Q7" s="12"/>
      <c r="R7" s="15">
        <f t="shared" si="5"/>
        <v>0</v>
      </c>
      <c r="S7" s="15">
        <f t="shared" si="0"/>
        <v>0</v>
      </c>
    </row>
    <row r="8" spans="1:20">
      <c r="A8" s="19" t="s">
        <v>34</v>
      </c>
      <c r="B8" s="16" t="s">
        <v>35</v>
      </c>
      <c r="C8" s="10"/>
      <c r="D8" s="14">
        <v>1</v>
      </c>
      <c r="E8" s="12"/>
      <c r="F8" s="13">
        <f t="shared" si="1"/>
        <v>0</v>
      </c>
      <c r="G8" s="14">
        <v>1</v>
      </c>
      <c r="H8" s="12"/>
      <c r="I8" s="13">
        <f t="shared" si="2"/>
        <v>0</v>
      </c>
      <c r="J8" s="14">
        <v>1</v>
      </c>
      <c r="K8" s="12"/>
      <c r="L8" s="13">
        <f t="shared" si="3"/>
        <v>0</v>
      </c>
      <c r="M8" s="14">
        <v>1</v>
      </c>
      <c r="N8" s="12"/>
      <c r="O8" s="13">
        <f t="shared" si="4"/>
        <v>0</v>
      </c>
      <c r="P8" s="14">
        <v>1</v>
      </c>
      <c r="Q8" s="12"/>
      <c r="R8" s="15">
        <f t="shared" si="5"/>
        <v>0</v>
      </c>
      <c r="S8" s="15">
        <f t="shared" si="0"/>
        <v>0</v>
      </c>
    </row>
    <row r="9" spans="1:20">
      <c r="A9" s="19" t="s">
        <v>36</v>
      </c>
      <c r="B9" s="16" t="s">
        <v>37</v>
      </c>
      <c r="C9" s="10"/>
      <c r="D9" s="14">
        <v>5</v>
      </c>
      <c r="E9" s="12"/>
      <c r="F9" s="13">
        <f t="shared" si="1"/>
        <v>0</v>
      </c>
      <c r="G9" s="14">
        <v>5</v>
      </c>
      <c r="H9" s="12"/>
      <c r="I9" s="13">
        <f t="shared" si="2"/>
        <v>0</v>
      </c>
      <c r="J9" s="14">
        <v>5</v>
      </c>
      <c r="K9" s="12"/>
      <c r="L9" s="13">
        <f t="shared" si="3"/>
        <v>0</v>
      </c>
      <c r="M9" s="14">
        <v>5</v>
      </c>
      <c r="N9" s="12"/>
      <c r="O9" s="13">
        <f t="shared" si="4"/>
        <v>0</v>
      </c>
      <c r="P9" s="14">
        <v>5</v>
      </c>
      <c r="Q9" s="12"/>
      <c r="R9" s="15">
        <f t="shared" si="5"/>
        <v>0</v>
      </c>
      <c r="S9" s="15">
        <f t="shared" si="0"/>
        <v>0</v>
      </c>
    </row>
    <row r="10" spans="1:20">
      <c r="A10" s="19" t="s">
        <v>38</v>
      </c>
      <c r="B10" s="16" t="s">
        <v>39</v>
      </c>
      <c r="C10" s="10"/>
      <c r="D10" s="11">
        <v>5</v>
      </c>
      <c r="E10" s="12"/>
      <c r="F10" s="13">
        <f t="shared" si="1"/>
        <v>0</v>
      </c>
      <c r="G10" s="11">
        <v>5</v>
      </c>
      <c r="H10" s="12"/>
      <c r="I10" s="13">
        <f t="shared" si="2"/>
        <v>0</v>
      </c>
      <c r="J10" s="11">
        <v>5</v>
      </c>
      <c r="K10" s="12"/>
      <c r="L10" s="13">
        <f t="shared" si="3"/>
        <v>0</v>
      </c>
      <c r="M10" s="11">
        <v>5</v>
      </c>
      <c r="N10" s="12"/>
      <c r="O10" s="13">
        <f t="shared" si="4"/>
        <v>0</v>
      </c>
      <c r="P10" s="11">
        <v>5</v>
      </c>
      <c r="Q10" s="12"/>
      <c r="R10" s="15">
        <f t="shared" si="5"/>
        <v>0</v>
      </c>
      <c r="S10" s="15">
        <f t="shared" si="0"/>
        <v>0</v>
      </c>
    </row>
    <row r="11" spans="1:20">
      <c r="A11" s="19" t="s">
        <v>40</v>
      </c>
      <c r="B11" s="16" t="s">
        <v>41</v>
      </c>
      <c r="C11" s="31" t="s">
        <v>42</v>
      </c>
      <c r="D11" s="14">
        <v>1000</v>
      </c>
      <c r="E11" s="12"/>
      <c r="F11" s="13">
        <f t="shared" si="1"/>
        <v>0</v>
      </c>
      <c r="G11" s="14">
        <v>1000</v>
      </c>
      <c r="H11" s="12"/>
      <c r="I11" s="13">
        <f t="shared" si="2"/>
        <v>0</v>
      </c>
      <c r="J11" s="14">
        <v>1000</v>
      </c>
      <c r="K11" s="12"/>
      <c r="L11" s="13">
        <f t="shared" si="3"/>
        <v>0</v>
      </c>
      <c r="M11" s="14">
        <v>1000</v>
      </c>
      <c r="N11" s="12"/>
      <c r="O11" s="13">
        <f t="shared" si="4"/>
        <v>0</v>
      </c>
      <c r="P11" s="14">
        <v>1000</v>
      </c>
      <c r="Q11" s="12"/>
      <c r="R11" s="15">
        <f t="shared" si="5"/>
        <v>0</v>
      </c>
      <c r="S11" s="15">
        <f t="shared" si="0"/>
        <v>0</v>
      </c>
    </row>
    <row r="12" spans="1:20">
      <c r="A12" s="19" t="s">
        <v>43</v>
      </c>
      <c r="B12" s="16" t="s">
        <v>44</v>
      </c>
      <c r="C12" s="10" t="s">
        <v>45</v>
      </c>
      <c r="D12" s="14">
        <v>260</v>
      </c>
      <c r="E12" s="12"/>
      <c r="F12" s="13">
        <f t="shared" si="1"/>
        <v>0</v>
      </c>
      <c r="G12" s="14">
        <v>260</v>
      </c>
      <c r="H12" s="12"/>
      <c r="I12" s="13">
        <f t="shared" si="2"/>
        <v>0</v>
      </c>
      <c r="J12" s="14">
        <v>260</v>
      </c>
      <c r="K12" s="12"/>
      <c r="L12" s="13">
        <f t="shared" si="3"/>
        <v>0</v>
      </c>
      <c r="M12" s="14">
        <v>260</v>
      </c>
      <c r="N12" s="12"/>
      <c r="O12" s="13">
        <f t="shared" si="4"/>
        <v>0</v>
      </c>
      <c r="P12" s="14">
        <v>260</v>
      </c>
      <c r="Q12" s="12"/>
      <c r="R12" s="15">
        <f t="shared" si="5"/>
        <v>0</v>
      </c>
      <c r="S12" s="15">
        <f t="shared" si="0"/>
        <v>0</v>
      </c>
    </row>
    <row r="13" spans="1:20">
      <c r="A13" s="19"/>
      <c r="B13" s="16"/>
      <c r="C13" s="10"/>
      <c r="D13" s="14"/>
      <c r="E13" s="12"/>
      <c r="F13" s="13">
        <f t="shared" si="1"/>
        <v>0</v>
      </c>
      <c r="G13" s="14"/>
      <c r="H13" s="12"/>
      <c r="I13" s="13">
        <f t="shared" si="2"/>
        <v>0</v>
      </c>
      <c r="J13" s="14"/>
      <c r="K13" s="12"/>
      <c r="L13" s="13">
        <f t="shared" si="3"/>
        <v>0</v>
      </c>
      <c r="M13" s="14"/>
      <c r="N13" s="12"/>
      <c r="O13" s="13">
        <f t="shared" si="4"/>
        <v>0</v>
      </c>
      <c r="P13" s="14"/>
      <c r="Q13" s="12"/>
      <c r="R13" s="15">
        <f t="shared" si="5"/>
        <v>0</v>
      </c>
      <c r="S13" s="15">
        <f t="shared" si="0"/>
        <v>0</v>
      </c>
    </row>
    <row r="14" spans="1:20">
      <c r="A14" s="19"/>
      <c r="B14" s="9"/>
      <c r="C14" s="10"/>
      <c r="D14" s="14"/>
      <c r="E14" s="12"/>
      <c r="F14" s="13">
        <f t="shared" si="1"/>
        <v>0</v>
      </c>
      <c r="G14" s="14"/>
      <c r="H14" s="12"/>
      <c r="I14" s="13">
        <f t="shared" si="2"/>
        <v>0</v>
      </c>
      <c r="J14" s="14"/>
      <c r="K14" s="12"/>
      <c r="L14" s="13">
        <f t="shared" si="3"/>
        <v>0</v>
      </c>
      <c r="M14" s="14"/>
      <c r="N14" s="12"/>
      <c r="O14" s="13">
        <f t="shared" si="4"/>
        <v>0</v>
      </c>
      <c r="P14" s="14"/>
      <c r="Q14" s="12"/>
      <c r="R14" s="15">
        <f t="shared" si="5"/>
        <v>0</v>
      </c>
      <c r="S14" s="15">
        <f t="shared" si="0"/>
        <v>0</v>
      </c>
    </row>
    <row r="15" spans="1:20">
      <c r="A15" s="19"/>
      <c r="B15" s="9"/>
      <c r="C15" s="10"/>
      <c r="D15" s="11"/>
      <c r="E15" s="12"/>
      <c r="F15" s="13">
        <f t="shared" si="1"/>
        <v>0</v>
      </c>
      <c r="G15" s="11"/>
      <c r="H15" s="12"/>
      <c r="I15" s="13">
        <f t="shared" si="2"/>
        <v>0</v>
      </c>
      <c r="J15" s="11"/>
      <c r="K15" s="12"/>
      <c r="L15" s="13">
        <f t="shared" si="3"/>
        <v>0</v>
      </c>
      <c r="M15" s="14"/>
      <c r="N15" s="12"/>
      <c r="O15" s="13">
        <f t="shared" si="4"/>
        <v>0</v>
      </c>
      <c r="P15" s="14"/>
      <c r="Q15" s="12"/>
      <c r="R15" s="15">
        <f t="shared" si="5"/>
        <v>0</v>
      </c>
      <c r="S15" s="15">
        <f t="shared" si="0"/>
        <v>0</v>
      </c>
    </row>
    <row r="16" spans="1:20">
      <c r="A16" s="19"/>
      <c r="B16" s="9"/>
      <c r="C16" s="10"/>
      <c r="D16" s="14"/>
      <c r="E16" s="12"/>
      <c r="F16" s="13">
        <f t="shared" si="1"/>
        <v>0</v>
      </c>
      <c r="G16" s="14"/>
      <c r="H16" s="12"/>
      <c r="I16" s="13">
        <f t="shared" si="2"/>
        <v>0</v>
      </c>
      <c r="J16" s="14"/>
      <c r="K16" s="12"/>
      <c r="L16" s="13">
        <f t="shared" si="3"/>
        <v>0</v>
      </c>
      <c r="M16" s="14"/>
      <c r="N16" s="12"/>
      <c r="O16" s="13">
        <f t="shared" si="4"/>
        <v>0</v>
      </c>
      <c r="P16" s="14"/>
      <c r="Q16" s="12"/>
      <c r="R16" s="15">
        <f t="shared" si="5"/>
        <v>0</v>
      </c>
      <c r="S16" s="15">
        <f t="shared" si="0"/>
        <v>0</v>
      </c>
    </row>
    <row r="17" spans="1:19">
      <c r="A17" s="8" t="s">
        <v>25</v>
      </c>
      <c r="B17" s="8"/>
      <c r="C17" s="8"/>
      <c r="D17" s="8"/>
      <c r="E17" s="8"/>
      <c r="F17" s="18">
        <f>SUM(F4:F16)</f>
        <v>0</v>
      </c>
      <c r="G17" s="8"/>
      <c r="H17" s="8"/>
      <c r="I17" s="18">
        <f>SUM(I4:I16)</f>
        <v>0</v>
      </c>
      <c r="J17" s="8"/>
      <c r="K17" s="8"/>
      <c r="L17" s="18">
        <f>SUM(L4:L16)</f>
        <v>0</v>
      </c>
      <c r="M17" s="8"/>
      <c r="N17" s="8"/>
      <c r="O17" s="18">
        <f>SUM(O4:O16)</f>
        <v>0</v>
      </c>
      <c r="P17" s="8"/>
      <c r="Q17" s="8"/>
      <c r="R17" s="18">
        <f>SUM(R4:R16)</f>
        <v>0</v>
      </c>
      <c r="S17" s="17">
        <f>SUM(R17,O17,L17,I17,F17)</f>
        <v>0</v>
      </c>
    </row>
  </sheetData>
  <mergeCells count="7">
    <mergeCell ref="A1:S1"/>
    <mergeCell ref="D2:F2"/>
    <mergeCell ref="A2:C2"/>
    <mergeCell ref="G2:I2"/>
    <mergeCell ref="J2:L2"/>
    <mergeCell ref="M2:O2"/>
    <mergeCell ref="P2:R2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F0CC-DCD4-40ED-96A7-22C9F90F2C69}">
  <dimension ref="A1:U8"/>
  <sheetViews>
    <sheetView tabSelected="1" workbookViewId="0">
      <pane ySplit="3" topLeftCell="A4" activePane="bottomLeft" state="frozen"/>
      <selection pane="bottomLeft" activeCell="A10" sqref="A10"/>
    </sheetView>
  </sheetViews>
  <sheetFormatPr defaultRowHeight="15"/>
  <cols>
    <col min="2" max="2" width="23.28515625" bestFit="1" customWidth="1"/>
    <col min="3" max="3" width="15.28515625" customWidth="1"/>
    <col min="4" max="4" width="7.7109375" bestFit="1" customWidth="1"/>
    <col min="5" max="5" width="7.5703125" bestFit="1" customWidth="1"/>
    <col min="6" max="6" width="13.85546875" bestFit="1" customWidth="1"/>
    <col min="9" max="9" width="13.85546875" bestFit="1" customWidth="1"/>
    <col min="12" max="12" width="13.85546875" bestFit="1" customWidth="1"/>
    <col min="15" max="15" width="13.85546875" bestFit="1" customWidth="1"/>
    <col min="18" max="18" width="13.85546875" bestFit="1" customWidth="1"/>
    <col min="19" max="19" width="22.5703125" customWidth="1"/>
  </cols>
  <sheetData>
    <row r="1" spans="1:21" ht="95.25" customHeight="1">
      <c r="A1" s="39" t="s">
        <v>46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21" ht="51.75" customHeight="1">
      <c r="A2" s="36" t="s">
        <v>1</v>
      </c>
      <c r="B2" s="37"/>
      <c r="C2" s="37"/>
      <c r="D2" s="35" t="s">
        <v>47</v>
      </c>
      <c r="E2" s="35"/>
      <c r="F2" s="35"/>
      <c r="G2" s="38" t="s">
        <v>3</v>
      </c>
      <c r="H2" s="35"/>
      <c r="I2" s="35"/>
      <c r="J2" s="35" t="s">
        <v>4</v>
      </c>
      <c r="K2" s="35"/>
      <c r="L2" s="35"/>
      <c r="M2" s="35" t="s">
        <v>5</v>
      </c>
      <c r="N2" s="35"/>
      <c r="O2" s="35"/>
      <c r="P2" s="35" t="s">
        <v>6</v>
      </c>
      <c r="Q2" s="35"/>
      <c r="R2" s="35"/>
      <c r="S2" s="30"/>
    </row>
    <row r="3" spans="1:21" ht="48">
      <c r="A3" s="23" t="s">
        <v>48</v>
      </c>
      <c r="B3" s="23" t="s">
        <v>8</v>
      </c>
      <c r="C3" s="24" t="s">
        <v>9</v>
      </c>
      <c r="D3" s="3" t="s">
        <v>10</v>
      </c>
      <c r="E3" s="4" t="s">
        <v>49</v>
      </c>
      <c r="F3" s="5" t="s">
        <v>12</v>
      </c>
      <c r="G3" s="3" t="s">
        <v>13</v>
      </c>
      <c r="H3" s="6" t="s">
        <v>14</v>
      </c>
      <c r="I3" s="5" t="s">
        <v>15</v>
      </c>
      <c r="J3" s="3" t="s">
        <v>16</v>
      </c>
      <c r="K3" s="4" t="s">
        <v>17</v>
      </c>
      <c r="L3" s="5" t="s">
        <v>18</v>
      </c>
      <c r="M3" s="3" t="s">
        <v>19</v>
      </c>
      <c r="N3" s="4" t="s">
        <v>20</v>
      </c>
      <c r="O3" s="5" t="s">
        <v>21</v>
      </c>
      <c r="P3" s="3" t="s">
        <v>22</v>
      </c>
      <c r="Q3" s="4" t="s">
        <v>23</v>
      </c>
      <c r="R3" s="7" t="s">
        <v>24</v>
      </c>
      <c r="S3" s="7" t="s">
        <v>25</v>
      </c>
      <c r="U3" s="8"/>
    </row>
    <row r="4" spans="1:21" ht="36">
      <c r="A4" s="19" t="s">
        <v>50</v>
      </c>
      <c r="B4" s="9" t="s">
        <v>51</v>
      </c>
      <c r="C4" s="10" t="s">
        <v>52</v>
      </c>
      <c r="D4" s="11">
        <v>2</v>
      </c>
      <c r="E4" s="12"/>
      <c r="F4" s="13">
        <f>D4*E4</f>
        <v>0</v>
      </c>
      <c r="G4" s="11">
        <v>2</v>
      </c>
      <c r="H4" s="12"/>
      <c r="I4" s="13">
        <f>G4*H4</f>
        <v>0</v>
      </c>
      <c r="J4" s="11">
        <v>2</v>
      </c>
      <c r="K4" s="12"/>
      <c r="L4" s="13">
        <f>J4*K4</f>
        <v>0</v>
      </c>
      <c r="M4" s="11">
        <v>2</v>
      </c>
      <c r="N4" s="12"/>
      <c r="O4" s="13">
        <f>M4*N4</f>
        <v>0</v>
      </c>
      <c r="P4" s="11">
        <v>2</v>
      </c>
      <c r="Q4" s="12"/>
      <c r="R4" s="15">
        <f>P4*Q4</f>
        <v>0</v>
      </c>
      <c r="S4" s="15">
        <f>SUM(F4,I4,L4,O4,R4)</f>
        <v>0</v>
      </c>
    </row>
    <row r="5" spans="1:21" ht="24">
      <c r="A5" s="19" t="s">
        <v>53</v>
      </c>
      <c r="B5" s="9" t="s">
        <v>54</v>
      </c>
      <c r="C5" s="10" t="s">
        <v>55</v>
      </c>
      <c r="D5" s="14">
        <v>1</v>
      </c>
      <c r="E5" s="12"/>
      <c r="F5" s="13">
        <f t="shared" ref="F5:F7" si="0">D5*E5</f>
        <v>0</v>
      </c>
      <c r="G5" s="14">
        <v>1</v>
      </c>
      <c r="H5" s="12"/>
      <c r="I5" s="13">
        <f t="shared" ref="I5:I7" si="1">G5*H5</f>
        <v>0</v>
      </c>
      <c r="J5" s="14">
        <v>1</v>
      </c>
      <c r="K5" s="12"/>
      <c r="L5" s="13">
        <f t="shared" ref="L5:L7" si="2">J5*K5</f>
        <v>0</v>
      </c>
      <c r="M5" s="14">
        <v>1</v>
      </c>
      <c r="N5" s="12"/>
      <c r="O5" s="13">
        <f t="shared" ref="O5:O7" si="3">M5*N5</f>
        <v>0</v>
      </c>
      <c r="P5" s="14">
        <v>1</v>
      </c>
      <c r="Q5" s="12"/>
      <c r="R5" s="15">
        <f t="shared" ref="R5:R7" si="4">P5*Q5</f>
        <v>0</v>
      </c>
      <c r="S5" s="15">
        <f t="shared" ref="S5:S7" si="5">SUM(F5,I5,L5,O5,R5)</f>
        <v>0</v>
      </c>
    </row>
    <row r="6" spans="1:21" ht="36">
      <c r="A6" s="19" t="s">
        <v>56</v>
      </c>
      <c r="B6" s="16" t="s">
        <v>57</v>
      </c>
      <c r="C6" s="10" t="s">
        <v>58</v>
      </c>
      <c r="D6" s="14">
        <v>6</v>
      </c>
      <c r="E6" s="12"/>
      <c r="F6" s="13">
        <f t="shared" si="0"/>
        <v>0</v>
      </c>
      <c r="G6" s="14">
        <v>6</v>
      </c>
      <c r="H6" s="12"/>
      <c r="I6" s="13">
        <f t="shared" si="1"/>
        <v>0</v>
      </c>
      <c r="J6" s="14">
        <v>6</v>
      </c>
      <c r="K6" s="12"/>
      <c r="L6" s="13">
        <f t="shared" si="2"/>
        <v>0</v>
      </c>
      <c r="M6" s="14">
        <v>6</v>
      </c>
      <c r="N6" s="12"/>
      <c r="O6" s="13">
        <f t="shared" si="3"/>
        <v>0</v>
      </c>
      <c r="P6" s="14">
        <v>6</v>
      </c>
      <c r="Q6" s="12"/>
      <c r="R6" s="15">
        <f t="shared" si="4"/>
        <v>0</v>
      </c>
      <c r="S6" s="15">
        <f t="shared" si="5"/>
        <v>0</v>
      </c>
    </row>
    <row r="7" spans="1:21" ht="24">
      <c r="A7" s="19" t="s">
        <v>59</v>
      </c>
      <c r="B7" s="16" t="s">
        <v>60</v>
      </c>
      <c r="C7" s="10" t="s">
        <v>61</v>
      </c>
      <c r="D7" s="14">
        <v>15</v>
      </c>
      <c r="E7" s="12"/>
      <c r="F7" s="13">
        <f t="shared" si="0"/>
        <v>0</v>
      </c>
      <c r="G7" s="14">
        <v>15</v>
      </c>
      <c r="H7" s="12"/>
      <c r="I7" s="13">
        <f t="shared" si="1"/>
        <v>0</v>
      </c>
      <c r="J7" s="14">
        <v>15</v>
      </c>
      <c r="K7" s="12"/>
      <c r="L7" s="13">
        <f t="shared" si="2"/>
        <v>0</v>
      </c>
      <c r="M7" s="14">
        <v>15</v>
      </c>
      <c r="N7" s="12"/>
      <c r="O7" s="13">
        <f t="shared" si="3"/>
        <v>0</v>
      </c>
      <c r="P7" s="14">
        <v>15</v>
      </c>
      <c r="Q7" s="12"/>
      <c r="R7" s="15">
        <f t="shared" si="4"/>
        <v>0</v>
      </c>
      <c r="S7" s="15">
        <f t="shared" si="5"/>
        <v>0</v>
      </c>
    </row>
    <row r="8" spans="1:21">
      <c r="A8" s="8" t="s">
        <v>25</v>
      </c>
      <c r="F8" s="17">
        <f>SUM(F4:F7)</f>
        <v>0</v>
      </c>
      <c r="I8" s="17">
        <f>SUM(I4:I7)</f>
        <v>0</v>
      </c>
      <c r="L8" s="17">
        <f>SUM(L4:L7)</f>
        <v>0</v>
      </c>
      <c r="O8" s="17">
        <f>SUM(O4:O7)</f>
        <v>0</v>
      </c>
      <c r="R8" s="17">
        <f>SUM(R4:R7)</f>
        <v>0</v>
      </c>
      <c r="S8" s="17">
        <f>SUM(F8,I8,L8,O8,R8)</f>
        <v>0</v>
      </c>
    </row>
  </sheetData>
  <mergeCells count="7">
    <mergeCell ref="A1:S1"/>
    <mergeCell ref="D2:F2"/>
    <mergeCell ref="G2:I2"/>
    <mergeCell ref="J2:L2"/>
    <mergeCell ref="M2:O2"/>
    <mergeCell ref="P2:R2"/>
    <mergeCell ref="A2:C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DC61-9678-495D-AFE4-C746F3D7131B}">
  <dimension ref="A1:S17"/>
  <sheetViews>
    <sheetView zoomScaleNormal="100" workbookViewId="0">
      <selection activeCell="D14" sqref="D14"/>
    </sheetView>
  </sheetViews>
  <sheetFormatPr defaultRowHeight="15"/>
  <cols>
    <col min="2" max="2" width="40" customWidth="1"/>
    <col min="3" max="3" width="22.5703125" customWidth="1"/>
    <col min="6" max="6" width="15.140625" customWidth="1"/>
    <col min="9" max="9" width="15.140625" customWidth="1"/>
    <col min="12" max="12" width="13.85546875" bestFit="1" customWidth="1"/>
    <col min="15" max="15" width="13.85546875" bestFit="1" customWidth="1"/>
    <col min="18" max="18" width="13.85546875" bestFit="1" customWidth="1"/>
    <col min="19" max="19" width="22.5703125" customWidth="1"/>
  </cols>
  <sheetData>
    <row r="1" spans="1:19" ht="109.5" customHeight="1">
      <c r="A1" s="33" t="s">
        <v>62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ht="41.25" customHeight="1">
      <c r="A2" s="36" t="s">
        <v>1</v>
      </c>
      <c r="B2" s="37"/>
      <c r="C2" s="37"/>
      <c r="D2" s="41" t="s">
        <v>2</v>
      </c>
      <c r="E2" s="42"/>
      <c r="F2" s="43"/>
      <c r="G2" s="41" t="s">
        <v>63</v>
      </c>
      <c r="H2" s="42"/>
      <c r="I2" s="43"/>
      <c r="J2" s="44" t="s">
        <v>4</v>
      </c>
      <c r="K2" s="45"/>
      <c r="L2" s="46"/>
      <c r="M2" s="41" t="s">
        <v>5</v>
      </c>
      <c r="N2" s="42"/>
      <c r="O2" s="43"/>
      <c r="P2" s="41" t="s">
        <v>6</v>
      </c>
      <c r="Q2" s="42"/>
      <c r="R2" s="43"/>
      <c r="S2" s="32"/>
    </row>
    <row r="3" spans="1:19" ht="48">
      <c r="A3" s="1" t="s">
        <v>48</v>
      </c>
      <c r="B3" s="1" t="s">
        <v>8</v>
      </c>
      <c r="C3" s="2" t="s">
        <v>9</v>
      </c>
      <c r="D3" s="3" t="s">
        <v>64</v>
      </c>
      <c r="E3" s="4" t="s">
        <v>65</v>
      </c>
      <c r="F3" s="5" t="s">
        <v>66</v>
      </c>
      <c r="G3" s="3" t="s">
        <v>10</v>
      </c>
      <c r="H3" s="4" t="s">
        <v>11</v>
      </c>
      <c r="I3" s="5" t="s">
        <v>12</v>
      </c>
      <c r="J3" s="3" t="s">
        <v>13</v>
      </c>
      <c r="K3" s="6" t="s">
        <v>14</v>
      </c>
      <c r="L3" s="5" t="s">
        <v>15</v>
      </c>
      <c r="M3" s="3" t="s">
        <v>16</v>
      </c>
      <c r="N3" s="4" t="s">
        <v>17</v>
      </c>
      <c r="O3" s="5" t="s">
        <v>18</v>
      </c>
      <c r="P3" s="3" t="s">
        <v>19</v>
      </c>
      <c r="Q3" s="4" t="s">
        <v>20</v>
      </c>
      <c r="R3" s="5" t="s">
        <v>21</v>
      </c>
      <c r="S3" s="7" t="s">
        <v>25</v>
      </c>
    </row>
    <row r="4" spans="1:19" ht="174" customHeight="1">
      <c r="A4" s="19" t="s">
        <v>67</v>
      </c>
      <c r="B4" s="9" t="s">
        <v>68</v>
      </c>
      <c r="C4" s="10" t="s">
        <v>69</v>
      </c>
      <c r="D4" s="11">
        <v>25</v>
      </c>
      <c r="E4" s="12"/>
      <c r="F4" s="13">
        <f>D4*E4</f>
        <v>0</v>
      </c>
      <c r="G4" s="11">
        <v>25</v>
      </c>
      <c r="H4" s="12"/>
      <c r="I4" s="13">
        <f>G4*H4</f>
        <v>0</v>
      </c>
      <c r="J4" s="11">
        <v>100000</v>
      </c>
      <c r="K4" s="12"/>
      <c r="L4" s="13">
        <f>J4*K4</f>
        <v>0</v>
      </c>
      <c r="M4" s="11">
        <v>100000</v>
      </c>
      <c r="N4" s="12"/>
      <c r="O4" s="13">
        <f>M4*N4</f>
        <v>0</v>
      </c>
      <c r="P4" s="11">
        <v>100000</v>
      </c>
      <c r="Q4" s="12"/>
      <c r="R4" s="13">
        <f>P4*Q4</f>
        <v>0</v>
      </c>
      <c r="S4" s="15">
        <f>SUM(F4,I4,L4,O4,R4)</f>
        <v>0</v>
      </c>
    </row>
    <row r="5" spans="1:19" ht="192">
      <c r="A5" s="19" t="s">
        <v>70</v>
      </c>
      <c r="B5" s="16" t="s">
        <v>71</v>
      </c>
      <c r="C5" s="10" t="s">
        <v>72</v>
      </c>
      <c r="D5" s="14">
        <v>2526</v>
      </c>
      <c r="E5" s="12"/>
      <c r="F5" s="13">
        <f t="shared" ref="F5:F16" si="0">D5*E5</f>
        <v>0</v>
      </c>
      <c r="G5" s="14">
        <v>2526</v>
      </c>
      <c r="H5" s="12"/>
      <c r="I5" s="13">
        <f t="shared" ref="I5:I14" si="1">G5*H5</f>
        <v>0</v>
      </c>
      <c r="J5" s="14"/>
      <c r="K5" s="12"/>
      <c r="L5" s="13">
        <f t="shared" ref="L5:L14" si="2">J5*K5</f>
        <v>0</v>
      </c>
      <c r="M5" s="14"/>
      <c r="N5" s="12"/>
      <c r="O5" s="13">
        <f t="shared" ref="O5:O14" si="3">M5*N5</f>
        <v>0</v>
      </c>
      <c r="P5" s="14"/>
      <c r="Q5" s="12"/>
      <c r="R5" s="13">
        <f t="shared" ref="R5:R14" si="4">P5*Q5</f>
        <v>0</v>
      </c>
      <c r="S5" s="15">
        <f t="shared" ref="S5:S16" si="5">SUM(F5,I5,L5,O5,R5)</f>
        <v>0</v>
      </c>
    </row>
    <row r="6" spans="1:19" ht="180">
      <c r="A6" s="19" t="s">
        <v>73</v>
      </c>
      <c r="B6" s="16" t="s">
        <v>74</v>
      </c>
      <c r="C6" s="10" t="s">
        <v>75</v>
      </c>
      <c r="D6" s="14">
        <v>2526</v>
      </c>
      <c r="E6" s="12"/>
      <c r="F6" s="13">
        <f t="shared" si="0"/>
        <v>0</v>
      </c>
      <c r="G6" s="14">
        <v>2526</v>
      </c>
      <c r="H6" s="12"/>
      <c r="I6" s="13">
        <f t="shared" si="1"/>
        <v>0</v>
      </c>
      <c r="J6" s="14"/>
      <c r="K6" s="12"/>
      <c r="L6" s="13">
        <f t="shared" si="2"/>
        <v>0</v>
      </c>
      <c r="M6" s="14"/>
      <c r="N6" s="12"/>
      <c r="O6" s="13">
        <f t="shared" si="3"/>
        <v>0</v>
      </c>
      <c r="P6" s="14"/>
      <c r="Q6" s="12"/>
      <c r="R6" s="13">
        <f t="shared" si="4"/>
        <v>0</v>
      </c>
      <c r="S6" s="15">
        <f t="shared" si="5"/>
        <v>0</v>
      </c>
    </row>
    <row r="7" spans="1:19" ht="192">
      <c r="A7" s="19" t="s">
        <v>76</v>
      </c>
      <c r="B7" s="16" t="s">
        <v>77</v>
      </c>
      <c r="C7" s="10" t="s">
        <v>78</v>
      </c>
      <c r="D7" s="14">
        <v>2526</v>
      </c>
      <c r="E7" s="12"/>
      <c r="F7" s="13">
        <f t="shared" si="0"/>
        <v>0</v>
      </c>
      <c r="G7" s="14">
        <v>2526</v>
      </c>
      <c r="H7" s="12"/>
      <c r="I7" s="13">
        <f t="shared" si="1"/>
        <v>0</v>
      </c>
      <c r="J7" s="14"/>
      <c r="K7" s="12"/>
      <c r="L7" s="13">
        <f t="shared" si="2"/>
        <v>0</v>
      </c>
      <c r="M7" s="14"/>
      <c r="N7" s="12"/>
      <c r="O7" s="13">
        <f t="shared" si="3"/>
        <v>0</v>
      </c>
      <c r="P7" s="14"/>
      <c r="Q7" s="12"/>
      <c r="R7" s="13">
        <f t="shared" si="4"/>
        <v>0</v>
      </c>
      <c r="S7" s="15">
        <f t="shared" si="5"/>
        <v>0</v>
      </c>
    </row>
    <row r="8" spans="1:19" ht="168">
      <c r="A8" s="19" t="s">
        <v>79</v>
      </c>
      <c r="B8" s="20" t="s">
        <v>80</v>
      </c>
      <c r="C8" s="10" t="s">
        <v>81</v>
      </c>
      <c r="D8" s="14">
        <v>2526</v>
      </c>
      <c r="E8" s="12"/>
      <c r="F8" s="13">
        <f t="shared" si="0"/>
        <v>0</v>
      </c>
      <c r="G8" s="14">
        <v>2526</v>
      </c>
      <c r="H8" s="12"/>
      <c r="I8" s="13">
        <f t="shared" si="1"/>
        <v>0</v>
      </c>
      <c r="J8" s="14"/>
      <c r="K8" s="12"/>
      <c r="L8" s="13">
        <f t="shared" si="2"/>
        <v>0</v>
      </c>
      <c r="M8" s="14"/>
      <c r="N8" s="12"/>
      <c r="O8" s="13">
        <f t="shared" si="3"/>
        <v>0</v>
      </c>
      <c r="P8" s="14"/>
      <c r="Q8" s="12"/>
      <c r="R8" s="13">
        <f t="shared" si="4"/>
        <v>0</v>
      </c>
      <c r="S8" s="15">
        <f t="shared" si="5"/>
        <v>0</v>
      </c>
    </row>
    <row r="9" spans="1:19" ht="168">
      <c r="A9" s="19" t="s">
        <v>82</v>
      </c>
      <c r="B9" s="20" t="s">
        <v>83</v>
      </c>
      <c r="C9" s="10" t="s">
        <v>84</v>
      </c>
      <c r="D9" s="14">
        <v>2526</v>
      </c>
      <c r="E9" s="12"/>
      <c r="F9" s="13">
        <f t="shared" si="0"/>
        <v>0</v>
      </c>
      <c r="G9" s="11">
        <v>2526</v>
      </c>
      <c r="H9" s="12"/>
      <c r="I9" s="13">
        <f t="shared" si="1"/>
        <v>0</v>
      </c>
      <c r="J9" s="11"/>
      <c r="K9" s="12"/>
      <c r="L9" s="13">
        <f t="shared" si="2"/>
        <v>0</v>
      </c>
      <c r="M9" s="11"/>
      <c r="N9" s="12"/>
      <c r="O9" s="13">
        <f t="shared" si="3"/>
        <v>0</v>
      </c>
      <c r="P9" s="14"/>
      <c r="Q9" s="12"/>
      <c r="R9" s="13">
        <f t="shared" si="4"/>
        <v>0</v>
      </c>
      <c r="S9" s="15">
        <f t="shared" si="5"/>
        <v>0</v>
      </c>
    </row>
    <row r="10" spans="1:19" ht="180">
      <c r="A10" s="21" t="s">
        <v>85</v>
      </c>
      <c r="B10" s="20" t="s">
        <v>86</v>
      </c>
      <c r="C10" s="22" t="s">
        <v>87</v>
      </c>
      <c r="D10" s="14">
        <v>2526</v>
      </c>
      <c r="E10" s="12"/>
      <c r="F10" s="13">
        <f t="shared" si="0"/>
        <v>0</v>
      </c>
      <c r="G10" s="14">
        <v>2526</v>
      </c>
      <c r="H10" s="12"/>
      <c r="I10" s="13">
        <f t="shared" si="1"/>
        <v>0</v>
      </c>
      <c r="J10" s="14"/>
      <c r="K10" s="12"/>
      <c r="L10" s="13">
        <f t="shared" si="2"/>
        <v>0</v>
      </c>
      <c r="M10" s="14"/>
      <c r="N10" s="12"/>
      <c r="O10" s="13">
        <f t="shared" si="3"/>
        <v>0</v>
      </c>
      <c r="P10" s="14"/>
      <c r="Q10" s="12"/>
      <c r="R10" s="13">
        <f t="shared" si="4"/>
        <v>0</v>
      </c>
      <c r="S10" s="15">
        <f t="shared" si="5"/>
        <v>0</v>
      </c>
    </row>
    <row r="11" spans="1:19" ht="180">
      <c r="A11" s="21" t="s">
        <v>88</v>
      </c>
      <c r="B11" s="20" t="s">
        <v>89</v>
      </c>
      <c r="C11" s="22" t="s">
        <v>90</v>
      </c>
      <c r="D11" s="14">
        <v>2526</v>
      </c>
      <c r="E11" s="12"/>
      <c r="F11" s="13">
        <f t="shared" si="0"/>
        <v>0</v>
      </c>
      <c r="G11" s="14">
        <v>2526</v>
      </c>
      <c r="H11" s="12"/>
      <c r="I11" s="13">
        <f t="shared" si="1"/>
        <v>0</v>
      </c>
      <c r="J11" s="14"/>
      <c r="K11" s="12"/>
      <c r="L11" s="13">
        <f t="shared" si="2"/>
        <v>0</v>
      </c>
      <c r="M11" s="14"/>
      <c r="N11" s="12"/>
      <c r="O11" s="13">
        <f t="shared" si="3"/>
        <v>0</v>
      </c>
      <c r="P11" s="14"/>
      <c r="Q11" s="12"/>
      <c r="R11" s="13">
        <f t="shared" si="4"/>
        <v>0</v>
      </c>
      <c r="S11" s="15">
        <f t="shared" si="5"/>
        <v>0</v>
      </c>
    </row>
    <row r="12" spans="1:19" ht="180">
      <c r="A12" s="21" t="s">
        <v>91</v>
      </c>
      <c r="B12" s="20" t="s">
        <v>92</v>
      </c>
      <c r="C12" s="22" t="s">
        <v>93</v>
      </c>
      <c r="D12" s="14">
        <v>2526</v>
      </c>
      <c r="E12" s="12"/>
      <c r="F12" s="13">
        <f t="shared" si="0"/>
        <v>0</v>
      </c>
      <c r="G12" s="14">
        <v>2526</v>
      </c>
      <c r="H12" s="12"/>
      <c r="I12" s="13">
        <f t="shared" si="1"/>
        <v>0</v>
      </c>
      <c r="J12" s="14"/>
      <c r="K12" s="12"/>
      <c r="L12" s="13">
        <f t="shared" si="2"/>
        <v>0</v>
      </c>
      <c r="M12" s="14"/>
      <c r="N12" s="12"/>
      <c r="O12" s="13">
        <f t="shared" si="3"/>
        <v>0</v>
      </c>
      <c r="P12" s="14"/>
      <c r="Q12" s="12"/>
      <c r="R12" s="13">
        <f t="shared" si="4"/>
        <v>0</v>
      </c>
      <c r="S12" s="15">
        <f t="shared" si="5"/>
        <v>0</v>
      </c>
    </row>
    <row r="13" spans="1:19" ht="192">
      <c r="A13" s="21" t="s">
        <v>94</v>
      </c>
      <c r="B13" s="20" t="s">
        <v>95</v>
      </c>
      <c r="C13" s="22" t="s">
        <v>96</v>
      </c>
      <c r="D13" s="14">
        <v>2526</v>
      </c>
      <c r="E13" s="12"/>
      <c r="F13" s="13">
        <f t="shared" si="0"/>
        <v>0</v>
      </c>
      <c r="G13" s="14">
        <v>2526</v>
      </c>
      <c r="H13" s="12"/>
      <c r="I13" s="13">
        <f t="shared" si="1"/>
        <v>0</v>
      </c>
      <c r="J13" s="14"/>
      <c r="K13" s="12"/>
      <c r="L13" s="13">
        <f t="shared" si="2"/>
        <v>0</v>
      </c>
      <c r="M13" s="14"/>
      <c r="N13" s="12"/>
      <c r="O13" s="13">
        <f t="shared" si="3"/>
        <v>0</v>
      </c>
      <c r="P13" s="14"/>
      <c r="Q13" s="12"/>
      <c r="R13" s="13">
        <f t="shared" si="4"/>
        <v>0</v>
      </c>
      <c r="S13" s="15">
        <f t="shared" si="5"/>
        <v>0</v>
      </c>
    </row>
    <row r="14" spans="1:19" ht="180">
      <c r="A14" s="21" t="s">
        <v>97</v>
      </c>
      <c r="B14" s="20" t="s">
        <v>98</v>
      </c>
      <c r="C14" s="22" t="s">
        <v>99</v>
      </c>
      <c r="D14" s="11">
        <v>2526</v>
      </c>
      <c r="E14" s="12"/>
      <c r="F14" s="13">
        <f t="shared" si="0"/>
        <v>0</v>
      </c>
      <c r="G14" s="11">
        <v>2526</v>
      </c>
      <c r="H14" s="12"/>
      <c r="I14" s="13">
        <f t="shared" si="1"/>
        <v>0</v>
      </c>
      <c r="J14" s="11"/>
      <c r="K14" s="12"/>
      <c r="L14" s="13">
        <f t="shared" si="2"/>
        <v>0</v>
      </c>
      <c r="M14" s="11"/>
      <c r="N14" s="12"/>
      <c r="O14" s="13">
        <f t="shared" si="3"/>
        <v>0</v>
      </c>
      <c r="P14" s="14"/>
      <c r="Q14" s="12"/>
      <c r="R14" s="13">
        <f t="shared" si="4"/>
        <v>0</v>
      </c>
      <c r="S14" s="15">
        <f t="shared" si="5"/>
        <v>0</v>
      </c>
    </row>
    <row r="15" spans="1:19" ht="180">
      <c r="A15" s="21" t="s">
        <v>100</v>
      </c>
      <c r="B15" s="20" t="s">
        <v>101</v>
      </c>
      <c r="C15" s="22" t="s">
        <v>102</v>
      </c>
      <c r="D15" s="14">
        <v>2526</v>
      </c>
      <c r="E15" s="12"/>
      <c r="F15" s="13">
        <f t="shared" si="0"/>
        <v>0</v>
      </c>
      <c r="G15" s="14">
        <v>2526</v>
      </c>
      <c r="H15" s="12"/>
      <c r="I15" s="13">
        <f t="shared" ref="I15:I16" si="6">G15*H15</f>
        <v>0</v>
      </c>
      <c r="J15" s="14"/>
      <c r="K15" s="12"/>
      <c r="L15" s="13">
        <f t="shared" ref="L15:L16" si="7">J15*K15</f>
        <v>0</v>
      </c>
      <c r="M15" s="14"/>
      <c r="N15" s="12"/>
      <c r="O15" s="13">
        <f t="shared" ref="O15:O16" si="8">M15*N15</f>
        <v>0</v>
      </c>
      <c r="P15" s="14"/>
      <c r="Q15" s="12"/>
      <c r="R15" s="13">
        <f t="shared" ref="R15:R16" si="9">P15*Q15</f>
        <v>0</v>
      </c>
      <c r="S15" s="15">
        <f t="shared" si="5"/>
        <v>0</v>
      </c>
    </row>
    <row r="16" spans="1:19" ht="180">
      <c r="A16" s="21" t="s">
        <v>103</v>
      </c>
      <c r="B16" s="20" t="s">
        <v>104</v>
      </c>
      <c r="C16" s="22" t="s">
        <v>105</v>
      </c>
      <c r="D16" s="14">
        <v>2526</v>
      </c>
      <c r="E16" s="12"/>
      <c r="F16" s="13">
        <f t="shared" si="0"/>
        <v>0</v>
      </c>
      <c r="G16" s="14">
        <v>2526</v>
      </c>
      <c r="H16" s="12"/>
      <c r="I16" s="13">
        <f t="shared" si="6"/>
        <v>0</v>
      </c>
      <c r="J16" s="14"/>
      <c r="K16" s="12"/>
      <c r="L16" s="13">
        <f t="shared" si="7"/>
        <v>0</v>
      </c>
      <c r="M16" s="14"/>
      <c r="N16" s="12"/>
      <c r="O16" s="13">
        <f t="shared" si="8"/>
        <v>0</v>
      </c>
      <c r="P16" s="14"/>
      <c r="Q16" s="12"/>
      <c r="R16" s="13">
        <f t="shared" si="9"/>
        <v>0</v>
      </c>
      <c r="S16" s="15">
        <f t="shared" si="5"/>
        <v>0</v>
      </c>
    </row>
    <row r="17" spans="6:19">
      <c r="F17" s="17">
        <f>SUM(F4:F16)</f>
        <v>0</v>
      </c>
      <c r="I17" s="17">
        <f>SUM(I4:I16)</f>
        <v>0</v>
      </c>
      <c r="L17" s="17">
        <f>SUM(L4:L16)</f>
        <v>0</v>
      </c>
      <c r="O17" s="17">
        <f>SUM(O4:O16)</f>
        <v>0</v>
      </c>
      <c r="R17" s="17">
        <f>SUM(R4:R16)</f>
        <v>0</v>
      </c>
      <c r="S17" s="17">
        <f>SUM(F17,I17,L17,O17,R17)</f>
        <v>0</v>
      </c>
    </row>
  </sheetData>
  <autoFilter ref="A3:S3" xr:uid="{F755DC61-9678-495D-AFE4-C746F3D7131B}"/>
  <mergeCells count="7">
    <mergeCell ref="A1:S1"/>
    <mergeCell ref="D2:F2"/>
    <mergeCell ref="G2:I2"/>
    <mergeCell ref="J2:L2"/>
    <mergeCell ref="M2:O2"/>
    <mergeCell ref="P2:R2"/>
    <mergeCell ref="A2:C2"/>
  </mergeCells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4992BD87A4AE4C8B8C667748F2BC72" ma:contentTypeVersion="17" ma:contentTypeDescription="Create a new document." ma:contentTypeScope="" ma:versionID="6df95fe5878a1c3690356d82ca54a6d5">
  <xsd:schema xmlns:xsd="http://www.w3.org/2001/XMLSchema" xmlns:xs="http://www.w3.org/2001/XMLSchema" xmlns:p="http://schemas.microsoft.com/office/2006/metadata/properties" xmlns:ns1="http://schemas.microsoft.com/sharepoint/v3" xmlns:ns2="4193bc25-a9ae-4afc-8af0-cb7b3e48b7bb" xmlns:ns3="5d95ad5b-b2ba-453d-8b2c-cc2d237ce590" targetNamespace="http://schemas.microsoft.com/office/2006/metadata/properties" ma:root="true" ma:fieldsID="ffae0d9c7e8ee7035d9527bb91a072c7" ns1:_="" ns2:_="" ns3:_="">
    <xsd:import namespace="http://schemas.microsoft.com/sharepoint/v3"/>
    <xsd:import namespace="4193bc25-a9ae-4afc-8af0-cb7b3e48b7bb"/>
    <xsd:import namespace="5d95ad5b-b2ba-453d-8b2c-cc2d237ce59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3bc25-a9ae-4afc-8af0-cb7b3e48b7b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ca5cf81-05c4-46d0-9d41-1a4462c8daa6}" ma:internalName="TaxCatchAll" ma:showField="CatchAllData" ma:web="4193bc25-a9ae-4afc-8af0-cb7b3e48b7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5ad5b-b2ba-453d-8b2c-cc2d237ce5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0ac6538-d41a-4f9a-bd67-5f7ae81a6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4193bc25-a9ae-4afc-8af0-cb7b3e48b7bb" xsi:nil="true"/>
    <lcf76f155ced4ddcb4097134ff3c332f xmlns="5d95ad5b-b2ba-453d-8b2c-cc2d237ce5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EA8437-8BB4-48A7-AE5B-67BD0F2D33FF}"/>
</file>

<file path=customXml/itemProps2.xml><?xml version="1.0" encoding="utf-8"?>
<ds:datastoreItem xmlns:ds="http://schemas.openxmlformats.org/officeDocument/2006/customXml" ds:itemID="{C337509A-FA53-49D4-9FB1-D6B6CB48AA4D}"/>
</file>

<file path=customXml/itemProps3.xml><?xml version="1.0" encoding="utf-8"?>
<ds:datastoreItem xmlns:ds="http://schemas.openxmlformats.org/officeDocument/2006/customXml" ds:itemID="{C0D0A3A5-8B61-4641-AA77-7DE389DB6874}"/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2026-03-02T18:21:13Z</dcterms:created>
  <dcterms:modified xsi:type="dcterms:W3CDTF">2026-03-31T17:36:41Z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0x010100D84992BD87A4AE4C8B8C667748F2BC72</vt:lpwstr>
  </property>
  <property fmtid="{D5CDD505-2E9C-101B-9397-08002B2CF9AE}" pid="3" name="MediaServiceImageTags">
    <vt:lpwstr/>
  </property>
</Properties>
</file>