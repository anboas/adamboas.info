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dillon_s_barks_civ_army_mil/Documents/Documents/OMD/IDIQ Solicitations/Paint 2026/"/>
    </mc:Choice>
  </mc:AlternateContent>
  <xr:revisionPtr revIDLastSave="4" documentId="8_{2762C389-DEA1-44AB-A3DC-59E2846694DB}" xr6:coauthVersionLast="47" xr6:coauthVersionMax="47" xr10:uidLastSave="{96384750-B910-4C5C-AC2D-296FFF92FF68}"/>
  <bookViews>
    <workbookView xWindow="-105" yWindow="30" windowWidth="29085" windowHeight="15555" xr2:uid="{9B49CB61-1FCC-4EC9-9221-042F167EC08C}"/>
  </bookViews>
  <sheets>
    <sheet name="Base Period" sheetId="4" r:id="rId1"/>
    <sheet name="1st Option Period" sheetId="5" r:id="rId2"/>
    <sheet name="2nd Option Period" sheetId="6" r:id="rId3"/>
    <sheet name="3rd Option Period" sheetId="7" r:id="rId4"/>
    <sheet name="4th Option Period" sheetId="8" r:id="rId5"/>
  </sheets>
  <definedNames>
    <definedName name="_xlnm.Print_Area" localSheetId="1">'1st Option Period'!$A$1:$F$44</definedName>
    <definedName name="_xlnm.Print_Area" localSheetId="2">'2nd Option Period'!$A$1:$F$44</definedName>
    <definedName name="_xlnm.Print_Area" localSheetId="3">'3rd Option Period'!$A$1:$F$44</definedName>
    <definedName name="_xlnm.Print_Area" localSheetId="4">'4th Option Period'!$A$1:$F$45</definedName>
    <definedName name="_xlnm.Print_Area" localSheetId="0">'Base Period'!$A$1:$F$44</definedName>
    <definedName name="_xlnm.Print_Titles" localSheetId="1">'1st Option Period'!$1:$3</definedName>
    <definedName name="_xlnm.Print_Titles" localSheetId="0">'Base Period'!$1:$3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8" i="5"/>
  <c r="F9" i="5"/>
  <c r="F10" i="5"/>
  <c r="F16" i="5"/>
  <c r="F17" i="5"/>
  <c r="F18" i="5"/>
  <c r="F19" i="5"/>
  <c r="F21" i="5"/>
  <c r="F25" i="5"/>
  <c r="F28" i="5"/>
  <c r="F32" i="5"/>
  <c r="F33" i="5"/>
  <c r="F35" i="6"/>
  <c r="F39" i="7"/>
  <c r="F42" i="5"/>
  <c r="F4" i="5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14" i="6" l="1"/>
  <c r="F44" i="4"/>
  <c r="F13" i="6"/>
  <c r="F5" i="5"/>
  <c r="F44" i="5" s="1"/>
  <c r="F14" i="5"/>
  <c r="F7" i="5"/>
  <c r="F23" i="5"/>
  <c r="F31" i="5"/>
  <c r="F30" i="5"/>
  <c r="F13" i="5"/>
  <c r="F27" i="5"/>
  <c r="F40" i="5"/>
  <c r="F27" i="8"/>
  <c r="F39" i="5"/>
  <c r="F20" i="5"/>
  <c r="F29" i="5"/>
  <c r="F22" i="5"/>
  <c r="F35" i="5"/>
  <c r="F42" i="8"/>
  <c r="F42" i="6"/>
  <c r="F16" i="7"/>
  <c r="F16" i="6"/>
  <c r="F36" i="5"/>
  <c r="F37" i="5"/>
  <c r="F43" i="5"/>
  <c r="F38" i="5"/>
  <c r="F34" i="5"/>
  <c r="F12" i="5"/>
  <c r="F26" i="5"/>
  <c r="F28" i="6"/>
  <c r="F28" i="7"/>
  <c r="F26" i="6"/>
  <c r="F34" i="6"/>
  <c r="F7" i="6"/>
  <c r="F7" i="8"/>
  <c r="F36" i="6"/>
  <c r="F20" i="8"/>
  <c r="F20" i="7"/>
  <c r="F12" i="7"/>
  <c r="F12" i="6"/>
  <c r="F29" i="8"/>
  <c r="F29" i="6"/>
  <c r="F25" i="8"/>
  <c r="F25" i="6"/>
  <c r="F30" i="8"/>
  <c r="F30" i="6"/>
  <c r="F20" i="6"/>
  <c r="F41" i="5"/>
  <c r="F11" i="5"/>
  <c r="F41" i="6"/>
  <c r="F18" i="8"/>
  <c r="F6" i="5"/>
  <c r="F35" i="8"/>
  <c r="F15" i="5"/>
  <c r="F15" i="6"/>
  <c r="F31" i="6"/>
  <c r="F24" i="5"/>
  <c r="F43" i="6"/>
  <c r="F22" i="6"/>
  <c r="F40" i="6"/>
  <c r="F38" i="6"/>
  <c r="F39" i="8"/>
  <c r="F39" i="6"/>
  <c r="F4" i="6"/>
  <c r="F37" i="6"/>
  <c r="F33" i="6"/>
  <c r="F18" i="6"/>
  <c r="F11" i="6"/>
  <c r="F19" i="8" l="1"/>
  <c r="F17" i="7"/>
  <c r="F18" i="7"/>
  <c r="F6" i="8"/>
  <c r="F19" i="6"/>
  <c r="F27" i="6"/>
  <c r="F30" i="7"/>
  <c r="F25" i="7"/>
  <c r="F27" i="7"/>
  <c r="F17" i="6"/>
  <c r="F41" i="8"/>
  <c r="F32" i="6"/>
  <c r="F16" i="8"/>
  <c r="F5" i="8"/>
  <c r="F5" i="7"/>
  <c r="F6" i="7"/>
  <c r="F17" i="8"/>
  <c r="F29" i="7"/>
  <c r="F28" i="8"/>
  <c r="F42" i="7"/>
  <c r="F12" i="8"/>
  <c r="F32" i="8"/>
  <c r="F32" i="7"/>
  <c r="F36" i="8"/>
  <c r="F36" i="7"/>
  <c r="F21" i="6"/>
  <c r="F34" i="8"/>
  <c r="F34" i="7"/>
  <c r="F26" i="7"/>
  <c r="F26" i="8"/>
  <c r="F35" i="7"/>
  <c r="F7" i="7"/>
  <c r="F40" i="7"/>
  <c r="F40" i="8"/>
  <c r="F23" i="6"/>
  <c r="F38" i="7"/>
  <c r="F38" i="8"/>
  <c r="F22" i="8"/>
  <c r="F22" i="7"/>
  <c r="F43" i="8"/>
  <c r="F43" i="7"/>
  <c r="F8" i="6"/>
  <c r="F9" i="6"/>
  <c r="F24" i="6"/>
  <c r="F33" i="7"/>
  <c r="F33" i="8"/>
  <c r="F31" i="7"/>
  <c r="F31" i="8"/>
  <c r="F13" i="8"/>
  <c r="F13" i="7"/>
  <c r="F10" i="6"/>
  <c r="F15" i="7"/>
  <c r="F15" i="8"/>
  <c r="F11" i="7"/>
  <c r="F11" i="8"/>
  <c r="F37" i="7"/>
  <c r="F37" i="8"/>
  <c r="F4" i="7"/>
  <c r="F4" i="8"/>
  <c r="F14" i="7"/>
  <c r="F14" i="8"/>
  <c r="F19" i="7" l="1"/>
  <c r="F44" i="6"/>
  <c r="F41" i="7"/>
  <c r="F21" i="8"/>
  <c r="F21" i="7"/>
  <c r="F10" i="7"/>
  <c r="F10" i="8"/>
  <c r="F9" i="7"/>
  <c r="F9" i="8"/>
  <c r="F23" i="8"/>
  <c r="F23" i="7"/>
  <c r="F24" i="8"/>
  <c r="F24" i="7"/>
  <c r="F8" i="8"/>
  <c r="F8" i="7"/>
  <c r="F44" i="7" l="1"/>
  <c r="F45" i="8" s="1"/>
  <c r="F44" i="8"/>
</calcChain>
</file>

<file path=xl/sharedStrings.xml><?xml version="1.0" encoding="utf-8"?>
<sst xmlns="http://schemas.openxmlformats.org/spreadsheetml/2006/main" count="441" uniqueCount="57">
  <si>
    <t>Prime and paint exterior handrails</t>
  </si>
  <si>
    <t>Replace gypsum board</t>
  </si>
  <si>
    <t>Tape and finish gypsum board surfaces</t>
  </si>
  <si>
    <t>Remove incompatible paint</t>
  </si>
  <si>
    <t>Provide second coat of paint where one coat fails to adequately cover existing painted wall surface</t>
  </si>
  <si>
    <t>Replace miscellaneous wood trim</t>
  </si>
  <si>
    <t>Replace deteriorated ceiling tile</t>
  </si>
  <si>
    <t>Paint exterior doors</t>
  </si>
  <si>
    <t>Provide textured finish on gypsum board with gypsum plaster/mud (knock-down with trowel)</t>
  </si>
  <si>
    <t>Paint interior surfaces with epoxy paint</t>
  </si>
  <si>
    <t>Remove vinyl/sisal wall covering and prepare surface for paint</t>
  </si>
  <si>
    <t>Furnish &amp; install corner guards (3" x 3" PVC)</t>
  </si>
  <si>
    <t>Furnish &amp; install corner guards (3" x 3" stainless steel)</t>
  </si>
  <si>
    <t>EA</t>
  </si>
  <si>
    <t>LF</t>
  </si>
  <si>
    <t>SF</t>
  </si>
  <si>
    <t>Furnish and Install Wall Guards (3" high PVC)</t>
  </si>
  <si>
    <t>Furnish and Install Wall Guard PVC Corners, Inside and Outside</t>
  </si>
  <si>
    <t>Furnish and Install Wall Guard PVC End Caps</t>
  </si>
  <si>
    <t>Remove vinyl/sisal wall covering and prepare surface for paint at other than normal duty hours (primarily at hospital)</t>
  </si>
  <si>
    <t>SQ</t>
  </si>
  <si>
    <t>Paint Miscellaneous Exterior CMU</t>
  </si>
  <si>
    <t>Furnish and Install wall Guards (7-3/4" High PVC)</t>
  </si>
  <si>
    <t>Furnish and Install Wall Guard (7-3/4" High PVC) End Caps</t>
  </si>
  <si>
    <t>Furnish and Install Handrails (5-1/4" PVC)</t>
  </si>
  <si>
    <t>Furnish and Install Handrail (5-1/4" PVC) Returns, Left and Right</t>
  </si>
  <si>
    <t>Prime &amp; Paint Interior Handrails (Libby NCO Academy Barracks, Typical Bldg 3253)</t>
  </si>
  <si>
    <t>Prime &amp; Paint Interior Handrails (Rolling Pin Barracks, Typical Bldg 659)</t>
  </si>
  <si>
    <t>Furnish and Install Handrail (5-1/4" PVC) Corners, Inside &amp; Outside</t>
  </si>
  <si>
    <t>Furnish &amp; Install Wall Guard (7-3/4" High PVC) Corners, Inside &amp; Outside</t>
  </si>
  <si>
    <t>Remove &amp; dispose of lead-based painted casing, sill, trim, base &amp; molding</t>
  </si>
  <si>
    <t>Remove &amp; dispose of lead-based painted exterior door, jamb, trim &amp; threshold</t>
  </si>
  <si>
    <t>Quantity</t>
  </si>
  <si>
    <t>Unit Price</t>
  </si>
  <si>
    <t>Total</t>
  </si>
  <si>
    <t>U/M</t>
  </si>
  <si>
    <t>Repair acoustic ceiling textured surface</t>
  </si>
  <si>
    <t>Replace 4" vinyl wall base</t>
  </si>
  <si>
    <t>Replace 6" vinyl wall base</t>
  </si>
  <si>
    <t>Task</t>
  </si>
  <si>
    <t>Task Description</t>
  </si>
  <si>
    <t>Provide R19 Batt Insulation</t>
  </si>
  <si>
    <t>Paint Exterior Steel Siding</t>
  </si>
  <si>
    <t>Paint Exterior Wood Siding</t>
  </si>
  <si>
    <t>Paint Miscellaneous Trim</t>
  </si>
  <si>
    <t>Provide &amp; Install Window Blinds (Width 3' to 5')</t>
  </si>
  <si>
    <t>Provide &amp; Install Window Blinds (Width greater than 5')</t>
  </si>
  <si>
    <t>Prepare and Paint miscellaneous surfaces. Use task 18 if texture is required in surface prep.</t>
  </si>
  <si>
    <t>Pressure Wash Misc. Surfaces (NTE 2 Story)</t>
  </si>
  <si>
    <t>GRAND TOTAL (BASE YEAR PLUS 4 OPTION YEARS):</t>
  </si>
  <si>
    <t>TOTAL:</t>
  </si>
  <si>
    <t>Paint miscellaneous surfaces at other than normal duty hours.</t>
  </si>
  <si>
    <t>Painting and Repairs IDIQ - Base Year IGCE</t>
  </si>
  <si>
    <t>Painting and Repairs IDIQ - Option 1 IGCE</t>
  </si>
  <si>
    <t>Painting and Repairs IDIQ - Option 2 IGCE</t>
  </si>
  <si>
    <t>Painting and Repairs IDIQ - Option 3 IGCE</t>
  </si>
  <si>
    <t>Painting and Repairs IDIQ - Option 4 IGCE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</si>
</sst>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</numFmts>
  <fonts count="7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1"/>
      <color indexed="8"/>
      <name val="Arial"/>
      <family val="2"/>
    </font>
    <font>
      <b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</cellStyleXfs>
  <cellXfs count="39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7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44" fontId="4" fillId="0" borderId="0" xfId="1" applyFont="1" applyFill="1" applyBorder="1" applyAlignment="1">
      <alignment vertical="center"/>
    </xf>
    <xf numFmtId="8" fontId="4" fillId="0" borderId="0" xfId="1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3" xfId="0" applyFont="1" applyFill="1" applyBorder="1" applyAlignment="1"/>
    <xf numFmtId="3" fontId="4" fillId="0" borderId="1" xfId="0" applyNumberFormat="1" applyFont="1" applyFill="1" applyBorder="1" applyAlignment="1">
      <alignment horizontal="center" vertical="center"/>
    </xf>
    <xf numFmtId="7" fontId="4" fillId="0" borderId="1" xfId="0" applyNumberFormat="1" applyFont="1" applyFill="1" applyBorder="1" applyAlignment="1">
      <alignment horizontal="center" vertical="center"/>
    </xf>
    <xf numFmtId="8" fontId="4" fillId="0" borderId="1" xfId="1" applyNumberFormat="1" applyFont="1" applyFill="1" applyBorder="1" applyAlignment="1">
      <alignment horizontal="center" vertical="center"/>
    </xf>
    <xf numFmtId="7" fontId="4" fillId="0" borderId="0" xfId="0" applyNumberFormat="1" applyFont="1" applyFill="1" applyAlignment="1">
      <alignment horizontal="center" vertical="center"/>
    </xf>
    <xf numFmtId="7" fontId="4" fillId="2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/>
    <xf numFmtId="7" fontId="6" fillId="0" borderId="5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7" fontId="6" fillId="0" borderId="5" xfId="0" applyNumberFormat="1" applyFont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3" xfId="0" applyFont="1" applyBorder="1" applyAlignment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/>
    <xf numFmtId="0" fontId="4" fillId="0" borderId="0" xfId="0" applyFont="1"/>
    <xf numFmtId="0" fontId="4" fillId="0" borderId="0" xfId="0" applyFont="1" applyBorder="1"/>
    <xf numFmtId="7" fontId="4" fillId="0" borderId="0" xfId="0" applyNumberFormat="1" applyFont="1" applyBorder="1"/>
    <xf numFmtId="0" fontId="4" fillId="0" borderId="0" xfId="0" applyFont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4">
    <cellStyle name="Currency" xfId="1" builtinId="4"/>
    <cellStyle name="Currency 2" xfId="2" xr:uid="{684B002E-F3B2-414B-A9F7-B3D74A029442}"/>
    <cellStyle name="Normal" xfId="0" builtinId="0"/>
    <cellStyle name="Normal 2" xfId="3" xr:uid="{1B607620-C1E6-4DED-8E72-96FFE454DB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BE34-0DC9-4BA2-A255-6382B1F9E716}">
  <sheetPr>
    <pageSetUpPr fitToPage="1"/>
  </sheetPr>
  <dimension ref="A1:F45"/>
  <sheetViews>
    <sheetView tabSelected="1" zoomScale="115" zoomScaleNormal="115" workbookViewId="0">
      <selection activeCell="I9" sqref="I9"/>
    </sheetView>
  </sheetViews>
  <sheetFormatPr defaultRowHeight="11.25" x14ac:dyDescent="0.2"/>
  <cols>
    <col min="1" max="1" width="5" style="2" customWidth="1"/>
    <col min="2" max="2" width="61.7109375" style="2" customWidth="1"/>
    <col min="3" max="3" width="8.28515625" style="14" customWidth="1"/>
    <col min="4" max="4" width="7.42578125" style="6" customWidth="1"/>
    <col min="5" max="5" width="10.28515625" style="14" customWidth="1"/>
    <col min="6" max="6" width="11.42578125" style="14" bestFit="1" customWidth="1"/>
    <col min="7" max="16384" width="9.140625" style="2"/>
  </cols>
  <sheetData>
    <row r="1" spans="1:6" x14ac:dyDescent="0.2">
      <c r="A1" s="38" t="s">
        <v>52</v>
      </c>
      <c r="B1" s="38"/>
      <c r="C1" s="38"/>
      <c r="D1" s="38"/>
      <c r="E1" s="38"/>
      <c r="F1" s="38"/>
    </row>
    <row r="2" spans="1:6" x14ac:dyDescent="0.2">
      <c r="A2" s="28"/>
      <c r="B2" s="28"/>
      <c r="C2" s="28"/>
      <c r="D2" s="28"/>
      <c r="E2" s="28"/>
      <c r="F2" s="28"/>
    </row>
    <row r="3" spans="1:6" x14ac:dyDescent="0.2">
      <c r="A3" s="1" t="s">
        <v>39</v>
      </c>
      <c r="B3" s="1" t="s">
        <v>40</v>
      </c>
      <c r="C3" s="1" t="s">
        <v>32</v>
      </c>
      <c r="D3" s="1" t="s">
        <v>35</v>
      </c>
      <c r="E3" s="1" t="s">
        <v>33</v>
      </c>
      <c r="F3" s="1" t="s">
        <v>34</v>
      </c>
    </row>
    <row r="4" spans="1:6" ht="24.95" customHeight="1" x14ac:dyDescent="0.2">
      <c r="A4" s="37">
        <v>1</v>
      </c>
      <c r="B4" s="3" t="s">
        <v>47</v>
      </c>
      <c r="C4" s="16">
        <v>40000</v>
      </c>
      <c r="D4" s="5" t="s">
        <v>20</v>
      </c>
      <c r="E4" s="17"/>
      <c r="F4" s="17">
        <f>C4*E4</f>
        <v>0</v>
      </c>
    </row>
    <row r="5" spans="1:6" ht="24.95" customHeight="1" x14ac:dyDescent="0.2">
      <c r="A5" s="1">
        <v>2</v>
      </c>
      <c r="B5" s="3" t="s">
        <v>51</v>
      </c>
      <c r="C5" s="1">
        <v>1500</v>
      </c>
      <c r="D5" s="5" t="s">
        <v>20</v>
      </c>
      <c r="E5" s="17"/>
      <c r="F5" s="17">
        <f t="shared" ref="F5:F43" si="0">C5*E5</f>
        <v>0</v>
      </c>
    </row>
    <row r="6" spans="1:6" ht="24.95" customHeight="1" x14ac:dyDescent="0.2">
      <c r="A6" s="1">
        <v>3</v>
      </c>
      <c r="B6" s="3" t="s">
        <v>4</v>
      </c>
      <c r="C6" s="1">
        <v>2000</v>
      </c>
      <c r="D6" s="5" t="s">
        <v>20</v>
      </c>
      <c r="E6" s="17"/>
      <c r="F6" s="17">
        <f t="shared" si="0"/>
        <v>0</v>
      </c>
    </row>
    <row r="7" spans="1:6" ht="24.95" customHeight="1" x14ac:dyDescent="0.2">
      <c r="A7" s="1">
        <v>4</v>
      </c>
      <c r="B7" s="3" t="s">
        <v>3</v>
      </c>
      <c r="C7" s="1">
        <v>10</v>
      </c>
      <c r="D7" s="5" t="s">
        <v>20</v>
      </c>
      <c r="E7" s="17"/>
      <c r="F7" s="17">
        <f t="shared" si="0"/>
        <v>0</v>
      </c>
    </row>
    <row r="8" spans="1:6" ht="24.95" customHeight="1" x14ac:dyDescent="0.2">
      <c r="A8" s="1">
        <v>5</v>
      </c>
      <c r="B8" s="3" t="s">
        <v>9</v>
      </c>
      <c r="C8" s="1">
        <v>300</v>
      </c>
      <c r="D8" s="5" t="s">
        <v>20</v>
      </c>
      <c r="E8" s="17"/>
      <c r="F8" s="17">
        <f t="shared" si="0"/>
        <v>0</v>
      </c>
    </row>
    <row r="9" spans="1:6" ht="24.95" customHeight="1" x14ac:dyDescent="0.2">
      <c r="A9" s="1">
        <v>6</v>
      </c>
      <c r="B9" s="3" t="s">
        <v>7</v>
      </c>
      <c r="C9" s="1">
        <v>500</v>
      </c>
      <c r="D9" s="5" t="s">
        <v>13</v>
      </c>
      <c r="E9" s="17"/>
      <c r="F9" s="17">
        <f t="shared" si="0"/>
        <v>0</v>
      </c>
    </row>
    <row r="10" spans="1:6" ht="24.95" customHeight="1" x14ac:dyDescent="0.2">
      <c r="A10" s="1">
        <v>7</v>
      </c>
      <c r="B10" s="3" t="s">
        <v>0</v>
      </c>
      <c r="C10" s="1">
        <v>2000</v>
      </c>
      <c r="D10" s="5" t="s">
        <v>14</v>
      </c>
      <c r="E10" s="17"/>
      <c r="F10" s="17">
        <f t="shared" si="0"/>
        <v>0</v>
      </c>
    </row>
    <row r="11" spans="1:6" ht="24.95" customHeight="1" x14ac:dyDescent="0.2">
      <c r="A11" s="1">
        <v>8</v>
      </c>
      <c r="B11" s="3" t="s">
        <v>21</v>
      </c>
      <c r="C11" s="1">
        <v>100</v>
      </c>
      <c r="D11" s="5" t="s">
        <v>20</v>
      </c>
      <c r="E11" s="17"/>
      <c r="F11" s="17">
        <f t="shared" si="0"/>
        <v>0</v>
      </c>
    </row>
    <row r="12" spans="1:6" ht="24.95" customHeight="1" x14ac:dyDescent="0.2">
      <c r="A12" s="1">
        <v>9</v>
      </c>
      <c r="B12" s="3" t="s">
        <v>26</v>
      </c>
      <c r="C12" s="1">
        <v>1500</v>
      </c>
      <c r="D12" s="5" t="s">
        <v>14</v>
      </c>
      <c r="E12" s="17"/>
      <c r="F12" s="17">
        <f t="shared" si="0"/>
        <v>0</v>
      </c>
    </row>
    <row r="13" spans="1:6" ht="24.95" customHeight="1" x14ac:dyDescent="0.2">
      <c r="A13" s="1">
        <v>10</v>
      </c>
      <c r="B13" s="3" t="s">
        <v>27</v>
      </c>
      <c r="C13" s="1">
        <v>2000</v>
      </c>
      <c r="D13" s="5" t="s">
        <v>14</v>
      </c>
      <c r="E13" s="17"/>
      <c r="F13" s="17">
        <f t="shared" si="0"/>
        <v>0</v>
      </c>
    </row>
    <row r="14" spans="1:6" ht="24.95" customHeight="1" x14ac:dyDescent="0.2">
      <c r="A14" s="1">
        <v>11</v>
      </c>
      <c r="B14" s="3" t="s">
        <v>36</v>
      </c>
      <c r="C14" s="1">
        <v>1100</v>
      </c>
      <c r="D14" s="5" t="s">
        <v>15</v>
      </c>
      <c r="E14" s="17"/>
      <c r="F14" s="17">
        <f t="shared" si="0"/>
        <v>0</v>
      </c>
    </row>
    <row r="15" spans="1:6" ht="24.95" customHeight="1" x14ac:dyDescent="0.2">
      <c r="A15" s="1">
        <v>12</v>
      </c>
      <c r="B15" s="3" t="s">
        <v>6</v>
      </c>
      <c r="C15" s="1">
        <v>14000</v>
      </c>
      <c r="D15" s="5" t="s">
        <v>15</v>
      </c>
      <c r="E15" s="17"/>
      <c r="F15" s="17">
        <f t="shared" si="0"/>
        <v>0</v>
      </c>
    </row>
    <row r="16" spans="1:6" ht="24.95" customHeight="1" x14ac:dyDescent="0.2">
      <c r="A16" s="1">
        <v>13</v>
      </c>
      <c r="B16" s="3" t="s">
        <v>1</v>
      </c>
      <c r="C16" s="1">
        <v>10000</v>
      </c>
      <c r="D16" s="5" t="s">
        <v>15</v>
      </c>
      <c r="E16" s="17"/>
      <c r="F16" s="17">
        <f t="shared" si="0"/>
        <v>0</v>
      </c>
    </row>
    <row r="17" spans="1:6" ht="24.95" customHeight="1" x14ac:dyDescent="0.2">
      <c r="A17" s="1">
        <v>14</v>
      </c>
      <c r="B17" s="3" t="s">
        <v>2</v>
      </c>
      <c r="C17" s="1">
        <v>30000</v>
      </c>
      <c r="D17" s="5" t="s">
        <v>15</v>
      </c>
      <c r="E17" s="17"/>
      <c r="F17" s="17">
        <f t="shared" si="0"/>
        <v>0</v>
      </c>
    </row>
    <row r="18" spans="1:6" ht="24.95" customHeight="1" x14ac:dyDescent="0.2">
      <c r="A18" s="1">
        <v>15</v>
      </c>
      <c r="B18" s="3" t="s">
        <v>8</v>
      </c>
      <c r="C18" s="1">
        <v>20000</v>
      </c>
      <c r="D18" s="5" t="s">
        <v>15</v>
      </c>
      <c r="E18" s="17"/>
      <c r="F18" s="17">
        <f t="shared" si="0"/>
        <v>0</v>
      </c>
    </row>
    <row r="19" spans="1:6" ht="24.95" customHeight="1" x14ac:dyDescent="0.2">
      <c r="A19" s="1">
        <v>16</v>
      </c>
      <c r="B19" s="3" t="s">
        <v>10</v>
      </c>
      <c r="C19" s="1">
        <v>5000</v>
      </c>
      <c r="D19" s="5" t="s">
        <v>15</v>
      </c>
      <c r="E19" s="17"/>
      <c r="F19" s="17">
        <f t="shared" si="0"/>
        <v>0</v>
      </c>
    </row>
    <row r="20" spans="1:6" ht="24.95" customHeight="1" x14ac:dyDescent="0.2">
      <c r="A20" s="1">
        <v>17</v>
      </c>
      <c r="B20" s="3" t="s">
        <v>19</v>
      </c>
      <c r="C20" s="1">
        <v>2500</v>
      </c>
      <c r="D20" s="5" t="s">
        <v>15</v>
      </c>
      <c r="E20" s="17"/>
      <c r="F20" s="17">
        <f t="shared" si="0"/>
        <v>0</v>
      </c>
    </row>
    <row r="21" spans="1:6" ht="24.95" customHeight="1" x14ac:dyDescent="0.2">
      <c r="A21" s="1">
        <v>18</v>
      </c>
      <c r="B21" s="3" t="s">
        <v>11</v>
      </c>
      <c r="C21" s="1">
        <v>2000</v>
      </c>
      <c r="D21" s="5" t="s">
        <v>14</v>
      </c>
      <c r="E21" s="17"/>
      <c r="F21" s="17">
        <f t="shared" si="0"/>
        <v>0</v>
      </c>
    </row>
    <row r="22" spans="1:6" ht="24.95" customHeight="1" x14ac:dyDescent="0.2">
      <c r="A22" s="1">
        <v>19</v>
      </c>
      <c r="B22" s="3" t="s">
        <v>12</v>
      </c>
      <c r="C22" s="1">
        <v>500</v>
      </c>
      <c r="D22" s="5" t="s">
        <v>14</v>
      </c>
      <c r="E22" s="17"/>
      <c r="F22" s="17">
        <f t="shared" si="0"/>
        <v>0</v>
      </c>
    </row>
    <row r="23" spans="1:6" ht="24.95" customHeight="1" x14ac:dyDescent="0.2">
      <c r="A23" s="1">
        <v>20</v>
      </c>
      <c r="B23" s="3" t="s">
        <v>16</v>
      </c>
      <c r="C23" s="1">
        <v>1000</v>
      </c>
      <c r="D23" s="5" t="s">
        <v>14</v>
      </c>
      <c r="E23" s="17"/>
      <c r="F23" s="17">
        <f t="shared" si="0"/>
        <v>0</v>
      </c>
    </row>
    <row r="24" spans="1:6" ht="24.95" customHeight="1" x14ac:dyDescent="0.2">
      <c r="A24" s="1">
        <v>21</v>
      </c>
      <c r="B24" s="3" t="s">
        <v>17</v>
      </c>
      <c r="C24" s="1">
        <v>60</v>
      </c>
      <c r="D24" s="5" t="s">
        <v>13</v>
      </c>
      <c r="E24" s="17"/>
      <c r="F24" s="17">
        <f t="shared" si="0"/>
        <v>0</v>
      </c>
    </row>
    <row r="25" spans="1:6" ht="24.95" customHeight="1" x14ac:dyDescent="0.2">
      <c r="A25" s="1">
        <v>22</v>
      </c>
      <c r="B25" s="3" t="s">
        <v>18</v>
      </c>
      <c r="C25" s="1">
        <v>575</v>
      </c>
      <c r="D25" s="5" t="s">
        <v>13</v>
      </c>
      <c r="E25" s="17"/>
      <c r="F25" s="17">
        <f t="shared" si="0"/>
        <v>0</v>
      </c>
    </row>
    <row r="26" spans="1:6" ht="24.95" customHeight="1" x14ac:dyDescent="0.2">
      <c r="A26" s="1">
        <v>23</v>
      </c>
      <c r="B26" s="3" t="s">
        <v>24</v>
      </c>
      <c r="C26" s="1">
        <v>1000</v>
      </c>
      <c r="D26" s="5" t="s">
        <v>14</v>
      </c>
      <c r="E26" s="17"/>
      <c r="F26" s="17">
        <f t="shared" si="0"/>
        <v>0</v>
      </c>
    </row>
    <row r="27" spans="1:6" ht="24.95" customHeight="1" x14ac:dyDescent="0.2">
      <c r="A27" s="1">
        <v>24</v>
      </c>
      <c r="B27" s="3" t="s">
        <v>28</v>
      </c>
      <c r="C27" s="1">
        <v>50</v>
      </c>
      <c r="D27" s="5" t="s">
        <v>13</v>
      </c>
      <c r="E27" s="17"/>
      <c r="F27" s="17">
        <f t="shared" si="0"/>
        <v>0</v>
      </c>
    </row>
    <row r="28" spans="1:6" ht="24.95" customHeight="1" x14ac:dyDescent="0.2">
      <c r="A28" s="1">
        <v>25</v>
      </c>
      <c r="B28" s="3" t="s">
        <v>25</v>
      </c>
      <c r="C28" s="1">
        <v>200</v>
      </c>
      <c r="D28" s="5" t="s">
        <v>13</v>
      </c>
      <c r="E28" s="17"/>
      <c r="F28" s="17">
        <f t="shared" si="0"/>
        <v>0</v>
      </c>
    </row>
    <row r="29" spans="1:6" ht="24.95" customHeight="1" x14ac:dyDescent="0.2">
      <c r="A29" s="1">
        <v>26</v>
      </c>
      <c r="B29" s="3" t="s">
        <v>22</v>
      </c>
      <c r="C29" s="1">
        <v>500</v>
      </c>
      <c r="D29" s="5" t="s">
        <v>14</v>
      </c>
      <c r="E29" s="17"/>
      <c r="F29" s="17">
        <f t="shared" si="0"/>
        <v>0</v>
      </c>
    </row>
    <row r="30" spans="1:6" ht="24.95" customHeight="1" x14ac:dyDescent="0.2">
      <c r="A30" s="1">
        <v>27</v>
      </c>
      <c r="B30" s="3" t="s">
        <v>29</v>
      </c>
      <c r="C30" s="1">
        <v>5</v>
      </c>
      <c r="D30" s="5" t="s">
        <v>13</v>
      </c>
      <c r="E30" s="17"/>
      <c r="F30" s="17">
        <f t="shared" si="0"/>
        <v>0</v>
      </c>
    </row>
    <row r="31" spans="1:6" ht="24.95" customHeight="1" x14ac:dyDescent="0.2">
      <c r="A31" s="1">
        <v>28</v>
      </c>
      <c r="B31" s="3" t="s">
        <v>23</v>
      </c>
      <c r="C31" s="1">
        <v>200</v>
      </c>
      <c r="D31" s="5" t="s">
        <v>13</v>
      </c>
      <c r="E31" s="17"/>
      <c r="F31" s="17">
        <f t="shared" si="0"/>
        <v>0</v>
      </c>
    </row>
    <row r="32" spans="1:6" ht="24.95" customHeight="1" x14ac:dyDescent="0.2">
      <c r="A32" s="1">
        <v>29</v>
      </c>
      <c r="B32" s="3" t="s">
        <v>5</v>
      </c>
      <c r="C32" s="1">
        <v>1000</v>
      </c>
      <c r="D32" s="5" t="s">
        <v>14</v>
      </c>
      <c r="E32" s="17"/>
      <c r="F32" s="17">
        <f t="shared" si="0"/>
        <v>0</v>
      </c>
    </row>
    <row r="33" spans="1:6" ht="24.95" customHeight="1" x14ac:dyDescent="0.2">
      <c r="A33" s="1">
        <v>30</v>
      </c>
      <c r="B33" s="3" t="s">
        <v>37</v>
      </c>
      <c r="C33" s="1">
        <v>5000</v>
      </c>
      <c r="D33" s="5" t="s">
        <v>14</v>
      </c>
      <c r="E33" s="17"/>
      <c r="F33" s="17">
        <f t="shared" si="0"/>
        <v>0</v>
      </c>
    </row>
    <row r="34" spans="1:6" ht="24.95" customHeight="1" x14ac:dyDescent="0.2">
      <c r="A34" s="1">
        <v>31</v>
      </c>
      <c r="B34" s="3" t="s">
        <v>38</v>
      </c>
      <c r="C34" s="1">
        <v>100</v>
      </c>
      <c r="D34" s="5" t="s">
        <v>14</v>
      </c>
      <c r="E34" s="17"/>
      <c r="F34" s="17">
        <f t="shared" si="0"/>
        <v>0</v>
      </c>
    </row>
    <row r="35" spans="1:6" ht="24.95" customHeight="1" x14ac:dyDescent="0.2">
      <c r="A35" s="1">
        <v>32</v>
      </c>
      <c r="B35" s="3" t="s">
        <v>30</v>
      </c>
      <c r="C35" s="1">
        <v>120</v>
      </c>
      <c r="D35" s="5" t="s">
        <v>14</v>
      </c>
      <c r="E35" s="17"/>
      <c r="F35" s="17">
        <f t="shared" si="0"/>
        <v>0</v>
      </c>
    </row>
    <row r="36" spans="1:6" ht="24.95" customHeight="1" x14ac:dyDescent="0.2">
      <c r="A36" s="1">
        <v>33</v>
      </c>
      <c r="B36" s="3" t="s">
        <v>31</v>
      </c>
      <c r="C36" s="1">
        <v>5</v>
      </c>
      <c r="D36" s="5" t="s">
        <v>13</v>
      </c>
      <c r="E36" s="17"/>
      <c r="F36" s="17">
        <f t="shared" si="0"/>
        <v>0</v>
      </c>
    </row>
    <row r="37" spans="1:6" ht="24.95" customHeight="1" x14ac:dyDescent="0.2">
      <c r="A37" s="1">
        <v>34</v>
      </c>
      <c r="B37" s="4" t="s">
        <v>41</v>
      </c>
      <c r="C37" s="1">
        <v>1000</v>
      </c>
      <c r="D37" s="7" t="s">
        <v>15</v>
      </c>
      <c r="E37" s="17"/>
      <c r="F37" s="17">
        <f t="shared" si="0"/>
        <v>0</v>
      </c>
    </row>
    <row r="38" spans="1:6" ht="24.95" customHeight="1" x14ac:dyDescent="0.2">
      <c r="A38" s="1">
        <v>35</v>
      </c>
      <c r="B38" s="4" t="s">
        <v>42</v>
      </c>
      <c r="C38" s="1">
        <v>1000</v>
      </c>
      <c r="D38" s="7" t="s">
        <v>20</v>
      </c>
      <c r="E38" s="17"/>
      <c r="F38" s="17">
        <f t="shared" si="0"/>
        <v>0</v>
      </c>
    </row>
    <row r="39" spans="1:6" ht="24.95" customHeight="1" x14ac:dyDescent="0.2">
      <c r="A39" s="1">
        <v>36</v>
      </c>
      <c r="B39" s="4" t="s">
        <v>43</v>
      </c>
      <c r="C39" s="1">
        <v>50</v>
      </c>
      <c r="D39" s="7" t="s">
        <v>20</v>
      </c>
      <c r="E39" s="17"/>
      <c r="F39" s="17">
        <f t="shared" si="0"/>
        <v>0</v>
      </c>
    </row>
    <row r="40" spans="1:6" ht="24.95" customHeight="1" x14ac:dyDescent="0.2">
      <c r="A40" s="1">
        <v>37</v>
      </c>
      <c r="B40" s="4" t="s">
        <v>44</v>
      </c>
      <c r="C40" s="1">
        <v>5000</v>
      </c>
      <c r="D40" s="7" t="s">
        <v>14</v>
      </c>
      <c r="E40" s="17"/>
      <c r="F40" s="17">
        <f t="shared" si="0"/>
        <v>0</v>
      </c>
    </row>
    <row r="41" spans="1:6" ht="24.95" customHeight="1" x14ac:dyDescent="0.2">
      <c r="A41" s="1">
        <v>38</v>
      </c>
      <c r="B41" s="4" t="s">
        <v>45</v>
      </c>
      <c r="C41" s="1">
        <v>2000</v>
      </c>
      <c r="D41" s="7" t="s">
        <v>14</v>
      </c>
      <c r="E41" s="17"/>
      <c r="F41" s="17">
        <f t="shared" si="0"/>
        <v>0</v>
      </c>
    </row>
    <row r="42" spans="1:6" ht="24.95" customHeight="1" x14ac:dyDescent="0.2">
      <c r="A42" s="1">
        <v>39</v>
      </c>
      <c r="B42" s="4" t="s">
        <v>46</v>
      </c>
      <c r="C42" s="1">
        <v>500</v>
      </c>
      <c r="D42" s="7" t="s">
        <v>14</v>
      </c>
      <c r="E42" s="17"/>
      <c r="F42" s="17">
        <f t="shared" si="0"/>
        <v>0</v>
      </c>
    </row>
    <row r="43" spans="1:6" s="33" customFormat="1" ht="24.95" customHeight="1" x14ac:dyDescent="0.2">
      <c r="A43" s="1">
        <v>40</v>
      </c>
      <c r="B43" s="4" t="s">
        <v>48</v>
      </c>
      <c r="C43" s="1">
        <v>1000</v>
      </c>
      <c r="D43" s="7" t="s">
        <v>20</v>
      </c>
      <c r="E43" s="18"/>
      <c r="F43" s="17">
        <f t="shared" si="0"/>
        <v>0</v>
      </c>
    </row>
    <row r="44" spans="1:6" x14ac:dyDescent="0.2">
      <c r="A44" s="29"/>
      <c r="B44" s="30"/>
      <c r="C44" s="31" t="s">
        <v>50</v>
      </c>
      <c r="D44" s="32"/>
      <c r="E44" s="31"/>
      <c r="F44" s="27">
        <f>SUM(F4:F43)</f>
        <v>0</v>
      </c>
    </row>
    <row r="45" spans="1:6" x14ac:dyDescent="0.2">
      <c r="B45" s="8"/>
      <c r="F45" s="19"/>
    </row>
  </sheetData>
  <mergeCells count="1">
    <mergeCell ref="A1:F2"/>
  </mergeCells>
  <phoneticPr fontId="2" type="noConversion"/>
  <printOptions horizontalCentered="1"/>
  <pageMargins left="0.7" right="0.7" top="0.75" bottom="0.75" header="0.3" footer="0.3"/>
  <pageSetup scale="8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7AB1-E41C-4C63-A89E-98A346CA3B8F}">
  <sheetPr>
    <pageSetUpPr fitToPage="1"/>
  </sheetPr>
  <dimension ref="A1:H46"/>
  <sheetViews>
    <sheetView zoomScale="115" zoomScaleNormal="115" workbookViewId="0">
      <selection activeCell="E4" sqref="E4:E43"/>
    </sheetView>
  </sheetViews>
  <sheetFormatPr defaultRowHeight="11.25" x14ac:dyDescent="0.2"/>
  <cols>
    <col min="1" max="1" width="5" style="2" customWidth="1"/>
    <col min="2" max="2" width="61.7109375" style="2" customWidth="1"/>
    <col min="3" max="3" width="8.28515625" style="14" customWidth="1"/>
    <col min="4" max="4" width="7.42578125" style="6" customWidth="1"/>
    <col min="5" max="5" width="10.28515625" style="14" customWidth="1"/>
    <col min="6" max="6" width="11.42578125" style="14" bestFit="1" customWidth="1"/>
    <col min="7" max="7" width="10.7109375" style="33" bestFit="1" customWidth="1"/>
    <col min="8" max="8" width="11.42578125" style="33" bestFit="1" customWidth="1"/>
    <col min="9" max="16384" width="9.140625" style="33"/>
  </cols>
  <sheetData>
    <row r="1" spans="1:8" x14ac:dyDescent="0.2">
      <c r="A1" s="38" t="s">
        <v>53</v>
      </c>
      <c r="B1" s="38"/>
      <c r="C1" s="38"/>
      <c r="D1" s="38"/>
      <c r="E1" s="38"/>
      <c r="F1" s="38"/>
    </row>
    <row r="2" spans="1:8" x14ac:dyDescent="0.2">
      <c r="A2" s="28"/>
      <c r="B2" s="28"/>
      <c r="C2" s="28"/>
      <c r="D2" s="28"/>
      <c r="E2" s="28"/>
      <c r="F2" s="28"/>
    </row>
    <row r="3" spans="1:8" x14ac:dyDescent="0.2">
      <c r="A3" s="1" t="s">
        <v>39</v>
      </c>
      <c r="B3" s="1" t="s">
        <v>40</v>
      </c>
      <c r="C3" s="1" t="s">
        <v>32</v>
      </c>
      <c r="D3" s="1" t="s">
        <v>35</v>
      </c>
      <c r="E3" s="1" t="s">
        <v>33</v>
      </c>
      <c r="F3" s="1" t="s">
        <v>34</v>
      </c>
      <c r="G3" s="9"/>
      <c r="H3" s="9"/>
    </row>
    <row r="4" spans="1:8" ht="24.95" customHeight="1" x14ac:dyDescent="0.2">
      <c r="A4" s="1">
        <v>101</v>
      </c>
      <c r="B4" s="3" t="s">
        <v>47</v>
      </c>
      <c r="C4" s="16">
        <v>40000</v>
      </c>
      <c r="D4" s="5" t="s">
        <v>20</v>
      </c>
      <c r="E4" s="20"/>
      <c r="F4" s="17">
        <f>C4*E4</f>
        <v>0</v>
      </c>
      <c r="G4" s="10"/>
      <c r="H4" s="10"/>
    </row>
    <row r="5" spans="1:8" ht="24.95" customHeight="1" x14ac:dyDescent="0.2">
      <c r="A5" s="1">
        <v>102</v>
      </c>
      <c r="B5" s="3" t="s">
        <v>51</v>
      </c>
      <c r="C5" s="1">
        <v>1500</v>
      </c>
      <c r="D5" s="5" t="s">
        <v>20</v>
      </c>
      <c r="E5" s="20"/>
      <c r="F5" s="17">
        <f t="shared" ref="F5:F43" si="0">C5*E5</f>
        <v>0</v>
      </c>
      <c r="G5" s="10"/>
      <c r="H5" s="10"/>
    </row>
    <row r="6" spans="1:8" ht="24.95" customHeight="1" x14ac:dyDescent="0.2">
      <c r="A6" s="1">
        <v>103</v>
      </c>
      <c r="B6" s="3" t="s">
        <v>4</v>
      </c>
      <c r="C6" s="1">
        <v>2000</v>
      </c>
      <c r="D6" s="5" t="s">
        <v>20</v>
      </c>
      <c r="E6" s="20"/>
      <c r="F6" s="17">
        <f t="shared" si="0"/>
        <v>0</v>
      </c>
      <c r="G6" s="10"/>
      <c r="H6" s="10"/>
    </row>
    <row r="7" spans="1:8" ht="24.95" customHeight="1" x14ac:dyDescent="0.2">
      <c r="A7" s="1">
        <v>104</v>
      </c>
      <c r="B7" s="3" t="s">
        <v>3</v>
      </c>
      <c r="C7" s="1">
        <v>10</v>
      </c>
      <c r="D7" s="5" t="s">
        <v>20</v>
      </c>
      <c r="E7" s="20"/>
      <c r="F7" s="17">
        <f t="shared" si="0"/>
        <v>0</v>
      </c>
      <c r="G7" s="10"/>
      <c r="H7" s="10"/>
    </row>
    <row r="8" spans="1:8" ht="24.95" customHeight="1" x14ac:dyDescent="0.2">
      <c r="A8" s="1">
        <v>105</v>
      </c>
      <c r="B8" s="3" t="s">
        <v>9</v>
      </c>
      <c r="C8" s="1">
        <v>300</v>
      </c>
      <c r="D8" s="5" t="s">
        <v>20</v>
      </c>
      <c r="E8" s="20"/>
      <c r="F8" s="17">
        <f t="shared" si="0"/>
        <v>0</v>
      </c>
      <c r="G8" s="10"/>
      <c r="H8" s="10"/>
    </row>
    <row r="9" spans="1:8" ht="24.95" customHeight="1" x14ac:dyDescent="0.2">
      <c r="A9" s="1">
        <v>106</v>
      </c>
      <c r="B9" s="3" t="s">
        <v>7</v>
      </c>
      <c r="C9" s="1">
        <v>500</v>
      </c>
      <c r="D9" s="5" t="s">
        <v>13</v>
      </c>
      <c r="E9" s="20"/>
      <c r="F9" s="17">
        <f t="shared" si="0"/>
        <v>0</v>
      </c>
      <c r="G9" s="10"/>
      <c r="H9" s="10"/>
    </row>
    <row r="10" spans="1:8" ht="24.95" customHeight="1" x14ac:dyDescent="0.2">
      <c r="A10" s="1">
        <v>107</v>
      </c>
      <c r="B10" s="3" t="s">
        <v>0</v>
      </c>
      <c r="C10" s="1">
        <v>2000</v>
      </c>
      <c r="D10" s="5" t="s">
        <v>14</v>
      </c>
      <c r="E10" s="20"/>
      <c r="F10" s="17">
        <f t="shared" si="0"/>
        <v>0</v>
      </c>
      <c r="G10" s="10"/>
      <c r="H10" s="10"/>
    </row>
    <row r="11" spans="1:8" ht="24.95" customHeight="1" x14ac:dyDescent="0.2">
      <c r="A11" s="1">
        <v>108</v>
      </c>
      <c r="B11" s="3" t="s">
        <v>21</v>
      </c>
      <c r="C11" s="1">
        <v>100</v>
      </c>
      <c r="D11" s="5" t="s">
        <v>20</v>
      </c>
      <c r="E11" s="20"/>
      <c r="F11" s="17">
        <f t="shared" si="0"/>
        <v>0</v>
      </c>
      <c r="G11" s="10"/>
      <c r="H11" s="10"/>
    </row>
    <row r="12" spans="1:8" ht="24.95" customHeight="1" x14ac:dyDescent="0.2">
      <c r="A12" s="1">
        <v>109</v>
      </c>
      <c r="B12" s="3" t="s">
        <v>26</v>
      </c>
      <c r="C12" s="1">
        <v>1500</v>
      </c>
      <c r="D12" s="5" t="s">
        <v>14</v>
      </c>
      <c r="E12" s="20"/>
      <c r="F12" s="17">
        <f t="shared" si="0"/>
        <v>0</v>
      </c>
      <c r="G12" s="10"/>
      <c r="H12" s="10"/>
    </row>
    <row r="13" spans="1:8" ht="24.95" customHeight="1" x14ac:dyDescent="0.2">
      <c r="A13" s="1">
        <v>110</v>
      </c>
      <c r="B13" s="3" t="s">
        <v>27</v>
      </c>
      <c r="C13" s="1">
        <v>2000</v>
      </c>
      <c r="D13" s="5" t="s">
        <v>14</v>
      </c>
      <c r="E13" s="20"/>
      <c r="F13" s="17">
        <f t="shared" si="0"/>
        <v>0</v>
      </c>
      <c r="G13" s="10"/>
      <c r="H13" s="10"/>
    </row>
    <row r="14" spans="1:8" ht="24.95" customHeight="1" x14ac:dyDescent="0.2">
      <c r="A14" s="1">
        <v>111</v>
      </c>
      <c r="B14" s="3" t="s">
        <v>36</v>
      </c>
      <c r="C14" s="1">
        <v>1100</v>
      </c>
      <c r="D14" s="5" t="s">
        <v>15</v>
      </c>
      <c r="E14" s="20"/>
      <c r="F14" s="17">
        <f t="shared" si="0"/>
        <v>0</v>
      </c>
      <c r="G14" s="10"/>
      <c r="H14" s="10"/>
    </row>
    <row r="15" spans="1:8" ht="24.95" customHeight="1" x14ac:dyDescent="0.2">
      <c r="A15" s="1">
        <v>112</v>
      </c>
      <c r="B15" s="3" t="s">
        <v>6</v>
      </c>
      <c r="C15" s="1">
        <v>14000</v>
      </c>
      <c r="D15" s="5" t="s">
        <v>15</v>
      </c>
      <c r="E15" s="20"/>
      <c r="F15" s="17">
        <f t="shared" si="0"/>
        <v>0</v>
      </c>
      <c r="G15" s="10"/>
      <c r="H15" s="10"/>
    </row>
    <row r="16" spans="1:8" ht="24.95" customHeight="1" x14ac:dyDescent="0.2">
      <c r="A16" s="1">
        <v>113</v>
      </c>
      <c r="B16" s="3" t="s">
        <v>1</v>
      </c>
      <c r="C16" s="1">
        <v>10000</v>
      </c>
      <c r="D16" s="5" t="s">
        <v>15</v>
      </c>
      <c r="E16" s="20"/>
      <c r="F16" s="17">
        <f t="shared" si="0"/>
        <v>0</v>
      </c>
      <c r="G16" s="10"/>
      <c r="H16" s="10"/>
    </row>
    <row r="17" spans="1:8" ht="24.95" customHeight="1" x14ac:dyDescent="0.2">
      <c r="A17" s="1">
        <v>114</v>
      </c>
      <c r="B17" s="3" t="s">
        <v>2</v>
      </c>
      <c r="C17" s="1">
        <v>30000</v>
      </c>
      <c r="D17" s="5" t="s">
        <v>15</v>
      </c>
      <c r="E17" s="20"/>
      <c r="F17" s="17">
        <f t="shared" si="0"/>
        <v>0</v>
      </c>
      <c r="G17" s="10"/>
      <c r="H17" s="10"/>
    </row>
    <row r="18" spans="1:8" ht="24.95" customHeight="1" x14ac:dyDescent="0.2">
      <c r="A18" s="1">
        <v>115</v>
      </c>
      <c r="B18" s="3" t="s">
        <v>8</v>
      </c>
      <c r="C18" s="1">
        <v>20000</v>
      </c>
      <c r="D18" s="5" t="s">
        <v>15</v>
      </c>
      <c r="E18" s="20"/>
      <c r="F18" s="17">
        <f t="shared" si="0"/>
        <v>0</v>
      </c>
      <c r="G18" s="10"/>
      <c r="H18" s="10"/>
    </row>
    <row r="19" spans="1:8" ht="24.95" customHeight="1" x14ac:dyDescent="0.2">
      <c r="A19" s="1">
        <v>116</v>
      </c>
      <c r="B19" s="3" t="s">
        <v>10</v>
      </c>
      <c r="C19" s="1">
        <v>5000</v>
      </c>
      <c r="D19" s="5" t="s">
        <v>15</v>
      </c>
      <c r="E19" s="20"/>
      <c r="F19" s="17">
        <f t="shared" si="0"/>
        <v>0</v>
      </c>
      <c r="G19" s="10"/>
      <c r="H19" s="10"/>
    </row>
    <row r="20" spans="1:8" ht="24.95" customHeight="1" x14ac:dyDescent="0.2">
      <c r="A20" s="1">
        <v>117</v>
      </c>
      <c r="B20" s="3" t="s">
        <v>19</v>
      </c>
      <c r="C20" s="1">
        <v>2500</v>
      </c>
      <c r="D20" s="5" t="s">
        <v>15</v>
      </c>
      <c r="E20" s="20"/>
      <c r="F20" s="17">
        <f t="shared" si="0"/>
        <v>0</v>
      </c>
      <c r="G20" s="10"/>
      <c r="H20" s="10"/>
    </row>
    <row r="21" spans="1:8" ht="24.95" customHeight="1" x14ac:dyDescent="0.2">
      <c r="A21" s="1">
        <v>118</v>
      </c>
      <c r="B21" s="3" t="s">
        <v>11</v>
      </c>
      <c r="C21" s="1">
        <v>2000</v>
      </c>
      <c r="D21" s="5" t="s">
        <v>14</v>
      </c>
      <c r="E21" s="20"/>
      <c r="F21" s="17">
        <f t="shared" si="0"/>
        <v>0</v>
      </c>
      <c r="G21" s="10"/>
      <c r="H21" s="10"/>
    </row>
    <row r="22" spans="1:8" ht="24.95" customHeight="1" x14ac:dyDescent="0.2">
      <c r="A22" s="1">
        <v>119</v>
      </c>
      <c r="B22" s="3" t="s">
        <v>12</v>
      </c>
      <c r="C22" s="1">
        <v>500</v>
      </c>
      <c r="D22" s="5" t="s">
        <v>14</v>
      </c>
      <c r="E22" s="20"/>
      <c r="F22" s="17">
        <f t="shared" si="0"/>
        <v>0</v>
      </c>
      <c r="G22" s="10"/>
      <c r="H22" s="10"/>
    </row>
    <row r="23" spans="1:8" ht="24.95" customHeight="1" x14ac:dyDescent="0.2">
      <c r="A23" s="1">
        <v>120</v>
      </c>
      <c r="B23" s="3" t="s">
        <v>16</v>
      </c>
      <c r="C23" s="1">
        <v>1000</v>
      </c>
      <c r="D23" s="5" t="s">
        <v>14</v>
      </c>
      <c r="E23" s="20"/>
      <c r="F23" s="17">
        <f t="shared" si="0"/>
        <v>0</v>
      </c>
      <c r="G23" s="10"/>
      <c r="H23" s="10"/>
    </row>
    <row r="24" spans="1:8" ht="24.95" customHeight="1" x14ac:dyDescent="0.2">
      <c r="A24" s="1">
        <v>121</v>
      </c>
      <c r="B24" s="3" t="s">
        <v>17</v>
      </c>
      <c r="C24" s="1">
        <v>60</v>
      </c>
      <c r="D24" s="5" t="s">
        <v>13</v>
      </c>
      <c r="E24" s="20"/>
      <c r="F24" s="17">
        <f t="shared" si="0"/>
        <v>0</v>
      </c>
      <c r="G24" s="10"/>
      <c r="H24" s="10"/>
    </row>
    <row r="25" spans="1:8" ht="24.95" customHeight="1" x14ac:dyDescent="0.2">
      <c r="A25" s="1">
        <v>122</v>
      </c>
      <c r="B25" s="3" t="s">
        <v>18</v>
      </c>
      <c r="C25" s="1">
        <v>575</v>
      </c>
      <c r="D25" s="5" t="s">
        <v>13</v>
      </c>
      <c r="E25" s="20"/>
      <c r="F25" s="17">
        <f t="shared" si="0"/>
        <v>0</v>
      </c>
      <c r="G25" s="10"/>
      <c r="H25" s="10"/>
    </row>
    <row r="26" spans="1:8" ht="24.95" customHeight="1" x14ac:dyDescent="0.2">
      <c r="A26" s="1">
        <v>123</v>
      </c>
      <c r="B26" s="3" t="s">
        <v>24</v>
      </c>
      <c r="C26" s="1">
        <v>1000</v>
      </c>
      <c r="D26" s="5" t="s">
        <v>14</v>
      </c>
      <c r="E26" s="20"/>
      <c r="F26" s="17">
        <f t="shared" si="0"/>
        <v>0</v>
      </c>
      <c r="G26" s="10"/>
      <c r="H26" s="10"/>
    </row>
    <row r="27" spans="1:8" ht="24.95" customHeight="1" x14ac:dyDescent="0.2">
      <c r="A27" s="1">
        <v>124</v>
      </c>
      <c r="B27" s="3" t="s">
        <v>28</v>
      </c>
      <c r="C27" s="1">
        <v>50</v>
      </c>
      <c r="D27" s="5" t="s">
        <v>13</v>
      </c>
      <c r="E27" s="20"/>
      <c r="F27" s="17">
        <f t="shared" si="0"/>
        <v>0</v>
      </c>
      <c r="G27" s="10"/>
      <c r="H27" s="10"/>
    </row>
    <row r="28" spans="1:8" ht="24.95" customHeight="1" x14ac:dyDescent="0.2">
      <c r="A28" s="1">
        <v>125</v>
      </c>
      <c r="B28" s="3" t="s">
        <v>25</v>
      </c>
      <c r="C28" s="1">
        <v>200</v>
      </c>
      <c r="D28" s="5" t="s">
        <v>13</v>
      </c>
      <c r="E28" s="20"/>
      <c r="F28" s="17">
        <f t="shared" si="0"/>
        <v>0</v>
      </c>
      <c r="G28" s="10"/>
      <c r="H28" s="10"/>
    </row>
    <row r="29" spans="1:8" ht="24.95" customHeight="1" x14ac:dyDescent="0.2">
      <c r="A29" s="1">
        <v>126</v>
      </c>
      <c r="B29" s="3" t="s">
        <v>22</v>
      </c>
      <c r="C29" s="1">
        <v>500</v>
      </c>
      <c r="D29" s="5" t="s">
        <v>14</v>
      </c>
      <c r="E29" s="20"/>
      <c r="F29" s="17">
        <f t="shared" si="0"/>
        <v>0</v>
      </c>
      <c r="G29" s="10"/>
      <c r="H29" s="10"/>
    </row>
    <row r="30" spans="1:8" ht="24.95" customHeight="1" x14ac:dyDescent="0.2">
      <c r="A30" s="1">
        <v>127</v>
      </c>
      <c r="B30" s="3" t="s">
        <v>29</v>
      </c>
      <c r="C30" s="1">
        <v>5</v>
      </c>
      <c r="D30" s="5" t="s">
        <v>13</v>
      </c>
      <c r="E30" s="20"/>
      <c r="F30" s="17">
        <f t="shared" si="0"/>
        <v>0</v>
      </c>
      <c r="G30" s="10"/>
      <c r="H30" s="10"/>
    </row>
    <row r="31" spans="1:8" ht="24.95" customHeight="1" x14ac:dyDescent="0.2">
      <c r="A31" s="1">
        <v>128</v>
      </c>
      <c r="B31" s="3" t="s">
        <v>23</v>
      </c>
      <c r="C31" s="1">
        <v>200</v>
      </c>
      <c r="D31" s="5" t="s">
        <v>13</v>
      </c>
      <c r="E31" s="20"/>
      <c r="F31" s="17">
        <f t="shared" si="0"/>
        <v>0</v>
      </c>
      <c r="G31" s="10"/>
      <c r="H31" s="10"/>
    </row>
    <row r="32" spans="1:8" ht="24.95" customHeight="1" x14ac:dyDescent="0.2">
      <c r="A32" s="1">
        <v>129</v>
      </c>
      <c r="B32" s="3" t="s">
        <v>5</v>
      </c>
      <c r="C32" s="1">
        <v>1000</v>
      </c>
      <c r="D32" s="5" t="s">
        <v>14</v>
      </c>
      <c r="E32" s="20"/>
      <c r="F32" s="17">
        <f t="shared" si="0"/>
        <v>0</v>
      </c>
      <c r="G32" s="10"/>
      <c r="H32" s="10"/>
    </row>
    <row r="33" spans="1:8" ht="24.95" customHeight="1" x14ac:dyDescent="0.2">
      <c r="A33" s="1">
        <v>130</v>
      </c>
      <c r="B33" s="3" t="s">
        <v>37</v>
      </c>
      <c r="C33" s="1">
        <v>5000</v>
      </c>
      <c r="D33" s="5" t="s">
        <v>14</v>
      </c>
      <c r="E33" s="20"/>
      <c r="F33" s="17">
        <f t="shared" si="0"/>
        <v>0</v>
      </c>
      <c r="G33" s="10"/>
      <c r="H33" s="10"/>
    </row>
    <row r="34" spans="1:8" ht="24.95" customHeight="1" x14ac:dyDescent="0.2">
      <c r="A34" s="1">
        <v>131</v>
      </c>
      <c r="B34" s="3" t="s">
        <v>38</v>
      </c>
      <c r="C34" s="1">
        <v>100</v>
      </c>
      <c r="D34" s="5" t="s">
        <v>14</v>
      </c>
      <c r="E34" s="20"/>
      <c r="F34" s="17">
        <f t="shared" si="0"/>
        <v>0</v>
      </c>
      <c r="G34" s="10"/>
      <c r="H34" s="10"/>
    </row>
    <row r="35" spans="1:8" ht="24.95" customHeight="1" x14ac:dyDescent="0.2">
      <c r="A35" s="1">
        <v>132</v>
      </c>
      <c r="B35" s="3" t="s">
        <v>30</v>
      </c>
      <c r="C35" s="1">
        <v>120</v>
      </c>
      <c r="D35" s="5" t="s">
        <v>14</v>
      </c>
      <c r="E35" s="20"/>
      <c r="F35" s="17">
        <f t="shared" si="0"/>
        <v>0</v>
      </c>
      <c r="G35" s="10"/>
      <c r="H35" s="10"/>
    </row>
    <row r="36" spans="1:8" ht="24.95" customHeight="1" x14ac:dyDescent="0.2">
      <c r="A36" s="1">
        <v>133</v>
      </c>
      <c r="B36" s="3" t="s">
        <v>31</v>
      </c>
      <c r="C36" s="1">
        <v>5</v>
      </c>
      <c r="D36" s="5" t="s">
        <v>13</v>
      </c>
      <c r="E36" s="20"/>
      <c r="F36" s="17">
        <f t="shared" si="0"/>
        <v>0</v>
      </c>
      <c r="G36" s="10"/>
      <c r="H36" s="10"/>
    </row>
    <row r="37" spans="1:8" ht="24.95" customHeight="1" x14ac:dyDescent="0.2">
      <c r="A37" s="1">
        <v>134</v>
      </c>
      <c r="B37" s="4" t="s">
        <v>41</v>
      </c>
      <c r="C37" s="1">
        <v>1000</v>
      </c>
      <c r="D37" s="7" t="s">
        <v>15</v>
      </c>
      <c r="E37" s="20"/>
      <c r="F37" s="17">
        <f t="shared" si="0"/>
        <v>0</v>
      </c>
      <c r="G37" s="12"/>
      <c r="H37" s="10"/>
    </row>
    <row r="38" spans="1:8" ht="24.95" customHeight="1" x14ac:dyDescent="0.2">
      <c r="A38" s="1">
        <v>135</v>
      </c>
      <c r="B38" s="4" t="s">
        <v>42</v>
      </c>
      <c r="C38" s="1">
        <v>1000</v>
      </c>
      <c r="D38" s="7" t="s">
        <v>20</v>
      </c>
      <c r="E38" s="20"/>
      <c r="F38" s="17">
        <f t="shared" si="0"/>
        <v>0</v>
      </c>
      <c r="G38" s="12"/>
      <c r="H38" s="10"/>
    </row>
    <row r="39" spans="1:8" ht="24.95" customHeight="1" x14ac:dyDescent="0.2">
      <c r="A39" s="1">
        <v>136</v>
      </c>
      <c r="B39" s="4" t="s">
        <v>43</v>
      </c>
      <c r="C39" s="1">
        <v>50</v>
      </c>
      <c r="D39" s="7" t="s">
        <v>20</v>
      </c>
      <c r="E39" s="20"/>
      <c r="F39" s="17">
        <f t="shared" si="0"/>
        <v>0</v>
      </c>
      <c r="G39" s="12"/>
      <c r="H39" s="10"/>
    </row>
    <row r="40" spans="1:8" ht="24.95" customHeight="1" x14ac:dyDescent="0.2">
      <c r="A40" s="1">
        <v>137</v>
      </c>
      <c r="B40" s="4" t="s">
        <v>44</v>
      </c>
      <c r="C40" s="1">
        <v>5000</v>
      </c>
      <c r="D40" s="7" t="s">
        <v>14</v>
      </c>
      <c r="E40" s="20"/>
      <c r="F40" s="17">
        <f t="shared" si="0"/>
        <v>0</v>
      </c>
      <c r="G40" s="12"/>
      <c r="H40" s="10"/>
    </row>
    <row r="41" spans="1:8" ht="24.95" customHeight="1" x14ac:dyDescent="0.2">
      <c r="A41" s="1">
        <v>138</v>
      </c>
      <c r="B41" s="4" t="s">
        <v>45</v>
      </c>
      <c r="C41" s="1">
        <v>2000</v>
      </c>
      <c r="D41" s="7" t="s">
        <v>14</v>
      </c>
      <c r="E41" s="20"/>
      <c r="F41" s="17">
        <f t="shared" si="0"/>
        <v>0</v>
      </c>
      <c r="G41" s="12"/>
      <c r="H41" s="10"/>
    </row>
    <row r="42" spans="1:8" ht="24.95" customHeight="1" x14ac:dyDescent="0.2">
      <c r="A42" s="1">
        <v>139</v>
      </c>
      <c r="B42" s="4" t="s">
        <v>46</v>
      </c>
      <c r="C42" s="1">
        <v>500</v>
      </c>
      <c r="D42" s="7" t="s">
        <v>14</v>
      </c>
      <c r="E42" s="20"/>
      <c r="F42" s="17">
        <f t="shared" si="0"/>
        <v>0</v>
      </c>
      <c r="G42" s="12"/>
      <c r="H42" s="10"/>
    </row>
    <row r="43" spans="1:8" ht="24.95" customHeight="1" x14ac:dyDescent="0.2">
      <c r="A43" s="1">
        <v>140</v>
      </c>
      <c r="B43" s="4" t="s">
        <v>48</v>
      </c>
      <c r="C43" s="1">
        <v>1000</v>
      </c>
      <c r="D43" s="7" t="s">
        <v>20</v>
      </c>
      <c r="E43" s="20"/>
      <c r="F43" s="17">
        <f t="shared" si="0"/>
        <v>0</v>
      </c>
      <c r="G43" s="13"/>
      <c r="H43" s="10"/>
    </row>
    <row r="44" spans="1:8" x14ac:dyDescent="0.2">
      <c r="A44" s="29"/>
      <c r="B44" s="30"/>
      <c r="C44" s="31" t="s">
        <v>50</v>
      </c>
      <c r="D44" s="32"/>
      <c r="E44" s="31"/>
      <c r="F44" s="27">
        <f>SUM(F4:F43)</f>
        <v>0</v>
      </c>
      <c r="G44" s="34"/>
      <c r="H44" s="35"/>
    </row>
    <row r="45" spans="1:8" x14ac:dyDescent="0.2">
      <c r="B45" s="8"/>
      <c r="F45" s="19"/>
      <c r="G45" s="11"/>
      <c r="H45" s="10"/>
    </row>
    <row r="46" spans="1:8" ht="15" customHeight="1" x14ac:dyDescent="0.2">
      <c r="B46" s="8"/>
      <c r="F46" s="19"/>
      <c r="G46" s="11"/>
      <c r="H46" s="10"/>
    </row>
  </sheetData>
  <mergeCells count="1">
    <mergeCell ref="A1:F2"/>
  </mergeCells>
  <phoneticPr fontId="2" type="noConversion"/>
  <printOptions horizontalCentered="1"/>
  <pageMargins left="0.7" right="0.7" top="0.75" bottom="0.75" header="0.3" footer="0.3"/>
  <pageSetup scale="86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C8A9-05D4-4131-94D8-2EF980ECADE9}">
  <sheetPr>
    <pageSetUpPr fitToPage="1"/>
  </sheetPr>
  <dimension ref="A1:F45"/>
  <sheetViews>
    <sheetView topLeftCell="A27" zoomScale="115" zoomScaleNormal="115" workbookViewId="0">
      <selection activeCell="E33" sqref="E33"/>
    </sheetView>
  </sheetViews>
  <sheetFormatPr defaultRowHeight="11.25" x14ac:dyDescent="0.2"/>
  <cols>
    <col min="1" max="1" width="5" style="33" customWidth="1"/>
    <col min="2" max="2" width="61.7109375" style="33" customWidth="1"/>
    <col min="3" max="3" width="8.28515625" style="36" customWidth="1"/>
    <col min="4" max="4" width="7.42578125" style="33" customWidth="1"/>
    <col min="5" max="5" width="10.28515625" style="36" customWidth="1"/>
    <col min="6" max="6" width="11.42578125" style="36" bestFit="1" customWidth="1"/>
    <col min="7" max="16384" width="9.140625" style="33"/>
  </cols>
  <sheetData>
    <row r="1" spans="1:6" x14ac:dyDescent="0.2">
      <c r="A1" s="38" t="s">
        <v>54</v>
      </c>
      <c r="B1" s="38"/>
      <c r="C1" s="38"/>
      <c r="D1" s="38"/>
      <c r="E1" s="38"/>
      <c r="F1" s="38"/>
    </row>
    <row r="2" spans="1:6" x14ac:dyDescent="0.2">
      <c r="A2" s="28"/>
      <c r="B2" s="28"/>
      <c r="C2" s="28"/>
      <c r="D2" s="28"/>
      <c r="E2" s="28"/>
      <c r="F2" s="28"/>
    </row>
    <row r="3" spans="1:6" x14ac:dyDescent="0.2">
      <c r="A3" s="1" t="s">
        <v>39</v>
      </c>
      <c r="B3" s="1" t="s">
        <v>40</v>
      </c>
      <c r="C3" s="1" t="s">
        <v>32</v>
      </c>
      <c r="D3" s="1" t="s">
        <v>35</v>
      </c>
      <c r="E3" s="1" t="s">
        <v>33</v>
      </c>
      <c r="F3" s="1" t="s">
        <v>34</v>
      </c>
    </row>
    <row r="4" spans="1:6" ht="24.95" customHeight="1" x14ac:dyDescent="0.2">
      <c r="A4" s="1">
        <v>201</v>
      </c>
      <c r="B4" s="3" t="s">
        <v>47</v>
      </c>
      <c r="C4" s="16">
        <v>40000</v>
      </c>
      <c r="D4" s="5" t="s">
        <v>20</v>
      </c>
      <c r="E4" s="20"/>
      <c r="F4" s="17">
        <f>C4*E4</f>
        <v>0</v>
      </c>
    </row>
    <row r="5" spans="1:6" ht="24.95" customHeight="1" x14ac:dyDescent="0.2">
      <c r="A5" s="1">
        <v>202</v>
      </c>
      <c r="B5" s="3" t="s">
        <v>51</v>
      </c>
      <c r="C5" s="1">
        <v>1500</v>
      </c>
      <c r="D5" s="5" t="s">
        <v>20</v>
      </c>
      <c r="E5" s="20"/>
      <c r="F5" s="17">
        <f t="shared" ref="F5:F43" si="0">C5*E5</f>
        <v>0</v>
      </c>
    </row>
    <row r="6" spans="1:6" ht="24.95" customHeight="1" x14ac:dyDescent="0.2">
      <c r="A6" s="1">
        <v>203</v>
      </c>
      <c r="B6" s="3" t="s">
        <v>4</v>
      </c>
      <c r="C6" s="1">
        <v>2000</v>
      </c>
      <c r="D6" s="5" t="s">
        <v>20</v>
      </c>
      <c r="E6" s="20"/>
      <c r="F6" s="17">
        <f t="shared" si="0"/>
        <v>0</v>
      </c>
    </row>
    <row r="7" spans="1:6" ht="24.95" customHeight="1" x14ac:dyDescent="0.2">
      <c r="A7" s="1">
        <v>204</v>
      </c>
      <c r="B7" s="3" t="s">
        <v>3</v>
      </c>
      <c r="C7" s="1">
        <v>10</v>
      </c>
      <c r="D7" s="5" t="s">
        <v>20</v>
      </c>
      <c r="E7" s="20"/>
      <c r="F7" s="17">
        <f t="shared" si="0"/>
        <v>0</v>
      </c>
    </row>
    <row r="8" spans="1:6" ht="24.95" customHeight="1" x14ac:dyDescent="0.2">
      <c r="A8" s="1">
        <v>205</v>
      </c>
      <c r="B8" s="3" t="s">
        <v>9</v>
      </c>
      <c r="C8" s="1">
        <v>300</v>
      </c>
      <c r="D8" s="5" t="s">
        <v>20</v>
      </c>
      <c r="E8" s="20"/>
      <c r="F8" s="17">
        <f t="shared" si="0"/>
        <v>0</v>
      </c>
    </row>
    <row r="9" spans="1:6" ht="24.95" customHeight="1" x14ac:dyDescent="0.2">
      <c r="A9" s="1">
        <v>206</v>
      </c>
      <c r="B9" s="3" t="s">
        <v>7</v>
      </c>
      <c r="C9" s="1">
        <v>500</v>
      </c>
      <c r="D9" s="5" t="s">
        <v>13</v>
      </c>
      <c r="E9" s="20"/>
      <c r="F9" s="17">
        <f t="shared" si="0"/>
        <v>0</v>
      </c>
    </row>
    <row r="10" spans="1:6" ht="24.95" customHeight="1" x14ac:dyDescent="0.2">
      <c r="A10" s="1">
        <v>207</v>
      </c>
      <c r="B10" s="3" t="s">
        <v>0</v>
      </c>
      <c r="C10" s="1">
        <v>2000</v>
      </c>
      <c r="D10" s="5" t="s">
        <v>14</v>
      </c>
      <c r="E10" s="20"/>
      <c r="F10" s="17">
        <f t="shared" si="0"/>
        <v>0</v>
      </c>
    </row>
    <row r="11" spans="1:6" ht="24.95" customHeight="1" x14ac:dyDescent="0.2">
      <c r="A11" s="1">
        <v>208</v>
      </c>
      <c r="B11" s="3" t="s">
        <v>21</v>
      </c>
      <c r="C11" s="1">
        <v>100</v>
      </c>
      <c r="D11" s="5" t="s">
        <v>20</v>
      </c>
      <c r="E11" s="20"/>
      <c r="F11" s="17">
        <f t="shared" si="0"/>
        <v>0</v>
      </c>
    </row>
    <row r="12" spans="1:6" ht="24.95" customHeight="1" x14ac:dyDescent="0.2">
      <c r="A12" s="1">
        <v>209</v>
      </c>
      <c r="B12" s="3" t="s">
        <v>26</v>
      </c>
      <c r="C12" s="1">
        <v>1500</v>
      </c>
      <c r="D12" s="5" t="s">
        <v>14</v>
      </c>
      <c r="E12" s="20"/>
      <c r="F12" s="17">
        <f t="shared" si="0"/>
        <v>0</v>
      </c>
    </row>
    <row r="13" spans="1:6" ht="24.95" customHeight="1" x14ac:dyDescent="0.2">
      <c r="A13" s="1">
        <v>210</v>
      </c>
      <c r="B13" s="3" t="s">
        <v>27</v>
      </c>
      <c r="C13" s="1">
        <v>2000</v>
      </c>
      <c r="D13" s="5" t="s">
        <v>14</v>
      </c>
      <c r="E13" s="20"/>
      <c r="F13" s="17">
        <f t="shared" si="0"/>
        <v>0</v>
      </c>
    </row>
    <row r="14" spans="1:6" ht="24.95" customHeight="1" x14ac:dyDescent="0.2">
      <c r="A14" s="1">
        <v>211</v>
      </c>
      <c r="B14" s="3" t="s">
        <v>36</v>
      </c>
      <c r="C14" s="1">
        <v>1100</v>
      </c>
      <c r="D14" s="5" t="s">
        <v>15</v>
      </c>
      <c r="E14" s="20"/>
      <c r="F14" s="17">
        <f t="shared" si="0"/>
        <v>0</v>
      </c>
    </row>
    <row r="15" spans="1:6" ht="24.95" customHeight="1" x14ac:dyDescent="0.2">
      <c r="A15" s="1">
        <v>212</v>
      </c>
      <c r="B15" s="3" t="s">
        <v>6</v>
      </c>
      <c r="C15" s="1">
        <v>14000</v>
      </c>
      <c r="D15" s="5" t="s">
        <v>15</v>
      </c>
      <c r="E15" s="20"/>
      <c r="F15" s="17">
        <f t="shared" si="0"/>
        <v>0</v>
      </c>
    </row>
    <row r="16" spans="1:6" ht="24.95" customHeight="1" x14ac:dyDescent="0.2">
      <c r="A16" s="1">
        <v>213</v>
      </c>
      <c r="B16" s="3" t="s">
        <v>1</v>
      </c>
      <c r="C16" s="1">
        <v>10000</v>
      </c>
      <c r="D16" s="5" t="s">
        <v>15</v>
      </c>
      <c r="E16" s="20"/>
      <c r="F16" s="17">
        <f t="shared" si="0"/>
        <v>0</v>
      </c>
    </row>
    <row r="17" spans="1:6" ht="24.95" customHeight="1" x14ac:dyDescent="0.2">
      <c r="A17" s="1">
        <v>214</v>
      </c>
      <c r="B17" s="3" t="s">
        <v>2</v>
      </c>
      <c r="C17" s="1">
        <v>30000</v>
      </c>
      <c r="D17" s="5" t="s">
        <v>15</v>
      </c>
      <c r="E17" s="20"/>
      <c r="F17" s="17">
        <f t="shared" si="0"/>
        <v>0</v>
      </c>
    </row>
    <row r="18" spans="1:6" ht="24.95" customHeight="1" x14ac:dyDescent="0.2">
      <c r="A18" s="1">
        <v>215</v>
      </c>
      <c r="B18" s="3" t="s">
        <v>8</v>
      </c>
      <c r="C18" s="1">
        <v>20000</v>
      </c>
      <c r="D18" s="5" t="s">
        <v>15</v>
      </c>
      <c r="E18" s="20"/>
      <c r="F18" s="17">
        <f t="shared" si="0"/>
        <v>0</v>
      </c>
    </row>
    <row r="19" spans="1:6" ht="24.95" customHeight="1" x14ac:dyDescent="0.2">
      <c r="A19" s="1">
        <v>216</v>
      </c>
      <c r="B19" s="3" t="s">
        <v>10</v>
      </c>
      <c r="C19" s="1">
        <v>5000</v>
      </c>
      <c r="D19" s="5" t="s">
        <v>15</v>
      </c>
      <c r="E19" s="20"/>
      <c r="F19" s="17">
        <f t="shared" si="0"/>
        <v>0</v>
      </c>
    </row>
    <row r="20" spans="1:6" ht="24.95" customHeight="1" x14ac:dyDescent="0.2">
      <c r="A20" s="1">
        <v>217</v>
      </c>
      <c r="B20" s="3" t="s">
        <v>19</v>
      </c>
      <c r="C20" s="1">
        <v>2500</v>
      </c>
      <c r="D20" s="5" t="s">
        <v>15</v>
      </c>
      <c r="E20" s="20"/>
      <c r="F20" s="17">
        <f t="shared" si="0"/>
        <v>0</v>
      </c>
    </row>
    <row r="21" spans="1:6" ht="24.95" customHeight="1" x14ac:dyDescent="0.2">
      <c r="A21" s="1">
        <v>218</v>
      </c>
      <c r="B21" s="3" t="s">
        <v>11</v>
      </c>
      <c r="C21" s="1">
        <v>2000</v>
      </c>
      <c r="D21" s="5" t="s">
        <v>14</v>
      </c>
      <c r="E21" s="20"/>
      <c r="F21" s="17">
        <f t="shared" si="0"/>
        <v>0</v>
      </c>
    </row>
    <row r="22" spans="1:6" ht="24.95" customHeight="1" x14ac:dyDescent="0.2">
      <c r="A22" s="1">
        <v>219</v>
      </c>
      <c r="B22" s="3" t="s">
        <v>12</v>
      </c>
      <c r="C22" s="1">
        <v>500</v>
      </c>
      <c r="D22" s="5" t="s">
        <v>14</v>
      </c>
      <c r="E22" s="20"/>
      <c r="F22" s="17">
        <f t="shared" si="0"/>
        <v>0</v>
      </c>
    </row>
    <row r="23" spans="1:6" ht="24.95" customHeight="1" x14ac:dyDescent="0.2">
      <c r="A23" s="1">
        <v>220</v>
      </c>
      <c r="B23" s="3" t="s">
        <v>16</v>
      </c>
      <c r="C23" s="1">
        <v>1000</v>
      </c>
      <c r="D23" s="5" t="s">
        <v>14</v>
      </c>
      <c r="E23" s="20"/>
      <c r="F23" s="17">
        <f t="shared" si="0"/>
        <v>0</v>
      </c>
    </row>
    <row r="24" spans="1:6" ht="24.95" customHeight="1" x14ac:dyDescent="0.2">
      <c r="A24" s="1">
        <v>221</v>
      </c>
      <c r="B24" s="3" t="s">
        <v>17</v>
      </c>
      <c r="C24" s="1">
        <v>60</v>
      </c>
      <c r="D24" s="5" t="s">
        <v>13</v>
      </c>
      <c r="E24" s="20"/>
      <c r="F24" s="17">
        <f t="shared" si="0"/>
        <v>0</v>
      </c>
    </row>
    <row r="25" spans="1:6" ht="24.95" customHeight="1" x14ac:dyDescent="0.2">
      <c r="A25" s="1">
        <v>222</v>
      </c>
      <c r="B25" s="3" t="s">
        <v>18</v>
      </c>
      <c r="C25" s="1">
        <v>575</v>
      </c>
      <c r="D25" s="5" t="s">
        <v>13</v>
      </c>
      <c r="E25" s="20"/>
      <c r="F25" s="17">
        <f t="shared" si="0"/>
        <v>0</v>
      </c>
    </row>
    <row r="26" spans="1:6" ht="24.95" customHeight="1" x14ac:dyDescent="0.2">
      <c r="A26" s="1">
        <v>223</v>
      </c>
      <c r="B26" s="3" t="s">
        <v>24</v>
      </c>
      <c r="C26" s="1">
        <v>1000</v>
      </c>
      <c r="D26" s="5" t="s">
        <v>14</v>
      </c>
      <c r="E26" s="20"/>
      <c r="F26" s="17">
        <f t="shared" si="0"/>
        <v>0</v>
      </c>
    </row>
    <row r="27" spans="1:6" ht="24.95" customHeight="1" x14ac:dyDescent="0.2">
      <c r="A27" s="1">
        <v>224</v>
      </c>
      <c r="B27" s="3" t="s">
        <v>28</v>
      </c>
      <c r="C27" s="1">
        <v>50</v>
      </c>
      <c r="D27" s="5" t="s">
        <v>13</v>
      </c>
      <c r="E27" s="20"/>
      <c r="F27" s="17">
        <f t="shared" si="0"/>
        <v>0</v>
      </c>
    </row>
    <row r="28" spans="1:6" ht="24.95" customHeight="1" x14ac:dyDescent="0.2">
      <c r="A28" s="1">
        <v>225</v>
      </c>
      <c r="B28" s="3" t="s">
        <v>25</v>
      </c>
      <c r="C28" s="1">
        <v>200</v>
      </c>
      <c r="D28" s="5" t="s">
        <v>13</v>
      </c>
      <c r="E28" s="20"/>
      <c r="F28" s="17">
        <f t="shared" si="0"/>
        <v>0</v>
      </c>
    </row>
    <row r="29" spans="1:6" ht="24.95" customHeight="1" x14ac:dyDescent="0.2">
      <c r="A29" s="1">
        <v>226</v>
      </c>
      <c r="B29" s="3" t="s">
        <v>22</v>
      </c>
      <c r="C29" s="1">
        <v>500</v>
      </c>
      <c r="D29" s="5" t="s">
        <v>14</v>
      </c>
      <c r="E29" s="20"/>
      <c r="F29" s="17">
        <f t="shared" si="0"/>
        <v>0</v>
      </c>
    </row>
    <row r="30" spans="1:6" ht="24.95" customHeight="1" x14ac:dyDescent="0.2">
      <c r="A30" s="1">
        <v>227</v>
      </c>
      <c r="B30" s="3" t="s">
        <v>29</v>
      </c>
      <c r="C30" s="1">
        <v>5</v>
      </c>
      <c r="D30" s="5" t="s">
        <v>13</v>
      </c>
      <c r="E30" s="20"/>
      <c r="F30" s="17">
        <f t="shared" si="0"/>
        <v>0</v>
      </c>
    </row>
    <row r="31" spans="1:6" ht="24.95" customHeight="1" x14ac:dyDescent="0.2">
      <c r="A31" s="1">
        <v>228</v>
      </c>
      <c r="B31" s="3" t="s">
        <v>23</v>
      </c>
      <c r="C31" s="1">
        <v>200</v>
      </c>
      <c r="D31" s="5" t="s">
        <v>13</v>
      </c>
      <c r="E31" s="20"/>
      <c r="F31" s="17">
        <f t="shared" si="0"/>
        <v>0</v>
      </c>
    </row>
    <row r="32" spans="1:6" ht="24.95" customHeight="1" x14ac:dyDescent="0.2">
      <c r="A32" s="1">
        <v>229</v>
      </c>
      <c r="B32" s="3" t="s">
        <v>5</v>
      </c>
      <c r="C32" s="1">
        <v>1000</v>
      </c>
      <c r="D32" s="5" t="s">
        <v>14</v>
      </c>
      <c r="E32" s="20"/>
      <c r="F32" s="17">
        <f t="shared" si="0"/>
        <v>0</v>
      </c>
    </row>
    <row r="33" spans="1:6" ht="24.95" customHeight="1" x14ac:dyDescent="0.2">
      <c r="A33" s="1">
        <v>230</v>
      </c>
      <c r="B33" s="3" t="s">
        <v>37</v>
      </c>
      <c r="C33" s="1">
        <v>5000</v>
      </c>
      <c r="D33" s="5" t="s">
        <v>14</v>
      </c>
      <c r="E33" s="20"/>
      <c r="F33" s="17">
        <f t="shared" si="0"/>
        <v>0</v>
      </c>
    </row>
    <row r="34" spans="1:6" ht="24.95" customHeight="1" x14ac:dyDescent="0.2">
      <c r="A34" s="1">
        <v>231</v>
      </c>
      <c r="B34" s="3" t="s">
        <v>38</v>
      </c>
      <c r="C34" s="1">
        <v>100</v>
      </c>
      <c r="D34" s="5" t="s">
        <v>14</v>
      </c>
      <c r="E34" s="20"/>
      <c r="F34" s="17">
        <f t="shared" si="0"/>
        <v>0</v>
      </c>
    </row>
    <row r="35" spans="1:6" ht="24.95" customHeight="1" x14ac:dyDescent="0.2">
      <c r="A35" s="1">
        <v>232</v>
      </c>
      <c r="B35" s="3" t="s">
        <v>30</v>
      </c>
      <c r="C35" s="1">
        <v>120</v>
      </c>
      <c r="D35" s="5" t="s">
        <v>14</v>
      </c>
      <c r="E35" s="20"/>
      <c r="F35" s="17">
        <f t="shared" si="0"/>
        <v>0</v>
      </c>
    </row>
    <row r="36" spans="1:6" ht="24.95" customHeight="1" x14ac:dyDescent="0.2">
      <c r="A36" s="1">
        <v>233</v>
      </c>
      <c r="B36" s="3" t="s">
        <v>31</v>
      </c>
      <c r="C36" s="1">
        <v>5</v>
      </c>
      <c r="D36" s="5" t="s">
        <v>13</v>
      </c>
      <c r="E36" s="20"/>
      <c r="F36" s="17">
        <f t="shared" si="0"/>
        <v>0</v>
      </c>
    </row>
    <row r="37" spans="1:6" ht="24.95" customHeight="1" x14ac:dyDescent="0.2">
      <c r="A37" s="1">
        <v>234</v>
      </c>
      <c r="B37" s="4" t="s">
        <v>41</v>
      </c>
      <c r="C37" s="1">
        <v>1000</v>
      </c>
      <c r="D37" s="7" t="s">
        <v>15</v>
      </c>
      <c r="E37" s="20"/>
      <c r="F37" s="17">
        <f t="shared" si="0"/>
        <v>0</v>
      </c>
    </row>
    <row r="38" spans="1:6" ht="24.95" customHeight="1" x14ac:dyDescent="0.2">
      <c r="A38" s="1">
        <v>235</v>
      </c>
      <c r="B38" s="4" t="s">
        <v>42</v>
      </c>
      <c r="C38" s="1">
        <v>1000</v>
      </c>
      <c r="D38" s="7" t="s">
        <v>20</v>
      </c>
      <c r="E38" s="20"/>
      <c r="F38" s="17">
        <f t="shared" si="0"/>
        <v>0</v>
      </c>
    </row>
    <row r="39" spans="1:6" ht="24.95" customHeight="1" x14ac:dyDescent="0.2">
      <c r="A39" s="1">
        <v>236</v>
      </c>
      <c r="B39" s="4" t="s">
        <v>43</v>
      </c>
      <c r="C39" s="1">
        <v>50</v>
      </c>
      <c r="D39" s="7" t="s">
        <v>20</v>
      </c>
      <c r="E39" s="20"/>
      <c r="F39" s="17">
        <f t="shared" si="0"/>
        <v>0</v>
      </c>
    </row>
    <row r="40" spans="1:6" ht="24.95" customHeight="1" x14ac:dyDescent="0.2">
      <c r="A40" s="1">
        <v>237</v>
      </c>
      <c r="B40" s="4" t="s">
        <v>44</v>
      </c>
      <c r="C40" s="1">
        <v>5000</v>
      </c>
      <c r="D40" s="7" t="s">
        <v>14</v>
      </c>
      <c r="E40" s="20"/>
      <c r="F40" s="17">
        <f t="shared" si="0"/>
        <v>0</v>
      </c>
    </row>
    <row r="41" spans="1:6" ht="24.95" customHeight="1" x14ac:dyDescent="0.2">
      <c r="A41" s="1">
        <v>238</v>
      </c>
      <c r="B41" s="4" t="s">
        <v>45</v>
      </c>
      <c r="C41" s="1">
        <v>2000</v>
      </c>
      <c r="D41" s="7" t="s">
        <v>14</v>
      </c>
      <c r="E41" s="20"/>
      <c r="F41" s="17">
        <f t="shared" si="0"/>
        <v>0</v>
      </c>
    </row>
    <row r="42" spans="1:6" ht="24.95" customHeight="1" x14ac:dyDescent="0.2">
      <c r="A42" s="1">
        <v>239</v>
      </c>
      <c r="B42" s="4" t="s">
        <v>46</v>
      </c>
      <c r="C42" s="1">
        <v>500</v>
      </c>
      <c r="D42" s="7" t="s">
        <v>14</v>
      </c>
      <c r="E42" s="20"/>
      <c r="F42" s="17">
        <f t="shared" si="0"/>
        <v>0</v>
      </c>
    </row>
    <row r="43" spans="1:6" ht="24.95" customHeight="1" x14ac:dyDescent="0.2">
      <c r="A43" s="1">
        <v>240</v>
      </c>
      <c r="B43" s="4" t="s">
        <v>48</v>
      </c>
      <c r="C43" s="1">
        <v>1000</v>
      </c>
      <c r="D43" s="7" t="s">
        <v>20</v>
      </c>
      <c r="E43" s="20"/>
      <c r="F43" s="17">
        <f t="shared" si="0"/>
        <v>0</v>
      </c>
    </row>
    <row r="44" spans="1:6" x14ac:dyDescent="0.2">
      <c r="A44" s="21"/>
      <c r="B44" s="15"/>
      <c r="C44" s="22" t="s">
        <v>50</v>
      </c>
      <c r="D44" s="23"/>
      <c r="E44" s="22"/>
      <c r="F44" s="24">
        <f>SUM(F4:F43)</f>
        <v>0</v>
      </c>
    </row>
    <row r="45" spans="1:6" x14ac:dyDescent="0.2">
      <c r="A45" s="2"/>
      <c r="B45" s="2"/>
      <c r="C45" s="14"/>
      <c r="D45" s="6"/>
      <c r="E45" s="14"/>
      <c r="F45" s="14"/>
    </row>
  </sheetData>
  <mergeCells count="1">
    <mergeCell ref="A1:F2"/>
  </mergeCells>
  <printOptions horizontalCentered="1"/>
  <pageMargins left="0.7" right="0.7" top="0.75" bottom="0.75" header="0.3" footer="0.3"/>
  <pageSetup scale="86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B16C-2F74-4489-9D02-CF371490198E}">
  <sheetPr>
    <pageSetUpPr fitToPage="1"/>
  </sheetPr>
  <dimension ref="A1:F45"/>
  <sheetViews>
    <sheetView topLeftCell="A27" zoomScale="115" zoomScaleNormal="115" workbookViewId="0">
      <selection activeCell="E4" sqref="E4:E43"/>
    </sheetView>
  </sheetViews>
  <sheetFormatPr defaultRowHeight="11.25" x14ac:dyDescent="0.2"/>
  <cols>
    <col min="1" max="1" width="5" style="33" customWidth="1"/>
    <col min="2" max="2" width="61.7109375" style="33" customWidth="1"/>
    <col min="3" max="3" width="8.28515625" style="36" customWidth="1"/>
    <col min="4" max="4" width="7.42578125" style="33" customWidth="1"/>
    <col min="5" max="5" width="10.28515625" style="36" customWidth="1"/>
    <col min="6" max="6" width="11.42578125" style="36" bestFit="1" customWidth="1"/>
    <col min="7" max="16384" width="9.140625" style="33"/>
  </cols>
  <sheetData>
    <row r="1" spans="1:6" x14ac:dyDescent="0.2">
      <c r="A1" s="38" t="s">
        <v>55</v>
      </c>
      <c r="B1" s="38"/>
      <c r="C1" s="38"/>
      <c r="D1" s="38"/>
      <c r="E1" s="38"/>
      <c r="F1" s="38"/>
    </row>
    <row r="2" spans="1:6" x14ac:dyDescent="0.2">
      <c r="A2" s="28"/>
      <c r="B2" s="28"/>
      <c r="C2" s="28"/>
      <c r="D2" s="28"/>
      <c r="E2" s="28"/>
      <c r="F2" s="28"/>
    </row>
    <row r="3" spans="1:6" x14ac:dyDescent="0.2">
      <c r="A3" s="1" t="s">
        <v>39</v>
      </c>
      <c r="B3" s="1" t="s">
        <v>40</v>
      </c>
      <c r="C3" s="1" t="s">
        <v>32</v>
      </c>
      <c r="D3" s="1" t="s">
        <v>35</v>
      </c>
      <c r="E3" s="1" t="s">
        <v>33</v>
      </c>
      <c r="F3" s="1" t="s">
        <v>34</v>
      </c>
    </row>
    <row r="4" spans="1:6" ht="24.95" customHeight="1" x14ac:dyDescent="0.2">
      <c r="A4" s="1">
        <v>301</v>
      </c>
      <c r="B4" s="3" t="s">
        <v>47</v>
      </c>
      <c r="C4" s="16">
        <v>40000</v>
      </c>
      <c r="D4" s="5" t="s">
        <v>20</v>
      </c>
      <c r="E4" s="20"/>
      <c r="F4" s="17">
        <f>C4*E4</f>
        <v>0</v>
      </c>
    </row>
    <row r="5" spans="1:6" ht="24.95" customHeight="1" x14ac:dyDescent="0.2">
      <c r="A5" s="1">
        <v>302</v>
      </c>
      <c r="B5" s="3" t="s">
        <v>51</v>
      </c>
      <c r="C5" s="1">
        <v>1500</v>
      </c>
      <c r="D5" s="5" t="s">
        <v>20</v>
      </c>
      <c r="E5" s="20"/>
      <c r="F5" s="17">
        <f t="shared" ref="F5:F43" si="0">C5*E5</f>
        <v>0</v>
      </c>
    </row>
    <row r="6" spans="1:6" ht="24.95" customHeight="1" x14ac:dyDescent="0.2">
      <c r="A6" s="1">
        <v>303</v>
      </c>
      <c r="B6" s="3" t="s">
        <v>4</v>
      </c>
      <c r="C6" s="1">
        <v>2000</v>
      </c>
      <c r="D6" s="5" t="s">
        <v>20</v>
      </c>
      <c r="E6" s="20"/>
      <c r="F6" s="17">
        <f t="shared" si="0"/>
        <v>0</v>
      </c>
    </row>
    <row r="7" spans="1:6" ht="24.95" customHeight="1" x14ac:dyDescent="0.2">
      <c r="A7" s="1">
        <v>304</v>
      </c>
      <c r="B7" s="3" t="s">
        <v>3</v>
      </c>
      <c r="C7" s="1">
        <v>10</v>
      </c>
      <c r="D7" s="5" t="s">
        <v>20</v>
      </c>
      <c r="E7" s="20"/>
      <c r="F7" s="17">
        <f t="shared" si="0"/>
        <v>0</v>
      </c>
    </row>
    <row r="8" spans="1:6" ht="24.95" customHeight="1" x14ac:dyDescent="0.2">
      <c r="A8" s="1">
        <v>305</v>
      </c>
      <c r="B8" s="3" t="s">
        <v>9</v>
      </c>
      <c r="C8" s="1">
        <v>300</v>
      </c>
      <c r="D8" s="5" t="s">
        <v>20</v>
      </c>
      <c r="E8" s="20"/>
      <c r="F8" s="17">
        <f t="shared" si="0"/>
        <v>0</v>
      </c>
    </row>
    <row r="9" spans="1:6" ht="24.95" customHeight="1" x14ac:dyDescent="0.2">
      <c r="A9" s="1">
        <v>306</v>
      </c>
      <c r="B9" s="3" t="s">
        <v>7</v>
      </c>
      <c r="C9" s="1">
        <v>500</v>
      </c>
      <c r="D9" s="5" t="s">
        <v>13</v>
      </c>
      <c r="E9" s="20"/>
      <c r="F9" s="17">
        <f t="shared" si="0"/>
        <v>0</v>
      </c>
    </row>
    <row r="10" spans="1:6" ht="24.95" customHeight="1" x14ac:dyDescent="0.2">
      <c r="A10" s="1">
        <v>307</v>
      </c>
      <c r="B10" s="3" t="s">
        <v>0</v>
      </c>
      <c r="C10" s="1">
        <v>2000</v>
      </c>
      <c r="D10" s="5" t="s">
        <v>14</v>
      </c>
      <c r="E10" s="20"/>
      <c r="F10" s="17">
        <f t="shared" si="0"/>
        <v>0</v>
      </c>
    </row>
    <row r="11" spans="1:6" ht="24.95" customHeight="1" x14ac:dyDescent="0.2">
      <c r="A11" s="1">
        <v>308</v>
      </c>
      <c r="B11" s="3" t="s">
        <v>21</v>
      </c>
      <c r="C11" s="1">
        <v>100</v>
      </c>
      <c r="D11" s="5" t="s">
        <v>20</v>
      </c>
      <c r="E11" s="20"/>
      <c r="F11" s="17">
        <f t="shared" si="0"/>
        <v>0</v>
      </c>
    </row>
    <row r="12" spans="1:6" ht="24.95" customHeight="1" x14ac:dyDescent="0.2">
      <c r="A12" s="1">
        <v>309</v>
      </c>
      <c r="B12" s="3" t="s">
        <v>26</v>
      </c>
      <c r="C12" s="1">
        <v>1500</v>
      </c>
      <c r="D12" s="5" t="s">
        <v>14</v>
      </c>
      <c r="E12" s="20"/>
      <c r="F12" s="17">
        <f t="shared" si="0"/>
        <v>0</v>
      </c>
    </row>
    <row r="13" spans="1:6" ht="24.95" customHeight="1" x14ac:dyDescent="0.2">
      <c r="A13" s="1">
        <v>310</v>
      </c>
      <c r="B13" s="3" t="s">
        <v>27</v>
      </c>
      <c r="C13" s="1">
        <v>2000</v>
      </c>
      <c r="D13" s="5" t="s">
        <v>14</v>
      </c>
      <c r="E13" s="20"/>
      <c r="F13" s="17">
        <f t="shared" si="0"/>
        <v>0</v>
      </c>
    </row>
    <row r="14" spans="1:6" ht="24.95" customHeight="1" x14ac:dyDescent="0.2">
      <c r="A14" s="1">
        <v>311</v>
      </c>
      <c r="B14" s="3" t="s">
        <v>36</v>
      </c>
      <c r="C14" s="1">
        <v>1100</v>
      </c>
      <c r="D14" s="5" t="s">
        <v>15</v>
      </c>
      <c r="E14" s="20"/>
      <c r="F14" s="17">
        <f t="shared" si="0"/>
        <v>0</v>
      </c>
    </row>
    <row r="15" spans="1:6" ht="24.95" customHeight="1" x14ac:dyDescent="0.2">
      <c r="A15" s="1">
        <v>312</v>
      </c>
      <c r="B15" s="3" t="s">
        <v>6</v>
      </c>
      <c r="C15" s="1">
        <v>14000</v>
      </c>
      <c r="D15" s="5" t="s">
        <v>15</v>
      </c>
      <c r="E15" s="20"/>
      <c r="F15" s="17">
        <f t="shared" si="0"/>
        <v>0</v>
      </c>
    </row>
    <row r="16" spans="1:6" ht="24.95" customHeight="1" x14ac:dyDescent="0.2">
      <c r="A16" s="1">
        <v>313</v>
      </c>
      <c r="B16" s="3" t="s">
        <v>1</v>
      </c>
      <c r="C16" s="1">
        <v>10000</v>
      </c>
      <c r="D16" s="5" t="s">
        <v>15</v>
      </c>
      <c r="E16" s="20"/>
      <c r="F16" s="17">
        <f t="shared" si="0"/>
        <v>0</v>
      </c>
    </row>
    <row r="17" spans="1:6" ht="24.95" customHeight="1" x14ac:dyDescent="0.2">
      <c r="A17" s="1">
        <v>314</v>
      </c>
      <c r="B17" s="3" t="s">
        <v>2</v>
      </c>
      <c r="C17" s="1">
        <v>30000</v>
      </c>
      <c r="D17" s="5" t="s">
        <v>15</v>
      </c>
      <c r="E17" s="20"/>
      <c r="F17" s="17">
        <f t="shared" si="0"/>
        <v>0</v>
      </c>
    </row>
    <row r="18" spans="1:6" ht="24.95" customHeight="1" x14ac:dyDescent="0.2">
      <c r="A18" s="1">
        <v>315</v>
      </c>
      <c r="B18" s="3" t="s">
        <v>8</v>
      </c>
      <c r="C18" s="1">
        <v>20000</v>
      </c>
      <c r="D18" s="5" t="s">
        <v>15</v>
      </c>
      <c r="E18" s="20"/>
      <c r="F18" s="17">
        <f t="shared" si="0"/>
        <v>0</v>
      </c>
    </row>
    <row r="19" spans="1:6" ht="24.95" customHeight="1" x14ac:dyDescent="0.2">
      <c r="A19" s="1">
        <v>316</v>
      </c>
      <c r="B19" s="3" t="s">
        <v>10</v>
      </c>
      <c r="C19" s="1">
        <v>5000</v>
      </c>
      <c r="D19" s="5" t="s">
        <v>15</v>
      </c>
      <c r="E19" s="20"/>
      <c r="F19" s="17">
        <f t="shared" si="0"/>
        <v>0</v>
      </c>
    </row>
    <row r="20" spans="1:6" ht="24.95" customHeight="1" x14ac:dyDescent="0.2">
      <c r="A20" s="1">
        <v>317</v>
      </c>
      <c r="B20" s="3" t="s">
        <v>19</v>
      </c>
      <c r="C20" s="1">
        <v>2500</v>
      </c>
      <c r="D20" s="5" t="s">
        <v>15</v>
      </c>
      <c r="E20" s="20"/>
      <c r="F20" s="17">
        <f t="shared" si="0"/>
        <v>0</v>
      </c>
    </row>
    <row r="21" spans="1:6" ht="24.95" customHeight="1" x14ac:dyDescent="0.2">
      <c r="A21" s="1">
        <v>318</v>
      </c>
      <c r="B21" s="3" t="s">
        <v>11</v>
      </c>
      <c r="C21" s="1">
        <v>2000</v>
      </c>
      <c r="D21" s="5" t="s">
        <v>14</v>
      </c>
      <c r="E21" s="20"/>
      <c r="F21" s="17">
        <f t="shared" si="0"/>
        <v>0</v>
      </c>
    </row>
    <row r="22" spans="1:6" ht="24.95" customHeight="1" x14ac:dyDescent="0.2">
      <c r="A22" s="1">
        <v>319</v>
      </c>
      <c r="B22" s="3" t="s">
        <v>12</v>
      </c>
      <c r="C22" s="1">
        <v>500</v>
      </c>
      <c r="D22" s="5" t="s">
        <v>14</v>
      </c>
      <c r="E22" s="20"/>
      <c r="F22" s="17">
        <f t="shared" si="0"/>
        <v>0</v>
      </c>
    </row>
    <row r="23" spans="1:6" ht="24.95" customHeight="1" x14ac:dyDescent="0.2">
      <c r="A23" s="1">
        <v>320</v>
      </c>
      <c r="B23" s="3" t="s">
        <v>16</v>
      </c>
      <c r="C23" s="1">
        <v>1000</v>
      </c>
      <c r="D23" s="5" t="s">
        <v>14</v>
      </c>
      <c r="E23" s="20"/>
      <c r="F23" s="17">
        <f t="shared" si="0"/>
        <v>0</v>
      </c>
    </row>
    <row r="24" spans="1:6" ht="24.95" customHeight="1" x14ac:dyDescent="0.2">
      <c r="A24" s="1">
        <v>321</v>
      </c>
      <c r="B24" s="3" t="s">
        <v>17</v>
      </c>
      <c r="C24" s="1">
        <v>60</v>
      </c>
      <c r="D24" s="5" t="s">
        <v>13</v>
      </c>
      <c r="E24" s="20"/>
      <c r="F24" s="17">
        <f t="shared" si="0"/>
        <v>0</v>
      </c>
    </row>
    <row r="25" spans="1:6" ht="24.95" customHeight="1" x14ac:dyDescent="0.2">
      <c r="A25" s="1">
        <v>322</v>
      </c>
      <c r="B25" s="3" t="s">
        <v>18</v>
      </c>
      <c r="C25" s="1">
        <v>575</v>
      </c>
      <c r="D25" s="5" t="s">
        <v>13</v>
      </c>
      <c r="E25" s="20"/>
      <c r="F25" s="17">
        <f t="shared" si="0"/>
        <v>0</v>
      </c>
    </row>
    <row r="26" spans="1:6" ht="24.95" customHeight="1" x14ac:dyDescent="0.2">
      <c r="A26" s="1">
        <v>323</v>
      </c>
      <c r="B26" s="3" t="s">
        <v>24</v>
      </c>
      <c r="C26" s="1">
        <v>1000</v>
      </c>
      <c r="D26" s="5" t="s">
        <v>14</v>
      </c>
      <c r="E26" s="20"/>
      <c r="F26" s="17">
        <f t="shared" si="0"/>
        <v>0</v>
      </c>
    </row>
    <row r="27" spans="1:6" ht="24.95" customHeight="1" x14ac:dyDescent="0.2">
      <c r="A27" s="1">
        <v>324</v>
      </c>
      <c r="B27" s="3" t="s">
        <v>28</v>
      </c>
      <c r="C27" s="1">
        <v>50</v>
      </c>
      <c r="D27" s="5" t="s">
        <v>13</v>
      </c>
      <c r="E27" s="20"/>
      <c r="F27" s="17">
        <f t="shared" si="0"/>
        <v>0</v>
      </c>
    </row>
    <row r="28" spans="1:6" ht="24.95" customHeight="1" x14ac:dyDescent="0.2">
      <c r="A28" s="1">
        <v>325</v>
      </c>
      <c r="B28" s="3" t="s">
        <v>25</v>
      </c>
      <c r="C28" s="1">
        <v>200</v>
      </c>
      <c r="D28" s="5" t="s">
        <v>13</v>
      </c>
      <c r="E28" s="20"/>
      <c r="F28" s="17">
        <f t="shared" si="0"/>
        <v>0</v>
      </c>
    </row>
    <row r="29" spans="1:6" ht="24.95" customHeight="1" x14ac:dyDescent="0.2">
      <c r="A29" s="1">
        <v>326</v>
      </c>
      <c r="B29" s="3" t="s">
        <v>22</v>
      </c>
      <c r="C29" s="1">
        <v>500</v>
      </c>
      <c r="D29" s="5" t="s">
        <v>14</v>
      </c>
      <c r="E29" s="20"/>
      <c r="F29" s="17">
        <f t="shared" si="0"/>
        <v>0</v>
      </c>
    </row>
    <row r="30" spans="1:6" ht="24.95" customHeight="1" x14ac:dyDescent="0.2">
      <c r="A30" s="1">
        <v>327</v>
      </c>
      <c r="B30" s="3" t="s">
        <v>29</v>
      </c>
      <c r="C30" s="1">
        <v>5</v>
      </c>
      <c r="D30" s="5" t="s">
        <v>13</v>
      </c>
      <c r="E30" s="20"/>
      <c r="F30" s="17">
        <f t="shared" si="0"/>
        <v>0</v>
      </c>
    </row>
    <row r="31" spans="1:6" ht="24.95" customHeight="1" x14ac:dyDescent="0.2">
      <c r="A31" s="1">
        <v>328</v>
      </c>
      <c r="B31" s="3" t="s">
        <v>23</v>
      </c>
      <c r="C31" s="1">
        <v>200</v>
      </c>
      <c r="D31" s="5" t="s">
        <v>13</v>
      </c>
      <c r="E31" s="20"/>
      <c r="F31" s="17">
        <f t="shared" si="0"/>
        <v>0</v>
      </c>
    </row>
    <row r="32" spans="1:6" ht="24.95" customHeight="1" x14ac:dyDescent="0.2">
      <c r="A32" s="1">
        <v>329</v>
      </c>
      <c r="B32" s="3" t="s">
        <v>5</v>
      </c>
      <c r="C32" s="1">
        <v>1000</v>
      </c>
      <c r="D32" s="5" t="s">
        <v>14</v>
      </c>
      <c r="E32" s="20"/>
      <c r="F32" s="17">
        <f t="shared" si="0"/>
        <v>0</v>
      </c>
    </row>
    <row r="33" spans="1:6" ht="24.95" customHeight="1" x14ac:dyDescent="0.2">
      <c r="A33" s="1">
        <v>330</v>
      </c>
      <c r="B33" s="3" t="s">
        <v>37</v>
      </c>
      <c r="C33" s="1">
        <v>5000</v>
      </c>
      <c r="D33" s="5" t="s">
        <v>14</v>
      </c>
      <c r="E33" s="20"/>
      <c r="F33" s="17">
        <f t="shared" si="0"/>
        <v>0</v>
      </c>
    </row>
    <row r="34" spans="1:6" ht="24.95" customHeight="1" x14ac:dyDescent="0.2">
      <c r="A34" s="1">
        <v>331</v>
      </c>
      <c r="B34" s="3" t="s">
        <v>38</v>
      </c>
      <c r="C34" s="1">
        <v>100</v>
      </c>
      <c r="D34" s="5" t="s">
        <v>14</v>
      </c>
      <c r="E34" s="20"/>
      <c r="F34" s="17">
        <f t="shared" si="0"/>
        <v>0</v>
      </c>
    </row>
    <row r="35" spans="1:6" ht="24.95" customHeight="1" x14ac:dyDescent="0.2">
      <c r="A35" s="1">
        <v>332</v>
      </c>
      <c r="B35" s="3" t="s">
        <v>30</v>
      </c>
      <c r="C35" s="1">
        <v>120</v>
      </c>
      <c r="D35" s="5" t="s">
        <v>14</v>
      </c>
      <c r="E35" s="20"/>
      <c r="F35" s="17">
        <f t="shared" si="0"/>
        <v>0</v>
      </c>
    </row>
    <row r="36" spans="1:6" ht="24.95" customHeight="1" x14ac:dyDescent="0.2">
      <c r="A36" s="1">
        <v>333</v>
      </c>
      <c r="B36" s="3" t="s">
        <v>31</v>
      </c>
      <c r="C36" s="1">
        <v>5</v>
      </c>
      <c r="D36" s="5" t="s">
        <v>13</v>
      </c>
      <c r="E36" s="20"/>
      <c r="F36" s="17">
        <f t="shared" si="0"/>
        <v>0</v>
      </c>
    </row>
    <row r="37" spans="1:6" ht="24.95" customHeight="1" x14ac:dyDescent="0.2">
      <c r="A37" s="1">
        <v>334</v>
      </c>
      <c r="B37" s="4" t="s">
        <v>41</v>
      </c>
      <c r="C37" s="1">
        <v>1000</v>
      </c>
      <c r="D37" s="7" t="s">
        <v>15</v>
      </c>
      <c r="E37" s="20"/>
      <c r="F37" s="17">
        <f t="shared" si="0"/>
        <v>0</v>
      </c>
    </row>
    <row r="38" spans="1:6" ht="24.95" customHeight="1" x14ac:dyDescent="0.2">
      <c r="A38" s="1">
        <v>335</v>
      </c>
      <c r="B38" s="4" t="s">
        <v>42</v>
      </c>
      <c r="C38" s="1">
        <v>1000</v>
      </c>
      <c r="D38" s="7" t="s">
        <v>20</v>
      </c>
      <c r="E38" s="20"/>
      <c r="F38" s="17">
        <f t="shared" si="0"/>
        <v>0</v>
      </c>
    </row>
    <row r="39" spans="1:6" ht="24.95" customHeight="1" x14ac:dyDescent="0.2">
      <c r="A39" s="1">
        <v>336</v>
      </c>
      <c r="B39" s="4" t="s">
        <v>43</v>
      </c>
      <c r="C39" s="1">
        <v>50</v>
      </c>
      <c r="D39" s="7" t="s">
        <v>20</v>
      </c>
      <c r="E39" s="20"/>
      <c r="F39" s="17">
        <f t="shared" si="0"/>
        <v>0</v>
      </c>
    </row>
    <row r="40" spans="1:6" ht="24.95" customHeight="1" x14ac:dyDescent="0.2">
      <c r="A40" s="1">
        <v>337</v>
      </c>
      <c r="B40" s="4" t="s">
        <v>44</v>
      </c>
      <c r="C40" s="1">
        <v>5000</v>
      </c>
      <c r="D40" s="7" t="s">
        <v>14</v>
      </c>
      <c r="E40" s="20"/>
      <c r="F40" s="17">
        <f t="shared" si="0"/>
        <v>0</v>
      </c>
    </row>
    <row r="41" spans="1:6" ht="24.95" customHeight="1" x14ac:dyDescent="0.2">
      <c r="A41" s="1">
        <v>338</v>
      </c>
      <c r="B41" s="4" t="s">
        <v>45</v>
      </c>
      <c r="C41" s="1">
        <v>2000</v>
      </c>
      <c r="D41" s="7" t="s">
        <v>14</v>
      </c>
      <c r="E41" s="20"/>
      <c r="F41" s="17">
        <f t="shared" si="0"/>
        <v>0</v>
      </c>
    </row>
    <row r="42" spans="1:6" ht="24.95" customHeight="1" x14ac:dyDescent="0.2">
      <c r="A42" s="1">
        <v>339</v>
      </c>
      <c r="B42" s="4" t="s">
        <v>46</v>
      </c>
      <c r="C42" s="1">
        <v>500</v>
      </c>
      <c r="D42" s="7" t="s">
        <v>14</v>
      </c>
      <c r="E42" s="20"/>
      <c r="F42" s="17">
        <f t="shared" si="0"/>
        <v>0</v>
      </c>
    </row>
    <row r="43" spans="1:6" ht="24.95" customHeight="1" x14ac:dyDescent="0.2">
      <c r="A43" s="1">
        <v>340</v>
      </c>
      <c r="B43" s="4" t="s">
        <v>48</v>
      </c>
      <c r="C43" s="1">
        <v>1000</v>
      </c>
      <c r="D43" s="7" t="s">
        <v>20</v>
      </c>
      <c r="E43" s="20"/>
      <c r="F43" s="17">
        <f t="shared" si="0"/>
        <v>0</v>
      </c>
    </row>
    <row r="44" spans="1:6" x14ac:dyDescent="0.2">
      <c r="A44" s="21"/>
      <c r="B44" s="15"/>
      <c r="C44" s="22" t="s">
        <v>50</v>
      </c>
      <c r="D44" s="23"/>
      <c r="E44" s="22"/>
      <c r="F44" s="24">
        <f>SUM(F4:F43)</f>
        <v>0</v>
      </c>
    </row>
    <row r="45" spans="1:6" x14ac:dyDescent="0.2">
      <c r="A45" s="2"/>
      <c r="B45" s="2"/>
      <c r="C45" s="14"/>
      <c r="D45" s="6"/>
      <c r="E45" s="14"/>
      <c r="F45" s="14"/>
    </row>
  </sheetData>
  <mergeCells count="1">
    <mergeCell ref="A1:F2"/>
  </mergeCells>
  <printOptions horizontalCentered="1"/>
  <pageMargins left="0.7" right="0.7" top="0.75" bottom="0.75" header="0.3" footer="0.3"/>
  <pageSetup scale="86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2587-C0E0-45D3-8DF5-342A3A8B3F53}">
  <sheetPr>
    <pageSetUpPr fitToPage="1"/>
  </sheetPr>
  <dimension ref="A1:F45"/>
  <sheetViews>
    <sheetView topLeftCell="A34" zoomScale="115" zoomScaleNormal="115" workbookViewId="0">
      <selection activeCell="B52" sqref="B52"/>
    </sheetView>
  </sheetViews>
  <sheetFormatPr defaultRowHeight="11.25" x14ac:dyDescent="0.2"/>
  <cols>
    <col min="1" max="1" width="5" style="33" customWidth="1"/>
    <col min="2" max="2" width="61.7109375" style="33" customWidth="1"/>
    <col min="3" max="3" width="8.28515625" style="36" customWidth="1"/>
    <col min="4" max="4" width="7.42578125" style="33" customWidth="1"/>
    <col min="5" max="5" width="10.28515625" style="36" customWidth="1"/>
    <col min="6" max="6" width="11.42578125" style="36" bestFit="1" customWidth="1"/>
    <col min="7" max="16384" width="9.140625" style="33"/>
  </cols>
  <sheetData>
    <row r="1" spans="1:6" x14ac:dyDescent="0.2">
      <c r="A1" s="38" t="s">
        <v>56</v>
      </c>
      <c r="B1" s="38"/>
      <c r="C1" s="38"/>
      <c r="D1" s="38"/>
      <c r="E1" s="38"/>
      <c r="F1" s="38"/>
    </row>
    <row r="2" spans="1:6" x14ac:dyDescent="0.2">
      <c r="A2" s="28"/>
      <c r="B2" s="28"/>
      <c r="C2" s="28"/>
      <c r="D2" s="28"/>
      <c r="E2" s="28"/>
      <c r="F2" s="28"/>
    </row>
    <row r="3" spans="1:6" x14ac:dyDescent="0.2">
      <c r="A3" s="1" t="s">
        <v>39</v>
      </c>
      <c r="B3" s="1" t="s">
        <v>40</v>
      </c>
      <c r="C3" s="1" t="s">
        <v>32</v>
      </c>
      <c r="D3" s="1" t="s">
        <v>35</v>
      </c>
      <c r="E3" s="1" t="s">
        <v>33</v>
      </c>
      <c r="F3" s="1" t="s">
        <v>34</v>
      </c>
    </row>
    <row r="4" spans="1:6" ht="24.95" customHeight="1" x14ac:dyDescent="0.2">
      <c r="A4" s="1">
        <v>401</v>
      </c>
      <c r="B4" s="3" t="s">
        <v>47</v>
      </c>
      <c r="C4" s="16">
        <v>40000</v>
      </c>
      <c r="D4" s="5" t="s">
        <v>20</v>
      </c>
      <c r="E4" s="20"/>
      <c r="F4" s="17">
        <f>C4*E4</f>
        <v>0</v>
      </c>
    </row>
    <row r="5" spans="1:6" ht="24.95" customHeight="1" x14ac:dyDescent="0.2">
      <c r="A5" s="1">
        <v>402</v>
      </c>
      <c r="B5" s="3" t="s">
        <v>51</v>
      </c>
      <c r="C5" s="1">
        <v>1500</v>
      </c>
      <c r="D5" s="5" t="s">
        <v>20</v>
      </c>
      <c r="E5" s="20"/>
      <c r="F5" s="17">
        <f t="shared" ref="F5:F43" si="0">C5*E5</f>
        <v>0</v>
      </c>
    </row>
    <row r="6" spans="1:6" ht="24.95" customHeight="1" x14ac:dyDescent="0.2">
      <c r="A6" s="1">
        <v>403</v>
      </c>
      <c r="B6" s="3" t="s">
        <v>4</v>
      </c>
      <c r="C6" s="1">
        <v>2000</v>
      </c>
      <c r="D6" s="5" t="s">
        <v>20</v>
      </c>
      <c r="E6" s="20"/>
      <c r="F6" s="17">
        <f t="shared" si="0"/>
        <v>0</v>
      </c>
    </row>
    <row r="7" spans="1:6" ht="24.95" customHeight="1" x14ac:dyDescent="0.2">
      <c r="A7" s="1">
        <v>404</v>
      </c>
      <c r="B7" s="3" t="s">
        <v>3</v>
      </c>
      <c r="C7" s="1">
        <v>10</v>
      </c>
      <c r="D7" s="5" t="s">
        <v>20</v>
      </c>
      <c r="E7" s="20"/>
      <c r="F7" s="17">
        <f t="shared" si="0"/>
        <v>0</v>
      </c>
    </row>
    <row r="8" spans="1:6" ht="24.95" customHeight="1" x14ac:dyDescent="0.2">
      <c r="A8" s="1">
        <v>405</v>
      </c>
      <c r="B8" s="3" t="s">
        <v>9</v>
      </c>
      <c r="C8" s="1">
        <v>300</v>
      </c>
      <c r="D8" s="5" t="s">
        <v>20</v>
      </c>
      <c r="E8" s="20"/>
      <c r="F8" s="17">
        <f t="shared" si="0"/>
        <v>0</v>
      </c>
    </row>
    <row r="9" spans="1:6" ht="24.95" customHeight="1" x14ac:dyDescent="0.2">
      <c r="A9" s="1">
        <v>406</v>
      </c>
      <c r="B9" s="3" t="s">
        <v>7</v>
      </c>
      <c r="C9" s="1">
        <v>500</v>
      </c>
      <c r="D9" s="5" t="s">
        <v>13</v>
      </c>
      <c r="E9" s="20"/>
      <c r="F9" s="17">
        <f t="shared" si="0"/>
        <v>0</v>
      </c>
    </row>
    <row r="10" spans="1:6" ht="24.95" customHeight="1" x14ac:dyDescent="0.2">
      <c r="A10" s="1">
        <v>407</v>
      </c>
      <c r="B10" s="3" t="s">
        <v>0</v>
      </c>
      <c r="C10" s="1">
        <v>2000</v>
      </c>
      <c r="D10" s="5" t="s">
        <v>14</v>
      </c>
      <c r="E10" s="20"/>
      <c r="F10" s="17">
        <f t="shared" si="0"/>
        <v>0</v>
      </c>
    </row>
    <row r="11" spans="1:6" ht="24.95" customHeight="1" x14ac:dyDescent="0.2">
      <c r="A11" s="1">
        <v>408</v>
      </c>
      <c r="B11" s="3" t="s">
        <v>21</v>
      </c>
      <c r="C11" s="1">
        <v>100</v>
      </c>
      <c r="D11" s="5" t="s">
        <v>20</v>
      </c>
      <c r="E11" s="20"/>
      <c r="F11" s="17">
        <f t="shared" si="0"/>
        <v>0</v>
      </c>
    </row>
    <row r="12" spans="1:6" ht="24.95" customHeight="1" x14ac:dyDescent="0.2">
      <c r="A12" s="1">
        <v>409</v>
      </c>
      <c r="B12" s="3" t="s">
        <v>26</v>
      </c>
      <c r="C12" s="1">
        <v>1500</v>
      </c>
      <c r="D12" s="5" t="s">
        <v>14</v>
      </c>
      <c r="E12" s="20"/>
      <c r="F12" s="17">
        <f t="shared" si="0"/>
        <v>0</v>
      </c>
    </row>
    <row r="13" spans="1:6" ht="24.95" customHeight="1" x14ac:dyDescent="0.2">
      <c r="A13" s="1">
        <v>410</v>
      </c>
      <c r="B13" s="3" t="s">
        <v>27</v>
      </c>
      <c r="C13" s="1">
        <v>2000</v>
      </c>
      <c r="D13" s="5" t="s">
        <v>14</v>
      </c>
      <c r="E13" s="20"/>
      <c r="F13" s="17">
        <f t="shared" si="0"/>
        <v>0</v>
      </c>
    </row>
    <row r="14" spans="1:6" ht="24.95" customHeight="1" x14ac:dyDescent="0.2">
      <c r="A14" s="1">
        <v>411</v>
      </c>
      <c r="B14" s="3" t="s">
        <v>36</v>
      </c>
      <c r="C14" s="1">
        <v>1100</v>
      </c>
      <c r="D14" s="5" t="s">
        <v>15</v>
      </c>
      <c r="E14" s="20"/>
      <c r="F14" s="17">
        <f t="shared" si="0"/>
        <v>0</v>
      </c>
    </row>
    <row r="15" spans="1:6" ht="24.95" customHeight="1" x14ac:dyDescent="0.2">
      <c r="A15" s="1">
        <v>412</v>
      </c>
      <c r="B15" s="3" t="s">
        <v>6</v>
      </c>
      <c r="C15" s="1">
        <v>14000</v>
      </c>
      <c r="D15" s="5" t="s">
        <v>15</v>
      </c>
      <c r="E15" s="20"/>
      <c r="F15" s="17">
        <f t="shared" si="0"/>
        <v>0</v>
      </c>
    </row>
    <row r="16" spans="1:6" ht="24.95" customHeight="1" x14ac:dyDescent="0.2">
      <c r="A16" s="1">
        <v>413</v>
      </c>
      <c r="B16" s="3" t="s">
        <v>1</v>
      </c>
      <c r="C16" s="1">
        <v>10000</v>
      </c>
      <c r="D16" s="5" t="s">
        <v>15</v>
      </c>
      <c r="E16" s="20"/>
      <c r="F16" s="17">
        <f t="shared" si="0"/>
        <v>0</v>
      </c>
    </row>
    <row r="17" spans="1:6" ht="24.95" customHeight="1" x14ac:dyDescent="0.2">
      <c r="A17" s="1">
        <v>414</v>
      </c>
      <c r="B17" s="3" t="s">
        <v>2</v>
      </c>
      <c r="C17" s="1">
        <v>30000</v>
      </c>
      <c r="D17" s="5" t="s">
        <v>15</v>
      </c>
      <c r="E17" s="20"/>
      <c r="F17" s="17">
        <f t="shared" si="0"/>
        <v>0</v>
      </c>
    </row>
    <row r="18" spans="1:6" ht="24.95" customHeight="1" x14ac:dyDescent="0.2">
      <c r="A18" s="1">
        <v>415</v>
      </c>
      <c r="B18" s="3" t="s">
        <v>8</v>
      </c>
      <c r="C18" s="1">
        <v>20000</v>
      </c>
      <c r="D18" s="5" t="s">
        <v>15</v>
      </c>
      <c r="E18" s="20"/>
      <c r="F18" s="17">
        <f t="shared" si="0"/>
        <v>0</v>
      </c>
    </row>
    <row r="19" spans="1:6" ht="24.95" customHeight="1" x14ac:dyDescent="0.2">
      <c r="A19" s="1">
        <v>416</v>
      </c>
      <c r="B19" s="3" t="s">
        <v>10</v>
      </c>
      <c r="C19" s="1">
        <v>5000</v>
      </c>
      <c r="D19" s="5" t="s">
        <v>15</v>
      </c>
      <c r="E19" s="20"/>
      <c r="F19" s="17">
        <f t="shared" si="0"/>
        <v>0</v>
      </c>
    </row>
    <row r="20" spans="1:6" ht="24.95" customHeight="1" x14ac:dyDescent="0.2">
      <c r="A20" s="1">
        <v>417</v>
      </c>
      <c r="B20" s="3" t="s">
        <v>19</v>
      </c>
      <c r="C20" s="1">
        <v>2500</v>
      </c>
      <c r="D20" s="5" t="s">
        <v>15</v>
      </c>
      <c r="E20" s="20"/>
      <c r="F20" s="17">
        <f t="shared" si="0"/>
        <v>0</v>
      </c>
    </row>
    <row r="21" spans="1:6" ht="24.95" customHeight="1" x14ac:dyDescent="0.2">
      <c r="A21" s="1">
        <v>418</v>
      </c>
      <c r="B21" s="3" t="s">
        <v>11</v>
      </c>
      <c r="C21" s="1">
        <v>2000</v>
      </c>
      <c r="D21" s="5" t="s">
        <v>14</v>
      </c>
      <c r="E21" s="20"/>
      <c r="F21" s="17">
        <f t="shared" si="0"/>
        <v>0</v>
      </c>
    </row>
    <row r="22" spans="1:6" ht="24.95" customHeight="1" x14ac:dyDescent="0.2">
      <c r="A22" s="1">
        <v>419</v>
      </c>
      <c r="B22" s="3" t="s">
        <v>12</v>
      </c>
      <c r="C22" s="1">
        <v>500</v>
      </c>
      <c r="D22" s="5" t="s">
        <v>14</v>
      </c>
      <c r="E22" s="20"/>
      <c r="F22" s="17">
        <f t="shared" si="0"/>
        <v>0</v>
      </c>
    </row>
    <row r="23" spans="1:6" ht="24.95" customHeight="1" x14ac:dyDescent="0.2">
      <c r="A23" s="1">
        <v>420</v>
      </c>
      <c r="B23" s="3" t="s">
        <v>16</v>
      </c>
      <c r="C23" s="1">
        <v>1000</v>
      </c>
      <c r="D23" s="5" t="s">
        <v>14</v>
      </c>
      <c r="E23" s="20"/>
      <c r="F23" s="17">
        <f t="shared" si="0"/>
        <v>0</v>
      </c>
    </row>
    <row r="24" spans="1:6" ht="24.95" customHeight="1" x14ac:dyDescent="0.2">
      <c r="A24" s="1">
        <v>421</v>
      </c>
      <c r="B24" s="3" t="s">
        <v>17</v>
      </c>
      <c r="C24" s="1">
        <v>60</v>
      </c>
      <c r="D24" s="5" t="s">
        <v>13</v>
      </c>
      <c r="E24" s="20"/>
      <c r="F24" s="17">
        <f t="shared" si="0"/>
        <v>0</v>
      </c>
    </row>
    <row r="25" spans="1:6" ht="24.95" customHeight="1" x14ac:dyDescent="0.2">
      <c r="A25" s="1">
        <v>422</v>
      </c>
      <c r="B25" s="3" t="s">
        <v>18</v>
      </c>
      <c r="C25" s="1">
        <v>575</v>
      </c>
      <c r="D25" s="5" t="s">
        <v>13</v>
      </c>
      <c r="E25" s="20"/>
      <c r="F25" s="17">
        <f t="shared" si="0"/>
        <v>0</v>
      </c>
    </row>
    <row r="26" spans="1:6" ht="24.95" customHeight="1" x14ac:dyDescent="0.2">
      <c r="A26" s="1">
        <v>423</v>
      </c>
      <c r="B26" s="3" t="s">
        <v>24</v>
      </c>
      <c r="C26" s="1">
        <v>1000</v>
      </c>
      <c r="D26" s="5" t="s">
        <v>14</v>
      </c>
      <c r="E26" s="20"/>
      <c r="F26" s="17">
        <f t="shared" si="0"/>
        <v>0</v>
      </c>
    </row>
    <row r="27" spans="1:6" ht="24.95" customHeight="1" x14ac:dyDescent="0.2">
      <c r="A27" s="1">
        <v>424</v>
      </c>
      <c r="B27" s="3" t="s">
        <v>28</v>
      </c>
      <c r="C27" s="1">
        <v>50</v>
      </c>
      <c r="D27" s="5" t="s">
        <v>13</v>
      </c>
      <c r="E27" s="20"/>
      <c r="F27" s="17">
        <f t="shared" si="0"/>
        <v>0</v>
      </c>
    </row>
    <row r="28" spans="1:6" ht="24.95" customHeight="1" x14ac:dyDescent="0.2">
      <c r="A28" s="1">
        <v>425</v>
      </c>
      <c r="B28" s="3" t="s">
        <v>25</v>
      </c>
      <c r="C28" s="1">
        <v>200</v>
      </c>
      <c r="D28" s="5" t="s">
        <v>13</v>
      </c>
      <c r="E28" s="20"/>
      <c r="F28" s="17">
        <f t="shared" si="0"/>
        <v>0</v>
      </c>
    </row>
    <row r="29" spans="1:6" ht="24.95" customHeight="1" x14ac:dyDescent="0.2">
      <c r="A29" s="1">
        <v>426</v>
      </c>
      <c r="B29" s="3" t="s">
        <v>22</v>
      </c>
      <c r="C29" s="1">
        <v>500</v>
      </c>
      <c r="D29" s="5" t="s">
        <v>14</v>
      </c>
      <c r="E29" s="20"/>
      <c r="F29" s="17">
        <f t="shared" si="0"/>
        <v>0</v>
      </c>
    </row>
    <row r="30" spans="1:6" ht="24.95" customHeight="1" x14ac:dyDescent="0.2">
      <c r="A30" s="1">
        <v>427</v>
      </c>
      <c r="B30" s="3" t="s">
        <v>29</v>
      </c>
      <c r="C30" s="1">
        <v>5</v>
      </c>
      <c r="D30" s="5" t="s">
        <v>13</v>
      </c>
      <c r="E30" s="20"/>
      <c r="F30" s="17">
        <f t="shared" si="0"/>
        <v>0</v>
      </c>
    </row>
    <row r="31" spans="1:6" ht="24.95" customHeight="1" x14ac:dyDescent="0.2">
      <c r="A31" s="1">
        <v>428</v>
      </c>
      <c r="B31" s="3" t="s">
        <v>23</v>
      </c>
      <c r="C31" s="1">
        <v>200</v>
      </c>
      <c r="D31" s="5" t="s">
        <v>13</v>
      </c>
      <c r="E31" s="20"/>
      <c r="F31" s="17">
        <f t="shared" si="0"/>
        <v>0</v>
      </c>
    </row>
    <row r="32" spans="1:6" ht="24.95" customHeight="1" x14ac:dyDescent="0.2">
      <c r="A32" s="1">
        <v>429</v>
      </c>
      <c r="B32" s="3" t="s">
        <v>5</v>
      </c>
      <c r="C32" s="1">
        <v>1000</v>
      </c>
      <c r="D32" s="5" t="s">
        <v>14</v>
      </c>
      <c r="E32" s="20"/>
      <c r="F32" s="17">
        <f t="shared" si="0"/>
        <v>0</v>
      </c>
    </row>
    <row r="33" spans="1:6" ht="24.95" customHeight="1" x14ac:dyDescent="0.2">
      <c r="A33" s="1">
        <v>430</v>
      </c>
      <c r="B33" s="3" t="s">
        <v>37</v>
      </c>
      <c r="C33" s="1">
        <v>5000</v>
      </c>
      <c r="D33" s="5" t="s">
        <v>14</v>
      </c>
      <c r="E33" s="20"/>
      <c r="F33" s="17">
        <f t="shared" si="0"/>
        <v>0</v>
      </c>
    </row>
    <row r="34" spans="1:6" ht="24.95" customHeight="1" x14ac:dyDescent="0.2">
      <c r="A34" s="1">
        <v>431</v>
      </c>
      <c r="B34" s="3" t="s">
        <v>38</v>
      </c>
      <c r="C34" s="1">
        <v>100</v>
      </c>
      <c r="D34" s="5" t="s">
        <v>14</v>
      </c>
      <c r="E34" s="20"/>
      <c r="F34" s="17">
        <f t="shared" si="0"/>
        <v>0</v>
      </c>
    </row>
    <row r="35" spans="1:6" ht="24.95" customHeight="1" x14ac:dyDescent="0.2">
      <c r="A35" s="1">
        <v>432</v>
      </c>
      <c r="B35" s="3" t="s">
        <v>30</v>
      </c>
      <c r="C35" s="1">
        <v>120</v>
      </c>
      <c r="D35" s="5" t="s">
        <v>14</v>
      </c>
      <c r="E35" s="20"/>
      <c r="F35" s="17">
        <f t="shared" si="0"/>
        <v>0</v>
      </c>
    </row>
    <row r="36" spans="1:6" ht="24.95" customHeight="1" x14ac:dyDescent="0.2">
      <c r="A36" s="1">
        <v>433</v>
      </c>
      <c r="B36" s="3" t="s">
        <v>31</v>
      </c>
      <c r="C36" s="1">
        <v>5</v>
      </c>
      <c r="D36" s="5" t="s">
        <v>13</v>
      </c>
      <c r="E36" s="20"/>
      <c r="F36" s="17">
        <f t="shared" si="0"/>
        <v>0</v>
      </c>
    </row>
    <row r="37" spans="1:6" ht="24.95" customHeight="1" x14ac:dyDescent="0.2">
      <c r="A37" s="1">
        <v>434</v>
      </c>
      <c r="B37" s="4" t="s">
        <v>41</v>
      </c>
      <c r="C37" s="1">
        <v>1000</v>
      </c>
      <c r="D37" s="7" t="s">
        <v>15</v>
      </c>
      <c r="E37" s="20"/>
      <c r="F37" s="17">
        <f t="shared" si="0"/>
        <v>0</v>
      </c>
    </row>
    <row r="38" spans="1:6" ht="24.95" customHeight="1" x14ac:dyDescent="0.2">
      <c r="A38" s="1">
        <v>435</v>
      </c>
      <c r="B38" s="4" t="s">
        <v>42</v>
      </c>
      <c r="C38" s="1">
        <v>1000</v>
      </c>
      <c r="D38" s="7" t="s">
        <v>20</v>
      </c>
      <c r="E38" s="20"/>
      <c r="F38" s="17">
        <f t="shared" si="0"/>
        <v>0</v>
      </c>
    </row>
    <row r="39" spans="1:6" ht="24.95" customHeight="1" x14ac:dyDescent="0.2">
      <c r="A39" s="1">
        <v>436</v>
      </c>
      <c r="B39" s="4" t="s">
        <v>43</v>
      </c>
      <c r="C39" s="1">
        <v>50</v>
      </c>
      <c r="D39" s="7" t="s">
        <v>20</v>
      </c>
      <c r="E39" s="20"/>
      <c r="F39" s="17">
        <f t="shared" si="0"/>
        <v>0</v>
      </c>
    </row>
    <row r="40" spans="1:6" ht="24.95" customHeight="1" x14ac:dyDescent="0.2">
      <c r="A40" s="1">
        <v>437</v>
      </c>
      <c r="B40" s="4" t="s">
        <v>44</v>
      </c>
      <c r="C40" s="1">
        <v>5000</v>
      </c>
      <c r="D40" s="7" t="s">
        <v>14</v>
      </c>
      <c r="E40" s="20"/>
      <c r="F40" s="17">
        <f t="shared" si="0"/>
        <v>0</v>
      </c>
    </row>
    <row r="41" spans="1:6" ht="24.95" customHeight="1" x14ac:dyDescent="0.2">
      <c r="A41" s="1">
        <v>438</v>
      </c>
      <c r="B41" s="4" t="s">
        <v>45</v>
      </c>
      <c r="C41" s="1">
        <v>2000</v>
      </c>
      <c r="D41" s="7" t="s">
        <v>14</v>
      </c>
      <c r="E41" s="20"/>
      <c r="F41" s="17">
        <f t="shared" si="0"/>
        <v>0</v>
      </c>
    </row>
    <row r="42" spans="1:6" ht="24.95" customHeight="1" x14ac:dyDescent="0.2">
      <c r="A42" s="1">
        <v>439</v>
      </c>
      <c r="B42" s="4" t="s">
        <v>46</v>
      </c>
      <c r="C42" s="1">
        <v>500</v>
      </c>
      <c r="D42" s="7" t="s">
        <v>14</v>
      </c>
      <c r="E42" s="20"/>
      <c r="F42" s="17">
        <f t="shared" si="0"/>
        <v>0</v>
      </c>
    </row>
    <row r="43" spans="1:6" ht="24.95" customHeight="1" x14ac:dyDescent="0.2">
      <c r="A43" s="1">
        <v>440</v>
      </c>
      <c r="B43" s="4" t="s">
        <v>48</v>
      </c>
      <c r="C43" s="1">
        <v>1000</v>
      </c>
      <c r="D43" s="7" t="s">
        <v>20</v>
      </c>
      <c r="E43" s="20"/>
      <c r="F43" s="17">
        <f t="shared" si="0"/>
        <v>0</v>
      </c>
    </row>
    <row r="44" spans="1:6" x14ac:dyDescent="0.2">
      <c r="A44" s="21"/>
      <c r="B44" s="15"/>
      <c r="C44" s="22" t="s">
        <v>50</v>
      </c>
      <c r="D44" s="23"/>
      <c r="E44" s="22"/>
      <c r="F44" s="24">
        <f>SUM(F4:F43)</f>
        <v>0</v>
      </c>
    </row>
    <row r="45" spans="1:6" x14ac:dyDescent="0.2">
      <c r="A45" s="25" t="s">
        <v>49</v>
      </c>
      <c r="B45" s="26"/>
      <c r="C45" s="26"/>
      <c r="D45" s="26"/>
      <c r="E45" s="26"/>
      <c r="F45" s="27">
        <f>SUM('Base Period'!F44, '1st Option Period'!F44, '2nd Option Period'!F44, '3rd Option Period'!F44, '4th Option Period'!F44)</f>
        <v>0</v>
      </c>
    </row>
  </sheetData>
  <mergeCells count="2">
    <mergeCell ref="A1:F2"/>
    <mergeCell ref="A45:E45"/>
  </mergeCells>
  <printOptions horizontalCentered="1"/>
  <pageMargins left="0.7" right="0.7" top="0.75" bottom="0.75" header="0.3" footer="0.3"/>
  <pageSetup scale="86" fitToHeight="0"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Base Period</vt:lpstr>
      <vt:lpstr>1st Option Period</vt:lpstr>
      <vt:lpstr>2nd Option Period</vt:lpstr>
      <vt:lpstr>3rd Option Period</vt:lpstr>
      <vt:lpstr>4th Option Period</vt:lpstr>
      <vt:lpstr>'1st Option Period'!Print_Area</vt:lpstr>
      <vt:lpstr>'2nd Option Period'!Print_Area</vt:lpstr>
      <vt:lpstr>'3rd Option Period'!Print_Area</vt:lpstr>
      <vt:lpstr>'4th Option Period'!Print_Area</vt:lpstr>
      <vt:lpstr>'Base Period'!Print_Area</vt:lpstr>
      <vt:lpstr>'1st Option Period'!Print_Titles</vt:lpstr>
      <vt:lpstr>'Base Period'!Print_Titles</vt:lpstr>
    </vt:vector>
  </TitlesOfParts>
  <Company>U 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Lyncht</dc:creator>
  <cp:lastModifiedBy>Barks, Dillon S CIV USARMY ID-TRAINING (USA)</cp:lastModifiedBy>
  <cp:lastPrinted>2026-03-04T18:58:49Z</cp:lastPrinted>
  <dcterms:created xsi:type="dcterms:W3CDTF">2002-05-01T14:44:15Z</dcterms:created>
  <dcterms:modified xsi:type="dcterms:W3CDTF">2026-03-04T19:05:06Z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4eecc5-e26c-4620-b240-5a8bb326c33d_Enabled">
    <vt:lpwstr>true</vt:lpwstr>
  </property>
  <property fmtid="{D5CDD505-2E9C-101B-9397-08002B2CF9AE}" pid="3" name="MSIP_Label_554eecc5-e26c-4620-b240-5a8bb326c33d_SetDate">
    <vt:lpwstr>2026-03-02T19:07:49Z</vt:lpwstr>
  </property>
  <property fmtid="{D5CDD505-2E9C-101B-9397-08002B2CF9AE}" pid="4" name="MSIP_Label_554eecc5-e26c-4620-b240-5a8bb326c33d_Method">
    <vt:lpwstr>Standard</vt:lpwstr>
  </property>
  <property fmtid="{D5CDD505-2E9C-101B-9397-08002B2CF9AE}" pid="5" name="MSIP_Label_554eecc5-e26c-4620-b240-5a8bb326c33d_Name">
    <vt:lpwstr>Uncontrolled_Child_01</vt:lpwstr>
  </property>
  <property fmtid="{D5CDD505-2E9C-101B-9397-08002B2CF9AE}" pid="6" name="MSIP_Label_554eecc5-e26c-4620-b240-5a8bb326c33d_SiteId">
    <vt:lpwstr>fae6d70f-954b-4811-92b6-0530d6f84c43</vt:lpwstr>
  </property>
  <property fmtid="{D5CDD505-2E9C-101B-9397-08002B2CF9AE}" pid="7" name="MSIP_Label_554eecc5-e26c-4620-b240-5a8bb326c33d_ActionId">
    <vt:lpwstr>7078fb18-fc6d-46e6-a9ea-47e1dabcba76</vt:lpwstr>
  </property>
  <property fmtid="{D5CDD505-2E9C-101B-9397-08002B2CF9AE}" pid="8" name="MSIP_Label_554eecc5-e26c-4620-b240-5a8bb326c33d_ContentBits">
    <vt:lpwstr>0</vt:lpwstr>
  </property>
</Properties>
</file>