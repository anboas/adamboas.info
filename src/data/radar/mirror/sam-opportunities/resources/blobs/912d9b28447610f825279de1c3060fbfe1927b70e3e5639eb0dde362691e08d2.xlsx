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filterPrivacy="1"/>
  <xr:revisionPtr revIDLastSave="0" documentId="8_{FF1132B7-55F7-4829-A81B-E6A83BA255C0}" xr6:coauthVersionLast="47" xr6:coauthVersionMax="47" xr10:uidLastSave="{00000000-0000-0000-0000-000000000000}"/>
  <bookViews>
    <workbookView xWindow="32475" yWindow="1350" windowWidth="21600" windowHeight="10875" firstSheet="5" activeTab="5" xr2:uid="{00000000-000D-0000-FFFF-FFFF00000000}"/>
  </bookViews>
  <sheets>
    <sheet name="RDT Instructions" sheetId="9" r:id="rId1"/>
    <sheet name="Formatting" sheetId="10" r:id="rId2"/>
    <sheet name="Change Log" sheetId="11" r:id="rId3"/>
    <sheet name="Revision Log" sheetId="3" r:id="rId4"/>
    <sheet name="Metadata" sheetId="2" r:id="rId5"/>
    <sheet name="RDT Data" sheetId="8" r:id="rId6"/>
  </sheets>
  <definedNames>
    <definedName name="_xlnm._FilterDatabase" localSheetId="5" hidden="1">'RDT Data'!$C$16:$L$138</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40357.3801157406</definedName>
    <definedName name="IQ_NTM" hidden="1">6000</definedName>
    <definedName name="IQ_TODAY" hidden="1">0</definedName>
    <definedName name="IQ_WEEK" hidden="1">50000</definedName>
    <definedName name="IQ_YTD" hidden="1">3000</definedName>
    <definedName name="IQ_YTDMONTH" hidden="1">130000</definedName>
    <definedName name="_xlnm.Print_Area" localSheetId="2">'Change Log'!$A$1:$E$12</definedName>
    <definedName name="_xlnm.Print_Area" localSheetId="1">Formatting!$A$1:$C$14</definedName>
    <definedName name="_xlnm.Print_Area" localSheetId="4">Metadata!$A$1:$D$55</definedName>
    <definedName name="_xlnm.Print_Area" localSheetId="5">'RDT Data'!$A$1:$L$140</definedName>
    <definedName name="_xlnm.Print_Area" localSheetId="0">'RDT Instructions'!$A$1:$E$28</definedName>
    <definedName name="_xlnm.Print_Area" localSheetId="3">'Revision Log'!$A$1:$D$39</definedName>
    <definedName name="_xlnm.Print_Titles" localSheetId="5">'RDT Data'!$A:$D,'RDT Data'!$1:$16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8" l="1"/>
  <c r="C6" i="10"/>
  <c r="D6" i="3"/>
  <c r="E6" i="9"/>
  <c r="D8" i="3" l="1"/>
  <c r="D7" i="3"/>
  <c r="D7" i="8" l="1"/>
  <c r="D6" i="8"/>
  <c r="C8" i="10" l="1"/>
  <c r="C7" i="10"/>
  <c r="C5" i="10"/>
  <c r="E8" i="9" l="1"/>
  <c r="E7" i="9"/>
  <c r="D4" i="8" l="1"/>
  <c r="E5" i="9"/>
  <c r="D5" i="3"/>
  <c r="D5" i="2"/>
  <c r="D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1" authorId="0" shapeId="0" xr:uid="{00000000-0006-0000-0300-000001000000}">
      <text>
        <r>
          <rPr>
            <sz val="9"/>
            <color indexed="81"/>
            <rFont val="Tahoma"/>
            <family val="2"/>
          </rPr>
          <t>If the report is a resubmission, enter the resubmission number, starting with “1” for the first resubmission, “2” for the second resubmission, and so forth. Enter “0” for original submission.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00000000-0006-0000-0400-000001000000}">
      <text>
        <r>
          <rPr>
            <sz val="9"/>
            <color indexed="81"/>
            <rFont val="Tahoma"/>
            <family val="2"/>
          </rPr>
          <t>If the report is a resubmission, enter the resubmission number, starting with “1” for the first resubmission, “2” for the second resubmission, and so forth. Enter “0” for original submission.</t>
        </r>
      </text>
    </comment>
    <comment ref="C28" authorId="0" shapeId="0" xr:uid="{00000000-0006-0000-0400-000002000000}">
      <text>
        <r>
          <rPr>
            <sz val="9"/>
            <color indexed="81"/>
            <rFont val="Tahoma"/>
            <family val="2"/>
          </rPr>
          <t>- Enter "Contractor" if the reporiting entity is the prime contractor.
- Enter "Subcontractor" if the reporting entity is a subcontractor.</t>
        </r>
      </text>
    </comment>
  </commentList>
</comments>
</file>

<file path=xl/sharedStrings.xml><?xml version="1.0" encoding="utf-8"?>
<sst xmlns="http://schemas.openxmlformats.org/spreadsheetml/2006/main" count="740" uniqueCount="433">
  <si>
    <t>CUI</t>
  </si>
  <si>
    <t>Metadata Reference</t>
  </si>
  <si>
    <t>File Name</t>
  </si>
  <si>
    <t>1.a</t>
  </si>
  <si>
    <t>Reference Attachment</t>
  </si>
  <si>
    <t>2.a</t>
  </si>
  <si>
    <t>Contract Number</t>
  </si>
  <si>
    <t>2.b</t>
  </si>
  <si>
    <t>Last Updated MOD</t>
  </si>
  <si>
    <t>2.c</t>
  </si>
  <si>
    <t>Instructions</t>
  </si>
  <si>
    <t>The contractor shall utilize the worksheets titled "Metadata" and "RDT Data" within this attachment as a template to provide the Resource Distribution Table deliverable.</t>
  </si>
  <si>
    <t>Other than cells marked, "(optional)" the contractor shall enter data in all yellow highlighted cells as indicated on each worksheet and in accordance with these instructions.</t>
  </si>
  <si>
    <t>Fill in the required data on the worksheet titled "Metadata" which provides data about the contract, the CDRL deliverable, who prepared the CDRL deliverable, and when the CDRL deliverable was prepared.</t>
  </si>
  <si>
    <t>Fill in the required data on the worksheet titled "RDT Data" as instructed below (see the NOTONAL EXAMPLE in columns E and F on "RDT Data" worksheet for two example subcontractor columns):</t>
  </si>
  <si>
    <t>a)</t>
  </si>
  <si>
    <t>The total of the "Price" row (5.c) shall equal the contractor's total contract price when all options are exercised.</t>
  </si>
  <si>
    <t>b)</t>
  </si>
  <si>
    <t>Total contract price (row 5.c) shall be broken down into:</t>
  </si>
  <si>
    <t>i.</t>
  </si>
  <si>
    <t>Costs plus profit/fee incurred to preform work internally by the prime contractor, reported in "Prime Contractor" column.</t>
  </si>
  <si>
    <t>ii.</t>
  </si>
  <si>
    <r>
      <t xml:space="preserve">Costs incurred to pay subcontractors to provide hardware, software, or other services, reported in columns "All Other Subcontractors" thru "Subcontractor </t>
    </r>
    <r>
      <rPr>
        <i/>
        <sz val="10"/>
        <color theme="1"/>
        <rFont val="Calibri"/>
        <family val="2"/>
        <scheme val="minor"/>
      </rPr>
      <t>n</t>
    </r>
    <r>
      <rPr>
        <sz val="10"/>
        <color theme="1"/>
        <rFont val="Calibri"/>
        <family val="2"/>
        <scheme val="minor"/>
      </rPr>
      <t>".</t>
    </r>
  </si>
  <si>
    <t>iii.</t>
  </si>
  <si>
    <r>
      <t xml:space="preserve">Subcontractor costs shall be provided for each subcontractor (row 5.c, columns "Subcontractor 1" thru "Subcontractor </t>
    </r>
    <r>
      <rPr>
        <i/>
        <sz val="10"/>
        <color theme="1"/>
        <rFont val="Calibri"/>
        <family val="2"/>
        <scheme val="minor"/>
      </rPr>
      <t>n</t>
    </r>
    <r>
      <rPr>
        <sz val="10"/>
        <color theme="1"/>
        <rFont val="Calibri"/>
        <family val="2"/>
        <scheme val="minor"/>
      </rPr>
      <t xml:space="preserve">") if the total anticipated price paid to the subcontractor is estimated to exceed $20M during the course of the contract (assuming all options are exercised).  Insert and label additional columns between  "Subcontractor 1" and "Subcontractor </t>
    </r>
    <r>
      <rPr>
        <i/>
        <sz val="10"/>
        <color theme="1"/>
        <rFont val="Calibri"/>
        <family val="2"/>
        <scheme val="minor"/>
      </rPr>
      <t>n</t>
    </r>
    <r>
      <rPr>
        <sz val="10"/>
        <color theme="1"/>
        <rFont val="Calibri"/>
        <family val="2"/>
        <scheme val="minor"/>
      </rPr>
      <t>" as required to provide data for each subcontractor.
A subcontract is any agreement, purchase order, or instrument other than a prime contract calling for work or for the material required for the performance of one or more prime contracts. It usually covers procurement of major components or subsystems that require the subcontractor to do extensive design, development, engineering, and testing to meet a prime contractor’s procurement specifications. (Via DoD Manual 5000.04 - Cost and Software Data Reporting (CSDR) Manual)</t>
    </r>
  </si>
  <si>
    <t>iv.</t>
  </si>
  <si>
    <t>Costs associated with all subcontractors not anticipated to exceed $20M may be combined and reported in the row labeled 5.c, column "All Other Subcontractors".</t>
  </si>
  <si>
    <t>c)</t>
  </si>
  <si>
    <t>The following information is required, by subcontractor, if the total anticipated price paid to the subcontractor is estimated to exceed $20M during the course of the contract (assuming all options are exercised).</t>
  </si>
  <si>
    <t>In the row labeled 5.a, enter the company name of the subcontractor who will be providing the part, software, or service.  If the subcontractor is not yet known, enter "TBD".</t>
  </si>
  <si>
    <t>In the row labeled 5.b, enter the city and state (and country if not the United States) the subcontract is located in.  If the subcontractor has multiple locations, enter the location the part or software is produced or the service is being completed.  If the subcontractor is not yet known, enter "TBD".</t>
  </si>
  <si>
    <t>For each WBS identified in section 5.g and for each of the "Subcontractor 1" thru "Subcontractor n" columns, enter an "X" in the cell at the subcontractor-WBS intersection if the subcontractor identified in the column is completing work associated with the WBS identified in the row.  If the subcontractor is not completing work associated with the WBS, enter "-".</t>
  </si>
  <si>
    <t>(Optional) In row labeled 5.d, provide what percentage of the parts, software, or services being procured from the subcontract qualifies as a commercially available item, according to the contractor's assessment (note: only the government's Procuring Contractor Officer makes all final commerciality assessments).  The percentage shall be calculated as a percent of total price (the row labeled 5.c) (i.e., price of commercial items divided by price of all items) not as a function of quantity.
For more info on commerciality, see "https://www.acq.osd.mil/dpap/dars/pgi/docs/DoD_Guidebook_PartA_Commercial_Item_Determination_07_10_19.pdf"</t>
  </si>
  <si>
    <t>v.</t>
  </si>
  <si>
    <t>(Optional) In row labeled 5.e, provide what percentage of the parts, software, or services being procured from the subcontract qualifies as a competitively sourced item.  An item is considered competitively sourced if the prime contractor has received two or more quotes from independent subcontracts in order to provide the item.  The percentage shall be calculated as a percent of total price (the row labeled 5.c) (i.e., price of competitively sourced items divided by price of all items) not as a function of quantity.</t>
  </si>
  <si>
    <t>vi.</t>
  </si>
  <si>
    <t>USG USE ONLY: In row 5.f, enter the OSD(CAPE) Waiver Number associated with the subcontractor and commercial product in question if a waiver has been previously issued by OSD(CAPE).</t>
  </si>
  <si>
    <t>The Contractor shall only enter values in cells that are colored light yellow (as shown here) unless otherwise noted:</t>
  </si>
  <si>
    <t>Cells formatted in this color require contractor input unless otherwise noted.</t>
  </si>
  <si>
    <t>This worksheet documents changes to this attachment between contract modifications (except changes to the 'Change Log' itself, which are self-evident).</t>
  </si>
  <si>
    <t>Change #</t>
  </si>
  <si>
    <t>Date</t>
  </si>
  <si>
    <t>MOD Number</t>
  </si>
  <si>
    <t>Range Changed</t>
  </si>
  <si>
    <t>Change Description</t>
  </si>
  <si>
    <t>Complete one row per submission.</t>
  </si>
  <si>
    <t>Submission Number</t>
  </si>
  <si>
    <t>Resubmission Number</t>
  </si>
  <si>
    <t>(1…n)</t>
  </si>
  <si>
    <t>(0…n)</t>
  </si>
  <si>
    <t>(YYYY-MM-DD)</t>
  </si>
  <si>
    <t>(Description of changes)</t>
  </si>
  <si>
    <t>(add additional rows as necessary)</t>
  </si>
  <si>
    <t>1. Deliverable Metadata</t>
  </si>
  <si>
    <t>1.b</t>
  </si>
  <si>
    <t>Worksheet Title</t>
  </si>
  <si>
    <t>1.c</t>
  </si>
  <si>
    <t>Data Type</t>
  </si>
  <si>
    <t>RDT</t>
  </si>
  <si>
    <t>1.d</t>
  </si>
  <si>
    <t>Report As of Date</t>
  </si>
  <si>
    <t>1.e</t>
  </si>
  <si>
    <t>Report Submission Date</t>
  </si>
  <si>
    <t>1.f</t>
  </si>
  <si>
    <t>1.g</t>
  </si>
  <si>
    <t>1.h</t>
  </si>
  <si>
    <t>Submission Remarks</t>
  </si>
  <si>
    <t>1.i</t>
  </si>
  <si>
    <t>Proprietary Markings and/or Disclosures</t>
  </si>
  <si>
    <t>1.j</t>
  </si>
  <si>
    <t>Distribution Statement</t>
  </si>
  <si>
    <t>D</t>
  </si>
  <si>
    <t>1.k</t>
  </si>
  <si>
    <t>Contains Proprietary Data</t>
  </si>
  <si>
    <t>Yes</t>
  </si>
  <si>
    <t>1.l</t>
  </si>
  <si>
    <t>Security Classification</t>
  </si>
  <si>
    <t>Unclassified</t>
  </si>
  <si>
    <t>1.m</t>
  </si>
  <si>
    <t>Data Version</t>
  </si>
  <si>
    <t>2024_2</t>
  </si>
  <si>
    <t>2. Contract &amp; Program Metadata</t>
  </si>
  <si>
    <t>Attachment 0003</t>
  </si>
  <si>
    <t>2.d</t>
  </si>
  <si>
    <t>Solicitation Number</t>
  </si>
  <si>
    <t xml:space="preserve">W912CH-25-R-0182 </t>
  </si>
  <si>
    <t>2.e</t>
  </si>
  <si>
    <t>Reference SOW</t>
  </si>
  <si>
    <t>C.4.5</t>
  </si>
  <si>
    <t>2.f</t>
  </si>
  <si>
    <t>Reference CDRL</t>
  </si>
  <si>
    <t>A005</t>
  </si>
  <si>
    <t>2.g</t>
  </si>
  <si>
    <t>Reference DID</t>
  </si>
  <si>
    <t>DI-FNCL-81565C</t>
  </si>
  <si>
    <t>2.h</t>
  </si>
  <si>
    <t>Approved CSDR Plan Number</t>
  </si>
  <si>
    <t>TBD</t>
  </si>
  <si>
    <t>2.i</t>
  </si>
  <si>
    <t>Program Name</t>
  </si>
  <si>
    <t>PM Mounted Armored Vehicles (MAV) (AMPV, Bradley, M113, M88 FoV)</t>
  </si>
  <si>
    <t>2.j</t>
  </si>
  <si>
    <t>Program Phase</t>
  </si>
  <si>
    <t>PROC &amp; O&amp;S</t>
  </si>
  <si>
    <t>2.k</t>
  </si>
  <si>
    <t>Prime Mission Product</t>
  </si>
  <si>
    <t>PM MAV Logistics Fielding System Support</t>
  </si>
  <si>
    <t>3. Preparation Metadata</t>
  </si>
  <si>
    <t>3.a</t>
  </si>
  <si>
    <t>Reporting Organization Type</t>
  </si>
  <si>
    <t>3.b</t>
  </si>
  <si>
    <t>Organization Name</t>
  </si>
  <si>
    <t>3.c</t>
  </si>
  <si>
    <t>Organization Address Line 1</t>
  </si>
  <si>
    <t>3.d</t>
  </si>
  <si>
    <t>Organization Address Line 2 (optional)</t>
  </si>
  <si>
    <t>3.e</t>
  </si>
  <si>
    <t>Organization Address City</t>
  </si>
  <si>
    <t>3.f</t>
  </si>
  <si>
    <t>Organization Address State</t>
  </si>
  <si>
    <t>3.g</t>
  </si>
  <si>
    <t>Organization Address Zip</t>
  </si>
  <si>
    <t>3.h</t>
  </si>
  <si>
    <t>Division Name (optional)</t>
  </si>
  <si>
    <t>3.i</t>
  </si>
  <si>
    <t>Division Address Line 1 (optional)</t>
  </si>
  <si>
    <t>3.j</t>
  </si>
  <si>
    <t>Division Address Line 2 (optional)</t>
  </si>
  <si>
    <t>3.k</t>
  </si>
  <si>
    <t>Division Address City (optional)</t>
  </si>
  <si>
    <t>3.l</t>
  </si>
  <si>
    <t>Division Address State (optional)</t>
  </si>
  <si>
    <t>3.m</t>
  </si>
  <si>
    <t>Division Address Zip (optional)</t>
  </si>
  <si>
    <t>3.n</t>
  </si>
  <si>
    <t>Principal Preparer Name</t>
  </si>
  <si>
    <t>3.o</t>
  </si>
  <si>
    <t>Principal Preparer Phone</t>
  </si>
  <si>
    <t>3.p</t>
  </si>
  <si>
    <t>Principal Preparer Email</t>
  </si>
  <si>
    <t>4. Additional Fields</t>
  </si>
  <si>
    <t>4.a</t>
  </si>
  <si>
    <t>(Custom Field 01 (optional))</t>
  </si>
  <si>
    <t>4.b</t>
  </si>
  <si>
    <t>(Custom Field 02 (optional))</t>
  </si>
  <si>
    <t>4.c</t>
  </si>
  <si>
    <t>(Custom Field 03 (optional))</t>
  </si>
  <si>
    <t>4.d</t>
  </si>
  <si>
    <t>(Custom Field 04 (optional))</t>
  </si>
  <si>
    <t>4.e</t>
  </si>
  <si>
    <t>(Custom Field 05 (optional))</t>
  </si>
  <si>
    <t>4.f</t>
  </si>
  <si>
    <t>(Custom Field 06 (optional))</t>
  </si>
  <si>
    <t>4.g</t>
  </si>
  <si>
    <t>(Custom Field 07 (optional))</t>
  </si>
  <si>
    <t>4.h</t>
  </si>
  <si>
    <t>(Custom Field 08 (optional))</t>
  </si>
  <si>
    <t>4.i</t>
  </si>
  <si>
    <t>(Custom Field 09 (optional))</t>
  </si>
  <si>
    <t>4.j</t>
  </si>
  <si>
    <t>(Custom Field 10 (optional))</t>
  </si>
  <si>
    <t>Worksheet Metadata</t>
  </si>
  <si>
    <t>--- NOTIONAL EXAMPLE DATA ---</t>
  </si>
  <si>
    <t>5. RDT Data</t>
  </si>
  <si>
    <t>Subcontractor 1</t>
  </si>
  <si>
    <t>Subcontractor 2</t>
  </si>
  <si>
    <t>Prime Contractor</t>
  </si>
  <si>
    <t>All Other Subcontractors</t>
  </si>
  <si>
    <t>…</t>
  </si>
  <si>
    <r>
      <t xml:space="preserve">Subcontractor </t>
    </r>
    <r>
      <rPr>
        <i/>
        <sz val="10"/>
        <color theme="1"/>
        <rFont val="Calibri"/>
        <family val="2"/>
        <scheme val="minor"/>
      </rPr>
      <t>n</t>
    </r>
  </si>
  <si>
    <t>5.a</t>
  </si>
  <si>
    <t>Subcontractor Name</t>
  </si>
  <si>
    <t>Vandelay Industries</t>
  </si>
  <si>
    <t>Kruger Industrial Smoothing</t>
  </si>
  <si>
    <t>N/A</t>
  </si>
  <si>
    <t>Various</t>
  </si>
  <si>
    <t>5.b</t>
  </si>
  <si>
    <t>Subcontractor Location</t>
  </si>
  <si>
    <t>New York, NY</t>
  </si>
  <si>
    <t>5.c</t>
  </si>
  <si>
    <t>Price</t>
  </si>
  <si>
    <t>5.d</t>
  </si>
  <si>
    <t>Percent Commercially Available (optional)</t>
  </si>
  <si>
    <t>5.e</t>
  </si>
  <si>
    <t>Percent Competitively Sourced (optional)</t>
  </si>
  <si>
    <t>5.f</t>
  </si>
  <si>
    <t>OSD(CAPE) Subcontractor Waiver Number</t>
  </si>
  <si>
    <t>5.g</t>
  </si>
  <si>
    <t>WBS ELEMENT CODE</t>
  </si>
  <si>
    <t>WBS REPORTING ELEMENTS</t>
  </si>
  <si>
    <t>1.0</t>
  </si>
  <si>
    <t>PM MAV Logistic Fielding Support Services (LFSS)</t>
  </si>
  <si>
    <t>-</t>
  </si>
  <si>
    <t>1.1</t>
  </si>
  <si>
    <t xml:space="preserve">    Unit-Level Manpower</t>
  </si>
  <si>
    <t>1.1.1</t>
  </si>
  <si>
    <t xml:space="preserve">        Operations</t>
  </si>
  <si>
    <t>1.1.2</t>
  </si>
  <si>
    <t xml:space="preserve">        Unit-Level Maintenance</t>
  </si>
  <si>
    <t>X</t>
  </si>
  <si>
    <t>1.1.3</t>
  </si>
  <si>
    <t xml:space="preserve">        Other Unit-Level (1...n Specify)</t>
  </si>
  <si>
    <t>1.2</t>
  </si>
  <si>
    <t xml:space="preserve">    Unit Operations</t>
  </si>
  <si>
    <t>1.2.1</t>
  </si>
  <si>
    <t xml:space="preserve">        Energy (Fuel, Petroleum, Oil and Electricity)</t>
  </si>
  <si>
    <t>1.2.1.1</t>
  </si>
  <si>
    <t xml:space="preserve">            Fuel</t>
  </si>
  <si>
    <t>1.2.1.2</t>
  </si>
  <si>
    <t xml:space="preserve">            Petroleum, Oil and Lubricants (POL)</t>
  </si>
  <si>
    <t>1.2.1.3</t>
  </si>
  <si>
    <t xml:space="preserve">            Electricity</t>
  </si>
  <si>
    <t>1.2.2</t>
  </si>
  <si>
    <t xml:space="preserve">        Training Munitions and Expendable Stores</t>
  </si>
  <si>
    <t>1.2.2.1</t>
  </si>
  <si>
    <t xml:space="preserve">            Ammunition</t>
  </si>
  <si>
    <t>1.2.2.2</t>
  </si>
  <si>
    <t xml:space="preserve">            Bombs</t>
  </si>
  <si>
    <t>1.2.2.3</t>
  </si>
  <si>
    <t xml:space="preserve">            Rockets</t>
  </si>
  <si>
    <t>1.2.2.4</t>
  </si>
  <si>
    <t xml:space="preserve">            Training Missiles</t>
  </si>
  <si>
    <t>1.2.2.5</t>
  </si>
  <si>
    <t xml:space="preserve">            Sonobuoys</t>
  </si>
  <si>
    <t>1.2.2.6</t>
  </si>
  <si>
    <t xml:space="preserve">            Pyrotechnics</t>
  </si>
  <si>
    <t>1.2.2.7</t>
  </si>
  <si>
    <t xml:space="preserve">            Other Munitions</t>
  </si>
  <si>
    <t>1.2.3</t>
  </si>
  <si>
    <t xml:space="preserve">        Support Services</t>
  </si>
  <si>
    <t>1.2.3.1</t>
  </si>
  <si>
    <t xml:space="preserve">            Non-Maintenance Field Service Reps</t>
  </si>
  <si>
    <t>1.2.3.2</t>
  </si>
  <si>
    <t xml:space="preserve">            Communication Services</t>
  </si>
  <si>
    <t>1.2.3.3</t>
  </si>
  <si>
    <t xml:space="preserve">            Facility/Storage Services</t>
  </si>
  <si>
    <t>1.2.3.4</t>
  </si>
  <si>
    <t xml:space="preserve">            Transportation Services</t>
  </si>
  <si>
    <t>1.2.3.5</t>
  </si>
  <si>
    <t xml:space="preserve">            Other Support Services</t>
  </si>
  <si>
    <t>1.2.4</t>
  </si>
  <si>
    <t xml:space="preserve">        Temporary Duty (TDY) Travel</t>
  </si>
  <si>
    <t>1.2.5</t>
  </si>
  <si>
    <t xml:space="preserve">        Second Destination Transportation</t>
  </si>
  <si>
    <t>1.3</t>
  </si>
  <si>
    <t xml:space="preserve">    Maintenance</t>
  </si>
  <si>
    <t>1.3.1</t>
  </si>
  <si>
    <t xml:space="preserve">        Consumables</t>
  </si>
  <si>
    <t>1.3.1.1</t>
  </si>
  <si>
    <t xml:space="preserve">            Airframe/Hull/Vehicle Consumables and Repair Parts</t>
  </si>
  <si>
    <t>1.3.1.2</t>
  </si>
  <si>
    <t xml:space="preserve">            Propulsion Consumables and Repair Parts</t>
  </si>
  <si>
    <t>1.3.1.3</t>
  </si>
  <si>
    <t xml:space="preserve">            Electronics/Avionics Consumables and Repair Parts</t>
  </si>
  <si>
    <t>1.3.1.4</t>
  </si>
  <si>
    <t xml:space="preserve">            Other Major Subsystem Consumables and Repair Parts 1..n (Specify)</t>
  </si>
  <si>
    <t>1.3.1.5</t>
  </si>
  <si>
    <t xml:space="preserve">            Other Consumables and Repair Parts</t>
  </si>
  <si>
    <t>1.3.2</t>
  </si>
  <si>
    <t xml:space="preserve">        Depot Level Reparables (DLRs)</t>
  </si>
  <si>
    <t>1.3.2.1</t>
  </si>
  <si>
    <t xml:space="preserve">            Airframe/Hull/Vehicle DLRs</t>
  </si>
  <si>
    <t>1.3.2.2</t>
  </si>
  <si>
    <t xml:space="preserve">            Propulsion DLRs</t>
  </si>
  <si>
    <t>1.3.2.3</t>
  </si>
  <si>
    <t xml:space="preserve">            Electronics/Avionics DLRs</t>
  </si>
  <si>
    <t>1.3.2.4</t>
  </si>
  <si>
    <t xml:space="preserve">            Other Major Subsystems DLRs 1..n (Specify)</t>
  </si>
  <si>
    <t>1.3.2.5</t>
  </si>
  <si>
    <t xml:space="preserve">            Other DLRs</t>
  </si>
  <si>
    <t>1.3.3</t>
  </si>
  <si>
    <t xml:space="preserve">        Intermediate Maintenance (External to Unit-Level)</t>
  </si>
  <si>
    <t>1.3.3.1</t>
  </si>
  <si>
    <t xml:space="preserve">            Intermediate Maintenance Consumable Materials and Repair Parts</t>
  </si>
  <si>
    <t>1.3.3.2</t>
  </si>
  <si>
    <t xml:space="preserve">            Intermediate-Level Government Maintenance</t>
  </si>
  <si>
    <t>1.3.3.3</t>
  </si>
  <si>
    <t xml:space="preserve">            Intermediate-Level Contractor Maintenance</t>
  </si>
  <si>
    <t>1.3.3.4</t>
  </si>
  <si>
    <t xml:space="preserve">            Other Intermediate-Level Maintenance</t>
  </si>
  <si>
    <t>1.3.4</t>
  </si>
  <si>
    <t xml:space="preserve">        Depot Maintenance</t>
  </si>
  <si>
    <t>1.3.4.1</t>
  </si>
  <si>
    <t xml:space="preserve">            Scheduled Depot Maintenance</t>
  </si>
  <si>
    <t>1.3.4.1.1</t>
  </si>
  <si>
    <t xml:space="preserve">                Airframe/Hull/Vehicle Scheduled Overhaul</t>
  </si>
  <si>
    <t>1.3.4.1.2</t>
  </si>
  <si>
    <t xml:space="preserve">                Propulsion Scheduled Overhaul</t>
  </si>
  <si>
    <t>1.3.4.1.3</t>
  </si>
  <si>
    <t xml:space="preserve">                Electronics/Avionics Scheduled Overhaul</t>
  </si>
  <si>
    <t>1.3.4.1.4</t>
  </si>
  <si>
    <t xml:space="preserve">                Other Major Subsystems Scheduled Overhaul 1..n (Specify)</t>
  </si>
  <si>
    <t>1.3.4.1.5</t>
  </si>
  <si>
    <t xml:space="preserve">                Other Scheduled Overhaul</t>
  </si>
  <si>
    <t>1.3.4.2</t>
  </si>
  <si>
    <t xml:space="preserve">            Unscheduled Depot Maintenance</t>
  </si>
  <si>
    <t>1.3.4.2.1</t>
  </si>
  <si>
    <t xml:space="preserve">                Airframe/Hull/Vehicle Unscheduled Overhaul</t>
  </si>
  <si>
    <t>1.3.4.2.2</t>
  </si>
  <si>
    <t xml:space="preserve">                Propulsion Unscheduled Overhaul</t>
  </si>
  <si>
    <t>1.3.4.2.3</t>
  </si>
  <si>
    <t xml:space="preserve">                Electronics/Avionics Unscheduled Overhaul</t>
  </si>
  <si>
    <t>1.3.4.2.4</t>
  </si>
  <si>
    <t xml:space="preserve">                Other Major Subsystems Unscheduled Overhaul 1..n (Specify)</t>
  </si>
  <si>
    <t>1.3.4.2.5</t>
  </si>
  <si>
    <t xml:space="preserve">                Other Unscheduled Unscheduled Overhaul</t>
  </si>
  <si>
    <t>1.4</t>
  </si>
  <si>
    <t xml:space="preserve">    Sustaining Support</t>
  </si>
  <si>
    <t>1.4.1</t>
  </si>
  <si>
    <t xml:space="preserve">        System-Specific Training</t>
  </si>
  <si>
    <t>1.4.1.1</t>
  </si>
  <si>
    <t xml:space="preserve">            System-Specific Operator Training</t>
  </si>
  <si>
    <t>1.4.1.2</t>
  </si>
  <si>
    <t xml:space="preserve">            System-Specific Maintenance Training</t>
  </si>
  <si>
    <t>1.4.2</t>
  </si>
  <si>
    <t xml:space="preserve">        Support Equipment Replacement and Repair</t>
  </si>
  <si>
    <t>1.4.2.1</t>
  </si>
  <si>
    <t xml:space="preserve">            Support Equipment Replacement</t>
  </si>
  <si>
    <t>1.4.2.2</t>
  </si>
  <si>
    <t xml:space="preserve">            Support Equipment Repair</t>
  </si>
  <si>
    <t>1.4.3</t>
  </si>
  <si>
    <t xml:space="preserve">        Sustaining/Systems Engineering</t>
  </si>
  <si>
    <t>1.4.3.1</t>
  </si>
  <si>
    <t xml:space="preserve">            Reliability And Maintainability Engineering</t>
  </si>
  <si>
    <t>1.4.3.2</t>
  </si>
  <si>
    <t xml:space="preserve">            Logistics Engineering (LSA Updates, Logistics Analysis)</t>
  </si>
  <si>
    <t>1.4.3.3</t>
  </si>
  <si>
    <t xml:space="preserve">            Supply Analysis Efforts</t>
  </si>
  <si>
    <t>1.4.3.4</t>
  </si>
  <si>
    <t xml:space="preserve">            Safety/Human Systems Integration Engineering</t>
  </si>
  <si>
    <t>1.4.3.5</t>
  </si>
  <si>
    <t xml:space="preserve">            Affordability Engineering</t>
  </si>
  <si>
    <t>1.4.3.6</t>
  </si>
  <si>
    <t xml:space="preserve">            Obsolescence Engineering</t>
  </si>
  <si>
    <t>1.4.3.7</t>
  </si>
  <si>
    <t xml:space="preserve">            Availability Management</t>
  </si>
  <si>
    <t>1.4.3.8</t>
  </si>
  <si>
    <t xml:space="preserve">            Product Engineering Support</t>
  </si>
  <si>
    <t>1.4.3.9</t>
  </si>
  <si>
    <t xml:space="preserve">            Certification and Accreditation</t>
  </si>
  <si>
    <t>1.4.3.10</t>
  </si>
  <si>
    <t xml:space="preserve">            Configuration Management</t>
  </si>
  <si>
    <t>1.4.3.11</t>
  </si>
  <si>
    <t xml:space="preserve">            System Performance Analysis</t>
  </si>
  <si>
    <t>1.4.3.12</t>
  </si>
  <si>
    <t xml:space="preserve">            Supply</t>
  </si>
  <si>
    <t>1.4.3.13</t>
  </si>
  <si>
    <t xml:space="preserve">            Data Analysis</t>
  </si>
  <si>
    <t>1.4.3.14</t>
  </si>
  <si>
    <t xml:space="preserve">            Physical Security</t>
  </si>
  <si>
    <t>1.4.4</t>
  </si>
  <si>
    <t xml:space="preserve">        Program Management</t>
  </si>
  <si>
    <t>1.4.4.1</t>
  </si>
  <si>
    <t xml:space="preserve">            Contractor Logistics Support (CLS) Management</t>
  </si>
  <si>
    <t>1.4.4.2</t>
  </si>
  <si>
    <t xml:space="preserve">            CLS Supply Management</t>
  </si>
  <si>
    <t>1.4.4.3</t>
  </si>
  <si>
    <t xml:space="preserve">            Financial/Schedule Planning and Reporting</t>
  </si>
  <si>
    <t>1.4.4.4</t>
  </si>
  <si>
    <t xml:space="preserve">            Transition to Lead Service</t>
  </si>
  <si>
    <t>1.4.4.5</t>
  </si>
  <si>
    <t xml:space="preserve">            Quality Assurance (Program Level)</t>
  </si>
  <si>
    <t>1.4.4.6</t>
  </si>
  <si>
    <t xml:space="preserve">            Administrative Security</t>
  </si>
  <si>
    <t>1.4.4.7</t>
  </si>
  <si>
    <t xml:space="preserve">            Transition to Performance Based Logistics (PBL)</t>
  </si>
  <si>
    <t>1.4.4.8</t>
  </si>
  <si>
    <t xml:space="preserve">            Risk Mitigation</t>
  </si>
  <si>
    <t>1.4.4.9</t>
  </si>
  <si>
    <t xml:space="preserve">            CSDR Reporting</t>
  </si>
  <si>
    <t>1.4.5</t>
  </si>
  <si>
    <t xml:space="preserve">        Data and Technical Publications</t>
  </si>
  <si>
    <t>1.4.5.1</t>
  </si>
  <si>
    <t xml:space="preserve">            Data Management</t>
  </si>
  <si>
    <t>1.4.5.2</t>
  </si>
  <si>
    <t xml:space="preserve">            Technical Publications</t>
  </si>
  <si>
    <t>1.4.5.2.1</t>
  </si>
  <si>
    <t xml:space="preserve">                Integrated Electronic Technical Manuals (IETMS)</t>
  </si>
  <si>
    <t>1.4.5.2.2</t>
  </si>
  <si>
    <t xml:space="preserve">                Traditional Paper Technical Manuals</t>
  </si>
  <si>
    <t>1.4.5.3</t>
  </si>
  <si>
    <t xml:space="preserve">            Drawings</t>
  </si>
  <si>
    <t>1.4.5.4</t>
  </si>
  <si>
    <t xml:space="preserve">            Software Change Documentation</t>
  </si>
  <si>
    <t>1.4.6</t>
  </si>
  <si>
    <t xml:space="preserve">        Simulator Operations and Repair</t>
  </si>
  <si>
    <t>1.4.6.1</t>
  </si>
  <si>
    <t xml:space="preserve">            Simulator/Training Device Operations</t>
  </si>
  <si>
    <t>1.4.6.2</t>
  </si>
  <si>
    <t xml:space="preserve">            Simulator/Training Device Hardware Repair and Replace</t>
  </si>
  <si>
    <t>1.4.6.3</t>
  </si>
  <si>
    <t xml:space="preserve">            Simulator/Training Device Software Support</t>
  </si>
  <si>
    <t>1.4.7</t>
  </si>
  <si>
    <t xml:space="preserve">        Other Sustaining Support 1...n (Specify)</t>
  </si>
  <si>
    <t>1.5</t>
  </si>
  <si>
    <t xml:space="preserve">    Continuing System Improvements</t>
  </si>
  <si>
    <t>1.5.1</t>
  </si>
  <si>
    <t xml:space="preserve">        Hardware Modifications</t>
  </si>
  <si>
    <t>1.5.1.1</t>
  </si>
  <si>
    <t xml:space="preserve">            Mod Kit Development</t>
  </si>
  <si>
    <t>1.5.1.2</t>
  </si>
  <si>
    <t xml:space="preserve">            Mod Kit Procurement</t>
  </si>
  <si>
    <t>1.5.1.3</t>
  </si>
  <si>
    <t xml:space="preserve">            Mod Kit Initial Spares</t>
  </si>
  <si>
    <t>1.5.1.4</t>
  </si>
  <si>
    <t xml:space="preserve">            Mod Kit Installation</t>
  </si>
  <si>
    <t>1.5.2</t>
  </si>
  <si>
    <t xml:space="preserve">        Software Maintenance</t>
  </si>
  <si>
    <t>1.5.2.1</t>
  </si>
  <si>
    <t xml:space="preserve">            Software Changes</t>
  </si>
  <si>
    <t>1.5.2.1.1</t>
  </si>
  <si>
    <t xml:space="preserve">                Release 1...n (Specify)</t>
  </si>
  <si>
    <t>1.5.2.1.1.1</t>
  </si>
  <si>
    <t xml:space="preserve">                    WBS Name 1...n (Specify)</t>
  </si>
  <si>
    <t>1.5.2.1.1.1.1</t>
  </si>
  <si>
    <t xml:space="preserve">                        Correction of Deficiencies</t>
  </si>
  <si>
    <t>1.5.2.1.1.1.2</t>
  </si>
  <si>
    <t xml:space="preserve">                        Enhancements</t>
  </si>
  <si>
    <t>1.5.2.2</t>
  </si>
  <si>
    <t xml:space="preserve">            Software Program Management</t>
  </si>
  <si>
    <t>1.5.2.3</t>
  </si>
  <si>
    <t xml:space="preserve">            Software Sustaining Engineering</t>
  </si>
  <si>
    <t>1.5.2.4</t>
  </si>
  <si>
    <t xml:space="preserve">            System Facilities</t>
  </si>
  <si>
    <t>1.5.2.5</t>
  </si>
  <si>
    <t xml:space="preserve">            Field Service Engineers</t>
  </si>
  <si>
    <t>1.5.2.6</t>
  </si>
  <si>
    <t>1.5.2.7</t>
  </si>
  <si>
    <t xml:space="preserve">            HelpDesk</t>
  </si>
  <si>
    <t>1.5.2.8</t>
  </si>
  <si>
    <t xml:space="preserve">            Hosting</t>
  </si>
  <si>
    <t>1.5.2.9</t>
  </si>
  <si>
    <t xml:space="preserve">            Software Licenses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</si>
</sst>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0;\-"/>
    <numFmt numFmtId="165" formatCode="0.0%"/>
  </numFmts>
  <fonts count="20">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0"/>
      <color theme="0"/>
      <name val="Calibri"/>
      <family val="2"/>
      <scheme val="minor"/>
    </font>
    <font>
      <sz val="10"/>
      <name val="Arial"/>
      <family val="2"/>
    </font>
    <font>
      <sz val="10"/>
      <color theme="1"/>
      <name val="Calibri"/>
      <family val="2"/>
      <scheme val="minor"/>
    </font>
    <font>
      <b/>
      <sz val="10"/>
      <color theme="1"/>
      <name val="Calibri"/>
      <family val="2"/>
      <scheme val="minor"/>
    </font>
    <font>
      <sz val="10"/>
      <name val="MS Sans Serif"/>
      <family val="2"/>
    </font>
    <font>
      <sz val="10"/>
      <name val="Calibri"/>
      <family val="2"/>
      <scheme val="minor"/>
    </font>
    <font>
      <i/>
      <sz val="10"/>
      <color theme="1"/>
      <name val="Calibri"/>
      <family val="2"/>
      <scheme val="minor"/>
    </font>
    <font>
      <b/>
      <u/>
      <sz val="10"/>
      <color theme="1"/>
      <name val="Calibri"/>
      <family val="2"/>
      <scheme val="minor"/>
    </font>
    <font>
      <b/>
      <i/>
      <sz val="10"/>
      <color theme="1"/>
      <name val="Calibri"/>
      <family val="2"/>
      <scheme val="minor"/>
    </font>
    <font>
      <sz val="10"/>
      <color rgb="FFFF0000"/>
      <name val="Calibri"/>
      <family val="2"/>
      <scheme val="minor"/>
    </font>
    <font>
      <i/>
      <sz val="10"/>
      <name val="Calibri"/>
      <family val="2"/>
      <scheme val="minor"/>
    </font>
    <font>
      <b/>
      <sz val="10"/>
      <name val="Calibri"/>
      <family val="2"/>
      <scheme val="minor"/>
    </font>
    <font>
      <sz val="11"/>
      <name val="Calibri"/>
      <family val="2"/>
      <scheme val="minor"/>
    </font>
    <font>
      <i/>
      <sz val="10"/>
      <color theme="0" tint="-0.499984740745262"/>
      <name val="Calibri"/>
      <family val="2"/>
      <scheme val="minor"/>
    </font>
    <font>
      <sz val="9"/>
      <color indexed="81"/>
      <name val="Tahoma"/>
      <family val="2"/>
    </font>
  </fonts>
  <fills count="6">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CC"/>
        <bgColor indexed="64"/>
      </patternFill>
    </fill>
    <fill>
      <patternFill patternType="solid">
        <fgColor theme="9" tint="-0.499984740745262"/>
        <bgColor indexed="64"/>
      </patternFill>
    </fill>
  </fills>
  <borders count="72">
    <border>
      <left/>
      <right/>
      <top/>
      <bottom/>
      <diagonal/>
    </border>
    <border>
      <left style="medium">
        <color auto="1"/>
      </left>
      <right/>
      <top/>
      <bottom/>
      <diagonal/>
    </border>
    <border>
      <left/>
      <right/>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style="medium">
        <color auto="1"/>
      </left>
      <right/>
      <top style="hair">
        <color auto="1"/>
      </top>
      <bottom style="hair">
        <color auto="1"/>
      </bottom>
      <diagonal/>
    </border>
    <border>
      <left/>
      <right/>
      <top style="hair">
        <color auto="1"/>
      </top>
      <bottom style="hair">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style="medium">
        <color auto="1"/>
      </top>
      <bottom/>
      <diagonal/>
    </border>
    <border>
      <left style="hair">
        <color auto="1"/>
      </left>
      <right style="medium">
        <color auto="1"/>
      </right>
      <top/>
      <bottom/>
      <diagonal/>
    </border>
    <border>
      <left style="thin">
        <color auto="1"/>
      </left>
      <right/>
      <top/>
      <bottom/>
      <diagonal/>
    </border>
    <border>
      <left/>
      <right style="thin">
        <color auto="1"/>
      </right>
      <top/>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hair">
        <color auto="1"/>
      </left>
      <right style="hair">
        <color auto="1"/>
      </right>
      <top/>
      <bottom/>
      <diagonal/>
    </border>
    <border>
      <left/>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hair">
        <color auto="1"/>
      </right>
      <top/>
      <bottom/>
      <diagonal/>
    </border>
    <border>
      <left style="thin">
        <color auto="1"/>
      </left>
      <right style="thin">
        <color auto="1"/>
      </right>
      <top style="hair">
        <color auto="1"/>
      </top>
      <bottom style="hair">
        <color auto="1"/>
      </bottom>
      <diagonal/>
    </border>
    <border>
      <left/>
      <right/>
      <top style="thin">
        <color auto="1"/>
      </top>
      <bottom style="hair">
        <color auto="1"/>
      </bottom>
      <diagonal/>
    </border>
    <border>
      <left style="thin">
        <color auto="1"/>
      </left>
      <right/>
      <top style="medium">
        <color auto="1"/>
      </top>
      <bottom/>
      <diagonal/>
    </border>
    <border>
      <left style="hair">
        <color auto="1"/>
      </left>
      <right style="medium">
        <color auto="1"/>
      </right>
      <top style="thin">
        <color auto="1"/>
      </top>
      <bottom style="hair">
        <color auto="1"/>
      </bottom>
      <diagonal/>
    </border>
    <border>
      <left style="hair">
        <color auto="1"/>
      </left>
      <right style="hair">
        <color auto="1"/>
      </right>
      <top style="medium">
        <color auto="1"/>
      </top>
      <bottom/>
      <diagonal/>
    </border>
    <border>
      <left style="thin">
        <color auto="1"/>
      </left>
      <right style="hair">
        <color auto="1"/>
      </right>
      <top style="medium">
        <color auto="1"/>
      </top>
      <bottom/>
      <diagonal/>
    </border>
    <border>
      <left style="hair">
        <color auto="1"/>
      </left>
      <right style="medium">
        <color auto="1"/>
      </right>
      <top style="medium">
        <color auto="1"/>
      </top>
      <bottom/>
      <diagonal/>
    </border>
    <border>
      <left/>
      <right style="thin">
        <color auto="1"/>
      </right>
      <top/>
      <bottom style="hair">
        <color auto="1"/>
      </bottom>
      <diagonal/>
    </border>
    <border>
      <left/>
      <right style="thin">
        <color auto="1"/>
      </right>
      <top style="medium">
        <color auto="1"/>
      </top>
      <bottom style="hair">
        <color auto="1"/>
      </bottom>
      <diagonal/>
    </border>
    <border>
      <left style="thin">
        <color auto="1"/>
      </left>
      <right style="thin">
        <color auto="1"/>
      </right>
      <top style="medium">
        <color auto="1"/>
      </top>
      <bottom/>
      <diagonal/>
    </border>
    <border>
      <left style="thin">
        <color auto="1"/>
      </left>
      <right style="thin">
        <color auto="1"/>
      </right>
      <top/>
      <bottom/>
      <diagonal/>
    </border>
    <border>
      <left/>
      <right style="hair">
        <color auto="1"/>
      </right>
      <top style="hair">
        <color auto="1"/>
      </top>
      <bottom style="hair">
        <color auto="1"/>
      </bottom>
      <diagonal/>
    </border>
    <border>
      <left/>
      <right style="hair">
        <color auto="1"/>
      </right>
      <top style="hair">
        <color auto="1"/>
      </top>
      <bottom style="thin">
        <color auto="1"/>
      </bottom>
      <diagonal/>
    </border>
    <border>
      <left style="hair">
        <color auto="1"/>
      </left>
      <right style="medium">
        <color auto="1"/>
      </right>
      <top style="hair">
        <color auto="1"/>
      </top>
      <bottom style="thin">
        <color auto="1"/>
      </bottom>
      <diagonal/>
    </border>
    <border>
      <left style="hair">
        <color auto="1"/>
      </left>
      <right style="hair">
        <color auto="1"/>
      </right>
      <top style="hair">
        <color auto="1"/>
      </top>
      <bottom style="thin">
        <color auto="1"/>
      </bottom>
      <diagonal/>
    </border>
    <border>
      <left/>
      <right style="hair">
        <color auto="1"/>
      </right>
      <top style="thin">
        <color auto="1"/>
      </top>
      <bottom style="hair">
        <color auto="1"/>
      </bottom>
      <diagonal/>
    </border>
    <border>
      <left/>
      <right style="hair">
        <color auto="1"/>
      </right>
      <top style="hair">
        <color auto="1"/>
      </top>
      <bottom style="medium">
        <color auto="1"/>
      </bottom>
      <diagonal/>
    </border>
    <border>
      <left style="medium">
        <color auto="1"/>
      </left>
      <right style="hair">
        <color auto="1"/>
      </right>
      <top style="medium">
        <color auto="1"/>
      </top>
      <bottom/>
      <diagonal/>
    </border>
    <border>
      <left style="medium">
        <color auto="1"/>
      </left>
      <right style="hair">
        <color auto="1"/>
      </right>
      <top/>
      <bottom/>
      <diagonal/>
    </border>
    <border>
      <left style="medium">
        <color auto="1"/>
      </left>
      <right style="hair">
        <color auto="1"/>
      </right>
      <top/>
      <bottom style="medium">
        <color auto="1"/>
      </bottom>
      <diagonal/>
    </border>
    <border>
      <left style="thin">
        <color auto="1"/>
      </left>
      <right/>
      <top style="thin">
        <color auto="1"/>
      </top>
      <bottom style="hair">
        <color auto="1"/>
      </bottom>
      <diagonal/>
    </border>
    <border>
      <left style="hair">
        <color auto="1"/>
      </left>
      <right style="thin">
        <color auto="1"/>
      </right>
      <top style="medium">
        <color auto="1"/>
      </top>
      <bottom/>
      <diagonal/>
    </border>
    <border>
      <left style="hair">
        <color auto="1"/>
      </left>
      <right style="thin">
        <color auto="1"/>
      </right>
      <top/>
      <bottom/>
      <diagonal/>
    </border>
    <border>
      <left style="hair">
        <color auto="1"/>
      </left>
      <right style="hair">
        <color auto="1"/>
      </right>
      <top style="hair">
        <color auto="1"/>
      </top>
      <bottom/>
      <diagonal/>
    </border>
    <border>
      <left/>
      <right/>
      <top style="hair">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medium">
        <color auto="1"/>
      </left>
      <right/>
      <top style="hair">
        <color auto="1"/>
      </top>
      <bottom style="medium">
        <color auto="1"/>
      </bottom>
      <diagonal/>
    </border>
    <border>
      <left style="hair">
        <color auto="1"/>
      </left>
      <right style="medium">
        <color auto="1"/>
      </right>
      <top style="hair">
        <color auto="1"/>
      </top>
      <bottom/>
      <diagonal/>
    </border>
    <border>
      <left/>
      <right/>
      <top style="hair">
        <color auto="1"/>
      </top>
      <bottom style="thin">
        <color auto="1"/>
      </bottom>
      <diagonal/>
    </border>
    <border>
      <left style="medium">
        <color auto="1"/>
      </left>
      <right/>
      <top style="thin">
        <color auto="1"/>
      </top>
      <bottom/>
      <diagonal/>
    </border>
    <border>
      <left style="medium">
        <color auto="1"/>
      </left>
      <right/>
      <top/>
      <bottom style="thin">
        <color auto="1"/>
      </bottom>
      <diagonal/>
    </border>
    <border>
      <left style="medium">
        <color auto="1"/>
      </left>
      <right/>
      <top style="hair">
        <color auto="1"/>
      </top>
      <bottom/>
      <diagonal/>
    </border>
    <border>
      <left/>
      <right/>
      <top/>
      <bottom style="hair">
        <color auto="1"/>
      </bottom>
      <diagonal/>
    </border>
    <border>
      <left style="hair">
        <color auto="1"/>
      </left>
      <right/>
      <top style="hair">
        <color auto="1"/>
      </top>
      <bottom style="hair">
        <color auto="1"/>
      </bottom>
      <diagonal/>
    </border>
    <border>
      <left style="hair">
        <color auto="1"/>
      </left>
      <right/>
      <top style="medium">
        <color auto="1"/>
      </top>
      <bottom style="hair">
        <color auto="1"/>
      </bottom>
      <diagonal/>
    </border>
    <border>
      <left style="hair">
        <color auto="1"/>
      </left>
      <right/>
      <top style="hair">
        <color auto="1"/>
      </top>
      <bottom style="medium">
        <color auto="1"/>
      </bottom>
      <diagonal/>
    </border>
    <border>
      <left/>
      <right style="hair">
        <color auto="1"/>
      </right>
      <top style="medium">
        <color auto="1"/>
      </top>
      <bottom style="hair">
        <color auto="1"/>
      </bottom>
      <diagonal/>
    </border>
  </borders>
  <cellStyleXfs count="11">
    <xf numFmtId="0" fontId="0" fillId="0" borderId="0"/>
    <xf numFmtId="44" fontId="4"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9" fillId="0" borderId="0"/>
    <xf numFmtId="0" fontId="6" fillId="0" borderId="0"/>
    <xf numFmtId="9" fontId="4" fillId="0" borderId="0" applyFont="0" applyFill="0" applyBorder="0" applyAlignment="0" applyProtection="0"/>
    <xf numFmtId="0" fontId="4" fillId="0" borderId="0"/>
  </cellStyleXfs>
  <cellXfs count="200">
    <xf numFmtId="0" fontId="0" fillId="0" borderId="0" xfId="0"/>
    <xf numFmtId="0" fontId="7" fillId="0" borderId="0" xfId="0" applyNumberFormat="1" applyFont="1"/>
    <xf numFmtId="0" fontId="7" fillId="0" borderId="0" xfId="0" applyFont="1"/>
    <xf numFmtId="0" fontId="8" fillId="0" borderId="0" xfId="0" applyFont="1" applyAlignment="1">
      <alignment horizontal="right"/>
    </xf>
    <xf numFmtId="0" fontId="5" fillId="5" borderId="0" xfId="0" applyFont="1" applyFill="1" applyAlignment="1">
      <alignment horizontal="center"/>
    </xf>
    <xf numFmtId="0" fontId="3" fillId="0" borderId="0" xfId="0" applyFont="1"/>
    <xf numFmtId="0" fontId="3" fillId="0" borderId="0" xfId="0" applyFont="1" applyAlignment="1">
      <alignment wrapText="1"/>
    </xf>
    <xf numFmtId="0" fontId="10" fillId="4" borderId="11" xfId="7" applyNumberFormat="1" applyFont="1" applyFill="1" applyBorder="1" applyAlignment="1" applyProtection="1">
      <alignment horizontal="center"/>
      <protection locked="0"/>
    </xf>
    <xf numFmtId="0" fontId="10" fillId="0" borderId="20" xfId="7" applyNumberFormat="1" applyFont="1" applyBorder="1" applyAlignment="1" applyProtection="1">
      <alignment horizontal="center"/>
      <protection locked="0"/>
    </xf>
    <xf numFmtId="0" fontId="10" fillId="0" borderId="21" xfId="7" applyNumberFormat="1" applyFont="1" applyBorder="1" applyAlignment="1" applyProtection="1">
      <alignment horizontal="center"/>
      <protection locked="0"/>
    </xf>
    <xf numFmtId="0" fontId="8" fillId="2" borderId="26" xfId="0" applyNumberFormat="1" applyFont="1" applyFill="1" applyBorder="1" applyAlignment="1">
      <alignment horizontal="left" vertical="top"/>
    </xf>
    <xf numFmtId="0" fontId="8" fillId="2" borderId="27" xfId="0" applyNumberFormat="1" applyFont="1" applyFill="1" applyBorder="1" applyAlignment="1">
      <alignment horizontal="left" vertical="top"/>
    </xf>
    <xf numFmtId="0" fontId="8" fillId="2" borderId="28" xfId="0" applyNumberFormat="1" applyFont="1" applyFill="1" applyBorder="1" applyAlignment="1">
      <alignment horizontal="left" vertical="top"/>
    </xf>
    <xf numFmtId="0" fontId="10" fillId="4" borderId="20" xfId="7" applyNumberFormat="1" applyFont="1" applyFill="1" applyBorder="1" applyAlignment="1" applyProtection="1">
      <alignment horizontal="center"/>
      <protection locked="0"/>
    </xf>
    <xf numFmtId="0" fontId="8" fillId="2" borderId="34" xfId="0" applyNumberFormat="1" applyFont="1" applyFill="1" applyBorder="1" applyAlignment="1">
      <alignment horizontal="left" vertical="top"/>
    </xf>
    <xf numFmtId="0" fontId="10" fillId="4" borderId="12" xfId="7" applyNumberFormat="1" applyFont="1" applyFill="1" applyBorder="1" applyAlignment="1" applyProtection="1">
      <alignment horizontal="center"/>
      <protection locked="0"/>
    </xf>
    <xf numFmtId="0" fontId="8" fillId="2" borderId="32" xfId="0" applyNumberFormat="1" applyFont="1" applyFill="1" applyBorder="1" applyAlignment="1">
      <alignment horizontal="left" vertical="top"/>
    </xf>
    <xf numFmtId="0" fontId="10" fillId="0" borderId="6" xfId="7" applyNumberFormat="1" applyFont="1" applyBorder="1" applyAlignment="1" applyProtection="1">
      <alignment horizontal="center"/>
      <protection locked="0"/>
    </xf>
    <xf numFmtId="0" fontId="8" fillId="2" borderId="29" xfId="0" applyNumberFormat="1" applyFont="1" applyFill="1" applyBorder="1" applyAlignment="1">
      <alignment horizontal="left" vertical="top"/>
    </xf>
    <xf numFmtId="0" fontId="10" fillId="0" borderId="31" xfId="7" applyNumberFormat="1" applyFont="1" applyBorder="1" applyAlignment="1" applyProtection="1">
      <alignment horizontal="center"/>
      <protection locked="0"/>
    </xf>
    <xf numFmtId="0" fontId="8" fillId="2" borderId="42" xfId="0" applyNumberFormat="1" applyFont="1" applyFill="1" applyBorder="1" applyAlignment="1">
      <alignment horizontal="right" vertical="top"/>
    </xf>
    <xf numFmtId="0" fontId="8" fillId="2" borderId="27" xfId="0" applyNumberFormat="1" applyFont="1" applyFill="1" applyBorder="1" applyAlignment="1">
      <alignment horizontal="right" vertical="top"/>
    </xf>
    <xf numFmtId="0" fontId="8" fillId="2" borderId="11" xfId="0" applyNumberFormat="1" applyFont="1" applyFill="1" applyBorder="1" applyAlignment="1">
      <alignment horizontal="right" vertical="top"/>
    </xf>
    <xf numFmtId="0" fontId="8" fillId="2" borderId="45" xfId="0" applyNumberFormat="1" applyFont="1" applyFill="1" applyBorder="1" applyAlignment="1">
      <alignment horizontal="right" vertical="top"/>
    </xf>
    <xf numFmtId="0" fontId="8" fillId="2" borderId="46" xfId="0" applyNumberFormat="1" applyFont="1" applyFill="1" applyBorder="1" applyAlignment="1">
      <alignment horizontal="right" vertical="top"/>
    </xf>
    <xf numFmtId="0" fontId="8" fillId="2" borderId="47" xfId="0" applyNumberFormat="1" applyFont="1" applyFill="1" applyBorder="1" applyAlignment="1">
      <alignment horizontal="right" vertical="top"/>
    </xf>
    <xf numFmtId="0" fontId="8" fillId="2" borderId="8" xfId="0" applyNumberFormat="1" applyFont="1" applyFill="1" applyBorder="1" applyAlignment="1">
      <alignment horizontal="center" vertical="center"/>
    </xf>
    <xf numFmtId="0" fontId="8" fillId="2" borderId="11" xfId="0" applyNumberFormat="1" applyFont="1" applyFill="1" applyBorder="1" applyAlignment="1">
      <alignment horizontal="center" vertical="center"/>
    </xf>
    <xf numFmtId="0" fontId="8" fillId="2" borderId="14" xfId="0" applyNumberFormat="1" applyFont="1" applyFill="1" applyBorder="1" applyAlignment="1">
      <alignment horizontal="center" vertical="center"/>
    </xf>
    <xf numFmtId="0" fontId="8" fillId="3" borderId="48" xfId="0" applyFont="1" applyFill="1" applyBorder="1" applyAlignment="1">
      <alignment horizontal="left" vertical="top" wrapText="1"/>
    </xf>
    <xf numFmtId="0" fontId="8" fillId="2" borderId="11" xfId="0" applyNumberFormat="1" applyFont="1" applyFill="1" applyBorder="1" applyAlignment="1">
      <alignment horizontal="center" vertical="top"/>
    </xf>
    <xf numFmtId="0" fontId="8" fillId="2" borderId="51" xfId="0" applyNumberFormat="1" applyFont="1" applyFill="1" applyBorder="1" applyAlignment="1">
      <alignment horizontal="left" vertical="top"/>
    </xf>
    <xf numFmtId="0" fontId="8" fillId="2" borderId="54" xfId="0" applyNumberFormat="1" applyFont="1" applyFill="1" applyBorder="1" applyAlignment="1">
      <alignment horizontal="center" vertical="top"/>
    </xf>
    <xf numFmtId="0" fontId="8" fillId="3" borderId="56" xfId="0" applyFont="1" applyFill="1" applyBorder="1" applyAlignment="1">
      <alignment vertical="top" wrapText="1"/>
    </xf>
    <xf numFmtId="0" fontId="8" fillId="3" borderId="1" xfId="0" applyFont="1" applyFill="1" applyBorder="1" applyAlignment="1">
      <alignment vertical="top" wrapText="1"/>
    </xf>
    <xf numFmtId="0" fontId="8" fillId="2" borderId="38" xfId="0" applyFont="1" applyFill="1" applyBorder="1" applyAlignment="1">
      <alignment horizontal="right" vertical="top" wrapText="1" indent="1"/>
    </xf>
    <xf numFmtId="0" fontId="8" fillId="2" borderId="23" xfId="0" applyFont="1" applyFill="1" applyBorder="1" applyAlignment="1">
      <alignment horizontal="right" vertical="top" wrapText="1" indent="1"/>
    </xf>
    <xf numFmtId="0" fontId="8" fillId="2" borderId="19" xfId="0" applyFont="1" applyFill="1" applyBorder="1" applyAlignment="1">
      <alignment horizontal="right" vertical="top" wrapText="1" indent="1"/>
    </xf>
    <xf numFmtId="0" fontId="2" fillId="0" borderId="0" xfId="0" applyFont="1"/>
    <xf numFmtId="0" fontId="8" fillId="2" borderId="3" xfId="0" applyNumberFormat="1" applyFont="1" applyFill="1" applyBorder="1" applyAlignment="1">
      <alignment horizontal="right" vertical="top"/>
    </xf>
    <xf numFmtId="0" fontId="8" fillId="2" borderId="4" xfId="0" applyNumberFormat="1" applyFont="1" applyFill="1" applyBorder="1" applyAlignment="1">
      <alignment horizontal="right" vertical="top"/>
    </xf>
    <xf numFmtId="0" fontId="8" fillId="2" borderId="5" xfId="0" applyNumberFormat="1" applyFont="1" applyFill="1" applyBorder="1" applyAlignment="1">
      <alignment horizontal="right" vertical="top"/>
    </xf>
    <xf numFmtId="0" fontId="8" fillId="2" borderId="6" xfId="0" applyNumberFormat="1" applyFont="1" applyFill="1" applyBorder="1" applyAlignment="1">
      <alignment horizontal="right" vertical="top"/>
    </xf>
    <xf numFmtId="0" fontId="8" fillId="2" borderId="61" xfId="0" applyNumberFormat="1" applyFont="1" applyFill="1" applyBorder="1" applyAlignment="1">
      <alignment horizontal="right" vertical="top"/>
    </xf>
    <xf numFmtId="0" fontId="8" fillId="2" borderId="55" xfId="0" applyNumberFormat="1" applyFont="1" applyFill="1" applyBorder="1" applyAlignment="1">
      <alignment horizontal="right" vertical="top"/>
    </xf>
    <xf numFmtId="0" fontId="8" fillId="2" borderId="8" xfId="0" applyNumberFormat="1" applyFont="1" applyFill="1" applyBorder="1" applyAlignment="1">
      <alignment horizontal="center" vertical="top"/>
    </xf>
    <xf numFmtId="0" fontId="8" fillId="2" borderId="14" xfId="0" applyNumberFormat="1" applyFont="1" applyFill="1" applyBorder="1" applyAlignment="1">
      <alignment horizontal="center" vertical="top"/>
    </xf>
    <xf numFmtId="0" fontId="12" fillId="0" borderId="0" xfId="0" applyFont="1"/>
    <xf numFmtId="0" fontId="8" fillId="2" borderId="8" xfId="0" applyNumberFormat="1" applyFont="1" applyFill="1" applyBorder="1" applyAlignment="1">
      <alignment horizontal="right" vertical="top"/>
    </xf>
    <xf numFmtId="0" fontId="8" fillId="2" borderId="54" xfId="0" applyNumberFormat="1" applyFont="1" applyFill="1" applyBorder="1" applyAlignment="1">
      <alignment horizontal="center" vertical="center"/>
    </xf>
    <xf numFmtId="0" fontId="8" fillId="2" borderId="54" xfId="0" applyNumberFormat="1" applyFont="1" applyFill="1" applyBorder="1" applyAlignment="1">
      <alignment horizontal="right" vertical="top"/>
    </xf>
    <xf numFmtId="0" fontId="8" fillId="2" borderId="27" xfId="0" applyNumberFormat="1" applyFont="1" applyFill="1" applyBorder="1" applyAlignment="1">
      <alignment horizontal="center" vertical="center"/>
    </xf>
    <xf numFmtId="0" fontId="8" fillId="2" borderId="45" xfId="0" applyNumberFormat="1" applyFont="1" applyFill="1" applyBorder="1" applyAlignment="1">
      <alignment horizontal="center" vertical="center"/>
    </xf>
    <xf numFmtId="0" fontId="8" fillId="2" borderId="43" xfId="0" applyNumberFormat="1" applyFont="1" applyFill="1" applyBorder="1" applyAlignment="1">
      <alignment horizontal="right" vertical="top"/>
    </xf>
    <xf numFmtId="0" fontId="8" fillId="2" borderId="14" xfId="0" applyNumberFormat="1" applyFont="1" applyFill="1" applyBorder="1" applyAlignment="1">
      <alignment horizontal="right" vertical="top"/>
    </xf>
    <xf numFmtId="0" fontId="8" fillId="2" borderId="66" xfId="0" applyNumberFormat="1" applyFont="1" applyFill="1" applyBorder="1" applyAlignment="1">
      <alignment horizontal="right" vertical="top"/>
    </xf>
    <xf numFmtId="0" fontId="8" fillId="2" borderId="67" xfId="0" applyFont="1" applyFill="1" applyBorder="1" applyAlignment="1">
      <alignment vertical="top" wrapText="1"/>
    </xf>
    <xf numFmtId="0" fontId="8" fillId="2" borderId="6" xfId="0" applyFont="1" applyFill="1" applyBorder="1" applyAlignment="1">
      <alignment vertical="top" wrapText="1"/>
    </xf>
    <xf numFmtId="0" fontId="8" fillId="2" borderId="6" xfId="0" applyFont="1" applyFill="1" applyBorder="1" applyAlignment="1">
      <alignment horizontal="right" vertical="top" wrapText="1"/>
    </xf>
    <xf numFmtId="0" fontId="8" fillId="2" borderId="0" xfId="0" applyFont="1" applyFill="1" applyBorder="1" applyAlignment="1">
      <alignment horizontal="right" vertical="top" wrapText="1"/>
    </xf>
    <xf numFmtId="0" fontId="8" fillId="2" borderId="46" xfId="0" applyNumberFormat="1" applyFont="1" applyFill="1" applyBorder="1" applyAlignment="1">
      <alignment horizontal="left" vertical="top"/>
    </xf>
    <xf numFmtId="0" fontId="5" fillId="5" borderId="0" xfId="0" applyFont="1" applyFill="1" applyAlignment="1"/>
    <xf numFmtId="0" fontId="5" fillId="5" borderId="0" xfId="0" applyFont="1" applyFill="1" applyAlignment="1">
      <alignment horizontal="left" indent="6"/>
    </xf>
    <xf numFmtId="0" fontId="5" fillId="5" borderId="0" xfId="0" applyFont="1" applyFill="1" applyAlignment="1">
      <alignment horizontal="left" vertical="center"/>
    </xf>
    <xf numFmtId="0" fontId="5" fillId="5" borderId="0" xfId="0" applyFont="1" applyFill="1" applyAlignment="1">
      <alignment vertical="center"/>
    </xf>
    <xf numFmtId="0" fontId="5" fillId="5" borderId="0" xfId="0" applyFont="1" applyFill="1" applyAlignment="1">
      <alignment horizontal="left"/>
    </xf>
    <xf numFmtId="0" fontId="5" fillId="5" borderId="0" xfId="0" applyFont="1" applyFill="1" applyAlignment="1">
      <alignment horizontal="right"/>
    </xf>
    <xf numFmtId="0" fontId="13" fillId="0" borderId="0" xfId="0" applyNumberFormat="1" applyFont="1" applyAlignment="1">
      <alignment vertical="center"/>
    </xf>
    <xf numFmtId="49" fontId="10" fillId="0" borderId="10" xfId="7" applyNumberFormat="1" applyFont="1" applyFill="1" applyBorder="1" applyAlignment="1" applyProtection="1">
      <alignment horizontal="left"/>
      <protection locked="0"/>
    </xf>
    <xf numFmtId="0" fontId="10" fillId="0" borderId="21" xfId="7" applyNumberFormat="1" applyFont="1" applyFill="1" applyBorder="1" applyAlignment="1" applyProtection="1">
      <alignment horizontal="left"/>
      <protection locked="0"/>
    </xf>
    <xf numFmtId="49" fontId="10" fillId="0" borderId="10" xfId="7" applyNumberFormat="1" applyFont="1" applyFill="1" applyBorder="1" applyAlignment="1" applyProtection="1">
      <protection locked="0"/>
    </xf>
    <xf numFmtId="0" fontId="14" fillId="0" borderId="0" xfId="0" applyNumberFormat="1" applyFont="1"/>
    <xf numFmtId="0" fontId="13" fillId="0" borderId="0" xfId="10" applyNumberFormat="1" applyFont="1" applyAlignment="1">
      <alignment vertical="center" wrapText="1"/>
    </xf>
    <xf numFmtId="0" fontId="13" fillId="0" borderId="0" xfId="10" applyNumberFormat="1" applyFont="1" applyAlignment="1">
      <alignment vertical="center"/>
    </xf>
    <xf numFmtId="0" fontId="16" fillId="3" borderId="7" xfId="10" applyFont="1" applyFill="1" applyBorder="1" applyAlignment="1">
      <alignment horizontal="center" wrapText="1"/>
    </xf>
    <xf numFmtId="0" fontId="16" fillId="3" borderId="8" xfId="10" applyFont="1" applyFill="1" applyBorder="1" applyAlignment="1">
      <alignment horizontal="center" wrapText="1"/>
    </xf>
    <xf numFmtId="0" fontId="16" fillId="3" borderId="69" xfId="10" applyFont="1" applyFill="1" applyBorder="1" applyAlignment="1">
      <alignment horizontal="center" wrapText="1"/>
    </xf>
    <xf numFmtId="0" fontId="16" fillId="3" borderId="9" xfId="10" applyFont="1" applyFill="1" applyBorder="1" applyAlignment="1">
      <alignment horizontal="center" wrapText="1"/>
    </xf>
    <xf numFmtId="0" fontId="0" fillId="0" borderId="0" xfId="0" applyAlignment="1">
      <alignment wrapText="1"/>
    </xf>
    <xf numFmtId="0" fontId="10" fillId="0" borderId="10" xfId="10" applyNumberFormat="1" applyFont="1" applyFill="1" applyBorder="1" applyAlignment="1">
      <alignment horizontal="center" vertical="top" wrapText="1"/>
    </xf>
    <xf numFmtId="14" fontId="10" fillId="0" borderId="11" xfId="10" applyNumberFormat="1" applyFont="1" applyFill="1" applyBorder="1" applyAlignment="1">
      <alignment horizontal="center" vertical="top" wrapText="1"/>
    </xf>
    <xf numFmtId="0" fontId="10" fillId="0" borderId="68" xfId="10" applyNumberFormat="1" applyFont="1" applyFill="1" applyBorder="1" applyAlignment="1">
      <alignment horizontal="left" vertical="top" wrapText="1"/>
    </xf>
    <xf numFmtId="0" fontId="10" fillId="0" borderId="68" xfId="10" quotePrefix="1" applyNumberFormat="1" applyFont="1" applyFill="1" applyBorder="1" applyAlignment="1">
      <alignment horizontal="center" vertical="top" wrapText="1"/>
    </xf>
    <xf numFmtId="0" fontId="10" fillId="0" borderId="12" xfId="10" applyNumberFormat="1" applyFont="1" applyFill="1" applyBorder="1" applyAlignment="1">
      <alignment horizontal="left" vertical="top" wrapText="1"/>
    </xf>
    <xf numFmtId="0" fontId="10" fillId="0" borderId="10" xfId="10" quotePrefix="1" applyNumberFormat="1" applyFont="1" applyFill="1" applyBorder="1" applyAlignment="1">
      <alignment horizontal="center" vertical="top" wrapText="1"/>
    </xf>
    <xf numFmtId="0" fontId="10" fillId="0" borderId="13" xfId="10" quotePrefix="1" applyNumberFormat="1" applyFont="1" applyFill="1" applyBorder="1" applyAlignment="1">
      <alignment horizontal="center" vertical="top" wrapText="1"/>
    </xf>
    <xf numFmtId="14" fontId="10" fillId="0" borderId="14" xfId="10" applyNumberFormat="1" applyFont="1" applyFill="1" applyBorder="1" applyAlignment="1">
      <alignment horizontal="center" vertical="top" wrapText="1"/>
    </xf>
    <xf numFmtId="0" fontId="10" fillId="0" borderId="70" xfId="10" applyNumberFormat="1" applyFont="1" applyFill="1" applyBorder="1" applyAlignment="1">
      <alignment horizontal="left" vertical="top" wrapText="1"/>
    </xf>
    <xf numFmtId="0" fontId="10" fillId="0" borderId="70" xfId="10" quotePrefix="1" applyNumberFormat="1" applyFont="1" applyFill="1" applyBorder="1" applyAlignment="1">
      <alignment horizontal="center" vertical="top" wrapText="1"/>
    </xf>
    <xf numFmtId="0" fontId="10" fillId="0" borderId="15" xfId="10" applyNumberFormat="1" applyFont="1" applyFill="1" applyBorder="1" applyAlignment="1">
      <alignment horizontal="left" vertical="top" wrapText="1"/>
    </xf>
    <xf numFmtId="0" fontId="17" fillId="0" borderId="0" xfId="10" applyFont="1"/>
    <xf numFmtId="0" fontId="15" fillId="0" borderId="0" xfId="10" applyFont="1" applyAlignment="1">
      <alignment horizontal="left"/>
    </xf>
    <xf numFmtId="0" fontId="18" fillId="0" borderId="0" xfId="0" applyFont="1" applyAlignment="1">
      <alignment horizontal="left"/>
    </xf>
    <xf numFmtId="0" fontId="8" fillId="2" borderId="25" xfId="0" applyNumberFormat="1" applyFont="1" applyFill="1" applyBorder="1" applyAlignment="1">
      <alignment horizontal="right" vertical="top"/>
    </xf>
    <xf numFmtId="0" fontId="8" fillId="3" borderId="7" xfId="0" applyFont="1" applyFill="1" applyBorder="1" applyAlignment="1">
      <alignment horizontal="center" wrapText="1"/>
    </xf>
    <xf numFmtId="0" fontId="8" fillId="3" borderId="71" xfId="0" applyFont="1" applyFill="1" applyBorder="1" applyAlignment="1">
      <alignment horizontal="center" wrapText="1"/>
    </xf>
    <xf numFmtId="0" fontId="8" fillId="3" borderId="8" xfId="0" applyFont="1" applyFill="1" applyBorder="1" applyAlignment="1">
      <alignment horizontal="center" wrapText="1"/>
    </xf>
    <xf numFmtId="0" fontId="8" fillId="3" borderId="9" xfId="0" applyFont="1" applyFill="1" applyBorder="1" applyAlignment="1">
      <alignment horizontal="center" wrapText="1"/>
    </xf>
    <xf numFmtId="164" fontId="1" fillId="4" borderId="10" xfId="0" applyNumberFormat="1" applyFont="1" applyFill="1" applyBorder="1" applyAlignment="1">
      <alignment horizontal="center"/>
    </xf>
    <xf numFmtId="164" fontId="1" fillId="4" borderId="42" xfId="0" applyNumberFormat="1" applyFont="1" applyFill="1" applyBorder="1" applyAlignment="1">
      <alignment horizontal="center"/>
    </xf>
    <xf numFmtId="14" fontId="1" fillId="4" borderId="11" xfId="0" applyNumberFormat="1" applyFont="1" applyFill="1" applyBorder="1" applyAlignment="1">
      <alignment horizontal="center" vertical="top"/>
    </xf>
    <xf numFmtId="0" fontId="1" fillId="4" borderId="12" xfId="0" applyFont="1" applyFill="1" applyBorder="1" applyAlignment="1">
      <alignment horizontal="left" vertical="top" wrapText="1"/>
    </xf>
    <xf numFmtId="14" fontId="1" fillId="4" borderId="12" xfId="0" applyNumberFormat="1" applyFont="1" applyFill="1" applyBorder="1" applyAlignment="1">
      <alignment horizontal="left" vertical="top" wrapText="1"/>
    </xf>
    <xf numFmtId="0" fontId="1" fillId="4" borderId="12" xfId="0" applyNumberFormat="1" applyFont="1" applyFill="1" applyBorder="1" applyAlignment="1">
      <alignment horizontal="left" vertical="top" wrapText="1"/>
    </xf>
    <xf numFmtId="0" fontId="1" fillId="0" borderId="0" xfId="0" applyNumberFormat="1" applyFont="1"/>
    <xf numFmtId="0" fontId="1" fillId="4" borderId="34" xfId="0" applyNumberFormat="1" applyFont="1" applyFill="1" applyBorder="1" applyAlignment="1">
      <alignment horizontal="left" vertical="top" wrapText="1"/>
    </xf>
    <xf numFmtId="0" fontId="1" fillId="0" borderId="59" xfId="0" quotePrefix="1" applyFont="1" applyBorder="1" applyAlignment="1">
      <alignment horizontal="left" vertical="top" wrapText="1"/>
    </xf>
    <xf numFmtId="0" fontId="1" fillId="0" borderId="12" xfId="0" applyNumberFormat="1" applyFont="1" applyBorder="1" applyAlignment="1">
      <alignment horizontal="left" vertical="top" wrapText="1"/>
    </xf>
    <xf numFmtId="0" fontId="1" fillId="0" borderId="62" xfId="0" applyNumberFormat="1" applyFont="1" applyBorder="1" applyAlignment="1">
      <alignment horizontal="left" vertical="top" wrapText="1"/>
    </xf>
    <xf numFmtId="0" fontId="1" fillId="0" borderId="34" xfId="0" applyNumberFormat="1" applyFont="1" applyFill="1" applyBorder="1" applyAlignment="1">
      <alignment horizontal="left" vertical="top" wrapText="1"/>
    </xf>
    <xf numFmtId="0" fontId="1" fillId="0" borderId="12" xfId="0" applyNumberFormat="1" applyFont="1" applyFill="1" applyBorder="1" applyAlignment="1">
      <alignment horizontal="left" vertical="top" wrapText="1"/>
    </xf>
    <xf numFmtId="0" fontId="1" fillId="0" borderId="44" xfId="0" applyNumberFormat="1" applyFont="1" applyBorder="1" applyAlignment="1">
      <alignment horizontal="left" vertical="top" wrapText="1"/>
    </xf>
    <xf numFmtId="0" fontId="1" fillId="0" borderId="58" xfId="0" applyFont="1" applyBorder="1" applyAlignment="1">
      <alignment horizontal="left" vertical="top" wrapText="1"/>
    </xf>
    <xf numFmtId="0" fontId="1" fillId="0" borderId="59" xfId="0" applyFont="1" applyBorder="1" applyAlignment="1">
      <alignment horizontal="left" vertical="top" wrapText="1"/>
    </xf>
    <xf numFmtId="0" fontId="1" fillId="0" borderId="60" xfId="0" quotePrefix="1" applyFont="1" applyBorder="1" applyAlignment="1">
      <alignment horizontal="left" vertical="top" wrapText="1"/>
    </xf>
    <xf numFmtId="0" fontId="1" fillId="0" borderId="4" xfId="0" applyFont="1" applyBorder="1" applyAlignment="1">
      <alignment horizontal="right" vertical="top"/>
    </xf>
    <xf numFmtId="0" fontId="1" fillId="0" borderId="6" xfId="0" applyFont="1" applyBorder="1" applyAlignment="1">
      <alignment horizontal="right" vertical="top"/>
    </xf>
    <xf numFmtId="0" fontId="1" fillId="0" borderId="25" xfId="0" applyFont="1" applyBorder="1" applyAlignment="1">
      <alignment horizontal="right" vertical="top"/>
    </xf>
    <xf numFmtId="0" fontId="1" fillId="0" borderId="0" xfId="0" applyFont="1" applyBorder="1" applyAlignment="1">
      <alignment horizontal="right" vertical="top"/>
    </xf>
    <xf numFmtId="0" fontId="1" fillId="0" borderId="2" xfId="0" applyFont="1" applyBorder="1"/>
    <xf numFmtId="0" fontId="1" fillId="0" borderId="2" xfId="0" applyFont="1" applyBorder="1" applyAlignment="1">
      <alignment horizontal="right" vertical="top"/>
    </xf>
    <xf numFmtId="0" fontId="1" fillId="0" borderId="55" xfId="0" applyFont="1" applyBorder="1" applyAlignment="1">
      <alignment horizontal="right" vertical="top"/>
    </xf>
    <xf numFmtId="0" fontId="1" fillId="0" borderId="0" xfId="0" applyFont="1"/>
    <xf numFmtId="0" fontId="1" fillId="0" borderId="9" xfId="0" applyNumberFormat="1" applyFont="1" applyBorder="1" applyAlignment="1">
      <alignment horizontal="left" vertical="top" wrapText="1"/>
    </xf>
    <xf numFmtId="0" fontId="1" fillId="0" borderId="15" xfId="0" applyNumberFormat="1" applyFont="1" applyBorder="1" applyAlignment="1">
      <alignment horizontal="left" vertical="top" wrapText="1"/>
    </xf>
    <xf numFmtId="0" fontId="1" fillId="3" borderId="49" xfId="0" applyFont="1" applyFill="1" applyBorder="1"/>
    <xf numFmtId="0" fontId="1" fillId="3" borderId="50" xfId="0" applyFont="1" applyFill="1" applyBorder="1"/>
    <xf numFmtId="14" fontId="1" fillId="0" borderId="0" xfId="0" applyNumberFormat="1" applyFont="1" applyFill="1"/>
    <xf numFmtId="0" fontId="1" fillId="0" borderId="0" xfId="0" applyNumberFormat="1" applyFont="1" applyBorder="1" applyAlignment="1">
      <alignment horizontal="left" vertical="top" wrapText="1"/>
    </xf>
    <xf numFmtId="14" fontId="1" fillId="0" borderId="0" xfId="0" applyNumberFormat="1" applyFont="1" applyAlignment="1">
      <alignment horizontal="left"/>
    </xf>
    <xf numFmtId="164" fontId="1" fillId="4" borderId="13" xfId="0" applyNumberFormat="1" applyFont="1" applyFill="1" applyBorder="1" applyAlignment="1">
      <alignment horizontal="center"/>
    </xf>
    <xf numFmtId="164" fontId="1" fillId="4" borderId="47" xfId="0" applyNumberFormat="1" applyFont="1" applyFill="1" applyBorder="1" applyAlignment="1">
      <alignment horizontal="center"/>
    </xf>
    <xf numFmtId="14" fontId="1" fillId="4" borderId="14" xfId="0" applyNumberFormat="1" applyFont="1" applyFill="1" applyBorder="1" applyAlignment="1">
      <alignment horizontal="center" vertical="top"/>
    </xf>
    <xf numFmtId="0" fontId="1" fillId="4" borderId="15" xfId="0" applyFont="1" applyFill="1" applyBorder="1" applyAlignment="1">
      <alignment horizontal="left" vertical="top" wrapText="1"/>
    </xf>
    <xf numFmtId="0" fontId="1" fillId="4" borderId="44" xfId="0" applyNumberFormat="1" applyFont="1" applyFill="1" applyBorder="1" applyAlignment="1">
      <alignment horizontal="left" vertical="top" wrapText="1"/>
    </xf>
    <xf numFmtId="14" fontId="1" fillId="4" borderId="34" xfId="0" applyNumberFormat="1" applyFont="1" applyFill="1" applyBorder="1" applyAlignment="1">
      <alignment horizontal="left" vertical="top" wrapText="1"/>
    </xf>
    <xf numFmtId="14" fontId="1" fillId="4" borderId="15" xfId="0" applyNumberFormat="1" applyFont="1" applyFill="1" applyBorder="1" applyAlignment="1">
      <alignment horizontal="left" vertical="top" wrapText="1"/>
    </xf>
    <xf numFmtId="0" fontId="1" fillId="0" borderId="0" xfId="0" applyNumberFormat="1" applyFont="1" applyAlignment="1">
      <alignment wrapText="1"/>
    </xf>
    <xf numFmtId="0" fontId="1" fillId="0" borderId="0" xfId="0" applyFont="1" applyAlignment="1">
      <alignment vertical="top"/>
    </xf>
    <xf numFmtId="0" fontId="1" fillId="0" borderId="0" xfId="0" quotePrefix="1" applyFont="1" applyBorder="1" applyAlignment="1">
      <alignment horizontal="center" vertical="top"/>
    </xf>
    <xf numFmtId="0" fontId="1" fillId="2" borderId="4" xfId="0" applyFont="1" applyFill="1" applyBorder="1"/>
    <xf numFmtId="0" fontId="1" fillId="2" borderId="39" xfId="0" applyFont="1" applyFill="1" applyBorder="1" applyAlignment="1">
      <alignment vertical="top"/>
    </xf>
    <xf numFmtId="0" fontId="1" fillId="2" borderId="33" xfId="0" applyFont="1" applyFill="1" applyBorder="1" applyAlignment="1">
      <alignment horizontal="right" vertical="top"/>
    </xf>
    <xf numFmtId="0" fontId="1" fillId="2" borderId="52" xfId="0" applyFont="1" applyFill="1" applyBorder="1" applyAlignment="1">
      <alignment horizontal="right" vertical="top"/>
    </xf>
    <xf numFmtId="0" fontId="1" fillId="2" borderId="16" xfId="0" applyFont="1" applyFill="1" applyBorder="1" applyAlignment="1">
      <alignment horizontal="right" vertical="top"/>
    </xf>
    <xf numFmtId="0" fontId="1" fillId="2" borderId="40" xfId="0" applyFont="1" applyFill="1" applyBorder="1" applyAlignment="1">
      <alignment horizontal="right" vertical="top"/>
    </xf>
    <xf numFmtId="0" fontId="1" fillId="2" borderId="36" xfId="0" applyFont="1" applyFill="1" applyBorder="1" applyAlignment="1">
      <alignment horizontal="right" vertical="top"/>
    </xf>
    <xf numFmtId="0" fontId="1" fillId="2" borderId="35" xfId="0" applyFont="1" applyFill="1" applyBorder="1" applyAlignment="1">
      <alignment horizontal="right" vertical="top"/>
    </xf>
    <xf numFmtId="0" fontId="1" fillId="2" borderId="37" xfId="0" applyFont="1" applyFill="1" applyBorder="1" applyAlignment="1">
      <alignment horizontal="right" vertical="top"/>
    </xf>
    <xf numFmtId="0" fontId="1" fillId="0" borderId="22" xfId="0" applyFont="1" applyBorder="1" applyAlignment="1">
      <alignment horizontal="right" vertical="top" wrapText="1"/>
    </xf>
    <xf numFmtId="0" fontId="1" fillId="0" borderId="21" xfId="0" applyFont="1" applyBorder="1" applyAlignment="1">
      <alignment horizontal="right" vertical="top" wrapText="1"/>
    </xf>
    <xf numFmtId="0" fontId="1" fillId="0" borderId="6" xfId="0" applyFont="1" applyFill="1" applyBorder="1" applyAlignment="1">
      <alignment horizontal="right" vertical="top" wrapText="1"/>
    </xf>
    <xf numFmtId="0" fontId="1" fillId="0" borderId="31" xfId="0" applyFont="1" applyFill="1" applyBorder="1" applyAlignment="1">
      <alignment horizontal="right" vertical="top" wrapText="1"/>
    </xf>
    <xf numFmtId="0" fontId="1" fillId="4" borderId="20" xfId="0" applyFont="1" applyFill="1" applyBorder="1" applyAlignment="1">
      <alignment horizontal="right" vertical="top" wrapText="1"/>
    </xf>
    <xf numFmtId="0" fontId="1" fillId="4" borderId="11" xfId="0" applyFont="1" applyFill="1" applyBorder="1" applyAlignment="1">
      <alignment horizontal="right" vertical="top" wrapText="1"/>
    </xf>
    <xf numFmtId="0" fontId="1" fillId="4" borderId="12" xfId="0" applyFont="1" applyFill="1" applyBorder="1" applyAlignment="1">
      <alignment horizontal="right" wrapText="1"/>
    </xf>
    <xf numFmtId="44" fontId="1" fillId="0" borderId="22" xfId="1" applyFont="1" applyBorder="1" applyAlignment="1">
      <alignment horizontal="right" vertical="top" wrapText="1"/>
    </xf>
    <xf numFmtId="44" fontId="1" fillId="0" borderId="21" xfId="1" applyNumberFormat="1" applyFont="1" applyBorder="1" applyAlignment="1">
      <alignment horizontal="right" vertical="top" wrapText="1"/>
    </xf>
    <xf numFmtId="44" fontId="1" fillId="4" borderId="6" xfId="1" applyFont="1" applyFill="1" applyBorder="1" applyAlignment="1">
      <alignment horizontal="right" vertical="top" wrapText="1"/>
    </xf>
    <xf numFmtId="44" fontId="1" fillId="4" borderId="31" xfId="1" applyFont="1" applyFill="1" applyBorder="1" applyAlignment="1">
      <alignment horizontal="right" vertical="top" wrapText="1"/>
    </xf>
    <xf numFmtId="44" fontId="1" fillId="4" borderId="20" xfId="1" applyFont="1" applyFill="1" applyBorder="1" applyAlignment="1">
      <alignment horizontal="right" vertical="top" wrapText="1"/>
    </xf>
    <xf numFmtId="44" fontId="1" fillId="4" borderId="11" xfId="1" applyFont="1" applyFill="1" applyBorder="1" applyAlignment="1">
      <alignment horizontal="right" vertical="top" wrapText="1"/>
    </xf>
    <xf numFmtId="44" fontId="1" fillId="4" borderId="12" xfId="1" applyFont="1" applyFill="1" applyBorder="1" applyAlignment="1">
      <alignment horizontal="right" wrapText="1"/>
    </xf>
    <xf numFmtId="165" fontId="1" fillId="0" borderId="22" xfId="9" applyNumberFormat="1" applyFont="1" applyBorder="1" applyAlignment="1">
      <alignment horizontal="right" vertical="top" wrapText="1"/>
    </xf>
    <xf numFmtId="165" fontId="1" fillId="0" borderId="21" xfId="9" applyNumberFormat="1" applyFont="1" applyBorder="1" applyAlignment="1">
      <alignment horizontal="right" vertical="top" wrapText="1"/>
    </xf>
    <xf numFmtId="9" fontId="1" fillId="0" borderId="6" xfId="9" applyFont="1" applyBorder="1" applyAlignment="1">
      <alignment horizontal="right" vertical="top" wrapText="1"/>
    </xf>
    <xf numFmtId="165" fontId="1" fillId="4" borderId="31" xfId="9" applyNumberFormat="1" applyFont="1" applyFill="1" applyBorder="1" applyAlignment="1">
      <alignment horizontal="right" vertical="top" wrapText="1"/>
    </xf>
    <xf numFmtId="165" fontId="1" fillId="4" borderId="20" xfId="9" applyNumberFormat="1" applyFont="1" applyFill="1" applyBorder="1" applyAlignment="1">
      <alignment horizontal="right" vertical="top" wrapText="1"/>
    </xf>
    <xf numFmtId="165" fontId="1" fillId="4" borderId="11" xfId="9" applyNumberFormat="1" applyFont="1" applyFill="1" applyBorder="1" applyAlignment="1">
      <alignment horizontal="right" vertical="top" wrapText="1"/>
    </xf>
    <xf numFmtId="165" fontId="1" fillId="4" borderId="12" xfId="9" applyNumberFormat="1" applyFont="1" applyFill="1" applyBorder="1" applyAlignment="1">
      <alignment horizontal="right" wrapText="1"/>
    </xf>
    <xf numFmtId="0" fontId="1" fillId="0" borderId="18" xfId="1" applyNumberFormat="1" applyFont="1" applyBorder="1" applyAlignment="1">
      <alignment horizontal="right" vertical="top" wrapText="1"/>
    </xf>
    <xf numFmtId="0" fontId="1" fillId="0" borderId="53" xfId="1" applyNumberFormat="1" applyFont="1" applyBorder="1" applyAlignment="1">
      <alignment horizontal="right" vertical="top" wrapText="1"/>
    </xf>
    <xf numFmtId="0" fontId="1" fillId="0" borderId="0" xfId="1" applyNumberFormat="1" applyFont="1" applyFill="1" applyBorder="1" applyAlignment="1">
      <alignment horizontal="right" vertical="top" wrapText="1"/>
    </xf>
    <xf numFmtId="0" fontId="1" fillId="0" borderId="41" xfId="1" applyNumberFormat="1" applyFont="1" applyFill="1" applyBorder="1" applyAlignment="1">
      <alignment horizontal="right" vertical="top" wrapText="1"/>
    </xf>
    <xf numFmtId="0" fontId="1" fillId="0" borderId="30" xfId="0" applyNumberFormat="1" applyFont="1" applyFill="1" applyBorder="1" applyAlignment="1">
      <alignment horizontal="right" vertical="top" wrapText="1"/>
    </xf>
    <xf numFmtId="0" fontId="1" fillId="0" borderId="24" xfId="0" applyNumberFormat="1" applyFont="1" applyFill="1" applyBorder="1" applyAlignment="1">
      <alignment horizontal="right" vertical="top" wrapText="1"/>
    </xf>
    <xf numFmtId="0" fontId="1" fillId="0" borderId="17" xfId="0" applyNumberFormat="1" applyFont="1" applyFill="1" applyBorder="1" applyAlignment="1">
      <alignment horizontal="right" wrapText="1"/>
    </xf>
    <xf numFmtId="0" fontId="1" fillId="2" borderId="24" xfId="0" applyFont="1" applyFill="1" applyBorder="1"/>
    <xf numFmtId="0" fontId="5" fillId="5" borderId="0" xfId="0" applyFont="1" applyFill="1" applyAlignment="1">
      <alignment horizontal="center" vertical="center"/>
    </xf>
    <xf numFmtId="0" fontId="13" fillId="0" borderId="0" xfId="0" applyNumberFormat="1" applyFont="1" applyAlignment="1">
      <alignment horizontal="center" vertical="center" wrapText="1"/>
    </xf>
    <xf numFmtId="0" fontId="1" fillId="0" borderId="0" xfId="0" applyFont="1" applyAlignment="1">
      <alignment horizontal="left" vertical="top" wrapText="1"/>
    </xf>
    <xf numFmtId="0" fontId="1" fillId="4" borderId="68" xfId="0" applyFont="1" applyFill="1" applyBorder="1" applyAlignment="1">
      <alignment horizontal="center"/>
    </xf>
    <xf numFmtId="0" fontId="1" fillId="4" borderId="6" xfId="0" applyFont="1" applyFill="1" applyBorder="1" applyAlignment="1">
      <alignment horizontal="center"/>
    </xf>
    <xf numFmtId="0" fontId="1" fillId="4" borderId="42" xfId="0" applyFont="1" applyFill="1" applyBorder="1" applyAlignment="1">
      <alignment horizontal="center"/>
    </xf>
    <xf numFmtId="0" fontId="5" fillId="5" borderId="0" xfId="0" applyFont="1" applyFill="1" applyAlignment="1">
      <alignment horizontal="center" vertical="center"/>
    </xf>
    <xf numFmtId="0" fontId="18" fillId="0" borderId="0" xfId="0" applyFont="1" applyAlignment="1">
      <alignment horizontal="center" wrapText="1"/>
    </xf>
    <xf numFmtId="0" fontId="18" fillId="0" borderId="0" xfId="0" applyFont="1" applyAlignment="1">
      <alignment horizontal="center"/>
    </xf>
    <xf numFmtId="0" fontId="8" fillId="3" borderId="56" xfId="0" applyNumberFormat="1" applyFont="1" applyFill="1" applyBorder="1" applyAlignment="1">
      <alignment horizontal="left" vertical="top" wrapText="1"/>
    </xf>
    <xf numFmtId="0" fontId="8" fillId="3" borderId="1" xfId="0" applyNumberFormat="1" applyFont="1" applyFill="1" applyBorder="1" applyAlignment="1">
      <alignment horizontal="left" vertical="top" wrapText="1"/>
    </xf>
    <xf numFmtId="0" fontId="8" fillId="3" borderId="32" xfId="0" applyNumberFormat="1" applyFont="1" applyFill="1" applyBorder="1" applyAlignment="1">
      <alignment horizontal="left" vertical="top" wrapText="1"/>
    </xf>
    <xf numFmtId="0" fontId="8" fillId="3" borderId="6" xfId="0" applyNumberFormat="1" applyFont="1" applyFill="1" applyBorder="1" applyAlignment="1">
      <alignment horizontal="left" vertical="top" wrapText="1"/>
    </xf>
    <xf numFmtId="0" fontId="8" fillId="3" borderId="63" xfId="0" applyNumberFormat="1" applyFont="1" applyFill="1" applyBorder="1" applyAlignment="1">
      <alignment horizontal="left" vertical="top" wrapText="1"/>
    </xf>
    <xf numFmtId="0" fontId="8" fillId="3" borderId="64" xfId="0" applyNumberFormat="1" applyFont="1" applyFill="1" applyBorder="1" applyAlignment="1">
      <alignment horizontal="left" vertical="top" wrapText="1"/>
    </xf>
    <xf numFmtId="0" fontId="8" fillId="3" borderId="65" xfId="0" applyNumberFormat="1" applyFont="1" applyFill="1" applyBorder="1" applyAlignment="1">
      <alignment horizontal="left" vertical="top" wrapText="1"/>
    </xf>
    <xf numFmtId="0" fontId="8" fillId="3" borderId="57" xfId="0" applyNumberFormat="1" applyFont="1" applyFill="1" applyBorder="1" applyAlignment="1">
      <alignment horizontal="left" vertical="top" wrapText="1"/>
    </xf>
    <xf numFmtId="0" fontId="1" fillId="0" borderId="2" xfId="0" quotePrefix="1" applyFont="1" applyBorder="1" applyAlignment="1">
      <alignment horizontal="center" vertical="top"/>
    </xf>
    <xf numFmtId="0" fontId="8" fillId="3" borderId="7" xfId="0" applyFont="1" applyFill="1" applyBorder="1" applyAlignment="1">
      <alignment horizontal="left" vertical="top" wrapText="1"/>
    </xf>
    <xf numFmtId="0" fontId="8" fillId="3" borderId="10" xfId="0" applyFont="1" applyFill="1" applyBorder="1" applyAlignment="1">
      <alignment horizontal="left" vertical="top" wrapText="1"/>
    </xf>
    <xf numFmtId="0" fontId="8" fillId="3" borderId="13" xfId="0" applyFont="1" applyFill="1" applyBorder="1" applyAlignment="1">
      <alignment horizontal="left" vertical="top" wrapText="1"/>
    </xf>
    <xf numFmtId="0" fontId="13" fillId="0" borderId="0" xfId="0" applyNumberFormat="1" applyFont="1" applyAlignment="1">
      <alignment horizontal="center" vertical="center"/>
    </xf>
  </cellXfs>
  <cellStyles count="11">
    <cellStyle name="Currency" xfId="1" builtinId="4"/>
    <cellStyle name="Normal" xfId="0" builtinId="0"/>
    <cellStyle name="Normal 2" xfId="5" xr:uid="{00000000-0005-0000-0000-000002000000}"/>
    <cellStyle name="Normal 2 10 2" xfId="2" xr:uid="{00000000-0005-0000-0000-000003000000}"/>
    <cellStyle name="Normal 2 2" xfId="8" xr:uid="{00000000-0005-0000-0000-000004000000}"/>
    <cellStyle name="Normal 2 36" xfId="3" xr:uid="{00000000-0005-0000-0000-000005000000}"/>
    <cellStyle name="Normal 2 36 2" xfId="4" xr:uid="{00000000-0005-0000-0000-000006000000}"/>
    <cellStyle name="Normal 4" xfId="10" xr:uid="{00000000-0005-0000-0000-000007000000}"/>
    <cellStyle name="Normal_accdr1921" xfId="7" xr:uid="{00000000-0005-0000-0000-000008000000}"/>
    <cellStyle name="Percent" xfId="9" builtinId="5"/>
    <cellStyle name="Percent 2" xfId="6" xr:uid="{00000000-0005-0000-0000-00000A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8"/>
  <sheetViews>
    <sheetView showGridLines="0" workbookViewId="0">
      <selection activeCell="E6" sqref="E6"/>
    </sheetView>
  </sheetViews>
  <sheetFormatPr defaultColWidth="9.140625" defaultRowHeight="12.75"/>
  <cols>
    <col min="1" max="1" width="15.7109375" style="38" customWidth="1"/>
    <col min="2" max="2" width="2" style="38" bestFit="1" customWidth="1"/>
    <col min="3" max="3" width="2.5703125" style="38" bestFit="1" customWidth="1"/>
    <col min="4" max="4" width="4" style="38" customWidth="1"/>
    <col min="5" max="5" width="85.85546875" style="38" customWidth="1"/>
    <col min="6" max="16384" width="9.140625" style="38"/>
  </cols>
  <sheetData>
    <row r="1" spans="1:5">
      <c r="A1" s="62"/>
      <c r="B1" s="62"/>
      <c r="C1" s="62"/>
      <c r="D1" s="62"/>
      <c r="E1" s="4" t="s">
        <v>0</v>
      </c>
    </row>
    <row r="2" spans="1:5" ht="25.5" customHeight="1">
      <c r="A2" s="179"/>
      <c r="B2" s="179"/>
      <c r="C2" s="179"/>
      <c r="D2" s="179"/>
      <c r="E2" s="179"/>
    </row>
    <row r="4" spans="1:5" ht="13.5" thickBot="1">
      <c r="A4" s="47" t="s">
        <v>1</v>
      </c>
      <c r="B4" s="122"/>
      <c r="C4" s="122"/>
      <c r="D4" s="122"/>
      <c r="E4" s="122"/>
    </row>
    <row r="5" spans="1:5">
      <c r="A5" s="39"/>
      <c r="B5" s="40"/>
      <c r="C5" s="39" t="s">
        <v>2</v>
      </c>
      <c r="D5" s="45" t="s">
        <v>3</v>
      </c>
      <c r="E5" s="123" t="e">
        <f ca="1">MID(CELL("filename"),SEARCH("[",CELL("filename"))+1,SEARCH("]",CELL("filename"))-SEARCH("[",CELL("filename"))-1)</f>
        <v>#VALUE!</v>
      </c>
    </row>
    <row r="6" spans="1:5">
      <c r="A6" s="41"/>
      <c r="B6" s="42"/>
      <c r="C6" s="41" t="s">
        <v>4</v>
      </c>
      <c r="D6" s="30" t="s">
        <v>5</v>
      </c>
      <c r="E6" s="107" t="str">
        <f>Metadata!$D$17</f>
        <v>Attachment 0003</v>
      </c>
    </row>
    <row r="7" spans="1:5">
      <c r="A7" s="41"/>
      <c r="B7" s="42"/>
      <c r="C7" s="55" t="s">
        <v>6</v>
      </c>
      <c r="D7" s="32" t="s">
        <v>7</v>
      </c>
      <c r="E7" s="108">
        <f>Metadata!D18</f>
        <v>0</v>
      </c>
    </row>
    <row r="8" spans="1:5" ht="13.5" thickBot="1">
      <c r="A8" s="43"/>
      <c r="B8" s="44"/>
      <c r="C8" s="43" t="s">
        <v>8</v>
      </c>
      <c r="D8" s="46" t="s">
        <v>9</v>
      </c>
      <c r="E8" s="124">
        <f>Metadata!D19</f>
        <v>0</v>
      </c>
    </row>
    <row r="9" spans="1:5" ht="13.5" thickBot="1">
      <c r="A9" s="122"/>
      <c r="B9" s="122"/>
      <c r="C9" s="122"/>
      <c r="D9" s="122"/>
      <c r="E9" s="122"/>
    </row>
    <row r="10" spans="1:5" ht="25.5">
      <c r="A10" s="29" t="s">
        <v>10</v>
      </c>
      <c r="B10" s="115">
        <v>1</v>
      </c>
      <c r="C10" s="115"/>
      <c r="D10" s="115"/>
      <c r="E10" s="112" t="s">
        <v>11</v>
      </c>
    </row>
    <row r="11" spans="1:5" ht="25.5">
      <c r="A11" s="125"/>
      <c r="B11" s="116">
        <v>2</v>
      </c>
      <c r="C11" s="116"/>
      <c r="D11" s="116"/>
      <c r="E11" s="113" t="s">
        <v>12</v>
      </c>
    </row>
    <row r="12" spans="1:5" ht="25.5">
      <c r="A12" s="125"/>
      <c r="B12" s="116">
        <v>3</v>
      </c>
      <c r="C12" s="116"/>
      <c r="D12" s="116"/>
      <c r="E12" s="106" t="s">
        <v>13</v>
      </c>
    </row>
    <row r="13" spans="1:5" ht="25.5">
      <c r="A13" s="125"/>
      <c r="B13" s="116">
        <v>4</v>
      </c>
      <c r="C13" s="116"/>
      <c r="D13" s="116"/>
      <c r="E13" s="106" t="s">
        <v>14</v>
      </c>
    </row>
    <row r="14" spans="1:5" ht="25.5">
      <c r="A14" s="125"/>
      <c r="B14" s="117"/>
      <c r="C14" s="117" t="s">
        <v>15</v>
      </c>
      <c r="D14" s="117"/>
      <c r="E14" s="106" t="s">
        <v>16</v>
      </c>
    </row>
    <row r="15" spans="1:5">
      <c r="A15" s="125"/>
      <c r="B15" s="118"/>
      <c r="C15" s="117" t="s">
        <v>17</v>
      </c>
      <c r="D15" s="117"/>
      <c r="E15" s="106" t="s">
        <v>18</v>
      </c>
    </row>
    <row r="16" spans="1:5" ht="25.5">
      <c r="A16" s="125"/>
      <c r="B16" s="118"/>
      <c r="C16" s="118"/>
      <c r="D16" s="117" t="s">
        <v>19</v>
      </c>
      <c r="E16" s="106" t="s">
        <v>20</v>
      </c>
    </row>
    <row r="17" spans="1:5" ht="25.5">
      <c r="A17" s="125"/>
      <c r="B17" s="118"/>
      <c r="C17" s="118"/>
      <c r="D17" s="117" t="s">
        <v>21</v>
      </c>
      <c r="E17" s="106" t="s">
        <v>22</v>
      </c>
    </row>
    <row r="18" spans="1:5" ht="146.44999999999999" customHeight="1">
      <c r="A18" s="125"/>
      <c r="B18" s="118"/>
      <c r="C18" s="118"/>
      <c r="D18" s="117" t="s">
        <v>23</v>
      </c>
      <c r="E18" s="106" t="s">
        <v>24</v>
      </c>
    </row>
    <row r="19" spans="1:5" ht="25.5">
      <c r="A19" s="125"/>
      <c r="B19" s="118"/>
      <c r="C19" s="118"/>
      <c r="D19" s="117" t="s">
        <v>25</v>
      </c>
      <c r="E19" s="106" t="s">
        <v>26</v>
      </c>
    </row>
    <row r="20" spans="1:5" ht="38.25">
      <c r="A20" s="125"/>
      <c r="B20" s="118"/>
      <c r="C20" s="117" t="s">
        <v>27</v>
      </c>
      <c r="D20" s="117"/>
      <c r="E20" s="106" t="s">
        <v>28</v>
      </c>
    </row>
    <row r="21" spans="1:5" ht="25.5">
      <c r="A21" s="125"/>
      <c r="B21" s="118"/>
      <c r="C21" s="118"/>
      <c r="D21" s="116" t="s">
        <v>19</v>
      </c>
      <c r="E21" s="106" t="s">
        <v>29</v>
      </c>
    </row>
    <row r="22" spans="1:5" ht="38.25">
      <c r="A22" s="125"/>
      <c r="B22" s="118"/>
      <c r="C22" s="118"/>
      <c r="D22" s="116" t="s">
        <v>21</v>
      </c>
      <c r="E22" s="106" t="s">
        <v>30</v>
      </c>
    </row>
    <row r="23" spans="1:5" ht="51">
      <c r="A23" s="125"/>
      <c r="B23" s="118"/>
      <c r="C23" s="118"/>
      <c r="D23" s="116" t="s">
        <v>23</v>
      </c>
      <c r="E23" s="106" t="s">
        <v>31</v>
      </c>
    </row>
    <row r="24" spans="1:5" ht="114.75">
      <c r="A24" s="125"/>
      <c r="B24" s="118"/>
      <c r="C24" s="118"/>
      <c r="D24" s="116" t="s">
        <v>25</v>
      </c>
      <c r="E24" s="106" t="s">
        <v>32</v>
      </c>
    </row>
    <row r="25" spans="1:5" ht="63.75">
      <c r="A25" s="125"/>
      <c r="B25" s="118"/>
      <c r="C25" s="118"/>
      <c r="D25" s="116" t="s">
        <v>33</v>
      </c>
      <c r="E25" s="106" t="s">
        <v>34</v>
      </c>
    </row>
    <row r="26" spans="1:5" ht="26.25" thickBot="1">
      <c r="A26" s="126"/>
      <c r="B26" s="119"/>
      <c r="C26" s="120"/>
      <c r="D26" s="121" t="s">
        <v>35</v>
      </c>
      <c r="E26" s="114" t="s">
        <v>36</v>
      </c>
    </row>
    <row r="28" spans="1:5">
      <c r="A28" s="62"/>
      <c r="B28" s="62"/>
      <c r="C28" s="62"/>
      <c r="D28" s="62"/>
      <c r="E28" s="4" t="s">
        <v>0</v>
      </c>
    </row>
  </sheetData>
  <mergeCells count="1">
    <mergeCell ref="A2:E2"/>
  </mergeCells>
  <pageMargins left="0.25" right="0.25" top="0.75" bottom="0.75" header="0.3" footer="0.3"/>
  <pageSetup scale="9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showGridLines="0" workbookViewId="0">
      <selection activeCell="C5" sqref="C5"/>
    </sheetView>
  </sheetViews>
  <sheetFormatPr defaultRowHeight="15"/>
  <cols>
    <col min="1" max="1" width="19.7109375" customWidth="1"/>
    <col min="2" max="2" width="3.42578125" bestFit="1" customWidth="1"/>
    <col min="3" max="3" width="46.42578125" customWidth="1"/>
  </cols>
  <sheetData>
    <row r="1" spans="1:3">
      <c r="A1" s="4"/>
      <c r="B1" s="178"/>
      <c r="C1" s="63" t="s">
        <v>0</v>
      </c>
    </row>
    <row r="2" spans="1:3" ht="25.5" customHeight="1">
      <c r="A2" s="179"/>
      <c r="B2" s="179"/>
      <c r="C2" s="179"/>
    </row>
    <row r="3" spans="1:3">
      <c r="A3" s="127"/>
      <c r="B3" s="122"/>
      <c r="C3" s="122"/>
    </row>
    <row r="4" spans="1:3" ht="15.75" thickBot="1">
      <c r="A4" s="47" t="s">
        <v>1</v>
      </c>
      <c r="B4" s="122"/>
      <c r="C4" s="122"/>
    </row>
    <row r="5" spans="1:3">
      <c r="A5" s="39" t="s">
        <v>2</v>
      </c>
      <c r="B5" s="45" t="s">
        <v>3</v>
      </c>
      <c r="C5" s="123" t="e">
        <f ca="1">MID(CELL("filename"),SEARCH("[",CELL("filename"))+1,SEARCH("]",CELL("filename"))-SEARCH("[",CELL("filename"))-1)</f>
        <v>#VALUE!</v>
      </c>
    </row>
    <row r="6" spans="1:3">
      <c r="A6" s="41" t="s">
        <v>4</v>
      </c>
      <c r="B6" s="30" t="s">
        <v>5</v>
      </c>
      <c r="C6" s="107" t="str">
        <f>Metadata!$D$17</f>
        <v>Attachment 0003</v>
      </c>
    </row>
    <row r="7" spans="1:3">
      <c r="A7" s="55" t="s">
        <v>6</v>
      </c>
      <c r="B7" s="32" t="s">
        <v>7</v>
      </c>
      <c r="C7" s="108">
        <f>Metadata!D18</f>
        <v>0</v>
      </c>
    </row>
    <row r="8" spans="1:3" ht="15.75" thickBot="1">
      <c r="A8" s="43" t="s">
        <v>8</v>
      </c>
      <c r="B8" s="46" t="s">
        <v>9</v>
      </c>
      <c r="C8" s="124">
        <f>Metadata!D19</f>
        <v>0</v>
      </c>
    </row>
    <row r="9" spans="1:3">
      <c r="A9" s="128"/>
      <c r="B9" s="128"/>
      <c r="C9" s="128"/>
    </row>
    <row r="10" spans="1:3">
      <c r="A10" s="180" t="s">
        <v>37</v>
      </c>
      <c r="B10" s="180"/>
      <c r="C10" s="180"/>
    </row>
    <row r="11" spans="1:3">
      <c r="A11" s="180"/>
      <c r="B11" s="180"/>
      <c r="C11" s="180"/>
    </row>
    <row r="12" spans="1:3">
      <c r="A12" s="181" t="s">
        <v>38</v>
      </c>
      <c r="B12" s="182"/>
      <c r="C12" s="183"/>
    </row>
    <row r="13" spans="1:3">
      <c r="A13" s="122"/>
      <c r="B13" s="122"/>
      <c r="C13" s="122"/>
    </row>
    <row r="14" spans="1:3">
      <c r="A14" s="4"/>
      <c r="B14" s="178"/>
      <c r="C14" s="64" t="s">
        <v>0</v>
      </c>
    </row>
  </sheetData>
  <mergeCells count="3">
    <mergeCell ref="A2:C2"/>
    <mergeCell ref="A10:C11"/>
    <mergeCell ref="A12:C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12"/>
  <sheetViews>
    <sheetView showGridLines="0" zoomScaleNormal="100" workbookViewId="0">
      <selection activeCell="A12" sqref="A12:E12"/>
    </sheetView>
  </sheetViews>
  <sheetFormatPr defaultRowHeight="15"/>
  <cols>
    <col min="1" max="1" width="9.140625" customWidth="1"/>
    <col min="2" max="2" width="10.140625" bestFit="1" customWidth="1"/>
    <col min="3" max="3" width="17.42578125" customWidth="1"/>
    <col min="4" max="4" width="17" bestFit="1" customWidth="1"/>
    <col min="5" max="5" width="111.7109375" customWidth="1"/>
  </cols>
  <sheetData>
    <row r="1" spans="1:5">
      <c r="A1" s="184" t="s">
        <v>0</v>
      </c>
      <c r="B1" s="184"/>
      <c r="C1" s="184"/>
      <c r="D1" s="184"/>
      <c r="E1" s="184"/>
    </row>
    <row r="2" spans="1:5">
      <c r="A2" s="72"/>
      <c r="B2" s="72"/>
      <c r="C2" s="72"/>
      <c r="D2" s="72"/>
      <c r="E2" s="72"/>
    </row>
    <row r="3" spans="1:5">
      <c r="A3" s="73" t="s">
        <v>39</v>
      </c>
      <c r="B3" s="72"/>
      <c r="C3" s="72"/>
      <c r="D3" s="72"/>
      <c r="E3" s="72"/>
    </row>
    <row r="4" spans="1:5" ht="15.75" thickBot="1">
      <c r="A4" s="72"/>
      <c r="B4" s="72"/>
      <c r="C4" s="72"/>
      <c r="D4" s="72"/>
      <c r="E4" s="72"/>
    </row>
    <row r="5" spans="1:5" s="78" customFormat="1">
      <c r="A5" s="74" t="s">
        <v>40</v>
      </c>
      <c r="B5" s="75" t="s">
        <v>41</v>
      </c>
      <c r="C5" s="76" t="s">
        <v>42</v>
      </c>
      <c r="D5" s="76" t="s">
        <v>43</v>
      </c>
      <c r="E5" s="77" t="s">
        <v>44</v>
      </c>
    </row>
    <row r="6" spans="1:5">
      <c r="A6" s="79"/>
      <c r="B6" s="80"/>
      <c r="C6" s="81"/>
      <c r="D6" s="82"/>
      <c r="E6" s="83"/>
    </row>
    <row r="7" spans="1:5">
      <c r="A7" s="84"/>
      <c r="B7" s="80"/>
      <c r="C7" s="81"/>
      <c r="D7" s="82"/>
      <c r="E7" s="83"/>
    </row>
    <row r="8" spans="1:5">
      <c r="A8" s="84"/>
      <c r="B8" s="80"/>
      <c r="C8" s="81"/>
      <c r="D8" s="82"/>
      <c r="E8" s="83"/>
    </row>
    <row r="9" spans="1:5">
      <c r="A9" s="84"/>
      <c r="B9" s="80"/>
      <c r="C9" s="81"/>
      <c r="D9" s="82"/>
      <c r="E9" s="83"/>
    </row>
    <row r="10" spans="1:5" ht="15.75" thickBot="1">
      <c r="A10" s="85"/>
      <c r="B10" s="86"/>
      <c r="C10" s="87"/>
      <c r="D10" s="88"/>
      <c r="E10" s="89"/>
    </row>
    <row r="11" spans="1:5">
      <c r="A11" s="90"/>
      <c r="B11" s="90"/>
      <c r="C11" s="90"/>
      <c r="D11" s="90"/>
      <c r="E11" s="91"/>
    </row>
    <row r="12" spans="1:5">
      <c r="A12" s="184" t="s">
        <v>0</v>
      </c>
      <c r="B12" s="184"/>
      <c r="C12" s="184"/>
      <c r="D12" s="184"/>
      <c r="E12" s="184"/>
    </row>
  </sheetData>
  <mergeCells count="2">
    <mergeCell ref="A1:E1"/>
    <mergeCell ref="A12:E12"/>
  </mergeCells>
  <pageMargins left="0.7" right="0.7" top="0.75" bottom="0.75" header="0.3" footer="0.3"/>
  <pageSetup scale="54"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39"/>
  <sheetViews>
    <sheetView showGridLines="0" workbookViewId="0">
      <pane ySplit="11" topLeftCell="A12" activePane="bottomLeft" state="frozen"/>
      <selection pane="bottomLeft" activeCell="D6" sqref="D6"/>
    </sheetView>
  </sheetViews>
  <sheetFormatPr defaultColWidth="9.140625" defaultRowHeight="12.75"/>
  <cols>
    <col min="1" max="2" width="19.140625" style="2" customWidth="1"/>
    <col min="3" max="3" width="13.28515625" style="2" customWidth="1"/>
    <col min="4" max="4" width="65" style="2" customWidth="1"/>
    <col min="5" max="16384" width="9.140625" style="2"/>
  </cols>
  <sheetData>
    <row r="1" spans="1:4">
      <c r="A1" s="61"/>
      <c r="B1" s="61"/>
      <c r="C1" s="61"/>
      <c r="D1" s="62" t="s">
        <v>0</v>
      </c>
    </row>
    <row r="2" spans="1:4" ht="25.5" customHeight="1">
      <c r="A2" s="179"/>
      <c r="B2" s="179"/>
      <c r="C2" s="179"/>
      <c r="D2" s="179"/>
    </row>
    <row r="4" spans="1:4" ht="13.5" thickBot="1">
      <c r="A4" s="47" t="s">
        <v>1</v>
      </c>
      <c r="B4" s="47"/>
      <c r="C4" s="122"/>
      <c r="D4" s="122"/>
    </row>
    <row r="5" spans="1:4">
      <c r="A5" s="39"/>
      <c r="B5" s="40" t="s">
        <v>2</v>
      </c>
      <c r="C5" s="45" t="s">
        <v>3</v>
      </c>
      <c r="D5" s="123" t="e">
        <f ca="1">MID(CELL("filename"),SEARCH("[",CELL("filename"))+1,SEARCH("]",CELL("filename"))-SEARCH("[",CELL("filename"))-1)</f>
        <v>#VALUE!</v>
      </c>
    </row>
    <row r="6" spans="1:4">
      <c r="A6" s="41"/>
      <c r="B6" s="42" t="s">
        <v>4</v>
      </c>
      <c r="C6" s="30" t="s">
        <v>5</v>
      </c>
      <c r="D6" s="107" t="str">
        <f>Metadata!$D$17</f>
        <v>Attachment 0003</v>
      </c>
    </row>
    <row r="7" spans="1:4">
      <c r="A7" s="55"/>
      <c r="B7" s="93" t="s">
        <v>6</v>
      </c>
      <c r="C7" s="32" t="s">
        <v>7</v>
      </c>
      <c r="D7" s="108">
        <f>Metadata!D18</f>
        <v>0</v>
      </c>
    </row>
    <row r="8" spans="1:4" ht="13.5" thickBot="1">
      <c r="A8" s="43"/>
      <c r="B8" s="44" t="s">
        <v>8</v>
      </c>
      <c r="C8" s="46" t="s">
        <v>9</v>
      </c>
      <c r="D8" s="124">
        <f>Metadata!D19</f>
        <v>0</v>
      </c>
    </row>
    <row r="9" spans="1:4">
      <c r="A9" s="3"/>
      <c r="B9" s="3"/>
      <c r="C9" s="129"/>
      <c r="D9" s="122"/>
    </row>
    <row r="10" spans="1:4" ht="13.5" thickBot="1">
      <c r="A10" s="185" t="s">
        <v>45</v>
      </c>
      <c r="B10" s="185"/>
      <c r="C10" s="186"/>
      <c r="D10" s="186"/>
    </row>
    <row r="11" spans="1:4">
      <c r="A11" s="94" t="s">
        <v>46</v>
      </c>
      <c r="B11" s="95" t="s">
        <v>47</v>
      </c>
      <c r="C11" s="96" t="s">
        <v>41</v>
      </c>
      <c r="D11" s="97" t="s">
        <v>44</v>
      </c>
    </row>
    <row r="12" spans="1:4">
      <c r="A12" s="98" t="s">
        <v>48</v>
      </c>
      <c r="B12" s="99" t="s">
        <v>49</v>
      </c>
      <c r="C12" s="100" t="s">
        <v>50</v>
      </c>
      <c r="D12" s="101" t="s">
        <v>51</v>
      </c>
    </row>
    <row r="13" spans="1:4">
      <c r="A13" s="98"/>
      <c r="B13" s="99"/>
      <c r="C13" s="100"/>
      <c r="D13" s="101"/>
    </row>
    <row r="14" spans="1:4">
      <c r="A14" s="98"/>
      <c r="B14" s="99"/>
      <c r="C14" s="100"/>
      <c r="D14" s="101"/>
    </row>
    <row r="15" spans="1:4">
      <c r="A15" s="98"/>
      <c r="B15" s="99"/>
      <c r="C15" s="100"/>
      <c r="D15" s="101"/>
    </row>
    <row r="16" spans="1:4">
      <c r="A16" s="98"/>
      <c r="B16" s="99"/>
      <c r="C16" s="100"/>
      <c r="D16" s="101"/>
    </row>
    <row r="17" spans="1:4">
      <c r="A17" s="98"/>
      <c r="B17" s="99"/>
      <c r="C17" s="100"/>
      <c r="D17" s="101"/>
    </row>
    <row r="18" spans="1:4">
      <c r="A18" s="98"/>
      <c r="B18" s="99"/>
      <c r="C18" s="100"/>
      <c r="D18" s="101"/>
    </row>
    <row r="19" spans="1:4">
      <c r="A19" s="98"/>
      <c r="B19" s="99"/>
      <c r="C19" s="100"/>
      <c r="D19" s="101"/>
    </row>
    <row r="20" spans="1:4">
      <c r="A20" s="98"/>
      <c r="B20" s="99"/>
      <c r="C20" s="100"/>
      <c r="D20" s="101"/>
    </row>
    <row r="21" spans="1:4">
      <c r="A21" s="98"/>
      <c r="B21" s="99"/>
      <c r="C21" s="100"/>
      <c r="D21" s="101"/>
    </row>
    <row r="22" spans="1:4">
      <c r="A22" s="98"/>
      <c r="B22" s="99"/>
      <c r="C22" s="100"/>
      <c r="D22" s="101"/>
    </row>
    <row r="23" spans="1:4">
      <c r="A23" s="98"/>
      <c r="B23" s="99"/>
      <c r="C23" s="100"/>
      <c r="D23" s="101"/>
    </row>
    <row r="24" spans="1:4">
      <c r="A24" s="98"/>
      <c r="B24" s="99"/>
      <c r="C24" s="100"/>
      <c r="D24" s="101"/>
    </row>
    <row r="25" spans="1:4">
      <c r="A25" s="98"/>
      <c r="B25" s="99"/>
      <c r="C25" s="100"/>
      <c r="D25" s="101"/>
    </row>
    <row r="26" spans="1:4">
      <c r="A26" s="98"/>
      <c r="B26" s="99"/>
      <c r="C26" s="100"/>
      <c r="D26" s="101"/>
    </row>
    <row r="27" spans="1:4">
      <c r="A27" s="98"/>
      <c r="B27" s="99"/>
      <c r="C27" s="100"/>
      <c r="D27" s="101"/>
    </row>
    <row r="28" spans="1:4">
      <c r="A28" s="98"/>
      <c r="B28" s="99"/>
      <c r="C28" s="100"/>
      <c r="D28" s="101"/>
    </row>
    <row r="29" spans="1:4">
      <c r="A29" s="98"/>
      <c r="B29" s="99"/>
      <c r="C29" s="100"/>
      <c r="D29" s="101"/>
    </row>
    <row r="30" spans="1:4">
      <c r="A30" s="98"/>
      <c r="B30" s="99"/>
      <c r="C30" s="100"/>
      <c r="D30" s="101"/>
    </row>
    <row r="31" spans="1:4">
      <c r="A31" s="98"/>
      <c r="B31" s="99"/>
      <c r="C31" s="100"/>
      <c r="D31" s="101"/>
    </row>
    <row r="32" spans="1:4">
      <c r="A32" s="98"/>
      <c r="B32" s="99"/>
      <c r="C32" s="100"/>
      <c r="D32" s="101"/>
    </row>
    <row r="33" spans="1:4">
      <c r="A33" s="98"/>
      <c r="B33" s="99"/>
      <c r="C33" s="100"/>
      <c r="D33" s="101"/>
    </row>
    <row r="34" spans="1:4">
      <c r="A34" s="98"/>
      <c r="B34" s="99"/>
      <c r="C34" s="100"/>
      <c r="D34" s="101"/>
    </row>
    <row r="35" spans="1:4">
      <c r="A35" s="98"/>
      <c r="B35" s="99"/>
      <c r="C35" s="100"/>
      <c r="D35" s="101"/>
    </row>
    <row r="36" spans="1:4">
      <c r="A36" s="98"/>
      <c r="B36" s="99"/>
      <c r="C36" s="100"/>
      <c r="D36" s="101"/>
    </row>
    <row r="37" spans="1:4" ht="13.5" thickBot="1">
      <c r="A37" s="130"/>
      <c r="B37" s="131"/>
      <c r="C37" s="132"/>
      <c r="D37" s="133"/>
    </row>
    <row r="38" spans="1:4">
      <c r="A38" s="122"/>
      <c r="B38" s="122"/>
      <c r="C38" s="122"/>
      <c r="D38" s="92" t="s">
        <v>52</v>
      </c>
    </row>
    <row r="39" spans="1:4">
      <c r="A39" s="61"/>
      <c r="B39" s="61"/>
      <c r="C39" s="61"/>
      <c r="D39" s="62" t="s">
        <v>0</v>
      </c>
    </row>
  </sheetData>
  <mergeCells count="2">
    <mergeCell ref="A2:D2"/>
    <mergeCell ref="A10:D10"/>
  </mergeCells>
  <pageMargins left="0.25" right="0.25"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74"/>
  <sheetViews>
    <sheetView showGridLines="0" zoomScale="140" zoomScaleNormal="140" workbookViewId="0">
      <selection activeCell="D17" sqref="D17"/>
    </sheetView>
  </sheetViews>
  <sheetFormatPr defaultColWidth="9.140625" defaultRowHeight="12.75"/>
  <cols>
    <col min="1" max="1" width="12.42578125" style="1" customWidth="1"/>
    <col min="2" max="2" width="4" style="1" bestFit="1" customWidth="1"/>
    <col min="3" max="3" width="33" style="1" bestFit="1" customWidth="1"/>
    <col min="4" max="4" width="42.28515625" style="1" bestFit="1" customWidth="1"/>
    <col min="5" max="16384" width="9.140625" style="1"/>
  </cols>
  <sheetData>
    <row r="1" spans="1:5">
      <c r="A1" s="61"/>
      <c r="B1" s="65"/>
      <c r="C1" s="66" t="s">
        <v>0</v>
      </c>
      <c r="D1" s="65"/>
      <c r="E1" s="104"/>
    </row>
    <row r="2" spans="1:5" ht="25.5" customHeight="1">
      <c r="A2" s="179"/>
      <c r="B2" s="179"/>
      <c r="C2" s="179"/>
      <c r="D2" s="179"/>
      <c r="E2" s="104"/>
    </row>
    <row r="3" spans="1:5" ht="13.5" thickBot="1">
      <c r="A3" s="104"/>
      <c r="B3" s="104"/>
      <c r="C3" s="104"/>
      <c r="D3" s="104"/>
      <c r="E3" s="104"/>
    </row>
    <row r="4" spans="1:5">
      <c r="A4" s="187" t="s">
        <v>53</v>
      </c>
      <c r="B4" s="26" t="s">
        <v>3</v>
      </c>
      <c r="C4" s="48" t="s">
        <v>2</v>
      </c>
      <c r="D4" s="123" t="e">
        <f ca="1">MID(CELL("filename"),SEARCH("[",CELL("filename"))+1,SEARCH("]",CELL("filename"))-SEARCH("[",CELL("filename"))-1)</f>
        <v>#VALUE!</v>
      </c>
      <c r="E4" s="104"/>
    </row>
    <row r="5" spans="1:5">
      <c r="A5" s="188"/>
      <c r="B5" s="27" t="s">
        <v>54</v>
      </c>
      <c r="C5" s="22" t="s">
        <v>55</v>
      </c>
      <c r="D5" s="107" t="e">
        <f ca="1">MID(CELL("filename",A1),FIND("]",CELL("filename",A1))+1,255)</f>
        <v>#VALUE!</v>
      </c>
      <c r="E5" s="104"/>
    </row>
    <row r="6" spans="1:5">
      <c r="A6" s="188"/>
      <c r="B6" s="27" t="s">
        <v>56</v>
      </c>
      <c r="C6" s="22" t="s">
        <v>57</v>
      </c>
      <c r="D6" s="107" t="s">
        <v>58</v>
      </c>
      <c r="E6" s="104"/>
    </row>
    <row r="7" spans="1:5">
      <c r="A7" s="188"/>
      <c r="B7" s="27" t="s">
        <v>59</v>
      </c>
      <c r="C7" s="22" t="s">
        <v>60</v>
      </c>
      <c r="D7" s="102" t="s">
        <v>50</v>
      </c>
      <c r="E7" s="104"/>
    </row>
    <row r="8" spans="1:5">
      <c r="A8" s="188"/>
      <c r="B8" s="27" t="s">
        <v>61</v>
      </c>
      <c r="C8" s="22" t="s">
        <v>62</v>
      </c>
      <c r="D8" s="102" t="s">
        <v>50</v>
      </c>
      <c r="E8" s="104"/>
    </row>
    <row r="9" spans="1:5">
      <c r="A9" s="188"/>
      <c r="B9" s="27" t="s">
        <v>63</v>
      </c>
      <c r="C9" s="22" t="s">
        <v>46</v>
      </c>
      <c r="D9" s="103" t="s">
        <v>48</v>
      </c>
      <c r="E9" s="104"/>
    </row>
    <row r="10" spans="1:5">
      <c r="A10" s="188"/>
      <c r="B10" s="27" t="s">
        <v>64</v>
      </c>
      <c r="C10" s="22" t="s">
        <v>47</v>
      </c>
      <c r="D10" s="103" t="s">
        <v>49</v>
      </c>
      <c r="E10" s="104"/>
    </row>
    <row r="11" spans="1:5">
      <c r="A11" s="188"/>
      <c r="B11" s="27" t="s">
        <v>65</v>
      </c>
      <c r="C11" s="22" t="s">
        <v>66</v>
      </c>
      <c r="D11" s="103"/>
      <c r="E11" s="104"/>
    </row>
    <row r="12" spans="1:5">
      <c r="A12" s="188"/>
      <c r="B12" s="27" t="s">
        <v>67</v>
      </c>
      <c r="C12" s="22" t="s">
        <v>68</v>
      </c>
      <c r="D12" s="103"/>
      <c r="E12" s="104"/>
    </row>
    <row r="13" spans="1:5">
      <c r="A13" s="188"/>
      <c r="B13" s="27" t="s">
        <v>69</v>
      </c>
      <c r="C13" s="22" t="s">
        <v>70</v>
      </c>
      <c r="D13" s="107" t="s">
        <v>71</v>
      </c>
      <c r="E13" s="71"/>
    </row>
    <row r="14" spans="1:5">
      <c r="A14" s="188"/>
      <c r="B14" s="27" t="s">
        <v>72</v>
      </c>
      <c r="C14" s="22" t="s">
        <v>73</v>
      </c>
      <c r="D14" s="107" t="s">
        <v>74</v>
      </c>
      <c r="E14" s="104"/>
    </row>
    <row r="15" spans="1:5">
      <c r="A15" s="188"/>
      <c r="B15" s="27" t="s">
        <v>75</v>
      </c>
      <c r="C15" s="22" t="s">
        <v>76</v>
      </c>
      <c r="D15" s="107" t="s">
        <v>77</v>
      </c>
      <c r="E15" s="104"/>
    </row>
    <row r="16" spans="1:5">
      <c r="A16" s="188"/>
      <c r="B16" s="49" t="s">
        <v>78</v>
      </c>
      <c r="C16" s="50" t="s">
        <v>79</v>
      </c>
      <c r="D16" s="108" t="s">
        <v>80</v>
      </c>
      <c r="E16" s="104"/>
    </row>
    <row r="17" spans="1:5">
      <c r="A17" s="189" t="s">
        <v>81</v>
      </c>
      <c r="B17" s="51" t="s">
        <v>5</v>
      </c>
      <c r="C17" s="24" t="s">
        <v>4</v>
      </c>
      <c r="D17" s="109" t="s">
        <v>82</v>
      </c>
      <c r="E17" s="71"/>
    </row>
    <row r="18" spans="1:5">
      <c r="A18" s="190"/>
      <c r="B18" s="27" t="s">
        <v>7</v>
      </c>
      <c r="C18" s="20" t="s">
        <v>6</v>
      </c>
      <c r="D18" s="103"/>
      <c r="E18" s="71"/>
    </row>
    <row r="19" spans="1:5">
      <c r="A19" s="190"/>
      <c r="B19" s="27" t="s">
        <v>9</v>
      </c>
      <c r="C19" s="20" t="s">
        <v>8</v>
      </c>
      <c r="D19" s="103"/>
      <c r="E19" s="71"/>
    </row>
    <row r="20" spans="1:5">
      <c r="A20" s="190"/>
      <c r="B20" s="27" t="s">
        <v>83</v>
      </c>
      <c r="C20" s="20" t="s">
        <v>84</v>
      </c>
      <c r="D20" s="122" t="s">
        <v>85</v>
      </c>
      <c r="E20" s="71"/>
    </row>
    <row r="21" spans="1:5">
      <c r="A21" s="190"/>
      <c r="B21" s="27" t="s">
        <v>86</v>
      </c>
      <c r="C21" s="20" t="s">
        <v>87</v>
      </c>
      <c r="D21" s="110" t="s">
        <v>88</v>
      </c>
      <c r="E21" s="71"/>
    </row>
    <row r="22" spans="1:5">
      <c r="A22" s="190"/>
      <c r="B22" s="27" t="s">
        <v>89</v>
      </c>
      <c r="C22" s="20" t="s">
        <v>90</v>
      </c>
      <c r="D22" s="110" t="s">
        <v>91</v>
      </c>
      <c r="E22" s="71"/>
    </row>
    <row r="23" spans="1:5">
      <c r="A23" s="190"/>
      <c r="B23" s="27" t="s">
        <v>92</v>
      </c>
      <c r="C23" s="20" t="s">
        <v>93</v>
      </c>
      <c r="D23" s="110" t="s">
        <v>94</v>
      </c>
      <c r="E23" s="104"/>
    </row>
    <row r="24" spans="1:5">
      <c r="A24" s="190"/>
      <c r="B24" s="27" t="s">
        <v>95</v>
      </c>
      <c r="C24" s="20" t="s">
        <v>96</v>
      </c>
      <c r="D24" s="110" t="s">
        <v>97</v>
      </c>
      <c r="E24" s="71"/>
    </row>
    <row r="25" spans="1:5" ht="25.5">
      <c r="A25" s="190"/>
      <c r="B25" s="27" t="s">
        <v>98</v>
      </c>
      <c r="C25" s="20" t="s">
        <v>99</v>
      </c>
      <c r="D25" s="107" t="s">
        <v>100</v>
      </c>
      <c r="E25" s="71"/>
    </row>
    <row r="26" spans="1:5">
      <c r="A26" s="190"/>
      <c r="B26" s="27" t="s">
        <v>101</v>
      </c>
      <c r="C26" s="20" t="s">
        <v>102</v>
      </c>
      <c r="D26" s="107" t="s">
        <v>103</v>
      </c>
      <c r="E26" s="71"/>
    </row>
    <row r="27" spans="1:5">
      <c r="A27" s="191"/>
      <c r="B27" s="52" t="s">
        <v>104</v>
      </c>
      <c r="C27" s="53" t="s">
        <v>105</v>
      </c>
      <c r="D27" s="111" t="s">
        <v>106</v>
      </c>
      <c r="E27" s="71"/>
    </row>
    <row r="28" spans="1:5">
      <c r="A28" s="192" t="s">
        <v>107</v>
      </c>
      <c r="B28" s="51" t="s">
        <v>108</v>
      </c>
      <c r="C28" s="21" t="s">
        <v>109</v>
      </c>
      <c r="D28" s="105"/>
      <c r="E28" s="104"/>
    </row>
    <row r="29" spans="1:5">
      <c r="A29" s="188"/>
      <c r="B29" s="27" t="s">
        <v>110</v>
      </c>
      <c r="C29" s="22" t="s">
        <v>111</v>
      </c>
      <c r="D29" s="103"/>
      <c r="E29" s="104"/>
    </row>
    <row r="30" spans="1:5">
      <c r="A30" s="188"/>
      <c r="B30" s="27" t="s">
        <v>112</v>
      </c>
      <c r="C30" s="22" t="s">
        <v>113</v>
      </c>
      <c r="D30" s="103"/>
      <c r="E30" s="104"/>
    </row>
    <row r="31" spans="1:5">
      <c r="A31" s="188"/>
      <c r="B31" s="27" t="s">
        <v>114</v>
      </c>
      <c r="C31" s="22" t="s">
        <v>115</v>
      </c>
      <c r="D31" s="103"/>
      <c r="E31" s="104"/>
    </row>
    <row r="32" spans="1:5">
      <c r="A32" s="188"/>
      <c r="B32" s="27" t="s">
        <v>116</v>
      </c>
      <c r="C32" s="22" t="s">
        <v>117</v>
      </c>
      <c r="D32" s="103"/>
      <c r="E32" s="104"/>
    </row>
    <row r="33" spans="1:4">
      <c r="A33" s="188"/>
      <c r="B33" s="27" t="s">
        <v>118</v>
      </c>
      <c r="C33" s="22" t="s">
        <v>119</v>
      </c>
      <c r="D33" s="103"/>
    </row>
    <row r="34" spans="1:4">
      <c r="A34" s="188"/>
      <c r="B34" s="27" t="s">
        <v>120</v>
      </c>
      <c r="C34" s="22" t="s">
        <v>121</v>
      </c>
      <c r="D34" s="103"/>
    </row>
    <row r="35" spans="1:4">
      <c r="A35" s="188"/>
      <c r="B35" s="27" t="s">
        <v>122</v>
      </c>
      <c r="C35" s="22" t="s">
        <v>123</v>
      </c>
      <c r="D35" s="103"/>
    </row>
    <row r="36" spans="1:4">
      <c r="A36" s="188"/>
      <c r="B36" s="27" t="s">
        <v>124</v>
      </c>
      <c r="C36" s="22" t="s">
        <v>125</v>
      </c>
      <c r="D36" s="103"/>
    </row>
    <row r="37" spans="1:4">
      <c r="A37" s="188"/>
      <c r="B37" s="27" t="s">
        <v>126</v>
      </c>
      <c r="C37" s="22" t="s">
        <v>127</v>
      </c>
      <c r="D37" s="103"/>
    </row>
    <row r="38" spans="1:4">
      <c r="A38" s="188"/>
      <c r="B38" s="27" t="s">
        <v>128</v>
      </c>
      <c r="C38" s="22" t="s">
        <v>129</v>
      </c>
      <c r="D38" s="103"/>
    </row>
    <row r="39" spans="1:4">
      <c r="A39" s="188"/>
      <c r="B39" s="27" t="s">
        <v>130</v>
      </c>
      <c r="C39" s="22" t="s">
        <v>131</v>
      </c>
      <c r="D39" s="103"/>
    </row>
    <row r="40" spans="1:4">
      <c r="A40" s="188"/>
      <c r="B40" s="27" t="s">
        <v>132</v>
      </c>
      <c r="C40" s="22" t="s">
        <v>133</v>
      </c>
      <c r="D40" s="103"/>
    </row>
    <row r="41" spans="1:4">
      <c r="A41" s="188"/>
      <c r="B41" s="27" t="s">
        <v>134</v>
      </c>
      <c r="C41" s="22" t="s">
        <v>135</v>
      </c>
      <c r="D41" s="103"/>
    </row>
    <row r="42" spans="1:4">
      <c r="A42" s="188"/>
      <c r="B42" s="27" t="s">
        <v>136</v>
      </c>
      <c r="C42" s="22" t="s">
        <v>137</v>
      </c>
      <c r="D42" s="103"/>
    </row>
    <row r="43" spans="1:4">
      <c r="A43" s="193"/>
      <c r="B43" s="52" t="s">
        <v>138</v>
      </c>
      <c r="C43" s="23" t="s">
        <v>139</v>
      </c>
      <c r="D43" s="134"/>
    </row>
    <row r="44" spans="1:4">
      <c r="A44" s="192" t="s">
        <v>140</v>
      </c>
      <c r="B44" s="51" t="s">
        <v>141</v>
      </c>
      <c r="C44" s="24" t="s">
        <v>142</v>
      </c>
      <c r="D44" s="135"/>
    </row>
    <row r="45" spans="1:4">
      <c r="A45" s="188"/>
      <c r="B45" s="27" t="s">
        <v>143</v>
      </c>
      <c r="C45" s="20" t="s">
        <v>144</v>
      </c>
      <c r="D45" s="102"/>
    </row>
    <row r="46" spans="1:4">
      <c r="A46" s="188"/>
      <c r="B46" s="27" t="s">
        <v>145</v>
      </c>
      <c r="C46" s="20" t="s">
        <v>146</v>
      </c>
      <c r="D46" s="102"/>
    </row>
    <row r="47" spans="1:4">
      <c r="A47" s="188"/>
      <c r="B47" s="27" t="s">
        <v>147</v>
      </c>
      <c r="C47" s="20" t="s">
        <v>148</v>
      </c>
      <c r="D47" s="102"/>
    </row>
    <row r="48" spans="1:4">
      <c r="A48" s="188"/>
      <c r="B48" s="27" t="s">
        <v>149</v>
      </c>
      <c r="C48" s="20" t="s">
        <v>150</v>
      </c>
      <c r="D48" s="102"/>
    </row>
    <row r="49" spans="1:4">
      <c r="A49" s="188"/>
      <c r="B49" s="27" t="s">
        <v>151</v>
      </c>
      <c r="C49" s="20" t="s">
        <v>152</v>
      </c>
      <c r="D49" s="102"/>
    </row>
    <row r="50" spans="1:4">
      <c r="A50" s="188"/>
      <c r="B50" s="27" t="s">
        <v>153</v>
      </c>
      <c r="C50" s="20" t="s">
        <v>154</v>
      </c>
      <c r="D50" s="102"/>
    </row>
    <row r="51" spans="1:4">
      <c r="A51" s="188"/>
      <c r="B51" s="27" t="s">
        <v>155</v>
      </c>
      <c r="C51" s="20" t="s">
        <v>156</v>
      </c>
      <c r="D51" s="102"/>
    </row>
    <row r="52" spans="1:4">
      <c r="A52" s="188"/>
      <c r="B52" s="27" t="s">
        <v>157</v>
      </c>
      <c r="C52" s="20" t="s">
        <v>158</v>
      </c>
      <c r="D52" s="102"/>
    </row>
    <row r="53" spans="1:4" ht="13.5" thickBot="1">
      <c r="A53" s="194"/>
      <c r="B53" s="28" t="s">
        <v>159</v>
      </c>
      <c r="C53" s="25" t="s">
        <v>160</v>
      </c>
      <c r="D53" s="136"/>
    </row>
    <row r="55" spans="1:4">
      <c r="A55" s="61"/>
      <c r="B55" s="65"/>
      <c r="C55" s="66" t="s">
        <v>0</v>
      </c>
      <c r="D55" s="65"/>
    </row>
    <row r="74" spans="12:15">
      <c r="L74" s="137"/>
      <c r="M74" s="137"/>
      <c r="N74" s="137"/>
      <c r="O74" s="137"/>
    </row>
  </sheetData>
  <mergeCells count="5">
    <mergeCell ref="A4:A16"/>
    <mergeCell ref="A17:A27"/>
    <mergeCell ref="A28:A43"/>
    <mergeCell ref="A44:A53"/>
    <mergeCell ref="A2:D2"/>
  </mergeCells>
  <pageMargins left="0.25" right="0.25"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40"/>
  <sheetViews>
    <sheetView showGridLines="0" tabSelected="1" workbookViewId="0">
      <pane xSplit="4" ySplit="16" topLeftCell="E17" activePane="bottomRight" state="frozen"/>
      <selection pane="bottomRight" activeCell="D5" sqref="D5"/>
      <selection pane="bottomLeft" activeCell="A16" sqref="A16"/>
      <selection pane="topRight" activeCell="E1" sqref="E1"/>
    </sheetView>
  </sheetViews>
  <sheetFormatPr defaultColWidth="9.140625" defaultRowHeight="12.75"/>
  <cols>
    <col min="1" max="1" width="15.85546875" style="5" customWidth="1"/>
    <col min="2" max="2" width="4" style="5" customWidth="1"/>
    <col min="3" max="3" width="19.28515625" style="5" bestFit="1" customWidth="1"/>
    <col min="4" max="4" width="64" style="5" bestFit="1" customWidth="1"/>
    <col min="5" max="10" width="20.7109375" style="5" customWidth="1"/>
    <col min="11" max="11" width="2.28515625" style="5" bestFit="1" customWidth="1"/>
    <col min="12" max="12" width="20.7109375" style="5" customWidth="1"/>
    <col min="13" max="16384" width="9.140625" style="5"/>
  </cols>
  <sheetData>
    <row r="1" spans="1:12">
      <c r="A1" s="61"/>
      <c r="B1" s="61"/>
      <c r="C1" s="61"/>
      <c r="D1" s="61"/>
      <c r="E1" s="61"/>
      <c r="F1" s="66" t="s">
        <v>0</v>
      </c>
      <c r="G1" s="61"/>
      <c r="H1" s="61"/>
      <c r="I1" s="61"/>
      <c r="J1" s="61"/>
      <c r="K1" s="61"/>
      <c r="L1" s="61"/>
    </row>
    <row r="2" spans="1:12">
      <c r="A2" s="199"/>
      <c r="B2" s="199"/>
      <c r="C2" s="199"/>
      <c r="D2" s="199"/>
      <c r="E2" s="67"/>
      <c r="F2" s="67"/>
      <c r="G2" s="122"/>
      <c r="H2" s="122"/>
      <c r="I2" s="122"/>
      <c r="J2" s="122"/>
      <c r="K2" s="122"/>
      <c r="L2" s="122"/>
    </row>
    <row r="3" spans="1:12" ht="13.5" thickBot="1">
      <c r="A3" s="122"/>
      <c r="B3" s="122"/>
      <c r="C3" s="122"/>
      <c r="D3" s="122"/>
      <c r="E3" s="122"/>
      <c r="F3" s="122"/>
      <c r="G3" s="122"/>
      <c r="H3" s="122"/>
      <c r="I3" s="122"/>
      <c r="J3" s="122"/>
      <c r="K3" s="122"/>
      <c r="L3" s="122"/>
    </row>
    <row r="4" spans="1:12" s="2" customFormat="1">
      <c r="A4" s="196" t="s">
        <v>161</v>
      </c>
      <c r="B4" s="45" t="s">
        <v>3</v>
      </c>
      <c r="C4" s="48" t="s">
        <v>2</v>
      </c>
      <c r="D4" s="123" t="e">
        <f ca="1">MID(CELL("filename"),SEARCH("[",CELL("filename"))+1,SEARCH("]",CELL("filename"))-SEARCH("[",CELL("filename"))-1)</f>
        <v>#VALUE!</v>
      </c>
      <c r="E4" s="122"/>
      <c r="F4" s="122"/>
      <c r="G4" s="122"/>
      <c r="H4" s="122"/>
      <c r="I4" s="122"/>
      <c r="J4" s="122"/>
      <c r="K4" s="122"/>
      <c r="L4" s="122"/>
    </row>
    <row r="5" spans="1:12" s="2" customFormat="1">
      <c r="A5" s="197"/>
      <c r="B5" s="30" t="s">
        <v>5</v>
      </c>
      <c r="C5" s="22" t="s">
        <v>4</v>
      </c>
      <c r="D5" s="107" t="str">
        <f>Metadata!$D$17</f>
        <v>Attachment 0003</v>
      </c>
      <c r="E5" s="122"/>
      <c r="F5" s="122"/>
      <c r="G5" s="122"/>
      <c r="H5" s="122"/>
      <c r="I5" s="122"/>
      <c r="J5" s="122"/>
      <c r="K5" s="122"/>
      <c r="L5" s="122"/>
    </row>
    <row r="6" spans="1:12" s="2" customFormat="1">
      <c r="A6" s="197"/>
      <c r="B6" s="32" t="s">
        <v>7</v>
      </c>
      <c r="C6" s="22" t="s">
        <v>6</v>
      </c>
      <c r="D6" s="107">
        <f>Metadata!D18</f>
        <v>0</v>
      </c>
      <c r="E6" s="122"/>
      <c r="F6" s="122"/>
      <c r="G6" s="122"/>
      <c r="H6" s="122"/>
      <c r="I6" s="122"/>
      <c r="J6" s="122"/>
      <c r="K6" s="122"/>
      <c r="L6" s="122"/>
    </row>
    <row r="7" spans="1:12" s="2" customFormat="1" ht="13.5" thickBot="1">
      <c r="A7" s="198"/>
      <c r="B7" s="46" t="s">
        <v>9</v>
      </c>
      <c r="C7" s="54" t="s">
        <v>8</v>
      </c>
      <c r="D7" s="124">
        <f>Metadata!D19</f>
        <v>0</v>
      </c>
      <c r="E7" s="122"/>
      <c r="F7" s="122"/>
      <c r="G7" s="122"/>
      <c r="H7" s="122"/>
      <c r="I7" s="122"/>
      <c r="J7" s="122"/>
      <c r="K7" s="122"/>
      <c r="L7" s="122"/>
    </row>
    <row r="8" spans="1:12" ht="13.5" thickBot="1">
      <c r="A8" s="122"/>
      <c r="B8" s="122"/>
      <c r="C8" s="122"/>
      <c r="D8" s="138"/>
      <c r="E8" s="195" t="s">
        <v>162</v>
      </c>
      <c r="F8" s="195"/>
      <c r="G8" s="139"/>
      <c r="H8" s="139"/>
      <c r="I8" s="138"/>
      <c r="J8" s="138"/>
      <c r="K8" s="138"/>
      <c r="L8" s="122"/>
    </row>
    <row r="9" spans="1:12">
      <c r="A9" s="33" t="s">
        <v>163</v>
      </c>
      <c r="B9" s="26"/>
      <c r="C9" s="140"/>
      <c r="D9" s="141"/>
      <c r="E9" s="142" t="s">
        <v>164</v>
      </c>
      <c r="F9" s="143" t="s">
        <v>165</v>
      </c>
      <c r="G9" s="144" t="s">
        <v>166</v>
      </c>
      <c r="H9" s="145" t="s">
        <v>167</v>
      </c>
      <c r="I9" s="146" t="s">
        <v>164</v>
      </c>
      <c r="J9" s="147" t="s">
        <v>165</v>
      </c>
      <c r="K9" s="147" t="s">
        <v>168</v>
      </c>
      <c r="L9" s="148" t="s">
        <v>169</v>
      </c>
    </row>
    <row r="10" spans="1:12" s="6" customFormat="1" ht="25.5">
      <c r="A10" s="34"/>
      <c r="B10" s="30" t="s">
        <v>170</v>
      </c>
      <c r="C10" s="56"/>
      <c r="D10" s="35" t="s">
        <v>171</v>
      </c>
      <c r="E10" s="149" t="s">
        <v>172</v>
      </c>
      <c r="F10" s="150" t="s">
        <v>173</v>
      </c>
      <c r="G10" s="151" t="s">
        <v>174</v>
      </c>
      <c r="H10" s="152" t="s">
        <v>175</v>
      </c>
      <c r="I10" s="153"/>
      <c r="J10" s="154"/>
      <c r="K10" s="154"/>
      <c r="L10" s="155"/>
    </row>
    <row r="11" spans="1:12" s="6" customFormat="1">
      <c r="A11" s="34"/>
      <c r="B11" s="30" t="s">
        <v>176</v>
      </c>
      <c r="C11" s="57"/>
      <c r="D11" s="36" t="s">
        <v>177</v>
      </c>
      <c r="E11" s="149" t="s">
        <v>178</v>
      </c>
      <c r="F11" s="150" t="s">
        <v>178</v>
      </c>
      <c r="G11" s="151" t="s">
        <v>174</v>
      </c>
      <c r="H11" s="152" t="s">
        <v>175</v>
      </c>
      <c r="I11" s="153"/>
      <c r="J11" s="154"/>
      <c r="K11" s="154"/>
      <c r="L11" s="155"/>
    </row>
    <row r="12" spans="1:12" s="6" customFormat="1">
      <c r="A12" s="34"/>
      <c r="B12" s="30" t="s">
        <v>179</v>
      </c>
      <c r="C12" s="58"/>
      <c r="D12" s="36" t="s">
        <v>180</v>
      </c>
      <c r="E12" s="156">
        <v>21000000</v>
      </c>
      <c r="F12" s="157">
        <v>25000000</v>
      </c>
      <c r="G12" s="158"/>
      <c r="H12" s="159"/>
      <c r="I12" s="160"/>
      <c r="J12" s="161"/>
      <c r="K12" s="161"/>
      <c r="L12" s="162"/>
    </row>
    <row r="13" spans="1:12" s="6" customFormat="1">
      <c r="A13" s="34"/>
      <c r="B13" s="30" t="s">
        <v>181</v>
      </c>
      <c r="C13" s="57"/>
      <c r="D13" s="36" t="s">
        <v>182</v>
      </c>
      <c r="E13" s="163">
        <v>0.5</v>
      </c>
      <c r="F13" s="164">
        <v>0.45</v>
      </c>
      <c r="G13" s="165" t="s">
        <v>174</v>
      </c>
      <c r="H13" s="166"/>
      <c r="I13" s="167"/>
      <c r="J13" s="168"/>
      <c r="K13" s="168"/>
      <c r="L13" s="169"/>
    </row>
    <row r="14" spans="1:12" s="6" customFormat="1">
      <c r="A14" s="34"/>
      <c r="B14" s="30" t="s">
        <v>183</v>
      </c>
      <c r="C14" s="57"/>
      <c r="D14" s="36" t="s">
        <v>184</v>
      </c>
      <c r="E14" s="163">
        <v>0.9</v>
      </c>
      <c r="F14" s="164">
        <v>0.4</v>
      </c>
      <c r="G14" s="165" t="s">
        <v>174</v>
      </c>
      <c r="H14" s="166"/>
      <c r="I14" s="167"/>
      <c r="J14" s="168"/>
      <c r="K14" s="168"/>
      <c r="L14" s="169"/>
    </row>
    <row r="15" spans="1:12" s="6" customFormat="1">
      <c r="A15" s="34"/>
      <c r="B15" s="30" t="s">
        <v>185</v>
      </c>
      <c r="C15" s="59"/>
      <c r="D15" s="37" t="s">
        <v>186</v>
      </c>
      <c r="E15" s="170"/>
      <c r="F15" s="171"/>
      <c r="G15" s="172" t="s">
        <v>174</v>
      </c>
      <c r="H15" s="173" t="s">
        <v>174</v>
      </c>
      <c r="I15" s="174"/>
      <c r="J15" s="175"/>
      <c r="K15" s="175"/>
      <c r="L15" s="176"/>
    </row>
    <row r="16" spans="1:12">
      <c r="A16" s="34"/>
      <c r="B16" s="32" t="s">
        <v>187</v>
      </c>
      <c r="C16" s="60" t="s">
        <v>188</v>
      </c>
      <c r="D16" s="12" t="s">
        <v>189</v>
      </c>
      <c r="E16" s="31"/>
      <c r="F16" s="12"/>
      <c r="G16" s="16"/>
      <c r="H16" s="18"/>
      <c r="I16" s="10"/>
      <c r="J16" s="11"/>
      <c r="K16" s="11"/>
      <c r="L16" s="14"/>
    </row>
    <row r="17" spans="1:12">
      <c r="A17" s="34"/>
      <c r="B17" s="177"/>
      <c r="C17" s="68" t="s">
        <v>190</v>
      </c>
      <c r="D17" s="69" t="s">
        <v>191</v>
      </c>
      <c r="E17" s="8" t="s">
        <v>192</v>
      </c>
      <c r="F17" s="9" t="s">
        <v>192</v>
      </c>
      <c r="G17" s="17"/>
      <c r="H17" s="19"/>
      <c r="I17" s="13"/>
      <c r="J17" s="7"/>
      <c r="K17" s="7"/>
      <c r="L17" s="15"/>
    </row>
    <row r="18" spans="1:12">
      <c r="A18" s="34"/>
      <c r="B18" s="177"/>
      <c r="C18" s="68" t="s">
        <v>193</v>
      </c>
      <c r="D18" s="69" t="s">
        <v>194</v>
      </c>
      <c r="E18" s="8" t="s">
        <v>192</v>
      </c>
      <c r="F18" s="9" t="s">
        <v>192</v>
      </c>
      <c r="G18" s="17"/>
      <c r="H18" s="19"/>
      <c r="I18" s="13"/>
      <c r="J18" s="7"/>
      <c r="K18" s="7"/>
      <c r="L18" s="15"/>
    </row>
    <row r="19" spans="1:12">
      <c r="A19" s="34"/>
      <c r="B19" s="177"/>
      <c r="C19" s="68" t="s">
        <v>195</v>
      </c>
      <c r="D19" s="69" t="s">
        <v>196</v>
      </c>
      <c r="E19" s="8" t="s">
        <v>192</v>
      </c>
      <c r="F19" s="9" t="s">
        <v>192</v>
      </c>
      <c r="G19" s="17"/>
      <c r="H19" s="19"/>
      <c r="I19" s="13"/>
      <c r="J19" s="7"/>
      <c r="K19" s="7"/>
      <c r="L19" s="15"/>
    </row>
    <row r="20" spans="1:12">
      <c r="A20" s="34"/>
      <c r="B20" s="177"/>
      <c r="C20" s="70" t="s">
        <v>197</v>
      </c>
      <c r="D20" s="69" t="s">
        <v>198</v>
      </c>
      <c r="E20" s="8" t="s">
        <v>199</v>
      </c>
      <c r="F20" s="9" t="s">
        <v>192</v>
      </c>
      <c r="G20" s="17"/>
      <c r="H20" s="19"/>
      <c r="I20" s="13"/>
      <c r="J20" s="7"/>
      <c r="K20" s="7"/>
      <c r="L20" s="15"/>
    </row>
    <row r="21" spans="1:12">
      <c r="A21" s="34"/>
      <c r="B21" s="177"/>
      <c r="C21" s="70" t="s">
        <v>200</v>
      </c>
      <c r="D21" s="69" t="s">
        <v>201</v>
      </c>
      <c r="E21" s="8" t="s">
        <v>192</v>
      </c>
      <c r="F21" s="9" t="s">
        <v>192</v>
      </c>
      <c r="G21" s="17"/>
      <c r="H21" s="19"/>
      <c r="I21" s="13"/>
      <c r="J21" s="7"/>
      <c r="K21" s="7"/>
      <c r="L21" s="15"/>
    </row>
    <row r="22" spans="1:12">
      <c r="A22" s="34"/>
      <c r="B22" s="177"/>
      <c r="C22" s="70" t="s">
        <v>202</v>
      </c>
      <c r="D22" s="69" t="s">
        <v>203</v>
      </c>
      <c r="E22" s="8" t="s">
        <v>192</v>
      </c>
      <c r="F22" s="9" t="s">
        <v>192</v>
      </c>
      <c r="G22" s="17"/>
      <c r="H22" s="19"/>
      <c r="I22" s="13"/>
      <c r="J22" s="7"/>
      <c r="K22" s="7"/>
      <c r="L22" s="15"/>
    </row>
    <row r="23" spans="1:12">
      <c r="A23" s="34"/>
      <c r="B23" s="177"/>
      <c r="C23" s="70" t="s">
        <v>204</v>
      </c>
      <c r="D23" s="69" t="s">
        <v>205</v>
      </c>
      <c r="E23" s="8" t="s">
        <v>192</v>
      </c>
      <c r="F23" s="9" t="s">
        <v>192</v>
      </c>
      <c r="G23" s="17"/>
      <c r="H23" s="19"/>
      <c r="I23" s="13"/>
      <c r="J23" s="7"/>
      <c r="K23" s="7"/>
      <c r="L23" s="15"/>
    </row>
    <row r="24" spans="1:12">
      <c r="A24" s="34"/>
      <c r="B24" s="177"/>
      <c r="C24" s="70" t="s">
        <v>206</v>
      </c>
      <c r="D24" s="69" t="s">
        <v>207</v>
      </c>
      <c r="E24" s="8" t="s">
        <v>192</v>
      </c>
      <c r="F24" s="9" t="s">
        <v>192</v>
      </c>
      <c r="G24" s="17"/>
      <c r="H24" s="19"/>
      <c r="I24" s="13"/>
      <c r="J24" s="7"/>
      <c r="K24" s="7"/>
      <c r="L24" s="15"/>
    </row>
    <row r="25" spans="1:12">
      <c r="A25" s="34"/>
      <c r="B25" s="177"/>
      <c r="C25" s="70" t="s">
        <v>208</v>
      </c>
      <c r="D25" s="69" t="s">
        <v>209</v>
      </c>
      <c r="E25" s="8" t="s">
        <v>192</v>
      </c>
      <c r="F25" s="9" t="s">
        <v>192</v>
      </c>
      <c r="G25" s="17"/>
      <c r="H25" s="19"/>
      <c r="I25" s="13"/>
      <c r="J25" s="7"/>
      <c r="K25" s="7"/>
      <c r="L25" s="15"/>
    </row>
    <row r="26" spans="1:12">
      <c r="A26" s="34"/>
      <c r="B26" s="177"/>
      <c r="C26" s="70" t="s">
        <v>210</v>
      </c>
      <c r="D26" s="69" t="s">
        <v>211</v>
      </c>
      <c r="E26" s="8" t="s">
        <v>192</v>
      </c>
      <c r="F26" s="9" t="s">
        <v>192</v>
      </c>
      <c r="G26" s="17"/>
      <c r="H26" s="19"/>
      <c r="I26" s="13"/>
      <c r="J26" s="7"/>
      <c r="K26" s="7"/>
      <c r="L26" s="15"/>
    </row>
    <row r="27" spans="1:12">
      <c r="A27" s="34"/>
      <c r="B27" s="177"/>
      <c r="C27" s="70" t="s">
        <v>212</v>
      </c>
      <c r="D27" s="69" t="s">
        <v>213</v>
      </c>
      <c r="E27" s="8" t="s">
        <v>192</v>
      </c>
      <c r="F27" s="9" t="s">
        <v>192</v>
      </c>
      <c r="G27" s="17"/>
      <c r="H27" s="19"/>
      <c r="I27" s="13"/>
      <c r="J27" s="7"/>
      <c r="K27" s="7"/>
      <c r="L27" s="15"/>
    </row>
    <row r="28" spans="1:12">
      <c r="A28" s="34"/>
      <c r="B28" s="177"/>
      <c r="C28" s="70" t="s">
        <v>214</v>
      </c>
      <c r="D28" s="69" t="s">
        <v>215</v>
      </c>
      <c r="E28" s="8" t="s">
        <v>192</v>
      </c>
      <c r="F28" s="9" t="s">
        <v>192</v>
      </c>
      <c r="G28" s="17"/>
      <c r="H28" s="19"/>
      <c r="I28" s="13"/>
      <c r="J28" s="7"/>
      <c r="K28" s="7"/>
      <c r="L28" s="15"/>
    </row>
    <row r="29" spans="1:12">
      <c r="A29" s="34"/>
      <c r="B29" s="177"/>
      <c r="C29" s="70" t="s">
        <v>216</v>
      </c>
      <c r="D29" s="69" t="s">
        <v>217</v>
      </c>
      <c r="E29" s="8" t="s">
        <v>199</v>
      </c>
      <c r="F29" s="9" t="s">
        <v>192</v>
      </c>
      <c r="G29" s="17"/>
      <c r="H29" s="19"/>
      <c r="I29" s="13"/>
      <c r="J29" s="7"/>
      <c r="K29" s="7"/>
      <c r="L29" s="15"/>
    </row>
    <row r="30" spans="1:12">
      <c r="A30" s="34"/>
      <c r="B30" s="177"/>
      <c r="C30" s="70" t="s">
        <v>218</v>
      </c>
      <c r="D30" s="69" t="s">
        <v>219</v>
      </c>
      <c r="E30" s="8" t="s">
        <v>192</v>
      </c>
      <c r="F30" s="9" t="s">
        <v>192</v>
      </c>
      <c r="G30" s="17"/>
      <c r="H30" s="19"/>
      <c r="I30" s="13"/>
      <c r="J30" s="7"/>
      <c r="K30" s="7"/>
      <c r="L30" s="15"/>
    </row>
    <row r="31" spans="1:12">
      <c r="A31" s="34"/>
      <c r="B31" s="177"/>
      <c r="C31" s="70" t="s">
        <v>220</v>
      </c>
      <c r="D31" s="69" t="s">
        <v>221</v>
      </c>
      <c r="E31" s="8" t="s">
        <v>192</v>
      </c>
      <c r="F31" s="9" t="s">
        <v>192</v>
      </c>
      <c r="G31" s="17"/>
      <c r="H31" s="19"/>
      <c r="I31" s="13"/>
      <c r="J31" s="7"/>
      <c r="K31" s="7"/>
      <c r="L31" s="15"/>
    </row>
    <row r="32" spans="1:12">
      <c r="A32" s="34"/>
      <c r="B32" s="177"/>
      <c r="C32" s="70" t="s">
        <v>222</v>
      </c>
      <c r="D32" s="69" t="s">
        <v>223</v>
      </c>
      <c r="E32" s="8" t="s">
        <v>192</v>
      </c>
      <c r="F32" s="9" t="s">
        <v>192</v>
      </c>
      <c r="G32" s="17"/>
      <c r="H32" s="19"/>
      <c r="I32" s="13"/>
      <c r="J32" s="7"/>
      <c r="K32" s="7"/>
      <c r="L32" s="15"/>
    </row>
    <row r="33" spans="1:12">
      <c r="A33" s="34"/>
      <c r="B33" s="177"/>
      <c r="C33" s="70" t="s">
        <v>224</v>
      </c>
      <c r="D33" s="69" t="s">
        <v>225</v>
      </c>
      <c r="E33" s="8" t="s">
        <v>192</v>
      </c>
      <c r="F33" s="9" t="s">
        <v>192</v>
      </c>
      <c r="G33" s="17"/>
      <c r="H33" s="19"/>
      <c r="I33" s="13"/>
      <c r="J33" s="7"/>
      <c r="K33" s="7"/>
      <c r="L33" s="15"/>
    </row>
    <row r="34" spans="1:12">
      <c r="A34" s="34"/>
      <c r="B34" s="177"/>
      <c r="C34" s="70" t="s">
        <v>226</v>
      </c>
      <c r="D34" s="69" t="s">
        <v>227</v>
      </c>
      <c r="E34" s="8" t="s">
        <v>192</v>
      </c>
      <c r="F34" s="9" t="s">
        <v>192</v>
      </c>
      <c r="G34" s="17"/>
      <c r="H34" s="19"/>
      <c r="I34" s="13"/>
      <c r="J34" s="7"/>
      <c r="K34" s="7"/>
      <c r="L34" s="15"/>
    </row>
    <row r="35" spans="1:12">
      <c r="A35" s="34"/>
      <c r="B35" s="177"/>
      <c r="C35" s="70" t="s">
        <v>228</v>
      </c>
      <c r="D35" s="69" t="s">
        <v>229</v>
      </c>
      <c r="E35" s="8" t="s">
        <v>192</v>
      </c>
      <c r="F35" s="9" t="s">
        <v>199</v>
      </c>
      <c r="G35" s="17"/>
      <c r="H35" s="19"/>
      <c r="I35" s="13"/>
      <c r="J35" s="7"/>
      <c r="K35" s="7"/>
      <c r="L35" s="15"/>
    </row>
    <row r="36" spans="1:12">
      <c r="A36" s="34"/>
      <c r="B36" s="177"/>
      <c r="C36" s="70" t="s">
        <v>230</v>
      </c>
      <c r="D36" s="69" t="s">
        <v>231</v>
      </c>
      <c r="E36" s="8" t="s">
        <v>192</v>
      </c>
      <c r="F36" s="9" t="s">
        <v>192</v>
      </c>
      <c r="G36" s="17"/>
      <c r="H36" s="19"/>
      <c r="I36" s="13"/>
      <c r="J36" s="7"/>
      <c r="K36" s="7"/>
      <c r="L36" s="15"/>
    </row>
    <row r="37" spans="1:12">
      <c r="A37" s="34"/>
      <c r="B37" s="177"/>
      <c r="C37" s="70" t="s">
        <v>232</v>
      </c>
      <c r="D37" s="69" t="s">
        <v>233</v>
      </c>
      <c r="E37" s="8" t="s">
        <v>192</v>
      </c>
      <c r="F37" s="9" t="s">
        <v>192</v>
      </c>
      <c r="G37" s="17"/>
      <c r="H37" s="19"/>
      <c r="I37" s="13"/>
      <c r="J37" s="7"/>
      <c r="K37" s="7"/>
      <c r="L37" s="15"/>
    </row>
    <row r="38" spans="1:12">
      <c r="A38" s="34"/>
      <c r="B38" s="177"/>
      <c r="C38" s="70" t="s">
        <v>234</v>
      </c>
      <c r="D38" s="69" t="s">
        <v>235</v>
      </c>
      <c r="E38" s="8" t="s">
        <v>192</v>
      </c>
      <c r="F38" s="9" t="s">
        <v>192</v>
      </c>
      <c r="G38" s="17"/>
      <c r="H38" s="19"/>
      <c r="I38" s="13"/>
      <c r="J38" s="7"/>
      <c r="K38" s="7"/>
      <c r="L38" s="15"/>
    </row>
    <row r="39" spans="1:12">
      <c r="A39" s="34"/>
      <c r="B39" s="177"/>
      <c r="C39" s="70" t="s">
        <v>236</v>
      </c>
      <c r="D39" s="69" t="s">
        <v>237</v>
      </c>
      <c r="E39" s="8" t="s">
        <v>192</v>
      </c>
      <c r="F39" s="9" t="s">
        <v>192</v>
      </c>
      <c r="G39" s="17"/>
      <c r="H39" s="19"/>
      <c r="I39" s="13"/>
      <c r="J39" s="7"/>
      <c r="K39" s="7"/>
      <c r="L39" s="15"/>
    </row>
    <row r="40" spans="1:12">
      <c r="A40" s="34"/>
      <c r="B40" s="177"/>
      <c r="C40" s="70" t="s">
        <v>238</v>
      </c>
      <c r="D40" s="69" t="s">
        <v>239</v>
      </c>
      <c r="E40" s="8" t="s">
        <v>192</v>
      </c>
      <c r="F40" s="9" t="s">
        <v>192</v>
      </c>
      <c r="G40" s="17"/>
      <c r="H40" s="19"/>
      <c r="I40" s="13"/>
      <c r="J40" s="7"/>
      <c r="K40" s="7"/>
      <c r="L40" s="15"/>
    </row>
    <row r="41" spans="1:12">
      <c r="A41" s="34"/>
      <c r="B41" s="177"/>
      <c r="C41" s="70" t="s">
        <v>240</v>
      </c>
      <c r="D41" s="69" t="s">
        <v>241</v>
      </c>
      <c r="E41" s="8" t="s">
        <v>192</v>
      </c>
      <c r="F41" s="9" t="s">
        <v>192</v>
      </c>
      <c r="G41" s="17"/>
      <c r="H41" s="19"/>
      <c r="I41" s="13"/>
      <c r="J41" s="7"/>
      <c r="K41" s="7"/>
      <c r="L41" s="15"/>
    </row>
    <row r="42" spans="1:12">
      <c r="A42" s="34"/>
      <c r="B42" s="177"/>
      <c r="C42" s="70" t="s">
        <v>242</v>
      </c>
      <c r="D42" s="69" t="s">
        <v>243</v>
      </c>
      <c r="E42" s="8" t="s">
        <v>192</v>
      </c>
      <c r="F42" s="9" t="s">
        <v>192</v>
      </c>
      <c r="G42" s="17"/>
      <c r="H42" s="19"/>
      <c r="I42" s="13"/>
      <c r="J42" s="7"/>
      <c r="K42" s="7"/>
      <c r="L42" s="15"/>
    </row>
    <row r="43" spans="1:12">
      <c r="A43" s="34"/>
      <c r="B43" s="177"/>
      <c r="C43" s="70" t="s">
        <v>244</v>
      </c>
      <c r="D43" s="69" t="s">
        <v>245</v>
      </c>
      <c r="E43" s="8" t="s">
        <v>192</v>
      </c>
      <c r="F43" s="9" t="s">
        <v>192</v>
      </c>
      <c r="G43" s="17"/>
      <c r="H43" s="19"/>
      <c r="I43" s="13"/>
      <c r="J43" s="7"/>
      <c r="K43" s="7"/>
      <c r="L43" s="15"/>
    </row>
    <row r="44" spans="1:12">
      <c r="A44" s="34"/>
      <c r="B44" s="177"/>
      <c r="C44" s="70" t="s">
        <v>246</v>
      </c>
      <c r="D44" s="69" t="s">
        <v>247</v>
      </c>
      <c r="E44" s="8" t="s">
        <v>192</v>
      </c>
      <c r="F44" s="9" t="s">
        <v>192</v>
      </c>
      <c r="G44" s="17"/>
      <c r="H44" s="19"/>
      <c r="I44" s="13"/>
      <c r="J44" s="7"/>
      <c r="K44" s="7"/>
      <c r="L44" s="15"/>
    </row>
    <row r="45" spans="1:12">
      <c r="A45" s="34"/>
      <c r="B45" s="177"/>
      <c r="C45" s="70" t="s">
        <v>248</v>
      </c>
      <c r="D45" s="69" t="s">
        <v>249</v>
      </c>
      <c r="E45" s="8" t="s">
        <v>192</v>
      </c>
      <c r="F45" s="9" t="s">
        <v>192</v>
      </c>
      <c r="G45" s="17"/>
      <c r="H45" s="19"/>
      <c r="I45" s="13"/>
      <c r="J45" s="7"/>
      <c r="K45" s="7"/>
      <c r="L45" s="15"/>
    </row>
    <row r="46" spans="1:12">
      <c r="A46" s="34"/>
      <c r="B46" s="177"/>
      <c r="C46" s="70" t="s">
        <v>250</v>
      </c>
      <c r="D46" s="69" t="s">
        <v>251</v>
      </c>
      <c r="E46" s="8" t="s">
        <v>192</v>
      </c>
      <c r="F46" s="9" t="s">
        <v>192</v>
      </c>
      <c r="G46" s="17"/>
      <c r="H46" s="19"/>
      <c r="I46" s="13"/>
      <c r="J46" s="7"/>
      <c r="K46" s="7"/>
      <c r="L46" s="15"/>
    </row>
    <row r="47" spans="1:12">
      <c r="A47" s="34"/>
      <c r="B47" s="177"/>
      <c r="C47" s="70" t="s">
        <v>252</v>
      </c>
      <c r="D47" s="69" t="s">
        <v>253</v>
      </c>
      <c r="E47" s="8" t="s">
        <v>192</v>
      </c>
      <c r="F47" s="9" t="s">
        <v>192</v>
      </c>
      <c r="G47" s="17"/>
      <c r="H47" s="19"/>
      <c r="I47" s="13"/>
      <c r="J47" s="7"/>
      <c r="K47" s="7"/>
      <c r="L47" s="15"/>
    </row>
    <row r="48" spans="1:12">
      <c r="A48" s="34"/>
      <c r="B48" s="177"/>
      <c r="C48" s="70" t="s">
        <v>254</v>
      </c>
      <c r="D48" s="69" t="s">
        <v>255</v>
      </c>
      <c r="E48" s="8" t="s">
        <v>192</v>
      </c>
      <c r="F48" s="9" t="s">
        <v>192</v>
      </c>
      <c r="G48" s="17"/>
      <c r="H48" s="19"/>
      <c r="I48" s="13"/>
      <c r="J48" s="7"/>
      <c r="K48" s="7"/>
      <c r="L48" s="15"/>
    </row>
    <row r="49" spans="1:12">
      <c r="A49" s="34"/>
      <c r="B49" s="177"/>
      <c r="C49" s="70" t="s">
        <v>256</v>
      </c>
      <c r="D49" s="69" t="s">
        <v>257</v>
      </c>
      <c r="E49" s="8" t="s">
        <v>192</v>
      </c>
      <c r="F49" s="9" t="s">
        <v>192</v>
      </c>
      <c r="G49" s="17"/>
      <c r="H49" s="19"/>
      <c r="I49" s="13"/>
      <c r="J49" s="7"/>
      <c r="K49" s="7"/>
      <c r="L49" s="15"/>
    </row>
    <row r="50" spans="1:12">
      <c r="A50" s="34"/>
      <c r="B50" s="177"/>
      <c r="C50" s="70" t="s">
        <v>258</v>
      </c>
      <c r="D50" s="69" t="s">
        <v>259</v>
      </c>
      <c r="E50" s="8" t="s">
        <v>192</v>
      </c>
      <c r="F50" s="9" t="s">
        <v>192</v>
      </c>
      <c r="G50" s="17"/>
      <c r="H50" s="19"/>
      <c r="I50" s="13"/>
      <c r="J50" s="7"/>
      <c r="K50" s="7"/>
      <c r="L50" s="15"/>
    </row>
    <row r="51" spans="1:12">
      <c r="A51" s="34"/>
      <c r="B51" s="177"/>
      <c r="C51" s="70" t="s">
        <v>260</v>
      </c>
      <c r="D51" s="69" t="s">
        <v>261</v>
      </c>
      <c r="E51" s="8" t="s">
        <v>192</v>
      </c>
      <c r="F51" s="9" t="s">
        <v>192</v>
      </c>
      <c r="G51" s="17"/>
      <c r="H51" s="19"/>
      <c r="I51" s="13"/>
      <c r="J51" s="7"/>
      <c r="K51" s="7"/>
      <c r="L51" s="15"/>
    </row>
    <row r="52" spans="1:12">
      <c r="A52" s="34"/>
      <c r="B52" s="177"/>
      <c r="C52" s="70" t="s">
        <v>262</v>
      </c>
      <c r="D52" s="69" t="s">
        <v>263</v>
      </c>
      <c r="E52" s="8" t="s">
        <v>199</v>
      </c>
      <c r="F52" s="9" t="s">
        <v>192</v>
      </c>
      <c r="G52" s="17"/>
      <c r="H52" s="19"/>
      <c r="I52" s="13"/>
      <c r="J52" s="7"/>
      <c r="K52" s="7"/>
      <c r="L52" s="15"/>
    </row>
    <row r="53" spans="1:12">
      <c r="A53" s="34"/>
      <c r="B53" s="177"/>
      <c r="C53" s="70" t="s">
        <v>264</v>
      </c>
      <c r="D53" s="69" t="s">
        <v>265</v>
      </c>
      <c r="E53" s="8" t="s">
        <v>192</v>
      </c>
      <c r="F53" s="9" t="s">
        <v>192</v>
      </c>
      <c r="G53" s="17"/>
      <c r="H53" s="19"/>
      <c r="I53" s="13"/>
      <c r="J53" s="7"/>
      <c r="K53" s="7"/>
      <c r="L53" s="15"/>
    </row>
    <row r="54" spans="1:12">
      <c r="A54" s="34"/>
      <c r="B54" s="177"/>
      <c r="C54" s="70" t="s">
        <v>266</v>
      </c>
      <c r="D54" s="69" t="s">
        <v>267</v>
      </c>
      <c r="E54" s="8" t="s">
        <v>192</v>
      </c>
      <c r="F54" s="9" t="s">
        <v>192</v>
      </c>
      <c r="G54" s="17"/>
      <c r="H54" s="19"/>
      <c r="I54" s="13"/>
      <c r="J54" s="7"/>
      <c r="K54" s="7"/>
      <c r="L54" s="15"/>
    </row>
    <row r="55" spans="1:12">
      <c r="A55" s="34"/>
      <c r="B55" s="177"/>
      <c r="C55" s="70" t="s">
        <v>268</v>
      </c>
      <c r="D55" s="69" t="s">
        <v>269</v>
      </c>
      <c r="E55" s="8" t="s">
        <v>192</v>
      </c>
      <c r="F55" s="9" t="s">
        <v>192</v>
      </c>
      <c r="G55" s="17"/>
      <c r="H55" s="19"/>
      <c r="I55" s="13"/>
      <c r="J55" s="7"/>
      <c r="K55" s="7"/>
      <c r="L55" s="15"/>
    </row>
    <row r="56" spans="1:12">
      <c r="A56" s="34"/>
      <c r="B56" s="177"/>
      <c r="C56" s="70" t="s">
        <v>270</v>
      </c>
      <c r="D56" s="69" t="s">
        <v>271</v>
      </c>
      <c r="E56" s="8" t="s">
        <v>192</v>
      </c>
      <c r="F56" s="9" t="s">
        <v>192</v>
      </c>
      <c r="G56" s="17"/>
      <c r="H56" s="19"/>
      <c r="I56" s="13"/>
      <c r="J56" s="7"/>
      <c r="K56" s="7"/>
      <c r="L56" s="15"/>
    </row>
    <row r="57" spans="1:12">
      <c r="A57" s="34"/>
      <c r="B57" s="177"/>
      <c r="C57" s="70" t="s">
        <v>272</v>
      </c>
      <c r="D57" s="69" t="s">
        <v>273</v>
      </c>
      <c r="E57" s="8" t="s">
        <v>192</v>
      </c>
      <c r="F57" s="9" t="s">
        <v>192</v>
      </c>
      <c r="G57" s="17"/>
      <c r="H57" s="19"/>
      <c r="I57" s="13"/>
      <c r="J57" s="7"/>
      <c r="K57" s="7"/>
      <c r="L57" s="15"/>
    </row>
    <row r="58" spans="1:12">
      <c r="A58" s="34"/>
      <c r="B58" s="177"/>
      <c r="C58" s="70" t="s">
        <v>274</v>
      </c>
      <c r="D58" s="69" t="s">
        <v>275</v>
      </c>
      <c r="E58" s="8" t="s">
        <v>192</v>
      </c>
      <c r="F58" s="9" t="s">
        <v>192</v>
      </c>
      <c r="G58" s="17"/>
      <c r="H58" s="19"/>
      <c r="I58" s="13"/>
      <c r="J58" s="7"/>
      <c r="K58" s="7"/>
      <c r="L58" s="15"/>
    </row>
    <row r="59" spans="1:12">
      <c r="A59" s="34"/>
      <c r="B59" s="177"/>
      <c r="C59" s="70" t="s">
        <v>276</v>
      </c>
      <c r="D59" s="69" t="s">
        <v>277</v>
      </c>
      <c r="E59" s="8" t="s">
        <v>192</v>
      </c>
      <c r="F59" s="9" t="s">
        <v>192</v>
      </c>
      <c r="G59" s="17"/>
      <c r="H59" s="19"/>
      <c r="I59" s="13"/>
      <c r="J59" s="7"/>
      <c r="K59" s="7"/>
      <c r="L59" s="15"/>
    </row>
    <row r="60" spans="1:12">
      <c r="A60" s="34"/>
      <c r="B60" s="177"/>
      <c r="C60" s="70" t="s">
        <v>278</v>
      </c>
      <c r="D60" s="69" t="s">
        <v>279</v>
      </c>
      <c r="E60" s="8" t="s">
        <v>192</v>
      </c>
      <c r="F60" s="9" t="s">
        <v>192</v>
      </c>
      <c r="G60" s="17"/>
      <c r="H60" s="19"/>
      <c r="I60" s="13"/>
      <c r="J60" s="7"/>
      <c r="K60" s="7"/>
      <c r="L60" s="15"/>
    </row>
    <row r="61" spans="1:12">
      <c r="A61" s="34"/>
      <c r="B61" s="177"/>
      <c r="C61" s="70" t="s">
        <v>280</v>
      </c>
      <c r="D61" s="69" t="s">
        <v>281</v>
      </c>
      <c r="E61" s="8" t="s">
        <v>192</v>
      </c>
      <c r="F61" s="9" t="s">
        <v>192</v>
      </c>
      <c r="G61" s="17"/>
      <c r="H61" s="19"/>
      <c r="I61" s="13"/>
      <c r="J61" s="7"/>
      <c r="K61" s="7"/>
      <c r="L61" s="15"/>
    </row>
    <row r="62" spans="1:12">
      <c r="A62" s="34"/>
      <c r="B62" s="177"/>
      <c r="C62" s="70" t="s">
        <v>282</v>
      </c>
      <c r="D62" s="69" t="s">
        <v>283</v>
      </c>
      <c r="E62" s="8" t="s">
        <v>192</v>
      </c>
      <c r="F62" s="9" t="s">
        <v>192</v>
      </c>
      <c r="G62" s="17"/>
      <c r="H62" s="19"/>
      <c r="I62" s="13"/>
      <c r="J62" s="7"/>
      <c r="K62" s="7"/>
      <c r="L62" s="15"/>
    </row>
    <row r="63" spans="1:12">
      <c r="A63" s="34"/>
      <c r="B63" s="177"/>
      <c r="C63" s="70" t="s">
        <v>284</v>
      </c>
      <c r="D63" s="69" t="s">
        <v>285</v>
      </c>
      <c r="E63" s="8" t="s">
        <v>199</v>
      </c>
      <c r="F63" s="9" t="s">
        <v>192</v>
      </c>
      <c r="G63" s="17"/>
      <c r="H63" s="19"/>
      <c r="I63" s="13"/>
      <c r="J63" s="7"/>
      <c r="K63" s="7"/>
      <c r="L63" s="15"/>
    </row>
    <row r="64" spans="1:12">
      <c r="A64" s="34"/>
      <c r="B64" s="177"/>
      <c r="C64" s="70" t="s">
        <v>286</v>
      </c>
      <c r="D64" s="69" t="s">
        <v>287</v>
      </c>
      <c r="E64" s="8" t="s">
        <v>192</v>
      </c>
      <c r="F64" s="9" t="s">
        <v>192</v>
      </c>
      <c r="G64" s="17"/>
      <c r="H64" s="19"/>
      <c r="I64" s="13"/>
      <c r="J64" s="7"/>
      <c r="K64" s="7"/>
      <c r="L64" s="15"/>
    </row>
    <row r="65" spans="1:12">
      <c r="A65" s="34"/>
      <c r="B65" s="177"/>
      <c r="C65" s="70" t="s">
        <v>288</v>
      </c>
      <c r="D65" s="69" t="s">
        <v>289</v>
      </c>
      <c r="E65" s="8" t="s">
        <v>192</v>
      </c>
      <c r="F65" s="9" t="s">
        <v>192</v>
      </c>
      <c r="G65" s="17"/>
      <c r="H65" s="19"/>
      <c r="I65" s="13"/>
      <c r="J65" s="7"/>
      <c r="K65" s="7"/>
      <c r="L65" s="15"/>
    </row>
    <row r="66" spans="1:12">
      <c r="A66" s="34"/>
      <c r="B66" s="177"/>
      <c r="C66" s="70" t="s">
        <v>290</v>
      </c>
      <c r="D66" s="69" t="s">
        <v>291</v>
      </c>
      <c r="E66" s="8" t="s">
        <v>192</v>
      </c>
      <c r="F66" s="9" t="s">
        <v>192</v>
      </c>
      <c r="G66" s="17"/>
      <c r="H66" s="19"/>
      <c r="I66" s="13"/>
      <c r="J66" s="7"/>
      <c r="K66" s="7"/>
      <c r="L66" s="15"/>
    </row>
    <row r="67" spans="1:12">
      <c r="A67" s="34"/>
      <c r="B67" s="177"/>
      <c r="C67" s="70" t="s">
        <v>292</v>
      </c>
      <c r="D67" s="69" t="s">
        <v>293</v>
      </c>
      <c r="E67" s="8" t="s">
        <v>192</v>
      </c>
      <c r="F67" s="9" t="s">
        <v>192</v>
      </c>
      <c r="G67" s="17"/>
      <c r="H67" s="19"/>
      <c r="I67" s="13"/>
      <c r="J67" s="7"/>
      <c r="K67" s="7"/>
      <c r="L67" s="15"/>
    </row>
    <row r="68" spans="1:12">
      <c r="A68" s="34"/>
      <c r="B68" s="177"/>
      <c r="C68" s="70" t="s">
        <v>294</v>
      </c>
      <c r="D68" s="69" t="s">
        <v>295</v>
      </c>
      <c r="E68" s="8" t="s">
        <v>192</v>
      </c>
      <c r="F68" s="9" t="s">
        <v>192</v>
      </c>
      <c r="G68" s="17"/>
      <c r="H68" s="19"/>
      <c r="I68" s="13"/>
      <c r="J68" s="7"/>
      <c r="K68" s="7"/>
      <c r="L68" s="15"/>
    </row>
    <row r="69" spans="1:12">
      <c r="A69" s="34"/>
      <c r="B69" s="177"/>
      <c r="C69" s="70" t="s">
        <v>296</v>
      </c>
      <c r="D69" s="69" t="s">
        <v>297</v>
      </c>
      <c r="E69" s="8" t="s">
        <v>192</v>
      </c>
      <c r="F69" s="9" t="s">
        <v>199</v>
      </c>
      <c r="G69" s="17"/>
      <c r="H69" s="19"/>
      <c r="I69" s="13"/>
      <c r="J69" s="7"/>
      <c r="K69" s="7"/>
      <c r="L69" s="15"/>
    </row>
    <row r="70" spans="1:12">
      <c r="A70" s="34"/>
      <c r="B70" s="177"/>
      <c r="C70" s="70" t="s">
        <v>298</v>
      </c>
      <c r="D70" s="69" t="s">
        <v>299</v>
      </c>
      <c r="E70" s="8" t="s">
        <v>192</v>
      </c>
      <c r="F70" s="9" t="s">
        <v>192</v>
      </c>
      <c r="G70" s="17"/>
      <c r="H70" s="19"/>
      <c r="I70" s="13"/>
      <c r="J70" s="7"/>
      <c r="K70" s="7"/>
      <c r="L70" s="15"/>
    </row>
    <row r="71" spans="1:12">
      <c r="A71" s="34"/>
      <c r="B71" s="177"/>
      <c r="C71" s="70" t="s">
        <v>300</v>
      </c>
      <c r="D71" s="69" t="s">
        <v>301</v>
      </c>
      <c r="E71" s="8" t="s">
        <v>192</v>
      </c>
      <c r="F71" s="9" t="s">
        <v>192</v>
      </c>
      <c r="G71" s="17"/>
      <c r="H71" s="19"/>
      <c r="I71" s="13"/>
      <c r="J71" s="7"/>
      <c r="K71" s="7"/>
      <c r="L71" s="15"/>
    </row>
    <row r="72" spans="1:12">
      <c r="A72" s="34"/>
      <c r="B72" s="177"/>
      <c r="C72" s="70" t="s">
        <v>302</v>
      </c>
      <c r="D72" s="69" t="s">
        <v>303</v>
      </c>
      <c r="E72" s="8" t="s">
        <v>192</v>
      </c>
      <c r="F72" s="9" t="s">
        <v>192</v>
      </c>
      <c r="G72" s="17"/>
      <c r="H72" s="19"/>
      <c r="I72" s="13"/>
      <c r="J72" s="7"/>
      <c r="K72" s="7"/>
      <c r="L72" s="15"/>
    </row>
    <row r="73" spans="1:12">
      <c r="A73" s="34"/>
      <c r="B73" s="177"/>
      <c r="C73" s="70" t="s">
        <v>304</v>
      </c>
      <c r="D73" s="69" t="s">
        <v>305</v>
      </c>
      <c r="E73" s="8" t="s">
        <v>192</v>
      </c>
      <c r="F73" s="9" t="s">
        <v>192</v>
      </c>
      <c r="G73" s="17"/>
      <c r="H73" s="19"/>
      <c r="I73" s="13"/>
      <c r="J73" s="7"/>
      <c r="K73" s="7"/>
      <c r="L73" s="15"/>
    </row>
    <row r="74" spans="1:12">
      <c r="A74" s="34"/>
      <c r="B74" s="177"/>
      <c r="C74" s="70" t="s">
        <v>306</v>
      </c>
      <c r="D74" s="69" t="s">
        <v>307</v>
      </c>
      <c r="E74" s="8" t="s">
        <v>192</v>
      </c>
      <c r="F74" s="9" t="s">
        <v>192</v>
      </c>
      <c r="G74" s="17"/>
      <c r="H74" s="19"/>
      <c r="I74" s="13"/>
      <c r="J74" s="7"/>
      <c r="K74" s="7"/>
      <c r="L74" s="15"/>
    </row>
    <row r="75" spans="1:12">
      <c r="A75" s="34"/>
      <c r="B75" s="177"/>
      <c r="C75" s="70" t="s">
        <v>308</v>
      </c>
      <c r="D75" s="69" t="s">
        <v>309</v>
      </c>
      <c r="E75" s="8" t="s">
        <v>192</v>
      </c>
      <c r="F75" s="9" t="s">
        <v>192</v>
      </c>
      <c r="G75" s="17"/>
      <c r="H75" s="19"/>
      <c r="I75" s="13"/>
      <c r="J75" s="7"/>
      <c r="K75" s="7"/>
      <c r="L75" s="15"/>
    </row>
    <row r="76" spans="1:12">
      <c r="A76" s="34"/>
      <c r="B76" s="177"/>
      <c r="C76" s="70" t="s">
        <v>310</v>
      </c>
      <c r="D76" s="69" t="s">
        <v>311</v>
      </c>
      <c r="E76" s="8" t="s">
        <v>192</v>
      </c>
      <c r="F76" s="9" t="s">
        <v>192</v>
      </c>
      <c r="G76" s="17"/>
      <c r="H76" s="19"/>
      <c r="I76" s="13"/>
      <c r="J76" s="7"/>
      <c r="K76" s="7"/>
      <c r="L76" s="15"/>
    </row>
    <row r="77" spans="1:12">
      <c r="A77" s="34"/>
      <c r="B77" s="177"/>
      <c r="C77" s="70" t="s">
        <v>312</v>
      </c>
      <c r="D77" s="69" t="s">
        <v>313</v>
      </c>
      <c r="E77" s="8" t="s">
        <v>192</v>
      </c>
      <c r="F77" s="9" t="s">
        <v>192</v>
      </c>
      <c r="G77" s="17"/>
      <c r="H77" s="19"/>
      <c r="I77" s="13"/>
      <c r="J77" s="7"/>
      <c r="K77" s="7"/>
      <c r="L77" s="15"/>
    </row>
    <row r="78" spans="1:12">
      <c r="A78" s="34"/>
      <c r="B78" s="177"/>
      <c r="C78" s="70" t="s">
        <v>314</v>
      </c>
      <c r="D78" s="69" t="s">
        <v>315</v>
      </c>
      <c r="E78" s="8" t="s">
        <v>192</v>
      </c>
      <c r="F78" s="9" t="s">
        <v>192</v>
      </c>
      <c r="G78" s="17"/>
      <c r="H78" s="19"/>
      <c r="I78" s="13"/>
      <c r="J78" s="7"/>
      <c r="K78" s="7"/>
      <c r="L78" s="15"/>
    </row>
    <row r="79" spans="1:12">
      <c r="A79" s="34"/>
      <c r="B79" s="177"/>
      <c r="C79" s="70" t="s">
        <v>316</v>
      </c>
      <c r="D79" s="69" t="s">
        <v>317</v>
      </c>
      <c r="E79" s="8" t="s">
        <v>192</v>
      </c>
      <c r="F79" s="9" t="s">
        <v>192</v>
      </c>
      <c r="G79" s="17"/>
      <c r="H79" s="19"/>
      <c r="I79" s="13"/>
      <c r="J79" s="7"/>
      <c r="K79" s="7"/>
      <c r="L79" s="15"/>
    </row>
    <row r="80" spans="1:12">
      <c r="A80" s="34"/>
      <c r="B80" s="177"/>
      <c r="C80" s="70" t="s">
        <v>318</v>
      </c>
      <c r="D80" s="69" t="s">
        <v>319</v>
      </c>
      <c r="E80" s="8" t="s">
        <v>192</v>
      </c>
      <c r="F80" s="9" t="s">
        <v>192</v>
      </c>
      <c r="G80" s="17"/>
      <c r="H80" s="19"/>
      <c r="I80" s="13"/>
      <c r="J80" s="7"/>
      <c r="K80" s="7"/>
      <c r="L80" s="15"/>
    </row>
    <row r="81" spans="1:12">
      <c r="A81" s="34"/>
      <c r="B81" s="177"/>
      <c r="C81" s="70" t="s">
        <v>320</v>
      </c>
      <c r="D81" s="69" t="s">
        <v>321</v>
      </c>
      <c r="E81" s="8" t="s">
        <v>192</v>
      </c>
      <c r="F81" s="9" t="s">
        <v>192</v>
      </c>
      <c r="G81" s="17"/>
      <c r="H81" s="19"/>
      <c r="I81" s="13"/>
      <c r="J81" s="7"/>
      <c r="K81" s="7"/>
      <c r="L81" s="15"/>
    </row>
    <row r="82" spans="1:12">
      <c r="A82" s="34"/>
      <c r="B82" s="177"/>
      <c r="C82" s="70" t="s">
        <v>322</v>
      </c>
      <c r="D82" s="69" t="s">
        <v>323</v>
      </c>
      <c r="E82" s="8" t="s">
        <v>192</v>
      </c>
      <c r="F82" s="9" t="s">
        <v>192</v>
      </c>
      <c r="G82" s="17"/>
      <c r="H82" s="19"/>
      <c r="I82" s="13"/>
      <c r="J82" s="7"/>
      <c r="K82" s="7"/>
      <c r="L82" s="15"/>
    </row>
    <row r="83" spans="1:12">
      <c r="A83" s="34"/>
      <c r="B83" s="177"/>
      <c r="C83" s="70" t="s">
        <v>324</v>
      </c>
      <c r="D83" s="69" t="s">
        <v>325</v>
      </c>
      <c r="E83" s="8" t="s">
        <v>192</v>
      </c>
      <c r="F83" s="9" t="s">
        <v>192</v>
      </c>
      <c r="G83" s="17"/>
      <c r="H83" s="19"/>
      <c r="I83" s="13"/>
      <c r="J83" s="7"/>
      <c r="K83" s="7"/>
      <c r="L83" s="15"/>
    </row>
    <row r="84" spans="1:12">
      <c r="A84" s="34"/>
      <c r="B84" s="177"/>
      <c r="C84" s="70" t="s">
        <v>326</v>
      </c>
      <c r="D84" s="69" t="s">
        <v>327</v>
      </c>
      <c r="E84" s="8" t="s">
        <v>192</v>
      </c>
      <c r="F84" s="9" t="s">
        <v>192</v>
      </c>
      <c r="G84" s="17"/>
      <c r="H84" s="19"/>
      <c r="I84" s="13"/>
      <c r="J84" s="7"/>
      <c r="K84" s="7"/>
      <c r="L84" s="15"/>
    </row>
    <row r="85" spans="1:12">
      <c r="A85" s="34"/>
      <c r="B85" s="177"/>
      <c r="C85" s="70" t="s">
        <v>328</v>
      </c>
      <c r="D85" s="69" t="s">
        <v>329</v>
      </c>
      <c r="E85" s="8" t="s">
        <v>192</v>
      </c>
      <c r="F85" s="9" t="s">
        <v>192</v>
      </c>
      <c r="G85" s="17"/>
      <c r="H85" s="19"/>
      <c r="I85" s="13"/>
      <c r="J85" s="7"/>
      <c r="K85" s="7"/>
      <c r="L85" s="15"/>
    </row>
    <row r="86" spans="1:12">
      <c r="A86" s="34"/>
      <c r="B86" s="177"/>
      <c r="C86" s="70" t="s">
        <v>330</v>
      </c>
      <c r="D86" s="69" t="s">
        <v>331</v>
      </c>
      <c r="E86" s="8" t="s">
        <v>192</v>
      </c>
      <c r="F86" s="9" t="s">
        <v>192</v>
      </c>
      <c r="G86" s="17"/>
      <c r="H86" s="19"/>
      <c r="I86" s="13"/>
      <c r="J86" s="7"/>
      <c r="K86" s="7"/>
      <c r="L86" s="15"/>
    </row>
    <row r="87" spans="1:12">
      <c r="A87" s="34"/>
      <c r="B87" s="177"/>
      <c r="C87" s="70" t="s">
        <v>332</v>
      </c>
      <c r="D87" s="69" t="s">
        <v>333</v>
      </c>
      <c r="E87" s="8" t="s">
        <v>192</v>
      </c>
      <c r="F87" s="9" t="s">
        <v>192</v>
      </c>
      <c r="G87" s="17"/>
      <c r="H87" s="19"/>
      <c r="I87" s="13"/>
      <c r="J87" s="7"/>
      <c r="K87" s="7"/>
      <c r="L87" s="15"/>
    </row>
    <row r="88" spans="1:12">
      <c r="A88" s="34"/>
      <c r="B88" s="177"/>
      <c r="C88" s="70" t="s">
        <v>334</v>
      </c>
      <c r="D88" s="69" t="s">
        <v>335</v>
      </c>
      <c r="E88" s="8" t="s">
        <v>192</v>
      </c>
      <c r="F88" s="9" t="s">
        <v>192</v>
      </c>
      <c r="G88" s="17"/>
      <c r="H88" s="19"/>
      <c r="I88" s="13"/>
      <c r="J88" s="7"/>
      <c r="K88" s="7"/>
      <c r="L88" s="15"/>
    </row>
    <row r="89" spans="1:12">
      <c r="A89" s="34"/>
      <c r="B89" s="177"/>
      <c r="C89" s="70" t="s">
        <v>336</v>
      </c>
      <c r="D89" s="69" t="s">
        <v>337</v>
      </c>
      <c r="E89" s="8" t="s">
        <v>192</v>
      </c>
      <c r="F89" s="9" t="s">
        <v>192</v>
      </c>
      <c r="G89" s="17"/>
      <c r="H89" s="19"/>
      <c r="I89" s="13"/>
      <c r="J89" s="7"/>
      <c r="K89" s="7"/>
      <c r="L89" s="15"/>
    </row>
    <row r="90" spans="1:12">
      <c r="A90" s="34"/>
      <c r="B90" s="177"/>
      <c r="C90" s="70" t="s">
        <v>338</v>
      </c>
      <c r="D90" s="69" t="s">
        <v>339</v>
      </c>
      <c r="E90" s="8" t="s">
        <v>192</v>
      </c>
      <c r="F90" s="9" t="s">
        <v>192</v>
      </c>
      <c r="G90" s="17"/>
      <c r="H90" s="19"/>
      <c r="I90" s="13"/>
      <c r="J90" s="7"/>
      <c r="K90" s="7"/>
      <c r="L90" s="15"/>
    </row>
    <row r="91" spans="1:12">
      <c r="A91" s="34"/>
      <c r="B91" s="177"/>
      <c r="C91" s="70" t="s">
        <v>340</v>
      </c>
      <c r="D91" s="69" t="s">
        <v>341</v>
      </c>
      <c r="E91" s="8" t="s">
        <v>192</v>
      </c>
      <c r="F91" s="9" t="s">
        <v>192</v>
      </c>
      <c r="G91" s="17"/>
      <c r="H91" s="19"/>
      <c r="I91" s="13"/>
      <c r="J91" s="7"/>
      <c r="K91" s="7"/>
      <c r="L91" s="15"/>
    </row>
    <row r="92" spans="1:12">
      <c r="A92" s="34"/>
      <c r="B92" s="177"/>
      <c r="C92" s="70" t="s">
        <v>342</v>
      </c>
      <c r="D92" s="69" t="s">
        <v>343</v>
      </c>
      <c r="E92" s="8" t="s">
        <v>192</v>
      </c>
      <c r="F92" s="9" t="s">
        <v>192</v>
      </c>
      <c r="G92" s="17"/>
      <c r="H92" s="19"/>
      <c r="I92" s="13"/>
      <c r="J92" s="7"/>
      <c r="K92" s="7"/>
      <c r="L92" s="15"/>
    </row>
    <row r="93" spans="1:12">
      <c r="A93" s="34"/>
      <c r="B93" s="177"/>
      <c r="C93" s="70" t="s">
        <v>344</v>
      </c>
      <c r="D93" s="69" t="s">
        <v>345</v>
      </c>
      <c r="E93" s="8" t="s">
        <v>192</v>
      </c>
      <c r="F93" s="9" t="s">
        <v>192</v>
      </c>
      <c r="G93" s="17"/>
      <c r="H93" s="19"/>
      <c r="I93" s="13"/>
      <c r="J93" s="7"/>
      <c r="K93" s="7"/>
      <c r="L93" s="15"/>
    </row>
    <row r="94" spans="1:12">
      <c r="A94" s="34"/>
      <c r="B94" s="177"/>
      <c r="C94" s="70" t="s">
        <v>346</v>
      </c>
      <c r="D94" s="69" t="s">
        <v>347</v>
      </c>
      <c r="E94" s="8" t="s">
        <v>192</v>
      </c>
      <c r="F94" s="9" t="s">
        <v>192</v>
      </c>
      <c r="G94" s="17"/>
      <c r="H94" s="19"/>
      <c r="I94" s="13"/>
      <c r="J94" s="7"/>
      <c r="K94" s="7"/>
      <c r="L94" s="15"/>
    </row>
    <row r="95" spans="1:12">
      <c r="A95" s="34"/>
      <c r="B95" s="177"/>
      <c r="C95" s="70" t="s">
        <v>348</v>
      </c>
      <c r="D95" s="69" t="s">
        <v>349</v>
      </c>
      <c r="E95" s="8" t="s">
        <v>192</v>
      </c>
      <c r="F95" s="9" t="s">
        <v>192</v>
      </c>
      <c r="G95" s="17"/>
      <c r="H95" s="19"/>
      <c r="I95" s="13"/>
      <c r="J95" s="7"/>
      <c r="K95" s="7"/>
      <c r="L95" s="15"/>
    </row>
    <row r="96" spans="1:12">
      <c r="A96" s="34"/>
      <c r="B96" s="177"/>
      <c r="C96" s="70" t="s">
        <v>350</v>
      </c>
      <c r="D96" s="69" t="s">
        <v>351</v>
      </c>
      <c r="E96" s="8" t="s">
        <v>192</v>
      </c>
      <c r="F96" s="9" t="s">
        <v>192</v>
      </c>
      <c r="G96" s="17"/>
      <c r="H96" s="19"/>
      <c r="I96" s="13"/>
      <c r="J96" s="7"/>
      <c r="K96" s="7"/>
      <c r="L96" s="15"/>
    </row>
    <row r="97" spans="1:12">
      <c r="A97" s="34"/>
      <c r="B97" s="177"/>
      <c r="C97" s="70" t="s">
        <v>352</v>
      </c>
      <c r="D97" s="69" t="s">
        <v>353</v>
      </c>
      <c r="E97" s="8" t="s">
        <v>192</v>
      </c>
      <c r="F97" s="9" t="s">
        <v>192</v>
      </c>
      <c r="G97" s="17"/>
      <c r="H97" s="19"/>
      <c r="I97" s="13"/>
      <c r="J97" s="7"/>
      <c r="K97" s="7"/>
      <c r="L97" s="15"/>
    </row>
    <row r="98" spans="1:12">
      <c r="A98" s="34"/>
      <c r="B98" s="177"/>
      <c r="C98" s="70" t="s">
        <v>354</v>
      </c>
      <c r="D98" s="69" t="s">
        <v>355</v>
      </c>
      <c r="E98" s="8" t="s">
        <v>192</v>
      </c>
      <c r="F98" s="9" t="s">
        <v>192</v>
      </c>
      <c r="G98" s="17"/>
      <c r="H98" s="19"/>
      <c r="I98" s="13"/>
      <c r="J98" s="7"/>
      <c r="K98" s="7"/>
      <c r="L98" s="15"/>
    </row>
    <row r="99" spans="1:12">
      <c r="A99" s="34"/>
      <c r="B99" s="177"/>
      <c r="C99" s="70" t="s">
        <v>356</v>
      </c>
      <c r="D99" s="69" t="s">
        <v>357</v>
      </c>
      <c r="E99" s="8" t="s">
        <v>192</v>
      </c>
      <c r="F99" s="9" t="s">
        <v>192</v>
      </c>
      <c r="G99" s="17"/>
      <c r="H99" s="19"/>
      <c r="I99" s="13"/>
      <c r="J99" s="7"/>
      <c r="K99" s="7"/>
      <c r="L99" s="15"/>
    </row>
    <row r="100" spans="1:12">
      <c r="A100" s="34"/>
      <c r="B100" s="177"/>
      <c r="C100" s="70" t="s">
        <v>358</v>
      </c>
      <c r="D100" s="69" t="s">
        <v>359</v>
      </c>
      <c r="E100" s="8" t="s">
        <v>192</v>
      </c>
      <c r="F100" s="9" t="s">
        <v>192</v>
      </c>
      <c r="G100" s="17"/>
      <c r="H100" s="19"/>
      <c r="I100" s="13"/>
      <c r="J100" s="7"/>
      <c r="K100" s="7"/>
      <c r="L100" s="15"/>
    </row>
    <row r="101" spans="1:12">
      <c r="A101" s="34"/>
      <c r="B101" s="177"/>
      <c r="C101" s="70" t="s">
        <v>360</v>
      </c>
      <c r="D101" s="69" t="s">
        <v>361</v>
      </c>
      <c r="E101" s="8" t="s">
        <v>192</v>
      </c>
      <c r="F101" s="9" t="s">
        <v>192</v>
      </c>
      <c r="G101" s="17"/>
      <c r="H101" s="19"/>
      <c r="I101" s="13"/>
      <c r="J101" s="7"/>
      <c r="K101" s="7"/>
      <c r="L101" s="15"/>
    </row>
    <row r="102" spans="1:12">
      <c r="A102" s="34"/>
      <c r="B102" s="177"/>
      <c r="C102" s="70" t="s">
        <v>362</v>
      </c>
      <c r="D102" s="69" t="s">
        <v>363</v>
      </c>
      <c r="E102" s="8" t="s">
        <v>192</v>
      </c>
      <c r="F102" s="9" t="s">
        <v>192</v>
      </c>
      <c r="G102" s="17"/>
      <c r="H102" s="19"/>
      <c r="I102" s="13"/>
      <c r="J102" s="7"/>
      <c r="K102" s="7"/>
      <c r="L102" s="15"/>
    </row>
    <row r="103" spans="1:12">
      <c r="A103" s="34"/>
      <c r="B103" s="177"/>
      <c r="C103" s="70" t="s">
        <v>364</v>
      </c>
      <c r="D103" s="69" t="s">
        <v>365</v>
      </c>
      <c r="E103" s="8" t="s">
        <v>192</v>
      </c>
      <c r="F103" s="9" t="s">
        <v>192</v>
      </c>
      <c r="G103" s="17"/>
      <c r="H103" s="19"/>
      <c r="I103" s="13"/>
      <c r="J103" s="7"/>
      <c r="K103" s="7"/>
      <c r="L103" s="15"/>
    </row>
    <row r="104" spans="1:12">
      <c r="A104" s="34"/>
      <c r="B104" s="177"/>
      <c r="C104" s="70" t="s">
        <v>366</v>
      </c>
      <c r="D104" s="69" t="s">
        <v>367</v>
      </c>
      <c r="E104" s="8" t="s">
        <v>192</v>
      </c>
      <c r="F104" s="9" t="s">
        <v>192</v>
      </c>
      <c r="G104" s="17"/>
      <c r="H104" s="19"/>
      <c r="I104" s="13"/>
      <c r="J104" s="7"/>
      <c r="K104" s="7"/>
      <c r="L104" s="15"/>
    </row>
    <row r="105" spans="1:12">
      <c r="A105" s="34"/>
      <c r="B105" s="177"/>
      <c r="C105" s="70" t="s">
        <v>368</v>
      </c>
      <c r="D105" s="69" t="s">
        <v>369</v>
      </c>
      <c r="E105" s="8" t="s">
        <v>192</v>
      </c>
      <c r="F105" s="9" t="s">
        <v>192</v>
      </c>
      <c r="G105" s="17"/>
      <c r="H105" s="19"/>
      <c r="I105" s="13"/>
      <c r="J105" s="7"/>
      <c r="K105" s="7"/>
      <c r="L105" s="15"/>
    </row>
    <row r="106" spans="1:12">
      <c r="A106" s="34"/>
      <c r="B106" s="177"/>
      <c r="C106" s="70" t="s">
        <v>370</v>
      </c>
      <c r="D106" s="69" t="s">
        <v>371</v>
      </c>
      <c r="E106" s="8" t="s">
        <v>192</v>
      </c>
      <c r="F106" s="9" t="s">
        <v>192</v>
      </c>
      <c r="G106" s="17"/>
      <c r="H106" s="19"/>
      <c r="I106" s="13"/>
      <c r="J106" s="7"/>
      <c r="K106" s="7"/>
      <c r="L106" s="15"/>
    </row>
    <row r="107" spans="1:12">
      <c r="A107" s="34"/>
      <c r="B107" s="177"/>
      <c r="C107" s="70" t="s">
        <v>372</v>
      </c>
      <c r="D107" s="69" t="s">
        <v>373</v>
      </c>
      <c r="E107" s="8" t="s">
        <v>192</v>
      </c>
      <c r="F107" s="9" t="s">
        <v>192</v>
      </c>
      <c r="G107" s="17"/>
      <c r="H107" s="19"/>
      <c r="I107" s="13"/>
      <c r="J107" s="7"/>
      <c r="K107" s="7"/>
      <c r="L107" s="15"/>
    </row>
    <row r="108" spans="1:12">
      <c r="A108" s="34"/>
      <c r="B108" s="177"/>
      <c r="C108" s="70" t="s">
        <v>374</v>
      </c>
      <c r="D108" s="69" t="s">
        <v>375</v>
      </c>
      <c r="E108" s="8" t="s">
        <v>192</v>
      </c>
      <c r="F108" s="9" t="s">
        <v>192</v>
      </c>
      <c r="G108" s="17"/>
      <c r="H108" s="19"/>
      <c r="I108" s="13"/>
      <c r="J108" s="7"/>
      <c r="K108" s="7"/>
      <c r="L108" s="15"/>
    </row>
    <row r="109" spans="1:12">
      <c r="A109" s="34"/>
      <c r="B109" s="177"/>
      <c r="C109" s="70" t="s">
        <v>376</v>
      </c>
      <c r="D109" s="69" t="s">
        <v>377</v>
      </c>
      <c r="E109" s="8" t="s">
        <v>192</v>
      </c>
      <c r="F109" s="9" t="s">
        <v>192</v>
      </c>
      <c r="G109" s="17"/>
      <c r="H109" s="19"/>
      <c r="I109" s="13"/>
      <c r="J109" s="7"/>
      <c r="K109" s="7"/>
      <c r="L109" s="15"/>
    </row>
    <row r="110" spans="1:12">
      <c r="A110" s="34"/>
      <c r="B110" s="177"/>
      <c r="C110" s="70" t="s">
        <v>378</v>
      </c>
      <c r="D110" s="69" t="s">
        <v>379</v>
      </c>
      <c r="E110" s="8" t="s">
        <v>192</v>
      </c>
      <c r="F110" s="9" t="s">
        <v>192</v>
      </c>
      <c r="G110" s="17"/>
      <c r="H110" s="19"/>
      <c r="I110" s="13"/>
      <c r="J110" s="7"/>
      <c r="K110" s="7"/>
      <c r="L110" s="15"/>
    </row>
    <row r="111" spans="1:12">
      <c r="A111" s="34"/>
      <c r="B111" s="177"/>
      <c r="C111" s="70" t="s">
        <v>380</v>
      </c>
      <c r="D111" s="69" t="s">
        <v>381</v>
      </c>
      <c r="E111" s="8" t="s">
        <v>192</v>
      </c>
      <c r="F111" s="9" t="s">
        <v>192</v>
      </c>
      <c r="G111" s="17"/>
      <c r="H111" s="19"/>
      <c r="I111" s="13"/>
      <c r="J111" s="7"/>
      <c r="K111" s="7"/>
      <c r="L111" s="15"/>
    </row>
    <row r="112" spans="1:12">
      <c r="A112" s="34"/>
      <c r="B112" s="177"/>
      <c r="C112" s="70" t="s">
        <v>382</v>
      </c>
      <c r="D112" s="69" t="s">
        <v>383</v>
      </c>
      <c r="E112" s="8" t="s">
        <v>192</v>
      </c>
      <c r="F112" s="9" t="s">
        <v>192</v>
      </c>
      <c r="G112" s="17"/>
      <c r="H112" s="19"/>
      <c r="I112" s="13"/>
      <c r="J112" s="7"/>
      <c r="K112" s="7"/>
      <c r="L112" s="15"/>
    </row>
    <row r="113" spans="1:12">
      <c r="A113" s="34"/>
      <c r="B113" s="177"/>
      <c r="C113" s="70" t="s">
        <v>384</v>
      </c>
      <c r="D113" s="69" t="s">
        <v>385</v>
      </c>
      <c r="E113" s="8" t="s">
        <v>192</v>
      </c>
      <c r="F113" s="9" t="s">
        <v>192</v>
      </c>
      <c r="G113" s="17"/>
      <c r="H113" s="19"/>
      <c r="I113" s="13"/>
      <c r="J113" s="7"/>
      <c r="K113" s="7"/>
      <c r="L113" s="15"/>
    </row>
    <row r="114" spans="1:12">
      <c r="A114" s="34"/>
      <c r="B114" s="177"/>
      <c r="C114" s="70" t="s">
        <v>386</v>
      </c>
      <c r="D114" s="69" t="s">
        <v>387</v>
      </c>
      <c r="E114" s="8" t="s">
        <v>192</v>
      </c>
      <c r="F114" s="9" t="s">
        <v>192</v>
      </c>
      <c r="G114" s="17"/>
      <c r="H114" s="19"/>
      <c r="I114" s="13"/>
      <c r="J114" s="7"/>
      <c r="K114" s="7"/>
      <c r="L114" s="15"/>
    </row>
    <row r="115" spans="1:12">
      <c r="A115" s="34"/>
      <c r="B115" s="177"/>
      <c r="C115" s="70" t="s">
        <v>388</v>
      </c>
      <c r="D115" s="69" t="s">
        <v>389</v>
      </c>
      <c r="E115" s="8" t="s">
        <v>192</v>
      </c>
      <c r="F115" s="9" t="s">
        <v>192</v>
      </c>
      <c r="G115" s="17"/>
      <c r="H115" s="19"/>
      <c r="I115" s="13"/>
      <c r="J115" s="7"/>
      <c r="K115" s="7"/>
      <c r="L115" s="15"/>
    </row>
    <row r="116" spans="1:12">
      <c r="A116" s="34"/>
      <c r="B116" s="177"/>
      <c r="C116" s="70" t="s">
        <v>390</v>
      </c>
      <c r="D116" s="69" t="s">
        <v>391</v>
      </c>
      <c r="E116" s="8" t="s">
        <v>192</v>
      </c>
      <c r="F116" s="9" t="s">
        <v>192</v>
      </c>
      <c r="G116" s="17"/>
      <c r="H116" s="19"/>
      <c r="I116" s="13"/>
      <c r="J116" s="7"/>
      <c r="K116" s="7"/>
      <c r="L116" s="15"/>
    </row>
    <row r="117" spans="1:12">
      <c r="A117" s="34"/>
      <c r="B117" s="177"/>
      <c r="C117" s="70" t="s">
        <v>392</v>
      </c>
      <c r="D117" s="69" t="s">
        <v>393</v>
      </c>
      <c r="E117" s="8" t="s">
        <v>192</v>
      </c>
      <c r="F117" s="9" t="s">
        <v>192</v>
      </c>
      <c r="G117" s="17"/>
      <c r="H117" s="19"/>
      <c r="I117" s="13"/>
      <c r="J117" s="7"/>
      <c r="K117" s="7"/>
      <c r="L117" s="15"/>
    </row>
    <row r="118" spans="1:12">
      <c r="A118" s="34"/>
      <c r="B118" s="177"/>
      <c r="C118" s="70" t="s">
        <v>394</v>
      </c>
      <c r="D118" s="69" t="s">
        <v>395</v>
      </c>
      <c r="E118" s="8" t="s">
        <v>192</v>
      </c>
      <c r="F118" s="9" t="s">
        <v>192</v>
      </c>
      <c r="G118" s="17"/>
      <c r="H118" s="19"/>
      <c r="I118" s="13"/>
      <c r="J118" s="7"/>
      <c r="K118" s="7"/>
      <c r="L118" s="15"/>
    </row>
    <row r="119" spans="1:12">
      <c r="A119" s="34"/>
      <c r="B119" s="177"/>
      <c r="C119" s="70" t="s">
        <v>396</v>
      </c>
      <c r="D119" s="69" t="s">
        <v>397</v>
      </c>
      <c r="E119" s="8" t="s">
        <v>192</v>
      </c>
      <c r="F119" s="9" t="s">
        <v>192</v>
      </c>
      <c r="G119" s="17"/>
      <c r="H119" s="19"/>
      <c r="I119" s="13"/>
      <c r="J119" s="7"/>
      <c r="K119" s="7"/>
      <c r="L119" s="15"/>
    </row>
    <row r="120" spans="1:12">
      <c r="A120" s="34"/>
      <c r="B120" s="177"/>
      <c r="C120" s="70" t="s">
        <v>398</v>
      </c>
      <c r="D120" s="69" t="s">
        <v>399</v>
      </c>
      <c r="E120" s="8" t="s">
        <v>192</v>
      </c>
      <c r="F120" s="9" t="s">
        <v>192</v>
      </c>
      <c r="G120" s="17"/>
      <c r="H120" s="19"/>
      <c r="I120" s="13"/>
      <c r="J120" s="7"/>
      <c r="K120" s="7"/>
      <c r="L120" s="15"/>
    </row>
    <row r="121" spans="1:12">
      <c r="A121" s="34"/>
      <c r="B121" s="177"/>
      <c r="C121" s="70" t="s">
        <v>400</v>
      </c>
      <c r="D121" s="69" t="s">
        <v>401</v>
      </c>
      <c r="E121" s="8" t="s">
        <v>192</v>
      </c>
      <c r="F121" s="9" t="s">
        <v>192</v>
      </c>
      <c r="G121" s="17"/>
      <c r="H121" s="19"/>
      <c r="I121" s="13"/>
      <c r="J121" s="7"/>
      <c r="K121" s="7"/>
      <c r="L121" s="15"/>
    </row>
    <row r="122" spans="1:12">
      <c r="A122" s="34"/>
      <c r="B122" s="177"/>
      <c r="C122" s="70" t="s">
        <v>402</v>
      </c>
      <c r="D122" s="69" t="s">
        <v>403</v>
      </c>
      <c r="E122" s="8" t="s">
        <v>192</v>
      </c>
      <c r="F122" s="9" t="s">
        <v>192</v>
      </c>
      <c r="G122" s="17"/>
      <c r="H122" s="19"/>
      <c r="I122" s="13"/>
      <c r="J122" s="7"/>
      <c r="K122" s="7"/>
      <c r="L122" s="15"/>
    </row>
    <row r="123" spans="1:12">
      <c r="A123" s="34"/>
      <c r="B123" s="177"/>
      <c r="C123" s="70" t="s">
        <v>404</v>
      </c>
      <c r="D123" s="69" t="s">
        <v>405</v>
      </c>
      <c r="E123" s="8" t="s">
        <v>192</v>
      </c>
      <c r="F123" s="9" t="s">
        <v>192</v>
      </c>
      <c r="G123" s="17"/>
      <c r="H123" s="19"/>
      <c r="I123" s="13"/>
      <c r="J123" s="7"/>
      <c r="K123" s="7"/>
      <c r="L123" s="15"/>
    </row>
    <row r="124" spans="1:12">
      <c r="A124" s="34"/>
      <c r="B124" s="177"/>
      <c r="C124" s="70" t="s">
        <v>406</v>
      </c>
      <c r="D124" s="69" t="s">
        <v>407</v>
      </c>
      <c r="E124" s="8" t="s">
        <v>192</v>
      </c>
      <c r="F124" s="9" t="s">
        <v>192</v>
      </c>
      <c r="G124" s="17"/>
      <c r="H124" s="19"/>
      <c r="I124" s="13"/>
      <c r="J124" s="7"/>
      <c r="K124" s="7"/>
      <c r="L124" s="15"/>
    </row>
    <row r="125" spans="1:12">
      <c r="A125" s="34"/>
      <c r="B125" s="177"/>
      <c r="C125" s="70" t="s">
        <v>408</v>
      </c>
      <c r="D125" s="69" t="s">
        <v>409</v>
      </c>
      <c r="E125" s="8" t="s">
        <v>192</v>
      </c>
      <c r="F125" s="9" t="s">
        <v>192</v>
      </c>
      <c r="G125" s="17"/>
      <c r="H125" s="19"/>
      <c r="I125" s="13"/>
      <c r="J125" s="7"/>
      <c r="K125" s="7"/>
      <c r="L125" s="15"/>
    </row>
    <row r="126" spans="1:12">
      <c r="A126" s="34"/>
      <c r="B126" s="177"/>
      <c r="C126" s="70" t="s">
        <v>410</v>
      </c>
      <c r="D126" s="69" t="s">
        <v>411</v>
      </c>
      <c r="E126" s="8" t="s">
        <v>192</v>
      </c>
      <c r="F126" s="9" t="s">
        <v>192</v>
      </c>
      <c r="G126" s="17"/>
      <c r="H126" s="19"/>
      <c r="I126" s="13"/>
      <c r="J126" s="7"/>
      <c r="K126" s="7"/>
      <c r="L126" s="15"/>
    </row>
    <row r="127" spans="1:12">
      <c r="A127" s="34"/>
      <c r="B127" s="177"/>
      <c r="C127" s="70" t="s">
        <v>412</v>
      </c>
      <c r="D127" s="69" t="s">
        <v>413</v>
      </c>
      <c r="E127" s="8" t="s">
        <v>192</v>
      </c>
      <c r="F127" s="9" t="s">
        <v>192</v>
      </c>
      <c r="G127" s="17"/>
      <c r="H127" s="19"/>
      <c r="I127" s="13"/>
      <c r="J127" s="7"/>
      <c r="K127" s="7"/>
      <c r="L127" s="15"/>
    </row>
    <row r="128" spans="1:12">
      <c r="A128" s="34"/>
      <c r="B128" s="177"/>
      <c r="C128" s="70" t="s">
        <v>414</v>
      </c>
      <c r="D128" s="69" t="s">
        <v>415</v>
      </c>
      <c r="E128" s="8" t="s">
        <v>192</v>
      </c>
      <c r="F128" s="9" t="s">
        <v>192</v>
      </c>
      <c r="G128" s="17"/>
      <c r="H128" s="19"/>
      <c r="I128" s="13"/>
      <c r="J128" s="7"/>
      <c r="K128" s="7"/>
      <c r="L128" s="15"/>
    </row>
    <row r="129" spans="1:12">
      <c r="A129" s="34"/>
      <c r="B129" s="177"/>
      <c r="C129" s="70" t="s">
        <v>416</v>
      </c>
      <c r="D129" s="69" t="s">
        <v>417</v>
      </c>
      <c r="E129" s="8" t="s">
        <v>192</v>
      </c>
      <c r="F129" s="9" t="s">
        <v>192</v>
      </c>
      <c r="G129" s="17"/>
      <c r="H129" s="19"/>
      <c r="I129" s="13"/>
      <c r="J129" s="7"/>
      <c r="K129" s="7"/>
      <c r="L129" s="15"/>
    </row>
    <row r="130" spans="1:12">
      <c r="A130" s="34"/>
      <c r="B130" s="177"/>
      <c r="C130" s="70" t="s">
        <v>418</v>
      </c>
      <c r="D130" s="69" t="s">
        <v>419</v>
      </c>
      <c r="E130" s="8" t="s">
        <v>192</v>
      </c>
      <c r="F130" s="9" t="s">
        <v>192</v>
      </c>
      <c r="G130" s="17"/>
      <c r="H130" s="19"/>
      <c r="I130" s="13"/>
      <c r="J130" s="7"/>
      <c r="K130" s="7"/>
      <c r="L130" s="15"/>
    </row>
    <row r="131" spans="1:12">
      <c r="A131" s="34"/>
      <c r="B131" s="177"/>
      <c r="C131" s="70" t="s">
        <v>420</v>
      </c>
      <c r="D131" s="69" t="s">
        <v>421</v>
      </c>
      <c r="E131" s="8" t="s">
        <v>192</v>
      </c>
      <c r="F131" s="9" t="s">
        <v>192</v>
      </c>
      <c r="G131" s="17"/>
      <c r="H131" s="19"/>
      <c r="I131" s="13"/>
      <c r="J131" s="7"/>
      <c r="K131" s="7"/>
      <c r="L131" s="15"/>
    </row>
    <row r="132" spans="1:12">
      <c r="A132" s="34"/>
      <c r="B132" s="177"/>
      <c r="C132" s="70" t="s">
        <v>422</v>
      </c>
      <c r="D132" s="69" t="s">
        <v>423</v>
      </c>
      <c r="E132" s="8" t="s">
        <v>192</v>
      </c>
      <c r="F132" s="9" t="s">
        <v>192</v>
      </c>
      <c r="G132" s="17"/>
      <c r="H132" s="19"/>
      <c r="I132" s="13"/>
      <c r="J132" s="7"/>
      <c r="K132" s="7"/>
      <c r="L132" s="15"/>
    </row>
    <row r="133" spans="1:12">
      <c r="A133" s="34"/>
      <c r="B133" s="177"/>
      <c r="C133" s="70" t="s">
        <v>424</v>
      </c>
      <c r="D133" s="69" t="s">
        <v>425</v>
      </c>
      <c r="E133" s="8" t="s">
        <v>192</v>
      </c>
      <c r="F133" s="9" t="s">
        <v>192</v>
      </c>
      <c r="G133" s="17"/>
      <c r="H133" s="19"/>
      <c r="I133" s="13"/>
      <c r="J133" s="7"/>
      <c r="K133" s="7"/>
      <c r="L133" s="15"/>
    </row>
    <row r="134" spans="1:12">
      <c r="A134" s="34"/>
      <c r="B134" s="177"/>
      <c r="C134" s="70" t="s">
        <v>426</v>
      </c>
      <c r="D134" s="69" t="s">
        <v>339</v>
      </c>
      <c r="E134" s="8" t="s">
        <v>192</v>
      </c>
      <c r="F134" s="9" t="s">
        <v>192</v>
      </c>
      <c r="G134" s="17"/>
      <c r="H134" s="19"/>
      <c r="I134" s="13"/>
      <c r="J134" s="7"/>
      <c r="K134" s="7"/>
      <c r="L134" s="15"/>
    </row>
    <row r="135" spans="1:12">
      <c r="A135" s="34"/>
      <c r="B135" s="177"/>
      <c r="C135" s="70" t="s">
        <v>427</v>
      </c>
      <c r="D135" s="69" t="s">
        <v>428</v>
      </c>
      <c r="E135" s="8" t="s">
        <v>192</v>
      </c>
      <c r="F135" s="9" t="s">
        <v>192</v>
      </c>
      <c r="G135" s="17"/>
      <c r="H135" s="19"/>
      <c r="I135" s="13"/>
      <c r="J135" s="7"/>
      <c r="K135" s="7"/>
      <c r="L135" s="15"/>
    </row>
    <row r="136" spans="1:12">
      <c r="A136" s="34"/>
      <c r="B136" s="177"/>
      <c r="C136" s="70" t="s">
        <v>429</v>
      </c>
      <c r="D136" s="69" t="s">
        <v>430</v>
      </c>
      <c r="E136" s="8" t="s">
        <v>192</v>
      </c>
      <c r="F136" s="9" t="s">
        <v>192</v>
      </c>
      <c r="G136" s="17"/>
      <c r="H136" s="19"/>
      <c r="I136" s="13"/>
      <c r="J136" s="7"/>
      <c r="K136" s="7"/>
      <c r="L136" s="15"/>
    </row>
    <row r="137" spans="1:12">
      <c r="A137" s="34"/>
      <c r="B137" s="177"/>
      <c r="C137" s="70" t="s">
        <v>431</v>
      </c>
      <c r="D137" s="69" t="s">
        <v>432</v>
      </c>
      <c r="E137" s="8" t="s">
        <v>192</v>
      </c>
      <c r="F137" s="9" t="s">
        <v>192</v>
      </c>
      <c r="G137" s="17"/>
      <c r="H137" s="19"/>
      <c r="I137" s="13"/>
      <c r="J137" s="7"/>
      <c r="K137" s="7"/>
      <c r="L137" s="15"/>
    </row>
    <row r="138" spans="1:12">
      <c r="A138" s="34"/>
      <c r="B138" s="177"/>
      <c r="C138" s="70"/>
      <c r="D138" s="69"/>
      <c r="E138" s="8"/>
      <c r="F138" s="9"/>
      <c r="G138" s="17"/>
      <c r="H138" s="19"/>
      <c r="I138" s="13"/>
      <c r="J138" s="7"/>
      <c r="K138" s="7"/>
      <c r="L138" s="15"/>
    </row>
    <row r="140" spans="1:12">
      <c r="A140" s="61"/>
      <c r="B140" s="61"/>
      <c r="C140" s="61"/>
      <c r="D140" s="61"/>
      <c r="E140" s="61"/>
      <c r="F140" s="66" t="s">
        <v>0</v>
      </c>
      <c r="G140" s="61"/>
      <c r="H140" s="61"/>
      <c r="I140" s="61"/>
      <c r="J140" s="61"/>
      <c r="K140" s="61"/>
      <c r="L140" s="61"/>
    </row>
  </sheetData>
  <autoFilter ref="C16:L138" xr:uid="{00000000-0009-0000-0000-000005000000}"/>
  <mergeCells count="3">
    <mergeCell ref="E8:F8"/>
    <mergeCell ref="A4:A7"/>
    <mergeCell ref="A2:D2"/>
  </mergeCells>
  <pageMargins left="0.7" right="0.7" top="0.75" bottom="0.75" header="0.3" footer="0.3"/>
  <pageSetup scale="26"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Otes xmlns="f9a4812b-64d5-495a-a610-121844ffcbc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3471E832FA9A4381FCD827512AB20E" ma:contentTypeVersion="6" ma:contentTypeDescription="Create a new document." ma:contentTypeScope="" ma:versionID="f397888e66f5722743a5b00c91c489a7">
  <xsd:schema xmlns:xsd="http://www.w3.org/2001/XMLSchema" xmlns:xs="http://www.w3.org/2001/XMLSchema" xmlns:p="http://schemas.microsoft.com/office/2006/metadata/properties" xmlns:ns1="http://schemas.microsoft.com/sharepoint/v3" xmlns:ns2="f9a4812b-64d5-495a-a610-121844ffcbc8" targetNamespace="http://schemas.microsoft.com/office/2006/metadata/properties" ma:root="true" ma:fieldsID="a9cbafadbe75807fe23067fe5cda85f2" ns1:_="" ns2:_="">
    <xsd:import namespace="http://schemas.microsoft.com/sharepoint/v3"/>
    <xsd:import namespace="f9a4812b-64d5-495a-a610-121844ffcbc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9a4812b-64d5-495a-a610-121844ffcb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NOtes" ma:index="13" nillable="true" ma:displayName="Notes" ma:format="Dropdown" ma:internalName="NOte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E80A8F-6C99-466D-89E7-C2D1B688BFD2}"/>
</file>

<file path=customXml/itemProps2.xml><?xml version="1.0" encoding="utf-8"?>
<ds:datastoreItem xmlns:ds="http://schemas.openxmlformats.org/officeDocument/2006/customXml" ds:itemID="{58804AB0-64F7-4DE5-A72C-2810D7968E80}"/>
</file>

<file path=customXml/itemProps3.xml><?xml version="1.0" encoding="utf-8"?>
<ds:datastoreItem xmlns:ds="http://schemas.openxmlformats.org/officeDocument/2006/customXml" ds:itemID="{5F5BBEEF-40E3-482D-A2BD-FC33FF80D6E3}"/>
</file>

<file path=docMetadata/LabelInfo.xml><?xml version="1.0" encoding="utf-8"?>
<clbl:labelList xmlns:clbl="http://schemas.microsoft.com/office/2020/mipLabelMetadata">
  <clbl:label id="{554eecc5-e26c-4620-b240-5a8bb326c33d}" enabled="1" method="Privileged" siteId="{fae6d70f-954b-4811-92b6-0530d6f84c43}"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Wagner, Jill T CIV USARMY ACC (USA)</cp:lastModifiedBy>
  <cp:revision/>
  <dcterms:created xsi:type="dcterms:W3CDTF">2019-03-07T13:10:07Z</dcterms:created>
  <dcterms:modified xsi:type="dcterms:W3CDTF">2026-02-19T14:51:23Z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0x010100803471E832FA9A4381FCD827512AB20E</vt:lpwstr>
  </property>
  <property fmtid="{D5CDD505-2E9C-101B-9397-08002B2CF9AE}" pid="3" name="Order">
    <vt:r8>2000</vt:r8>
  </property>
  <property fmtid="{D5CDD505-2E9C-101B-9397-08002B2CF9AE}" pid="4" name="Real Description">
    <vt:lpwstr/>
  </property>
  <property fmtid="{D5CDD505-2E9C-101B-9397-08002B2CF9AE}" pid="5" name="MediaServiceImageTags">
    <vt:lpwstr/>
  </property>
</Properties>
</file>