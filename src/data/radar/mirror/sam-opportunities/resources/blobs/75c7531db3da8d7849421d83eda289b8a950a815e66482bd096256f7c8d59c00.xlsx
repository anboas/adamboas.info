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lly.McFarlin\Desktop\53340\"/>
    </mc:Choice>
  </mc:AlternateContent>
  <bookViews>
    <workbookView xWindow="-105" yWindow="1425" windowWidth="19425" windowHeight="10155"/>
  </bookViews>
  <sheets>
    <sheet name="1. Pricing" sheetId="1" r:id="rId1"/>
    <sheet name="2. Schedule of Supplies" sheetId="2" r:id="rId2"/>
  </sheets>
  <definedNames>
    <definedName name="_xlnm._FilterDatabase" localSheetId="1" hidden="1">'2. Schedule of Supplies'!$A$1:$E$88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2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80" i="2"/>
  <c r="E81" i="2"/>
  <c r="E82" i="2"/>
  <c r="E83" i="2"/>
  <c r="E84" i="2"/>
  <c r="E85" i="2"/>
  <c r="E86" i="2"/>
  <c r="E87" i="2"/>
  <c r="E88" i="2"/>
  <c r="E2" i="2"/>
</calcChain>
</file>

<file path=xl/sharedStrings.xml><?xml version="1.0" encoding="utf-8"?>
<sst xmlns="http://schemas.openxmlformats.org/spreadsheetml/2006/main" count="421" uniqueCount="208">
  <si>
    <t>CLIN</t>
  </si>
  <si>
    <t>Description</t>
  </si>
  <si>
    <t>Unit of Issue</t>
  </si>
  <si>
    <t>Total QTY</t>
  </si>
  <si>
    <t>Unit Price</t>
  </si>
  <si>
    <t>Total Price</t>
  </si>
  <si>
    <t>0001</t>
  </si>
  <si>
    <t xml:space="preserve">Next Level Unisex Cotton Short Sleeve Tee </t>
  </si>
  <si>
    <t>EA</t>
  </si>
  <si>
    <t>0002</t>
  </si>
  <si>
    <t xml:space="preserve">Flying Cross FX Flex Class B Short Sleeve Uniform </t>
  </si>
  <si>
    <t>0003</t>
  </si>
  <si>
    <t xml:space="preserve">Flying Cross FX Flex Class B Long Sleeve Uniform Shirt </t>
  </si>
  <si>
    <t>0004</t>
  </si>
  <si>
    <t xml:space="preserve">Cornerstone Lightweight snag-proof Short Sleeve polo </t>
  </si>
  <si>
    <t>0005</t>
  </si>
  <si>
    <t xml:space="preserve">Cornerstone Lightweight snag-proof Long Sleeve polo </t>
  </si>
  <si>
    <t>0006</t>
  </si>
  <si>
    <t>5.11 Job-shirt</t>
  </si>
  <si>
    <t>0007</t>
  </si>
  <si>
    <t xml:space="preserve">Softstyle® Hooded Sweatshirt by Gildan </t>
  </si>
  <si>
    <t>0008</t>
  </si>
  <si>
    <t xml:space="preserve">Under Armour tactical Academy 9” Shorts </t>
  </si>
  <si>
    <t>0009</t>
  </si>
  <si>
    <t xml:space="preserve">Sport-Tek Open Bottom Sweatpant </t>
  </si>
  <si>
    <t>0010</t>
  </si>
  <si>
    <t xml:space="preserve">5.11 Fast-Tac Urban 11” Uniform Short </t>
  </si>
  <si>
    <t>0011</t>
  </si>
  <si>
    <t>0012</t>
  </si>
  <si>
    <t xml:space="preserve">5.11 3-in-1 Parka 2.0 </t>
  </si>
  <si>
    <t>0013</t>
  </si>
  <si>
    <t xml:space="preserve">Beechfield B644R - Eco-Friendly Coolmax Mesh Trucker Cap with Ventilation </t>
  </si>
  <si>
    <t>0014</t>
  </si>
  <si>
    <t xml:space="preserve">Thinsulate knitted hat with turn-up </t>
  </si>
  <si>
    <t>0015</t>
  </si>
  <si>
    <t xml:space="preserve">Redback Blue Tongue Station Boot (composite toe) </t>
  </si>
  <si>
    <t>0016</t>
  </si>
  <si>
    <t xml:space="preserve">Perfect fit Garrison Belt 1.75” leather with silver buckle </t>
  </si>
  <si>
    <t>0017</t>
  </si>
  <si>
    <t>Shipping and Handling</t>
  </si>
  <si>
    <t>LOT</t>
  </si>
  <si>
    <t>Grand Total</t>
  </si>
  <si>
    <t>ELIN #</t>
  </si>
  <si>
    <t>Color</t>
  </si>
  <si>
    <t>Size</t>
  </si>
  <si>
    <t>Quantity</t>
  </si>
  <si>
    <t>A001</t>
  </si>
  <si>
    <t>Dark Navy</t>
  </si>
  <si>
    <t>Small</t>
  </si>
  <si>
    <t>A002</t>
  </si>
  <si>
    <t>Medium</t>
  </si>
  <si>
    <t>A003</t>
  </si>
  <si>
    <t>Large</t>
  </si>
  <si>
    <t>A004</t>
  </si>
  <si>
    <t>XLarge</t>
  </si>
  <si>
    <t>A005</t>
  </si>
  <si>
    <t>2XLarge</t>
  </si>
  <si>
    <t>A006</t>
  </si>
  <si>
    <t>Medium-Tall</t>
  </si>
  <si>
    <t>A007</t>
  </si>
  <si>
    <t>Large- Tall</t>
  </si>
  <si>
    <t>Xlarge- Tall</t>
  </si>
  <si>
    <t>2XLarge- tall</t>
  </si>
  <si>
    <t>A010</t>
  </si>
  <si>
    <t>3XLarge</t>
  </si>
  <si>
    <t>A011</t>
  </si>
  <si>
    <t>Grey</t>
  </si>
  <si>
    <t>A013</t>
  </si>
  <si>
    <t>A014</t>
  </si>
  <si>
    <t>A018</t>
  </si>
  <si>
    <t>A030</t>
  </si>
  <si>
    <t>A032</t>
  </si>
  <si>
    <t>A033</t>
  </si>
  <si>
    <t>A044</t>
  </si>
  <si>
    <t>A046</t>
  </si>
  <si>
    <t>A047</t>
  </si>
  <si>
    <t>A051</t>
  </si>
  <si>
    <t>A053</t>
  </si>
  <si>
    <t>A054</t>
  </si>
  <si>
    <t>A058</t>
  </si>
  <si>
    <t>A060</t>
  </si>
  <si>
    <t>A061</t>
  </si>
  <si>
    <t>A064</t>
  </si>
  <si>
    <t>Cornerstone Lightweight snag-proof Long Sleeve polo - Womens</t>
  </si>
  <si>
    <t>A066</t>
  </si>
  <si>
    <t>A072</t>
  </si>
  <si>
    <t>A079</t>
  </si>
  <si>
    <t>A080</t>
  </si>
  <si>
    <t>A082</t>
  </si>
  <si>
    <t>A083</t>
  </si>
  <si>
    <t>A084</t>
  </si>
  <si>
    <t>Under Armour tactical Academy 9” Shorts - Womens</t>
  </si>
  <si>
    <t xml:space="preserve">Gildan Heavy Blend™ Adult Open Bottom Sweatpants with Pockets  </t>
  </si>
  <si>
    <t>30- waist</t>
  </si>
  <si>
    <t>32- waist</t>
  </si>
  <si>
    <t>34- waist</t>
  </si>
  <si>
    <t>36- waist</t>
  </si>
  <si>
    <t>38- waist</t>
  </si>
  <si>
    <t>40- waist</t>
  </si>
  <si>
    <t>44- waist</t>
  </si>
  <si>
    <t xml:space="preserve">5.11 Fast-Tac (Cargohose) Pant </t>
  </si>
  <si>
    <t>5.11 Fast-Tac (Cargohose) Pant - Womens</t>
  </si>
  <si>
    <t>30- waist / 30 long</t>
  </si>
  <si>
    <t>32- waist / 30 long</t>
  </si>
  <si>
    <t>34- waist / 30 long</t>
  </si>
  <si>
    <t>38- waist / 30 long</t>
  </si>
  <si>
    <t>30- waist / 32 long</t>
  </si>
  <si>
    <t>32- waist / 32 long</t>
  </si>
  <si>
    <t>34- waist / 32 long</t>
  </si>
  <si>
    <t>36- waist / 32 long</t>
  </si>
  <si>
    <t>38- waist / 32 long</t>
  </si>
  <si>
    <t>44- waist/ 32 long</t>
  </si>
  <si>
    <t>34- waist / 34 long</t>
  </si>
  <si>
    <t>36- waist / 34 long</t>
  </si>
  <si>
    <t>5.11 Fast-Tac (Urban) Pant - Womens</t>
  </si>
  <si>
    <t>38- waist/ 34 long</t>
  </si>
  <si>
    <t>X-Large</t>
  </si>
  <si>
    <t>Flexfit V-flexfit® Cotton Twill Cap Style 5001 - ball cap</t>
  </si>
  <si>
    <t>One-size</t>
  </si>
  <si>
    <t>Black Non polished</t>
  </si>
  <si>
    <t>8</t>
  </si>
  <si>
    <t>8.5</t>
  </si>
  <si>
    <t>9</t>
  </si>
  <si>
    <t>9.5</t>
  </si>
  <si>
    <t>10</t>
  </si>
  <si>
    <t>10.5</t>
  </si>
  <si>
    <t>11</t>
  </si>
  <si>
    <t>12</t>
  </si>
  <si>
    <t>30-50</t>
  </si>
  <si>
    <t>Current staff</t>
  </si>
  <si>
    <t>Annual quantity</t>
  </si>
  <si>
    <t>New employees</t>
  </si>
  <si>
    <t>N.E. issuance</t>
  </si>
  <si>
    <t>0018</t>
  </si>
  <si>
    <t>0019</t>
  </si>
  <si>
    <t>A008</t>
  </si>
  <si>
    <t>A009</t>
  </si>
  <si>
    <t>A012</t>
  </si>
  <si>
    <t>A015</t>
  </si>
  <si>
    <t>A016</t>
  </si>
  <si>
    <t>A017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</si>
  <si>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</si>
  <si>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</si>
  <si>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</si>
  <si>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</si>
  <si>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</si>
  <si>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</si>
  <si>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</si>
  <si>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</si>
  <si>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</si>
  <si>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</si>
  <si>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</si>
  <si>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A031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</si>
  <si>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</si>
  <si>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</si>
  <si>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</si>
  <si>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</si>
  <si>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</si>
  <si>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</si>
  <si>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</si>
  <si>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</si>
  <si>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</si>
  <si>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</si>
  <si>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A045</t>
  </si>
  <si>
    <t>A048</t>
  </si>
  <si>
    <t>A049</t>
  </si>
  <si>
    <t>A050</t>
  </si>
  <si>
    <t>A052</t>
  </si>
  <si>
    <t>A055</t>
  </si>
  <si>
    <t>A056</t>
  </si>
  <si>
    <t>A057</t>
  </si>
  <si>
    <t>A059</t>
  </si>
  <si>
    <t>A062</t>
  </si>
  <si>
    <t>A063</t>
  </si>
  <si>
    <t>A065</t>
  </si>
  <si>
    <t>A067</t>
  </si>
  <si>
    <t>A068</t>
  </si>
  <si>
    <t>A069</t>
  </si>
  <si>
    <t>A070</t>
  </si>
  <si>
    <t>A071</t>
  </si>
  <si>
    <t>A073</t>
  </si>
  <si>
    <t>A074</t>
  </si>
  <si>
    <t>A075</t>
  </si>
  <si>
    <t>A076</t>
  </si>
  <si>
    <t>A077</t>
  </si>
  <si>
    <t>A078</t>
  </si>
  <si>
    <t>A081</t>
  </si>
  <si>
    <t>A085</t>
  </si>
  <si>
    <t>A086</t>
  </si>
  <si>
    <t>A087</t>
  </si>
  <si>
    <t>Next Level Unisex Cotton Short Sleeve Tee - ELINs A001 to A012</t>
  </si>
  <si>
    <t>Flying Cross FX Flex Class B Short Sleeve Uniform - ELINs A013 to A015</t>
  </si>
  <si>
    <t>Flying Cross FX Flex Class B Long Sleeve Uniform Shirt - ELINs A016 to A018</t>
  </si>
  <si>
    <t>Cornerstone Lightweight snag-proof Short Sleeve polo - ELINs A019 to A024</t>
  </si>
  <si>
    <t>Cornerstone Lightweight snag-proof Long Sleeve polo - ELINs A025 to A027</t>
  </si>
  <si>
    <t>5.11 Job-shirt - ELINs A028 to A032</t>
  </si>
  <si>
    <t>Softstyle® Hooded Sweatshirt by Gildan - A033 to A038</t>
  </si>
  <si>
    <t>Under Armour tactical Academy 9” Shorts - ELINs A039 to A044</t>
  </si>
  <si>
    <t>Gildan Heavy Blend™ Adult Open Bottom Sweatpants with Pockets  - ELINs A046 to A048</t>
  </si>
  <si>
    <t>5.11 Fast-Tac Urban 11” Uniform Short - ELINs A049 to A055</t>
  </si>
  <si>
    <t>5.11 Fast-Tac (Cargohose or Urban) Pant - ELINs A056 to A071</t>
  </si>
  <si>
    <t>5.11 3-in-1 Parka 2.0 - ELINs A072 to A075</t>
  </si>
  <si>
    <t>Flexfit V-flexfit® Cotton Twill Cap Style 5001 - ball cap - ELIN A076</t>
  </si>
  <si>
    <t>Sport-Tek Open Bottom Sweatpant - ELIN A045</t>
  </si>
  <si>
    <t>Beechfield B644R - Eco-Friendly Coolmax Mesh Trucker Cap with Ventilation - ELIN A077</t>
  </si>
  <si>
    <t>Thinsulate knitted hat with turn-up - ELIN A078</t>
  </si>
  <si>
    <t>Redback Blue Tongue Station Boot (composite toe) - ELINs A079 to ELINs A086</t>
  </si>
  <si>
    <t>Perfect fit Garrison Belt 1.75” leather with silver buckle - ELIN A087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</si>
</sst>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8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5">
    <xf numFmtId="0" fontId="0" fillId="0" borderId="0" xfId="0"/>
    <xf numFmtId="49" fontId="0" fillId="15" borderId="2" xfId="0" applyNumberForma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164" fontId="4" fillId="15" borderId="3" xfId="0" applyNumberFormat="1" applyFont="1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horizontal="center" wrapText="1"/>
    </xf>
    <xf numFmtId="164" fontId="4" fillId="15" borderId="5" xfId="0" applyNumberFormat="1" applyFont="1" applyFill="1" applyBorder="1" applyAlignment="1">
      <alignment horizontal="center" vertical="center"/>
    </xf>
    <xf numFmtId="49" fontId="0" fillId="15" borderId="4" xfId="0" applyNumberFormat="1" applyFill="1" applyBorder="1" applyAlignment="1">
      <alignment horizontal="center" vertical="center" wrapText="1"/>
    </xf>
    <xf numFmtId="1" fontId="0" fillId="15" borderId="5" xfId="0" applyNumberFormat="1" applyFill="1" applyBorder="1" applyAlignment="1">
      <alignment horizontal="center" vertical="center"/>
    </xf>
    <xf numFmtId="4" fontId="0" fillId="2" borderId="10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vertical="center"/>
    </xf>
    <xf numFmtId="4" fontId="0" fillId="16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4" fontId="0" fillId="3" borderId="3" xfId="0" applyNumberFormat="1" applyFill="1" applyBorder="1" applyAlignment="1">
      <alignment horizontal="center" vertical="center"/>
    </xf>
    <xf numFmtId="4" fontId="0" fillId="4" borderId="3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4" fontId="0" fillId="6" borderId="3" xfId="0" applyNumberFormat="1" applyFill="1" applyBorder="1" applyAlignment="1">
      <alignment horizontal="center" vertical="center"/>
    </xf>
    <xf numFmtId="4" fontId="0" fillId="7" borderId="3" xfId="0" applyNumberForma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 applyAlignment="1">
      <alignment horizontal="center" vertical="center"/>
    </xf>
    <xf numFmtId="4" fontId="0" fillId="8" borderId="3" xfId="0" applyNumberFormat="1" applyFill="1" applyBorder="1" applyAlignment="1">
      <alignment horizontal="center" vertical="center"/>
    </xf>
    <xf numFmtId="4" fontId="0" fillId="9" borderId="3" xfId="0" applyNumberFormat="1" applyFill="1" applyBorder="1" applyAlignment="1">
      <alignment horizontal="center" vertical="center"/>
    </xf>
    <xf numFmtId="4" fontId="0" fillId="10" borderId="3" xfId="0" applyNumberFormat="1" applyFill="1" applyBorder="1" applyAlignment="1">
      <alignment horizontal="center" vertical="center"/>
    </xf>
    <xf numFmtId="4" fontId="0" fillId="11" borderId="3" xfId="0" applyNumberFormat="1" applyFill="1" applyBorder="1" applyAlignment="1">
      <alignment horizontal="center" vertical="center"/>
    </xf>
    <xf numFmtId="4" fontId="0" fillId="12" borderId="3" xfId="0" applyNumberFormat="1" applyFill="1" applyBorder="1" applyAlignment="1">
      <alignment horizontal="center" vertical="center"/>
    </xf>
    <xf numFmtId="4" fontId="0" fillId="13" borderId="3" xfId="0" applyNumberFormat="1" applyFill="1" applyBorder="1" applyAlignment="1">
      <alignment horizontal="center" vertical="center"/>
    </xf>
    <xf numFmtId="4" fontId="0" fillId="14" borderId="3" xfId="0" applyNumberFormat="1" applyFill="1" applyBorder="1" applyAlignment="1">
      <alignment horizontal="center" vertical="center"/>
    </xf>
    <xf numFmtId="4" fontId="0" fillId="17" borderId="3" xfId="0" applyNumberForma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0" borderId="0" xfId="0" applyFont="1"/>
    <xf numFmtId="0" fontId="2" fillId="15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2" borderId="3" xfId="0" applyNumberFormat="1" applyFill="1" applyBorder="1" applyAlignment="1">
      <alignment horizontal="center" vertical="center"/>
    </xf>
    <xf numFmtId="1" fontId="2" fillId="15" borderId="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vertical="center"/>
    </xf>
    <xf numFmtId="1" fontId="0" fillId="0" borderId="0" xfId="0" applyNumberFormat="1"/>
    <xf numFmtId="0" fontId="0" fillId="0" borderId="0" xfId="0" applyFill="1" applyBorder="1" applyAlignment="1">
      <alignment horizontal="center"/>
    </xf>
    <xf numFmtId="49" fontId="0" fillId="0" borderId="2" xfId="0" applyNumberFormat="1" applyFill="1" applyBorder="1" applyAlignment="1">
      <alignment horizontal="center" vertical="center" wrapText="1"/>
    </xf>
    <xf numFmtId="164" fontId="5" fillId="15" borderId="3" xfId="0" applyNumberFormat="1" applyFon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1" fontId="6" fillId="0" borderId="0" xfId="0" applyNumberFormat="1" applyFont="1"/>
    <xf numFmtId="0" fontId="0" fillId="0" borderId="3" xfId="0" applyBorder="1" applyAlignment="1">
      <alignment horizontal="center" wrapText="1"/>
    </xf>
    <xf numFmtId="0" fontId="0" fillId="15" borderId="0" xfId="0" applyFill="1" applyBorder="1" applyAlignment="1">
      <alignment horizontal="center"/>
    </xf>
    <xf numFmtId="44" fontId="1" fillId="15" borderId="1" xfId="1" applyFont="1" applyFill="1" applyBorder="1"/>
    <xf numFmtId="44" fontId="1" fillId="15" borderId="6" xfId="1" applyFont="1" applyFill="1" applyBorder="1"/>
  </cellXfs>
  <cellStyles count="2">
    <cellStyle name="Currency" xfId="1" builtinId="4"/>
    <cellStyle name="Normal" xfId="0" builtinId="0"/>
  </cellStyles>
  <dxfs count="12">
    <dxf>
      <fill>
        <patternFill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0"/>
        </patternFill>
      </fill>
    </dxf>
    <dxf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numFmt numFmtId="30" formatCode="@"/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F20" totalsRowShown="0" headerRowDxfId="11" dataDxfId="10" tableBorderDxfId="9">
  <tableColumns count="6">
    <tableColumn id="1" name="CLIN" dataDxfId="8"/>
    <tableColumn id="2" name="Description" dataDxfId="7"/>
    <tableColumn id="3" name="Unit of Issue" dataDxfId="6"/>
    <tableColumn id="4" name="Total QTY" dataDxfId="5"/>
    <tableColumn id="5" name="Unit Price" dataDxfId="4" dataCellStyle="Currency"/>
    <tableColumn id="6" name="Total Price" dataDxfId="0" dataCellStyle="Currency">
      <calculatedColumnFormula>Table1[[#This Row],[Total QTY]]*Table1[[#This Row],[Unit Price]]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zoomScale="85" zoomScaleNormal="85" workbookViewId="0">
      <selection activeCell="E2" sqref="E2"/>
    </sheetView>
  </sheetViews>
  <sheetFormatPr defaultRowHeight="14.25"/>
  <cols>
    <col min="1" max="1" width="14" customWidth="1"/>
    <col min="2" max="2" width="36.75" customWidth="1"/>
    <col min="3" max="3" width="14.25" customWidth="1"/>
    <col min="4" max="4" width="13" customWidth="1"/>
    <col min="5" max="5" width="13.375" customWidth="1"/>
    <col min="6" max="6" width="17" customWidth="1"/>
    <col min="8" max="8" width="11.875" bestFit="1" customWidth="1"/>
  </cols>
  <sheetData>
    <row r="1" spans="1:6" ht="15">
      <c r="A1" s="35" t="s">
        <v>0</v>
      </c>
      <c r="B1" s="36" t="s">
        <v>1</v>
      </c>
      <c r="C1" s="37" t="s">
        <v>2</v>
      </c>
      <c r="D1" s="37" t="s">
        <v>3</v>
      </c>
      <c r="E1" s="38" t="s">
        <v>4</v>
      </c>
      <c r="F1" s="38" t="s">
        <v>5</v>
      </c>
    </row>
    <row r="2" spans="1:6" ht="52.5" customHeight="1">
      <c r="A2" s="1" t="s">
        <v>6</v>
      </c>
      <c r="B2" s="2" t="s">
        <v>190</v>
      </c>
      <c r="C2" s="3" t="s">
        <v>8</v>
      </c>
      <c r="D2" s="4">
        <v>195</v>
      </c>
      <c r="E2" s="53"/>
      <c r="F2" s="53">
        <f>Table1[[#This Row],[Total QTY]]*Table1[[#This Row],[Unit Price]]</f>
        <v>0</v>
      </c>
    </row>
    <row r="3" spans="1:6" ht="45" customHeight="1">
      <c r="A3" s="1" t="s">
        <v>9</v>
      </c>
      <c r="B3" s="5" t="s">
        <v>191</v>
      </c>
      <c r="C3" s="3" t="s">
        <v>8</v>
      </c>
      <c r="D3" s="4">
        <v>12</v>
      </c>
      <c r="E3" s="53"/>
      <c r="F3" s="53">
        <f>Table1[[#This Row],[Total QTY]]*Table1[[#This Row],[Unit Price]]</f>
        <v>0</v>
      </c>
    </row>
    <row r="4" spans="1:6" ht="48" customHeight="1">
      <c r="A4" s="1" t="s">
        <v>11</v>
      </c>
      <c r="B4" s="5" t="s">
        <v>192</v>
      </c>
      <c r="C4" s="3" t="s">
        <v>8</v>
      </c>
      <c r="D4" s="4">
        <v>5</v>
      </c>
      <c r="E4" s="53"/>
      <c r="F4" s="53">
        <f>Table1[[#This Row],[Total QTY]]*Table1[[#This Row],[Unit Price]]</f>
        <v>0</v>
      </c>
    </row>
    <row r="5" spans="1:6" ht="46.5" customHeight="1">
      <c r="A5" s="1" t="s">
        <v>13</v>
      </c>
      <c r="B5" s="5" t="s">
        <v>193</v>
      </c>
      <c r="C5" s="3" t="s">
        <v>8</v>
      </c>
      <c r="D5" s="4">
        <v>11</v>
      </c>
      <c r="E5" s="53"/>
      <c r="F5" s="53">
        <f>Table1[[#This Row],[Total QTY]]*Table1[[#This Row],[Unit Price]]</f>
        <v>0</v>
      </c>
    </row>
    <row r="6" spans="1:6" ht="41.45" customHeight="1">
      <c r="A6" s="1" t="s">
        <v>15</v>
      </c>
      <c r="B6" s="5" t="s">
        <v>194</v>
      </c>
      <c r="C6" s="3" t="s">
        <v>8</v>
      </c>
      <c r="D6" s="4">
        <v>5</v>
      </c>
      <c r="E6" s="53"/>
      <c r="F6" s="53">
        <f>Table1[[#This Row],[Total QTY]]*Table1[[#This Row],[Unit Price]]</f>
        <v>0</v>
      </c>
    </row>
    <row r="7" spans="1:6" ht="22.5" customHeight="1">
      <c r="A7" s="1" t="s">
        <v>17</v>
      </c>
      <c r="B7" s="5" t="s">
        <v>195</v>
      </c>
      <c r="C7" s="3" t="s">
        <v>8</v>
      </c>
      <c r="D7" s="4">
        <v>14</v>
      </c>
      <c r="E7" s="53"/>
      <c r="F7" s="53">
        <f>Table1[[#This Row],[Total QTY]]*Table1[[#This Row],[Unit Price]]</f>
        <v>0</v>
      </c>
    </row>
    <row r="8" spans="1:6" ht="42.6" customHeight="1">
      <c r="A8" s="1" t="s">
        <v>19</v>
      </c>
      <c r="B8" s="5" t="s">
        <v>196</v>
      </c>
      <c r="C8" s="3" t="s">
        <v>8</v>
      </c>
      <c r="D8" s="4">
        <v>15</v>
      </c>
      <c r="E8" s="53"/>
      <c r="F8" s="53">
        <f>Table1[[#This Row],[Total QTY]]*Table1[[#This Row],[Unit Price]]</f>
        <v>0</v>
      </c>
    </row>
    <row r="9" spans="1:6" ht="45.95" customHeight="1">
      <c r="A9" s="1" t="s">
        <v>21</v>
      </c>
      <c r="B9" s="5" t="s">
        <v>197</v>
      </c>
      <c r="C9" s="3" t="s">
        <v>8</v>
      </c>
      <c r="D9" s="4">
        <v>50</v>
      </c>
      <c r="E9" s="53"/>
      <c r="F9" s="53">
        <f>Table1[[#This Row],[Total QTY]]*Table1[[#This Row],[Unit Price]]</f>
        <v>0</v>
      </c>
    </row>
    <row r="10" spans="1:6" ht="48.95" customHeight="1">
      <c r="A10" s="1" t="s">
        <v>23</v>
      </c>
      <c r="B10" s="5" t="s">
        <v>203</v>
      </c>
      <c r="C10" s="3" t="s">
        <v>8</v>
      </c>
      <c r="D10" s="4">
        <v>1</v>
      </c>
      <c r="E10" s="53"/>
      <c r="F10" s="53">
        <f>Table1[[#This Row],[Total QTY]]*Table1[[#This Row],[Unit Price]]</f>
        <v>0</v>
      </c>
    </row>
    <row r="11" spans="1:6" ht="48.95" customHeight="1">
      <c r="A11" s="47" t="s">
        <v>25</v>
      </c>
      <c r="B11" s="51" t="s">
        <v>198</v>
      </c>
      <c r="C11" s="48" t="s">
        <v>8</v>
      </c>
      <c r="D11" s="49">
        <v>22</v>
      </c>
      <c r="E11" s="53"/>
      <c r="F11" s="53">
        <f>Table1[[#This Row],[Total QTY]]*Table1[[#This Row],[Unit Price]]</f>
        <v>0</v>
      </c>
    </row>
    <row r="12" spans="1:6" ht="52.5" customHeight="1">
      <c r="A12" s="1" t="s">
        <v>27</v>
      </c>
      <c r="B12" s="5" t="s">
        <v>199</v>
      </c>
      <c r="C12" s="3" t="s">
        <v>8</v>
      </c>
      <c r="D12" s="4">
        <v>53</v>
      </c>
      <c r="E12" s="53"/>
      <c r="F12" s="53">
        <f>Table1[[#This Row],[Total QTY]]*Table1[[#This Row],[Unit Price]]</f>
        <v>0</v>
      </c>
    </row>
    <row r="13" spans="1:6" ht="36.950000000000003" customHeight="1">
      <c r="A13" s="1" t="s">
        <v>28</v>
      </c>
      <c r="B13" s="5" t="s">
        <v>200</v>
      </c>
      <c r="C13" s="3" t="s">
        <v>8</v>
      </c>
      <c r="D13" s="4">
        <v>60</v>
      </c>
      <c r="E13" s="53"/>
      <c r="F13" s="53">
        <f>Table1[[#This Row],[Total QTY]]*Table1[[#This Row],[Unit Price]]</f>
        <v>0</v>
      </c>
    </row>
    <row r="14" spans="1:6" ht="38.1" customHeight="1">
      <c r="A14" s="1" t="s">
        <v>30</v>
      </c>
      <c r="B14" s="5" t="s">
        <v>201</v>
      </c>
      <c r="C14" s="3" t="s">
        <v>8</v>
      </c>
      <c r="D14" s="4">
        <v>8</v>
      </c>
      <c r="E14" s="53"/>
      <c r="F14" s="53">
        <f>Table1[[#This Row],[Total QTY]]*Table1[[#This Row],[Unit Price]]</f>
        <v>0</v>
      </c>
    </row>
    <row r="15" spans="1:6" ht="38.1" customHeight="1">
      <c r="A15" s="47" t="s">
        <v>32</v>
      </c>
      <c r="B15" s="51" t="s">
        <v>202</v>
      </c>
      <c r="C15" s="48" t="s">
        <v>8</v>
      </c>
      <c r="D15" s="49">
        <v>25</v>
      </c>
      <c r="E15" s="53"/>
      <c r="F15" s="53">
        <f>Table1[[#This Row],[Total QTY]]*Table1[[#This Row],[Unit Price]]</f>
        <v>0</v>
      </c>
    </row>
    <row r="16" spans="1:6" ht="45" customHeight="1">
      <c r="A16" s="1" t="s">
        <v>34</v>
      </c>
      <c r="B16" s="5" t="s">
        <v>204</v>
      </c>
      <c r="C16" s="3" t="s">
        <v>8</v>
      </c>
      <c r="D16" s="4">
        <v>25</v>
      </c>
      <c r="E16" s="53"/>
      <c r="F16" s="53">
        <f>Table1[[#This Row],[Total QTY]]*Table1[[#This Row],[Unit Price]]</f>
        <v>0</v>
      </c>
    </row>
    <row r="17" spans="1:6" ht="29.25">
      <c r="A17" s="1" t="s">
        <v>36</v>
      </c>
      <c r="B17" s="5" t="s">
        <v>205</v>
      </c>
      <c r="C17" s="3" t="s">
        <v>8</v>
      </c>
      <c r="D17" s="4">
        <v>30</v>
      </c>
      <c r="E17" s="53"/>
      <c r="F17" s="53">
        <f>Table1[[#This Row],[Total QTY]]*Table1[[#This Row],[Unit Price]]</f>
        <v>0</v>
      </c>
    </row>
    <row r="18" spans="1:6" ht="50.1" customHeight="1">
      <c r="A18" s="1" t="s">
        <v>38</v>
      </c>
      <c r="B18" s="5" t="s">
        <v>206</v>
      </c>
      <c r="C18" s="3" t="s">
        <v>8</v>
      </c>
      <c r="D18" s="4">
        <v>15</v>
      </c>
      <c r="E18" s="53"/>
      <c r="F18" s="53">
        <f>Table1[[#This Row],[Total QTY]]*Table1[[#This Row],[Unit Price]]</f>
        <v>0</v>
      </c>
    </row>
    <row r="19" spans="1:6" ht="53.1" customHeight="1">
      <c r="A19" s="1" t="s">
        <v>133</v>
      </c>
      <c r="B19" s="5" t="s">
        <v>207</v>
      </c>
      <c r="C19" s="3" t="s">
        <v>8</v>
      </c>
      <c r="D19" s="4">
        <v>15</v>
      </c>
      <c r="E19" s="53"/>
      <c r="F19" s="53">
        <f>Table1[[#This Row],[Total QTY]]*Table1[[#This Row],[Unit Price]]</f>
        <v>0</v>
      </c>
    </row>
    <row r="20" spans="1:6" ht="15">
      <c r="A20" s="7" t="s">
        <v>134</v>
      </c>
      <c r="B20" s="52" t="s">
        <v>39</v>
      </c>
      <c r="C20" s="6" t="s">
        <v>40</v>
      </c>
      <c r="D20" s="8">
        <v>1</v>
      </c>
      <c r="E20" s="54"/>
      <c r="F20" s="54">
        <f>Table1[[#This Row],[Total QTY]]*Table1[[#This Row],[Unit Price]]</f>
        <v>0</v>
      </c>
    </row>
    <row r="22" spans="1:6" ht="15">
      <c r="B22" s="39" t="s">
        <v>41</v>
      </c>
      <c r="D22" s="45"/>
      <c r="F22" s="53">
        <f>SUM(Table1[Total Price])</f>
        <v>0</v>
      </c>
    </row>
    <row r="23" spans="1:6" ht="15">
      <c r="D23" s="50"/>
    </row>
  </sheetData>
  <protectedRanges>
    <protectedRange sqref="C2:C19" name="Range1_1"/>
  </protectedRanges>
  <pageMargins left="0.7" right="0.7" top="0.75" bottom="0.75" header="0.3" footer="0.3"/>
  <pageSetup orientation="portrait" r:id="rId1"/>
  <headerFooter>
    <oddHeader>&amp;C&amp;"Aptos"&amp;12&amp;K008000 UNCLASSIFIED&amp;1#_x000D_</oddHeader>
    <oddFooter>&amp;C_x000D_&amp;1#&amp;"Aptos"&amp;12&amp;K008000 UNCLASSIFIED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0"/>
  <sheetViews>
    <sheetView workbookViewId="0">
      <pane ySplit="1" topLeftCell="A2" activePane="bottomLeft" state="frozen"/>
      <selection pane="bottomLeft" activeCell="B67" sqref="B67"/>
    </sheetView>
  </sheetViews>
  <sheetFormatPr defaultRowHeight="14.25"/>
  <cols>
    <col min="2" max="2" width="79" customWidth="1"/>
    <col min="3" max="3" width="17.625" customWidth="1"/>
    <col min="4" max="4" width="22.875" customWidth="1"/>
    <col min="5" max="5" width="9" style="45"/>
    <col min="7" max="10" width="15.75" style="41" hidden="1" customWidth="1"/>
  </cols>
  <sheetData>
    <row r="1" spans="1:11" ht="15.75" thickBot="1">
      <c r="A1" s="32" t="s">
        <v>42</v>
      </c>
      <c r="B1" s="33" t="s">
        <v>1</v>
      </c>
      <c r="C1" s="33" t="s">
        <v>43</v>
      </c>
      <c r="D1" s="34" t="s">
        <v>44</v>
      </c>
      <c r="E1" s="43" t="s">
        <v>45</v>
      </c>
      <c r="F1" s="40"/>
      <c r="G1" s="40" t="s">
        <v>129</v>
      </c>
      <c r="H1" s="40" t="s">
        <v>130</v>
      </c>
      <c r="I1" s="40" t="s">
        <v>131</v>
      </c>
      <c r="J1" s="40" t="s">
        <v>132</v>
      </c>
    </row>
    <row r="2" spans="1:11" ht="15">
      <c r="A2" s="9" t="s">
        <v>46</v>
      </c>
      <c r="B2" s="10" t="s">
        <v>7</v>
      </c>
      <c r="C2" s="11" t="s">
        <v>47</v>
      </c>
      <c r="D2" s="12" t="s">
        <v>48</v>
      </c>
      <c r="E2" s="44">
        <f>SUM(PRODUCT(G2*H2))+(PRODUCT(I2*J2))</f>
        <v>9</v>
      </c>
      <c r="G2" s="41">
        <v>3</v>
      </c>
      <c r="H2" s="41">
        <v>3</v>
      </c>
      <c r="I2" s="41">
        <v>0</v>
      </c>
      <c r="J2" s="41">
        <v>0</v>
      </c>
      <c r="K2" s="45"/>
    </row>
    <row r="3" spans="1:11" ht="15">
      <c r="A3" s="9" t="s">
        <v>49</v>
      </c>
      <c r="B3" s="10" t="s">
        <v>7</v>
      </c>
      <c r="C3" s="13" t="s">
        <v>47</v>
      </c>
      <c r="D3" s="14" t="s">
        <v>50</v>
      </c>
      <c r="E3" s="44">
        <f t="shared" ref="E3:E26" si="0">SUM(PRODUCT(G3*H3))+(PRODUCT(I3*J3))</f>
        <v>39</v>
      </c>
      <c r="G3" s="41">
        <v>11</v>
      </c>
      <c r="H3" s="41">
        <v>3</v>
      </c>
      <c r="I3" s="41">
        <v>1</v>
      </c>
      <c r="J3" s="41">
        <v>6</v>
      </c>
    </row>
    <row r="4" spans="1:11" ht="15">
      <c r="A4" s="9" t="s">
        <v>51</v>
      </c>
      <c r="B4" s="10" t="s">
        <v>7</v>
      </c>
      <c r="C4" s="13" t="s">
        <v>47</v>
      </c>
      <c r="D4" s="14" t="s">
        <v>52</v>
      </c>
      <c r="E4" s="44">
        <f t="shared" si="0"/>
        <v>69</v>
      </c>
      <c r="G4" s="41">
        <v>21</v>
      </c>
      <c r="H4" s="41">
        <v>3</v>
      </c>
      <c r="I4" s="41">
        <v>1</v>
      </c>
      <c r="J4" s="41">
        <v>6</v>
      </c>
    </row>
    <row r="5" spans="1:11" ht="15">
      <c r="A5" s="9" t="s">
        <v>53</v>
      </c>
      <c r="B5" s="10" t="s">
        <v>7</v>
      </c>
      <c r="C5" s="13" t="s">
        <v>47</v>
      </c>
      <c r="D5" s="14" t="s">
        <v>54</v>
      </c>
      <c r="E5" s="44">
        <f t="shared" si="0"/>
        <v>48</v>
      </c>
      <c r="G5" s="41">
        <v>14</v>
      </c>
      <c r="H5" s="41">
        <v>3</v>
      </c>
      <c r="I5" s="41">
        <v>1</v>
      </c>
      <c r="J5" s="41">
        <v>6</v>
      </c>
    </row>
    <row r="6" spans="1:11" ht="15">
      <c r="A6" s="9" t="s">
        <v>55</v>
      </c>
      <c r="B6" s="10" t="s">
        <v>7</v>
      </c>
      <c r="C6" s="13" t="s">
        <v>47</v>
      </c>
      <c r="D6" s="14" t="s">
        <v>56</v>
      </c>
      <c r="E6" s="44">
        <f t="shared" si="0"/>
        <v>6</v>
      </c>
      <c r="G6" s="41">
        <v>2</v>
      </c>
      <c r="H6" s="41">
        <v>3</v>
      </c>
      <c r="I6" s="41">
        <v>0</v>
      </c>
      <c r="J6" s="41">
        <v>0</v>
      </c>
    </row>
    <row r="7" spans="1:11" ht="15">
      <c r="A7" s="9" t="s">
        <v>57</v>
      </c>
      <c r="B7" s="10" t="s">
        <v>7</v>
      </c>
      <c r="C7" s="13" t="s">
        <v>47</v>
      </c>
      <c r="D7" s="14" t="s">
        <v>58</v>
      </c>
      <c r="E7" s="44">
        <f t="shared" si="0"/>
        <v>3</v>
      </c>
      <c r="G7" s="41">
        <v>1</v>
      </c>
      <c r="H7" s="41">
        <v>3</v>
      </c>
      <c r="I7" s="41">
        <v>0</v>
      </c>
      <c r="J7" s="41">
        <v>0</v>
      </c>
    </row>
    <row r="8" spans="1:11" ht="15">
      <c r="A8" s="9" t="s">
        <v>59</v>
      </c>
      <c r="B8" s="10" t="s">
        <v>7</v>
      </c>
      <c r="C8" s="13" t="s">
        <v>47</v>
      </c>
      <c r="D8" s="14" t="s">
        <v>60</v>
      </c>
      <c r="E8" s="44">
        <f t="shared" si="0"/>
        <v>3</v>
      </c>
      <c r="G8" s="41">
        <v>1</v>
      </c>
      <c r="H8" s="41">
        <v>3</v>
      </c>
      <c r="I8" s="41">
        <v>0</v>
      </c>
      <c r="J8" s="41">
        <v>0</v>
      </c>
    </row>
    <row r="9" spans="1:11" ht="15">
      <c r="A9" s="9" t="s">
        <v>135</v>
      </c>
      <c r="B9" s="10" t="s">
        <v>7</v>
      </c>
      <c r="C9" s="13" t="s">
        <v>47</v>
      </c>
      <c r="D9" s="14" t="s">
        <v>64</v>
      </c>
      <c r="E9" s="44">
        <f t="shared" si="0"/>
        <v>3</v>
      </c>
      <c r="G9" s="41">
        <v>1</v>
      </c>
      <c r="H9" s="41">
        <v>3</v>
      </c>
      <c r="I9" s="41">
        <v>0</v>
      </c>
      <c r="J9" s="41">
        <v>0</v>
      </c>
    </row>
    <row r="10" spans="1:11" ht="15">
      <c r="A10" s="9" t="s">
        <v>136</v>
      </c>
      <c r="B10" s="10" t="s">
        <v>7</v>
      </c>
      <c r="C10" s="13" t="s">
        <v>66</v>
      </c>
      <c r="D10" s="14" t="s">
        <v>48</v>
      </c>
      <c r="E10" s="44">
        <f t="shared" si="0"/>
        <v>3</v>
      </c>
      <c r="G10" s="41">
        <v>1</v>
      </c>
      <c r="H10" s="41">
        <v>3</v>
      </c>
      <c r="I10" s="41">
        <v>0</v>
      </c>
      <c r="J10" s="41">
        <v>0</v>
      </c>
    </row>
    <row r="11" spans="1:11" ht="15">
      <c r="A11" s="9" t="s">
        <v>63</v>
      </c>
      <c r="B11" s="10" t="s">
        <v>7</v>
      </c>
      <c r="C11" s="13" t="s">
        <v>66</v>
      </c>
      <c r="D11" s="14" t="s">
        <v>52</v>
      </c>
      <c r="E11" s="44">
        <f t="shared" si="0"/>
        <v>6</v>
      </c>
      <c r="G11" s="41">
        <v>2</v>
      </c>
      <c r="H11" s="41">
        <v>3</v>
      </c>
      <c r="I11" s="41">
        <v>0</v>
      </c>
      <c r="J11" s="41">
        <v>0</v>
      </c>
    </row>
    <row r="12" spans="1:11" ht="15">
      <c r="A12" s="9" t="s">
        <v>65</v>
      </c>
      <c r="B12" s="10" t="s">
        <v>7</v>
      </c>
      <c r="C12" s="13" t="s">
        <v>66</v>
      </c>
      <c r="D12" s="14" t="s">
        <v>54</v>
      </c>
      <c r="E12" s="44">
        <f t="shared" si="0"/>
        <v>3</v>
      </c>
      <c r="G12" s="41">
        <v>1</v>
      </c>
      <c r="H12" s="41">
        <v>3</v>
      </c>
      <c r="I12" s="41">
        <v>0</v>
      </c>
      <c r="J12" s="41">
        <v>0</v>
      </c>
    </row>
    <row r="13" spans="1:11" ht="15">
      <c r="A13" s="9" t="s">
        <v>137</v>
      </c>
      <c r="B13" s="10" t="s">
        <v>7</v>
      </c>
      <c r="C13" s="13" t="s">
        <v>66</v>
      </c>
      <c r="D13" s="14" t="s">
        <v>60</v>
      </c>
      <c r="E13" s="44">
        <f t="shared" si="0"/>
        <v>3</v>
      </c>
      <c r="G13" s="41">
        <v>1</v>
      </c>
      <c r="H13" s="41">
        <v>3</v>
      </c>
      <c r="I13" s="41">
        <v>0</v>
      </c>
      <c r="J13" s="41">
        <v>0</v>
      </c>
    </row>
    <row r="14" spans="1:11">
      <c r="A14" s="15" t="s">
        <v>67</v>
      </c>
      <c r="B14" s="16" t="s">
        <v>10</v>
      </c>
      <c r="C14" s="13" t="s">
        <v>66</v>
      </c>
      <c r="D14" s="12" t="s">
        <v>48</v>
      </c>
      <c r="E14" s="44">
        <f t="shared" si="0"/>
        <v>2</v>
      </c>
      <c r="G14" s="41">
        <v>1</v>
      </c>
      <c r="H14" s="41">
        <v>2</v>
      </c>
      <c r="I14" s="41">
        <v>0</v>
      </c>
      <c r="J14" s="41">
        <v>0</v>
      </c>
      <c r="K14" s="45"/>
    </row>
    <row r="15" spans="1:11">
      <c r="A15" s="15" t="s">
        <v>68</v>
      </c>
      <c r="B15" s="16" t="s">
        <v>10</v>
      </c>
      <c r="C15" s="13" t="s">
        <v>66</v>
      </c>
      <c r="D15" s="14" t="s">
        <v>52</v>
      </c>
      <c r="E15" s="44">
        <f t="shared" si="0"/>
        <v>6</v>
      </c>
      <c r="G15" s="41">
        <v>3</v>
      </c>
      <c r="H15" s="41">
        <v>2</v>
      </c>
      <c r="I15" s="41">
        <v>0</v>
      </c>
      <c r="J15" s="41">
        <v>0</v>
      </c>
    </row>
    <row r="16" spans="1:11">
      <c r="A16" s="15" t="s">
        <v>138</v>
      </c>
      <c r="B16" s="16" t="s">
        <v>10</v>
      </c>
      <c r="C16" s="13" t="s">
        <v>66</v>
      </c>
      <c r="D16" s="14" t="s">
        <v>54</v>
      </c>
      <c r="E16" s="44">
        <f t="shared" si="0"/>
        <v>4</v>
      </c>
      <c r="G16" s="41">
        <v>1</v>
      </c>
      <c r="H16" s="41">
        <v>4</v>
      </c>
      <c r="I16" s="41">
        <v>0</v>
      </c>
      <c r="J16" s="41">
        <v>0</v>
      </c>
    </row>
    <row r="17" spans="1:11">
      <c r="A17" s="17" t="s">
        <v>139</v>
      </c>
      <c r="B17" s="16" t="s">
        <v>12</v>
      </c>
      <c r="C17" s="13" t="s">
        <v>66</v>
      </c>
      <c r="D17" s="12" t="s">
        <v>48</v>
      </c>
      <c r="E17" s="44">
        <f t="shared" si="0"/>
        <v>1</v>
      </c>
      <c r="G17" s="41">
        <v>1</v>
      </c>
      <c r="H17" s="41">
        <v>1</v>
      </c>
      <c r="I17" s="41">
        <v>0</v>
      </c>
      <c r="J17" s="41">
        <v>0</v>
      </c>
      <c r="K17" s="45"/>
    </row>
    <row r="18" spans="1:11">
      <c r="A18" s="17" t="s">
        <v>140</v>
      </c>
      <c r="B18" s="16" t="s">
        <v>12</v>
      </c>
      <c r="C18" s="13" t="s">
        <v>66</v>
      </c>
      <c r="D18" s="14" t="s">
        <v>52</v>
      </c>
      <c r="E18" s="44">
        <f t="shared" si="0"/>
        <v>3</v>
      </c>
      <c r="G18" s="41">
        <v>3</v>
      </c>
      <c r="H18" s="41">
        <v>1</v>
      </c>
      <c r="I18" s="41">
        <v>0</v>
      </c>
      <c r="J18" s="41">
        <v>0</v>
      </c>
    </row>
    <row r="19" spans="1:11">
      <c r="A19" s="17" t="s">
        <v>69</v>
      </c>
      <c r="B19" s="16" t="s">
        <v>12</v>
      </c>
      <c r="C19" s="13" t="s">
        <v>66</v>
      </c>
      <c r="D19" s="14" t="s">
        <v>54</v>
      </c>
      <c r="E19" s="44">
        <f t="shared" si="0"/>
        <v>1</v>
      </c>
      <c r="G19" s="41">
        <v>1</v>
      </c>
      <c r="H19" s="41">
        <v>1</v>
      </c>
      <c r="I19" s="41">
        <v>0</v>
      </c>
      <c r="J19" s="41">
        <v>0</v>
      </c>
    </row>
    <row r="20" spans="1:11">
      <c r="A20" s="18" t="s">
        <v>141</v>
      </c>
      <c r="B20" s="16" t="s">
        <v>14</v>
      </c>
      <c r="C20" s="13" t="s">
        <v>47</v>
      </c>
      <c r="D20" s="14" t="s">
        <v>50</v>
      </c>
      <c r="E20" s="44">
        <f t="shared" si="0"/>
        <v>2</v>
      </c>
      <c r="G20" s="41">
        <v>10</v>
      </c>
      <c r="H20" s="41">
        <v>0</v>
      </c>
      <c r="I20" s="41">
        <v>1</v>
      </c>
      <c r="J20" s="41">
        <v>2</v>
      </c>
      <c r="K20" s="45"/>
    </row>
    <row r="21" spans="1:11">
      <c r="A21" s="18" t="s">
        <v>142</v>
      </c>
      <c r="B21" s="16" t="s">
        <v>14</v>
      </c>
      <c r="C21" s="13" t="s">
        <v>47</v>
      </c>
      <c r="D21" s="14" t="s">
        <v>52</v>
      </c>
      <c r="E21" s="44">
        <f t="shared" si="0"/>
        <v>2</v>
      </c>
      <c r="G21" s="41">
        <v>21</v>
      </c>
      <c r="H21" s="41">
        <v>0</v>
      </c>
      <c r="I21" s="41">
        <v>1</v>
      </c>
      <c r="J21" s="41">
        <v>2</v>
      </c>
    </row>
    <row r="22" spans="1:11">
      <c r="A22" s="18" t="s">
        <v>143</v>
      </c>
      <c r="B22" s="16" t="s">
        <v>14</v>
      </c>
      <c r="C22" s="13" t="s">
        <v>47</v>
      </c>
      <c r="D22" s="14" t="s">
        <v>54</v>
      </c>
      <c r="E22" s="44">
        <f t="shared" si="0"/>
        <v>2</v>
      </c>
      <c r="G22" s="41">
        <v>14</v>
      </c>
      <c r="H22" s="41">
        <v>0</v>
      </c>
      <c r="I22" s="41">
        <v>1</v>
      </c>
      <c r="J22" s="41">
        <v>2</v>
      </c>
    </row>
    <row r="23" spans="1:11">
      <c r="A23" s="18" t="s">
        <v>144</v>
      </c>
      <c r="B23" s="16" t="s">
        <v>14</v>
      </c>
      <c r="C23" s="13" t="s">
        <v>66</v>
      </c>
      <c r="D23" s="12" t="s">
        <v>48</v>
      </c>
      <c r="E23" s="44">
        <f t="shared" si="0"/>
        <v>1</v>
      </c>
      <c r="G23" s="41">
        <v>1</v>
      </c>
      <c r="H23" s="41">
        <v>1</v>
      </c>
      <c r="I23" s="41">
        <v>0</v>
      </c>
      <c r="J23" s="41">
        <v>0</v>
      </c>
    </row>
    <row r="24" spans="1:11">
      <c r="A24" s="18" t="s">
        <v>145</v>
      </c>
      <c r="B24" s="16" t="s">
        <v>14</v>
      </c>
      <c r="C24" s="13" t="s">
        <v>66</v>
      </c>
      <c r="D24" s="14" t="s">
        <v>52</v>
      </c>
      <c r="E24" s="44">
        <f t="shared" si="0"/>
        <v>3</v>
      </c>
      <c r="G24" s="41">
        <v>3</v>
      </c>
      <c r="H24" s="41">
        <v>1</v>
      </c>
      <c r="I24" s="41">
        <v>0</v>
      </c>
      <c r="J24" s="41">
        <v>0</v>
      </c>
    </row>
    <row r="25" spans="1:11">
      <c r="A25" s="18" t="s">
        <v>146</v>
      </c>
      <c r="B25" s="16" t="s">
        <v>14</v>
      </c>
      <c r="C25" s="13" t="s">
        <v>66</v>
      </c>
      <c r="D25" s="14" t="s">
        <v>54</v>
      </c>
      <c r="E25" s="44">
        <f t="shared" si="0"/>
        <v>1</v>
      </c>
      <c r="G25" s="41">
        <v>1</v>
      </c>
      <c r="H25" s="41">
        <v>1</v>
      </c>
      <c r="I25" s="41">
        <v>0</v>
      </c>
      <c r="J25" s="41">
        <v>0</v>
      </c>
    </row>
    <row r="26" spans="1:11">
      <c r="A26" s="19" t="s">
        <v>147</v>
      </c>
      <c r="B26" s="16" t="s">
        <v>83</v>
      </c>
      <c r="C26" s="13" t="s">
        <v>47</v>
      </c>
      <c r="D26" s="12" t="s">
        <v>48</v>
      </c>
      <c r="E26" s="44">
        <f t="shared" si="0"/>
        <v>2</v>
      </c>
      <c r="G26" s="41">
        <v>1</v>
      </c>
      <c r="H26" s="41">
        <v>2</v>
      </c>
      <c r="I26" s="41">
        <v>0</v>
      </c>
      <c r="J26" s="41">
        <v>0</v>
      </c>
      <c r="K26" s="45"/>
    </row>
    <row r="27" spans="1:11">
      <c r="A27" s="19" t="s">
        <v>148</v>
      </c>
      <c r="B27" s="16" t="s">
        <v>83</v>
      </c>
      <c r="C27" s="13" t="s">
        <v>47</v>
      </c>
      <c r="D27" s="14" t="s">
        <v>50</v>
      </c>
      <c r="E27" s="44">
        <f t="shared" ref="E27:E59" si="1">SUM(PRODUCT(G27*H27))+(PRODUCT(I27*J27))</f>
        <v>2</v>
      </c>
      <c r="G27" s="41">
        <v>1</v>
      </c>
      <c r="H27" s="41">
        <v>2</v>
      </c>
      <c r="I27" s="41">
        <v>0</v>
      </c>
      <c r="J27" s="41">
        <v>0</v>
      </c>
    </row>
    <row r="28" spans="1:11">
      <c r="A28" s="19" t="s">
        <v>149</v>
      </c>
      <c r="B28" s="16" t="s">
        <v>16</v>
      </c>
      <c r="C28" s="13" t="s">
        <v>66</v>
      </c>
      <c r="D28" s="12" t="s">
        <v>48</v>
      </c>
      <c r="E28" s="44">
        <f t="shared" si="1"/>
        <v>1</v>
      </c>
      <c r="G28" s="41">
        <v>1</v>
      </c>
      <c r="H28" s="41">
        <v>1</v>
      </c>
      <c r="I28" s="41">
        <v>0</v>
      </c>
      <c r="J28" s="41">
        <v>0</v>
      </c>
    </row>
    <row r="29" spans="1:11">
      <c r="A29" s="20" t="s">
        <v>150</v>
      </c>
      <c r="B29" s="16" t="s">
        <v>18</v>
      </c>
      <c r="C29" s="13" t="s">
        <v>47</v>
      </c>
      <c r="D29" s="14" t="s">
        <v>52</v>
      </c>
      <c r="E29" s="44">
        <f t="shared" si="1"/>
        <v>7</v>
      </c>
      <c r="G29" s="41">
        <v>25</v>
      </c>
      <c r="H29" s="41">
        <v>0.2</v>
      </c>
      <c r="I29" s="41">
        <v>2</v>
      </c>
      <c r="J29" s="41">
        <v>1</v>
      </c>
      <c r="K29" s="45"/>
    </row>
    <row r="30" spans="1:11">
      <c r="A30" s="20" t="s">
        <v>151</v>
      </c>
      <c r="B30" s="16" t="s">
        <v>18</v>
      </c>
      <c r="C30" s="13" t="s">
        <v>47</v>
      </c>
      <c r="D30" s="14" t="s">
        <v>54</v>
      </c>
      <c r="E30" s="44">
        <f t="shared" si="1"/>
        <v>2</v>
      </c>
      <c r="G30" s="41">
        <v>5</v>
      </c>
      <c r="H30" s="41">
        <v>0</v>
      </c>
      <c r="I30" s="41">
        <v>2</v>
      </c>
      <c r="J30" s="41">
        <v>1</v>
      </c>
    </row>
    <row r="31" spans="1:11">
      <c r="A31" s="20" t="s">
        <v>70</v>
      </c>
      <c r="B31" s="16" t="s">
        <v>18</v>
      </c>
      <c r="C31" s="13" t="s">
        <v>47</v>
      </c>
      <c r="D31" s="14" t="s">
        <v>58</v>
      </c>
      <c r="E31" s="44">
        <f t="shared" si="1"/>
        <v>1</v>
      </c>
      <c r="G31" s="41">
        <v>1</v>
      </c>
      <c r="H31" s="41">
        <v>1</v>
      </c>
      <c r="I31" s="41">
        <v>0</v>
      </c>
      <c r="J31" s="41">
        <v>0</v>
      </c>
    </row>
    <row r="32" spans="1:11">
      <c r="A32" s="20" t="s">
        <v>152</v>
      </c>
      <c r="B32" s="16" t="s">
        <v>18</v>
      </c>
      <c r="C32" s="13" t="s">
        <v>47</v>
      </c>
      <c r="D32" s="14" t="s">
        <v>60</v>
      </c>
      <c r="E32" s="44">
        <f t="shared" si="1"/>
        <v>1</v>
      </c>
      <c r="G32" s="41">
        <v>1</v>
      </c>
      <c r="H32" s="41">
        <v>1</v>
      </c>
      <c r="I32" s="41">
        <v>0</v>
      </c>
      <c r="J32" s="41">
        <v>0</v>
      </c>
    </row>
    <row r="33" spans="1:14">
      <c r="A33" s="20" t="s">
        <v>71</v>
      </c>
      <c r="B33" s="16" t="s">
        <v>18</v>
      </c>
      <c r="C33" s="13" t="s">
        <v>47</v>
      </c>
      <c r="D33" s="14" t="s">
        <v>61</v>
      </c>
      <c r="E33" s="44">
        <f t="shared" si="1"/>
        <v>3</v>
      </c>
      <c r="G33" s="41">
        <v>3</v>
      </c>
      <c r="H33" s="41">
        <v>1</v>
      </c>
      <c r="I33" s="41">
        <v>0</v>
      </c>
      <c r="J33" s="41">
        <v>0</v>
      </c>
    </row>
    <row r="34" spans="1:14">
      <c r="A34" s="21" t="s">
        <v>72</v>
      </c>
      <c r="B34" s="22" t="s">
        <v>20</v>
      </c>
      <c r="C34" s="13" t="s">
        <v>47</v>
      </c>
      <c r="D34" s="14" t="s">
        <v>52</v>
      </c>
      <c r="E34" s="44">
        <f t="shared" si="1"/>
        <v>7</v>
      </c>
      <c r="G34" s="41">
        <v>25</v>
      </c>
      <c r="H34" s="41">
        <v>0.2</v>
      </c>
      <c r="I34" s="41">
        <v>2</v>
      </c>
      <c r="J34" s="41">
        <v>1</v>
      </c>
      <c r="K34" s="45"/>
    </row>
    <row r="35" spans="1:14">
      <c r="A35" s="21" t="s">
        <v>153</v>
      </c>
      <c r="B35" s="22" t="s">
        <v>20</v>
      </c>
      <c r="C35" s="13" t="s">
        <v>47</v>
      </c>
      <c r="D35" s="14" t="s">
        <v>54</v>
      </c>
      <c r="E35" s="44">
        <f t="shared" si="1"/>
        <v>2</v>
      </c>
      <c r="G35" s="41">
        <v>5</v>
      </c>
      <c r="H35" s="41">
        <v>0</v>
      </c>
      <c r="I35" s="41">
        <v>2</v>
      </c>
      <c r="J35" s="41">
        <v>1</v>
      </c>
    </row>
    <row r="36" spans="1:14">
      <c r="A36" s="21" t="s">
        <v>154</v>
      </c>
      <c r="B36" s="22" t="s">
        <v>20</v>
      </c>
      <c r="C36" s="13" t="s">
        <v>47</v>
      </c>
      <c r="D36" s="14" t="s">
        <v>58</v>
      </c>
      <c r="E36" s="44">
        <f t="shared" si="1"/>
        <v>1</v>
      </c>
      <c r="G36" s="41">
        <v>1</v>
      </c>
      <c r="H36" s="41">
        <v>1</v>
      </c>
      <c r="I36" s="41">
        <v>0</v>
      </c>
      <c r="J36" s="41">
        <v>0</v>
      </c>
    </row>
    <row r="37" spans="1:14">
      <c r="A37" s="21" t="s">
        <v>155</v>
      </c>
      <c r="B37" s="22" t="s">
        <v>20</v>
      </c>
      <c r="C37" s="13" t="s">
        <v>47</v>
      </c>
      <c r="D37" s="14" t="s">
        <v>60</v>
      </c>
      <c r="E37" s="44">
        <f t="shared" si="1"/>
        <v>1</v>
      </c>
      <c r="G37" s="41">
        <v>1</v>
      </c>
      <c r="H37" s="41">
        <v>1</v>
      </c>
      <c r="I37" s="41">
        <v>0</v>
      </c>
      <c r="J37" s="41">
        <v>0</v>
      </c>
    </row>
    <row r="38" spans="1:14">
      <c r="A38" s="21" t="s">
        <v>156</v>
      </c>
      <c r="B38" s="22" t="s">
        <v>20</v>
      </c>
      <c r="C38" s="13" t="s">
        <v>47</v>
      </c>
      <c r="D38" s="14" t="s">
        <v>61</v>
      </c>
      <c r="E38" s="44">
        <f t="shared" si="1"/>
        <v>3</v>
      </c>
      <c r="G38" s="41">
        <v>3</v>
      </c>
      <c r="H38" s="41">
        <v>1</v>
      </c>
      <c r="I38" s="41">
        <v>0</v>
      </c>
      <c r="J38" s="41">
        <v>0</v>
      </c>
    </row>
    <row r="39" spans="1:14">
      <c r="A39" s="21" t="s">
        <v>157</v>
      </c>
      <c r="B39" s="22" t="s">
        <v>20</v>
      </c>
      <c r="C39" s="13" t="s">
        <v>47</v>
      </c>
      <c r="D39" s="14" t="s">
        <v>62</v>
      </c>
      <c r="E39" s="44">
        <f t="shared" si="1"/>
        <v>1</v>
      </c>
      <c r="G39" s="41">
        <v>1</v>
      </c>
      <c r="H39" s="41">
        <v>1</v>
      </c>
      <c r="I39" s="41">
        <v>0</v>
      </c>
      <c r="J39" s="41">
        <v>0</v>
      </c>
    </row>
    <row r="40" spans="1:14">
      <c r="A40" s="23" t="s">
        <v>158</v>
      </c>
      <c r="B40" s="22" t="s">
        <v>91</v>
      </c>
      <c r="C40" s="13" t="s">
        <v>47</v>
      </c>
      <c r="D40" s="12" t="s">
        <v>48</v>
      </c>
      <c r="E40" s="44">
        <f t="shared" si="1"/>
        <v>2</v>
      </c>
      <c r="G40" s="41">
        <v>1</v>
      </c>
      <c r="H40" s="41">
        <v>2</v>
      </c>
      <c r="I40" s="41">
        <v>0</v>
      </c>
      <c r="J40" s="41">
        <v>0</v>
      </c>
      <c r="K40" s="45"/>
    </row>
    <row r="41" spans="1:14">
      <c r="A41" s="23" t="s">
        <v>159</v>
      </c>
      <c r="B41" s="22" t="s">
        <v>22</v>
      </c>
      <c r="C41" s="13" t="s">
        <v>47</v>
      </c>
      <c r="D41" s="14" t="s">
        <v>50</v>
      </c>
      <c r="E41" s="44">
        <f t="shared" si="1"/>
        <v>11</v>
      </c>
      <c r="G41" s="41">
        <v>9</v>
      </c>
      <c r="H41" s="41">
        <v>1</v>
      </c>
      <c r="I41" s="41">
        <v>1</v>
      </c>
      <c r="J41" s="41">
        <v>2</v>
      </c>
    </row>
    <row r="42" spans="1:14">
      <c r="A42" s="23" t="s">
        <v>160</v>
      </c>
      <c r="B42" s="22" t="s">
        <v>91</v>
      </c>
      <c r="C42" s="13" t="s">
        <v>47</v>
      </c>
      <c r="D42" s="14" t="s">
        <v>50</v>
      </c>
      <c r="E42" s="44">
        <f t="shared" si="1"/>
        <v>2</v>
      </c>
      <c r="G42" s="41">
        <v>1</v>
      </c>
      <c r="H42" s="41">
        <v>2</v>
      </c>
      <c r="I42" s="41">
        <v>0</v>
      </c>
      <c r="J42" s="41">
        <v>0</v>
      </c>
    </row>
    <row r="43" spans="1:14">
      <c r="A43" s="23" t="s">
        <v>161</v>
      </c>
      <c r="B43" s="22" t="s">
        <v>22</v>
      </c>
      <c r="C43" s="13" t="s">
        <v>47</v>
      </c>
      <c r="D43" s="14" t="s">
        <v>52</v>
      </c>
      <c r="E43" s="44">
        <f t="shared" si="1"/>
        <v>29</v>
      </c>
      <c r="G43" s="41">
        <v>25</v>
      </c>
      <c r="H43" s="41">
        <v>1</v>
      </c>
      <c r="I43" s="41">
        <v>2</v>
      </c>
      <c r="J43" s="41">
        <v>2</v>
      </c>
    </row>
    <row r="44" spans="1:14">
      <c r="A44" s="23" t="s">
        <v>162</v>
      </c>
      <c r="B44" s="22" t="s">
        <v>22</v>
      </c>
      <c r="C44" s="13" t="s">
        <v>47</v>
      </c>
      <c r="D44" s="14" t="s">
        <v>54</v>
      </c>
      <c r="E44" s="44">
        <f t="shared" si="1"/>
        <v>5</v>
      </c>
      <c r="G44" s="41">
        <v>5</v>
      </c>
      <c r="H44" s="41">
        <v>1</v>
      </c>
      <c r="I44" s="41">
        <v>0</v>
      </c>
      <c r="J44" s="41">
        <v>0</v>
      </c>
    </row>
    <row r="45" spans="1:14">
      <c r="A45" s="23" t="s">
        <v>73</v>
      </c>
      <c r="B45" s="22" t="s">
        <v>22</v>
      </c>
      <c r="C45" s="13" t="s">
        <v>47</v>
      </c>
      <c r="D45" s="14" t="s">
        <v>56</v>
      </c>
      <c r="E45" s="44">
        <f t="shared" si="1"/>
        <v>1</v>
      </c>
      <c r="G45" s="41">
        <v>1</v>
      </c>
      <c r="H45" s="41">
        <v>1</v>
      </c>
      <c r="I45" s="41">
        <v>0</v>
      </c>
      <c r="J45" s="41">
        <v>0</v>
      </c>
    </row>
    <row r="46" spans="1:14">
      <c r="A46" s="24" t="s">
        <v>163</v>
      </c>
      <c r="B46" s="22" t="s">
        <v>24</v>
      </c>
      <c r="C46" s="13" t="s">
        <v>47</v>
      </c>
      <c r="D46" s="12" t="s">
        <v>48</v>
      </c>
      <c r="E46" s="44">
        <f t="shared" si="1"/>
        <v>1</v>
      </c>
      <c r="G46" s="41">
        <v>1</v>
      </c>
      <c r="H46" s="41">
        <v>1</v>
      </c>
      <c r="I46" s="41">
        <v>0</v>
      </c>
      <c r="J46" s="41">
        <v>0</v>
      </c>
      <c r="K46" s="46"/>
    </row>
    <row r="47" spans="1:14">
      <c r="A47" s="24" t="s">
        <v>74</v>
      </c>
      <c r="B47" s="22" t="s">
        <v>92</v>
      </c>
      <c r="C47" s="13" t="s">
        <v>47</v>
      </c>
      <c r="D47" s="14" t="s">
        <v>50</v>
      </c>
      <c r="E47" s="44">
        <f t="shared" si="1"/>
        <v>9</v>
      </c>
      <c r="G47" s="41">
        <v>9</v>
      </c>
      <c r="H47" s="41">
        <v>1</v>
      </c>
      <c r="I47" s="41">
        <v>0</v>
      </c>
      <c r="J47" s="41">
        <v>0</v>
      </c>
      <c r="K47" s="45"/>
    </row>
    <row r="48" spans="1:14">
      <c r="A48" s="24" t="s">
        <v>75</v>
      </c>
      <c r="B48" s="22" t="s">
        <v>92</v>
      </c>
      <c r="C48" s="13" t="s">
        <v>47</v>
      </c>
      <c r="D48" s="14" t="s">
        <v>52</v>
      </c>
      <c r="E48" s="44">
        <f t="shared" si="1"/>
        <v>7</v>
      </c>
      <c r="G48" s="41">
        <v>25</v>
      </c>
      <c r="H48" s="41">
        <v>0.2</v>
      </c>
      <c r="I48" s="41">
        <v>2</v>
      </c>
      <c r="J48" s="41">
        <v>1</v>
      </c>
      <c r="N48" s="22"/>
    </row>
    <row r="49" spans="1:11">
      <c r="A49" s="24" t="s">
        <v>164</v>
      </c>
      <c r="B49" s="22" t="s">
        <v>92</v>
      </c>
      <c r="C49" s="13" t="s">
        <v>47</v>
      </c>
      <c r="D49" s="14" t="s">
        <v>54</v>
      </c>
      <c r="E49" s="44">
        <f t="shared" si="1"/>
        <v>6</v>
      </c>
      <c r="G49" s="41">
        <v>5</v>
      </c>
      <c r="H49" s="41">
        <v>1</v>
      </c>
      <c r="I49" s="41">
        <v>1</v>
      </c>
      <c r="J49" s="41">
        <v>1</v>
      </c>
    </row>
    <row r="50" spans="1:11">
      <c r="A50" s="25" t="s">
        <v>165</v>
      </c>
      <c r="B50" s="22" t="s">
        <v>26</v>
      </c>
      <c r="C50" s="13" t="s">
        <v>47</v>
      </c>
      <c r="D50" s="12" t="s">
        <v>93</v>
      </c>
      <c r="E50" s="44">
        <f t="shared" si="1"/>
        <v>4</v>
      </c>
      <c r="G50" s="41">
        <v>2</v>
      </c>
      <c r="H50" s="41">
        <v>2</v>
      </c>
      <c r="I50" s="41">
        <v>0</v>
      </c>
      <c r="J50" s="41">
        <v>0</v>
      </c>
      <c r="K50" s="45"/>
    </row>
    <row r="51" spans="1:11">
      <c r="A51" s="25" t="s">
        <v>166</v>
      </c>
      <c r="B51" s="22" t="s">
        <v>26</v>
      </c>
      <c r="C51" s="13" t="s">
        <v>47</v>
      </c>
      <c r="D51" s="14" t="s">
        <v>94</v>
      </c>
      <c r="E51" s="44">
        <f t="shared" si="1"/>
        <v>12</v>
      </c>
      <c r="G51" s="41">
        <v>12</v>
      </c>
      <c r="H51" s="41">
        <v>1</v>
      </c>
      <c r="I51" s="41">
        <v>0</v>
      </c>
      <c r="J51" s="41">
        <v>0</v>
      </c>
    </row>
    <row r="52" spans="1:11">
      <c r="A52" s="25" t="s">
        <v>76</v>
      </c>
      <c r="B52" s="22" t="s">
        <v>26</v>
      </c>
      <c r="C52" s="13" t="s">
        <v>47</v>
      </c>
      <c r="D52" s="14" t="s">
        <v>95</v>
      </c>
      <c r="E52" s="44">
        <f t="shared" si="1"/>
        <v>20</v>
      </c>
      <c r="G52" s="41">
        <v>20</v>
      </c>
      <c r="H52" s="41">
        <v>1</v>
      </c>
      <c r="I52" s="41">
        <v>0</v>
      </c>
      <c r="J52" s="41">
        <v>0</v>
      </c>
    </row>
    <row r="53" spans="1:11">
      <c r="A53" s="25" t="s">
        <v>167</v>
      </c>
      <c r="B53" s="22" t="s">
        <v>26</v>
      </c>
      <c r="C53" s="13" t="s">
        <v>47</v>
      </c>
      <c r="D53" s="14" t="s">
        <v>96</v>
      </c>
      <c r="E53" s="44">
        <f t="shared" si="1"/>
        <v>9</v>
      </c>
      <c r="G53" s="41">
        <v>9</v>
      </c>
      <c r="H53" s="41">
        <v>1</v>
      </c>
      <c r="I53" s="41">
        <v>0</v>
      </c>
      <c r="J53" s="41">
        <v>0</v>
      </c>
    </row>
    <row r="54" spans="1:11">
      <c r="A54" s="25" t="s">
        <v>77</v>
      </c>
      <c r="B54" s="22" t="s">
        <v>26</v>
      </c>
      <c r="C54" s="13" t="s">
        <v>47</v>
      </c>
      <c r="D54" s="14" t="s">
        <v>97</v>
      </c>
      <c r="E54" s="44">
        <f t="shared" si="1"/>
        <v>6</v>
      </c>
      <c r="G54" s="41">
        <v>3</v>
      </c>
      <c r="H54" s="41">
        <v>2</v>
      </c>
      <c r="I54" s="41">
        <v>0</v>
      </c>
      <c r="J54" s="41">
        <v>0</v>
      </c>
    </row>
    <row r="55" spans="1:11">
      <c r="A55" s="25" t="s">
        <v>78</v>
      </c>
      <c r="B55" s="22" t="s">
        <v>26</v>
      </c>
      <c r="C55" s="13" t="s">
        <v>47</v>
      </c>
      <c r="D55" s="14" t="s">
        <v>98</v>
      </c>
      <c r="E55" s="44">
        <f t="shared" si="1"/>
        <v>1</v>
      </c>
      <c r="G55" s="41">
        <v>1</v>
      </c>
      <c r="H55" s="41">
        <v>1</v>
      </c>
      <c r="I55" s="41">
        <v>0</v>
      </c>
      <c r="J55" s="41">
        <v>0</v>
      </c>
    </row>
    <row r="56" spans="1:11">
      <c r="A56" s="25" t="s">
        <v>168</v>
      </c>
      <c r="B56" s="22" t="s">
        <v>26</v>
      </c>
      <c r="C56" s="13" t="s">
        <v>47</v>
      </c>
      <c r="D56" s="14" t="s">
        <v>99</v>
      </c>
      <c r="E56" s="44">
        <f t="shared" si="1"/>
        <v>1</v>
      </c>
      <c r="G56" s="41">
        <v>1</v>
      </c>
      <c r="H56" s="41">
        <v>1</v>
      </c>
      <c r="I56" s="41">
        <v>0</v>
      </c>
      <c r="J56" s="41">
        <v>0</v>
      </c>
    </row>
    <row r="57" spans="1:11">
      <c r="A57" s="26" t="s">
        <v>169</v>
      </c>
      <c r="B57" s="22" t="s">
        <v>100</v>
      </c>
      <c r="C57" s="13" t="s">
        <v>47</v>
      </c>
      <c r="D57" s="12" t="s">
        <v>102</v>
      </c>
      <c r="E57" s="44">
        <f t="shared" si="1"/>
        <v>2</v>
      </c>
      <c r="G57" s="41">
        <v>1</v>
      </c>
      <c r="H57" s="41">
        <v>2</v>
      </c>
      <c r="I57" s="41">
        <v>0</v>
      </c>
      <c r="J57" s="41">
        <v>0</v>
      </c>
      <c r="K57" s="45"/>
    </row>
    <row r="58" spans="1:11">
      <c r="A58" s="26" t="s">
        <v>170</v>
      </c>
      <c r="B58" s="22" t="s">
        <v>101</v>
      </c>
      <c r="C58" s="13" t="s">
        <v>47</v>
      </c>
      <c r="D58" s="12" t="s">
        <v>102</v>
      </c>
      <c r="E58" s="44">
        <f t="shared" si="1"/>
        <v>1</v>
      </c>
      <c r="G58" s="41">
        <v>1</v>
      </c>
      <c r="H58" s="41">
        <v>1</v>
      </c>
      <c r="I58" s="41">
        <v>0</v>
      </c>
      <c r="J58" s="41">
        <v>0</v>
      </c>
    </row>
    <row r="59" spans="1:11">
      <c r="A59" s="26" t="s">
        <v>79</v>
      </c>
      <c r="B59" s="22" t="s">
        <v>100</v>
      </c>
      <c r="C59" s="13" t="s">
        <v>47</v>
      </c>
      <c r="D59" s="14" t="s">
        <v>103</v>
      </c>
      <c r="E59" s="44">
        <f t="shared" si="1"/>
        <v>7</v>
      </c>
      <c r="G59" s="41">
        <v>7</v>
      </c>
      <c r="H59" s="41">
        <v>1</v>
      </c>
      <c r="I59" s="41">
        <v>0</v>
      </c>
      <c r="J59" s="41">
        <v>0</v>
      </c>
    </row>
    <row r="60" spans="1:11">
      <c r="A60" s="26" t="s">
        <v>171</v>
      </c>
      <c r="B60" s="22" t="s">
        <v>100</v>
      </c>
      <c r="C60" s="13" t="s">
        <v>47</v>
      </c>
      <c r="D60" s="14" t="s">
        <v>104</v>
      </c>
      <c r="E60" s="44">
        <f t="shared" ref="E60:E88" si="2">SUM(PRODUCT(G60*H60))+(PRODUCT(I60*J60))</f>
        <v>13</v>
      </c>
      <c r="G60" s="41">
        <v>10</v>
      </c>
      <c r="H60" s="41">
        <v>1</v>
      </c>
      <c r="I60" s="41">
        <v>1</v>
      </c>
      <c r="J60" s="41">
        <v>3</v>
      </c>
    </row>
    <row r="61" spans="1:11">
      <c r="A61" s="26" t="s">
        <v>80</v>
      </c>
      <c r="B61" s="22" t="s">
        <v>100</v>
      </c>
      <c r="C61" s="13" t="s">
        <v>47</v>
      </c>
      <c r="D61" s="14" t="s">
        <v>105</v>
      </c>
      <c r="E61" s="44">
        <f t="shared" si="2"/>
        <v>1</v>
      </c>
      <c r="G61" s="41">
        <v>1</v>
      </c>
      <c r="H61" s="41">
        <v>1</v>
      </c>
      <c r="I61" s="41">
        <v>0</v>
      </c>
      <c r="J61" s="41">
        <v>0</v>
      </c>
    </row>
    <row r="62" spans="1:11">
      <c r="A62" s="26" t="s">
        <v>81</v>
      </c>
      <c r="B62" s="22" t="s">
        <v>100</v>
      </c>
      <c r="C62" s="13" t="s">
        <v>47</v>
      </c>
      <c r="D62" s="12" t="s">
        <v>106</v>
      </c>
      <c r="E62" s="44">
        <f t="shared" si="2"/>
        <v>1</v>
      </c>
      <c r="G62" s="41">
        <v>1</v>
      </c>
      <c r="H62" s="41">
        <v>1</v>
      </c>
      <c r="I62" s="41">
        <v>0</v>
      </c>
      <c r="J62" s="41">
        <v>0</v>
      </c>
    </row>
    <row r="63" spans="1:11">
      <c r="A63" s="26" t="s">
        <v>172</v>
      </c>
      <c r="B63" s="22" t="s">
        <v>100</v>
      </c>
      <c r="C63" s="13" t="s">
        <v>47</v>
      </c>
      <c r="D63" s="14" t="s">
        <v>107</v>
      </c>
      <c r="E63" s="44">
        <f t="shared" si="2"/>
        <v>8</v>
      </c>
      <c r="G63" s="41">
        <v>5</v>
      </c>
      <c r="H63" s="41">
        <v>1</v>
      </c>
      <c r="I63" s="41">
        <v>1</v>
      </c>
      <c r="J63" s="41">
        <v>3</v>
      </c>
    </row>
    <row r="64" spans="1:11">
      <c r="A64" s="26" t="s">
        <v>173</v>
      </c>
      <c r="B64" s="22" t="s">
        <v>100</v>
      </c>
      <c r="C64" s="13" t="s">
        <v>47</v>
      </c>
      <c r="D64" s="14" t="s">
        <v>108</v>
      </c>
      <c r="E64" s="44">
        <f t="shared" si="2"/>
        <v>8</v>
      </c>
      <c r="G64" s="41">
        <v>8</v>
      </c>
      <c r="H64" s="41">
        <v>1</v>
      </c>
      <c r="I64" s="41">
        <v>0</v>
      </c>
      <c r="J64" s="41">
        <v>0</v>
      </c>
    </row>
    <row r="65" spans="1:11">
      <c r="A65" s="26" t="s">
        <v>82</v>
      </c>
      <c r="B65" s="22" t="s">
        <v>100</v>
      </c>
      <c r="C65" s="13" t="s">
        <v>47</v>
      </c>
      <c r="D65" s="14" t="s">
        <v>109</v>
      </c>
      <c r="E65" s="44">
        <f t="shared" si="2"/>
        <v>9</v>
      </c>
      <c r="G65" s="41">
        <v>6</v>
      </c>
      <c r="H65" s="41">
        <v>1</v>
      </c>
      <c r="I65" s="41">
        <v>1</v>
      </c>
      <c r="J65" s="41">
        <v>3</v>
      </c>
    </row>
    <row r="66" spans="1:11">
      <c r="A66" s="26" t="s">
        <v>174</v>
      </c>
      <c r="B66" s="22" t="s">
        <v>100</v>
      </c>
      <c r="C66" s="13" t="s">
        <v>47</v>
      </c>
      <c r="D66" s="14" t="s">
        <v>110</v>
      </c>
      <c r="E66" s="44">
        <f t="shared" si="2"/>
        <v>1</v>
      </c>
      <c r="G66" s="41">
        <v>1</v>
      </c>
      <c r="H66" s="41">
        <v>1</v>
      </c>
      <c r="I66" s="41">
        <v>0</v>
      </c>
      <c r="J66" s="41">
        <v>0</v>
      </c>
    </row>
    <row r="67" spans="1:11">
      <c r="A67" s="26" t="s">
        <v>84</v>
      </c>
      <c r="B67" s="22" t="s">
        <v>100</v>
      </c>
      <c r="C67" s="13" t="s">
        <v>47</v>
      </c>
      <c r="D67" s="14" t="s">
        <v>111</v>
      </c>
      <c r="E67" s="44">
        <f t="shared" si="2"/>
        <v>1</v>
      </c>
      <c r="G67" s="41">
        <v>1</v>
      </c>
      <c r="H67" s="41">
        <v>1</v>
      </c>
      <c r="I67" s="41">
        <v>0</v>
      </c>
      <c r="J67" s="41">
        <v>0</v>
      </c>
    </row>
    <row r="68" spans="1:11">
      <c r="A68" s="26" t="s">
        <v>175</v>
      </c>
      <c r="B68" s="22" t="s">
        <v>100</v>
      </c>
      <c r="C68" s="13" t="s">
        <v>47</v>
      </c>
      <c r="D68" s="14" t="s">
        <v>112</v>
      </c>
      <c r="E68" s="44">
        <f t="shared" si="2"/>
        <v>2</v>
      </c>
      <c r="G68" s="41">
        <v>2</v>
      </c>
      <c r="H68" s="41">
        <v>1</v>
      </c>
      <c r="I68" s="41">
        <v>0</v>
      </c>
      <c r="J68" s="41">
        <v>0</v>
      </c>
    </row>
    <row r="69" spans="1:11">
      <c r="A69" s="26" t="s">
        <v>176</v>
      </c>
      <c r="B69" s="22" t="s">
        <v>100</v>
      </c>
      <c r="C69" s="13" t="s">
        <v>47</v>
      </c>
      <c r="D69" s="14" t="s">
        <v>113</v>
      </c>
      <c r="E69" s="44">
        <f t="shared" si="2"/>
        <v>3</v>
      </c>
      <c r="G69" s="41">
        <v>3</v>
      </c>
      <c r="H69" s="41">
        <v>1</v>
      </c>
      <c r="I69" s="41">
        <v>0</v>
      </c>
      <c r="J69" s="41">
        <v>0</v>
      </c>
    </row>
    <row r="70" spans="1:11">
      <c r="A70" s="26" t="s">
        <v>177</v>
      </c>
      <c r="B70" s="22" t="s">
        <v>114</v>
      </c>
      <c r="C70" s="13" t="s">
        <v>47</v>
      </c>
      <c r="D70" s="12" t="s">
        <v>106</v>
      </c>
      <c r="E70" s="44">
        <f t="shared" si="2"/>
        <v>1</v>
      </c>
      <c r="G70" s="41">
        <v>1</v>
      </c>
      <c r="H70" s="41">
        <v>1</v>
      </c>
      <c r="I70" s="41">
        <v>0</v>
      </c>
      <c r="J70" s="41">
        <v>0</v>
      </c>
    </row>
    <row r="71" spans="1:11">
      <c r="A71" s="26" t="s">
        <v>178</v>
      </c>
      <c r="B71" s="22" t="s">
        <v>114</v>
      </c>
      <c r="C71" s="13" t="s">
        <v>47</v>
      </c>
      <c r="D71" s="12" t="s">
        <v>107</v>
      </c>
      <c r="E71" s="44">
        <f t="shared" si="2"/>
        <v>1</v>
      </c>
      <c r="G71" s="41">
        <v>1</v>
      </c>
      <c r="H71" s="41">
        <v>1</v>
      </c>
      <c r="I71" s="41">
        <v>0</v>
      </c>
      <c r="J71" s="41">
        <v>0</v>
      </c>
    </row>
    <row r="72" spans="1:11">
      <c r="A72" s="26" t="s">
        <v>179</v>
      </c>
      <c r="B72" s="22" t="s">
        <v>114</v>
      </c>
      <c r="C72" s="13" t="s">
        <v>47</v>
      </c>
      <c r="D72" s="14" t="s">
        <v>115</v>
      </c>
      <c r="E72" s="44">
        <f t="shared" si="2"/>
        <v>1</v>
      </c>
      <c r="G72" s="41">
        <v>1</v>
      </c>
      <c r="H72" s="41">
        <v>1</v>
      </c>
      <c r="I72" s="41">
        <v>0</v>
      </c>
      <c r="J72" s="41">
        <v>0</v>
      </c>
    </row>
    <row r="73" spans="1:11">
      <c r="A73" s="27" t="s">
        <v>85</v>
      </c>
      <c r="B73" s="22" t="s">
        <v>29</v>
      </c>
      <c r="C73" s="13" t="s">
        <v>47</v>
      </c>
      <c r="D73" s="14" t="s">
        <v>48</v>
      </c>
      <c r="E73" s="44">
        <f t="shared" si="2"/>
        <v>1</v>
      </c>
      <c r="G73" s="41">
        <v>3</v>
      </c>
      <c r="H73" s="41">
        <v>0</v>
      </c>
      <c r="I73" s="41">
        <v>1</v>
      </c>
      <c r="J73" s="41">
        <v>1</v>
      </c>
      <c r="K73" s="45"/>
    </row>
    <row r="74" spans="1:11">
      <c r="A74" s="27" t="s">
        <v>180</v>
      </c>
      <c r="B74" s="22" t="s">
        <v>29</v>
      </c>
      <c r="C74" s="13" t="s">
        <v>47</v>
      </c>
      <c r="D74" s="14" t="s">
        <v>50</v>
      </c>
      <c r="E74" s="44">
        <f t="shared" si="2"/>
        <v>2</v>
      </c>
      <c r="G74" s="41">
        <v>11</v>
      </c>
      <c r="H74" s="41">
        <v>0</v>
      </c>
      <c r="I74" s="41">
        <v>2</v>
      </c>
      <c r="J74" s="41">
        <v>1</v>
      </c>
    </row>
    <row r="75" spans="1:11">
      <c r="A75" s="27" t="s">
        <v>181</v>
      </c>
      <c r="B75" s="22" t="s">
        <v>29</v>
      </c>
      <c r="C75" s="13" t="s">
        <v>47</v>
      </c>
      <c r="D75" s="14" t="s">
        <v>52</v>
      </c>
      <c r="E75" s="44">
        <f t="shared" si="2"/>
        <v>3</v>
      </c>
      <c r="G75" s="41">
        <v>21</v>
      </c>
      <c r="H75" s="41">
        <v>0</v>
      </c>
      <c r="I75" s="41">
        <v>3</v>
      </c>
      <c r="J75" s="41">
        <v>1</v>
      </c>
    </row>
    <row r="76" spans="1:11">
      <c r="A76" s="27" t="s">
        <v>182</v>
      </c>
      <c r="B76" s="22" t="s">
        <v>29</v>
      </c>
      <c r="C76" s="13" t="s">
        <v>47</v>
      </c>
      <c r="D76" s="14" t="s">
        <v>116</v>
      </c>
      <c r="E76" s="44">
        <f t="shared" si="2"/>
        <v>2</v>
      </c>
      <c r="G76" s="41">
        <v>14</v>
      </c>
      <c r="H76" s="41">
        <v>0</v>
      </c>
      <c r="I76" s="41">
        <v>2</v>
      </c>
      <c r="J76" s="41">
        <v>1</v>
      </c>
    </row>
    <row r="77" spans="1:11">
      <c r="A77" s="42" t="s">
        <v>183</v>
      </c>
      <c r="B77" s="22" t="s">
        <v>117</v>
      </c>
      <c r="C77" s="13" t="s">
        <v>47</v>
      </c>
      <c r="D77" s="14" t="s">
        <v>118</v>
      </c>
      <c r="E77" s="44">
        <f t="shared" si="2"/>
        <v>25</v>
      </c>
      <c r="G77" s="41">
        <v>25</v>
      </c>
      <c r="H77" s="41">
        <v>1</v>
      </c>
      <c r="I77" s="41">
        <v>0</v>
      </c>
      <c r="J77" s="41">
        <v>0</v>
      </c>
      <c r="K77" s="46"/>
    </row>
    <row r="78" spans="1:11">
      <c r="A78" s="28" t="s">
        <v>184</v>
      </c>
      <c r="B78" s="22" t="s">
        <v>31</v>
      </c>
      <c r="C78" s="13" t="s">
        <v>47</v>
      </c>
      <c r="D78" s="14" t="s">
        <v>118</v>
      </c>
      <c r="E78" s="44">
        <f t="shared" si="2"/>
        <v>25</v>
      </c>
      <c r="G78" s="41">
        <v>25</v>
      </c>
      <c r="H78" s="41">
        <v>1</v>
      </c>
      <c r="I78" s="41">
        <v>0</v>
      </c>
      <c r="J78" s="41">
        <v>0</v>
      </c>
      <c r="K78" s="46"/>
    </row>
    <row r="79" spans="1:11">
      <c r="A79" s="29" t="s">
        <v>185</v>
      </c>
      <c r="B79" s="22" t="s">
        <v>33</v>
      </c>
      <c r="C79" s="13" t="s">
        <v>47</v>
      </c>
      <c r="D79" s="14" t="s">
        <v>118</v>
      </c>
      <c r="E79" s="44">
        <v>30</v>
      </c>
      <c r="G79" s="41">
        <v>25</v>
      </c>
      <c r="H79" s="41">
        <v>1</v>
      </c>
      <c r="I79" s="41">
        <v>0</v>
      </c>
      <c r="J79" s="41">
        <v>0</v>
      </c>
      <c r="K79" s="46"/>
    </row>
    <row r="80" spans="1:11">
      <c r="A80" s="30" t="s">
        <v>86</v>
      </c>
      <c r="B80" s="22" t="s">
        <v>35</v>
      </c>
      <c r="C80" s="13" t="s">
        <v>119</v>
      </c>
      <c r="D80" s="14" t="s">
        <v>120</v>
      </c>
      <c r="E80" s="44">
        <f t="shared" si="2"/>
        <v>0.60000000000000009</v>
      </c>
      <c r="G80" s="41">
        <v>3</v>
      </c>
      <c r="H80" s="41">
        <v>0.2</v>
      </c>
      <c r="I80" s="41">
        <v>0</v>
      </c>
      <c r="J80" s="41">
        <v>0</v>
      </c>
      <c r="K80" s="45"/>
    </row>
    <row r="81" spans="1:11">
      <c r="A81" s="30" t="s">
        <v>87</v>
      </c>
      <c r="B81" s="22" t="s">
        <v>35</v>
      </c>
      <c r="C81" s="13" t="s">
        <v>119</v>
      </c>
      <c r="D81" s="14" t="s">
        <v>121</v>
      </c>
      <c r="E81" s="44">
        <f t="shared" si="2"/>
        <v>0.8</v>
      </c>
      <c r="G81" s="41">
        <v>4</v>
      </c>
      <c r="H81" s="41">
        <v>0.2</v>
      </c>
      <c r="I81" s="41">
        <v>0</v>
      </c>
      <c r="J81" s="41">
        <v>0</v>
      </c>
    </row>
    <row r="82" spans="1:11">
      <c r="A82" s="30" t="s">
        <v>186</v>
      </c>
      <c r="B82" s="22" t="s">
        <v>35</v>
      </c>
      <c r="C82" s="13" t="s">
        <v>119</v>
      </c>
      <c r="D82" s="14" t="s">
        <v>122</v>
      </c>
      <c r="E82" s="44">
        <f t="shared" si="2"/>
        <v>4.5</v>
      </c>
      <c r="G82" s="41">
        <v>15</v>
      </c>
      <c r="H82" s="41">
        <v>0.3</v>
      </c>
      <c r="I82" s="41">
        <v>0</v>
      </c>
      <c r="J82" s="41">
        <v>0</v>
      </c>
    </row>
    <row r="83" spans="1:11">
      <c r="A83" s="30" t="s">
        <v>88</v>
      </c>
      <c r="B83" s="22" t="s">
        <v>35</v>
      </c>
      <c r="C83" s="13" t="s">
        <v>119</v>
      </c>
      <c r="D83" s="14" t="s">
        <v>123</v>
      </c>
      <c r="E83" s="44">
        <f t="shared" si="2"/>
        <v>2.4000000000000004</v>
      </c>
      <c r="G83" s="41">
        <v>7</v>
      </c>
      <c r="H83" s="41">
        <v>0.2</v>
      </c>
      <c r="I83" s="41">
        <v>1</v>
      </c>
      <c r="J83" s="41">
        <v>1</v>
      </c>
    </row>
    <row r="84" spans="1:11">
      <c r="A84" s="30" t="s">
        <v>89</v>
      </c>
      <c r="B84" s="22" t="s">
        <v>35</v>
      </c>
      <c r="C84" s="13" t="s">
        <v>119</v>
      </c>
      <c r="D84" s="14" t="s">
        <v>124</v>
      </c>
      <c r="E84" s="44">
        <f t="shared" si="2"/>
        <v>2.2000000000000002</v>
      </c>
      <c r="G84" s="41">
        <v>6</v>
      </c>
      <c r="H84" s="41">
        <v>0.2</v>
      </c>
      <c r="I84" s="41">
        <v>1</v>
      </c>
      <c r="J84" s="41">
        <v>1</v>
      </c>
    </row>
    <row r="85" spans="1:11">
      <c r="A85" s="30" t="s">
        <v>90</v>
      </c>
      <c r="B85" s="22" t="s">
        <v>35</v>
      </c>
      <c r="C85" s="13" t="s">
        <v>119</v>
      </c>
      <c r="D85" s="14" t="s">
        <v>125</v>
      </c>
      <c r="E85" s="44">
        <f t="shared" si="2"/>
        <v>1.4</v>
      </c>
      <c r="G85" s="41">
        <v>2</v>
      </c>
      <c r="H85" s="41">
        <v>0.2</v>
      </c>
      <c r="I85" s="41">
        <v>1</v>
      </c>
      <c r="J85" s="41">
        <v>1</v>
      </c>
    </row>
    <row r="86" spans="1:11">
      <c r="A86" s="30" t="s">
        <v>187</v>
      </c>
      <c r="B86" s="22" t="s">
        <v>35</v>
      </c>
      <c r="C86" s="13" t="s">
        <v>119</v>
      </c>
      <c r="D86" s="14" t="s">
        <v>126</v>
      </c>
      <c r="E86" s="44">
        <f t="shared" si="2"/>
        <v>2.4000000000000004</v>
      </c>
      <c r="G86" s="41">
        <v>7</v>
      </c>
      <c r="H86" s="41">
        <v>0.2</v>
      </c>
      <c r="I86" s="41">
        <v>1</v>
      </c>
      <c r="J86" s="41">
        <v>1</v>
      </c>
    </row>
    <row r="87" spans="1:11">
      <c r="A87" s="30" t="s">
        <v>188</v>
      </c>
      <c r="B87" s="22" t="s">
        <v>35</v>
      </c>
      <c r="C87" s="13" t="s">
        <v>119</v>
      </c>
      <c r="D87" s="14" t="s">
        <v>127</v>
      </c>
      <c r="E87" s="44">
        <f t="shared" si="2"/>
        <v>0.8</v>
      </c>
      <c r="G87" s="41">
        <v>4</v>
      </c>
      <c r="H87" s="41">
        <v>0.2</v>
      </c>
      <c r="I87" s="41">
        <v>0</v>
      </c>
      <c r="J87" s="41">
        <v>0</v>
      </c>
    </row>
    <row r="88" spans="1:11">
      <c r="A88" s="31" t="s">
        <v>189</v>
      </c>
      <c r="B88" s="22" t="s">
        <v>37</v>
      </c>
      <c r="C88" s="13" t="s">
        <v>119</v>
      </c>
      <c r="D88" s="14" t="s">
        <v>128</v>
      </c>
      <c r="E88" s="44">
        <f t="shared" si="2"/>
        <v>15.4</v>
      </c>
      <c r="G88" s="41">
        <v>57</v>
      </c>
      <c r="H88" s="41">
        <v>0.2</v>
      </c>
      <c r="I88" s="41">
        <v>4</v>
      </c>
      <c r="J88" s="41">
        <v>1</v>
      </c>
      <c r="K88" s="46"/>
    </row>
    <row r="90" spans="1:11">
      <c r="K90" s="45"/>
    </row>
  </sheetData>
  <autoFilter ref="A1:E88"/>
  <conditionalFormatting sqref="A3:A88">
    <cfRule type="cellIs" dxfId="3" priority="1" operator="equal">
      <formula>"A001"</formula>
    </cfRule>
  </conditionalFormatting>
  <conditionalFormatting sqref="A78:A87">
    <cfRule type="cellIs" dxfId="2" priority="3" operator="equal">
      <formula>"A126"</formula>
    </cfRule>
  </conditionalFormatting>
  <conditionalFormatting sqref="A79:A87">
    <cfRule type="cellIs" dxfId="1" priority="2" operator="equal">
      <formula>"A135"</formula>
    </cfRule>
  </conditionalFormatting>
  <pageMargins left="0.7" right="0.7" top="0.75" bottom="0.75" header="0.3" footer="0.3"/>
  <pageSetup scale="61" fitToHeight="0" orientation="landscape" r:id="rId1"/>
  <headerFooter>
    <oddHeader>&amp;C&amp;"Aptos"&amp;12&amp;K008000 UNCLASSIFIED&amp;1#_x000D_</oddHeader>
    <oddFooter>&amp;C_x000D_&amp;1#&amp;"Aptos"&amp;12&amp;K008000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HFTMTEH5WA3R-2133879570-4207774</_dlc_DocId>
    <_dlc_DocIdUrl xmlns="5d84b183-8b05-4a94-8c02-27d0921eb529">
      <Url>https://flankspeed.sharepoint-mil.us/sites/NAVSUP_FLCSI_C200_Naples/_layouts/15/DocIdRedir.aspx?ID=HFTMTEH5WA3R-2133879570-4207774</Url>
      <Description>HFTMTEH5WA3R-2133879570-4207774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0b484b06ab84b7ab20b101178981aa16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18bf93816dbe63d10285c4c05a927650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BE45B3-5DC7-4C0A-A9B5-11EFCA32E67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5d84b183-8b05-4a94-8c02-27d0921eb529"/>
    <ds:schemaRef ds:uri="http://schemas.microsoft.com/sharepoint/v3"/>
    <ds:schemaRef ds:uri="http://purl.org/dc/terms/"/>
    <ds:schemaRef ds:uri="ffe2c5c0-2f03-4d54-9d97-2b7ca5ed059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CC2046A-3FBA-454B-B722-62F0B4C1C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A5F34A-A514-479E-ADAC-AA335CC16D9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A5F9A57-A85F-4CDF-8401-074D983DB98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6e6675-c0a9-4fb4-90ba-9df2389b72e5}" enabled="1" method="Privileged" siteId="{e3333e00-c877-4b87-b6ad-45e942de175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Pricing</vt:lpstr>
      <vt:lpstr>2. Schedule of Supplies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Contreras, Eric D CIV USN NAVSUP FLCS SOUDA (USA)</dc:creator>
  <cp:keywords/>
  <dc:description/>
  <cp:lastModifiedBy>McFarlin, Kelly N CIV USN NAVSUP FLCSI SOUDA BAY GR</cp:lastModifiedBy>
  <cp:revision/>
  <cp:lastPrinted>2026-04-13T10:04:39Z</cp:lastPrinted>
  <dcterms:created xsi:type="dcterms:W3CDTF">2026-03-24T08:19:28Z</dcterms:created>
  <dcterms:modified xsi:type="dcterms:W3CDTF">2026-04-22T07:21:17Z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_dlc_DocIdItemGuid">
    <vt:lpwstr>92d53620-3b71-4bdd-b702-45e6ca89b3f5</vt:lpwstr>
  </property>
  <property fmtid="{D5CDD505-2E9C-101B-9397-08002B2CF9AE}" pid="4" name="MediaServiceImageTags">
    <vt:lpwstr/>
  </property>
</Properties>
</file>