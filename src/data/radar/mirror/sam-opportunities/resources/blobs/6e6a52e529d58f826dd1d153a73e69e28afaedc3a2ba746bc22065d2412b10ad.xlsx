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SUPPO\Contracts Stuff\PCSI\New Contract\"/>
    </mc:Choice>
  </mc:AlternateContent>
  <xr:revisionPtr revIDLastSave="0" documentId="13_ncr:1_{01692F3B-AD2D-41A9-B61F-DE54D5E23FB0}" xr6:coauthVersionLast="47" xr6:coauthVersionMax="47" xr10:uidLastSave="{00000000-0000-0000-0000-000000000000}"/>
  <bookViews>
    <workbookView xWindow="4680" yWindow="870" windowWidth="21600" windowHeight="11175" xr2:uid="{C9B1BAF0-D382-4EBD-AA86-B34A03EB70FC}"/>
  </bookViews>
  <sheets>
    <sheet name="HISTORICAL" sheetId="3" r:id="rId1"/>
    <sheet name="Technical Exhibit 15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F13" i="4" s="1"/>
  <c r="E14" i="4"/>
  <c r="E15" i="4"/>
  <c r="E16" i="4"/>
  <c r="E17" i="4"/>
  <c r="E18" i="4"/>
  <c r="E19" i="4"/>
  <c r="E20" i="4"/>
  <c r="E21" i="4"/>
  <c r="E22" i="4"/>
  <c r="E23" i="4"/>
  <c r="E24" i="4"/>
  <c r="E25" i="4"/>
  <c r="F25" i="4" s="1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4" i="4"/>
  <c r="D4" i="4"/>
  <c r="C5" i="4"/>
  <c r="C6" i="4"/>
  <c r="C7" i="4"/>
  <c r="C8" i="4"/>
  <c r="C9" i="4"/>
  <c r="D9" i="4" s="1"/>
  <c r="F9" i="4" s="1"/>
  <c r="C10" i="4"/>
  <c r="C11" i="4"/>
  <c r="C12" i="4"/>
  <c r="C13" i="4"/>
  <c r="C14" i="4"/>
  <c r="D14" i="4" s="1"/>
  <c r="C15" i="4"/>
  <c r="D15" i="4" s="1"/>
  <c r="C16" i="4"/>
  <c r="D16" i="4" s="1"/>
  <c r="C17" i="4"/>
  <c r="C18" i="4"/>
  <c r="C19" i="4"/>
  <c r="C20" i="4"/>
  <c r="C21" i="4"/>
  <c r="C22" i="4"/>
  <c r="C23" i="4"/>
  <c r="C24" i="4"/>
  <c r="C25" i="4"/>
  <c r="C26" i="4"/>
  <c r="D26" i="4" s="1"/>
  <c r="F26" i="4" s="1"/>
  <c r="C27" i="4"/>
  <c r="D27" i="4" s="1"/>
  <c r="C28" i="4"/>
  <c r="D28" i="4" s="1"/>
  <c r="C29" i="4"/>
  <c r="C30" i="4"/>
  <c r="C31" i="4"/>
  <c r="C32" i="4"/>
  <c r="C33" i="4"/>
  <c r="C34" i="4"/>
  <c r="C35" i="4"/>
  <c r="C36" i="4"/>
  <c r="C37" i="4"/>
  <c r="C38" i="4"/>
  <c r="D38" i="4" s="1"/>
  <c r="F38" i="4" s="1"/>
  <c r="C39" i="4"/>
  <c r="D39" i="4" s="1"/>
  <c r="C40" i="4"/>
  <c r="D40" i="4" s="1"/>
  <c r="C41" i="4"/>
  <c r="C42" i="4"/>
  <c r="C43" i="4"/>
  <c r="C44" i="4"/>
  <c r="C45" i="4"/>
  <c r="C46" i="4"/>
  <c r="C47" i="4"/>
  <c r="C48" i="4"/>
  <c r="C49" i="4"/>
  <c r="C50" i="4"/>
  <c r="D50" i="4" s="1"/>
  <c r="F50" i="4" s="1"/>
  <c r="C51" i="4"/>
  <c r="D51" i="4" s="1"/>
  <c r="C52" i="4"/>
  <c r="D52" i="4" s="1"/>
  <c r="C4" i="4"/>
  <c r="F7" i="4"/>
  <c r="F19" i="4"/>
  <c r="F31" i="4"/>
  <c r="F37" i="4"/>
  <c r="F43" i="4"/>
  <c r="F49" i="4"/>
  <c r="D5" i="4"/>
  <c r="F5" i="4" s="1"/>
  <c r="D6" i="4"/>
  <c r="F6" i="4" s="1"/>
  <c r="D7" i="4"/>
  <c r="D8" i="4"/>
  <c r="F8" i="4" s="1"/>
  <c r="D10" i="4"/>
  <c r="F10" i="4" s="1"/>
  <c r="D11" i="4"/>
  <c r="F11" i="4" s="1"/>
  <c r="D12" i="4"/>
  <c r="F12" i="4" s="1"/>
  <c r="D13" i="4"/>
  <c r="D17" i="4"/>
  <c r="F17" i="4" s="1"/>
  <c r="D18" i="4"/>
  <c r="F18" i="4" s="1"/>
  <c r="D19" i="4"/>
  <c r="D20" i="4"/>
  <c r="F20" i="4" s="1"/>
  <c r="D21" i="4"/>
  <c r="F21" i="4" s="1"/>
  <c r="D22" i="4"/>
  <c r="F22" i="4" s="1"/>
  <c r="D23" i="4"/>
  <c r="F23" i="4" s="1"/>
  <c r="D24" i="4"/>
  <c r="F24" i="4" s="1"/>
  <c r="D25" i="4"/>
  <c r="D29" i="4"/>
  <c r="F29" i="4" s="1"/>
  <c r="D30" i="4"/>
  <c r="F30" i="4" s="1"/>
  <c r="D31" i="4"/>
  <c r="D32" i="4"/>
  <c r="F32" i="4" s="1"/>
  <c r="D33" i="4"/>
  <c r="F33" i="4" s="1"/>
  <c r="D34" i="4"/>
  <c r="F34" i="4" s="1"/>
  <c r="D35" i="4"/>
  <c r="F35" i="4" s="1"/>
  <c r="D36" i="4"/>
  <c r="F36" i="4" s="1"/>
  <c r="D37" i="4"/>
  <c r="D41" i="4"/>
  <c r="F41" i="4" s="1"/>
  <c r="D42" i="4"/>
  <c r="F42" i="4" s="1"/>
  <c r="D43" i="4"/>
  <c r="D44" i="4"/>
  <c r="F44" i="4" s="1"/>
  <c r="D45" i="4"/>
  <c r="F45" i="4" s="1"/>
  <c r="D46" i="4"/>
  <c r="F46" i="4" s="1"/>
  <c r="D47" i="4"/>
  <c r="F47" i="4" s="1"/>
  <c r="D48" i="4"/>
  <c r="F48" i="4" s="1"/>
  <c r="D49" i="4"/>
  <c r="F4" i="4"/>
  <c r="B53" i="4"/>
  <c r="F14" i="4" l="1"/>
  <c r="F52" i="4"/>
  <c r="F40" i="4"/>
  <c r="F28" i="4"/>
  <c r="F16" i="4"/>
  <c r="F39" i="4"/>
  <c r="F27" i="4"/>
  <c r="F15" i="4"/>
  <c r="D53" i="4"/>
  <c r="C53" i="4"/>
  <c r="E53" i="4" l="1"/>
  <c r="F51" i="4"/>
  <c r="F53" i="4" s="1"/>
</calcChain>
</file>

<file path=xl/sharedStrings.xml><?xml version="1.0" encoding="utf-8"?>
<sst xmlns="http://schemas.openxmlformats.org/spreadsheetml/2006/main" count="113" uniqueCount="63">
  <si>
    <t>Total Weight</t>
  </si>
  <si>
    <t>Monthly Average FY25</t>
  </si>
  <si>
    <t>Monthly Average FY24</t>
  </si>
  <si>
    <t>Monthly Average FY23</t>
  </si>
  <si>
    <t>Monthly Average FY22</t>
  </si>
  <si>
    <t>Monthly Average FY21</t>
  </si>
  <si>
    <t>Receiving/Processing</t>
  </si>
  <si>
    <t>Technical Exhibit 15 RSO Oceana Historical Workload</t>
  </si>
  <si>
    <t>Trucks Received</t>
  </si>
  <si>
    <t>Pieces Received</t>
  </si>
  <si>
    <t>NORS/AWP Line Items Processed (Hot)</t>
  </si>
  <si>
    <t>Other DTO Line Items Processed</t>
  </si>
  <si>
    <t>Total DTO Processed</t>
  </si>
  <si>
    <t>Stock Line Items Processed</t>
  </si>
  <si>
    <t>Mis-Directed Line Items Received</t>
  </si>
  <si>
    <t>Total Line Items Processed</t>
  </si>
  <si>
    <t>Grand Total Line Items Processed</t>
  </si>
  <si>
    <t>Flight Clothing Line Items Issued</t>
  </si>
  <si>
    <t>Flight Clothing Referrals Processed</t>
  </si>
  <si>
    <t>Flight Clothing Issues Made</t>
  </si>
  <si>
    <t>Flight Clothing Line items Stowed</t>
  </si>
  <si>
    <t>IPG 1 Issues Made</t>
  </si>
  <si>
    <t>IPG 2 Issues Made</t>
  </si>
  <si>
    <t>IPG 3 Issues made</t>
  </si>
  <si>
    <t>IPG 1 referrals Made</t>
  </si>
  <si>
    <t>IPG 2 referrals Made</t>
  </si>
  <si>
    <t>IPG 3 referrals Made</t>
  </si>
  <si>
    <t>Bearer Pick/Ups Made</t>
  </si>
  <si>
    <t>Total Number of Issues Made</t>
  </si>
  <si>
    <t>Line Items Stowed</t>
  </si>
  <si>
    <t>MMD (RFI)</t>
  </si>
  <si>
    <t>PUK</t>
  </si>
  <si>
    <t>MTIS</t>
  </si>
  <si>
    <t>Bin-to-Bin Movements</t>
  </si>
  <si>
    <t>Total Material Movements</t>
  </si>
  <si>
    <t>Material Checks Performed</t>
  </si>
  <si>
    <t>Shelf Life Items</t>
  </si>
  <si>
    <t>Crates/Skids Built for Shipping</t>
  </si>
  <si>
    <t>Crates/Skids Built for Stock Items</t>
  </si>
  <si>
    <t>Total Number of Crates/Skids</t>
  </si>
  <si>
    <t>Crates Repaired for Shipping</t>
  </si>
  <si>
    <t>Crates Repaired for Stock Items</t>
  </si>
  <si>
    <t>Total Number of Crates Repaired</t>
  </si>
  <si>
    <t>Classified Line Items packed/Crated</t>
  </si>
  <si>
    <t>Line items Certified (HAZMAT)</t>
  </si>
  <si>
    <t>TTL LI Class/Cert</t>
  </si>
  <si>
    <t>LI from Stk pkd/Crated for Shpmnt</t>
  </si>
  <si>
    <t>LI from Cust pkd/Crated for Shpmnt</t>
  </si>
  <si>
    <t>TTL Line Items Packed/Crated</t>
  </si>
  <si>
    <t>Stock Packed for Movement to DRMO</t>
  </si>
  <si>
    <t>Customer packed for Movement to DRMO</t>
  </si>
  <si>
    <t>Total DRMO</t>
  </si>
  <si>
    <t>Grand Total of Line items Shipped</t>
  </si>
  <si>
    <t># Of FedEx Shipments input to FACTS</t>
  </si>
  <si>
    <t># Of UPS Shipments input to FACTS</t>
  </si>
  <si>
    <t>Total Weight (Heavyweight)</t>
  </si>
  <si>
    <t>Total Weight (Small Parcel)</t>
  </si>
  <si>
    <t>Monthly Average FY27</t>
  </si>
  <si>
    <t>Monthly Average FY28</t>
  </si>
  <si>
    <t>Monthly Average FY29</t>
  </si>
  <si>
    <t>Monthly Average FY30</t>
  </si>
  <si>
    <t>Monthly Average FY31</t>
  </si>
  <si>
    <t>Technical Exhibit 15 RSO Oceana Projected Workload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</si>
</sst>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0"/>
      <color rgb="FF000000"/>
      <name val="Aptos Narrow"/>
      <family val="2"/>
      <scheme val="minor"/>
    </font>
    <font>
      <b/>
      <i/>
      <sz val="14"/>
      <color rgb="FF000000"/>
      <name val="Arial"/>
      <family val="2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2" applyNumberFormat="0" applyFill="0" applyAlignment="0" applyProtection="0"/>
  </cellStyleXfs>
  <cellXfs count="13">
    <xf numFmtId="0" fontId="0" fillId="0" borderId="0" xfId="0"/>
    <xf numFmtId="1" fontId="0" fillId="0" borderId="1" xfId="0" applyNumberFormat="1" applyBorder="1"/>
    <xf numFmtId="0" fontId="3" fillId="0" borderId="1" xfId="0" applyFont="1" applyBorder="1"/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0" fontId="5" fillId="0" borderId="1" xfId="1" applyFont="1" applyBorder="1"/>
    <xf numFmtId="0" fontId="6" fillId="5" borderId="1" xfId="1" applyFont="1" applyFill="1" applyBorder="1"/>
    <xf numFmtId="0" fontId="6" fillId="2" borderId="1" xfId="1" applyFont="1" applyFill="1" applyBorder="1"/>
    <xf numFmtId="0" fontId="5" fillId="4" borderId="1" xfId="1" applyFont="1" applyFill="1" applyBorder="1"/>
    <xf numFmtId="0" fontId="6" fillId="5" borderId="1" xfId="1" applyFont="1" applyFill="1" applyBorder="1" applyAlignment="1">
      <alignment wrapText="1"/>
    </xf>
    <xf numFmtId="0" fontId="4" fillId="3" borderId="0" xfId="0" applyFont="1" applyFill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5" fillId="6" borderId="1" xfId="1" applyFont="1" applyFill="1" applyBorder="1"/>
  </cellXfs>
  <cellStyles count="2">
    <cellStyle name="Heading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9F1BA0B-2BF0-4741-9108-3DFABFC07EFF}"/>
            </a:ext>
          </a:extLst>
        </xdr:cNvPr>
        <xdr:cNvSpPr txBox="1"/>
      </xdr:nvSpPr>
      <xdr:spPr>
        <a:xfrm>
          <a:off x="24638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B621911-5B19-4FC5-BEB2-1E980EF0F7E1}"/>
            </a:ext>
          </a:extLst>
        </xdr:cNvPr>
        <xdr:cNvSpPr txBox="1"/>
      </xdr:nvSpPr>
      <xdr:spPr>
        <a:xfrm>
          <a:off x="24638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58EEDBE7-C008-4576-81C7-568C32768C5D}"/>
            </a:ext>
          </a:extLst>
        </xdr:cNvPr>
        <xdr:cNvSpPr txBox="1"/>
      </xdr:nvSpPr>
      <xdr:spPr>
        <a:xfrm>
          <a:off x="24638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1EFFFA5-BFC0-47F7-9016-A72E89C8E463}"/>
            </a:ext>
          </a:extLst>
        </xdr:cNvPr>
        <xdr:cNvSpPr txBox="1"/>
      </xdr:nvSpPr>
      <xdr:spPr>
        <a:xfrm>
          <a:off x="2463800" y="2600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2B036870-1CB2-4F51-9C3B-D12B95B90355}"/>
            </a:ext>
          </a:extLst>
        </xdr:cNvPr>
        <xdr:cNvSpPr txBox="1"/>
      </xdr:nvSpPr>
      <xdr:spPr>
        <a:xfrm>
          <a:off x="2463800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7ABAD1B7-1890-4FD1-BEF1-2500C2DC90C4}"/>
            </a:ext>
          </a:extLst>
        </xdr:cNvPr>
        <xdr:cNvSpPr txBox="1"/>
      </xdr:nvSpPr>
      <xdr:spPr>
        <a:xfrm>
          <a:off x="2463800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D812EB4-42CB-46A6-AC35-AE7AC5F8689E}"/>
            </a:ext>
          </a:extLst>
        </xdr:cNvPr>
        <xdr:cNvSpPr txBox="1"/>
      </xdr:nvSpPr>
      <xdr:spPr>
        <a:xfrm>
          <a:off x="2463800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4D90C05E-1423-4E98-8A65-E52C75A93361}"/>
            </a:ext>
          </a:extLst>
        </xdr:cNvPr>
        <xdr:cNvSpPr txBox="1"/>
      </xdr:nvSpPr>
      <xdr:spPr>
        <a:xfrm>
          <a:off x="2463800" y="4000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2E446776-9EDB-424F-99B1-758B97993EA7}"/>
            </a:ext>
          </a:extLst>
        </xdr:cNvPr>
        <xdr:cNvSpPr txBox="1"/>
      </xdr:nvSpPr>
      <xdr:spPr>
        <a:xfrm>
          <a:off x="2463800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EFB6C27-FB62-40C0-8133-153739F45147}"/>
            </a:ext>
          </a:extLst>
        </xdr:cNvPr>
        <xdr:cNvSpPr txBox="1"/>
      </xdr:nvSpPr>
      <xdr:spPr>
        <a:xfrm>
          <a:off x="2463800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8144F1B-CD26-4A67-BFEB-C121A99FA531}"/>
            </a:ext>
          </a:extLst>
        </xdr:cNvPr>
        <xdr:cNvSpPr txBox="1"/>
      </xdr:nvSpPr>
      <xdr:spPr>
        <a:xfrm>
          <a:off x="2463800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FD5B06B-6621-4F2B-BD43-4BF3429BFB69}"/>
            </a:ext>
          </a:extLst>
        </xdr:cNvPr>
        <xdr:cNvSpPr txBox="1"/>
      </xdr:nvSpPr>
      <xdr:spPr>
        <a:xfrm>
          <a:off x="2463800" y="42005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96EE3EE-4D79-482D-8FE5-FC46763F4409}"/>
            </a:ext>
          </a:extLst>
        </xdr:cNvPr>
        <xdr:cNvSpPr txBox="1"/>
      </xdr:nvSpPr>
      <xdr:spPr>
        <a:xfrm>
          <a:off x="2466975" y="325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471987F-BCC8-4A5D-88E2-CB2E1C607CAB}"/>
            </a:ext>
          </a:extLst>
        </xdr:cNvPr>
        <xdr:cNvSpPr txBox="1"/>
      </xdr:nvSpPr>
      <xdr:spPr>
        <a:xfrm>
          <a:off x="2466975" y="325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758208-A22D-44B5-9936-6573D5831094}"/>
            </a:ext>
          </a:extLst>
        </xdr:cNvPr>
        <xdr:cNvSpPr txBox="1"/>
      </xdr:nvSpPr>
      <xdr:spPr>
        <a:xfrm>
          <a:off x="2466975" y="325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15</xdr:row>
      <xdr:rowOff>19050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DB14AAA-A47D-43EC-8C21-3FC798537283}"/>
            </a:ext>
          </a:extLst>
        </xdr:cNvPr>
        <xdr:cNvSpPr txBox="1"/>
      </xdr:nvSpPr>
      <xdr:spPr>
        <a:xfrm>
          <a:off x="2466975" y="3251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D17FE5E-C8EB-49B2-B6B8-296D3C2091A2}"/>
            </a:ext>
          </a:extLst>
        </xdr:cNvPr>
        <xdr:cNvSpPr txBox="1"/>
      </xdr:nvSpPr>
      <xdr:spPr>
        <a:xfrm>
          <a:off x="2466975" y="462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E34381-5123-4A9F-972C-3760BE8648C2}"/>
            </a:ext>
          </a:extLst>
        </xdr:cNvPr>
        <xdr:cNvSpPr txBox="1"/>
      </xdr:nvSpPr>
      <xdr:spPr>
        <a:xfrm>
          <a:off x="2466975" y="462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7E8DE08-CEF7-416C-A96F-565FBDCF8D6A}"/>
            </a:ext>
          </a:extLst>
        </xdr:cNvPr>
        <xdr:cNvSpPr txBox="1"/>
      </xdr:nvSpPr>
      <xdr:spPr>
        <a:xfrm>
          <a:off x="2466975" y="462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22</xdr:row>
      <xdr:rowOff>19050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7D976676-19F8-4A1F-AB27-762E531A3AC2}"/>
            </a:ext>
          </a:extLst>
        </xdr:cNvPr>
        <xdr:cNvSpPr txBox="1"/>
      </xdr:nvSpPr>
      <xdr:spPr>
        <a:xfrm>
          <a:off x="2466975" y="4629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2DC09FE-4CF9-4837-93A6-61E3CB73F0D1}"/>
            </a:ext>
          </a:extLst>
        </xdr:cNvPr>
        <xdr:cNvSpPr txBox="1"/>
      </xdr:nvSpPr>
      <xdr:spPr>
        <a:xfrm>
          <a:off x="2466975" y="482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7DFCC43-82C7-4FE4-8CB9-DB2E12068865}"/>
            </a:ext>
          </a:extLst>
        </xdr:cNvPr>
        <xdr:cNvSpPr txBox="1"/>
      </xdr:nvSpPr>
      <xdr:spPr>
        <a:xfrm>
          <a:off x="2466975" y="482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DAE7155-EC38-4960-AA83-21B794FABB57}"/>
            </a:ext>
          </a:extLst>
        </xdr:cNvPr>
        <xdr:cNvSpPr txBox="1"/>
      </xdr:nvSpPr>
      <xdr:spPr>
        <a:xfrm>
          <a:off x="2466975" y="482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0</xdr:col>
      <xdr:colOff>2466975</xdr:colOff>
      <xdr:row>23</xdr:row>
      <xdr:rowOff>19050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6872AB4-BF3F-4549-87AC-ADB515990507}"/>
            </a:ext>
          </a:extLst>
        </xdr:cNvPr>
        <xdr:cNvSpPr txBox="1"/>
      </xdr:nvSpPr>
      <xdr:spPr>
        <a:xfrm>
          <a:off x="2466975" y="4826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8AA1E-B6AF-42E9-A9CC-8E3C6AA84C7F}">
  <dimension ref="A1:F52"/>
  <sheetViews>
    <sheetView tabSelected="1" workbookViewId="0">
      <selection activeCell="I11" sqref="I11"/>
    </sheetView>
  </sheetViews>
  <sheetFormatPr defaultRowHeight="15" x14ac:dyDescent="0.25"/>
  <cols>
    <col min="1" max="1" width="49.5703125" customWidth="1"/>
    <col min="2" max="6" width="12.7109375" style="4" customWidth="1"/>
  </cols>
  <sheetData>
    <row r="1" spans="1:6" ht="19.5" customHeight="1" x14ac:dyDescent="0.25">
      <c r="A1" s="10" t="s">
        <v>7</v>
      </c>
      <c r="B1" s="10"/>
      <c r="C1" s="10"/>
      <c r="D1" s="10"/>
      <c r="E1" s="10"/>
      <c r="F1" s="10"/>
    </row>
    <row r="2" spans="1:6" x14ac:dyDescent="0.25">
      <c r="A2" s="11"/>
      <c r="B2" s="11"/>
      <c r="C2" s="11"/>
      <c r="D2" s="11"/>
      <c r="E2" s="11"/>
      <c r="F2" s="11"/>
    </row>
    <row r="3" spans="1:6" ht="34.5" customHeight="1" x14ac:dyDescent="0.25">
      <c r="A3" s="2" t="s">
        <v>6</v>
      </c>
      <c r="B3" s="3" t="s">
        <v>5</v>
      </c>
      <c r="C3" s="3" t="s">
        <v>4</v>
      </c>
      <c r="D3" s="3" t="s">
        <v>3</v>
      </c>
      <c r="E3" s="3" t="s">
        <v>2</v>
      </c>
      <c r="F3" s="3" t="s">
        <v>1</v>
      </c>
    </row>
    <row r="4" spans="1:6" ht="15.75" x14ac:dyDescent="0.25">
      <c r="A4" s="5" t="s">
        <v>8</v>
      </c>
      <c r="B4" s="1">
        <v>197.16666666666666</v>
      </c>
      <c r="C4" s="1">
        <v>191</v>
      </c>
      <c r="D4" s="1">
        <v>180.75</v>
      </c>
      <c r="E4" s="1">
        <v>165.25</v>
      </c>
      <c r="F4" s="1">
        <v>144.16666666666666</v>
      </c>
    </row>
    <row r="5" spans="1:6" ht="15.75" x14ac:dyDescent="0.25">
      <c r="A5" s="5" t="s">
        <v>9</v>
      </c>
      <c r="B5" s="1">
        <v>5070.333333333333</v>
      </c>
      <c r="C5" s="1">
        <v>5129.333333333333</v>
      </c>
      <c r="D5" s="1">
        <v>5138</v>
      </c>
      <c r="E5" s="1">
        <v>4707.5</v>
      </c>
      <c r="F5" s="1">
        <v>3452.0833333333335</v>
      </c>
    </row>
    <row r="6" spans="1:6" ht="15.75" x14ac:dyDescent="0.25">
      <c r="A6" s="5" t="s">
        <v>10</v>
      </c>
      <c r="B6" s="1">
        <v>871.33333333333337</v>
      </c>
      <c r="C6" s="1">
        <v>954.5</v>
      </c>
      <c r="D6" s="1">
        <v>1053</v>
      </c>
      <c r="E6" s="1">
        <v>900.66666666666663</v>
      </c>
      <c r="F6" s="1">
        <v>554.33333333333337</v>
      </c>
    </row>
    <row r="7" spans="1:6" ht="15.75" x14ac:dyDescent="0.25">
      <c r="A7" s="5" t="s">
        <v>11</v>
      </c>
      <c r="B7" s="1">
        <v>2852.6666666666665</v>
      </c>
      <c r="C7" s="1">
        <v>2231.3333333333335</v>
      </c>
      <c r="D7" s="1">
        <v>2339.0833333333335</v>
      </c>
      <c r="E7" s="1">
        <v>2360</v>
      </c>
      <c r="F7" s="1">
        <v>2165.5</v>
      </c>
    </row>
    <row r="8" spans="1:6" ht="15.75" x14ac:dyDescent="0.25">
      <c r="A8" s="6" t="s">
        <v>12</v>
      </c>
      <c r="B8" s="1">
        <v>3551.25</v>
      </c>
      <c r="C8" s="1">
        <v>3185.8333333333335</v>
      </c>
      <c r="D8" s="1">
        <v>3392.0833333333335</v>
      </c>
      <c r="E8" s="1">
        <v>3260.6666666666665</v>
      </c>
      <c r="F8" s="1">
        <v>2719.8333333333335</v>
      </c>
    </row>
    <row r="9" spans="1:6" ht="15.75" x14ac:dyDescent="0.25">
      <c r="A9" s="5" t="s">
        <v>13</v>
      </c>
      <c r="B9" s="1">
        <v>1924.9166666666667</v>
      </c>
      <c r="C9" s="1">
        <v>2116</v>
      </c>
      <c r="D9" s="1">
        <v>2085.9166666666665</v>
      </c>
      <c r="E9" s="1">
        <v>1815.5833333333333</v>
      </c>
      <c r="F9" s="1">
        <v>1644.5833333333333</v>
      </c>
    </row>
    <row r="10" spans="1:6" ht="15.75" x14ac:dyDescent="0.25">
      <c r="A10" s="5" t="s">
        <v>14</v>
      </c>
      <c r="B10" s="1">
        <v>6.166666666666667</v>
      </c>
      <c r="C10" s="1">
        <v>3.75</v>
      </c>
      <c r="D10" s="1">
        <v>3.0833333333333335</v>
      </c>
      <c r="E10" s="1">
        <v>2.6666666666666665</v>
      </c>
      <c r="F10" s="1">
        <v>1.0833333333333333</v>
      </c>
    </row>
    <row r="11" spans="1:6" ht="15.75" x14ac:dyDescent="0.25">
      <c r="A11" s="6" t="s">
        <v>15</v>
      </c>
      <c r="B11" s="1">
        <v>1945.3333333333333</v>
      </c>
      <c r="C11" s="1">
        <v>2119.75</v>
      </c>
      <c r="D11" s="1">
        <v>2089</v>
      </c>
      <c r="E11" s="1">
        <v>1818.25</v>
      </c>
      <c r="F11" s="1">
        <v>1645.6666666666667</v>
      </c>
    </row>
    <row r="12" spans="1:6" ht="15.75" x14ac:dyDescent="0.25">
      <c r="A12" s="7" t="s">
        <v>16</v>
      </c>
      <c r="B12" s="1">
        <v>5465.583333333333</v>
      </c>
      <c r="C12" s="1">
        <v>5305.583333333333</v>
      </c>
      <c r="D12" s="1">
        <v>5481.083333333333</v>
      </c>
      <c r="E12" s="1">
        <v>5078.916666666667</v>
      </c>
      <c r="F12" s="1">
        <v>4365.5</v>
      </c>
    </row>
    <row r="13" spans="1:6" ht="15.75" x14ac:dyDescent="0.25">
      <c r="A13" s="5" t="s">
        <v>17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</row>
    <row r="14" spans="1:6" ht="15.75" x14ac:dyDescent="0.25">
      <c r="A14" s="5" t="s">
        <v>18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</row>
    <row r="15" spans="1:6" ht="15.75" x14ac:dyDescent="0.25">
      <c r="A15" s="6" t="s">
        <v>19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</row>
    <row r="16" spans="1:6" ht="15.75" x14ac:dyDescent="0.25">
      <c r="A16" s="5" t="s">
        <v>20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</row>
    <row r="17" spans="1:6" ht="15.75" x14ac:dyDescent="0.25">
      <c r="A17" s="5" t="s">
        <v>21</v>
      </c>
      <c r="B17" s="1">
        <v>897</v>
      </c>
      <c r="C17" s="1">
        <v>939.16666666666663</v>
      </c>
      <c r="D17" s="1">
        <v>1111.8333333333333</v>
      </c>
      <c r="E17" s="1">
        <v>1207</v>
      </c>
      <c r="F17" s="1">
        <v>940.16666666666663</v>
      </c>
    </row>
    <row r="18" spans="1:6" ht="15.75" x14ac:dyDescent="0.25">
      <c r="A18" s="5" t="s">
        <v>22</v>
      </c>
      <c r="B18" s="1">
        <v>797.58333333333337</v>
      </c>
      <c r="C18" s="1">
        <v>930.16666666666663</v>
      </c>
      <c r="D18" s="1">
        <v>750.33333333333337</v>
      </c>
      <c r="E18" s="1">
        <v>714.16666666666663</v>
      </c>
      <c r="F18" s="1">
        <v>807.08333333333337</v>
      </c>
    </row>
    <row r="19" spans="1:6" ht="15.75" x14ac:dyDescent="0.25">
      <c r="A19" s="5" t="s">
        <v>23</v>
      </c>
      <c r="B19" s="1">
        <v>518.16666666666663</v>
      </c>
      <c r="C19" s="1">
        <v>477.91666666666669</v>
      </c>
      <c r="D19" s="1">
        <v>521.16666666666663</v>
      </c>
      <c r="E19" s="1">
        <v>505.25</v>
      </c>
      <c r="F19" s="1">
        <v>495</v>
      </c>
    </row>
    <row r="20" spans="1:6" ht="15.75" x14ac:dyDescent="0.25">
      <c r="A20" s="5" t="s">
        <v>24</v>
      </c>
      <c r="B20" s="1">
        <v>188.5</v>
      </c>
      <c r="C20" s="1">
        <v>85</v>
      </c>
      <c r="D20" s="1">
        <v>116.25</v>
      </c>
      <c r="E20" s="1">
        <v>109.33333333333333</v>
      </c>
      <c r="F20" s="1">
        <v>112.75</v>
      </c>
    </row>
    <row r="21" spans="1:6" ht="15.75" x14ac:dyDescent="0.25">
      <c r="A21" s="5" t="s">
        <v>25</v>
      </c>
      <c r="B21" s="1">
        <v>179.91666666666666</v>
      </c>
      <c r="C21" s="1">
        <v>82.166666666666671</v>
      </c>
      <c r="D21" s="1">
        <v>135.91666666666666</v>
      </c>
      <c r="E21" s="1">
        <v>94.75</v>
      </c>
      <c r="F21" s="1">
        <v>137.08333333333334</v>
      </c>
    </row>
    <row r="22" spans="1:6" ht="15.75" x14ac:dyDescent="0.25">
      <c r="A22" s="5" t="s">
        <v>26</v>
      </c>
      <c r="B22" s="1">
        <v>317.5</v>
      </c>
      <c r="C22" s="1">
        <v>107.33333333333333</v>
      </c>
      <c r="D22" s="1">
        <v>207.33333333333334</v>
      </c>
      <c r="E22" s="1">
        <v>172.16666666666666</v>
      </c>
      <c r="F22" s="1">
        <v>251.33333333333334</v>
      </c>
    </row>
    <row r="23" spans="1:6" ht="15.75" x14ac:dyDescent="0.25">
      <c r="A23" s="12" t="s">
        <v>27</v>
      </c>
      <c r="B23" s="1">
        <v>3.4166666666666665</v>
      </c>
      <c r="C23" s="1">
        <v>1.0833333333333333</v>
      </c>
      <c r="D23" s="1">
        <v>2.25</v>
      </c>
      <c r="E23" s="1">
        <v>2.9166666666666665</v>
      </c>
      <c r="F23" s="1">
        <v>4</v>
      </c>
    </row>
    <row r="24" spans="1:6" ht="15.75" x14ac:dyDescent="0.25">
      <c r="A24" s="6" t="s">
        <v>28</v>
      </c>
      <c r="B24" s="1">
        <v>2831.75</v>
      </c>
      <c r="C24" s="1">
        <v>2622.8333333333335</v>
      </c>
      <c r="D24" s="1">
        <v>2845.0833333333335</v>
      </c>
      <c r="E24" s="1">
        <v>2805.5833333333335</v>
      </c>
      <c r="F24" s="1">
        <v>2747.4166666666665</v>
      </c>
    </row>
    <row r="25" spans="1:6" ht="15.75" x14ac:dyDescent="0.25">
      <c r="A25" s="5" t="s">
        <v>29</v>
      </c>
      <c r="B25" s="1">
        <v>1320.9166666666667</v>
      </c>
      <c r="C25" s="1">
        <v>1690.0833333333333</v>
      </c>
      <c r="D25" s="1">
        <v>1508.5833333333333</v>
      </c>
      <c r="E25" s="1">
        <v>1415.9166666666667</v>
      </c>
      <c r="F25" s="1">
        <v>1325.3333333333333</v>
      </c>
    </row>
    <row r="26" spans="1:6" ht="15.75" x14ac:dyDescent="0.25">
      <c r="A26" s="12" t="s">
        <v>30</v>
      </c>
      <c r="B26" s="1">
        <v>14.666666666666666</v>
      </c>
      <c r="C26" s="1">
        <v>11.416666666666666</v>
      </c>
      <c r="D26" s="1">
        <v>10.5</v>
      </c>
      <c r="E26" s="1">
        <v>13.333333333333334</v>
      </c>
      <c r="F26" s="1">
        <v>16.25</v>
      </c>
    </row>
    <row r="27" spans="1:6" ht="15.75" x14ac:dyDescent="0.25">
      <c r="A27" s="12" t="s">
        <v>31</v>
      </c>
      <c r="B27" s="1">
        <v>7.083333333333333</v>
      </c>
      <c r="C27" s="1">
        <v>0.33333333333333331</v>
      </c>
      <c r="D27" s="1">
        <v>2.4166666666666665</v>
      </c>
      <c r="E27" s="1">
        <v>5.083333333333333</v>
      </c>
      <c r="F27" s="1">
        <v>12.75</v>
      </c>
    </row>
    <row r="28" spans="1:6" ht="15.75" x14ac:dyDescent="0.25">
      <c r="A28" s="12" t="s">
        <v>32</v>
      </c>
      <c r="B28" s="1">
        <v>1.6666666666666667</v>
      </c>
      <c r="C28" s="1">
        <v>8.3333333333333329E-2</v>
      </c>
      <c r="D28" s="1">
        <v>0.83333333333333337</v>
      </c>
      <c r="E28" s="1">
        <v>1.6666666666666667</v>
      </c>
      <c r="F28" s="1">
        <v>0.33333333333333331</v>
      </c>
    </row>
    <row r="29" spans="1:6" ht="15.75" x14ac:dyDescent="0.25">
      <c r="A29" s="12" t="s">
        <v>33</v>
      </c>
      <c r="B29" s="1">
        <v>45.25</v>
      </c>
      <c r="C29" s="1">
        <v>20.666666666666668</v>
      </c>
      <c r="D29" s="1">
        <v>41.166666666666664</v>
      </c>
      <c r="E29" s="1">
        <v>14.583333333333334</v>
      </c>
      <c r="F29" s="1">
        <v>35.333333333333336</v>
      </c>
    </row>
    <row r="30" spans="1:6" ht="15.75" x14ac:dyDescent="0.25">
      <c r="A30" s="6" t="s">
        <v>34</v>
      </c>
      <c r="B30" s="1">
        <v>1398.8333333333333</v>
      </c>
      <c r="C30" s="1">
        <v>1722.5833333333333</v>
      </c>
      <c r="D30" s="1">
        <v>1563.5</v>
      </c>
      <c r="E30" s="1">
        <v>1450.5833333333333</v>
      </c>
      <c r="F30" s="1">
        <v>1390</v>
      </c>
    </row>
    <row r="31" spans="1:6" ht="15.75" x14ac:dyDescent="0.25">
      <c r="A31" s="5" t="s">
        <v>35</v>
      </c>
      <c r="B31" s="1">
        <v>0</v>
      </c>
      <c r="C31" s="1">
        <v>8.3333333333333329E-2</v>
      </c>
      <c r="D31" s="1">
        <v>0.33333333333333331</v>
      </c>
      <c r="E31" s="1">
        <v>0.16666666666666666</v>
      </c>
      <c r="F31" s="1">
        <v>0</v>
      </c>
    </row>
    <row r="32" spans="1:6" ht="15.75" x14ac:dyDescent="0.25">
      <c r="A32" s="12" t="s">
        <v>36</v>
      </c>
      <c r="B32" s="1">
        <v>1.5833333333333333</v>
      </c>
      <c r="C32" s="1">
        <v>3.3333333333333335</v>
      </c>
      <c r="D32" s="1">
        <v>3.4166666666666665</v>
      </c>
      <c r="E32" s="1">
        <v>2</v>
      </c>
      <c r="F32" s="1">
        <v>2.4166666666666665</v>
      </c>
    </row>
    <row r="33" spans="1:6" ht="15.75" x14ac:dyDescent="0.25">
      <c r="A33" s="5" t="s">
        <v>37</v>
      </c>
      <c r="B33" s="1">
        <v>6.416666666666667</v>
      </c>
      <c r="C33" s="1">
        <v>6.25</v>
      </c>
      <c r="D33" s="1">
        <v>3.25</v>
      </c>
      <c r="E33" s="1">
        <v>1.9166666666666667</v>
      </c>
      <c r="F33" s="1">
        <v>1.5</v>
      </c>
    </row>
    <row r="34" spans="1:6" ht="15.75" x14ac:dyDescent="0.25">
      <c r="A34" s="5" t="s">
        <v>38</v>
      </c>
      <c r="B34" s="1">
        <v>0.83333333333333337</v>
      </c>
      <c r="C34" s="1">
        <v>0.33333333333333331</v>
      </c>
      <c r="D34" s="1">
        <v>0</v>
      </c>
      <c r="E34" s="1">
        <v>0.33333333333333331</v>
      </c>
      <c r="F34" s="1">
        <v>0.25</v>
      </c>
    </row>
    <row r="35" spans="1:6" ht="15.75" x14ac:dyDescent="0.25">
      <c r="A35" s="6" t="s">
        <v>39</v>
      </c>
      <c r="B35" s="1">
        <v>7.25</v>
      </c>
      <c r="C35" s="1">
        <v>6.583333333333333</v>
      </c>
      <c r="D35" s="1">
        <v>3.25</v>
      </c>
      <c r="E35" s="1">
        <v>2.25</v>
      </c>
      <c r="F35" s="1">
        <v>1.75</v>
      </c>
    </row>
    <row r="36" spans="1:6" ht="15.75" x14ac:dyDescent="0.25">
      <c r="A36" s="5" t="s">
        <v>40</v>
      </c>
      <c r="B36" s="1">
        <v>8.3333333333333329E-2</v>
      </c>
      <c r="C36" s="1">
        <v>0</v>
      </c>
      <c r="D36" s="1">
        <v>0.33333333333333331</v>
      </c>
      <c r="E36" s="1">
        <v>0</v>
      </c>
      <c r="F36" s="1">
        <v>0</v>
      </c>
    </row>
    <row r="37" spans="1:6" ht="15.75" x14ac:dyDescent="0.25">
      <c r="A37" s="5" t="s">
        <v>41</v>
      </c>
      <c r="B37" s="1">
        <v>0</v>
      </c>
      <c r="C37" s="1">
        <v>0</v>
      </c>
      <c r="D37" s="1">
        <v>0.25</v>
      </c>
      <c r="E37" s="1">
        <v>0.33333333333333331</v>
      </c>
      <c r="F37" s="1">
        <v>0</v>
      </c>
    </row>
    <row r="38" spans="1:6" ht="15.75" x14ac:dyDescent="0.25">
      <c r="A38" s="6" t="s">
        <v>42</v>
      </c>
      <c r="B38" s="1">
        <v>8.3333333333333329E-2</v>
      </c>
      <c r="C38" s="1">
        <v>0</v>
      </c>
      <c r="D38" s="1">
        <v>0.58333333333333337</v>
      </c>
      <c r="E38" s="1">
        <v>0.33333333333333331</v>
      </c>
      <c r="F38" s="1">
        <v>0</v>
      </c>
    </row>
    <row r="39" spans="1:6" ht="15.75" x14ac:dyDescent="0.25">
      <c r="A39" s="5" t="s">
        <v>43</v>
      </c>
      <c r="B39" s="1">
        <v>5.75</v>
      </c>
      <c r="C39" s="1">
        <v>8.3333333333333339</v>
      </c>
      <c r="D39" s="1">
        <v>8.25</v>
      </c>
      <c r="E39" s="1">
        <v>6.333333333333333</v>
      </c>
      <c r="F39" s="1">
        <v>5.583333333333333</v>
      </c>
    </row>
    <row r="40" spans="1:6" ht="15.75" x14ac:dyDescent="0.25">
      <c r="A40" s="5" t="s">
        <v>44</v>
      </c>
      <c r="B40" s="1">
        <v>19.5</v>
      </c>
      <c r="C40" s="1">
        <v>24.166666666666668</v>
      </c>
      <c r="D40" s="1">
        <v>21.666666666666668</v>
      </c>
      <c r="E40" s="1">
        <v>22.583333333333332</v>
      </c>
      <c r="F40" s="1">
        <v>19.75</v>
      </c>
    </row>
    <row r="41" spans="1:6" ht="15.75" x14ac:dyDescent="0.25">
      <c r="A41" s="6" t="s">
        <v>45</v>
      </c>
      <c r="B41" s="1">
        <v>25.25</v>
      </c>
      <c r="C41" s="1">
        <v>32.5</v>
      </c>
      <c r="D41" s="1">
        <v>29.916666666666668</v>
      </c>
      <c r="E41" s="1">
        <v>28.916666666666668</v>
      </c>
      <c r="F41" s="1">
        <v>25.333333333333332</v>
      </c>
    </row>
    <row r="42" spans="1:6" ht="15.75" x14ac:dyDescent="0.25">
      <c r="A42" s="5" t="s">
        <v>46</v>
      </c>
      <c r="B42" s="1">
        <v>687.33333333333337</v>
      </c>
      <c r="C42" s="1">
        <v>482.41666666666669</v>
      </c>
      <c r="D42" s="1">
        <v>453.75</v>
      </c>
      <c r="E42" s="1">
        <v>426.16666666666669</v>
      </c>
      <c r="F42" s="1">
        <v>501.58333333333331</v>
      </c>
    </row>
    <row r="43" spans="1:6" ht="15.75" x14ac:dyDescent="0.25">
      <c r="A43" s="5" t="s">
        <v>47</v>
      </c>
      <c r="B43" s="1">
        <v>320.83333333333331</v>
      </c>
      <c r="C43" s="1">
        <v>245.08333333333334</v>
      </c>
      <c r="D43" s="1">
        <v>270</v>
      </c>
      <c r="E43" s="1">
        <v>244.75</v>
      </c>
      <c r="F43" s="1">
        <v>275.16666666666669</v>
      </c>
    </row>
    <row r="44" spans="1:6" ht="15.75" x14ac:dyDescent="0.25">
      <c r="A44" s="6" t="s">
        <v>48</v>
      </c>
      <c r="B44" s="1">
        <v>1013.1666666666666</v>
      </c>
      <c r="C44" s="1">
        <v>727.5</v>
      </c>
      <c r="D44" s="1">
        <v>723.75</v>
      </c>
      <c r="E44" s="1">
        <v>670.91666666666663</v>
      </c>
      <c r="F44" s="1">
        <v>776.75</v>
      </c>
    </row>
    <row r="45" spans="1:6" ht="15.75" x14ac:dyDescent="0.25">
      <c r="A45" s="5" t="s">
        <v>49</v>
      </c>
      <c r="B45" s="1">
        <v>7.083333333333333</v>
      </c>
      <c r="C45" s="1">
        <v>238.16666666666666</v>
      </c>
      <c r="D45" s="1">
        <v>33.583333333333336</v>
      </c>
      <c r="E45" s="1">
        <v>1.6666666666666667</v>
      </c>
      <c r="F45" s="1">
        <v>1.25</v>
      </c>
    </row>
    <row r="46" spans="1:6" ht="15.75" x14ac:dyDescent="0.25">
      <c r="A46" s="5" t="s">
        <v>50</v>
      </c>
      <c r="B46" s="1">
        <v>201.83333333333334</v>
      </c>
      <c r="C46" s="1">
        <v>698.58333333333337</v>
      </c>
      <c r="D46" s="1">
        <v>867.08333333333337</v>
      </c>
      <c r="E46" s="1">
        <v>444.33333333333331</v>
      </c>
      <c r="F46" s="1">
        <v>431.75</v>
      </c>
    </row>
    <row r="47" spans="1:6" ht="15.75" x14ac:dyDescent="0.25">
      <c r="A47" s="9" t="s">
        <v>51</v>
      </c>
      <c r="B47" s="1">
        <v>206.25</v>
      </c>
      <c r="C47" s="1">
        <v>936.75</v>
      </c>
      <c r="D47" s="1">
        <v>900.66666666666663</v>
      </c>
      <c r="E47" s="1">
        <v>446</v>
      </c>
      <c r="F47" s="1">
        <v>433</v>
      </c>
    </row>
    <row r="48" spans="1:6" ht="15.75" x14ac:dyDescent="0.25">
      <c r="A48" s="7" t="s">
        <v>52</v>
      </c>
      <c r="B48" s="1">
        <v>1244.6666666666667</v>
      </c>
      <c r="C48" s="1">
        <v>1696.75</v>
      </c>
      <c r="D48" s="1">
        <v>1654.3333333333333</v>
      </c>
      <c r="E48" s="1">
        <v>1145.8333333333333</v>
      </c>
      <c r="F48" s="1">
        <v>1235.0833333333333</v>
      </c>
    </row>
    <row r="49" spans="1:6" ht="15.75" x14ac:dyDescent="0.25">
      <c r="A49" s="5" t="s">
        <v>53</v>
      </c>
      <c r="B49" s="1">
        <v>487.75</v>
      </c>
      <c r="C49" s="1">
        <v>364.33333333333331</v>
      </c>
      <c r="D49" s="1">
        <v>433.5</v>
      </c>
      <c r="E49" s="1">
        <v>443.58333333333331</v>
      </c>
      <c r="F49" s="1">
        <v>539.08333333333337</v>
      </c>
    </row>
    <row r="50" spans="1:6" ht="15.75" x14ac:dyDescent="0.25">
      <c r="A50" s="5" t="s">
        <v>54</v>
      </c>
      <c r="B50" s="1">
        <v>72.666666666666671</v>
      </c>
      <c r="C50" s="1">
        <v>87.416666666666671</v>
      </c>
      <c r="D50" s="1">
        <v>47.583333333333336</v>
      </c>
      <c r="E50" s="1">
        <v>20.916666666666668</v>
      </c>
      <c r="F50" s="1">
        <v>19.166666666666668</v>
      </c>
    </row>
    <row r="51" spans="1:6" ht="15.75" x14ac:dyDescent="0.25">
      <c r="A51" s="5" t="s">
        <v>55</v>
      </c>
      <c r="B51" s="1">
        <v>38703.416666666664</v>
      </c>
      <c r="C51" s="1">
        <v>49472.083333333336</v>
      </c>
      <c r="D51" s="1">
        <v>20442.416666666668</v>
      </c>
      <c r="E51" s="1">
        <v>14777.75</v>
      </c>
      <c r="F51" s="1">
        <v>16811.416666666668</v>
      </c>
    </row>
    <row r="52" spans="1:6" ht="15.75" x14ac:dyDescent="0.25">
      <c r="A52" s="5" t="s">
        <v>56</v>
      </c>
      <c r="B52" s="1">
        <v>8166</v>
      </c>
      <c r="C52" s="1">
        <v>6581.416666666667</v>
      </c>
      <c r="D52" s="1">
        <v>7537.333333333333</v>
      </c>
      <c r="E52" s="1">
        <v>7171.5</v>
      </c>
      <c r="F52" s="1">
        <v>7581.916666666667</v>
      </c>
    </row>
  </sheetData>
  <mergeCells count="1">
    <mergeCell ref="A1:F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4FD29-8A5A-416A-95EB-D05E0149F435}">
  <dimension ref="A1:F53"/>
  <sheetViews>
    <sheetView topLeftCell="A11" workbookViewId="0">
      <selection activeCell="H7" sqref="H7"/>
    </sheetView>
  </sheetViews>
  <sheetFormatPr defaultRowHeight="15" x14ac:dyDescent="0.25"/>
  <cols>
    <col min="1" max="1" width="49.5703125" customWidth="1"/>
    <col min="2" max="6" width="12.7109375" style="4" customWidth="1"/>
  </cols>
  <sheetData>
    <row r="1" spans="1:6" ht="19.5" customHeight="1" x14ac:dyDescent="0.25">
      <c r="A1" s="10" t="s">
        <v>62</v>
      </c>
      <c r="B1" s="10"/>
      <c r="C1" s="10"/>
      <c r="D1" s="10"/>
      <c r="E1" s="10"/>
      <c r="F1" s="10"/>
    </row>
    <row r="2" spans="1:6" x14ac:dyDescent="0.25">
      <c r="A2" s="11"/>
      <c r="B2" s="11"/>
      <c r="C2" s="11"/>
      <c r="D2" s="11"/>
      <c r="E2" s="11"/>
      <c r="F2" s="11"/>
    </row>
    <row r="3" spans="1:6" ht="34.5" customHeight="1" x14ac:dyDescent="0.25">
      <c r="A3" s="2" t="s">
        <v>6</v>
      </c>
      <c r="B3" s="3" t="s">
        <v>57</v>
      </c>
      <c r="C3" s="3" t="s">
        <v>58</v>
      </c>
      <c r="D3" s="3" t="s">
        <v>59</v>
      </c>
      <c r="E3" s="3" t="s">
        <v>60</v>
      </c>
      <c r="F3" s="3" t="s">
        <v>61</v>
      </c>
    </row>
    <row r="4" spans="1:6" ht="15.75" x14ac:dyDescent="0.25">
      <c r="A4" s="5" t="s">
        <v>8</v>
      </c>
      <c r="B4" s="1">
        <v>179.19756666666666</v>
      </c>
      <c r="C4" s="1">
        <f>(B4*1.02)</f>
        <v>182.78151800000001</v>
      </c>
      <c r="D4" s="1">
        <f>(C4*1.01)</f>
        <v>184.60933317999999</v>
      </c>
      <c r="E4" s="1">
        <f>(D4*1.02)</f>
        <v>188.3015198436</v>
      </c>
      <c r="F4" s="1">
        <f>(E4*1.01)</f>
        <v>190.184535042036</v>
      </c>
    </row>
    <row r="5" spans="1:6" ht="15.75" x14ac:dyDescent="0.25">
      <c r="A5" s="5" t="s">
        <v>9</v>
      </c>
      <c r="B5" s="1">
        <v>4793.9089449999983</v>
      </c>
      <c r="C5" s="1">
        <f t="shared" ref="C5:C52" si="0">(B5*1.02)</f>
        <v>4889.7871238999987</v>
      </c>
      <c r="D5" s="1">
        <f t="shared" ref="D5:F52" si="1">(C5*1.01)</f>
        <v>4938.6849951389986</v>
      </c>
      <c r="E5" s="1">
        <f t="shared" ref="E5:E52" si="2">(D5*1.02)</f>
        <v>5037.4586950417788</v>
      </c>
      <c r="F5" s="1">
        <f t="shared" si="1"/>
        <v>5087.833281992197</v>
      </c>
    </row>
    <row r="6" spans="1:6" ht="15.75" x14ac:dyDescent="0.25">
      <c r="A6" s="5" t="s">
        <v>10</v>
      </c>
      <c r="B6" s="1">
        <v>884.18867666666677</v>
      </c>
      <c r="C6" s="1">
        <f t="shared" si="0"/>
        <v>901.87245020000012</v>
      </c>
      <c r="D6" s="1">
        <f t="shared" si="1"/>
        <v>910.89117470200017</v>
      </c>
      <c r="E6" s="1">
        <f t="shared" si="2"/>
        <v>929.10899819604015</v>
      </c>
      <c r="F6" s="1">
        <f t="shared" si="1"/>
        <v>938.4000881780006</v>
      </c>
    </row>
    <row r="7" spans="1:6" ht="15.75" x14ac:dyDescent="0.25">
      <c r="A7" s="5" t="s">
        <v>11</v>
      </c>
      <c r="B7" s="1">
        <v>2437.7499716666666</v>
      </c>
      <c r="C7" s="1">
        <f t="shared" si="0"/>
        <v>2486.5049711000001</v>
      </c>
      <c r="D7" s="1">
        <f t="shared" si="1"/>
        <v>2511.3700208110004</v>
      </c>
      <c r="E7" s="1">
        <f t="shared" si="2"/>
        <v>2561.5974212272204</v>
      </c>
      <c r="F7" s="1">
        <f t="shared" si="1"/>
        <v>2587.2133954394926</v>
      </c>
    </row>
    <row r="8" spans="1:6" ht="15.75" x14ac:dyDescent="0.25">
      <c r="A8" s="6" t="s">
        <v>12</v>
      </c>
      <c r="B8" s="1">
        <v>3286.6941933333337</v>
      </c>
      <c r="C8" s="1">
        <f t="shared" si="0"/>
        <v>3352.4280772000006</v>
      </c>
      <c r="D8" s="1">
        <f t="shared" si="1"/>
        <v>3385.9523579720008</v>
      </c>
      <c r="E8" s="1">
        <f t="shared" si="2"/>
        <v>3453.6714051314407</v>
      </c>
      <c r="F8" s="1">
        <f t="shared" si="1"/>
        <v>3488.2081191827551</v>
      </c>
    </row>
    <row r="9" spans="1:6" ht="15.75" x14ac:dyDescent="0.25">
      <c r="A9" s="5" t="s">
        <v>13</v>
      </c>
      <c r="B9" s="1">
        <v>1955.93974</v>
      </c>
      <c r="C9" s="1">
        <f t="shared" si="0"/>
        <v>1995.0585348</v>
      </c>
      <c r="D9" s="1">
        <f t="shared" si="1"/>
        <v>2015.009120148</v>
      </c>
      <c r="E9" s="1">
        <f t="shared" si="2"/>
        <v>2055.3093025509602</v>
      </c>
      <c r="F9" s="1">
        <f t="shared" si="1"/>
        <v>2075.8623955764697</v>
      </c>
    </row>
    <row r="10" spans="1:6" ht="15.75" x14ac:dyDescent="0.25">
      <c r="A10" s="5" t="s">
        <v>14</v>
      </c>
      <c r="B10" s="1">
        <v>3.417335</v>
      </c>
      <c r="C10" s="1">
        <f t="shared" si="0"/>
        <v>3.4856817000000002</v>
      </c>
      <c r="D10" s="1">
        <f t="shared" si="1"/>
        <v>3.5205385170000003</v>
      </c>
      <c r="E10" s="1">
        <f t="shared" si="2"/>
        <v>3.5909492873400004</v>
      </c>
      <c r="F10" s="1">
        <f t="shared" si="1"/>
        <v>3.6268587802134005</v>
      </c>
    </row>
    <row r="11" spans="1:6" ht="15.75" x14ac:dyDescent="0.25">
      <c r="A11" s="6" t="s">
        <v>15</v>
      </c>
      <c r="B11" s="1">
        <v>1962.2643600000001</v>
      </c>
      <c r="C11" s="1">
        <f t="shared" si="0"/>
        <v>2001.5096472000002</v>
      </c>
      <c r="D11" s="1">
        <f t="shared" si="1"/>
        <v>2021.5247436720003</v>
      </c>
      <c r="E11" s="1">
        <f t="shared" si="2"/>
        <v>2061.9552385454404</v>
      </c>
      <c r="F11" s="1">
        <f t="shared" si="1"/>
        <v>2082.5747909308948</v>
      </c>
    </row>
    <row r="12" spans="1:6" ht="15.75" x14ac:dyDescent="0.25">
      <c r="A12" s="7" t="s">
        <v>16</v>
      </c>
      <c r="B12" s="1">
        <v>5242.6339333333344</v>
      </c>
      <c r="C12" s="1">
        <f t="shared" si="0"/>
        <v>5347.4866120000015</v>
      </c>
      <c r="D12" s="1">
        <f t="shared" si="1"/>
        <v>5400.9614781200016</v>
      </c>
      <c r="E12" s="1">
        <f t="shared" si="2"/>
        <v>5508.9807076824018</v>
      </c>
      <c r="F12" s="1">
        <f t="shared" si="1"/>
        <v>5564.0705147592262</v>
      </c>
    </row>
    <row r="13" spans="1:6" ht="15.75" x14ac:dyDescent="0.25">
      <c r="A13" s="5" t="s">
        <v>17</v>
      </c>
      <c r="B13" s="1">
        <v>0</v>
      </c>
      <c r="C13" s="1">
        <f t="shared" si="0"/>
        <v>0</v>
      </c>
      <c r="D13" s="1">
        <f t="shared" si="1"/>
        <v>0</v>
      </c>
      <c r="E13" s="1">
        <f t="shared" si="2"/>
        <v>0</v>
      </c>
      <c r="F13" s="1">
        <f t="shared" si="1"/>
        <v>0</v>
      </c>
    </row>
    <row r="14" spans="1:6" ht="15.75" x14ac:dyDescent="0.25">
      <c r="A14" s="5" t="s">
        <v>18</v>
      </c>
      <c r="B14" s="1">
        <v>0</v>
      </c>
      <c r="C14" s="1">
        <f t="shared" si="0"/>
        <v>0</v>
      </c>
      <c r="D14" s="1">
        <f t="shared" si="1"/>
        <v>0</v>
      </c>
      <c r="E14" s="1">
        <f t="shared" si="2"/>
        <v>0</v>
      </c>
      <c r="F14" s="1">
        <f t="shared" si="1"/>
        <v>0</v>
      </c>
    </row>
    <row r="15" spans="1:6" ht="15.75" x14ac:dyDescent="0.25">
      <c r="A15" s="6" t="s">
        <v>19</v>
      </c>
      <c r="B15" s="1">
        <v>0</v>
      </c>
      <c r="C15" s="1">
        <f t="shared" si="0"/>
        <v>0</v>
      </c>
      <c r="D15" s="1">
        <f t="shared" si="1"/>
        <v>0</v>
      </c>
      <c r="E15" s="1">
        <f t="shared" si="2"/>
        <v>0</v>
      </c>
      <c r="F15" s="1">
        <f t="shared" si="1"/>
        <v>0</v>
      </c>
    </row>
    <row r="16" spans="1:6" ht="15.75" x14ac:dyDescent="0.25">
      <c r="A16" s="5" t="s">
        <v>20</v>
      </c>
      <c r="B16" s="1">
        <v>0</v>
      </c>
      <c r="C16" s="1">
        <f t="shared" si="0"/>
        <v>0</v>
      </c>
      <c r="D16" s="1">
        <f t="shared" si="1"/>
        <v>0</v>
      </c>
      <c r="E16" s="1">
        <f t="shared" si="2"/>
        <v>0</v>
      </c>
      <c r="F16" s="1">
        <f t="shared" si="1"/>
        <v>0</v>
      </c>
    </row>
    <row r="17" spans="1:6" ht="15.75" x14ac:dyDescent="0.25">
      <c r="A17" s="5" t="s">
        <v>21</v>
      </c>
      <c r="B17" s="1">
        <v>1039.5159033333334</v>
      </c>
      <c r="C17" s="1">
        <f t="shared" si="0"/>
        <v>1060.3062214000001</v>
      </c>
      <c r="D17" s="1">
        <f t="shared" si="1"/>
        <v>1070.9092836140001</v>
      </c>
      <c r="E17" s="1">
        <f t="shared" si="2"/>
        <v>1092.3274692862801</v>
      </c>
      <c r="F17" s="1">
        <f t="shared" si="1"/>
        <v>1103.250743979143</v>
      </c>
    </row>
    <row r="18" spans="1:6" ht="15.75" x14ac:dyDescent="0.25">
      <c r="A18" s="5" t="s">
        <v>22</v>
      </c>
      <c r="B18" s="1">
        <v>815.94398666666666</v>
      </c>
      <c r="C18" s="1">
        <f t="shared" si="0"/>
        <v>832.26286640000001</v>
      </c>
      <c r="D18" s="1">
        <f t="shared" si="1"/>
        <v>840.58549506400004</v>
      </c>
      <c r="E18" s="1">
        <f t="shared" si="2"/>
        <v>857.39720496528003</v>
      </c>
      <c r="F18" s="1">
        <f t="shared" si="1"/>
        <v>865.97117701493278</v>
      </c>
    </row>
    <row r="19" spans="1:6" ht="15.75" x14ac:dyDescent="0.25">
      <c r="A19" s="5" t="s">
        <v>23</v>
      </c>
      <c r="B19" s="1">
        <v>513.62035000000003</v>
      </c>
      <c r="C19" s="1">
        <f t="shared" si="0"/>
        <v>523.89275700000007</v>
      </c>
      <c r="D19" s="1">
        <f t="shared" si="1"/>
        <v>529.13168457000006</v>
      </c>
      <c r="E19" s="1">
        <f t="shared" si="2"/>
        <v>539.71431826140008</v>
      </c>
      <c r="F19" s="1">
        <f t="shared" si="1"/>
        <v>545.11146144401414</v>
      </c>
    </row>
    <row r="20" spans="1:6" ht="15.75" x14ac:dyDescent="0.25">
      <c r="A20" s="5" t="s">
        <v>24</v>
      </c>
      <c r="B20" s="1">
        <v>124.82623666666666</v>
      </c>
      <c r="C20" s="1">
        <f t="shared" si="0"/>
        <v>127.32276139999999</v>
      </c>
      <c r="D20" s="1">
        <f t="shared" si="1"/>
        <v>128.595989014</v>
      </c>
      <c r="E20" s="1">
        <f t="shared" si="2"/>
        <v>131.16790879428001</v>
      </c>
      <c r="F20" s="1">
        <f t="shared" si="1"/>
        <v>132.4795878822228</v>
      </c>
    </row>
    <row r="21" spans="1:6" ht="15.75" x14ac:dyDescent="0.25">
      <c r="A21" s="5" t="s">
        <v>25</v>
      </c>
      <c r="B21" s="1">
        <v>128.49859666666666</v>
      </c>
      <c r="C21" s="1">
        <f t="shared" si="0"/>
        <v>131.06856859999999</v>
      </c>
      <c r="D21" s="1">
        <f t="shared" si="1"/>
        <v>132.37925428599999</v>
      </c>
      <c r="E21" s="1">
        <f t="shared" si="2"/>
        <v>135.02683937172</v>
      </c>
      <c r="F21" s="1">
        <f t="shared" si="1"/>
        <v>136.37710776543722</v>
      </c>
    </row>
    <row r="22" spans="1:6" ht="15.75" x14ac:dyDescent="0.25">
      <c r="A22" s="5" t="s">
        <v>26</v>
      </c>
      <c r="B22" s="1">
        <v>215.37711333333331</v>
      </c>
      <c r="C22" s="1">
        <f t="shared" si="0"/>
        <v>219.68465559999999</v>
      </c>
      <c r="D22" s="1">
        <f t="shared" si="1"/>
        <v>221.88150215599998</v>
      </c>
      <c r="E22" s="1">
        <f t="shared" si="2"/>
        <v>226.31913219911999</v>
      </c>
      <c r="F22" s="1">
        <f t="shared" si="1"/>
        <v>228.58232352111119</v>
      </c>
    </row>
    <row r="23" spans="1:6" ht="15.75" x14ac:dyDescent="0.25">
      <c r="A23" s="8" t="s">
        <v>27</v>
      </c>
      <c r="B23" s="1">
        <v>2.7882733333333336</v>
      </c>
      <c r="C23" s="1">
        <f t="shared" si="0"/>
        <v>2.8440388000000003</v>
      </c>
      <c r="D23" s="1">
        <f t="shared" si="1"/>
        <v>2.8724791880000002</v>
      </c>
      <c r="E23" s="1">
        <f t="shared" si="2"/>
        <v>2.9299287717600002</v>
      </c>
      <c r="F23" s="1">
        <f t="shared" si="1"/>
        <v>2.9592280594776001</v>
      </c>
    </row>
    <row r="24" spans="1:6" ht="15.75" x14ac:dyDescent="0.25">
      <c r="A24" s="6" t="s">
        <v>28</v>
      </c>
      <c r="B24" s="1">
        <v>2826.2210533333337</v>
      </c>
      <c r="C24" s="1">
        <f t="shared" si="0"/>
        <v>2882.7454744000006</v>
      </c>
      <c r="D24" s="1">
        <f t="shared" si="1"/>
        <v>2911.5729291440007</v>
      </c>
      <c r="E24" s="1">
        <f t="shared" si="2"/>
        <v>2969.8043877268806</v>
      </c>
      <c r="F24" s="1">
        <f t="shared" si="1"/>
        <v>2999.5024316041495</v>
      </c>
    </row>
    <row r="25" spans="1:6" ht="15.75" x14ac:dyDescent="0.25">
      <c r="A25" s="5" t="s">
        <v>29</v>
      </c>
      <c r="B25" s="1">
        <v>1481.3552166666666</v>
      </c>
      <c r="C25" s="1">
        <f t="shared" si="0"/>
        <v>1510.982321</v>
      </c>
      <c r="D25" s="1">
        <f t="shared" si="1"/>
        <v>1526.09214421</v>
      </c>
      <c r="E25" s="1">
        <f t="shared" si="2"/>
        <v>1556.6139870942</v>
      </c>
      <c r="F25" s="1">
        <f t="shared" si="1"/>
        <v>1572.1801269651419</v>
      </c>
    </row>
    <row r="26" spans="1:6" ht="15.75" x14ac:dyDescent="0.25">
      <c r="A26" s="8" t="s">
        <v>30</v>
      </c>
      <c r="B26" s="1">
        <v>13.499323333333331</v>
      </c>
      <c r="C26" s="1">
        <f t="shared" si="0"/>
        <v>13.769309799999998</v>
      </c>
      <c r="D26" s="1">
        <f t="shared" si="1"/>
        <v>13.907002897999998</v>
      </c>
      <c r="E26" s="1">
        <f t="shared" si="2"/>
        <v>14.185142955959998</v>
      </c>
      <c r="F26" s="1">
        <f t="shared" si="1"/>
        <v>14.326994385519598</v>
      </c>
    </row>
    <row r="27" spans="1:6" ht="15.75" x14ac:dyDescent="0.25">
      <c r="A27" s="8" t="s">
        <v>31</v>
      </c>
      <c r="B27" s="1">
        <v>5.6445533333333335</v>
      </c>
      <c r="C27" s="1">
        <f t="shared" si="0"/>
        <v>5.7574444000000007</v>
      </c>
      <c r="D27" s="1">
        <f t="shared" si="1"/>
        <v>5.8150188440000008</v>
      </c>
      <c r="E27" s="1">
        <f t="shared" si="2"/>
        <v>5.9313192208800007</v>
      </c>
      <c r="F27" s="1">
        <f t="shared" si="1"/>
        <v>5.9906324130888011</v>
      </c>
    </row>
    <row r="28" spans="1:6" ht="15.75" x14ac:dyDescent="0.25">
      <c r="A28" s="8" t="s">
        <v>32</v>
      </c>
      <c r="B28" s="1">
        <v>0.93509166666666665</v>
      </c>
      <c r="C28" s="1">
        <f t="shared" si="0"/>
        <v>0.95379349999999996</v>
      </c>
      <c r="D28" s="1">
        <f t="shared" si="1"/>
        <v>0.96333143499999996</v>
      </c>
      <c r="E28" s="1">
        <f t="shared" si="2"/>
        <v>0.98259806370000002</v>
      </c>
      <c r="F28" s="1">
        <f t="shared" si="1"/>
        <v>0.99242404433700004</v>
      </c>
    </row>
    <row r="29" spans="1:6" ht="15.75" x14ac:dyDescent="0.25">
      <c r="A29" s="8" t="s">
        <v>33</v>
      </c>
      <c r="B29" s="1">
        <v>32.031140000000001</v>
      </c>
      <c r="C29" s="1">
        <f t="shared" si="0"/>
        <v>32.671762800000003</v>
      </c>
      <c r="D29" s="1">
        <f t="shared" si="1"/>
        <v>32.998480428000001</v>
      </c>
      <c r="E29" s="1">
        <f t="shared" si="2"/>
        <v>33.658450036559998</v>
      </c>
      <c r="F29" s="1">
        <f t="shared" si="1"/>
        <v>33.995034536925601</v>
      </c>
    </row>
    <row r="30" spans="1:6" ht="15.75" x14ac:dyDescent="0.25">
      <c r="A30" s="6" t="s">
        <v>34</v>
      </c>
      <c r="B30" s="1">
        <v>1535.3525099999999</v>
      </c>
      <c r="C30" s="1">
        <f t="shared" si="0"/>
        <v>1566.0595601999999</v>
      </c>
      <c r="D30" s="1">
        <f t="shared" si="1"/>
        <v>1581.7201558019999</v>
      </c>
      <c r="E30" s="1">
        <f t="shared" si="2"/>
        <v>1613.3545589180399</v>
      </c>
      <c r="F30" s="1">
        <f t="shared" si="1"/>
        <v>1629.4881045072202</v>
      </c>
    </row>
    <row r="31" spans="1:6" ht="15.75" x14ac:dyDescent="0.25">
      <c r="A31" s="5" t="s">
        <v>35</v>
      </c>
      <c r="B31" s="1">
        <v>0.11901166666666665</v>
      </c>
      <c r="C31" s="1">
        <f t="shared" si="0"/>
        <v>0.12139189999999998</v>
      </c>
      <c r="D31" s="1">
        <f t="shared" si="1"/>
        <v>0.12260581899999999</v>
      </c>
      <c r="E31" s="1">
        <f t="shared" si="2"/>
        <v>0.12505793537999998</v>
      </c>
      <c r="F31" s="1">
        <f t="shared" si="1"/>
        <v>0.12630851473379998</v>
      </c>
    </row>
    <row r="32" spans="1:6" ht="15.75" x14ac:dyDescent="0.25">
      <c r="A32" s="8" t="s">
        <v>36</v>
      </c>
      <c r="B32" s="1">
        <v>2.6012550000000001</v>
      </c>
      <c r="C32" s="1">
        <f t="shared" si="0"/>
        <v>2.6532801000000004</v>
      </c>
      <c r="D32" s="1">
        <f t="shared" si="1"/>
        <v>2.6798129010000005</v>
      </c>
      <c r="E32" s="1">
        <f t="shared" si="2"/>
        <v>2.7334091590200007</v>
      </c>
      <c r="F32" s="1">
        <f t="shared" si="1"/>
        <v>2.7607432506102008</v>
      </c>
    </row>
    <row r="33" spans="1:6" ht="15.75" x14ac:dyDescent="0.25">
      <c r="A33" s="5" t="s">
        <v>37</v>
      </c>
      <c r="B33" s="1">
        <v>3.9443866666666674</v>
      </c>
      <c r="C33" s="1">
        <f t="shared" si="0"/>
        <v>4.0232744000000009</v>
      </c>
      <c r="D33" s="1">
        <f t="shared" si="1"/>
        <v>4.0635071440000008</v>
      </c>
      <c r="E33" s="1">
        <f t="shared" si="2"/>
        <v>4.144777286880001</v>
      </c>
      <c r="F33" s="1">
        <f t="shared" si="1"/>
        <v>4.1862250597488009</v>
      </c>
    </row>
    <row r="34" spans="1:6" ht="15.75" x14ac:dyDescent="0.25">
      <c r="A34" s="5" t="s">
        <v>38</v>
      </c>
      <c r="B34" s="1">
        <v>0.35703499999999999</v>
      </c>
      <c r="C34" s="1">
        <f t="shared" si="0"/>
        <v>0.36417569999999999</v>
      </c>
      <c r="D34" s="1">
        <f t="shared" si="1"/>
        <v>0.36781745700000001</v>
      </c>
      <c r="E34" s="1">
        <f t="shared" si="2"/>
        <v>0.37517380614000001</v>
      </c>
      <c r="F34" s="1">
        <f t="shared" si="1"/>
        <v>0.37892554420140001</v>
      </c>
    </row>
    <row r="35" spans="1:6" ht="15.75" x14ac:dyDescent="0.25">
      <c r="A35" s="6" t="s">
        <v>39</v>
      </c>
      <c r="B35" s="1">
        <v>4.3014216666666671</v>
      </c>
      <c r="C35" s="1">
        <f t="shared" si="0"/>
        <v>4.3874501000000006</v>
      </c>
      <c r="D35" s="1">
        <f t="shared" si="1"/>
        <v>4.4313246010000009</v>
      </c>
      <c r="E35" s="1">
        <f t="shared" si="2"/>
        <v>4.5199510930200013</v>
      </c>
      <c r="F35" s="1">
        <f t="shared" si="1"/>
        <v>4.565150603950201</v>
      </c>
    </row>
    <row r="36" spans="1:6" ht="15.75" x14ac:dyDescent="0.25">
      <c r="A36" s="5" t="s">
        <v>40</v>
      </c>
      <c r="B36" s="1">
        <v>8.5008333333333339E-2</v>
      </c>
      <c r="C36" s="1">
        <f t="shared" si="0"/>
        <v>8.6708500000000008E-2</v>
      </c>
      <c r="D36" s="1">
        <f t="shared" si="1"/>
        <v>8.7575585000000011E-2</v>
      </c>
      <c r="E36" s="1">
        <f t="shared" si="2"/>
        <v>8.9327096700000011E-2</v>
      </c>
      <c r="F36" s="1">
        <f t="shared" si="1"/>
        <v>9.0220367667000007E-2</v>
      </c>
    </row>
    <row r="37" spans="1:6" ht="15.75" x14ac:dyDescent="0.25">
      <c r="A37" s="5" t="s">
        <v>41</v>
      </c>
      <c r="B37" s="1">
        <v>0.11901166666666665</v>
      </c>
      <c r="C37" s="1">
        <f t="shared" si="0"/>
        <v>0.12139189999999998</v>
      </c>
      <c r="D37" s="1">
        <f t="shared" si="1"/>
        <v>0.12260581899999999</v>
      </c>
      <c r="E37" s="1">
        <f t="shared" si="2"/>
        <v>0.12505793537999998</v>
      </c>
      <c r="F37" s="1">
        <f t="shared" si="1"/>
        <v>0.12630851473379998</v>
      </c>
    </row>
    <row r="38" spans="1:6" ht="15.75" x14ac:dyDescent="0.25">
      <c r="A38" s="6" t="s">
        <v>42</v>
      </c>
      <c r="B38" s="1">
        <v>0.20402000000000001</v>
      </c>
      <c r="C38" s="1">
        <f t="shared" si="0"/>
        <v>0.20810040000000002</v>
      </c>
      <c r="D38" s="1">
        <f t="shared" si="1"/>
        <v>0.21018140400000002</v>
      </c>
      <c r="E38" s="1">
        <f t="shared" si="2"/>
        <v>0.21438503208000001</v>
      </c>
      <c r="F38" s="1">
        <f t="shared" si="1"/>
        <v>0.21652888240080001</v>
      </c>
    </row>
    <row r="39" spans="1:6" ht="15.75" x14ac:dyDescent="0.25">
      <c r="A39" s="5" t="s">
        <v>43</v>
      </c>
      <c r="B39" s="1">
        <v>6.9876849999999999</v>
      </c>
      <c r="C39" s="1">
        <f t="shared" si="0"/>
        <v>7.1274386999999999</v>
      </c>
      <c r="D39" s="1">
        <f t="shared" si="1"/>
        <v>7.1987130869999998</v>
      </c>
      <c r="E39" s="1">
        <f t="shared" si="2"/>
        <v>7.3426873487400002</v>
      </c>
      <c r="F39" s="1">
        <f t="shared" si="1"/>
        <v>7.4161142222274004</v>
      </c>
    </row>
    <row r="40" spans="1:6" ht="15.75" x14ac:dyDescent="0.25">
      <c r="A40" s="5" t="s">
        <v>44</v>
      </c>
      <c r="B40" s="1">
        <v>21.966153333333335</v>
      </c>
      <c r="C40" s="1">
        <f t="shared" si="0"/>
        <v>22.405476400000001</v>
      </c>
      <c r="D40" s="1">
        <f t="shared" si="1"/>
        <v>22.629531164000003</v>
      </c>
      <c r="E40" s="1">
        <f t="shared" si="2"/>
        <v>23.082121787280002</v>
      </c>
      <c r="F40" s="1">
        <f t="shared" si="1"/>
        <v>23.312943005152803</v>
      </c>
    </row>
    <row r="41" spans="1:6" ht="15.75" x14ac:dyDescent="0.25">
      <c r="A41" s="6" t="s">
        <v>45</v>
      </c>
      <c r="B41" s="1">
        <v>28.953838333333337</v>
      </c>
      <c r="C41" s="1">
        <f t="shared" si="0"/>
        <v>29.532915100000004</v>
      </c>
      <c r="D41" s="1">
        <f t="shared" si="1"/>
        <v>29.828244251000005</v>
      </c>
      <c r="E41" s="1">
        <f t="shared" si="2"/>
        <v>30.424809136020006</v>
      </c>
      <c r="F41" s="1">
        <f t="shared" si="1"/>
        <v>30.729057227380206</v>
      </c>
    </row>
    <row r="42" spans="1:6" ht="15.75" x14ac:dyDescent="0.25">
      <c r="A42" s="5" t="s">
        <v>46</v>
      </c>
      <c r="B42" s="1">
        <v>520.50602500000002</v>
      </c>
      <c r="C42" s="1">
        <f t="shared" si="0"/>
        <v>530.91614550000008</v>
      </c>
      <c r="D42" s="1">
        <f t="shared" si="1"/>
        <v>536.22530695500006</v>
      </c>
      <c r="E42" s="1">
        <f t="shared" si="2"/>
        <v>546.94981309410002</v>
      </c>
      <c r="F42" s="1">
        <f t="shared" si="1"/>
        <v>552.41931122504104</v>
      </c>
    </row>
    <row r="43" spans="1:6" ht="15.75" x14ac:dyDescent="0.25">
      <c r="A43" s="5" t="s">
        <v>47</v>
      </c>
      <c r="B43" s="1">
        <v>276.61711666666662</v>
      </c>
      <c r="C43" s="1">
        <f t="shared" si="0"/>
        <v>282.14945899999998</v>
      </c>
      <c r="D43" s="1">
        <f t="shared" si="1"/>
        <v>284.97095358999997</v>
      </c>
      <c r="E43" s="1">
        <f t="shared" si="2"/>
        <v>290.67037266179995</v>
      </c>
      <c r="F43" s="1">
        <f t="shared" si="1"/>
        <v>293.57707638841794</v>
      </c>
    </row>
    <row r="44" spans="1:6" ht="15.75" x14ac:dyDescent="0.25">
      <c r="A44" s="6" t="s">
        <v>48</v>
      </c>
      <c r="B44" s="1">
        <v>798.14324166666665</v>
      </c>
      <c r="C44" s="1">
        <f t="shared" si="0"/>
        <v>814.10610650000001</v>
      </c>
      <c r="D44" s="1">
        <f t="shared" si="1"/>
        <v>822.24716756500004</v>
      </c>
      <c r="E44" s="1">
        <f t="shared" si="2"/>
        <v>838.69211091630007</v>
      </c>
      <c r="F44" s="1">
        <f t="shared" si="1"/>
        <v>847.07903202546311</v>
      </c>
    </row>
    <row r="45" spans="1:6" ht="15.75" x14ac:dyDescent="0.25">
      <c r="A45" s="5" t="s">
        <v>49</v>
      </c>
      <c r="B45" s="1">
        <v>57.482635000000002</v>
      </c>
      <c r="C45" s="1">
        <f t="shared" si="0"/>
        <v>58.632287700000006</v>
      </c>
      <c r="D45" s="1">
        <f t="shared" si="1"/>
        <v>59.218610577000007</v>
      </c>
      <c r="E45" s="1">
        <f t="shared" si="2"/>
        <v>60.402982788540008</v>
      </c>
      <c r="F45" s="1">
        <f t="shared" si="1"/>
        <v>61.007012616425406</v>
      </c>
    </row>
    <row r="46" spans="1:6" ht="15.75" x14ac:dyDescent="0.25">
      <c r="A46" s="5" t="s">
        <v>50</v>
      </c>
      <c r="B46" s="1">
        <v>539.3438716666667</v>
      </c>
      <c r="C46" s="1">
        <f t="shared" si="0"/>
        <v>550.1307491</v>
      </c>
      <c r="D46" s="1">
        <f t="shared" si="1"/>
        <v>555.63205659100004</v>
      </c>
      <c r="E46" s="1">
        <f t="shared" si="2"/>
        <v>566.74469772282009</v>
      </c>
      <c r="F46" s="1">
        <f t="shared" si="1"/>
        <v>572.41214470004832</v>
      </c>
    </row>
    <row r="47" spans="1:6" ht="15.75" x14ac:dyDescent="0.25">
      <c r="A47" s="9" t="s">
        <v>51</v>
      </c>
      <c r="B47" s="1">
        <v>596.28245333333325</v>
      </c>
      <c r="C47" s="1">
        <f t="shared" si="0"/>
        <v>608.20810239999992</v>
      </c>
      <c r="D47" s="1">
        <f t="shared" si="1"/>
        <v>614.29018342399991</v>
      </c>
      <c r="E47" s="1">
        <f t="shared" si="2"/>
        <v>626.57598709247986</v>
      </c>
      <c r="F47" s="1">
        <f t="shared" si="1"/>
        <v>632.84174696340472</v>
      </c>
    </row>
    <row r="48" spans="1:6" ht="15.75" x14ac:dyDescent="0.25">
      <c r="A48" s="7" t="s">
        <v>52</v>
      </c>
      <c r="B48" s="1">
        <v>1423.3795333333333</v>
      </c>
      <c r="C48" s="1">
        <f t="shared" si="0"/>
        <v>1451.8471239999999</v>
      </c>
      <c r="D48" s="1">
        <f t="shared" si="1"/>
        <v>1466.3655952399999</v>
      </c>
      <c r="E48" s="1">
        <f t="shared" si="2"/>
        <v>1495.6929071448001</v>
      </c>
      <c r="F48" s="1">
        <f t="shared" si="1"/>
        <v>1510.6498362162481</v>
      </c>
    </row>
    <row r="49" spans="1:6" ht="15.75" x14ac:dyDescent="0.25">
      <c r="A49" s="5" t="s">
        <v>53</v>
      </c>
      <c r="B49" s="1">
        <v>462.76836499999996</v>
      </c>
      <c r="C49" s="1">
        <f t="shared" si="0"/>
        <v>472.02373229999995</v>
      </c>
      <c r="D49" s="1">
        <f t="shared" si="1"/>
        <v>476.74396962299994</v>
      </c>
      <c r="E49" s="1">
        <f t="shared" si="2"/>
        <v>486.27884901545997</v>
      </c>
      <c r="F49" s="1">
        <f t="shared" si="1"/>
        <v>491.1416375056146</v>
      </c>
    </row>
    <row r="50" spans="1:6" ht="15.75" x14ac:dyDescent="0.25">
      <c r="A50" s="5" t="s">
        <v>54</v>
      </c>
      <c r="B50" s="1">
        <v>50.545954999999999</v>
      </c>
      <c r="C50" s="1">
        <f t="shared" si="0"/>
        <v>51.556874100000002</v>
      </c>
      <c r="D50" s="1">
        <f t="shared" si="1"/>
        <v>52.072442841000004</v>
      </c>
      <c r="E50" s="1">
        <f t="shared" si="2"/>
        <v>53.113891697820009</v>
      </c>
      <c r="F50" s="1">
        <f t="shared" si="1"/>
        <v>53.645030614798209</v>
      </c>
    </row>
    <row r="51" spans="1:6" ht="15.75" x14ac:dyDescent="0.25">
      <c r="A51" s="5" t="s">
        <v>55</v>
      </c>
      <c r="B51" s="1">
        <v>28605.049141666666</v>
      </c>
      <c r="C51" s="1">
        <f t="shared" si="0"/>
        <v>29177.1501245</v>
      </c>
      <c r="D51" s="1">
        <f t="shared" si="1"/>
        <v>29468.921625744999</v>
      </c>
      <c r="E51" s="1">
        <f t="shared" si="2"/>
        <v>30058.300058259898</v>
      </c>
      <c r="F51" s="1">
        <f t="shared" si="1"/>
        <v>30358.883058842497</v>
      </c>
    </row>
    <row r="52" spans="1:6" ht="15.75" x14ac:dyDescent="0.25">
      <c r="A52" s="5" t="s">
        <v>56</v>
      </c>
      <c r="B52" s="1">
        <v>7556.5267633333333</v>
      </c>
      <c r="C52" s="1">
        <f t="shared" si="0"/>
        <v>7707.6572986000001</v>
      </c>
      <c r="D52" s="1">
        <f t="shared" si="1"/>
        <v>7784.7338715860005</v>
      </c>
      <c r="E52" s="1">
        <f t="shared" si="2"/>
        <v>7940.4285490177208</v>
      </c>
      <c r="F52" s="1">
        <f t="shared" si="1"/>
        <v>8019.832834507898</v>
      </c>
    </row>
    <row r="53" spans="1:6" ht="15.75" x14ac:dyDescent="0.25">
      <c r="A53" s="9" t="s">
        <v>0</v>
      </c>
      <c r="B53" s="1">
        <f>SUM(B51:B52)</f>
        <v>36161.575904999998</v>
      </c>
      <c r="C53" s="1">
        <f>SUM(C51:C52)</f>
        <v>36884.807423099999</v>
      </c>
      <c r="D53" s="1">
        <f t="shared" ref="D53:F53" si="3">SUM(D51:D52)</f>
        <v>37253.655497330998</v>
      </c>
      <c r="E53" s="1">
        <f t="shared" si="3"/>
        <v>37998.728607277619</v>
      </c>
      <c r="F53" s="1">
        <f t="shared" si="3"/>
        <v>38378.715893350396</v>
      </c>
    </row>
  </sheetData>
  <mergeCells count="1">
    <mergeCell ref="A1:F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</vt:lpstr>
      <vt:lpstr>Technical Exhibit 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Hunnell, Justin M LCDR USN NAVSUP FLCN (USA)</dc:creator>
  <cp:lastModifiedBy>Paige, Dylan S CDR USN NAVSUP FLCN (USA)</cp:lastModifiedBy>
  <dcterms:created xsi:type="dcterms:W3CDTF">2025-08-18T16:22:46Z</dcterms:created>
  <dcterms:modified xsi:type="dcterms:W3CDTF">2025-09-12T15:19:51Z</dcterms:modified>
</cp:coreProperties>
</file>