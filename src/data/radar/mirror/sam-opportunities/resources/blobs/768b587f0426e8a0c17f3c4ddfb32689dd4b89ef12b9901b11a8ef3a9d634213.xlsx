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vagov.sharepoint.com/sites/VACOOALC/SAC/AS5/OCCTelehealth/Workload Folders/01. IDIQ Requirements/FY26/Teleradiology IDIQ/01. Pre-Award/2 - Solicitation/Amendment 0002 Q&amp;A Response to Offerors/"/>
    </mc:Choice>
  </mc:AlternateContent>
  <xr:revisionPtr revIDLastSave="135" documentId="8_{0BD0272B-B92D-4DB6-8807-8722163D3890}" xr6:coauthVersionLast="47" xr6:coauthVersionMax="47" xr10:uidLastSave="{DF99DA21-ED1C-442C-B3D4-89D0799B5974}"/>
  <bookViews>
    <workbookView xWindow="-28920" yWindow="-1125" windowWidth="29040" windowHeight="15720" activeTab="1" xr2:uid="{5B67B0DF-DC99-4DCF-B9DD-C07E967B8C53}"/>
  </bookViews>
  <sheets>
    <sheet name="Instructions" sheetId="7" r:id="rId1"/>
    <sheet name="Price Schedu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41" i="2"/>
  <c r="G37" i="2"/>
  <c r="G28" i="2"/>
  <c r="G19" i="2"/>
  <c r="G18" i="2"/>
  <c r="G27" i="2"/>
  <c r="G36" i="2"/>
  <c r="G42" i="2"/>
  <c r="G43" i="2"/>
  <c r="G44" i="2"/>
  <c r="G8" i="2"/>
  <c r="C1" i="2"/>
  <c r="D15" i="2"/>
  <c r="G15" i="2" s="1"/>
  <c r="D16" i="2"/>
  <c r="D25" i="2" s="1"/>
  <c r="G25" i="2" s="1"/>
  <c r="D17" i="2"/>
  <c r="G17" i="2" s="1"/>
  <c r="D14" i="2"/>
  <c r="D23" i="2" s="1"/>
  <c r="G7" i="2"/>
  <c r="G6" i="2"/>
  <c r="G9" i="2" l="1"/>
  <c r="G10" i="2" s="1"/>
  <c r="G48" i="2" s="1"/>
  <c r="G45" i="2"/>
  <c r="G46" i="2" s="1"/>
  <c r="G16" i="2"/>
  <c r="D26" i="2"/>
  <c r="G26" i="2" s="1"/>
  <c r="D24" i="2"/>
  <c r="G24" i="2" s="1"/>
  <c r="G23" i="2"/>
  <c r="D32" i="2"/>
  <c r="G32" i="2" s="1"/>
  <c r="D34" i="2"/>
  <c r="G14" i="2"/>
  <c r="D33" i="2" l="1"/>
  <c r="G33" i="2" s="1"/>
  <c r="D35" i="2"/>
  <c r="G35" i="2" s="1"/>
  <c r="G34" i="2"/>
  <c r="D43" i="2"/>
  <c r="D41" i="2"/>
  <c r="D44" i="2" l="1"/>
  <c r="D42" i="2"/>
</calcChain>
</file>

<file path=xl/sharedStrings.xml><?xml version="1.0" encoding="utf-8"?>
<sst xmlns="http://schemas.openxmlformats.org/spreadsheetml/2006/main" count="163" uniqueCount="72">
  <si>
    <t>Veterans Health Administration (VHA)</t>
  </si>
  <si>
    <t>National Teleradiology Program (NTP)</t>
  </si>
  <si>
    <t>Teleradiology Physician Services</t>
  </si>
  <si>
    <t>Price Proposal</t>
  </si>
  <si>
    <t>Quoter Name:</t>
  </si>
  <si>
    <t>Instructions:</t>
  </si>
  <si>
    <t xml:space="preserve">1. The purpose of this Price Schedule is to provide a uniform format for Offerors to submit proposed pricing for [Requirement Name/Solicitation Number]. </t>
  </si>
  <si>
    <t>2, This schedule is organized by Ordering period. Offerors must provide pricing for all five (5) ordering periods as follows:</t>
  </si>
  <si>
    <t>Ordering Period 1: CLINs 0001-0004</t>
  </si>
  <si>
    <t>Ordering Period 2: CLINs 1001-1004</t>
  </si>
  <si>
    <t>Ordering Period 3: CLINs 2001-2004</t>
  </si>
  <si>
    <t>Ordering Period 4: CLINs 3001-3004</t>
  </si>
  <si>
    <t>Ordering Period 5: CLINs 4001-4004</t>
  </si>
  <si>
    <t>3. Formatting and Input</t>
  </si>
  <si>
    <t>Offerors shall enter their fully burdened, proposed unit prices only in the cells highlighted in Yellow.</t>
  </si>
  <si>
    <t>All other cells (CLINs, Descriptions, Estimated Quantities and Formulas) are locked. Offerors shall not attempt to modify the structure, quantities or formulas of this spreadsheet.</t>
  </si>
  <si>
    <t>Unit prices must be limited to two (2) decimal places.</t>
  </si>
  <si>
    <t>Offerors must provide a price for every CLIN. A blank entry may be considered a failure to propose on the entire requirement and may result in the proposal being excluded from further consideration.</t>
  </si>
  <si>
    <t>4. The Total Proposed Price is automatically calculated located at the bottom of the schedule. This will consist of the sum of all proposed prices for Ordering Periods 1 through 5.</t>
  </si>
  <si>
    <t>5. Offerors shall submit this Price Schedule in its original Excel format. Submissions in PDF or other non-editable formats may be rejected. The Excel file should be formatted as "Name_Price Schedule_Date"</t>
  </si>
  <si>
    <t>Offeror Name:</t>
  </si>
  <si>
    <t>Ordering Period 1</t>
  </si>
  <si>
    <t>CLIN</t>
  </si>
  <si>
    <t>Modality</t>
  </si>
  <si>
    <t>Description</t>
  </si>
  <si>
    <t>Quantity</t>
  </si>
  <si>
    <t>Unit</t>
  </si>
  <si>
    <t>Unit Cost</t>
  </si>
  <si>
    <t>Total CLIN Price</t>
  </si>
  <si>
    <t>0001</t>
  </si>
  <si>
    <t>DX</t>
  </si>
  <si>
    <t>Digital X-Rays</t>
  </si>
  <si>
    <t>EA</t>
  </si>
  <si>
    <t>0002</t>
  </si>
  <si>
    <t>CT</t>
  </si>
  <si>
    <t>CT Scans</t>
  </si>
  <si>
    <t>0003</t>
  </si>
  <si>
    <t>MR</t>
  </si>
  <si>
    <t>MR Scans</t>
  </si>
  <si>
    <t>0004</t>
  </si>
  <si>
    <t xml:space="preserve">US </t>
  </si>
  <si>
    <t>US Scans</t>
  </si>
  <si>
    <t>Total OP Price:</t>
  </si>
  <si>
    <t>Ordering Period 2</t>
  </si>
  <si>
    <t>1001</t>
  </si>
  <si>
    <t>1002</t>
  </si>
  <si>
    <t>1003</t>
  </si>
  <si>
    <t>1004</t>
  </si>
  <si>
    <t>Ordering Period 3</t>
  </si>
  <si>
    <t>2001</t>
  </si>
  <si>
    <t>2002</t>
  </si>
  <si>
    <t>2003</t>
  </si>
  <si>
    <t>2004</t>
  </si>
  <si>
    <t>Ordering Period 4</t>
  </si>
  <si>
    <t>3001</t>
  </si>
  <si>
    <t>3002</t>
  </si>
  <si>
    <t>3003</t>
  </si>
  <si>
    <t>3004</t>
  </si>
  <si>
    <t>Ordering Period 5</t>
  </si>
  <si>
    <t>4001</t>
  </si>
  <si>
    <t>4002</t>
  </si>
  <si>
    <t>4003</t>
  </si>
  <si>
    <t>4004</t>
  </si>
  <si>
    <t>Total Proposed Price</t>
  </si>
  <si>
    <t>0005</t>
  </si>
  <si>
    <t>4005</t>
  </si>
  <si>
    <t>3005</t>
  </si>
  <si>
    <t>1005</t>
  </si>
  <si>
    <t>2005</t>
  </si>
  <si>
    <t>LT</t>
  </si>
  <si>
    <t>SLA FEE 3%</t>
  </si>
  <si>
    <t>CRIZZ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</si>
</sst>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0" fillId="4" borderId="0" xfId="0" applyFill="1"/>
    <xf numFmtId="0" fontId="4" fillId="0" borderId="0" xfId="0" applyFont="1"/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 shrinkToFit="1"/>
    </xf>
    <xf numFmtId="4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7" fillId="0" borderId="2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7" fillId="0" borderId="0" xfId="1" applyNumberFormat="1" applyFont="1" applyBorder="1" applyAlignment="1">
      <alignment horizontal="center" vertical="center"/>
    </xf>
    <xf numFmtId="44" fontId="7" fillId="0" borderId="0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 shrinkToFit="1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0" borderId="0" xfId="0" applyFont="1"/>
    <xf numFmtId="0" fontId="8" fillId="0" borderId="0" xfId="0" applyFont="1"/>
    <xf numFmtId="164" fontId="7" fillId="0" borderId="0" xfId="1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right" vertical="center"/>
    </xf>
    <xf numFmtId="44" fontId="9" fillId="0" borderId="0" xfId="2" applyFont="1" applyFill="1" applyBorder="1" applyAlignment="1">
      <alignment horizontal="right" vertical="center"/>
    </xf>
    <xf numFmtId="44" fontId="7" fillId="0" borderId="2" xfId="1" applyNumberFormat="1" applyFont="1" applyFill="1" applyBorder="1" applyAlignment="1">
      <alignment horizontal="center" vertical="center"/>
    </xf>
    <xf numFmtId="44" fontId="0" fillId="0" borderId="2" xfId="0" applyNumberFormat="1" applyBorder="1"/>
    <xf numFmtId="44" fontId="9" fillId="0" borderId="0" xfId="2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0" fillId="0" borderId="6" xfId="0" applyNumberFormat="1" applyBorder="1"/>
    <xf numFmtId="0" fontId="0" fillId="0" borderId="1" xfId="0" applyBorder="1"/>
    <xf numFmtId="44" fontId="7" fillId="3" borderId="2" xfId="2" applyFont="1" applyFill="1" applyBorder="1" applyAlignment="1" applyProtection="1">
      <alignment horizontal="center" vertical="center"/>
      <protection locked="0"/>
    </xf>
    <xf numFmtId="44" fontId="7" fillId="0" borderId="6" xfId="1" applyNumberFormat="1" applyFont="1" applyFill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44" fontId="7" fillId="3" borderId="7" xfId="2" applyFont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9" fontId="7" fillId="4" borderId="1" xfId="2" applyNumberFormat="1" applyFont="1" applyFill="1" applyBorder="1" applyAlignment="1" applyProtection="1">
      <alignment horizontal="center" vertic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8F64-FE6A-4891-99EA-2B1A904814D8}">
  <dimension ref="A1:O29"/>
  <sheetViews>
    <sheetView showGridLines="0" topLeftCell="A5" zoomScaleNormal="100" workbookViewId="0">
      <selection activeCell="G7" sqref="G7:L7"/>
    </sheetView>
  </sheetViews>
  <sheetFormatPr defaultRowHeight="14.4" x14ac:dyDescent="0.3"/>
  <cols>
    <col min="7" max="7" width="6.88671875" customWidth="1"/>
    <col min="9" max="9" width="9.88671875" customWidth="1"/>
    <col min="10" max="10" width="8.6640625" customWidth="1"/>
  </cols>
  <sheetData>
    <row r="1" spans="1:15" ht="21" x14ac:dyDescent="0.4">
      <c r="A1" s="41" t="s">
        <v>0</v>
      </c>
      <c r="B1" s="42"/>
      <c r="C1" s="42"/>
      <c r="D1" s="42"/>
      <c r="E1" s="42"/>
      <c r="F1" s="43"/>
    </row>
    <row r="2" spans="1:15" ht="21" x14ac:dyDescent="0.4">
      <c r="A2" s="44" t="s">
        <v>1</v>
      </c>
      <c r="B2" s="45"/>
      <c r="C2" s="45"/>
      <c r="D2" s="45"/>
      <c r="E2" s="45"/>
      <c r="F2" s="46"/>
      <c r="J2" s="16"/>
      <c r="K2" s="16"/>
      <c r="L2" s="16"/>
      <c r="M2" s="16"/>
      <c r="N2" s="16"/>
      <c r="O2" s="16"/>
    </row>
    <row r="3" spans="1:15" ht="21" x14ac:dyDescent="0.4">
      <c r="A3" s="44" t="s">
        <v>2</v>
      </c>
      <c r="B3" s="45"/>
      <c r="C3" s="45"/>
      <c r="D3" s="45"/>
      <c r="E3" s="45"/>
      <c r="F3" s="46"/>
      <c r="J3" s="16"/>
      <c r="K3" s="16"/>
      <c r="L3" s="16"/>
      <c r="M3" s="16"/>
      <c r="N3" s="16"/>
      <c r="O3" s="16"/>
    </row>
    <row r="4" spans="1:15" ht="21.6" thickBot="1" x14ac:dyDescent="0.45">
      <c r="A4" s="47" t="s">
        <v>3</v>
      </c>
      <c r="B4" s="48"/>
      <c r="C4" s="48"/>
      <c r="D4" s="48"/>
      <c r="E4" s="48"/>
      <c r="F4" s="49"/>
      <c r="J4" s="16"/>
      <c r="K4" s="16"/>
      <c r="L4" s="16"/>
      <c r="M4" s="16"/>
      <c r="N4" s="16"/>
      <c r="O4" s="16"/>
    </row>
    <row r="5" spans="1:15" ht="21" customHeight="1" x14ac:dyDescent="0.4">
      <c r="J5" s="16"/>
      <c r="K5" s="16"/>
      <c r="L5" s="16"/>
      <c r="M5" s="16"/>
      <c r="N5" s="16"/>
      <c r="O5" s="16"/>
    </row>
    <row r="6" spans="1:15" ht="15" thickBot="1" x14ac:dyDescent="0.35"/>
    <row r="7" spans="1:15" ht="21.6" thickBot="1" x14ac:dyDescent="0.45">
      <c r="E7" s="16" t="s">
        <v>4</v>
      </c>
      <c r="F7" s="16"/>
      <c r="G7" s="38" t="s">
        <v>71</v>
      </c>
      <c r="H7" s="39"/>
      <c r="I7" s="39"/>
      <c r="J7" s="39"/>
      <c r="K7" s="39"/>
      <c r="L7" s="40"/>
    </row>
    <row r="10" spans="1:15" ht="21" x14ac:dyDescent="0.4">
      <c r="A10" s="16" t="s">
        <v>5</v>
      </c>
    </row>
    <row r="12" spans="1:15" ht="15.6" x14ac:dyDescent="0.3">
      <c r="A12" s="17" t="s">
        <v>6</v>
      </c>
      <c r="B12" s="2"/>
      <c r="C12" s="2"/>
      <c r="D12" s="2"/>
      <c r="E12" s="2"/>
    </row>
    <row r="13" spans="1:15" ht="15.6" x14ac:dyDescent="0.3">
      <c r="A13" s="2"/>
      <c r="B13" s="2"/>
      <c r="C13" s="2"/>
      <c r="D13" s="2"/>
      <c r="E13" s="2"/>
    </row>
    <row r="14" spans="1:15" ht="15.6" x14ac:dyDescent="0.3">
      <c r="A14" s="2" t="s">
        <v>7</v>
      </c>
      <c r="B14" s="2"/>
      <c r="C14" s="2"/>
      <c r="D14" s="2"/>
      <c r="E14" s="2"/>
    </row>
    <row r="15" spans="1:15" ht="15.6" x14ac:dyDescent="0.3">
      <c r="A15" s="2"/>
      <c r="B15" s="2" t="s">
        <v>8</v>
      </c>
      <c r="C15" s="2"/>
      <c r="D15" s="2"/>
      <c r="E15" s="2"/>
    </row>
    <row r="16" spans="1:15" ht="15.6" x14ac:dyDescent="0.3">
      <c r="A16" s="2"/>
      <c r="B16" s="2" t="s">
        <v>9</v>
      </c>
      <c r="C16" s="2"/>
      <c r="D16" s="2"/>
      <c r="E16" s="2"/>
    </row>
    <row r="17" spans="1:5" ht="15.6" x14ac:dyDescent="0.3">
      <c r="A17" s="2"/>
      <c r="B17" s="2" t="s">
        <v>10</v>
      </c>
      <c r="C17" s="2"/>
      <c r="D17" s="2"/>
      <c r="E17" s="2"/>
    </row>
    <row r="18" spans="1:5" ht="15.6" x14ac:dyDescent="0.3">
      <c r="A18" s="2"/>
      <c r="B18" s="2" t="s">
        <v>11</v>
      </c>
      <c r="C18" s="2"/>
      <c r="D18" s="2"/>
      <c r="E18" s="2"/>
    </row>
    <row r="19" spans="1:5" ht="15.6" x14ac:dyDescent="0.3">
      <c r="A19" s="2"/>
      <c r="B19" s="2" t="s">
        <v>12</v>
      </c>
      <c r="C19" s="2"/>
      <c r="D19" s="2"/>
      <c r="E19" s="2"/>
    </row>
    <row r="20" spans="1:5" ht="15.6" x14ac:dyDescent="0.3">
      <c r="A20" s="2"/>
      <c r="B20" s="2"/>
      <c r="C20" s="2"/>
      <c r="D20" s="2"/>
      <c r="E20" s="2"/>
    </row>
    <row r="21" spans="1:5" x14ac:dyDescent="0.3">
      <c r="A21" t="s">
        <v>13</v>
      </c>
    </row>
    <row r="22" spans="1:5" ht="15.6" x14ac:dyDescent="0.3">
      <c r="B22" s="2" t="s">
        <v>14</v>
      </c>
    </row>
    <row r="23" spans="1:5" ht="15.6" x14ac:dyDescent="0.3">
      <c r="B23" s="2" t="s">
        <v>15</v>
      </c>
    </row>
    <row r="24" spans="1:5" ht="15.6" x14ac:dyDescent="0.3">
      <c r="B24" s="2" t="s">
        <v>16</v>
      </c>
    </row>
    <row r="25" spans="1:5" ht="15.6" x14ac:dyDescent="0.3">
      <c r="B25" s="2" t="s">
        <v>17</v>
      </c>
    </row>
    <row r="27" spans="1:5" x14ac:dyDescent="0.3">
      <c r="A27" t="s">
        <v>18</v>
      </c>
    </row>
    <row r="29" spans="1:5" x14ac:dyDescent="0.3">
      <c r="A29" t="s">
        <v>19</v>
      </c>
    </row>
  </sheetData>
  <sheetProtection algorithmName="SHA-512" hashValue="GC4TKFpCWyPyPEUwuRw8dKMqhJGj+W/+pUdxQhbtwq4AvZQkAHrj8kLHoL0ef8irzYo90NHNXN7m9MTGrACyuA==" saltValue="vG/7WQbwRRRIF+5fHECylA==" spinCount="100000" sheet="1" objects="1" scenarios="1"/>
  <mergeCells count="5">
    <mergeCell ref="G7:L7"/>
    <mergeCell ref="A1:F1"/>
    <mergeCell ref="A2:F2"/>
    <mergeCell ref="A3:F3"/>
    <mergeCell ref="A4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E696-7779-447F-A964-DA5460A2020A}">
  <dimension ref="A1:W48"/>
  <sheetViews>
    <sheetView showGridLines="0" tabSelected="1" showRuler="0" zoomScale="110" zoomScaleNormal="110" zoomScalePageLayoutView="110" workbookViewId="0">
      <selection activeCell="F8" sqref="F8"/>
    </sheetView>
  </sheetViews>
  <sheetFormatPr defaultRowHeight="14.4" x14ac:dyDescent="0.3"/>
  <cols>
    <col min="1" max="1" width="8.44140625" customWidth="1"/>
    <col min="2" max="2" width="9.44140625" customWidth="1"/>
    <col min="3" max="3" width="14.88671875" customWidth="1"/>
    <col min="4" max="4" width="12.109375" customWidth="1"/>
    <col min="5" max="5" width="7.109375" customWidth="1"/>
    <col min="6" max="6" width="17.5546875" customWidth="1"/>
    <col min="7" max="7" width="20.5546875" customWidth="1"/>
    <col min="9" max="9" width="13.109375" customWidth="1"/>
    <col min="10" max="10" width="18" customWidth="1"/>
  </cols>
  <sheetData>
    <row r="1" spans="1:7" x14ac:dyDescent="0.3">
      <c r="A1" s="52" t="s">
        <v>20</v>
      </c>
      <c r="B1" s="52"/>
      <c r="C1" s="28" t="str">
        <f>Instructions!G7</f>
        <v>CRIZZ</v>
      </c>
    </row>
    <row r="2" spans="1:7" ht="15" thickBot="1" x14ac:dyDescent="0.35"/>
    <row r="3" spans="1:7" ht="14.4" customHeight="1" thickBot="1" x14ac:dyDescent="0.35">
      <c r="A3" s="50" t="s">
        <v>21</v>
      </c>
      <c r="B3" s="53"/>
      <c r="C3" s="53"/>
      <c r="D3" s="53"/>
      <c r="E3" s="53"/>
      <c r="F3" s="53"/>
      <c r="G3" s="54"/>
    </row>
    <row r="4" spans="1:7" ht="14.4" customHeight="1" thickBot="1" x14ac:dyDescent="0.35">
      <c r="A4" s="3" t="s">
        <v>22</v>
      </c>
      <c r="B4" s="3" t="s">
        <v>23</v>
      </c>
      <c r="C4" s="3" t="s">
        <v>24</v>
      </c>
      <c r="D4" s="4" t="s">
        <v>25</v>
      </c>
      <c r="E4" s="4" t="s">
        <v>26</v>
      </c>
      <c r="F4" s="4" t="s">
        <v>27</v>
      </c>
      <c r="G4" s="4" t="s">
        <v>28</v>
      </c>
    </row>
    <row r="5" spans="1:7" ht="14.4" customHeight="1" thickBot="1" x14ac:dyDescent="0.35">
      <c r="A5" s="14" t="s">
        <v>29</v>
      </c>
      <c r="B5" s="25" t="s">
        <v>30</v>
      </c>
      <c r="C5" s="25" t="s">
        <v>31</v>
      </c>
      <c r="D5" s="7">
        <v>71000</v>
      </c>
      <c r="E5" s="7" t="s">
        <v>32</v>
      </c>
      <c r="F5" s="29"/>
      <c r="G5" s="22">
        <f>D5*F5</f>
        <v>0</v>
      </c>
    </row>
    <row r="6" spans="1:7" ht="14.4" customHeight="1" thickBot="1" x14ac:dyDescent="0.35">
      <c r="A6" s="14" t="s">
        <v>33</v>
      </c>
      <c r="B6" s="25" t="s">
        <v>34</v>
      </c>
      <c r="C6" s="25" t="s">
        <v>35</v>
      </c>
      <c r="D6" s="7">
        <v>51000</v>
      </c>
      <c r="E6" s="7" t="s">
        <v>32</v>
      </c>
      <c r="F6" s="29"/>
      <c r="G6" s="22">
        <f>D6*F6</f>
        <v>0</v>
      </c>
    </row>
    <row r="7" spans="1:7" ht="14.4" customHeight="1" thickBot="1" x14ac:dyDescent="0.35">
      <c r="A7" s="14" t="s">
        <v>36</v>
      </c>
      <c r="B7" s="25" t="s">
        <v>37</v>
      </c>
      <c r="C7" s="25" t="s">
        <v>38</v>
      </c>
      <c r="D7" s="7">
        <v>5000</v>
      </c>
      <c r="E7" s="7" t="s">
        <v>32</v>
      </c>
      <c r="F7" s="29"/>
      <c r="G7" s="22">
        <f>D7*F7</f>
        <v>0</v>
      </c>
    </row>
    <row r="8" spans="1:7" ht="14.4" customHeight="1" thickBot="1" x14ac:dyDescent="0.35">
      <c r="A8" s="31" t="s">
        <v>39</v>
      </c>
      <c r="B8" s="32" t="s">
        <v>40</v>
      </c>
      <c r="C8" s="32" t="s">
        <v>41</v>
      </c>
      <c r="D8" s="33">
        <v>11000</v>
      </c>
      <c r="E8" s="33" t="s">
        <v>32</v>
      </c>
      <c r="F8" s="34"/>
      <c r="G8" s="22">
        <f>D8*F8</f>
        <v>0</v>
      </c>
    </row>
    <row r="9" spans="1:7" ht="14.4" customHeight="1" thickBot="1" x14ac:dyDescent="0.35">
      <c r="A9" s="35" t="s">
        <v>64</v>
      </c>
      <c r="B9" s="36"/>
      <c r="C9" s="36" t="s">
        <v>70</v>
      </c>
      <c r="D9" s="37">
        <v>1</v>
      </c>
      <c r="E9" s="37" t="s">
        <v>69</v>
      </c>
      <c r="F9" s="55"/>
      <c r="G9" s="30">
        <f>SUM(G5:G8)*0.03</f>
        <v>0</v>
      </c>
    </row>
    <row r="10" spans="1:7" ht="14.4" customHeight="1" thickBot="1" x14ac:dyDescent="0.35">
      <c r="A10" s="15"/>
      <c r="B10" s="26"/>
      <c r="C10" s="26"/>
      <c r="D10" s="9"/>
      <c r="E10" s="9"/>
      <c r="F10" s="24" t="s">
        <v>42</v>
      </c>
      <c r="G10" s="22">
        <f>SUM(G5:G9)</f>
        <v>0</v>
      </c>
    </row>
    <row r="11" spans="1:7" ht="14.4" customHeight="1" thickBot="1" x14ac:dyDescent="0.35">
      <c r="A11" s="10"/>
      <c r="B11" s="26"/>
      <c r="C11" s="26"/>
      <c r="D11" s="11"/>
      <c r="E11" s="11"/>
      <c r="F11" s="11"/>
      <c r="G11" s="26"/>
    </row>
    <row r="12" spans="1:7" ht="14.4" customHeight="1" thickBot="1" x14ac:dyDescent="0.35">
      <c r="A12" s="50" t="s">
        <v>43</v>
      </c>
      <c r="B12" s="53"/>
      <c r="C12" s="53"/>
      <c r="D12" s="53"/>
      <c r="E12" s="53"/>
      <c r="F12" s="53"/>
      <c r="G12" s="54"/>
    </row>
    <row r="13" spans="1:7" ht="14.4" customHeight="1" thickBot="1" x14ac:dyDescent="0.35">
      <c r="A13" s="12" t="s">
        <v>22</v>
      </c>
      <c r="B13" s="12" t="s">
        <v>23</v>
      </c>
      <c r="C13" s="12" t="s">
        <v>24</v>
      </c>
      <c r="D13" s="4" t="s">
        <v>25</v>
      </c>
      <c r="E13" s="13" t="s">
        <v>26</v>
      </c>
      <c r="F13" s="13" t="s">
        <v>27</v>
      </c>
      <c r="G13" s="13" t="s">
        <v>28</v>
      </c>
    </row>
    <row r="14" spans="1:7" ht="14.4" customHeight="1" thickBot="1" x14ac:dyDescent="0.35">
      <c r="A14" s="14" t="s">
        <v>44</v>
      </c>
      <c r="B14" s="25" t="s">
        <v>30</v>
      </c>
      <c r="C14" s="25" t="s">
        <v>31</v>
      </c>
      <c r="D14" s="7">
        <f>D5*1.05</f>
        <v>74550</v>
      </c>
      <c r="E14" s="7" t="s">
        <v>32</v>
      </c>
      <c r="F14" s="29"/>
      <c r="G14" s="22">
        <f>D14*F14</f>
        <v>0</v>
      </c>
    </row>
    <row r="15" spans="1:7" ht="14.4" customHeight="1" thickBot="1" x14ac:dyDescent="0.35">
      <c r="A15" s="14" t="s">
        <v>45</v>
      </c>
      <c r="B15" s="25" t="s">
        <v>34</v>
      </c>
      <c r="C15" s="25" t="s">
        <v>35</v>
      </c>
      <c r="D15" s="7">
        <f>D6*1.05</f>
        <v>53550</v>
      </c>
      <c r="E15" s="7" t="s">
        <v>32</v>
      </c>
      <c r="F15" s="29"/>
      <c r="G15" s="22">
        <f>D15*F15</f>
        <v>0</v>
      </c>
    </row>
    <row r="16" spans="1:7" ht="14.4" customHeight="1" thickBot="1" x14ac:dyDescent="0.35">
      <c r="A16" s="14" t="s">
        <v>46</v>
      </c>
      <c r="B16" s="25" t="s">
        <v>37</v>
      </c>
      <c r="C16" s="25" t="s">
        <v>38</v>
      </c>
      <c r="D16" s="7">
        <f>D7*1.05</f>
        <v>5250</v>
      </c>
      <c r="E16" s="7" t="s">
        <v>32</v>
      </c>
      <c r="F16" s="29"/>
      <c r="G16" s="22">
        <f>D16*F16</f>
        <v>0</v>
      </c>
    </row>
    <row r="17" spans="1:23" ht="14.4" customHeight="1" thickBot="1" x14ac:dyDescent="0.35">
      <c r="A17" s="14" t="s">
        <v>47</v>
      </c>
      <c r="B17" s="25" t="s">
        <v>40</v>
      </c>
      <c r="C17" s="25" t="s">
        <v>41</v>
      </c>
      <c r="D17" s="7">
        <f>D8*1.05</f>
        <v>11550</v>
      </c>
      <c r="E17" s="7" t="s">
        <v>32</v>
      </c>
      <c r="F17" s="29"/>
      <c r="G17" s="22">
        <f>D17*F17</f>
        <v>0</v>
      </c>
    </row>
    <row r="18" spans="1:23" ht="14.4" customHeight="1" thickBot="1" x14ac:dyDescent="0.35">
      <c r="A18" s="35" t="s">
        <v>67</v>
      </c>
      <c r="B18" s="36"/>
      <c r="C18" s="36" t="s">
        <v>70</v>
      </c>
      <c r="D18" s="37">
        <v>1</v>
      </c>
      <c r="E18" s="37" t="s">
        <v>69</v>
      </c>
      <c r="F18" s="55"/>
      <c r="G18" s="30">
        <f>SUM(G14:G17)*0.03</f>
        <v>0</v>
      </c>
    </row>
    <row r="19" spans="1:23" ht="14.4" customHeight="1" thickBot="1" x14ac:dyDescent="0.35">
      <c r="A19" s="15"/>
      <c r="B19" s="26"/>
      <c r="C19" s="26"/>
      <c r="D19" s="9"/>
      <c r="E19" s="9"/>
      <c r="F19" s="24" t="s">
        <v>42</v>
      </c>
      <c r="G19" s="22">
        <f>SUM(G14:G18)</f>
        <v>0</v>
      </c>
    </row>
    <row r="20" spans="1:23" ht="14.4" customHeight="1" thickBot="1" x14ac:dyDescent="0.35">
      <c r="A20" s="26"/>
      <c r="B20" s="26"/>
      <c r="C20" s="26"/>
      <c r="D20" s="26"/>
      <c r="E20" s="26"/>
      <c r="F20" s="26"/>
      <c r="G20" s="26"/>
    </row>
    <row r="21" spans="1:23" ht="14.4" customHeight="1" thickBot="1" x14ac:dyDescent="0.35">
      <c r="A21" s="50" t="s">
        <v>48</v>
      </c>
      <c r="B21" s="53"/>
      <c r="C21" s="53"/>
      <c r="D21" s="53"/>
      <c r="E21" s="53"/>
      <c r="F21" s="53"/>
      <c r="G21" s="54"/>
    </row>
    <row r="22" spans="1:23" ht="14.4" customHeight="1" thickBot="1" x14ac:dyDescent="0.35">
      <c r="A22" s="3" t="s">
        <v>22</v>
      </c>
      <c r="B22" s="3" t="s">
        <v>23</v>
      </c>
      <c r="C22" s="3" t="s">
        <v>24</v>
      </c>
      <c r="D22" s="4" t="s">
        <v>25</v>
      </c>
      <c r="E22" s="4" t="s">
        <v>26</v>
      </c>
      <c r="F22" s="4" t="s">
        <v>27</v>
      </c>
      <c r="G22" s="4" t="s">
        <v>28</v>
      </c>
    </row>
    <row r="23" spans="1:23" ht="14.4" customHeight="1" thickBot="1" x14ac:dyDescent="0.35">
      <c r="A23" s="14" t="s">
        <v>49</v>
      </c>
      <c r="B23" s="25" t="s">
        <v>30</v>
      </c>
      <c r="C23" s="25" t="s">
        <v>31</v>
      </c>
      <c r="D23" s="7">
        <f>D14*1.05</f>
        <v>78277.5</v>
      </c>
      <c r="E23" s="7" t="s">
        <v>32</v>
      </c>
      <c r="F23" s="29"/>
      <c r="G23" s="22">
        <f>D23*F23</f>
        <v>0</v>
      </c>
    </row>
    <row r="24" spans="1:23" ht="14.4" customHeight="1" thickBot="1" x14ac:dyDescent="0.35">
      <c r="A24" s="14" t="s">
        <v>50</v>
      </c>
      <c r="B24" s="25" t="s">
        <v>34</v>
      </c>
      <c r="C24" s="25" t="s">
        <v>35</v>
      </c>
      <c r="D24" s="7">
        <f>D15*1.05</f>
        <v>56227.5</v>
      </c>
      <c r="E24" s="7" t="s">
        <v>32</v>
      </c>
      <c r="F24" s="29"/>
      <c r="G24" s="22">
        <f>D24*F24</f>
        <v>0</v>
      </c>
    </row>
    <row r="25" spans="1:23" ht="14.4" customHeight="1" thickBot="1" x14ac:dyDescent="0.35">
      <c r="A25" s="14" t="s">
        <v>51</v>
      </c>
      <c r="B25" s="25" t="s">
        <v>37</v>
      </c>
      <c r="C25" s="25" t="s">
        <v>38</v>
      </c>
      <c r="D25" s="7">
        <f>D16*1.05</f>
        <v>5512.5</v>
      </c>
      <c r="E25" s="7" t="s">
        <v>32</v>
      </c>
      <c r="F25" s="29"/>
      <c r="G25" s="22">
        <f>D25*F25</f>
        <v>0</v>
      </c>
    </row>
    <row r="26" spans="1:23" ht="14.4" customHeight="1" thickBot="1" x14ac:dyDescent="0.35">
      <c r="A26" s="14" t="s">
        <v>52</v>
      </c>
      <c r="B26" s="25" t="s">
        <v>40</v>
      </c>
      <c r="C26" s="25" t="s">
        <v>41</v>
      </c>
      <c r="D26" s="7">
        <f>D17*1.05</f>
        <v>12127.5</v>
      </c>
      <c r="E26" s="7" t="s">
        <v>32</v>
      </c>
      <c r="F26" s="29"/>
      <c r="G26" s="22">
        <f>D26*F26</f>
        <v>0</v>
      </c>
    </row>
    <row r="27" spans="1:23" ht="14.4" customHeight="1" thickBot="1" x14ac:dyDescent="0.35">
      <c r="A27" s="35" t="s">
        <v>68</v>
      </c>
      <c r="B27" s="36"/>
      <c r="C27" s="36" t="s">
        <v>70</v>
      </c>
      <c r="D27" s="37">
        <v>1</v>
      </c>
      <c r="E27" s="37" t="s">
        <v>69</v>
      </c>
      <c r="F27" s="55"/>
      <c r="G27" s="22">
        <f>SUM(G23:G26)</f>
        <v>0</v>
      </c>
    </row>
    <row r="28" spans="1:23" ht="14.4" customHeight="1" thickBot="1" x14ac:dyDescent="0.35">
      <c r="A28" s="15"/>
      <c r="B28" s="26"/>
      <c r="C28" s="26"/>
      <c r="D28" s="18"/>
      <c r="E28" s="18"/>
      <c r="F28" s="24" t="s">
        <v>42</v>
      </c>
      <c r="G28" s="22">
        <f>SUM(G23:G27)</f>
        <v>0</v>
      </c>
    </row>
    <row r="29" spans="1:23" ht="14.4" customHeight="1" thickBot="1" x14ac:dyDescent="0.35">
      <c r="A29" s="26"/>
      <c r="B29" s="26"/>
      <c r="C29" s="26"/>
      <c r="D29" s="26"/>
      <c r="E29" s="26"/>
      <c r="F29" s="26"/>
      <c r="G29" s="26"/>
    </row>
    <row r="30" spans="1:23" ht="14.4" customHeight="1" thickBot="1" x14ac:dyDescent="0.35">
      <c r="A30" s="50" t="s">
        <v>53</v>
      </c>
      <c r="B30" s="53"/>
      <c r="C30" s="53"/>
      <c r="D30" s="53"/>
      <c r="E30" s="53"/>
      <c r="F30" s="53"/>
      <c r="G30" s="54"/>
    </row>
    <row r="31" spans="1:23" s="1" customFormat="1" ht="14.4" customHeight="1" thickBot="1" x14ac:dyDescent="0.35">
      <c r="A31" s="3" t="s">
        <v>22</v>
      </c>
      <c r="B31" s="3" t="s">
        <v>23</v>
      </c>
      <c r="C31" s="3" t="s">
        <v>24</v>
      </c>
      <c r="D31" s="4" t="s">
        <v>25</v>
      </c>
      <c r="E31" s="4" t="s">
        <v>26</v>
      </c>
      <c r="F31" s="4" t="s">
        <v>27</v>
      </c>
      <c r="G31" s="4" t="s">
        <v>28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ht="14.4" customHeight="1" thickBot="1" x14ac:dyDescent="0.35">
      <c r="A32" s="5" t="s">
        <v>54</v>
      </c>
      <c r="B32" s="6" t="s">
        <v>30</v>
      </c>
      <c r="C32" s="6" t="s">
        <v>31</v>
      </c>
      <c r="D32" s="7">
        <f>D23*1.05</f>
        <v>82191.375</v>
      </c>
      <c r="E32" s="7" t="s">
        <v>32</v>
      </c>
      <c r="F32" s="29"/>
      <c r="G32" s="22">
        <f>D32*F32</f>
        <v>0</v>
      </c>
    </row>
    <row r="33" spans="1:21" ht="14.4" customHeight="1" thickBot="1" x14ac:dyDescent="0.35">
      <c r="A33" s="5" t="s">
        <v>55</v>
      </c>
      <c r="B33" s="6" t="s">
        <v>34</v>
      </c>
      <c r="C33" s="6" t="s">
        <v>35</v>
      </c>
      <c r="D33" s="7">
        <f>D24*1.05</f>
        <v>59038.875</v>
      </c>
      <c r="E33" s="7" t="s">
        <v>32</v>
      </c>
      <c r="F33" s="29"/>
      <c r="G33" s="22">
        <f>D33*F33</f>
        <v>0</v>
      </c>
    </row>
    <row r="34" spans="1:21" ht="14.4" customHeight="1" thickBot="1" x14ac:dyDescent="0.35">
      <c r="A34" s="5" t="s">
        <v>56</v>
      </c>
      <c r="B34" s="6" t="s">
        <v>37</v>
      </c>
      <c r="C34" s="6" t="s">
        <v>38</v>
      </c>
      <c r="D34" s="7">
        <f>D25*1.05</f>
        <v>5788.125</v>
      </c>
      <c r="E34" s="7" t="s">
        <v>32</v>
      </c>
      <c r="F34" s="29"/>
      <c r="G34" s="22">
        <f>D34*F34</f>
        <v>0</v>
      </c>
    </row>
    <row r="35" spans="1:21" ht="14.4" customHeight="1" thickBot="1" x14ac:dyDescent="0.35">
      <c r="A35" s="5" t="s">
        <v>57</v>
      </c>
      <c r="B35" s="6" t="s">
        <v>40</v>
      </c>
      <c r="C35" s="6" t="s">
        <v>41</v>
      </c>
      <c r="D35" s="7">
        <f>D26*1.05</f>
        <v>12733.875</v>
      </c>
      <c r="E35" s="7" t="s">
        <v>32</v>
      </c>
      <c r="F35" s="29"/>
      <c r="G35" s="22">
        <f>D35*F35</f>
        <v>0</v>
      </c>
    </row>
    <row r="36" spans="1:21" ht="14.4" customHeight="1" thickBot="1" x14ac:dyDescent="0.35">
      <c r="A36" s="35" t="s">
        <v>66</v>
      </c>
      <c r="B36" s="36"/>
      <c r="C36" s="36" t="s">
        <v>70</v>
      </c>
      <c r="D36" s="37">
        <v>1</v>
      </c>
      <c r="E36" s="37" t="s">
        <v>69</v>
      </c>
      <c r="F36" s="55"/>
      <c r="G36" s="22">
        <f>SUM(G32:G35)*0.03</f>
        <v>0</v>
      </c>
    </row>
    <row r="37" spans="1:21" ht="14.4" customHeight="1" thickBot="1" x14ac:dyDescent="0.35">
      <c r="A37" s="19"/>
      <c r="B37" s="8"/>
      <c r="C37" s="8"/>
      <c r="D37" s="18"/>
      <c r="E37" s="18"/>
      <c r="F37" s="21" t="s">
        <v>42</v>
      </c>
      <c r="G37" s="22">
        <f>SUM(G32:G36)</f>
        <v>0</v>
      </c>
    </row>
    <row r="38" spans="1:21" ht="14.4" customHeight="1" thickBot="1" x14ac:dyDescent="0.35">
      <c r="A38" s="2"/>
      <c r="B38" s="2"/>
      <c r="C38" s="2"/>
      <c r="D38" s="2"/>
      <c r="E38" s="2"/>
      <c r="F38" s="2"/>
      <c r="G38" s="2"/>
    </row>
    <row r="39" spans="1:21" ht="14.4" customHeight="1" thickBot="1" x14ac:dyDescent="0.35">
      <c r="A39" s="50" t="s">
        <v>58</v>
      </c>
      <c r="B39" s="53"/>
      <c r="C39" s="53"/>
      <c r="D39" s="53"/>
      <c r="E39" s="53"/>
      <c r="F39" s="53"/>
      <c r="G39" s="54"/>
    </row>
    <row r="40" spans="1:21" s="1" customFormat="1" ht="14.4" customHeight="1" thickBot="1" x14ac:dyDescent="0.35">
      <c r="A40" s="3" t="s">
        <v>22</v>
      </c>
      <c r="B40" s="3" t="s">
        <v>23</v>
      </c>
      <c r="C40" s="3" t="s">
        <v>24</v>
      </c>
      <c r="D40" s="4" t="s">
        <v>25</v>
      </c>
      <c r="E40" s="4" t="s">
        <v>26</v>
      </c>
      <c r="F40" s="4" t="s">
        <v>27</v>
      </c>
      <c r="G40" s="4" t="s">
        <v>28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ht="14.4" customHeight="1" thickBot="1" x14ac:dyDescent="0.35">
      <c r="A41" s="5" t="s">
        <v>59</v>
      </c>
      <c r="B41" s="6" t="s">
        <v>30</v>
      </c>
      <c r="C41" s="6" t="s">
        <v>31</v>
      </c>
      <c r="D41" s="7">
        <f>D32*1.05</f>
        <v>86300.943750000006</v>
      </c>
      <c r="E41" s="7" t="s">
        <v>32</v>
      </c>
      <c r="F41" s="29"/>
      <c r="G41" s="22">
        <f>D41*F41</f>
        <v>0</v>
      </c>
    </row>
    <row r="42" spans="1:21" ht="14.4" customHeight="1" thickBot="1" x14ac:dyDescent="0.35">
      <c r="A42" s="5" t="s">
        <v>60</v>
      </c>
      <c r="B42" s="6" t="s">
        <v>34</v>
      </c>
      <c r="C42" s="6" t="s">
        <v>35</v>
      </c>
      <c r="D42" s="7">
        <f t="shared" ref="D42:D44" si="0">D33*1.05</f>
        <v>61990.818750000006</v>
      </c>
      <c r="E42" s="7" t="s">
        <v>32</v>
      </c>
      <c r="F42" s="29"/>
      <c r="G42" s="22">
        <f>D42*F42</f>
        <v>0</v>
      </c>
    </row>
    <row r="43" spans="1:21" ht="14.4" customHeight="1" thickBot="1" x14ac:dyDescent="0.35">
      <c r="A43" s="5" t="s">
        <v>61</v>
      </c>
      <c r="B43" s="6" t="s">
        <v>37</v>
      </c>
      <c r="C43" s="6" t="s">
        <v>38</v>
      </c>
      <c r="D43" s="7">
        <f t="shared" si="0"/>
        <v>6077.53125</v>
      </c>
      <c r="E43" s="7" t="s">
        <v>32</v>
      </c>
      <c r="F43" s="29"/>
      <c r="G43" s="22">
        <f>D43*F43</f>
        <v>0</v>
      </c>
    </row>
    <row r="44" spans="1:21" ht="14.4" customHeight="1" thickBot="1" x14ac:dyDescent="0.35">
      <c r="A44" s="5" t="s">
        <v>62</v>
      </c>
      <c r="B44" s="6" t="s">
        <v>40</v>
      </c>
      <c r="C44" s="6" t="s">
        <v>41</v>
      </c>
      <c r="D44" s="7">
        <f t="shared" si="0"/>
        <v>13370.56875</v>
      </c>
      <c r="E44" s="7" t="s">
        <v>32</v>
      </c>
      <c r="F44" s="29"/>
      <c r="G44" s="22">
        <f>D44*F44</f>
        <v>0</v>
      </c>
    </row>
    <row r="45" spans="1:21" ht="14.4" customHeight="1" thickBot="1" x14ac:dyDescent="0.35">
      <c r="A45" s="35" t="s">
        <v>65</v>
      </c>
      <c r="B45" s="36"/>
      <c r="C45" s="36" t="s">
        <v>70</v>
      </c>
      <c r="D45" s="37">
        <v>1</v>
      </c>
      <c r="E45" s="37" t="s">
        <v>69</v>
      </c>
      <c r="F45" s="55"/>
      <c r="G45" s="22">
        <f>SUM(G41:G44)*0.03</f>
        <v>0</v>
      </c>
    </row>
    <row r="46" spans="1:21" ht="16.2" thickBot="1" x14ac:dyDescent="0.35">
      <c r="F46" s="20" t="s">
        <v>42</v>
      </c>
      <c r="G46" s="23">
        <f>SUM(G41:G45)</f>
        <v>0</v>
      </c>
    </row>
    <row r="47" spans="1:21" ht="15" thickBot="1" x14ac:dyDescent="0.35"/>
    <row r="48" spans="1:21" ht="16.2" thickBot="1" x14ac:dyDescent="0.35">
      <c r="A48" s="50" t="s">
        <v>63</v>
      </c>
      <c r="B48" s="51"/>
      <c r="C48" s="51"/>
      <c r="D48" s="51"/>
      <c r="E48" s="51"/>
      <c r="F48" s="51"/>
      <c r="G48" s="27">
        <f>SUM(G10,G19,G28,G37,G46,)</f>
        <v>0</v>
      </c>
    </row>
  </sheetData>
  <sheetProtection sheet="1" objects="1" scenarios="1" selectLockedCells="1"/>
  <mergeCells count="7">
    <mergeCell ref="A48:F48"/>
    <mergeCell ref="A1:B1"/>
    <mergeCell ref="A3:G3"/>
    <mergeCell ref="A12:G12"/>
    <mergeCell ref="A21:G21"/>
    <mergeCell ref="A30:G30"/>
    <mergeCell ref="A39:G39"/>
  </mergeCells>
  <pageMargins left="0.25" right="0.25" top="0.75" bottom="0.75" header="0.3" footer="0.3"/>
  <pageSetup orientation="portrait" r:id="rId1"/>
  <headerFooter>
    <oddHeader>&amp;LNational Teleradiology Program (NTP)
Teleradiology Physician Services&amp;CAttachment C - Price Model&amp;RSolicitation Number # 36C10G26R0015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ce0646e-66c3-4c0c-93b0-1fa019f3f905" xsi:nil="true"/>
    <_ip_UnifiedCompliancePolicyProperties xmlns="http://schemas.microsoft.com/sharepoint/v3" xsi:nil="true"/>
    <lcf76f155ced4ddcb4097134ff3c332f xmlns="ee3421e1-0811-4a6d-8ebc-7c6746f08178">
      <Terms xmlns="http://schemas.microsoft.com/office/infopath/2007/PartnerControls"/>
    </lcf76f155ced4ddcb4097134ff3c332f>
    <_dlc_DocId xmlns="dce0646e-66c3-4c0c-93b0-1fa019f3f905">VDT5VWPEUQAP-725823284-25201</_dlc_DocId>
    <_dlc_DocIdUrl xmlns="dce0646e-66c3-4c0c-93b0-1fa019f3f905">
      <Url>https://dvagov.sharepoint.com/sites/VACOOALC/SAC/AS5/OCCTelehealth/_layouts/15/DocIdRedir.aspx?ID=VDT5VWPEUQAP-725823284-25201</Url>
      <Description>VDT5VWPEUQAP-725823284-25201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7CEC2FAAEA374EAAC976870A0D6F51" ma:contentTypeVersion="14" ma:contentTypeDescription="Create a new document." ma:contentTypeScope="" ma:versionID="e95c6c3bb99c939c53faebf915466057">
  <xsd:schema xmlns:xsd="http://www.w3.org/2001/XMLSchema" xmlns:xs="http://www.w3.org/2001/XMLSchema" xmlns:p="http://schemas.microsoft.com/office/2006/metadata/properties" xmlns:ns1="http://schemas.microsoft.com/sharepoint/v3" xmlns:ns3="dce0646e-66c3-4c0c-93b0-1fa019f3f905" xmlns:ns4="ee3421e1-0811-4a6d-8ebc-7c6746f08178" targetNamespace="http://schemas.microsoft.com/office/2006/metadata/properties" ma:root="true" ma:fieldsID="78ba61b6c6eae4a15d308d281d6d333f" ns1:_="" ns3:_="" ns4:_="">
    <xsd:import namespace="http://schemas.microsoft.com/sharepoint/v3"/>
    <xsd:import namespace="dce0646e-66c3-4c0c-93b0-1fa019f3f905"/>
    <xsd:import namespace="ee3421e1-0811-4a6d-8ebc-7c6746f08178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1:_ip_UnifiedCompliancePolicyProperties" minOccurs="0"/>
                <xsd:element ref="ns1:_ip_UnifiedCompliancePolicyUIAction" minOccurs="0"/>
                <xsd:element ref="ns4:lcf76f155ced4ddcb4097134ff3c332f" minOccurs="0"/>
                <xsd:element ref="ns3:TaxCatchAll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e0646e-66c3-4c0c-93b0-1fa019f3f905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d275857a-8657-4a2d-b287-a33fb0dd3de2}" ma:internalName="TaxCatchAll" ma:showField="CatchAllData" ma:web="dce0646e-66c3-4c0c-93b0-1fa019f3f9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421e1-0811-4a6d-8ebc-7c6746f08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8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431014-96B6-48BB-94C1-4C40B21429F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E2E43B7-9C20-44F4-8F7E-14A9E2911B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A65286-A233-4909-991D-87C8B6611CEF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e3421e1-0811-4a6d-8ebc-7c6746f08178"/>
    <ds:schemaRef ds:uri="http://purl.org/dc/terms/"/>
    <ds:schemaRef ds:uri="http://schemas.openxmlformats.org/package/2006/metadata/core-properties"/>
    <ds:schemaRef ds:uri="dce0646e-66c3-4c0c-93b0-1fa019f3f905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B5F1D783-A780-4324-A3B3-CF1701912E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e0646e-66c3-4c0c-93b0-1fa019f3f905"/>
    <ds:schemaRef ds:uri="ee3421e1-0811-4a6d-8ebc-7c6746f081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Price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Campos, Lee A.</dc:creator>
  <cp:keywords/>
  <dc:description/>
  <cp:lastModifiedBy>Carmody, Cristine G.</cp:lastModifiedBy>
  <cp:revision/>
  <dcterms:created xsi:type="dcterms:W3CDTF">2026-01-30T12:32:31Z</dcterms:created>
  <dcterms:modified xsi:type="dcterms:W3CDTF">2026-03-25T21:51:00Z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0x010100B87CEC2FAAEA374EAAC976870A0D6F51</vt:lpwstr>
  </property>
  <property fmtid="{D5CDD505-2E9C-101B-9397-08002B2CF9AE}" pid="3" name="_dlc_DocIdItemGuid">
    <vt:lpwstr>a04f1881-87aa-4ef9-999d-84a7680c0b59</vt:lpwstr>
  </property>
  <property fmtid="{D5CDD505-2E9C-101B-9397-08002B2CF9AE}" pid="4" name="MediaServiceImageTags">
    <vt:lpwstr/>
  </property>
</Properties>
</file>