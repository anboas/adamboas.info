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Y26\FY26 Contracts\McNeill, Kelly\H9224026QEXXX Fitness Equp Mx &amp; Repair\1 - Pre-Award\5. RFQ\"/>
    </mc:Choice>
  </mc:AlternateContent>
  <xr:revisionPtr revIDLastSave="0" documentId="13_ncr:1_{E85B8643-3568-44CA-A388-54A04C0A1486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ELIN Price List" sheetId="5" r:id="rId1"/>
    <sheet name="Equipment List" sheetId="8" r:id="rId2"/>
  </sheets>
  <definedNames>
    <definedName name="_xlnm.Print_Area" localSheetId="1">'Equipment List'!$A$1:$G$29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2" i="5" l="1"/>
  <c r="G25" i="8"/>
  <c r="G20" i="8"/>
  <c r="G12" i="8"/>
  <c r="G32" i="8"/>
  <c r="G31" i="8"/>
  <c r="G30" i="8"/>
  <c r="G27" i="8"/>
  <c r="G26" i="8"/>
  <c r="G24" i="8"/>
  <c r="G23" i="8"/>
  <c r="G22" i="8"/>
  <c r="G21" i="8"/>
  <c r="G19" i="8"/>
  <c r="G18" i="8"/>
  <c r="G17" i="8"/>
  <c r="G11" i="8"/>
  <c r="G10" i="8"/>
  <c r="G9" i="8"/>
  <c r="G8" i="8"/>
  <c r="G7" i="8"/>
  <c r="G6" i="8"/>
  <c r="G33" i="8" l="1"/>
  <c r="G15" i="8"/>
  <c r="E29" i="5"/>
  <c r="E28" i="5"/>
  <c r="G28" i="8" l="1"/>
</calcChain>
</file>

<file path=xl/sharedStrings.xml><?xml version="1.0" encoding="utf-8"?>
<sst xmlns="http://schemas.openxmlformats.org/spreadsheetml/2006/main" count="162" uniqueCount="82">
  <si>
    <t>Functional Trainer</t>
  </si>
  <si>
    <t>Keiser</t>
  </si>
  <si>
    <t>Compressor</t>
  </si>
  <si>
    <t>Treadmill</t>
  </si>
  <si>
    <t>Jacobs Ladder</t>
  </si>
  <si>
    <t>Total</t>
  </si>
  <si>
    <t>Woodway</t>
  </si>
  <si>
    <t>Watt Bike</t>
  </si>
  <si>
    <t>Stair Climber</t>
  </si>
  <si>
    <t>Assault Fitness</t>
  </si>
  <si>
    <t>Versa Climber</t>
  </si>
  <si>
    <t>Life Fitness</t>
  </si>
  <si>
    <t>Arc Trainer</t>
  </si>
  <si>
    <t>Cybex</t>
  </si>
  <si>
    <t>Asset Description</t>
  </si>
  <si>
    <t>Make</t>
  </si>
  <si>
    <t>Assault Bike</t>
  </si>
  <si>
    <t>Promaxima</t>
  </si>
  <si>
    <t>Multi Hip</t>
  </si>
  <si>
    <t>Nautilus</t>
  </si>
  <si>
    <t>Pull up Machine</t>
  </si>
  <si>
    <t>Viper</t>
  </si>
  <si>
    <t>Leg Ex machine</t>
  </si>
  <si>
    <t>elliptical</t>
  </si>
  <si>
    <t>Startrac</t>
  </si>
  <si>
    <t>95ti Treadmill</t>
  </si>
  <si>
    <t>Schwin</t>
  </si>
  <si>
    <t>Airdyne Bike</t>
  </si>
  <si>
    <t xml:space="preserve">Startrac </t>
  </si>
  <si>
    <t>spinner</t>
  </si>
  <si>
    <t>Powertec</t>
  </si>
  <si>
    <t>KB Electronics</t>
  </si>
  <si>
    <t>Vibrating Plate</t>
  </si>
  <si>
    <t>Total Gym</t>
  </si>
  <si>
    <t>Jump Trainer</t>
  </si>
  <si>
    <t xml:space="preserve">TOTAL </t>
  </si>
  <si>
    <t>Not to be Repaired or Replaced</t>
  </si>
  <si>
    <t>A001</t>
  </si>
  <si>
    <t>A002</t>
  </si>
  <si>
    <t>A003</t>
  </si>
  <si>
    <t>Description</t>
  </si>
  <si>
    <t>Quarterly Repair - PWS Section 4.1</t>
  </si>
  <si>
    <t>TBN</t>
  </si>
  <si>
    <t>As Needed - PWS Section 4.2 &amp; 4.3</t>
  </si>
  <si>
    <t>ELIN</t>
  </si>
  <si>
    <t>U/I</t>
  </si>
  <si>
    <t>Qty</t>
  </si>
  <si>
    <t>Unit Price</t>
  </si>
  <si>
    <t>Quarterly Maintenance</t>
  </si>
  <si>
    <t>EA</t>
  </si>
  <si>
    <t xml:space="preserve">Service Call </t>
  </si>
  <si>
    <t>Repairs</t>
  </si>
  <si>
    <t>B001</t>
  </si>
  <si>
    <t>B002</t>
  </si>
  <si>
    <t>B003</t>
  </si>
  <si>
    <t>C001</t>
  </si>
  <si>
    <t>C002</t>
  </si>
  <si>
    <t>C003</t>
  </si>
  <si>
    <t>D001</t>
  </si>
  <si>
    <t>D002</t>
  </si>
  <si>
    <t>D003</t>
  </si>
  <si>
    <t>E001</t>
  </si>
  <si>
    <t>E002</t>
  </si>
  <si>
    <t>E003</t>
  </si>
  <si>
    <t>52.217-8 (6 MONTHS)</t>
  </si>
  <si>
    <t>F001</t>
  </si>
  <si>
    <t>F002</t>
  </si>
  <si>
    <t>F003</t>
  </si>
  <si>
    <t>Squat</t>
  </si>
  <si>
    <t>Dual Cable</t>
  </si>
  <si>
    <t>Rogue</t>
  </si>
  <si>
    <t>Rope Pull Down</t>
  </si>
  <si>
    <t>Leg Press</t>
  </si>
  <si>
    <t>Assault Treadmill</t>
  </si>
  <si>
    <t>Cable Machines</t>
  </si>
  <si>
    <t>Strength Machines</t>
  </si>
  <si>
    <t>Year 1: 27 May 2026 - 26 May 2027</t>
  </si>
  <si>
    <t>Year 2: 27 May 2027 - 26 May 2028</t>
  </si>
  <si>
    <t>Year 3: 27 May 2028 - 26 May 2029</t>
  </si>
  <si>
    <t>Year 4: 27 May 2029 - 26 May 2030</t>
  </si>
  <si>
    <t>Year 5: 27 May 2030 - 26 May 2031</t>
  </si>
  <si>
    <t>TOTAL EVALUATED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</si>
</sst>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0" borderId="0" xfId="0" applyFont="1"/>
    <xf numFmtId="0" fontId="6" fillId="6" borderId="5" xfId="0" applyFont="1" applyFill="1" applyBorder="1"/>
    <xf numFmtId="0" fontId="5" fillId="6" borderId="5" xfId="0" applyFont="1" applyFill="1" applyBorder="1"/>
    <xf numFmtId="0" fontId="5" fillId="6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horizontal="center"/>
    </xf>
    <xf numFmtId="44" fontId="8" fillId="7" borderId="7" xfId="0" applyNumberFormat="1" applyFont="1" applyFill="1" applyBorder="1"/>
    <xf numFmtId="0" fontId="8" fillId="0" borderId="5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44" fontId="8" fillId="0" borderId="5" xfId="0" applyNumberFormat="1" applyFont="1" applyBorder="1" applyAlignment="1">
      <alignment horizontal="center"/>
    </xf>
    <xf numFmtId="44" fontId="8" fillId="0" borderId="7" xfId="0" applyNumberFormat="1" applyFont="1" applyBorder="1"/>
    <xf numFmtId="44" fontId="9" fillId="0" borderId="0" xfId="0" applyNumberFormat="1" applyFont="1"/>
    <xf numFmtId="0" fontId="9" fillId="0" borderId="0" xfId="0" applyFont="1"/>
    <xf numFmtId="0" fontId="1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10" fillId="0" borderId="0" xfId="0" applyFont="1" applyFill="1" applyAlignment="1">
      <alignment vertical="top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vertical="top"/>
    </xf>
    <xf numFmtId="0" fontId="4" fillId="2" borderId="0" xfId="0" applyFont="1" applyFill="1"/>
    <xf numFmtId="44" fontId="9" fillId="2" borderId="0" xfId="0" applyNumberFormat="1" applyFont="1" applyFill="1"/>
    <xf numFmtId="44" fontId="11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sqref="A1:E1"/>
    </sheetView>
  </sheetViews>
  <sheetFormatPr defaultColWidth="9.140625" defaultRowHeight="15.75" x14ac:dyDescent="0.25"/>
  <cols>
    <col min="1" max="1" width="5.85546875" style="8" bestFit="1" customWidth="1"/>
    <col min="2" max="2" width="27.85546875" style="8" customWidth="1"/>
    <col min="3" max="3" width="7.7109375" style="8" customWidth="1"/>
    <col min="4" max="4" width="8.85546875" style="8" customWidth="1"/>
    <col min="5" max="5" width="18.42578125" style="22" bestFit="1" customWidth="1"/>
    <col min="6" max="16384" width="9.140625" style="8"/>
  </cols>
  <sheetData>
    <row r="1" spans="1:17" ht="16.5" thickBot="1" x14ac:dyDescent="0.3">
      <c r="A1" s="33" t="s">
        <v>76</v>
      </c>
      <c r="B1" s="34"/>
      <c r="C1" s="34"/>
      <c r="D1" s="34"/>
      <c r="E1" s="35"/>
    </row>
    <row r="2" spans="1:17" ht="16.5" thickBot="1" x14ac:dyDescent="0.3">
      <c r="A2" s="9" t="s">
        <v>44</v>
      </c>
      <c r="B2" s="10" t="s">
        <v>40</v>
      </c>
      <c r="C2" s="11" t="s">
        <v>45</v>
      </c>
      <c r="D2" s="11" t="s">
        <v>46</v>
      </c>
      <c r="E2" s="12" t="s">
        <v>47</v>
      </c>
    </row>
    <row r="3" spans="1:17" ht="16.5" thickBot="1" x14ac:dyDescent="0.3">
      <c r="A3" s="13" t="s">
        <v>37</v>
      </c>
      <c r="B3" s="14" t="s">
        <v>48</v>
      </c>
      <c r="C3" s="15" t="s">
        <v>49</v>
      </c>
      <c r="D3" s="15">
        <v>1</v>
      </c>
      <c r="E3" s="16"/>
    </row>
    <row r="4" spans="1:17" ht="16.5" thickBot="1" x14ac:dyDescent="0.3">
      <c r="A4" s="13" t="s">
        <v>38</v>
      </c>
      <c r="B4" s="17" t="s">
        <v>50</v>
      </c>
      <c r="C4" s="18" t="s">
        <v>49</v>
      </c>
      <c r="D4" s="15">
        <v>1</v>
      </c>
      <c r="E4" s="16"/>
      <c r="G4" s="28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6.5" thickBot="1" x14ac:dyDescent="0.3">
      <c r="A5" s="13" t="s">
        <v>39</v>
      </c>
      <c r="B5" s="17" t="s">
        <v>51</v>
      </c>
      <c r="C5" s="18" t="s">
        <v>42</v>
      </c>
      <c r="D5" s="15" t="s">
        <v>42</v>
      </c>
      <c r="E5" s="19" t="s">
        <v>42</v>
      </c>
      <c r="G5" s="24"/>
      <c r="H5" s="24"/>
      <c r="I5" s="24"/>
      <c r="J5" s="24"/>
      <c r="K5" s="24"/>
      <c r="L5" s="24"/>
    </row>
    <row r="6" spans="1:17" ht="16.5" thickBot="1" x14ac:dyDescent="0.3">
      <c r="A6" s="33" t="s">
        <v>77</v>
      </c>
      <c r="B6" s="34"/>
      <c r="C6" s="34"/>
      <c r="D6" s="34"/>
      <c r="E6" s="35"/>
      <c r="G6" s="24"/>
      <c r="H6" s="24"/>
      <c r="I6" s="24"/>
      <c r="J6" s="24"/>
      <c r="K6" s="24"/>
      <c r="L6" s="24"/>
    </row>
    <row r="7" spans="1:17" ht="16.5" thickBot="1" x14ac:dyDescent="0.3">
      <c r="A7" s="9" t="s">
        <v>44</v>
      </c>
      <c r="B7" s="10" t="s">
        <v>40</v>
      </c>
      <c r="C7" s="11" t="s">
        <v>45</v>
      </c>
      <c r="D7" s="11" t="s">
        <v>46</v>
      </c>
      <c r="E7" s="12" t="s">
        <v>47</v>
      </c>
      <c r="G7" s="24"/>
      <c r="H7" s="24"/>
      <c r="I7" s="24"/>
      <c r="J7" s="24"/>
      <c r="K7" s="24"/>
      <c r="L7" s="24"/>
    </row>
    <row r="8" spans="1:17" ht="16.5" thickBot="1" x14ac:dyDescent="0.3">
      <c r="A8" s="13" t="s">
        <v>52</v>
      </c>
      <c r="B8" s="14" t="s">
        <v>48</v>
      </c>
      <c r="C8" s="15" t="s">
        <v>49</v>
      </c>
      <c r="D8" s="15">
        <v>1</v>
      </c>
      <c r="E8" s="16"/>
      <c r="G8" s="24"/>
      <c r="H8" s="24"/>
      <c r="I8" s="24"/>
      <c r="J8" s="24"/>
      <c r="K8" s="24"/>
      <c r="L8" s="24"/>
    </row>
    <row r="9" spans="1:17" ht="16.5" thickBot="1" x14ac:dyDescent="0.3">
      <c r="A9" s="13" t="s">
        <v>53</v>
      </c>
      <c r="B9" s="17" t="s">
        <v>50</v>
      </c>
      <c r="C9" s="18" t="s">
        <v>49</v>
      </c>
      <c r="D9" s="15">
        <v>1</v>
      </c>
      <c r="E9" s="16"/>
      <c r="G9" s="24"/>
      <c r="H9" s="24"/>
      <c r="I9" s="24"/>
      <c r="J9" s="24"/>
      <c r="K9" s="24"/>
      <c r="L9" s="24"/>
    </row>
    <row r="10" spans="1:17" ht="16.5" thickBot="1" x14ac:dyDescent="0.3">
      <c r="A10" s="13" t="s">
        <v>54</v>
      </c>
      <c r="B10" s="17" t="s">
        <v>51</v>
      </c>
      <c r="C10" s="18" t="s">
        <v>42</v>
      </c>
      <c r="D10" s="15" t="s">
        <v>42</v>
      </c>
      <c r="E10" s="19" t="s">
        <v>42</v>
      </c>
      <c r="G10" s="24"/>
      <c r="H10" s="24"/>
      <c r="I10" s="24"/>
      <c r="J10" s="24"/>
      <c r="K10" s="24"/>
      <c r="L10" s="24"/>
    </row>
    <row r="11" spans="1:17" ht="16.5" thickBot="1" x14ac:dyDescent="0.3">
      <c r="A11" s="36" t="s">
        <v>78</v>
      </c>
      <c r="B11" s="37"/>
      <c r="C11" s="37"/>
      <c r="D11" s="37"/>
      <c r="E11" s="38"/>
      <c r="G11" s="24"/>
      <c r="H11" s="24"/>
      <c r="I11" s="24"/>
      <c r="J11" s="24"/>
      <c r="K11" s="24"/>
      <c r="L11" s="24"/>
    </row>
    <row r="12" spans="1:17" ht="16.5" thickBot="1" x14ac:dyDescent="0.3">
      <c r="A12" s="9" t="s">
        <v>44</v>
      </c>
      <c r="B12" s="10" t="s">
        <v>40</v>
      </c>
      <c r="C12" s="11" t="s">
        <v>45</v>
      </c>
      <c r="D12" s="11" t="s">
        <v>46</v>
      </c>
      <c r="E12" s="12" t="s">
        <v>47</v>
      </c>
      <c r="G12" s="24"/>
      <c r="H12" s="24"/>
      <c r="I12" s="24"/>
      <c r="J12" s="24"/>
      <c r="K12" s="24"/>
      <c r="L12" s="24"/>
    </row>
    <row r="13" spans="1:17" ht="16.5" thickBot="1" x14ac:dyDescent="0.3">
      <c r="A13" s="13" t="s">
        <v>55</v>
      </c>
      <c r="B13" s="14" t="s">
        <v>48</v>
      </c>
      <c r="C13" s="15" t="s">
        <v>49</v>
      </c>
      <c r="D13" s="15">
        <v>1</v>
      </c>
      <c r="E13" s="16"/>
      <c r="G13" s="24"/>
      <c r="H13" s="24"/>
      <c r="I13" s="24"/>
      <c r="J13" s="24"/>
      <c r="K13" s="24"/>
      <c r="L13" s="24"/>
    </row>
    <row r="14" spans="1:17" ht="16.5" thickBot="1" x14ac:dyDescent="0.3">
      <c r="A14" s="13" t="s">
        <v>56</v>
      </c>
      <c r="B14" s="17" t="s">
        <v>50</v>
      </c>
      <c r="C14" s="18" t="s">
        <v>49</v>
      </c>
      <c r="D14" s="15">
        <v>1</v>
      </c>
      <c r="E14" s="16"/>
      <c r="G14" s="24"/>
      <c r="H14" s="24"/>
      <c r="I14" s="24"/>
      <c r="J14" s="24"/>
      <c r="K14" s="24"/>
      <c r="L14" s="24"/>
    </row>
    <row r="15" spans="1:17" ht="16.5" thickBot="1" x14ac:dyDescent="0.3">
      <c r="A15" s="13" t="s">
        <v>57</v>
      </c>
      <c r="B15" s="17" t="s">
        <v>51</v>
      </c>
      <c r="C15" s="18" t="s">
        <v>42</v>
      </c>
      <c r="D15" s="15" t="s">
        <v>42</v>
      </c>
      <c r="E15" s="19" t="s">
        <v>42</v>
      </c>
      <c r="G15" s="24"/>
      <c r="H15" s="24"/>
      <c r="I15" s="24"/>
      <c r="J15" s="24"/>
      <c r="K15" s="24"/>
      <c r="L15" s="24"/>
    </row>
    <row r="16" spans="1:17" ht="16.5" thickBot="1" x14ac:dyDescent="0.3">
      <c r="A16" s="33" t="s">
        <v>79</v>
      </c>
      <c r="B16" s="34"/>
      <c r="C16" s="34"/>
      <c r="D16" s="34"/>
      <c r="E16" s="35"/>
      <c r="G16" s="24"/>
      <c r="H16" s="24"/>
      <c r="I16" s="24"/>
      <c r="J16" s="24"/>
      <c r="K16" s="24"/>
      <c r="L16" s="24"/>
    </row>
    <row r="17" spans="1:12" ht="16.5" thickBot="1" x14ac:dyDescent="0.3">
      <c r="A17" s="9" t="s">
        <v>44</v>
      </c>
      <c r="B17" s="10" t="s">
        <v>40</v>
      </c>
      <c r="C17" s="11" t="s">
        <v>45</v>
      </c>
      <c r="D17" s="11" t="s">
        <v>46</v>
      </c>
      <c r="E17" s="12" t="s">
        <v>47</v>
      </c>
      <c r="G17" s="24"/>
      <c r="H17" s="24"/>
      <c r="I17" s="24"/>
      <c r="J17" s="24"/>
      <c r="K17" s="24"/>
      <c r="L17" s="24"/>
    </row>
    <row r="18" spans="1:12" ht="16.5" thickBot="1" x14ac:dyDescent="0.3">
      <c r="A18" s="13" t="s">
        <v>58</v>
      </c>
      <c r="B18" s="14" t="s">
        <v>48</v>
      </c>
      <c r="C18" s="15" t="s">
        <v>49</v>
      </c>
      <c r="D18" s="15">
        <v>1</v>
      </c>
      <c r="E18" s="16"/>
    </row>
    <row r="19" spans="1:12" ht="16.5" thickBot="1" x14ac:dyDescent="0.3">
      <c r="A19" s="13" t="s">
        <v>59</v>
      </c>
      <c r="B19" s="17" t="s">
        <v>50</v>
      </c>
      <c r="C19" s="18" t="s">
        <v>49</v>
      </c>
      <c r="D19" s="15">
        <v>1</v>
      </c>
      <c r="E19" s="16"/>
    </row>
    <row r="20" spans="1:12" ht="16.5" thickBot="1" x14ac:dyDescent="0.3">
      <c r="A20" s="13" t="s">
        <v>60</v>
      </c>
      <c r="B20" s="17" t="s">
        <v>51</v>
      </c>
      <c r="C20" s="18" t="s">
        <v>42</v>
      </c>
      <c r="D20" s="15" t="s">
        <v>42</v>
      </c>
      <c r="E20" s="19" t="s">
        <v>42</v>
      </c>
    </row>
    <row r="21" spans="1:12" ht="16.5" thickBot="1" x14ac:dyDescent="0.3">
      <c r="A21" s="33" t="s">
        <v>80</v>
      </c>
      <c r="B21" s="34"/>
      <c r="C21" s="34"/>
      <c r="D21" s="34"/>
      <c r="E21" s="35"/>
    </row>
    <row r="22" spans="1:12" ht="16.5" thickBot="1" x14ac:dyDescent="0.3">
      <c r="A22" s="9" t="s">
        <v>44</v>
      </c>
      <c r="B22" s="10" t="s">
        <v>40</v>
      </c>
      <c r="C22" s="11" t="s">
        <v>45</v>
      </c>
      <c r="D22" s="11" t="s">
        <v>46</v>
      </c>
      <c r="E22" s="12" t="s">
        <v>47</v>
      </c>
    </row>
    <row r="23" spans="1:12" ht="16.5" thickBot="1" x14ac:dyDescent="0.3">
      <c r="A23" s="13" t="s">
        <v>61</v>
      </c>
      <c r="B23" s="14" t="s">
        <v>48</v>
      </c>
      <c r="C23" s="15" t="s">
        <v>49</v>
      </c>
      <c r="D23" s="15">
        <v>1</v>
      </c>
      <c r="E23" s="16"/>
    </row>
    <row r="24" spans="1:12" ht="16.5" thickBot="1" x14ac:dyDescent="0.3">
      <c r="A24" s="13" t="s">
        <v>62</v>
      </c>
      <c r="B24" s="17" t="s">
        <v>50</v>
      </c>
      <c r="C24" s="18" t="s">
        <v>49</v>
      </c>
      <c r="D24" s="15">
        <v>1</v>
      </c>
      <c r="E24" s="16"/>
    </row>
    <row r="25" spans="1:12" ht="16.5" thickBot="1" x14ac:dyDescent="0.3">
      <c r="A25" s="13" t="s">
        <v>63</v>
      </c>
      <c r="B25" s="17" t="s">
        <v>51</v>
      </c>
      <c r="C25" s="18" t="s">
        <v>42</v>
      </c>
      <c r="D25" s="15" t="s">
        <v>42</v>
      </c>
      <c r="E25" s="19" t="s">
        <v>42</v>
      </c>
    </row>
    <row r="26" spans="1:12" ht="16.5" thickBot="1" x14ac:dyDescent="0.3">
      <c r="A26" s="33" t="s">
        <v>64</v>
      </c>
      <c r="B26" s="34"/>
      <c r="C26" s="34"/>
      <c r="D26" s="34"/>
      <c r="E26" s="35"/>
    </row>
    <row r="27" spans="1:12" ht="16.5" thickBot="1" x14ac:dyDescent="0.3">
      <c r="A27" s="9" t="s">
        <v>44</v>
      </c>
      <c r="B27" s="10" t="s">
        <v>40</v>
      </c>
      <c r="C27" s="11" t="s">
        <v>45</v>
      </c>
      <c r="D27" s="11" t="s">
        <v>46</v>
      </c>
      <c r="E27" s="12" t="s">
        <v>47</v>
      </c>
    </row>
    <row r="28" spans="1:12" ht="16.5" thickBot="1" x14ac:dyDescent="0.3">
      <c r="A28" s="13" t="s">
        <v>65</v>
      </c>
      <c r="B28" s="14" t="s">
        <v>48</v>
      </c>
      <c r="C28" s="15" t="s">
        <v>49</v>
      </c>
      <c r="D28" s="15">
        <v>1</v>
      </c>
      <c r="E28" s="20">
        <f>E23</f>
        <v>0</v>
      </c>
    </row>
    <row r="29" spans="1:12" ht="16.5" thickBot="1" x14ac:dyDescent="0.3">
      <c r="A29" s="13" t="s">
        <v>66</v>
      </c>
      <c r="B29" s="17" t="s">
        <v>50</v>
      </c>
      <c r="C29" s="18" t="s">
        <v>49</v>
      </c>
      <c r="D29" s="15">
        <v>1</v>
      </c>
      <c r="E29" s="20">
        <f>E24</f>
        <v>0</v>
      </c>
    </row>
    <row r="30" spans="1:12" ht="16.5" thickBot="1" x14ac:dyDescent="0.3">
      <c r="A30" s="13" t="s">
        <v>67</v>
      </c>
      <c r="B30" s="17" t="s">
        <v>51</v>
      </c>
      <c r="C30" s="18" t="s">
        <v>42</v>
      </c>
      <c r="D30" s="15" t="s">
        <v>42</v>
      </c>
      <c r="E30" s="19" t="s">
        <v>42</v>
      </c>
    </row>
    <row r="31" spans="1:12" x14ac:dyDescent="0.25">
      <c r="A31" s="29"/>
      <c r="B31" s="29"/>
      <c r="C31" s="29"/>
      <c r="D31" s="29"/>
      <c r="E31" s="30"/>
    </row>
    <row r="32" spans="1:12" x14ac:dyDescent="0.25">
      <c r="A32" s="32" t="s">
        <v>81</v>
      </c>
      <c r="B32" s="32"/>
      <c r="C32" s="32"/>
      <c r="D32" s="32"/>
      <c r="E32" s="31">
        <f>E3+E4+E8+E9+E13+E14+E18+E19+E23+E24+E28+E29</f>
        <v>0</v>
      </c>
    </row>
    <row r="33" spans="5:5" x14ac:dyDescent="0.25">
      <c r="E33" s="21"/>
    </row>
    <row r="34" spans="5:5" x14ac:dyDescent="0.25">
      <c r="E34" s="21"/>
    </row>
  </sheetData>
  <mergeCells count="7">
    <mergeCell ref="A32:D32"/>
    <mergeCell ref="A26:E26"/>
    <mergeCell ref="A11:E11"/>
    <mergeCell ref="A1:E1"/>
    <mergeCell ref="A6:E6"/>
    <mergeCell ref="A16:E16"/>
    <mergeCell ref="A21:E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0FAC-95AE-4FED-96A1-90DB270117CC}">
  <dimension ref="A1:G33"/>
  <sheetViews>
    <sheetView view="pageBreakPreview" zoomScale="90" zoomScaleNormal="100" zoomScaleSheetLayoutView="90" workbookViewId="0"/>
  </sheetViews>
  <sheetFormatPr defaultRowHeight="15" x14ac:dyDescent="0.25"/>
  <cols>
    <col min="1" max="1" width="28.140625" customWidth="1"/>
    <col min="2" max="2" width="18.5703125" customWidth="1"/>
    <col min="5" max="6" width="10.85546875" customWidth="1"/>
    <col min="7" max="7" width="11" customWidth="1"/>
  </cols>
  <sheetData>
    <row r="1" spans="1:7" x14ac:dyDescent="0.25">
      <c r="A1" s="1"/>
      <c r="B1" s="1"/>
      <c r="C1" s="39"/>
      <c r="D1" s="39"/>
      <c r="E1" s="39"/>
      <c r="F1" s="39"/>
      <c r="G1" s="39"/>
    </row>
    <row r="2" spans="1:7" ht="15.75" thickBot="1" x14ac:dyDescent="0.3">
      <c r="A2" s="23" t="s">
        <v>15</v>
      </c>
      <c r="B2" s="23" t="s">
        <v>14</v>
      </c>
      <c r="C2" s="23"/>
      <c r="D2" s="23"/>
      <c r="E2" s="23"/>
      <c r="F2" s="23"/>
      <c r="G2" s="23" t="s">
        <v>5</v>
      </c>
    </row>
    <row r="3" spans="1:7" ht="15.75" thickBot="1" x14ac:dyDescent="0.3">
      <c r="A3" s="40" t="s">
        <v>41</v>
      </c>
      <c r="B3" s="41"/>
      <c r="C3" s="41"/>
      <c r="D3" s="41"/>
      <c r="E3" s="41"/>
      <c r="F3" s="41"/>
      <c r="G3" s="42"/>
    </row>
    <row r="4" spans="1:7" x14ac:dyDescent="0.25">
      <c r="A4" s="4" t="s">
        <v>1</v>
      </c>
      <c r="B4" s="4" t="s">
        <v>0</v>
      </c>
      <c r="C4" s="4">
        <v>2</v>
      </c>
      <c r="D4" s="4"/>
      <c r="E4" s="4">
        <v>1</v>
      </c>
      <c r="F4" s="4">
        <v>1</v>
      </c>
      <c r="G4" s="5">
        <v>4</v>
      </c>
    </row>
    <row r="5" spans="1:7" x14ac:dyDescent="0.25">
      <c r="A5" s="3" t="s">
        <v>1</v>
      </c>
      <c r="B5" s="3" t="s">
        <v>68</v>
      </c>
      <c r="C5" s="3">
        <v>1</v>
      </c>
      <c r="D5" s="3"/>
      <c r="E5" s="3"/>
      <c r="F5" s="3"/>
      <c r="G5" s="2">
        <v>1</v>
      </c>
    </row>
    <row r="6" spans="1:7" ht="15" customHeight="1" x14ac:dyDescent="0.25">
      <c r="A6" s="4" t="s">
        <v>1</v>
      </c>
      <c r="B6" s="4" t="s">
        <v>2</v>
      </c>
      <c r="C6" s="4">
        <v>1</v>
      </c>
      <c r="D6" s="4"/>
      <c r="E6" s="4">
        <v>1</v>
      </c>
      <c r="F6" s="4">
        <v>1</v>
      </c>
      <c r="G6" s="5">
        <f t="shared" ref="G6:G11" si="0">SUM(C6:F6)</f>
        <v>3</v>
      </c>
    </row>
    <row r="7" spans="1:7" x14ac:dyDescent="0.25">
      <c r="A7" s="3" t="s">
        <v>9</v>
      </c>
      <c r="B7" s="3" t="s">
        <v>73</v>
      </c>
      <c r="C7" s="3">
        <v>1</v>
      </c>
      <c r="D7" s="3"/>
      <c r="E7" s="3">
        <v>1</v>
      </c>
      <c r="F7" s="3"/>
      <c r="G7" s="2">
        <f t="shared" si="0"/>
        <v>2</v>
      </c>
    </row>
    <row r="8" spans="1:7" ht="15" customHeight="1" x14ac:dyDescent="0.25">
      <c r="A8" s="4" t="s">
        <v>6</v>
      </c>
      <c r="B8" s="4" t="s">
        <v>3</v>
      </c>
      <c r="C8" s="4">
        <v>4</v>
      </c>
      <c r="D8" s="4">
        <v>2</v>
      </c>
      <c r="E8" s="4">
        <v>2</v>
      </c>
      <c r="F8" s="4">
        <v>8</v>
      </c>
      <c r="G8" s="5">
        <f t="shared" si="0"/>
        <v>16</v>
      </c>
    </row>
    <row r="9" spans="1:7" ht="15" customHeight="1" x14ac:dyDescent="0.25">
      <c r="A9" s="3" t="s">
        <v>6</v>
      </c>
      <c r="B9" s="3" t="s">
        <v>7</v>
      </c>
      <c r="C9" s="3">
        <v>6</v>
      </c>
      <c r="D9" s="3"/>
      <c r="E9" s="3"/>
      <c r="F9" s="3"/>
      <c r="G9" s="2">
        <f t="shared" si="0"/>
        <v>6</v>
      </c>
    </row>
    <row r="10" spans="1:7" x14ac:dyDescent="0.25">
      <c r="A10" s="4" t="s">
        <v>11</v>
      </c>
      <c r="B10" s="4" t="s">
        <v>8</v>
      </c>
      <c r="C10" s="4">
        <v>1</v>
      </c>
      <c r="D10" s="4"/>
      <c r="E10" s="4"/>
      <c r="F10" s="4">
        <v>1</v>
      </c>
      <c r="G10" s="5">
        <f t="shared" si="0"/>
        <v>2</v>
      </c>
    </row>
    <row r="11" spans="1:7" x14ac:dyDescent="0.25">
      <c r="A11" s="3" t="s">
        <v>10</v>
      </c>
      <c r="B11" s="3" t="s">
        <v>10</v>
      </c>
      <c r="C11" s="3">
        <v>2</v>
      </c>
      <c r="D11" s="3"/>
      <c r="E11" s="3"/>
      <c r="F11" s="3"/>
      <c r="G11" s="2">
        <f t="shared" si="0"/>
        <v>2</v>
      </c>
    </row>
    <row r="12" spans="1:7" x14ac:dyDescent="0.25">
      <c r="A12" s="4" t="s">
        <v>13</v>
      </c>
      <c r="B12" s="4" t="s">
        <v>12</v>
      </c>
      <c r="C12" s="4"/>
      <c r="D12" s="4">
        <v>1</v>
      </c>
      <c r="E12" s="4"/>
      <c r="F12" s="4">
        <v>1</v>
      </c>
      <c r="G12" s="5">
        <f>SUM(C12:F12)</f>
        <v>2</v>
      </c>
    </row>
    <row r="13" spans="1:7" x14ac:dyDescent="0.25">
      <c r="A13" s="26" t="s">
        <v>11</v>
      </c>
      <c r="B13" s="26" t="s">
        <v>69</v>
      </c>
      <c r="C13" s="26">
        <v>1</v>
      </c>
      <c r="D13" s="26">
        <v>1</v>
      </c>
      <c r="E13" s="26"/>
      <c r="F13" s="26">
        <v>1</v>
      </c>
      <c r="G13" s="27">
        <v>3</v>
      </c>
    </row>
    <row r="14" spans="1:7" x14ac:dyDescent="0.25">
      <c r="A14" s="4" t="s">
        <v>70</v>
      </c>
      <c r="B14" s="4" t="s">
        <v>74</v>
      </c>
      <c r="C14" s="4"/>
      <c r="D14" s="4">
        <v>2</v>
      </c>
      <c r="E14" s="4"/>
      <c r="F14" s="4">
        <v>1</v>
      </c>
      <c r="G14" s="5">
        <v>3</v>
      </c>
    </row>
    <row r="15" spans="1:7" x14ac:dyDescent="0.25">
      <c r="A15" s="3"/>
      <c r="B15" s="3"/>
      <c r="C15" s="3"/>
      <c r="D15" s="3"/>
      <c r="E15" s="3"/>
      <c r="F15" s="6" t="s">
        <v>35</v>
      </c>
      <c r="G15" s="6">
        <f>SUM(G4:G14)</f>
        <v>44</v>
      </c>
    </row>
    <row r="16" spans="1:7" x14ac:dyDescent="0.25">
      <c r="A16" s="43" t="s">
        <v>43</v>
      </c>
      <c r="B16" s="43"/>
      <c r="C16" s="43"/>
      <c r="D16" s="43"/>
      <c r="E16" s="43"/>
      <c r="F16" s="43"/>
      <c r="G16" s="43"/>
    </row>
    <row r="17" spans="1:7" x14ac:dyDescent="0.25">
      <c r="A17" s="3" t="s">
        <v>4</v>
      </c>
      <c r="B17" s="3" t="s">
        <v>4</v>
      </c>
      <c r="C17" s="3">
        <v>1</v>
      </c>
      <c r="D17" s="3"/>
      <c r="E17" s="3"/>
      <c r="F17" s="3">
        <v>1</v>
      </c>
      <c r="G17" s="2">
        <f>SUM(C17:F17)</f>
        <v>2</v>
      </c>
    </row>
    <row r="18" spans="1:7" x14ac:dyDescent="0.25">
      <c r="A18" s="4" t="s">
        <v>9</v>
      </c>
      <c r="B18" s="4" t="s">
        <v>16</v>
      </c>
      <c r="C18" s="4"/>
      <c r="D18" s="4"/>
      <c r="E18" s="4">
        <v>1</v>
      </c>
      <c r="F18" s="4"/>
      <c r="G18" s="5">
        <f>SUM(E18:F18)</f>
        <v>1</v>
      </c>
    </row>
    <row r="19" spans="1:7" x14ac:dyDescent="0.25">
      <c r="A19" s="3" t="s">
        <v>21</v>
      </c>
      <c r="B19" s="3" t="s">
        <v>71</v>
      </c>
      <c r="C19" s="3"/>
      <c r="D19" s="3"/>
      <c r="E19" s="3"/>
      <c r="F19" s="3">
        <v>1</v>
      </c>
      <c r="G19" s="2">
        <f>SUM(E19:F19)</f>
        <v>1</v>
      </c>
    </row>
    <row r="20" spans="1:7" x14ac:dyDescent="0.25">
      <c r="A20" s="4" t="s">
        <v>11</v>
      </c>
      <c r="B20" s="4" t="s">
        <v>75</v>
      </c>
      <c r="C20" s="4"/>
      <c r="D20" s="4">
        <v>5</v>
      </c>
      <c r="E20" s="4"/>
      <c r="F20" s="4"/>
      <c r="G20" s="5">
        <f>SUM(C20:F20)</f>
        <v>5</v>
      </c>
    </row>
    <row r="21" spans="1:7" x14ac:dyDescent="0.25">
      <c r="A21" s="3" t="s">
        <v>17</v>
      </c>
      <c r="B21" s="3" t="s">
        <v>22</v>
      </c>
      <c r="C21" s="3"/>
      <c r="D21" s="3"/>
      <c r="E21" s="3">
        <v>1</v>
      </c>
      <c r="F21" s="3"/>
      <c r="G21" s="2">
        <f>SUM(E21:F21)</f>
        <v>1</v>
      </c>
    </row>
    <row r="22" spans="1:7" x14ac:dyDescent="0.25">
      <c r="A22" s="4" t="s">
        <v>19</v>
      </c>
      <c r="B22" s="4" t="s">
        <v>20</v>
      </c>
      <c r="C22" s="4"/>
      <c r="D22" s="4"/>
      <c r="E22" s="4">
        <v>1</v>
      </c>
      <c r="F22" s="4"/>
      <c r="G22" s="5">
        <f>SUM(E22:F22)</f>
        <v>1</v>
      </c>
    </row>
    <row r="23" spans="1:7" x14ac:dyDescent="0.25">
      <c r="A23" s="3" t="s">
        <v>31</v>
      </c>
      <c r="B23" s="3" t="s">
        <v>32</v>
      </c>
      <c r="C23" s="3"/>
      <c r="D23" s="3"/>
      <c r="E23" s="3"/>
      <c r="F23" s="3">
        <v>2</v>
      </c>
      <c r="G23" s="2">
        <f>SUM(F23)</f>
        <v>2</v>
      </c>
    </row>
    <row r="24" spans="1:7" x14ac:dyDescent="0.25">
      <c r="A24" s="4" t="s">
        <v>30</v>
      </c>
      <c r="B24" s="4" t="s">
        <v>72</v>
      </c>
      <c r="C24" s="4"/>
      <c r="D24" s="4"/>
      <c r="E24" s="4"/>
      <c r="F24" s="4">
        <v>1</v>
      </c>
      <c r="G24" s="5">
        <f>SUM(F24)</f>
        <v>1</v>
      </c>
    </row>
    <row r="25" spans="1:7" x14ac:dyDescent="0.25">
      <c r="A25" s="3" t="s">
        <v>17</v>
      </c>
      <c r="B25" s="3" t="s">
        <v>18</v>
      </c>
      <c r="C25" s="3"/>
      <c r="D25" s="3"/>
      <c r="E25" s="3">
        <v>1</v>
      </c>
      <c r="F25" s="3"/>
      <c r="G25" s="2">
        <f>SUM(C25:F25)</f>
        <v>1</v>
      </c>
    </row>
    <row r="26" spans="1:7" x14ac:dyDescent="0.25">
      <c r="A26" s="4" t="s">
        <v>33</v>
      </c>
      <c r="B26" s="4" t="s">
        <v>34</v>
      </c>
      <c r="C26" s="4"/>
      <c r="D26" s="4"/>
      <c r="E26" s="4"/>
      <c r="F26" s="4">
        <v>1</v>
      </c>
      <c r="G26" s="5">
        <f>SUM(F26)</f>
        <v>1</v>
      </c>
    </row>
    <row r="27" spans="1:7" x14ac:dyDescent="0.25">
      <c r="A27" s="3" t="s">
        <v>26</v>
      </c>
      <c r="B27" s="3" t="s">
        <v>27</v>
      </c>
      <c r="C27" s="3"/>
      <c r="D27" s="3"/>
      <c r="E27" s="3"/>
      <c r="F27" s="3">
        <v>1</v>
      </c>
      <c r="G27" s="2">
        <f>SUM(F27)</f>
        <v>1</v>
      </c>
    </row>
    <row r="28" spans="1:7" x14ac:dyDescent="0.25">
      <c r="A28" s="3"/>
      <c r="B28" s="3"/>
      <c r="C28" s="3"/>
      <c r="D28" s="3"/>
      <c r="E28" s="3"/>
      <c r="F28" s="6" t="s">
        <v>35</v>
      </c>
      <c r="G28" s="6">
        <f>SUM(G17:G27)</f>
        <v>17</v>
      </c>
    </row>
    <row r="29" spans="1:7" hidden="1" x14ac:dyDescent="0.25">
      <c r="A29" s="43" t="s">
        <v>36</v>
      </c>
      <c r="B29" s="43"/>
      <c r="C29" s="43"/>
      <c r="D29" s="43"/>
      <c r="E29" s="43"/>
      <c r="F29" s="43"/>
      <c r="G29" s="43"/>
    </row>
    <row r="30" spans="1:7" hidden="1" x14ac:dyDescent="0.25">
      <c r="A30" s="3" t="s">
        <v>24</v>
      </c>
      <c r="B30" s="3" t="s">
        <v>25</v>
      </c>
      <c r="C30" s="3"/>
      <c r="D30" s="3"/>
      <c r="E30" s="3"/>
      <c r="F30" s="3">
        <v>1</v>
      </c>
      <c r="G30" s="2">
        <f t="shared" ref="G30:G32" si="1">SUM(F30)</f>
        <v>1</v>
      </c>
    </row>
    <row r="31" spans="1:7" hidden="1" x14ac:dyDescent="0.25">
      <c r="A31" s="4" t="s">
        <v>28</v>
      </c>
      <c r="B31" s="4" t="s">
        <v>23</v>
      </c>
      <c r="C31" s="4"/>
      <c r="D31" s="4"/>
      <c r="E31" s="4"/>
      <c r="F31" s="4">
        <v>1</v>
      </c>
      <c r="G31" s="5">
        <f t="shared" si="1"/>
        <v>1</v>
      </c>
    </row>
    <row r="32" spans="1:7" hidden="1" x14ac:dyDescent="0.25">
      <c r="A32" s="3" t="s">
        <v>24</v>
      </c>
      <c r="B32" s="3" t="s">
        <v>29</v>
      </c>
      <c r="C32" s="3"/>
      <c r="D32" s="3"/>
      <c r="E32" s="3"/>
      <c r="F32" s="3">
        <v>5</v>
      </c>
      <c r="G32" s="2">
        <f t="shared" si="1"/>
        <v>5</v>
      </c>
    </row>
    <row r="33" spans="6:7" hidden="1" x14ac:dyDescent="0.25">
      <c r="F33" s="7" t="s">
        <v>35</v>
      </c>
      <c r="G33" s="7">
        <f>SUM(G30:G32)</f>
        <v>7</v>
      </c>
    </row>
  </sheetData>
  <mergeCells count="4">
    <mergeCell ref="C1:G1"/>
    <mergeCell ref="A3:G3"/>
    <mergeCell ref="A16:G16"/>
    <mergeCell ref="A29:G29"/>
  </mergeCells>
  <pageMargins left="0.7" right="0.7" top="0.75" bottom="0.75" header="0.3" footer="0.3"/>
  <pageSetup scale="77" orientation="portrait" r:id="rId1"/>
  <ignoredErrors>
    <ignoredError sqref="G20 G2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5958E8-BEDD-40BB-AD25-0213E5CFD2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9DDF89-3BB1-4774-88F4-82D895D44E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A95C35-5F74-4A06-829B-6C977C52A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ELIN Price List</vt:lpstr>
      <vt:lpstr>Equipment List</vt:lpstr>
      <vt:lpstr>'Equipment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Orr, Annemarie E CIV USSOCOM SOCOM (USA)</dc:creator>
  <cp:lastModifiedBy>McNeill, Kelly L CIV USSOCOM NSW (USA)</cp:lastModifiedBy>
  <cp:lastPrinted>2023-03-29T15:09:36Z</cp:lastPrinted>
  <dcterms:created xsi:type="dcterms:W3CDTF">2021-03-10T17:50:26Z</dcterms:created>
  <dcterms:modified xsi:type="dcterms:W3CDTF">2026-03-19T20:56:08Z</dcterms:modified>
</cp:coreProperties>
</file>