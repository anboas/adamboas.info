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john_d_favata_civ_us_navy_mil/Documents/USNCC MAC CIAS/Amendment 0004/"/>
    </mc:Choice>
  </mc:AlternateContent>
  <xr:revisionPtr revIDLastSave="0" documentId="8_{24C68872-FF0E-437D-AFEF-4038C0583BF8}" xr6:coauthVersionLast="47" xr6:coauthVersionMax="47" xr10:uidLastSave="{00000000-0000-0000-0000-000000000000}"/>
  <bookViews>
    <workbookView xWindow="-28920" yWindow="90" windowWidth="29040" windowHeight="15510" activeTab="1" xr2:uid="{86B72B47-E0DE-4BF9-A8D7-ECA39399F2C8}"/>
  </bookViews>
  <sheets>
    <sheet name="Summary" sheetId="1" r:id="rId1"/>
    <sheet name="CLIN 0001 (Base)" sheetId="2" r:id="rId2"/>
    <sheet name="CLIN 0002 (OY1)" sheetId="3" r:id="rId3"/>
    <sheet name="CLIN 0003 (OY2)" sheetId="4" r:id="rId4"/>
    <sheet name="CLIN 0004 (OY3)" sheetId="5" r:id="rId5"/>
    <sheet name="CLIN 0005 (OY4)" sheetId="6" r:id="rId6"/>
    <sheet name="6-Month Add" sheetId="8" r:id="rId7"/>
  </sheets>
  <definedNames>
    <definedName name="_xlnm.Print_Area" localSheetId="1">'CLIN 0001 (Base)'!$A$1:$M$91</definedName>
    <definedName name="_xlnm.Print_Area" localSheetId="2">'CLIN 0002 (OY1)'!$A$1:$M$88</definedName>
    <definedName name="_xlnm.Print_Area" localSheetId="3">'CLIN 0003 (OY2)'!$A$1:$M$94</definedName>
    <definedName name="_xlnm.Print_Area" localSheetId="4">'CLIN 0004 (OY3)'!$A$1:$M$96</definedName>
    <definedName name="_xlnm.Print_Area" localSheetId="5">'CLIN 0005 (OY4)'!$A$1:$M$97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0" i="2" l="1"/>
  <c r="M13" i="2"/>
  <c r="M3" i="2"/>
  <c r="E13" i="1"/>
  <c r="E14" i="1"/>
  <c r="E15" i="1"/>
  <c r="E12" i="1"/>
  <c r="M98" i="8"/>
  <c r="M98" i="6"/>
  <c r="M97" i="5"/>
  <c r="M95" i="4"/>
  <c r="M72" i="3"/>
  <c r="M80" i="3"/>
  <c r="M94" i="8"/>
  <c r="M93" i="8"/>
  <c r="M89" i="8"/>
  <c r="M88" i="8"/>
  <c r="M84" i="8"/>
  <c r="M83" i="8"/>
  <c r="M79" i="8"/>
  <c r="M78" i="8"/>
  <c r="M74" i="8"/>
  <c r="M73" i="8"/>
  <c r="M69" i="8"/>
  <c r="M68" i="8"/>
  <c r="M63" i="8"/>
  <c r="M62" i="8"/>
  <c r="M57" i="8"/>
  <c r="M56" i="8"/>
  <c r="M55" i="8"/>
  <c r="M50" i="8"/>
  <c r="M45" i="8"/>
  <c r="M44" i="8"/>
  <c r="M43" i="8"/>
  <c r="M38" i="8"/>
  <c r="M37" i="8"/>
  <c r="M36" i="8"/>
  <c r="M35" i="8"/>
  <c r="M30" i="8"/>
  <c r="M29" i="8"/>
  <c r="M28" i="8"/>
  <c r="M27" i="8"/>
  <c r="M22" i="8"/>
  <c r="M21" i="8"/>
  <c r="M20" i="8"/>
  <c r="M19" i="8"/>
  <c r="M14" i="8"/>
  <c r="M13" i="8"/>
  <c r="M12" i="8"/>
  <c r="M11" i="8"/>
  <c r="M6" i="8"/>
  <c r="M5" i="8"/>
  <c r="M4" i="8"/>
  <c r="M3" i="8"/>
  <c r="M6" i="6"/>
  <c r="M5" i="6"/>
  <c r="M4" i="6"/>
  <c r="M3" i="6"/>
  <c r="M14" i="6"/>
  <c r="M13" i="6"/>
  <c r="M12" i="6"/>
  <c r="M11" i="6"/>
  <c r="M22" i="6"/>
  <c r="M21" i="6"/>
  <c r="M20" i="6"/>
  <c r="M19" i="6"/>
  <c r="M30" i="6"/>
  <c r="M29" i="6"/>
  <c r="M28" i="6"/>
  <c r="M27" i="6"/>
  <c r="M38" i="6"/>
  <c r="M37" i="6"/>
  <c r="M36" i="6"/>
  <c r="M35" i="6"/>
  <c r="M44" i="6"/>
  <c r="M43" i="6"/>
  <c r="M50" i="6"/>
  <c r="M57" i="6"/>
  <c r="M56" i="6"/>
  <c r="M55" i="6"/>
  <c r="M63" i="6"/>
  <c r="M62" i="6"/>
  <c r="M69" i="6"/>
  <c r="M68" i="6"/>
  <c r="M74" i="6"/>
  <c r="M73" i="6"/>
  <c r="M79" i="6"/>
  <c r="M78" i="6"/>
  <c r="M84" i="6"/>
  <c r="M83" i="6"/>
  <c r="M89" i="6"/>
  <c r="M88" i="6"/>
  <c r="M94" i="6"/>
  <c r="M93" i="6"/>
  <c r="M88" i="5"/>
  <c r="M87" i="5" s="1"/>
  <c r="M93" i="5"/>
  <c r="M89" i="5"/>
  <c r="M84" i="5"/>
  <c r="M83" i="5"/>
  <c r="M79" i="5"/>
  <c r="M78" i="5"/>
  <c r="M74" i="5"/>
  <c r="M73" i="5"/>
  <c r="M69" i="5"/>
  <c r="M68" i="5"/>
  <c r="M63" i="5"/>
  <c r="M62" i="5"/>
  <c r="M57" i="5"/>
  <c r="M56" i="5"/>
  <c r="M55" i="5"/>
  <c r="M50" i="5"/>
  <c r="M45" i="5"/>
  <c r="M44" i="5"/>
  <c r="M43" i="5"/>
  <c r="M38" i="5"/>
  <c r="M37" i="5"/>
  <c r="M36" i="5"/>
  <c r="M35" i="5"/>
  <c r="M30" i="5"/>
  <c r="M29" i="5"/>
  <c r="M28" i="5"/>
  <c r="M27" i="5"/>
  <c r="M22" i="5"/>
  <c r="M21" i="5"/>
  <c r="M20" i="5"/>
  <c r="M19" i="5"/>
  <c r="M14" i="5"/>
  <c r="M13" i="5"/>
  <c r="M12" i="5"/>
  <c r="M11" i="5"/>
  <c r="M6" i="5"/>
  <c r="M5" i="5"/>
  <c r="M4" i="5"/>
  <c r="M3" i="5"/>
  <c r="M6" i="4"/>
  <c r="M5" i="4"/>
  <c r="M4" i="4"/>
  <c r="M3" i="4"/>
  <c r="M14" i="4"/>
  <c r="M13" i="4"/>
  <c r="M12" i="4"/>
  <c r="M11" i="4"/>
  <c r="M22" i="4"/>
  <c r="M21" i="4"/>
  <c r="M20" i="4"/>
  <c r="M19" i="4"/>
  <c r="M30" i="4"/>
  <c r="M29" i="4"/>
  <c r="M28" i="4"/>
  <c r="M27" i="4"/>
  <c r="M38" i="4"/>
  <c r="M37" i="4"/>
  <c r="M36" i="4"/>
  <c r="M35" i="4"/>
  <c r="M45" i="4"/>
  <c r="M44" i="4"/>
  <c r="M43" i="4"/>
  <c r="M50" i="4"/>
  <c r="M57" i="4"/>
  <c r="M56" i="4"/>
  <c r="M55" i="4"/>
  <c r="M63" i="4"/>
  <c r="M62" i="4"/>
  <c r="M69" i="4"/>
  <c r="M68" i="4"/>
  <c r="M74" i="4"/>
  <c r="M73" i="4"/>
  <c r="M79" i="4"/>
  <c r="M78" i="4"/>
  <c r="M83" i="4"/>
  <c r="M87" i="4"/>
  <c r="M91" i="4"/>
  <c r="M85" i="3"/>
  <c r="M81" i="3"/>
  <c r="M77" i="3"/>
  <c r="M73" i="3"/>
  <c r="M69" i="3"/>
  <c r="M65" i="3"/>
  <c r="M60" i="3"/>
  <c r="M59" i="3"/>
  <c r="M54" i="3"/>
  <c r="M53" i="3"/>
  <c r="M48" i="3"/>
  <c r="M43" i="3"/>
  <c r="M42" i="3"/>
  <c r="M41" i="3"/>
  <c r="M36" i="3"/>
  <c r="M35" i="3"/>
  <c r="M34" i="3"/>
  <c r="M33" i="3"/>
  <c r="M28" i="3"/>
  <c r="M27" i="3"/>
  <c r="M26" i="3"/>
  <c r="M21" i="3"/>
  <c r="M20" i="3"/>
  <c r="M19" i="3"/>
  <c r="M14" i="3"/>
  <c r="M13" i="3"/>
  <c r="M12" i="3"/>
  <c r="M11" i="3"/>
  <c r="M6" i="3"/>
  <c r="M5" i="3"/>
  <c r="M4" i="3"/>
  <c r="M3" i="3"/>
  <c r="M85" i="2"/>
  <c r="M81" i="2"/>
  <c r="M77" i="2"/>
  <c r="M73" i="2"/>
  <c r="M69" i="2"/>
  <c r="M65" i="2"/>
  <c r="M55" i="2"/>
  <c r="M50" i="2"/>
  <c r="M44" i="2"/>
  <c r="M45" i="2"/>
  <c r="M43" i="2"/>
  <c r="M36" i="2"/>
  <c r="M37" i="2"/>
  <c r="M38" i="2"/>
  <c r="M35" i="2"/>
  <c r="M28" i="2"/>
  <c r="M29" i="2"/>
  <c r="M30" i="2"/>
  <c r="M27" i="2"/>
  <c r="M14" i="2"/>
  <c r="M20" i="2"/>
  <c r="M21" i="2"/>
  <c r="M22" i="2"/>
  <c r="M19" i="2"/>
  <c r="M12" i="2"/>
  <c r="M11" i="2"/>
  <c r="M4" i="2"/>
  <c r="M5" i="2"/>
  <c r="M6" i="2"/>
  <c r="K60" i="3" l="1"/>
  <c r="K73" i="3"/>
  <c r="E72" i="3"/>
  <c r="K42" i="3"/>
  <c r="K28" i="3"/>
  <c r="K27" i="3"/>
  <c r="K26" i="3"/>
  <c r="E25" i="3"/>
  <c r="K21" i="3"/>
  <c r="K20" i="3"/>
  <c r="M18" i="3" s="1"/>
  <c r="E18" i="3"/>
  <c r="K12" i="3"/>
  <c r="K43" i="3"/>
  <c r="K14" i="3"/>
  <c r="K45" i="4"/>
  <c r="K29" i="4"/>
  <c r="K30" i="4"/>
  <c r="K21" i="4"/>
  <c r="K22" i="4"/>
  <c r="K14" i="4"/>
  <c r="K45" i="5"/>
  <c r="K29" i="5"/>
  <c r="K30" i="5"/>
  <c r="K21" i="5"/>
  <c r="K22" i="5"/>
  <c r="K14" i="5"/>
  <c r="K14" i="6"/>
  <c r="K21" i="6"/>
  <c r="K22" i="6"/>
  <c r="K29" i="6"/>
  <c r="K30" i="6"/>
  <c r="K45" i="8"/>
  <c r="K29" i="8"/>
  <c r="K30" i="8"/>
  <c r="K21" i="8"/>
  <c r="K22" i="8"/>
  <c r="K14" i="8"/>
  <c r="K94" i="8"/>
  <c r="K93" i="8"/>
  <c r="K89" i="8"/>
  <c r="K88" i="8"/>
  <c r="K84" i="8"/>
  <c r="K83" i="8"/>
  <c r="K79" i="8"/>
  <c r="K78" i="8"/>
  <c r="K74" i="8"/>
  <c r="K73" i="8"/>
  <c r="K69" i="8"/>
  <c r="K68" i="8"/>
  <c r="K63" i="8"/>
  <c r="K62" i="8"/>
  <c r="K57" i="8"/>
  <c r="K56" i="8"/>
  <c r="K55" i="8"/>
  <c r="K44" i="8"/>
  <c r="K43" i="8"/>
  <c r="K38" i="8"/>
  <c r="K37" i="8"/>
  <c r="K36" i="8"/>
  <c r="K35" i="8"/>
  <c r="K28" i="8"/>
  <c r="K27" i="8"/>
  <c r="K20" i="8"/>
  <c r="K19" i="8"/>
  <c r="K13" i="8"/>
  <c r="K12" i="8"/>
  <c r="K11" i="8"/>
  <c r="K94" i="6"/>
  <c r="K93" i="6"/>
  <c r="M92" i="6" s="1"/>
  <c r="K89" i="6"/>
  <c r="K88" i="6"/>
  <c r="K84" i="6"/>
  <c r="K83" i="6"/>
  <c r="K79" i="6"/>
  <c r="K78" i="6"/>
  <c r="K74" i="6"/>
  <c r="K73" i="6"/>
  <c r="K69" i="6"/>
  <c r="K68" i="6"/>
  <c r="K63" i="6"/>
  <c r="K62" i="6"/>
  <c r="K57" i="6"/>
  <c r="K56" i="6"/>
  <c r="K55" i="6"/>
  <c r="M49" i="6"/>
  <c r="M45" i="6"/>
  <c r="K44" i="6"/>
  <c r="K43" i="6"/>
  <c r="M42" i="6" s="1"/>
  <c r="K38" i="6"/>
  <c r="K37" i="6"/>
  <c r="K36" i="6"/>
  <c r="K35" i="6"/>
  <c r="K28" i="6"/>
  <c r="K27" i="6"/>
  <c r="K20" i="6"/>
  <c r="K19" i="6"/>
  <c r="K13" i="6"/>
  <c r="K12" i="6"/>
  <c r="K11" i="6"/>
  <c r="K93" i="5"/>
  <c r="M92" i="5" s="1"/>
  <c r="K89" i="5"/>
  <c r="K88" i="5"/>
  <c r="K84" i="5"/>
  <c r="K83" i="5"/>
  <c r="K79" i="5"/>
  <c r="K78" i="5"/>
  <c r="K74" i="5"/>
  <c r="K73" i="5"/>
  <c r="K69" i="5"/>
  <c r="K68" i="5"/>
  <c r="M67" i="5" s="1"/>
  <c r="K63" i="5"/>
  <c r="K62" i="5"/>
  <c r="M61" i="5" s="1"/>
  <c r="K57" i="5"/>
  <c r="K56" i="5"/>
  <c r="K55" i="5"/>
  <c r="M49" i="5"/>
  <c r="K44" i="5"/>
  <c r="K43" i="5"/>
  <c r="K38" i="5"/>
  <c r="K37" i="5"/>
  <c r="K36" i="5"/>
  <c r="K35" i="5"/>
  <c r="M34" i="5" s="1"/>
  <c r="K28" i="5"/>
  <c r="K27" i="5"/>
  <c r="K20" i="5"/>
  <c r="K19" i="5"/>
  <c r="K13" i="5"/>
  <c r="K12" i="5"/>
  <c r="K11" i="5"/>
  <c r="K91" i="4"/>
  <c r="K87" i="4"/>
  <c r="M86" i="4" s="1"/>
  <c r="K83" i="4"/>
  <c r="K79" i="4"/>
  <c r="K78" i="4"/>
  <c r="K74" i="4"/>
  <c r="K73" i="4"/>
  <c r="K69" i="4"/>
  <c r="K68" i="4"/>
  <c r="K63" i="4"/>
  <c r="K62" i="4"/>
  <c r="K57" i="4"/>
  <c r="K56" i="4"/>
  <c r="K55" i="4"/>
  <c r="M49" i="4"/>
  <c r="K44" i="4"/>
  <c r="K43" i="4"/>
  <c r="K38" i="4"/>
  <c r="K37" i="4"/>
  <c r="K36" i="4"/>
  <c r="K35" i="4"/>
  <c r="K28" i="4"/>
  <c r="K27" i="4"/>
  <c r="K20" i="4"/>
  <c r="K19" i="4"/>
  <c r="K13" i="4"/>
  <c r="K12" i="4"/>
  <c r="K11" i="4"/>
  <c r="K85" i="3"/>
  <c r="K81" i="3"/>
  <c r="K77" i="3"/>
  <c r="K69" i="3"/>
  <c r="K65" i="3"/>
  <c r="K59" i="3"/>
  <c r="K54" i="3"/>
  <c r="K53" i="3"/>
  <c r="M47" i="3"/>
  <c r="K41" i="3"/>
  <c r="K36" i="3"/>
  <c r="K35" i="3"/>
  <c r="K34" i="3"/>
  <c r="K33" i="3"/>
  <c r="K19" i="3"/>
  <c r="K13" i="3"/>
  <c r="K11" i="3"/>
  <c r="E69" i="8"/>
  <c r="E63" i="8"/>
  <c r="E56" i="8"/>
  <c r="E54" i="8" s="1"/>
  <c r="E57" i="8"/>
  <c r="E93" i="8"/>
  <c r="E92" i="8" s="1"/>
  <c r="E88" i="8"/>
  <c r="E87" i="8" s="1"/>
  <c r="E83" i="8"/>
  <c r="E82" i="8" s="1"/>
  <c r="E78" i="8"/>
  <c r="E77" i="8" s="1"/>
  <c r="E73" i="8"/>
  <c r="E72" i="8" s="1"/>
  <c r="E68" i="8"/>
  <c r="M67" i="8" s="1"/>
  <c r="E62" i="8"/>
  <c r="E55" i="8"/>
  <c r="M54" i="8" s="1"/>
  <c r="E50" i="8"/>
  <c r="M49" i="8" s="1"/>
  <c r="E44" i="8"/>
  <c r="E45" i="8"/>
  <c r="E43" i="8"/>
  <c r="E36" i="8"/>
  <c r="E37" i="8"/>
  <c r="E38" i="8"/>
  <c r="E35" i="8"/>
  <c r="E28" i="8"/>
  <c r="E29" i="8"/>
  <c r="E30" i="8"/>
  <c r="E27" i="8"/>
  <c r="E20" i="8"/>
  <c r="E21" i="8"/>
  <c r="E22" i="8"/>
  <c r="E19" i="8"/>
  <c r="E12" i="8"/>
  <c r="E13" i="8"/>
  <c r="E14" i="8"/>
  <c r="E11" i="8"/>
  <c r="E4" i="8"/>
  <c r="E5" i="8"/>
  <c r="E6" i="8"/>
  <c r="E3" i="8"/>
  <c r="M2" i="8" s="1"/>
  <c r="E49" i="8"/>
  <c r="M77" i="6" l="1"/>
  <c r="M82" i="6"/>
  <c r="M87" i="6"/>
  <c r="M82" i="8"/>
  <c r="M67" i="4"/>
  <c r="M2" i="4"/>
  <c r="M72" i="4"/>
  <c r="M82" i="4"/>
  <c r="M25" i="3"/>
  <c r="M68" i="3"/>
  <c r="M2" i="3"/>
  <c r="M84" i="3"/>
  <c r="M40" i="3"/>
  <c r="M18" i="4"/>
  <c r="M26" i="8"/>
  <c r="M34" i="8"/>
  <c r="M61" i="8"/>
  <c r="M92" i="8"/>
  <c r="E10" i="8"/>
  <c r="M18" i="8"/>
  <c r="M77" i="8"/>
  <c r="M42" i="8"/>
  <c r="M72" i="8"/>
  <c r="M87" i="8"/>
  <c r="E2" i="8"/>
  <c r="M10" i="6"/>
  <c r="M67" i="6"/>
  <c r="M18" i="6"/>
  <c r="M2" i="6"/>
  <c r="M72" i="6"/>
  <c r="M61" i="6"/>
  <c r="M34" i="6"/>
  <c r="M26" i="6"/>
  <c r="M54" i="6"/>
  <c r="M18" i="5"/>
  <c r="M10" i="5"/>
  <c r="M72" i="5"/>
  <c r="M82" i="5"/>
  <c r="M2" i="5"/>
  <c r="M77" i="5"/>
  <c r="M26" i="5"/>
  <c r="M54" i="5"/>
  <c r="M42" i="5"/>
  <c r="M61" i="4"/>
  <c r="M10" i="4"/>
  <c r="M34" i="4"/>
  <c r="M26" i="4"/>
  <c r="M90" i="4"/>
  <c r="M42" i="4"/>
  <c r="M77" i="4"/>
  <c r="M54" i="4"/>
  <c r="M58" i="3"/>
  <c r="M32" i="3"/>
  <c r="M64" i="3"/>
  <c r="M52" i="3"/>
  <c r="M76" i="3"/>
  <c r="M10" i="3"/>
  <c r="E61" i="8"/>
  <c r="E67" i="8"/>
  <c r="E42" i="8"/>
  <c r="E34" i="8"/>
  <c r="E26" i="8"/>
  <c r="E18" i="8"/>
  <c r="M89" i="3" l="1"/>
  <c r="M10" i="8"/>
  <c r="E92" i="6"/>
  <c r="E87" i="6"/>
  <c r="E82" i="6"/>
  <c r="E77" i="6"/>
  <c r="E72" i="6"/>
  <c r="E67" i="6"/>
  <c r="E61" i="6"/>
  <c r="E54" i="6"/>
  <c r="E49" i="6"/>
  <c r="E42" i="6"/>
  <c r="E34" i="6"/>
  <c r="E26" i="6"/>
  <c r="E18" i="6"/>
  <c r="E10" i="6"/>
  <c r="E2" i="6"/>
  <c r="E92" i="5"/>
  <c r="E87" i="5"/>
  <c r="E82" i="5"/>
  <c r="E77" i="5"/>
  <c r="E72" i="5"/>
  <c r="E67" i="5"/>
  <c r="E61" i="5"/>
  <c r="E54" i="5"/>
  <c r="E49" i="5"/>
  <c r="E42" i="5"/>
  <c r="E34" i="5"/>
  <c r="E26" i="5"/>
  <c r="E18" i="5"/>
  <c r="E10" i="5"/>
  <c r="E2" i="5"/>
  <c r="E90" i="4"/>
  <c r="E86" i="4"/>
  <c r="E82" i="4"/>
  <c r="E77" i="4"/>
  <c r="E72" i="4"/>
  <c r="E67" i="4"/>
  <c r="E61" i="4"/>
  <c r="E54" i="4"/>
  <c r="E49" i="4"/>
  <c r="E42" i="4"/>
  <c r="E34" i="4"/>
  <c r="E26" i="4"/>
  <c r="E18" i="4"/>
  <c r="E10" i="4"/>
  <c r="E2" i="4"/>
  <c r="E2" i="3"/>
  <c r="E84" i="3"/>
  <c r="E80" i="3"/>
  <c r="E76" i="3"/>
  <c r="E68" i="3"/>
  <c r="E64" i="3"/>
  <c r="E58" i="3"/>
  <c r="E52" i="3"/>
  <c r="E47" i="3"/>
  <c r="E40" i="3"/>
  <c r="E32" i="3"/>
  <c r="E10" i="3"/>
  <c r="K85" i="2"/>
  <c r="E84" i="2"/>
  <c r="K81" i="2"/>
  <c r="E80" i="2"/>
  <c r="K77" i="2"/>
  <c r="E76" i="2"/>
  <c r="K73" i="2"/>
  <c r="E72" i="2"/>
  <c r="K69" i="2"/>
  <c r="E68" i="2"/>
  <c r="K65" i="2"/>
  <c r="K60" i="2"/>
  <c r="M84" i="2" l="1"/>
  <c r="M80" i="2"/>
  <c r="M76" i="2"/>
  <c r="M68" i="2"/>
  <c r="M72" i="2"/>
  <c r="E64" i="2" l="1"/>
  <c r="E59" i="2"/>
  <c r="E54" i="2"/>
  <c r="E49" i="2"/>
  <c r="E42" i="2"/>
  <c r="E34" i="2"/>
  <c r="E26" i="2"/>
  <c r="E18" i="2"/>
  <c r="E10" i="2"/>
  <c r="E2" i="2"/>
  <c r="K55" i="2"/>
  <c r="K44" i="2"/>
  <c r="K43" i="2"/>
  <c r="K38" i="2"/>
  <c r="K37" i="2"/>
  <c r="K36" i="2"/>
  <c r="K35" i="2"/>
  <c r="K28" i="2"/>
  <c r="K27" i="2"/>
  <c r="K20" i="2"/>
  <c r="K19" i="2"/>
  <c r="K12" i="2"/>
  <c r="K11" i="2"/>
  <c r="M54" i="2" l="1"/>
  <c r="M59" i="2"/>
  <c r="M42" i="2"/>
  <c r="M64" i="2"/>
  <c r="M49" i="2"/>
  <c r="M26" i="2"/>
  <c r="M34" i="2"/>
  <c r="M2" i="2"/>
  <c r="M18" i="2"/>
  <c r="M10" i="2"/>
  <c r="M89" i="2" l="1"/>
  <c r="E10" i="1" l="1"/>
  <c r="E11" i="1"/>
  <c r="E17" i="1" l="1"/>
</calcChain>
</file>

<file path=xl/sharedStrings.xml><?xml version="1.0" encoding="utf-8"?>
<sst xmlns="http://schemas.openxmlformats.org/spreadsheetml/2006/main" count="774" uniqueCount="124">
  <si>
    <t>POP</t>
  </si>
  <si>
    <t>FY</t>
  </si>
  <si>
    <t>Est. Cost (USD)</t>
  </si>
  <si>
    <t>BASE</t>
  </si>
  <si>
    <t>OY1</t>
  </si>
  <si>
    <t>OY2</t>
  </si>
  <si>
    <t>10/01/2027 to 09/30/2028</t>
  </si>
  <si>
    <t>OY3</t>
  </si>
  <si>
    <t>10/01/2028 to 09/30/2029</t>
  </si>
  <si>
    <t>OY4</t>
  </si>
  <si>
    <t>IDIQ</t>
  </si>
  <si>
    <t>Partner Institution</t>
  </si>
  <si>
    <t>Program</t>
  </si>
  <si>
    <t>CLIN</t>
  </si>
  <si>
    <t>Tuition</t>
  </si>
  <si>
    <t>Instruction Materials</t>
  </si>
  <si>
    <t>Term Fees</t>
  </si>
  <si>
    <t>Annual Fees</t>
  </si>
  <si>
    <t>Graduation Fees</t>
  </si>
  <si>
    <t>Credits/Course</t>
  </si>
  <si>
    <t>Total</t>
  </si>
  <si>
    <t>N0018925DZXX1</t>
  </si>
  <si>
    <t>A</t>
  </si>
  <si>
    <t>0001</t>
  </si>
  <si>
    <t>Military Studies</t>
  </si>
  <si>
    <t>Orginazational Leadership</t>
  </si>
  <si>
    <t>Maritime Logistics</t>
  </si>
  <si>
    <t>Emergency Management</t>
  </si>
  <si>
    <t>Program Management</t>
  </si>
  <si>
    <t>IT/Data Support</t>
  </si>
  <si>
    <t>N0018925DZXX2</t>
  </si>
  <si>
    <t>B</t>
  </si>
  <si>
    <t>Nuclear Technology</t>
  </si>
  <si>
    <t>Engineering Fundamentals</t>
  </si>
  <si>
    <t>N0018925DZXX3</t>
  </si>
  <si>
    <t>C</t>
  </si>
  <si>
    <t>GS w/ Computer Studies</t>
  </si>
  <si>
    <t>N0018925DZXX4</t>
  </si>
  <si>
    <t>D</t>
  </si>
  <si>
    <t>Cyber Security</t>
  </si>
  <si>
    <t>N0018925DZXX5</t>
  </si>
  <si>
    <t>E</t>
  </si>
  <si>
    <t>Aviation Maintenance and Uncrewed Systems</t>
  </si>
  <si>
    <t>N0018925DZXX6</t>
  </si>
  <si>
    <t>F</t>
  </si>
  <si>
    <t>N0018925DZXX7</t>
  </si>
  <si>
    <t>G</t>
  </si>
  <si>
    <t>Compentency Based Education</t>
  </si>
  <si>
    <t>N0018925DZXX8</t>
  </si>
  <si>
    <t>H</t>
  </si>
  <si>
    <t>N0018925DZXX9</t>
  </si>
  <si>
    <t>I</t>
  </si>
  <si>
    <t>N0018925DZX10</t>
  </si>
  <si>
    <t>J</t>
  </si>
  <si>
    <t>N0018925DZX11</t>
  </si>
  <si>
    <t>K</t>
  </si>
  <si>
    <t>N0018925DZX12</t>
  </si>
  <si>
    <t>L</t>
  </si>
  <si>
    <t>N0018925DZX13</t>
  </si>
  <si>
    <t>M</t>
  </si>
  <si>
    <t>N0018925DZX14</t>
  </si>
  <si>
    <t>N</t>
  </si>
  <si>
    <t>N0018925DZX15</t>
  </si>
  <si>
    <t>O</t>
  </si>
  <si>
    <t>Difference</t>
  </si>
  <si>
    <t>Course Seats</t>
  </si>
  <si>
    <t>TOTAL</t>
  </si>
  <si>
    <t>FY27</t>
  </si>
  <si>
    <t>FY28</t>
  </si>
  <si>
    <t>FY29</t>
  </si>
  <si>
    <t>FY30</t>
  </si>
  <si>
    <t>6-Month</t>
  </si>
  <si>
    <t>Health Science</t>
  </si>
  <si>
    <r>
      <rPr>
        <i/>
        <sz val="12"/>
        <color theme="1"/>
        <rFont val="Times New Roman"/>
        <family val="1"/>
      </rPr>
      <t>10/01/2026*</t>
    </r>
    <r>
      <rPr>
        <sz val="12"/>
        <color theme="1"/>
        <rFont val="Times New Roman"/>
        <family val="1"/>
      </rPr>
      <t xml:space="preserve"> to 09/30/2027</t>
    </r>
  </si>
  <si>
    <r>
      <t xml:space="preserve">10/01/2030 to </t>
    </r>
    <r>
      <rPr>
        <i/>
        <sz val="12"/>
        <color theme="1"/>
        <rFont val="Times New Roman"/>
        <family val="1"/>
      </rPr>
      <t>09/30/2031</t>
    </r>
  </si>
  <si>
    <t>10/01/2029 to 09/30/2030</t>
  </si>
  <si>
    <t>FY31</t>
  </si>
  <si>
    <t>FY32</t>
  </si>
  <si>
    <r>
      <t>FY27 (</t>
    </r>
    <r>
      <rPr>
        <i/>
        <sz val="12"/>
        <color theme="1"/>
        <rFont val="Times New Roman"/>
        <family val="1"/>
      </rPr>
      <t>Communications/ Electronic Warfare Technology</t>
    </r>
    <r>
      <rPr>
        <sz val="12"/>
        <color theme="1"/>
        <rFont val="Times New Roman"/>
        <family val="1"/>
      </rPr>
      <t>)</t>
    </r>
  </si>
  <si>
    <r>
      <t>FY27 (</t>
    </r>
    <r>
      <rPr>
        <i/>
        <sz val="12"/>
        <color theme="1"/>
        <rFont val="Times New Roman"/>
        <family val="1"/>
      </rPr>
      <t>Mechatronics</t>
    </r>
    <r>
      <rPr>
        <sz val="12"/>
        <color theme="1"/>
        <rFont val="Times New Roman"/>
        <family val="1"/>
      </rPr>
      <t>)</t>
    </r>
  </si>
  <si>
    <r>
      <t>FY28 (</t>
    </r>
    <r>
      <rPr>
        <i/>
        <sz val="12"/>
        <color theme="1"/>
        <rFont val="Times New Roman"/>
        <family val="1"/>
      </rPr>
      <t>Marine Technology</t>
    </r>
    <r>
      <rPr>
        <sz val="12"/>
        <color theme="1"/>
        <rFont val="Times New Roman"/>
        <family val="1"/>
      </rPr>
      <t>)</t>
    </r>
  </si>
  <si>
    <r>
      <t>FY27 (</t>
    </r>
    <r>
      <rPr>
        <i/>
        <sz val="12"/>
        <color theme="1"/>
        <rFont val="Times New Roman"/>
        <family val="1"/>
      </rPr>
      <t>Additive/Advance Manufacturing</t>
    </r>
    <r>
      <rPr>
        <sz val="12"/>
        <color theme="1"/>
        <rFont val="Times New Roman"/>
        <family val="1"/>
      </rPr>
      <t>)</t>
    </r>
  </si>
  <si>
    <r>
      <rPr>
        <b/>
        <sz val="26"/>
        <color theme="1"/>
        <rFont val="Times New Roman"/>
        <family val="1"/>
      </rPr>
      <t>US Naval Community College</t>
    </r>
    <r>
      <rPr>
        <sz val="20"/>
        <color theme="1"/>
        <rFont val="Times New Roman"/>
        <family val="1"/>
      </rPr>
      <t xml:space="preserve">
Consortium of Integrated Academic Services
Pricing Template</t>
    </r>
  </si>
  <si>
    <t>*Tentative contract start and contract end date</t>
  </si>
  <si>
    <r>
      <t>FY27 (</t>
    </r>
    <r>
      <rPr>
        <i/>
        <sz val="12"/>
        <color theme="1"/>
        <rFont val="Times New Roman"/>
        <family val="1"/>
      </rPr>
      <t>Electronics/ Electronics Technology</t>
    </r>
    <r>
      <rPr>
        <sz val="12"/>
        <color theme="1"/>
        <rFont val="Times New Roman"/>
        <family val="1"/>
      </rPr>
      <t>)</t>
    </r>
  </si>
  <si>
    <r>
      <t>FY27 (</t>
    </r>
    <r>
      <rPr>
        <i/>
        <sz val="12"/>
        <color theme="1"/>
        <rFont val="Times New Roman"/>
        <family val="1"/>
      </rPr>
      <t>Industrial Maintenance/ AUS Technology</t>
    </r>
    <r>
      <rPr>
        <sz val="12"/>
        <color theme="1"/>
        <rFont val="Times New Roman"/>
        <family val="1"/>
      </rPr>
      <t>)</t>
    </r>
  </si>
  <si>
    <t>[Insert Program] - FY27</t>
  </si>
  <si>
    <t>FY27 (Electronics/ Electronics Technology)</t>
  </si>
  <si>
    <t>FY27 (Industrial Maintenance/ AUS Technology)</t>
  </si>
  <si>
    <t>FY28 (Mechatronics)</t>
  </si>
  <si>
    <t>FY28 (Additive/Advance Manufacturing)</t>
  </si>
  <si>
    <t>FY28 (Electronics/ Electronics Technology)</t>
  </si>
  <si>
    <t>FY28 (Communications/ Electronic Warfare Technology)</t>
  </si>
  <si>
    <t>[Insert Program] - FY28</t>
  </si>
  <si>
    <t>0002</t>
  </si>
  <si>
    <t>N0018900026DZXX1</t>
  </si>
  <si>
    <t>N0018900026DZXX0002</t>
  </si>
  <si>
    <t>N0018900026DZXX3</t>
  </si>
  <si>
    <t>N0018900026DZXX4</t>
  </si>
  <si>
    <t>N0018900026DZXX5</t>
  </si>
  <si>
    <t>N0018900026DZXX6</t>
  </si>
  <si>
    <t>N0018900026DZXX7</t>
  </si>
  <si>
    <t>N0018900026DZXX8</t>
  </si>
  <si>
    <t>N0018900026DZXX9</t>
  </si>
  <si>
    <t>N0018900026DZX10</t>
  </si>
  <si>
    <t>N0018900026DZX11</t>
  </si>
  <si>
    <t>N0018900026DZX10002</t>
  </si>
  <si>
    <t>N0018900026DZX13</t>
  </si>
  <si>
    <t>N0018900026DZX14</t>
  </si>
  <si>
    <t>N0018900026DZX15</t>
  </si>
  <si>
    <t>FY28 (Marine Technology)</t>
  </si>
  <si>
    <t>0003</t>
  </si>
  <si>
    <t>[Insert Program] - FY29</t>
  </si>
  <si>
    <r>
      <t>FY28 (</t>
    </r>
    <r>
      <rPr>
        <i/>
        <sz val="12"/>
        <color theme="1"/>
        <rFont val="Times New Roman"/>
        <family val="1"/>
      </rPr>
      <t>Mechatronics</t>
    </r>
    <r>
      <rPr>
        <sz val="12"/>
        <color theme="1"/>
        <rFont val="Times New Roman"/>
        <family val="1"/>
      </rPr>
      <t>)</t>
    </r>
  </si>
  <si>
    <t>0004</t>
  </si>
  <si>
    <t>[Insert Program] - FY30</t>
  </si>
  <si>
    <t>0005</t>
  </si>
  <si>
    <t>[Insert Program] - FY31</t>
  </si>
  <si>
    <t>0006</t>
  </si>
  <si>
    <r>
      <t xml:space="preserve">10/01/2031 to </t>
    </r>
    <r>
      <rPr>
        <i/>
        <sz val="12"/>
        <color theme="1"/>
        <rFont val="Times New Roman"/>
        <family val="1"/>
      </rPr>
      <t>03/31/203</t>
    </r>
    <r>
      <rPr>
        <sz val="12"/>
        <color theme="1"/>
        <rFont val="Times New Roman"/>
        <family val="1"/>
      </rPr>
      <t>2</t>
    </r>
  </si>
  <si>
    <t>Institution:</t>
  </si>
  <si>
    <t>POC:</t>
  </si>
  <si>
    <t>Phone:</t>
  </si>
  <si>
    <t>Email: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</si>
</sst>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26"/>
      <color theme="1"/>
      <name val="Times New Roman"/>
      <family val="1"/>
    </font>
    <font>
      <sz val="2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49" fontId="3" fillId="0" borderId="3" xfId="0" applyNumberFormat="1" applyFont="1" applyBorder="1" applyAlignment="1">
      <alignment horizontal="center"/>
    </xf>
    <xf numFmtId="2" fontId="3" fillId="0" borderId="3" xfId="1" applyNumberFormat="1" applyFont="1" applyBorder="1" applyAlignment="1">
      <alignment horizontal="center"/>
    </xf>
    <xf numFmtId="0" fontId="4" fillId="0" borderId="4" xfId="0" applyFont="1" applyBorder="1"/>
    <xf numFmtId="2" fontId="4" fillId="0" borderId="0" xfId="1" applyNumberFormat="1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 applyAlignment="1">
      <alignment horizontal="center"/>
    </xf>
    <xf numFmtId="2" fontId="4" fillId="0" borderId="6" xfId="1" applyNumberFormat="1" applyFont="1" applyBorder="1" applyAlignment="1">
      <alignment horizontal="center"/>
    </xf>
    <xf numFmtId="0" fontId="3" fillId="0" borderId="3" xfId="0" applyFont="1" applyBorder="1"/>
    <xf numFmtId="0" fontId="4" fillId="0" borderId="6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2" fontId="4" fillId="0" borderId="0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43" fontId="3" fillId="0" borderId="0" xfId="0" applyNumberFormat="1" applyFont="1"/>
    <xf numFmtId="0" fontId="3" fillId="0" borderId="0" xfId="0" applyFont="1" applyAlignment="1">
      <alignment horizontal="right"/>
    </xf>
    <xf numFmtId="9" fontId="4" fillId="0" borderId="0" xfId="0" applyNumberFormat="1" applyFont="1" applyAlignment="1">
      <alignment horizontal="center"/>
    </xf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43" fontId="4" fillId="0" borderId="7" xfId="0" applyNumberFormat="1" applyFont="1" applyBorder="1"/>
    <xf numFmtId="0" fontId="3" fillId="0" borderId="7" xfId="0" applyFont="1" applyBorder="1" applyAlignment="1">
      <alignment horizontal="center"/>
    </xf>
    <xf numFmtId="44" fontId="3" fillId="0" borderId="8" xfId="2" applyFont="1" applyBorder="1"/>
    <xf numFmtId="0" fontId="3" fillId="0" borderId="0" xfId="0" applyFont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3" fontId="3" fillId="0" borderId="3" xfId="0" applyNumberFormat="1" applyFont="1" applyBorder="1" applyAlignment="1">
      <alignment horizontal="center"/>
    </xf>
    <xf numFmtId="3" fontId="4" fillId="0" borderId="0" xfId="0" applyNumberFormat="1" applyFont="1" applyAlignment="1">
      <alignment horizontal="center"/>
    </xf>
    <xf numFmtId="3" fontId="4" fillId="0" borderId="6" xfId="0" applyNumberFormat="1" applyFont="1" applyBorder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6" fillId="0" borderId="0" xfId="0" applyFont="1"/>
    <xf numFmtId="164" fontId="6" fillId="0" borderId="0" xfId="0" applyNumberFormat="1" applyFont="1"/>
    <xf numFmtId="0" fontId="3" fillId="0" borderId="9" xfId="0" applyFont="1" applyBorder="1" applyAlignment="1">
      <alignment horizontal="center" vertical="center" wrapText="1"/>
    </xf>
    <xf numFmtId="43" fontId="3" fillId="0" borderId="3" xfId="1" applyFont="1" applyBorder="1"/>
    <xf numFmtId="43" fontId="4" fillId="0" borderId="0" xfId="1" applyFont="1" applyBorder="1"/>
    <xf numFmtId="43" fontId="4" fillId="0" borderId="6" xfId="1" applyFont="1" applyBorder="1"/>
    <xf numFmtId="43" fontId="4" fillId="0" borderId="0" xfId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2" fontId="3" fillId="2" borderId="3" xfId="1" applyNumberFormat="1" applyFont="1" applyFill="1" applyBorder="1" applyAlignment="1">
      <alignment horizontal="center"/>
    </xf>
    <xf numFmtId="2" fontId="4" fillId="2" borderId="0" xfId="1" applyNumberFormat="1" applyFont="1" applyFill="1" applyBorder="1" applyAlignment="1">
      <alignment horizontal="center"/>
    </xf>
    <xf numFmtId="2" fontId="4" fillId="2" borderId="6" xfId="1" applyNumberFormat="1" applyFont="1" applyFill="1" applyBorder="1" applyAlignment="1">
      <alignment horizontal="center"/>
    </xf>
    <xf numFmtId="0" fontId="3" fillId="2" borderId="3" xfId="0" applyFont="1" applyFill="1" applyBorder="1"/>
    <xf numFmtId="2" fontId="4" fillId="2" borderId="0" xfId="1" applyNumberFormat="1" applyFont="1" applyFill="1" applyBorder="1" applyAlignment="1">
      <alignment horizontal="center" vertical="center"/>
    </xf>
    <xf numFmtId="0" fontId="4" fillId="2" borderId="6" xfId="0" applyFont="1" applyFill="1" applyBorder="1"/>
    <xf numFmtId="1" fontId="4" fillId="0" borderId="0" xfId="1" applyNumberFormat="1" applyFont="1" applyBorder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AE124-03A4-4C29-9C7A-E1B39D68D8FE}">
  <dimension ref="A1:E31"/>
  <sheetViews>
    <sheetView workbookViewId="0">
      <selection activeCell="E29" sqref="E29"/>
    </sheetView>
  </sheetViews>
  <sheetFormatPr defaultRowHeight="14.25"/>
  <cols>
    <col min="1" max="1" width="10.5" customWidth="1"/>
    <col min="2" max="2" width="15.75" customWidth="1"/>
    <col min="3" max="3" width="26.75" customWidth="1"/>
    <col min="4" max="4" width="15.75" customWidth="1"/>
    <col min="5" max="5" width="18.125" bestFit="1" customWidth="1"/>
  </cols>
  <sheetData>
    <row r="1" spans="1:5" ht="15" customHeight="1">
      <c r="B1" s="60" t="s">
        <v>82</v>
      </c>
      <c r="C1" s="60"/>
      <c r="D1" s="60"/>
      <c r="E1" s="60"/>
    </row>
    <row r="2" spans="1:5" ht="15" customHeight="1">
      <c r="B2" s="60"/>
      <c r="C2" s="60"/>
      <c r="D2" s="60"/>
      <c r="E2" s="60"/>
    </row>
    <row r="3" spans="1:5" ht="15" customHeight="1">
      <c r="B3" s="60"/>
      <c r="C3" s="60"/>
      <c r="D3" s="60"/>
      <c r="E3" s="60"/>
    </row>
    <row r="4" spans="1:5" ht="15" customHeight="1">
      <c r="B4" s="60"/>
      <c r="C4" s="60"/>
      <c r="D4" s="60"/>
      <c r="E4" s="60"/>
    </row>
    <row r="5" spans="1:5" ht="15" customHeight="1">
      <c r="B5" s="60"/>
      <c r="C5" s="60"/>
      <c r="D5" s="60"/>
      <c r="E5" s="60"/>
    </row>
    <row r="6" spans="1:5" ht="15" customHeight="1">
      <c r="B6" s="60"/>
      <c r="C6" s="60"/>
      <c r="D6" s="60"/>
      <c r="E6" s="60"/>
    </row>
    <row r="7" spans="1:5" ht="15" customHeight="1">
      <c r="B7" s="60"/>
      <c r="C7" s="60"/>
      <c r="D7" s="60"/>
      <c r="E7" s="60"/>
    </row>
    <row r="9" spans="1:5" ht="15.75">
      <c r="A9" s="3"/>
      <c r="B9" s="23"/>
      <c r="C9" s="26" t="s">
        <v>0</v>
      </c>
      <c r="D9" s="26" t="s">
        <v>1</v>
      </c>
      <c r="E9" s="26" t="s">
        <v>2</v>
      </c>
    </row>
    <row r="10" spans="1:5" ht="15.75">
      <c r="A10" s="3"/>
      <c r="B10" s="26" t="s">
        <v>3</v>
      </c>
      <c r="C10" s="24" t="s">
        <v>73</v>
      </c>
      <c r="D10" s="24">
        <v>2027</v>
      </c>
      <c r="E10" s="25">
        <f>'CLIN 0001 (Base)'!M89</f>
        <v>0</v>
      </c>
    </row>
    <row r="11" spans="1:5" ht="15.75">
      <c r="A11" s="3"/>
      <c r="B11" s="26" t="s">
        <v>4</v>
      </c>
      <c r="C11" s="24" t="s">
        <v>6</v>
      </c>
      <c r="D11" s="24">
        <v>2028</v>
      </c>
      <c r="E11" s="25">
        <f>'CLIN 0002 (OY1)'!M89</f>
        <v>0</v>
      </c>
    </row>
    <row r="12" spans="1:5" ht="15.75">
      <c r="A12" s="3"/>
      <c r="B12" s="26" t="s">
        <v>5</v>
      </c>
      <c r="C12" s="24" t="s">
        <v>8</v>
      </c>
      <c r="D12" s="24">
        <v>2029</v>
      </c>
      <c r="E12" s="25">
        <f>'CLIN 0003 (OY2)'!M95</f>
        <v>0</v>
      </c>
    </row>
    <row r="13" spans="1:5" ht="15.75">
      <c r="A13" s="3"/>
      <c r="B13" s="26" t="s">
        <v>7</v>
      </c>
      <c r="C13" s="24" t="s">
        <v>75</v>
      </c>
      <c r="D13" s="24">
        <v>2030</v>
      </c>
      <c r="E13" s="25">
        <f>'CLIN 0004 (OY3)'!M97</f>
        <v>0</v>
      </c>
    </row>
    <row r="14" spans="1:5" ht="15.75">
      <c r="A14" s="3"/>
      <c r="B14" s="26" t="s">
        <v>9</v>
      </c>
      <c r="C14" s="24" t="s">
        <v>74</v>
      </c>
      <c r="D14" s="24">
        <v>2031</v>
      </c>
      <c r="E14" s="25">
        <f>'CLIN 0005 (OY4)'!M98</f>
        <v>0</v>
      </c>
    </row>
    <row r="15" spans="1:5" ht="15.75">
      <c r="A15" s="3"/>
      <c r="B15" s="26" t="s">
        <v>71</v>
      </c>
      <c r="C15" s="24" t="s">
        <v>119</v>
      </c>
      <c r="D15" s="24">
        <v>2032</v>
      </c>
      <c r="E15" s="25">
        <f>'6-Month Add'!M98</f>
        <v>0</v>
      </c>
    </row>
    <row r="16" spans="1:5" ht="15.75">
      <c r="A16" s="3"/>
      <c r="B16" s="3"/>
      <c r="C16" s="3"/>
      <c r="D16" s="3"/>
    </row>
    <row r="17" spans="1:5" ht="16.5" thickBot="1">
      <c r="E17" s="27">
        <f>SUM(E10:E15)</f>
        <v>0</v>
      </c>
    </row>
    <row r="18" spans="1:5" ht="15.75" thickTop="1">
      <c r="A18" s="39" t="s">
        <v>83</v>
      </c>
    </row>
    <row r="20" spans="1:5" ht="15.75">
      <c r="A20" s="21" t="s">
        <v>120</v>
      </c>
    </row>
    <row r="21" spans="1:5" ht="15.75">
      <c r="A21" s="21" t="s">
        <v>121</v>
      </c>
    </row>
    <row r="22" spans="1:5" ht="15.75">
      <c r="A22" s="21" t="s">
        <v>122</v>
      </c>
    </row>
    <row r="23" spans="1:5" ht="15.75">
      <c r="A23" s="21" t="s">
        <v>123</v>
      </c>
    </row>
    <row r="24" spans="1:5" ht="15">
      <c r="A24" s="37"/>
    </row>
    <row r="25" spans="1:5" ht="15">
      <c r="A25" s="37"/>
    </row>
    <row r="26" spans="1:5" ht="15">
      <c r="A26" s="37"/>
    </row>
    <row r="27" spans="1:5" ht="15">
      <c r="A27" s="37"/>
    </row>
    <row r="28" spans="1:5">
      <c r="A28" s="40"/>
    </row>
    <row r="29" spans="1:5" ht="15">
      <c r="A29" s="37"/>
    </row>
    <row r="30" spans="1:5" ht="15">
      <c r="A30" s="37"/>
    </row>
    <row r="31" spans="1:5" ht="15">
      <c r="A31" s="37"/>
    </row>
  </sheetData>
  <mergeCells count="1">
    <mergeCell ref="B1:E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F9BE7-6AA2-4525-8DE3-F50EF1C28D91}">
  <dimension ref="A1:O91"/>
  <sheetViews>
    <sheetView tabSelected="1" topLeftCell="C1" zoomScaleNormal="100" workbookViewId="0">
      <selection activeCell="K3" sqref="K3"/>
    </sheetView>
  </sheetViews>
  <sheetFormatPr defaultColWidth="9.125" defaultRowHeight="15.75"/>
  <cols>
    <col min="1" max="1" width="24.75" style="3" bestFit="1" customWidth="1"/>
    <col min="2" max="2" width="15.75" style="4" customWidth="1"/>
    <col min="3" max="3" width="53.375" style="14" bestFit="1" customWidth="1"/>
    <col min="4" max="5" width="24.75" style="4" customWidth="1"/>
    <col min="6" max="10" width="24.75" style="3" customWidth="1"/>
    <col min="11" max="11" width="6.375" style="3" bestFit="1" customWidth="1"/>
    <col min="12" max="13" width="24.75" style="3" customWidth="1"/>
    <col min="14" max="19" width="15.75" style="3" customWidth="1"/>
    <col min="20" max="16384" width="9.125" style="3"/>
  </cols>
  <sheetData>
    <row r="1" spans="1:14" s="1" customFormat="1" ht="51.6" customHeight="1" thickTop="1" thickBot="1">
      <c r="A1" s="18" t="s">
        <v>10</v>
      </c>
      <c r="B1" s="18" t="s">
        <v>11</v>
      </c>
      <c r="C1" s="18" t="s">
        <v>12</v>
      </c>
      <c r="D1" s="18" t="s">
        <v>13</v>
      </c>
      <c r="E1" s="18" t="s">
        <v>65</v>
      </c>
      <c r="F1" s="18" t="s">
        <v>14</v>
      </c>
      <c r="G1" s="18" t="s">
        <v>15</v>
      </c>
      <c r="H1" s="18" t="s">
        <v>16</v>
      </c>
      <c r="I1" s="18" t="s">
        <v>17</v>
      </c>
      <c r="J1" s="18" t="s">
        <v>18</v>
      </c>
      <c r="K1" s="52"/>
      <c r="L1" s="18" t="s">
        <v>19</v>
      </c>
      <c r="M1" s="42" t="s">
        <v>20</v>
      </c>
      <c r="N1" s="47"/>
    </row>
    <row r="2" spans="1:14" s="2" customFormat="1" ht="16.5" thickTop="1">
      <c r="A2" s="63" t="s">
        <v>21</v>
      </c>
      <c r="B2" s="61" t="s">
        <v>22</v>
      </c>
      <c r="C2" s="19"/>
      <c r="D2" s="5" t="s">
        <v>23</v>
      </c>
      <c r="E2" s="31">
        <f>SUM(E3:E6)</f>
        <v>5875</v>
      </c>
      <c r="F2" s="6"/>
      <c r="G2" s="6"/>
      <c r="H2" s="6"/>
      <c r="I2" s="6"/>
      <c r="J2" s="6"/>
      <c r="K2" s="53"/>
      <c r="L2" s="6"/>
      <c r="M2" s="43">
        <f>SUM(M3:M8)</f>
        <v>0</v>
      </c>
      <c r="N2" s="48"/>
    </row>
    <row r="3" spans="1:14">
      <c r="A3" s="64"/>
      <c r="B3" s="62"/>
      <c r="C3" s="14" t="s">
        <v>24</v>
      </c>
      <c r="D3" s="15"/>
      <c r="E3" s="4">
        <v>1250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54">
        <v>0</v>
      </c>
      <c r="L3" s="8">
        <v>3.5</v>
      </c>
      <c r="M3" s="44">
        <f>(E3*F3*L3)+(G3*E3)+((H3+I3+J3)*E3)</f>
        <v>0</v>
      </c>
      <c r="N3" s="7"/>
    </row>
    <row r="4" spans="1:14">
      <c r="A4" s="64"/>
      <c r="B4" s="62"/>
      <c r="C4" s="14" t="s">
        <v>25</v>
      </c>
      <c r="D4" s="15"/>
      <c r="E4" s="4">
        <v>3000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54">
        <v>0</v>
      </c>
      <c r="L4" s="8">
        <v>3.5</v>
      </c>
      <c r="M4" s="44">
        <f t="shared" ref="M4:M6" si="0">(E4*F4*L4)+(G4*E4)+((H4+I4+J4)*E4)</f>
        <v>0</v>
      </c>
      <c r="N4" s="7"/>
    </row>
    <row r="5" spans="1:14">
      <c r="A5" s="64"/>
      <c r="B5" s="62"/>
      <c r="C5" s="14" t="s">
        <v>26</v>
      </c>
      <c r="D5" s="15"/>
      <c r="E5" s="4">
        <v>1250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54">
        <v>0</v>
      </c>
      <c r="L5" s="8">
        <v>3.5</v>
      </c>
      <c r="M5" s="44">
        <f t="shared" si="0"/>
        <v>0</v>
      </c>
      <c r="N5" s="7"/>
    </row>
    <row r="6" spans="1:14">
      <c r="A6" s="64"/>
      <c r="B6" s="62"/>
      <c r="C6" s="14" t="s">
        <v>27</v>
      </c>
      <c r="D6" s="15"/>
      <c r="E6" s="4">
        <v>375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54">
        <v>0</v>
      </c>
      <c r="L6" s="8">
        <v>3.5</v>
      </c>
      <c r="M6" s="44">
        <f t="shared" si="0"/>
        <v>0</v>
      </c>
      <c r="N6" s="7"/>
    </row>
    <row r="7" spans="1:14">
      <c r="A7" s="64"/>
      <c r="B7" s="62"/>
      <c r="C7" s="14" t="s">
        <v>28</v>
      </c>
      <c r="D7" s="4">
        <v>1001</v>
      </c>
      <c r="E7" s="32"/>
      <c r="F7" s="8"/>
      <c r="G7" s="8"/>
      <c r="H7" s="8"/>
      <c r="I7" s="8"/>
      <c r="J7" s="8"/>
      <c r="K7" s="54"/>
      <c r="L7" s="8"/>
      <c r="M7" s="46">
        <v>0</v>
      </c>
      <c r="N7" s="7"/>
    </row>
    <row r="8" spans="1:14">
      <c r="A8" s="64"/>
      <c r="B8" s="62"/>
      <c r="C8" s="14" t="s">
        <v>29</v>
      </c>
      <c r="D8" s="4">
        <v>1002</v>
      </c>
      <c r="E8" s="32"/>
      <c r="F8" s="8"/>
      <c r="G8" s="8"/>
      <c r="H8" s="8"/>
      <c r="I8" s="8"/>
      <c r="J8" s="8"/>
      <c r="K8" s="54"/>
      <c r="L8" s="8"/>
      <c r="M8" s="46">
        <v>0</v>
      </c>
      <c r="N8" s="7"/>
    </row>
    <row r="9" spans="1:14" ht="16.5" thickBot="1">
      <c r="A9" s="9"/>
      <c r="B9" s="10"/>
      <c r="C9" s="29"/>
      <c r="D9" s="10"/>
      <c r="E9" s="33"/>
      <c r="F9" s="11"/>
      <c r="G9" s="11"/>
      <c r="H9" s="11"/>
      <c r="I9" s="11"/>
      <c r="J9" s="11"/>
      <c r="K9" s="55"/>
      <c r="L9" s="11"/>
      <c r="M9" s="45"/>
      <c r="N9" s="7"/>
    </row>
    <row r="10" spans="1:14" s="2" customFormat="1" ht="16.5" thickTop="1">
      <c r="A10" s="63" t="s">
        <v>30</v>
      </c>
      <c r="B10" s="61" t="s">
        <v>31</v>
      </c>
      <c r="C10" s="19"/>
      <c r="D10" s="5" t="s">
        <v>23</v>
      </c>
      <c r="E10" s="31">
        <f>SUM(E11:E14)</f>
        <v>2750</v>
      </c>
      <c r="F10" s="12"/>
      <c r="G10" s="12"/>
      <c r="H10" s="12"/>
      <c r="I10" s="12"/>
      <c r="J10" s="12"/>
      <c r="K10" s="56"/>
      <c r="L10" s="12"/>
      <c r="M10" s="43">
        <f>SUM(M11:M16)</f>
        <v>0</v>
      </c>
      <c r="N10" s="48"/>
    </row>
    <row r="11" spans="1:14">
      <c r="A11" s="64"/>
      <c r="B11" s="62"/>
      <c r="C11" s="14" t="s">
        <v>32</v>
      </c>
      <c r="D11" s="15"/>
      <c r="E11" s="4">
        <v>750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54">
        <f>(F11+G11+H11)</f>
        <v>0</v>
      </c>
      <c r="L11" s="8">
        <v>3.5</v>
      </c>
      <c r="M11" s="44">
        <f t="shared" ref="M11:M14" si="1">(E11*F11*L11)+(G11*E11)+((H11+I11+J11)*E11)</f>
        <v>0</v>
      </c>
      <c r="N11" s="7"/>
    </row>
    <row r="12" spans="1:14">
      <c r="A12" s="64"/>
      <c r="B12" s="62"/>
      <c r="C12" s="14" t="s">
        <v>33</v>
      </c>
      <c r="D12" s="15"/>
      <c r="E12" s="4">
        <v>1500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54">
        <f>(F12+G12+H12)</f>
        <v>0</v>
      </c>
      <c r="L12" s="8">
        <v>3.5</v>
      </c>
      <c r="M12" s="44">
        <f t="shared" si="1"/>
        <v>0</v>
      </c>
      <c r="N12" s="7"/>
    </row>
    <row r="13" spans="1:14">
      <c r="A13" s="64"/>
      <c r="B13" s="62"/>
      <c r="C13" s="16" t="s">
        <v>79</v>
      </c>
      <c r="D13" s="15"/>
      <c r="E13" s="4">
        <v>500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54">
        <v>0</v>
      </c>
      <c r="L13" s="8">
        <v>3.5</v>
      </c>
      <c r="M13" s="44">
        <f>(E13*F13*L13)+(G13*E13)+((H13+I13+J13)*E13)</f>
        <v>0</v>
      </c>
      <c r="N13" s="7"/>
    </row>
    <row r="14" spans="1:14">
      <c r="A14" s="64"/>
      <c r="B14" s="62"/>
      <c r="D14" s="15"/>
      <c r="F14" s="8"/>
      <c r="G14" s="8"/>
      <c r="H14" s="8"/>
      <c r="I14" s="8"/>
      <c r="J14" s="8"/>
      <c r="K14" s="54"/>
      <c r="L14" s="8"/>
      <c r="M14" s="44">
        <f t="shared" si="1"/>
        <v>0</v>
      </c>
      <c r="N14" s="7"/>
    </row>
    <row r="15" spans="1:14">
      <c r="A15" s="64"/>
      <c r="B15" s="62"/>
      <c r="C15" s="14" t="s">
        <v>28</v>
      </c>
      <c r="D15" s="4">
        <v>1001</v>
      </c>
      <c r="E15" s="32"/>
      <c r="F15" s="8"/>
      <c r="G15" s="8"/>
      <c r="H15" s="8"/>
      <c r="I15" s="8"/>
      <c r="J15" s="8"/>
      <c r="K15" s="54"/>
      <c r="L15" s="8"/>
      <c r="M15" s="46">
        <v>0</v>
      </c>
      <c r="N15" s="7"/>
    </row>
    <row r="16" spans="1:14">
      <c r="A16" s="64"/>
      <c r="B16" s="62"/>
      <c r="C16" s="14" t="s">
        <v>29</v>
      </c>
      <c r="D16" s="4">
        <v>1002</v>
      </c>
      <c r="E16" s="32"/>
      <c r="F16" s="8"/>
      <c r="G16" s="8"/>
      <c r="H16" s="8"/>
      <c r="I16" s="8"/>
      <c r="J16" s="8"/>
      <c r="K16" s="54"/>
      <c r="L16" s="8"/>
      <c r="M16" s="46">
        <v>0</v>
      </c>
      <c r="N16" s="7"/>
    </row>
    <row r="17" spans="1:14" ht="16.5" thickBot="1">
      <c r="A17" s="7"/>
      <c r="E17" s="32"/>
      <c r="F17" s="8"/>
      <c r="G17" s="8"/>
      <c r="H17" s="8"/>
      <c r="I17" s="8"/>
      <c r="J17" s="8"/>
      <c r="K17" s="54"/>
      <c r="L17" s="8"/>
      <c r="M17" s="44"/>
      <c r="N17" s="7"/>
    </row>
    <row r="18" spans="1:14" s="2" customFormat="1" ht="16.5" thickTop="1">
      <c r="A18" s="63" t="s">
        <v>34</v>
      </c>
      <c r="B18" s="61" t="s">
        <v>35</v>
      </c>
      <c r="C18" s="19"/>
      <c r="D18" s="5" t="s">
        <v>23</v>
      </c>
      <c r="E18" s="31">
        <f>SUM(E19:E22)</f>
        <v>3275</v>
      </c>
      <c r="F18" s="12"/>
      <c r="G18" s="12"/>
      <c r="H18" s="12"/>
      <c r="I18" s="12"/>
      <c r="J18" s="12"/>
      <c r="K18" s="56"/>
      <c r="L18" s="12"/>
      <c r="M18" s="43">
        <f>SUM(M19:M24)</f>
        <v>0</v>
      </c>
      <c r="N18" s="48"/>
    </row>
    <row r="19" spans="1:14" s="2" customFormat="1">
      <c r="A19" s="64"/>
      <c r="B19" s="62"/>
      <c r="C19" s="14" t="s">
        <v>36</v>
      </c>
      <c r="D19" s="15"/>
      <c r="E19" s="4">
        <v>2750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54">
        <f>(F19+G19+H19)</f>
        <v>0</v>
      </c>
      <c r="L19" s="8">
        <v>3.5</v>
      </c>
      <c r="M19" s="44">
        <f t="shared" ref="M19:M22" si="2">(E19*F19*L19)+(G19*E19)+((H19+I19+J19)*E19)</f>
        <v>0</v>
      </c>
      <c r="N19" s="48"/>
    </row>
    <row r="20" spans="1:14" s="28" customFormat="1">
      <c r="A20" s="64"/>
      <c r="B20" s="62"/>
      <c r="C20" s="16" t="s">
        <v>81</v>
      </c>
      <c r="D20" s="15"/>
      <c r="E20" s="14">
        <v>525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57">
        <f>(F20+G20+H20)</f>
        <v>0</v>
      </c>
      <c r="L20" s="17">
        <v>3.5</v>
      </c>
      <c r="M20" s="44">
        <f t="shared" si="2"/>
        <v>0</v>
      </c>
      <c r="N20" s="49"/>
    </row>
    <row r="21" spans="1:14" s="2" customFormat="1">
      <c r="A21" s="64"/>
      <c r="B21" s="62"/>
      <c r="C21" s="14"/>
      <c r="D21" s="15"/>
      <c r="E21" s="32"/>
      <c r="F21" s="8"/>
      <c r="G21" s="8"/>
      <c r="H21" s="8"/>
      <c r="I21" s="8"/>
      <c r="J21" s="8"/>
      <c r="K21" s="54"/>
      <c r="L21" s="8"/>
      <c r="M21" s="44">
        <f t="shared" si="2"/>
        <v>0</v>
      </c>
      <c r="N21" s="48"/>
    </row>
    <row r="22" spans="1:14">
      <c r="A22" s="64"/>
      <c r="B22" s="62"/>
      <c r="D22" s="15"/>
      <c r="E22" s="32"/>
      <c r="F22" s="8"/>
      <c r="G22" s="8"/>
      <c r="H22" s="8"/>
      <c r="I22" s="8"/>
      <c r="J22" s="8"/>
      <c r="K22" s="54"/>
      <c r="L22" s="8"/>
      <c r="M22" s="44">
        <f t="shared" si="2"/>
        <v>0</v>
      </c>
      <c r="N22" s="7"/>
    </row>
    <row r="23" spans="1:14">
      <c r="A23" s="64"/>
      <c r="B23" s="62"/>
      <c r="C23" s="14" t="s">
        <v>28</v>
      </c>
      <c r="D23" s="4">
        <v>1001</v>
      </c>
      <c r="E23" s="32"/>
      <c r="F23" s="8"/>
      <c r="G23" s="8"/>
      <c r="H23" s="8"/>
      <c r="I23" s="8"/>
      <c r="J23" s="8"/>
      <c r="K23" s="54"/>
      <c r="L23" s="8"/>
      <c r="M23" s="46">
        <v>0</v>
      </c>
      <c r="N23" s="7"/>
    </row>
    <row r="24" spans="1:14">
      <c r="A24" s="64"/>
      <c r="B24" s="62"/>
      <c r="C24" s="14" t="s">
        <v>29</v>
      </c>
      <c r="D24" s="4">
        <v>1002</v>
      </c>
      <c r="E24" s="32"/>
      <c r="F24" s="8"/>
      <c r="G24" s="8"/>
      <c r="H24" s="8"/>
      <c r="I24" s="8"/>
      <c r="J24" s="8"/>
      <c r="K24" s="54"/>
      <c r="L24" s="8"/>
      <c r="M24" s="46">
        <v>0</v>
      </c>
      <c r="N24" s="7"/>
    </row>
    <row r="25" spans="1:14" ht="16.5" thickBot="1">
      <c r="A25" s="9"/>
      <c r="B25" s="10"/>
      <c r="C25" s="29"/>
      <c r="D25" s="10"/>
      <c r="E25" s="33"/>
      <c r="F25" s="11"/>
      <c r="G25" s="11"/>
      <c r="H25" s="11"/>
      <c r="I25" s="11"/>
      <c r="J25" s="11"/>
      <c r="K25" s="55"/>
      <c r="L25" s="11"/>
      <c r="M25" s="45"/>
      <c r="N25" s="7"/>
    </row>
    <row r="26" spans="1:14" s="2" customFormat="1" ht="16.5" thickTop="1">
      <c r="A26" s="63" t="s">
        <v>37</v>
      </c>
      <c r="B26" s="61" t="s">
        <v>38</v>
      </c>
      <c r="C26" s="19"/>
      <c r="D26" s="5" t="s">
        <v>23</v>
      </c>
      <c r="E26" s="31">
        <f>SUM(E27:E30)</f>
        <v>2625</v>
      </c>
      <c r="F26" s="12"/>
      <c r="G26" s="12"/>
      <c r="H26" s="12"/>
      <c r="I26" s="12"/>
      <c r="J26" s="12"/>
      <c r="K26" s="56"/>
      <c r="L26" s="12"/>
      <c r="M26" s="43">
        <f>SUM(M27:M32)</f>
        <v>0</v>
      </c>
      <c r="N26" s="48"/>
    </row>
    <row r="27" spans="1:14" s="15" customFormat="1">
      <c r="A27" s="64"/>
      <c r="B27" s="62"/>
      <c r="C27" s="16" t="s">
        <v>39</v>
      </c>
      <c r="E27" s="14">
        <v>2250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57">
        <f>(F27+G27+H27)</f>
        <v>0</v>
      </c>
      <c r="L27" s="17">
        <v>3.5</v>
      </c>
      <c r="M27" s="44">
        <f t="shared" ref="M27:M30" si="3">(E27*F27*L27)+(G27*E27)+((H27+I27+J27)*E27)</f>
        <v>0</v>
      </c>
      <c r="N27" s="50"/>
    </row>
    <row r="28" spans="1:14" s="15" customFormat="1">
      <c r="A28" s="64"/>
      <c r="B28" s="62"/>
      <c r="C28" s="16" t="s">
        <v>84</v>
      </c>
      <c r="E28" s="14">
        <v>375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57">
        <f>(F28+G28+H28)</f>
        <v>0</v>
      </c>
      <c r="L28" s="17">
        <v>3.5</v>
      </c>
      <c r="M28" s="44">
        <f t="shared" si="3"/>
        <v>0</v>
      </c>
      <c r="N28" s="50"/>
    </row>
    <row r="29" spans="1:14">
      <c r="A29" s="64"/>
      <c r="B29" s="62"/>
      <c r="D29" s="15"/>
      <c r="E29" s="32"/>
      <c r="F29" s="17"/>
      <c r="G29" s="17"/>
      <c r="H29" s="17"/>
      <c r="I29" s="17"/>
      <c r="J29" s="17"/>
      <c r="K29" s="54"/>
      <c r="L29" s="8"/>
      <c r="M29" s="44">
        <f t="shared" si="3"/>
        <v>0</v>
      </c>
      <c r="N29" s="7"/>
    </row>
    <row r="30" spans="1:14">
      <c r="A30" s="64"/>
      <c r="B30" s="62"/>
      <c r="D30" s="15"/>
      <c r="E30" s="32"/>
      <c r="F30" s="17"/>
      <c r="G30" s="17"/>
      <c r="H30" s="17"/>
      <c r="I30" s="17"/>
      <c r="J30" s="17"/>
      <c r="K30" s="54"/>
      <c r="L30" s="8"/>
      <c r="M30" s="44">
        <f t="shared" si="3"/>
        <v>0</v>
      </c>
      <c r="N30" s="7"/>
    </row>
    <row r="31" spans="1:14">
      <c r="A31" s="64"/>
      <c r="B31" s="62"/>
      <c r="C31" s="14" t="s">
        <v>28</v>
      </c>
      <c r="D31" s="4">
        <v>1001</v>
      </c>
      <c r="E31" s="32"/>
      <c r="F31" s="8"/>
      <c r="G31" s="8"/>
      <c r="H31" s="8"/>
      <c r="I31" s="8"/>
      <c r="J31" s="8"/>
      <c r="K31" s="54"/>
      <c r="L31" s="8"/>
      <c r="M31" s="46">
        <v>0</v>
      </c>
      <c r="N31" s="7"/>
    </row>
    <row r="32" spans="1:14">
      <c r="A32" s="64"/>
      <c r="B32" s="62"/>
      <c r="C32" s="14" t="s">
        <v>29</v>
      </c>
      <c r="D32" s="4">
        <v>1002</v>
      </c>
      <c r="E32" s="32"/>
      <c r="F32" s="8"/>
      <c r="G32" s="8"/>
      <c r="H32" s="8"/>
      <c r="I32" s="8"/>
      <c r="J32" s="8"/>
      <c r="K32" s="54"/>
      <c r="L32" s="8"/>
      <c r="M32" s="46">
        <v>0</v>
      </c>
      <c r="N32" s="7"/>
    </row>
    <row r="33" spans="1:14" ht="16.5" thickBot="1">
      <c r="A33" s="9"/>
      <c r="B33" s="10"/>
      <c r="C33" s="29"/>
      <c r="D33" s="10"/>
      <c r="E33" s="33"/>
      <c r="F33" s="13"/>
      <c r="G33" s="13"/>
      <c r="H33" s="13"/>
      <c r="I33" s="13"/>
      <c r="J33" s="13"/>
      <c r="K33" s="58"/>
      <c r="L33" s="13"/>
      <c r="M33" s="13"/>
      <c r="N33" s="7"/>
    </row>
    <row r="34" spans="1:14" s="2" customFormat="1" ht="16.5" thickTop="1">
      <c r="A34" s="63" t="s">
        <v>40</v>
      </c>
      <c r="B34" s="61" t="s">
        <v>41</v>
      </c>
      <c r="C34" s="19"/>
      <c r="D34" s="5" t="s">
        <v>23</v>
      </c>
      <c r="E34" s="31">
        <f>SUM(E35:E38)</f>
        <v>4450</v>
      </c>
      <c r="F34" s="12"/>
      <c r="G34" s="12"/>
      <c r="H34" s="12"/>
      <c r="I34" s="12"/>
      <c r="J34" s="12"/>
      <c r="K34" s="56"/>
      <c r="L34" s="12"/>
      <c r="M34" s="43">
        <f>SUM(M35:M40)</f>
        <v>0</v>
      </c>
      <c r="N34" s="48"/>
    </row>
    <row r="35" spans="1:14" s="15" customFormat="1">
      <c r="A35" s="64"/>
      <c r="B35" s="62"/>
      <c r="C35" s="16" t="s">
        <v>42</v>
      </c>
      <c r="E35" s="14">
        <v>2500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57">
        <f>(F35+G35+H35)</f>
        <v>0</v>
      </c>
      <c r="L35" s="17">
        <v>3.5</v>
      </c>
      <c r="M35" s="44">
        <f t="shared" ref="M35:M38" si="4">(E35*F35*L35)+(G35*E35)+((H35+I35+J35)*E35)</f>
        <v>0</v>
      </c>
      <c r="N35" s="50"/>
    </row>
    <row r="36" spans="1:14">
      <c r="A36" s="64"/>
      <c r="B36" s="62"/>
      <c r="C36" s="14" t="s">
        <v>33</v>
      </c>
      <c r="D36" s="15"/>
      <c r="E36" s="4">
        <v>1000</v>
      </c>
      <c r="F36" s="8">
        <v>0</v>
      </c>
      <c r="G36" s="8">
        <v>0</v>
      </c>
      <c r="H36" s="17">
        <v>0</v>
      </c>
      <c r="I36" s="17">
        <v>0</v>
      </c>
      <c r="J36" s="17">
        <v>0</v>
      </c>
      <c r="K36" s="54">
        <f>(F36+G36+H36)</f>
        <v>0</v>
      </c>
      <c r="L36" s="8">
        <v>3.5</v>
      </c>
      <c r="M36" s="44">
        <f t="shared" si="4"/>
        <v>0</v>
      </c>
      <c r="N36" s="7"/>
    </row>
    <row r="37" spans="1:14">
      <c r="A37" s="64"/>
      <c r="B37" s="62"/>
      <c r="C37" s="14" t="s">
        <v>27</v>
      </c>
      <c r="D37" s="15"/>
      <c r="E37" s="4">
        <v>500</v>
      </c>
      <c r="F37" s="8">
        <v>0</v>
      </c>
      <c r="G37" s="8">
        <v>0</v>
      </c>
      <c r="H37" s="17">
        <v>0</v>
      </c>
      <c r="I37" s="17">
        <v>0</v>
      </c>
      <c r="J37" s="17">
        <v>0</v>
      </c>
      <c r="K37" s="54">
        <f t="shared" ref="K37:K38" si="5">(F37+G37+H37)</f>
        <v>0</v>
      </c>
      <c r="L37" s="8">
        <v>3.5</v>
      </c>
      <c r="M37" s="44">
        <f t="shared" si="4"/>
        <v>0</v>
      </c>
      <c r="N37" s="7"/>
    </row>
    <row r="38" spans="1:14" s="15" customFormat="1">
      <c r="A38" s="64"/>
      <c r="B38" s="62"/>
      <c r="C38" s="16" t="s">
        <v>78</v>
      </c>
      <c r="E38" s="14">
        <v>450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57">
        <f t="shared" si="5"/>
        <v>0</v>
      </c>
      <c r="L38" s="17">
        <v>3.5</v>
      </c>
      <c r="M38" s="44">
        <f t="shared" si="4"/>
        <v>0</v>
      </c>
      <c r="N38" s="50"/>
    </row>
    <row r="39" spans="1:14">
      <c r="A39" s="64"/>
      <c r="B39" s="62"/>
      <c r="C39" s="14" t="s">
        <v>28</v>
      </c>
      <c r="D39" s="4">
        <v>1001</v>
      </c>
      <c r="E39" s="32"/>
      <c r="F39" s="8"/>
      <c r="G39" s="8"/>
      <c r="H39" s="8"/>
      <c r="I39" s="8"/>
      <c r="J39" s="8"/>
      <c r="K39" s="54"/>
      <c r="L39" s="8"/>
      <c r="M39" s="46">
        <v>0</v>
      </c>
      <c r="N39" s="7"/>
    </row>
    <row r="40" spans="1:14">
      <c r="A40" s="64"/>
      <c r="B40" s="62"/>
      <c r="C40" s="14" t="s">
        <v>29</v>
      </c>
      <c r="D40" s="4">
        <v>1002</v>
      </c>
      <c r="E40" s="32"/>
      <c r="F40" s="8"/>
      <c r="G40" s="8"/>
      <c r="H40" s="8"/>
      <c r="I40" s="8"/>
      <c r="J40" s="8"/>
      <c r="K40" s="54"/>
      <c r="L40" s="8"/>
      <c r="M40" s="46">
        <v>0</v>
      </c>
      <c r="N40" s="7"/>
    </row>
    <row r="41" spans="1:14" ht="16.5" thickBot="1">
      <c r="A41" s="9"/>
      <c r="B41" s="13"/>
      <c r="C41" s="29"/>
      <c r="D41" s="10"/>
      <c r="E41" s="33"/>
      <c r="F41" s="13"/>
      <c r="G41" s="13"/>
      <c r="H41" s="13"/>
      <c r="I41" s="13"/>
      <c r="J41" s="13"/>
      <c r="K41" s="58"/>
      <c r="L41" s="13"/>
      <c r="M41" s="13"/>
      <c r="N41" s="7"/>
    </row>
    <row r="42" spans="1:14" s="2" customFormat="1" ht="16.5" thickTop="1">
      <c r="A42" s="63" t="s">
        <v>43</v>
      </c>
      <c r="B42" s="61" t="s">
        <v>44</v>
      </c>
      <c r="C42" s="19"/>
      <c r="D42" s="5" t="s">
        <v>23</v>
      </c>
      <c r="E42" s="31">
        <f>SUM(E43:E45)</f>
        <v>1375</v>
      </c>
      <c r="F42" s="12"/>
      <c r="G42" s="12"/>
      <c r="H42" s="12"/>
      <c r="I42" s="12"/>
      <c r="J42" s="12"/>
      <c r="K42" s="56"/>
      <c r="L42" s="12"/>
      <c r="M42" s="43">
        <f>SUM(M43:M47)</f>
        <v>0</v>
      </c>
      <c r="N42" s="48"/>
    </row>
    <row r="43" spans="1:14">
      <c r="A43" s="64"/>
      <c r="B43" s="62"/>
      <c r="C43" s="14" t="s">
        <v>26</v>
      </c>
      <c r="D43" s="15"/>
      <c r="E43" s="4">
        <v>1000</v>
      </c>
      <c r="F43" s="8">
        <v>0</v>
      </c>
      <c r="G43" s="8">
        <v>0</v>
      </c>
      <c r="H43" s="17">
        <v>0</v>
      </c>
      <c r="I43" s="8">
        <v>0</v>
      </c>
      <c r="J43" s="17">
        <v>0</v>
      </c>
      <c r="K43" s="54">
        <f>(F43+G43+H43)</f>
        <v>0</v>
      </c>
      <c r="L43" s="8">
        <v>3.5</v>
      </c>
      <c r="M43" s="44">
        <f t="shared" ref="M43:M45" si="6">(E43*F43*L43)+(G43*E43)+((H43+I43+J43)*E43)</f>
        <v>0</v>
      </c>
      <c r="N43" s="7"/>
    </row>
    <row r="44" spans="1:14" s="15" customFormat="1">
      <c r="A44" s="64"/>
      <c r="B44" s="62"/>
      <c r="C44" s="16" t="s">
        <v>85</v>
      </c>
      <c r="E44" s="14">
        <v>375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57">
        <f>(F44+G44+H44)</f>
        <v>0</v>
      </c>
      <c r="L44" s="17">
        <v>3.5</v>
      </c>
      <c r="M44" s="44">
        <f t="shared" si="6"/>
        <v>0</v>
      </c>
      <c r="N44" s="50"/>
    </row>
    <row r="45" spans="1:14">
      <c r="A45" s="64"/>
      <c r="B45" s="62"/>
      <c r="D45" s="15"/>
      <c r="E45" s="32"/>
      <c r="F45" s="8"/>
      <c r="G45" s="8"/>
      <c r="H45" s="8"/>
      <c r="I45" s="8"/>
      <c r="J45" s="8"/>
      <c r="K45" s="54"/>
      <c r="L45" s="8"/>
      <c r="M45" s="44">
        <f t="shared" si="6"/>
        <v>0</v>
      </c>
      <c r="N45" s="7"/>
    </row>
    <row r="46" spans="1:14">
      <c r="A46" s="64"/>
      <c r="B46" s="62"/>
      <c r="C46" s="14" t="s">
        <v>28</v>
      </c>
      <c r="D46" s="4">
        <v>1001</v>
      </c>
      <c r="E46" s="32"/>
      <c r="F46" s="8"/>
      <c r="G46" s="8"/>
      <c r="H46" s="8"/>
      <c r="I46" s="8"/>
      <c r="J46" s="8"/>
      <c r="K46" s="54"/>
      <c r="L46" s="8"/>
      <c r="M46" s="46">
        <v>0</v>
      </c>
      <c r="N46" s="7"/>
    </row>
    <row r="47" spans="1:14">
      <c r="A47" s="64"/>
      <c r="B47" s="62"/>
      <c r="C47" s="14" t="s">
        <v>29</v>
      </c>
      <c r="D47" s="4">
        <v>1002</v>
      </c>
      <c r="E47" s="32"/>
      <c r="F47" s="8"/>
      <c r="G47" s="8"/>
      <c r="H47" s="8"/>
      <c r="I47" s="8"/>
      <c r="J47" s="8"/>
      <c r="K47" s="54"/>
      <c r="L47" s="8"/>
      <c r="M47" s="46">
        <v>0</v>
      </c>
      <c r="N47" s="7"/>
    </row>
    <row r="48" spans="1:14" ht="16.5" thickBot="1">
      <c r="A48" s="9"/>
      <c r="B48" s="10"/>
      <c r="C48" s="29"/>
      <c r="D48" s="10"/>
      <c r="E48" s="33"/>
      <c r="F48" s="13"/>
      <c r="G48" s="13"/>
      <c r="H48" s="13"/>
      <c r="I48" s="13"/>
      <c r="J48" s="13"/>
      <c r="K48" s="58"/>
      <c r="L48" s="13"/>
      <c r="M48" s="13"/>
      <c r="N48" s="7"/>
    </row>
    <row r="49" spans="1:14" s="2" customFormat="1" ht="16.5" thickTop="1">
      <c r="A49" s="63" t="s">
        <v>45</v>
      </c>
      <c r="B49" s="61" t="s">
        <v>46</v>
      </c>
      <c r="C49" s="19"/>
      <c r="D49" s="5" t="s">
        <v>23</v>
      </c>
      <c r="E49" s="31">
        <f>SUM(E50:E50)</f>
        <v>3250</v>
      </c>
      <c r="F49" s="12"/>
      <c r="G49" s="12"/>
      <c r="H49" s="12"/>
      <c r="I49" s="12"/>
      <c r="J49" s="12"/>
      <c r="K49" s="56"/>
      <c r="L49" s="12"/>
      <c r="M49" s="43">
        <f>SUM(M50:M52)</f>
        <v>0</v>
      </c>
      <c r="N49" s="48"/>
    </row>
    <row r="50" spans="1:14" s="14" customFormat="1">
      <c r="A50" s="64"/>
      <c r="B50" s="62"/>
      <c r="C50" s="16" t="s">
        <v>72</v>
      </c>
      <c r="E50" s="34">
        <v>3250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57">
        <v>0</v>
      </c>
      <c r="L50" s="17">
        <v>0</v>
      </c>
      <c r="M50" s="44">
        <f t="shared" ref="M50" si="7">(E50*F50*L50)+(G50*E50)+((H50+I50+J50)*E50)</f>
        <v>0</v>
      </c>
      <c r="N50" s="51"/>
    </row>
    <row r="51" spans="1:14">
      <c r="A51" s="64"/>
      <c r="B51" s="62"/>
      <c r="C51" s="14" t="s">
        <v>28</v>
      </c>
      <c r="D51" s="4">
        <v>1001</v>
      </c>
      <c r="E51" s="32"/>
      <c r="F51" s="8"/>
      <c r="G51" s="8"/>
      <c r="H51" s="8"/>
      <c r="I51" s="8"/>
      <c r="J51" s="8"/>
      <c r="K51" s="54"/>
      <c r="L51" s="8"/>
      <c r="M51" s="46">
        <v>0</v>
      </c>
      <c r="N51" s="7"/>
    </row>
    <row r="52" spans="1:14">
      <c r="A52" s="64"/>
      <c r="B52" s="62"/>
      <c r="C52" s="14" t="s">
        <v>29</v>
      </c>
      <c r="D52" s="4">
        <v>1002</v>
      </c>
      <c r="E52" s="32"/>
      <c r="F52" s="8"/>
      <c r="G52" s="8"/>
      <c r="H52" s="8"/>
      <c r="I52" s="8"/>
      <c r="J52" s="8"/>
      <c r="K52" s="54"/>
      <c r="L52" s="8"/>
      <c r="M52" s="46">
        <v>0</v>
      </c>
      <c r="N52" s="7"/>
    </row>
    <row r="53" spans="1:14" ht="16.5" thickBot="1">
      <c r="A53" s="9"/>
      <c r="B53" s="10"/>
      <c r="C53" s="29"/>
      <c r="D53" s="10"/>
      <c r="E53" s="33"/>
      <c r="F53" s="13"/>
      <c r="G53" s="13"/>
      <c r="H53" s="13"/>
      <c r="I53" s="13"/>
      <c r="J53" s="13"/>
      <c r="K53" s="58"/>
      <c r="L53" s="13"/>
      <c r="M53" s="13"/>
      <c r="N53" s="7"/>
    </row>
    <row r="54" spans="1:14" s="2" customFormat="1" ht="16.5" thickTop="1">
      <c r="A54" s="63" t="s">
        <v>48</v>
      </c>
      <c r="B54" s="61" t="s">
        <v>49</v>
      </c>
      <c r="C54" s="19"/>
      <c r="D54" s="5" t="s">
        <v>23</v>
      </c>
      <c r="E54" s="31">
        <f>SUM(E55:E55)</f>
        <v>375</v>
      </c>
      <c r="F54" s="12"/>
      <c r="G54" s="12"/>
      <c r="H54" s="12"/>
      <c r="I54" s="12"/>
      <c r="J54" s="12"/>
      <c r="K54" s="56"/>
      <c r="L54" s="12"/>
      <c r="M54" s="43">
        <f>SUM(M55:M57)</f>
        <v>0</v>
      </c>
      <c r="N54" s="48"/>
    </row>
    <row r="55" spans="1:14">
      <c r="A55" s="64"/>
      <c r="B55" s="62"/>
      <c r="C55" s="14" t="s">
        <v>86</v>
      </c>
      <c r="D55" s="15"/>
      <c r="E55" s="32">
        <v>375</v>
      </c>
      <c r="F55" s="8">
        <v>0</v>
      </c>
      <c r="G55" s="8">
        <v>0</v>
      </c>
      <c r="H55" s="17">
        <v>0</v>
      </c>
      <c r="I55" s="17">
        <v>0</v>
      </c>
      <c r="J55" s="17">
        <v>0</v>
      </c>
      <c r="K55" s="54">
        <f>(F55+G55+H55)</f>
        <v>0</v>
      </c>
      <c r="L55" s="8">
        <v>3.5</v>
      </c>
      <c r="M55" s="44">
        <f t="shared" ref="M55" si="8">(E55*F55*L55)+(G55*E55)+((H55+I55+J55)*E55)</f>
        <v>0</v>
      </c>
      <c r="N55" s="7"/>
    </row>
    <row r="56" spans="1:14">
      <c r="A56" s="64"/>
      <c r="B56" s="62"/>
      <c r="C56" s="14" t="s">
        <v>28</v>
      </c>
      <c r="D56" s="4">
        <v>1001</v>
      </c>
      <c r="E56" s="32"/>
      <c r="F56" s="8"/>
      <c r="G56" s="8"/>
      <c r="H56" s="8"/>
      <c r="I56" s="8"/>
      <c r="J56" s="8"/>
      <c r="K56" s="54"/>
      <c r="L56" s="8"/>
      <c r="M56" s="46">
        <v>0</v>
      </c>
      <c r="N56" s="7"/>
    </row>
    <row r="57" spans="1:14">
      <c r="A57" s="64"/>
      <c r="B57" s="62"/>
      <c r="C57" s="14" t="s">
        <v>29</v>
      </c>
      <c r="D57" s="4">
        <v>1002</v>
      </c>
      <c r="E57" s="32"/>
      <c r="F57" s="8"/>
      <c r="G57" s="8"/>
      <c r="H57" s="8"/>
      <c r="I57" s="8"/>
      <c r="J57" s="8"/>
      <c r="K57" s="54"/>
      <c r="L57" s="8"/>
      <c r="M57" s="46">
        <v>0</v>
      </c>
      <c r="N57" s="7"/>
    </row>
    <row r="58" spans="1:14" ht="16.5" thickBot="1">
      <c r="A58" s="9"/>
      <c r="B58" s="10"/>
      <c r="C58" s="29"/>
      <c r="D58" s="10"/>
      <c r="E58" s="33"/>
      <c r="F58" s="13"/>
      <c r="G58" s="13"/>
      <c r="H58" s="13"/>
      <c r="I58" s="13"/>
      <c r="J58" s="13"/>
      <c r="K58" s="58"/>
      <c r="L58" s="13"/>
      <c r="M58" s="13"/>
      <c r="N58" s="7"/>
    </row>
    <row r="59" spans="1:14" s="2" customFormat="1" ht="16.5" thickTop="1">
      <c r="A59" s="63" t="s">
        <v>50</v>
      </c>
      <c r="B59" s="61" t="s">
        <v>51</v>
      </c>
      <c r="C59" s="19"/>
      <c r="D59" s="5" t="s">
        <v>23</v>
      </c>
      <c r="E59" s="31">
        <f>SUM(E60:E60)</f>
        <v>375</v>
      </c>
      <c r="F59" s="12"/>
      <c r="G59" s="12"/>
      <c r="H59" s="12"/>
      <c r="I59" s="12"/>
      <c r="J59" s="12"/>
      <c r="K59" s="56"/>
      <c r="L59" s="12"/>
      <c r="M59" s="43">
        <f>SUM(M60:M62)</f>
        <v>0</v>
      </c>
      <c r="N59" s="48"/>
    </row>
    <row r="60" spans="1:14">
      <c r="A60" s="64"/>
      <c r="B60" s="62"/>
      <c r="C60" s="14" t="s">
        <v>86</v>
      </c>
      <c r="D60" s="15"/>
      <c r="E60" s="32">
        <v>375</v>
      </c>
      <c r="F60" s="8">
        <v>0</v>
      </c>
      <c r="G60" s="8">
        <v>0</v>
      </c>
      <c r="H60" s="17">
        <v>0</v>
      </c>
      <c r="I60" s="17">
        <v>0</v>
      </c>
      <c r="J60" s="17">
        <v>0</v>
      </c>
      <c r="K60" s="54">
        <f>(F60+G60+H60)</f>
        <v>0</v>
      </c>
      <c r="L60" s="8">
        <v>3.5</v>
      </c>
      <c r="M60" s="44">
        <f>(E60*F60*L60)+(G60*E60)+((H60+I60+J60)*E60)</f>
        <v>0</v>
      </c>
      <c r="N60" s="7"/>
    </row>
    <row r="61" spans="1:14">
      <c r="A61" s="64"/>
      <c r="B61" s="62"/>
      <c r="C61" s="14" t="s">
        <v>28</v>
      </c>
      <c r="D61" s="4">
        <v>1001</v>
      </c>
      <c r="E61" s="32"/>
      <c r="F61" s="8"/>
      <c r="G61" s="8"/>
      <c r="H61" s="8"/>
      <c r="I61" s="8"/>
      <c r="J61" s="8"/>
      <c r="K61" s="54"/>
      <c r="L61" s="8"/>
      <c r="M61" s="44">
        <v>0</v>
      </c>
      <c r="N61" s="7"/>
    </row>
    <row r="62" spans="1:14">
      <c r="A62" s="64"/>
      <c r="B62" s="62"/>
      <c r="C62" s="14" t="s">
        <v>29</v>
      </c>
      <c r="D62" s="4">
        <v>1002</v>
      </c>
      <c r="E62" s="32"/>
      <c r="F62" s="8"/>
      <c r="G62" s="8"/>
      <c r="H62" s="8"/>
      <c r="I62" s="8"/>
      <c r="J62" s="8"/>
      <c r="K62" s="54"/>
      <c r="L62" s="8"/>
      <c r="M62" s="44">
        <v>0</v>
      </c>
      <c r="N62" s="7"/>
    </row>
    <row r="63" spans="1:14" ht="16.5" thickBot="1">
      <c r="A63" s="9"/>
      <c r="B63" s="10"/>
      <c r="C63" s="29"/>
      <c r="D63" s="10"/>
      <c r="E63" s="33"/>
      <c r="F63" s="13"/>
      <c r="G63" s="13"/>
      <c r="H63" s="13"/>
      <c r="I63" s="13"/>
      <c r="J63" s="13"/>
      <c r="K63" s="58"/>
      <c r="L63" s="13"/>
      <c r="M63" s="13"/>
      <c r="N63" s="7"/>
    </row>
    <row r="64" spans="1:14" s="2" customFormat="1" ht="16.5" thickTop="1">
      <c r="A64" s="63" t="s">
        <v>52</v>
      </c>
      <c r="B64" s="61" t="s">
        <v>53</v>
      </c>
      <c r="C64" s="19"/>
      <c r="D64" s="5" t="s">
        <v>23</v>
      </c>
      <c r="E64" s="31">
        <f>SUM(E65:E65)</f>
        <v>375</v>
      </c>
      <c r="F64" s="12"/>
      <c r="G64" s="12"/>
      <c r="H64" s="12"/>
      <c r="I64" s="12"/>
      <c r="J64" s="12"/>
      <c r="K64" s="56"/>
      <c r="L64" s="12"/>
      <c r="M64" s="43">
        <f>SUM(M65:M67)</f>
        <v>0</v>
      </c>
      <c r="N64" s="48"/>
    </row>
    <row r="65" spans="1:14">
      <c r="A65" s="64"/>
      <c r="B65" s="62"/>
      <c r="C65" s="14" t="s">
        <v>86</v>
      </c>
      <c r="D65" s="15"/>
      <c r="E65" s="32">
        <v>375</v>
      </c>
      <c r="F65" s="8">
        <v>0</v>
      </c>
      <c r="G65" s="8">
        <v>0</v>
      </c>
      <c r="H65" s="17">
        <v>0</v>
      </c>
      <c r="I65" s="17">
        <v>0</v>
      </c>
      <c r="J65" s="17">
        <v>0</v>
      </c>
      <c r="K65" s="54">
        <f>(F65+G65+H65)</f>
        <v>0</v>
      </c>
      <c r="L65" s="8">
        <v>3.5</v>
      </c>
      <c r="M65" s="44">
        <f>(E65*F65*L65)+(G65*E65)+((H65+I65+J65)*E65)</f>
        <v>0</v>
      </c>
      <c r="N65" s="7"/>
    </row>
    <row r="66" spans="1:14">
      <c r="A66" s="64"/>
      <c r="B66" s="62"/>
      <c r="C66" s="14" t="s">
        <v>28</v>
      </c>
      <c r="D66" s="4">
        <v>1001</v>
      </c>
      <c r="E66" s="32"/>
      <c r="F66" s="8"/>
      <c r="G66" s="8"/>
      <c r="H66" s="8"/>
      <c r="I66" s="8"/>
      <c r="J66" s="8"/>
      <c r="K66" s="54"/>
      <c r="L66" s="8"/>
      <c r="M66" s="44">
        <v>0</v>
      </c>
      <c r="N66" s="7"/>
    </row>
    <row r="67" spans="1:14" ht="16.5" thickBot="1">
      <c r="A67" s="65"/>
      <c r="B67" s="66"/>
      <c r="C67" s="14" t="s">
        <v>29</v>
      </c>
      <c r="D67" s="10">
        <v>1002</v>
      </c>
      <c r="E67" s="33"/>
      <c r="F67" s="11"/>
      <c r="G67" s="11"/>
      <c r="H67" s="11"/>
      <c r="I67" s="11"/>
      <c r="J67" s="11"/>
      <c r="K67" s="55"/>
      <c r="L67" s="11"/>
      <c r="M67" s="45">
        <v>0</v>
      </c>
      <c r="N67" s="7"/>
    </row>
    <row r="68" spans="1:14" ht="16.5" thickTop="1">
      <c r="A68" s="63" t="s">
        <v>54</v>
      </c>
      <c r="B68" s="61" t="s">
        <v>55</v>
      </c>
      <c r="C68" s="19"/>
      <c r="D68" s="5" t="s">
        <v>23</v>
      </c>
      <c r="E68" s="31">
        <f>SUM(E69:E69)</f>
        <v>375</v>
      </c>
      <c r="F68" s="12"/>
      <c r="G68" s="12"/>
      <c r="H68" s="12"/>
      <c r="I68" s="12"/>
      <c r="J68" s="12"/>
      <c r="K68" s="56"/>
      <c r="L68" s="12"/>
      <c r="M68" s="43">
        <f>SUM(M69:M71)</f>
        <v>0</v>
      </c>
      <c r="N68" s="7"/>
    </row>
    <row r="69" spans="1:14">
      <c r="A69" s="64"/>
      <c r="B69" s="62"/>
      <c r="C69" s="14" t="s">
        <v>86</v>
      </c>
      <c r="D69" s="15"/>
      <c r="E69" s="32">
        <v>375</v>
      </c>
      <c r="F69" s="8">
        <v>0</v>
      </c>
      <c r="G69" s="8">
        <v>0</v>
      </c>
      <c r="H69" s="17">
        <v>0</v>
      </c>
      <c r="I69" s="17">
        <v>0</v>
      </c>
      <c r="J69" s="17">
        <v>0</v>
      </c>
      <c r="K69" s="54">
        <f>(F69+G69+H69)</f>
        <v>0</v>
      </c>
      <c r="L69" s="8">
        <v>3.5</v>
      </c>
      <c r="M69" s="44">
        <f>(E69*F69*L69)+(G69*E69)+((H69+I69+J69)*E69)</f>
        <v>0</v>
      </c>
      <c r="N69" s="7"/>
    </row>
    <row r="70" spans="1:14">
      <c r="A70" s="64"/>
      <c r="B70" s="62"/>
      <c r="C70" s="14" t="s">
        <v>28</v>
      </c>
      <c r="D70" s="4">
        <v>1001</v>
      </c>
      <c r="E70" s="32"/>
      <c r="F70" s="8"/>
      <c r="G70" s="8"/>
      <c r="H70" s="8"/>
      <c r="I70" s="8"/>
      <c r="J70" s="8"/>
      <c r="K70" s="54"/>
      <c r="L70" s="8"/>
      <c r="M70" s="44">
        <v>0</v>
      </c>
      <c r="N70" s="7"/>
    </row>
    <row r="71" spans="1:14" ht="16.5" thickBot="1">
      <c r="A71" s="65"/>
      <c r="B71" s="66"/>
      <c r="C71" s="14" t="s">
        <v>29</v>
      </c>
      <c r="D71" s="10">
        <v>1002</v>
      </c>
      <c r="E71" s="33"/>
      <c r="F71" s="11"/>
      <c r="G71" s="11"/>
      <c r="H71" s="11"/>
      <c r="I71" s="11"/>
      <c r="J71" s="11"/>
      <c r="K71" s="55"/>
      <c r="L71" s="11"/>
      <c r="M71" s="45">
        <v>0</v>
      </c>
      <c r="N71" s="7"/>
    </row>
    <row r="72" spans="1:14" ht="16.5" thickTop="1">
      <c r="A72" s="63" t="s">
        <v>56</v>
      </c>
      <c r="B72" s="61" t="s">
        <v>57</v>
      </c>
      <c r="C72" s="19"/>
      <c r="D72" s="5" t="s">
        <v>23</v>
      </c>
      <c r="E72" s="31">
        <f>SUM(E73:E73)</f>
        <v>375</v>
      </c>
      <c r="F72" s="12"/>
      <c r="G72" s="12"/>
      <c r="H72" s="12"/>
      <c r="I72" s="12"/>
      <c r="J72" s="12"/>
      <c r="K72" s="56"/>
      <c r="L72" s="12"/>
      <c r="M72" s="43">
        <f>SUM(M73:M75)</f>
        <v>0</v>
      </c>
      <c r="N72" s="7"/>
    </row>
    <row r="73" spans="1:14">
      <c r="A73" s="64"/>
      <c r="B73" s="62"/>
      <c r="C73" s="14" t="s">
        <v>86</v>
      </c>
      <c r="D73" s="15"/>
      <c r="E73" s="32">
        <v>375</v>
      </c>
      <c r="F73" s="8">
        <v>0</v>
      </c>
      <c r="G73" s="8">
        <v>0</v>
      </c>
      <c r="H73" s="17">
        <v>0</v>
      </c>
      <c r="I73" s="17">
        <v>0</v>
      </c>
      <c r="J73" s="17">
        <v>0</v>
      </c>
      <c r="K73" s="54">
        <f>(F73+G73+H73)</f>
        <v>0</v>
      </c>
      <c r="L73" s="8">
        <v>3.5</v>
      </c>
      <c r="M73" s="44">
        <f>(E73*F73*L73)+(G73*E73)+((H73+I73+J73)*E73)</f>
        <v>0</v>
      </c>
      <c r="N73" s="7"/>
    </row>
    <row r="74" spans="1:14">
      <c r="A74" s="64"/>
      <c r="B74" s="62"/>
      <c r="C74" s="14" t="s">
        <v>28</v>
      </c>
      <c r="D74" s="4">
        <v>1001</v>
      </c>
      <c r="E74" s="32"/>
      <c r="F74" s="8"/>
      <c r="G74" s="8"/>
      <c r="H74" s="8"/>
      <c r="I74" s="8"/>
      <c r="J74" s="8"/>
      <c r="K74" s="54"/>
      <c r="L74" s="8"/>
      <c r="M74" s="44">
        <v>0</v>
      </c>
      <c r="N74" s="7"/>
    </row>
    <row r="75" spans="1:14" ht="16.5" thickBot="1">
      <c r="A75" s="65"/>
      <c r="B75" s="66"/>
      <c r="C75" s="14" t="s">
        <v>29</v>
      </c>
      <c r="D75" s="10">
        <v>1002</v>
      </c>
      <c r="E75" s="33"/>
      <c r="F75" s="11"/>
      <c r="G75" s="11"/>
      <c r="H75" s="11"/>
      <c r="I75" s="11"/>
      <c r="J75" s="11"/>
      <c r="K75" s="55"/>
      <c r="L75" s="11"/>
      <c r="M75" s="45">
        <v>0</v>
      </c>
      <c r="N75" s="7"/>
    </row>
    <row r="76" spans="1:14" ht="16.5" thickTop="1">
      <c r="A76" s="63" t="s">
        <v>58</v>
      </c>
      <c r="B76" s="61" t="s">
        <v>59</v>
      </c>
      <c r="C76" s="19"/>
      <c r="D76" s="5" t="s">
        <v>23</v>
      </c>
      <c r="E76" s="31">
        <f>SUM(E77:E77)</f>
        <v>375</v>
      </c>
      <c r="F76" s="12"/>
      <c r="G76" s="12"/>
      <c r="H76" s="12"/>
      <c r="I76" s="12"/>
      <c r="J76" s="12"/>
      <c r="K76" s="56"/>
      <c r="L76" s="12"/>
      <c r="M76" s="43">
        <f>SUM(M77:M79)</f>
        <v>0</v>
      </c>
      <c r="N76" s="7"/>
    </row>
    <row r="77" spans="1:14">
      <c r="A77" s="64"/>
      <c r="B77" s="62"/>
      <c r="C77" s="14" t="s">
        <v>86</v>
      </c>
      <c r="D77" s="15"/>
      <c r="E77" s="32">
        <v>375</v>
      </c>
      <c r="F77" s="8">
        <v>0</v>
      </c>
      <c r="G77" s="8">
        <v>0</v>
      </c>
      <c r="H77" s="17">
        <v>0</v>
      </c>
      <c r="I77" s="17">
        <v>0</v>
      </c>
      <c r="J77" s="17">
        <v>0</v>
      </c>
      <c r="K77" s="54">
        <f>(F77+G77+H77)</f>
        <v>0</v>
      </c>
      <c r="L77" s="8">
        <v>3.5</v>
      </c>
      <c r="M77" s="44">
        <f>(E77*F77*L77)+(G77*E77)+((H77+I77+J77)*E77)</f>
        <v>0</v>
      </c>
      <c r="N77" s="7"/>
    </row>
    <row r="78" spans="1:14">
      <c r="A78" s="64"/>
      <c r="B78" s="62"/>
      <c r="C78" s="14" t="s">
        <v>28</v>
      </c>
      <c r="D78" s="4">
        <v>1001</v>
      </c>
      <c r="E78" s="32"/>
      <c r="F78" s="8"/>
      <c r="G78" s="8"/>
      <c r="H78" s="8"/>
      <c r="I78" s="8"/>
      <c r="J78" s="8"/>
      <c r="K78" s="54"/>
      <c r="L78" s="8"/>
      <c r="M78" s="44">
        <v>0</v>
      </c>
      <c r="N78" s="7"/>
    </row>
    <row r="79" spans="1:14" ht="16.5" thickBot="1">
      <c r="A79" s="65"/>
      <c r="B79" s="66"/>
      <c r="C79" s="14" t="s">
        <v>29</v>
      </c>
      <c r="D79" s="10">
        <v>1002</v>
      </c>
      <c r="E79" s="33"/>
      <c r="F79" s="11"/>
      <c r="G79" s="11"/>
      <c r="H79" s="11"/>
      <c r="I79" s="11"/>
      <c r="J79" s="11"/>
      <c r="K79" s="55"/>
      <c r="L79" s="11"/>
      <c r="M79" s="45">
        <v>0</v>
      </c>
      <c r="N79" s="7"/>
    </row>
    <row r="80" spans="1:14" ht="16.5" thickTop="1">
      <c r="A80" s="63" t="s">
        <v>60</v>
      </c>
      <c r="B80" s="61" t="s">
        <v>61</v>
      </c>
      <c r="C80" s="19"/>
      <c r="D80" s="5" t="s">
        <v>23</v>
      </c>
      <c r="E80" s="31">
        <f>SUM(E81:E81)</f>
        <v>375</v>
      </c>
      <c r="F80" s="12"/>
      <c r="G80" s="12"/>
      <c r="H80" s="12"/>
      <c r="I80" s="12"/>
      <c r="J80" s="12"/>
      <c r="K80" s="56"/>
      <c r="L80" s="12"/>
      <c r="M80" s="43">
        <f>SUM(M81:M83)</f>
        <v>0</v>
      </c>
      <c r="N80" s="7"/>
    </row>
    <row r="81" spans="1:15">
      <c r="A81" s="64"/>
      <c r="B81" s="62"/>
      <c r="C81" s="14" t="s">
        <v>86</v>
      </c>
      <c r="D81" s="15"/>
      <c r="E81" s="32">
        <v>375</v>
      </c>
      <c r="F81" s="8">
        <v>0</v>
      </c>
      <c r="G81" s="8">
        <v>0</v>
      </c>
      <c r="H81" s="17">
        <v>0</v>
      </c>
      <c r="I81" s="17">
        <v>0</v>
      </c>
      <c r="J81" s="17">
        <v>0</v>
      </c>
      <c r="K81" s="54">
        <f>(F81+G81+H81)</f>
        <v>0</v>
      </c>
      <c r="L81" s="8">
        <v>3.5</v>
      </c>
      <c r="M81" s="44">
        <f>(E81*F81*L81)+(G81*E81)+((H81+I81+J81)*E81)</f>
        <v>0</v>
      </c>
      <c r="N81" s="7"/>
    </row>
    <row r="82" spans="1:15">
      <c r="A82" s="64"/>
      <c r="B82" s="62"/>
      <c r="C82" s="14" t="s">
        <v>28</v>
      </c>
      <c r="D82" s="4">
        <v>1001</v>
      </c>
      <c r="E82" s="32"/>
      <c r="F82" s="8"/>
      <c r="G82" s="8"/>
      <c r="H82" s="8"/>
      <c r="I82" s="8"/>
      <c r="J82" s="8"/>
      <c r="K82" s="54"/>
      <c r="L82" s="8"/>
      <c r="M82" s="44">
        <v>0</v>
      </c>
      <c r="N82" s="7"/>
    </row>
    <row r="83" spans="1:15" ht="16.5" thickBot="1">
      <c r="A83" s="65"/>
      <c r="B83" s="66"/>
      <c r="C83" s="14" t="s">
        <v>29</v>
      </c>
      <c r="D83" s="10">
        <v>1002</v>
      </c>
      <c r="E83" s="33"/>
      <c r="F83" s="11"/>
      <c r="G83" s="11"/>
      <c r="H83" s="11"/>
      <c r="I83" s="11"/>
      <c r="J83" s="11"/>
      <c r="K83" s="55"/>
      <c r="L83" s="11"/>
      <c r="M83" s="45">
        <v>0</v>
      </c>
      <c r="N83" s="7"/>
    </row>
    <row r="84" spans="1:15" ht="16.5" thickTop="1">
      <c r="A84" s="63" t="s">
        <v>62</v>
      </c>
      <c r="B84" s="61" t="s">
        <v>63</v>
      </c>
      <c r="C84" s="19"/>
      <c r="D84" s="5" t="s">
        <v>23</v>
      </c>
      <c r="E84" s="31">
        <f>SUM(E85:E85)</f>
        <v>375</v>
      </c>
      <c r="F84" s="12"/>
      <c r="G84" s="12"/>
      <c r="H84" s="12"/>
      <c r="I84" s="12"/>
      <c r="J84" s="12"/>
      <c r="K84" s="56"/>
      <c r="L84" s="12"/>
      <c r="M84" s="43">
        <f>SUM(M85:M87)</f>
        <v>0</v>
      </c>
      <c r="N84" s="7"/>
    </row>
    <row r="85" spans="1:15">
      <c r="A85" s="64"/>
      <c r="B85" s="62"/>
      <c r="C85" s="14" t="s">
        <v>86</v>
      </c>
      <c r="D85" s="15"/>
      <c r="E85" s="32">
        <v>375</v>
      </c>
      <c r="F85" s="8">
        <v>0</v>
      </c>
      <c r="G85" s="8">
        <v>0</v>
      </c>
      <c r="H85" s="17">
        <v>0</v>
      </c>
      <c r="I85" s="17">
        <v>0</v>
      </c>
      <c r="J85" s="17">
        <v>0</v>
      </c>
      <c r="K85" s="54">
        <f>(F85+G85+H85)</f>
        <v>0</v>
      </c>
      <c r="L85" s="8">
        <v>3.5</v>
      </c>
      <c r="M85" s="44">
        <f>(E85*F85*L85)+(G85*E85)+((H85+I85+J85)*E85)</f>
        <v>0</v>
      </c>
      <c r="N85" s="7"/>
    </row>
    <row r="86" spans="1:15">
      <c r="A86" s="64"/>
      <c r="B86" s="62"/>
      <c r="C86" s="14" t="s">
        <v>28</v>
      </c>
      <c r="D86" s="4">
        <v>1001</v>
      </c>
      <c r="E86" s="32"/>
      <c r="F86" s="8"/>
      <c r="G86" s="8"/>
      <c r="H86" s="8"/>
      <c r="I86" s="8"/>
      <c r="J86" s="8"/>
      <c r="K86" s="54"/>
      <c r="L86" s="8"/>
      <c r="M86" s="44">
        <v>0</v>
      </c>
      <c r="N86" s="7"/>
    </row>
    <row r="87" spans="1:15" ht="16.5" thickBot="1">
      <c r="A87" s="65"/>
      <c r="B87" s="66"/>
      <c r="C87" s="10" t="s">
        <v>29</v>
      </c>
      <c r="D87" s="10">
        <v>1002</v>
      </c>
      <c r="E87" s="33"/>
      <c r="F87" s="11"/>
      <c r="G87" s="11"/>
      <c r="H87" s="11"/>
      <c r="I87" s="11"/>
      <c r="J87" s="11"/>
      <c r="K87" s="55"/>
      <c r="L87" s="11"/>
      <c r="M87" s="45">
        <v>0</v>
      </c>
      <c r="N87" s="7"/>
    </row>
    <row r="88" spans="1:15" ht="16.5" thickTop="1">
      <c r="A88" s="2" t="s">
        <v>67</v>
      </c>
      <c r="E88" s="32"/>
      <c r="O88" s="38"/>
    </row>
    <row r="89" spans="1:15">
      <c r="D89" s="30"/>
      <c r="E89" s="35"/>
      <c r="L89" s="21" t="s">
        <v>66</v>
      </c>
      <c r="M89" s="20">
        <f>M2+M10+M18+M26+M34+M42+M49+M54+M59+M64+M68+M72+M76+M80+M84</f>
        <v>0</v>
      </c>
      <c r="O89" s="41"/>
    </row>
    <row r="90" spans="1:15">
      <c r="D90" s="30"/>
      <c r="E90" s="36"/>
    </row>
    <row r="91" spans="1:15">
      <c r="D91" s="30"/>
      <c r="E91" s="36"/>
    </row>
  </sheetData>
  <mergeCells count="30">
    <mergeCell ref="A76:A79"/>
    <mergeCell ref="B76:B79"/>
    <mergeCell ref="A80:A83"/>
    <mergeCell ref="B80:B83"/>
    <mergeCell ref="A84:A87"/>
    <mergeCell ref="B84:B87"/>
    <mergeCell ref="A64:A67"/>
    <mergeCell ref="B64:B67"/>
    <mergeCell ref="A68:A71"/>
    <mergeCell ref="B68:B71"/>
    <mergeCell ref="A72:A75"/>
    <mergeCell ref="B72:B75"/>
    <mergeCell ref="A49:A52"/>
    <mergeCell ref="B49:B52"/>
    <mergeCell ref="A54:A57"/>
    <mergeCell ref="B54:B57"/>
    <mergeCell ref="A59:A62"/>
    <mergeCell ref="B59:B62"/>
    <mergeCell ref="A26:A32"/>
    <mergeCell ref="B26:B32"/>
    <mergeCell ref="A34:A40"/>
    <mergeCell ref="B34:B40"/>
    <mergeCell ref="A42:A47"/>
    <mergeCell ref="B42:B47"/>
    <mergeCell ref="B2:B8"/>
    <mergeCell ref="A2:A8"/>
    <mergeCell ref="A10:A16"/>
    <mergeCell ref="B10:B16"/>
    <mergeCell ref="A18:A24"/>
    <mergeCell ref="B18:B24"/>
  </mergeCells>
  <phoneticPr fontId="2" type="noConversion"/>
  <pageMargins left="0.7" right="0.7" top="0.75" bottom="0.75" header="0.3" footer="0.3"/>
  <pageSetup scale="55" fitToWidth="0" fitToHeight="0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ED75D-CC5F-4912-AC37-EBEEE60F0C3B}">
  <dimension ref="A1:S89"/>
  <sheetViews>
    <sheetView zoomScaleNormal="100" workbookViewId="0">
      <selection activeCell="K1" sqref="K1"/>
    </sheetView>
  </sheetViews>
  <sheetFormatPr defaultColWidth="9.125" defaultRowHeight="15.75"/>
  <cols>
    <col min="1" max="1" width="18.25" style="3" bestFit="1" customWidth="1"/>
    <col min="2" max="2" width="15.75" style="4" customWidth="1"/>
    <col min="3" max="3" width="31.625" style="14" customWidth="1"/>
    <col min="4" max="5" width="24.75" style="4" customWidth="1"/>
    <col min="6" max="10" width="24.75" style="3" customWidth="1"/>
    <col min="11" max="11" width="4.375" style="3" bestFit="1" customWidth="1"/>
    <col min="12" max="13" width="24.75" style="3" customWidth="1"/>
    <col min="14" max="20" width="15.75" style="3" customWidth="1"/>
    <col min="21" max="16384" width="9.125" style="3"/>
  </cols>
  <sheetData>
    <row r="1" spans="1:19" s="1" customFormat="1" ht="31.5">
      <c r="A1" s="18" t="s">
        <v>10</v>
      </c>
      <c r="B1" s="18" t="s">
        <v>11</v>
      </c>
      <c r="C1" s="18" t="s">
        <v>12</v>
      </c>
      <c r="D1" s="18" t="s">
        <v>13</v>
      </c>
      <c r="E1" s="18" t="s">
        <v>65</v>
      </c>
      <c r="F1" s="18" t="s">
        <v>14</v>
      </c>
      <c r="G1" s="18" t="s">
        <v>15</v>
      </c>
      <c r="H1" s="18" t="s">
        <v>16</v>
      </c>
      <c r="I1" s="18" t="s">
        <v>17</v>
      </c>
      <c r="J1" s="18" t="s">
        <v>18</v>
      </c>
      <c r="K1" s="52"/>
      <c r="L1" s="18" t="s">
        <v>19</v>
      </c>
      <c r="M1" s="42" t="s">
        <v>20</v>
      </c>
      <c r="N1" s="47"/>
    </row>
    <row r="2" spans="1:19" s="2" customFormat="1">
      <c r="A2" s="63" t="s">
        <v>95</v>
      </c>
      <c r="B2" s="61" t="s">
        <v>22</v>
      </c>
      <c r="C2" s="19"/>
      <c r="D2" s="5" t="s">
        <v>94</v>
      </c>
      <c r="E2" s="31">
        <f>SUM(E3:E6)</f>
        <v>6500</v>
      </c>
      <c r="F2" s="6"/>
      <c r="G2" s="6"/>
      <c r="H2" s="6"/>
      <c r="I2" s="6"/>
      <c r="J2" s="6"/>
      <c r="K2" s="53"/>
      <c r="L2" s="6"/>
      <c r="M2" s="43">
        <f>SUM(M3:M8)</f>
        <v>0</v>
      </c>
      <c r="N2" s="48"/>
    </row>
    <row r="3" spans="1:19">
      <c r="A3" s="64"/>
      <c r="B3" s="62"/>
      <c r="C3" s="14" t="s">
        <v>24</v>
      </c>
      <c r="D3" s="15"/>
      <c r="E3" s="14">
        <v>1500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54">
        <v>0</v>
      </c>
      <c r="L3" s="8">
        <v>3.5</v>
      </c>
      <c r="M3" s="44">
        <f>(E3*F3*L3)+(G3*E3)+((H3+I3+J3)*E3)</f>
        <v>0</v>
      </c>
      <c r="N3" s="7"/>
    </row>
    <row r="4" spans="1:19">
      <c r="A4" s="64"/>
      <c r="B4" s="62"/>
      <c r="C4" s="14" t="s">
        <v>25</v>
      </c>
      <c r="D4" s="15"/>
      <c r="E4" s="14">
        <v>3250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54">
        <v>0</v>
      </c>
      <c r="L4" s="8">
        <v>3.5</v>
      </c>
      <c r="M4" s="44">
        <f>(E4*F4*L4)+(G4*E4)+((H4+I4+J4)*E4)</f>
        <v>0</v>
      </c>
      <c r="N4" s="7"/>
    </row>
    <row r="5" spans="1:19">
      <c r="A5" s="64"/>
      <c r="B5" s="62"/>
      <c r="C5" s="14" t="s">
        <v>26</v>
      </c>
      <c r="D5" s="15"/>
      <c r="E5" s="14">
        <v>1250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54">
        <v>0</v>
      </c>
      <c r="L5" s="8">
        <v>3.5</v>
      </c>
      <c r="M5" s="44">
        <f>(E5*F5*L5)+(G5*E5)+((H5+I5+J5)*E5)</f>
        <v>0</v>
      </c>
      <c r="N5" s="7"/>
    </row>
    <row r="6" spans="1:19">
      <c r="A6" s="64"/>
      <c r="B6" s="62"/>
      <c r="C6" s="14" t="s">
        <v>27</v>
      </c>
      <c r="D6" s="15"/>
      <c r="E6" s="14">
        <v>500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54">
        <v>0</v>
      </c>
      <c r="L6" s="8">
        <v>3.5</v>
      </c>
      <c r="M6" s="44">
        <f>(E6*F6*L6)+(G6*E6)+((H6+I6+J6)*E6)</f>
        <v>0</v>
      </c>
      <c r="N6" s="7"/>
    </row>
    <row r="7" spans="1:19">
      <c r="A7" s="64"/>
      <c r="B7" s="62"/>
      <c r="C7" s="14" t="s">
        <v>28</v>
      </c>
      <c r="D7" s="4">
        <v>2001</v>
      </c>
      <c r="E7" s="32"/>
      <c r="F7" s="8"/>
      <c r="G7" s="8"/>
      <c r="H7" s="8"/>
      <c r="I7" s="8"/>
      <c r="J7" s="8"/>
      <c r="K7" s="54"/>
      <c r="L7" s="8"/>
      <c r="M7" s="46">
        <v>0</v>
      </c>
      <c r="N7" s="7"/>
    </row>
    <row r="8" spans="1:19">
      <c r="A8" s="64"/>
      <c r="B8" s="62"/>
      <c r="C8" s="14" t="s">
        <v>29</v>
      </c>
      <c r="D8" s="4">
        <v>2002</v>
      </c>
      <c r="E8" s="32"/>
      <c r="F8" s="8"/>
      <c r="G8" s="8"/>
      <c r="H8" s="8"/>
      <c r="I8" s="8"/>
      <c r="J8" s="8"/>
      <c r="K8" s="54"/>
      <c r="L8" s="8"/>
      <c r="M8" s="46">
        <v>0</v>
      </c>
      <c r="N8" s="7"/>
    </row>
    <row r="9" spans="1:19">
      <c r="A9" s="9"/>
      <c r="B9" s="10"/>
      <c r="C9" s="29"/>
      <c r="D9" s="10"/>
      <c r="E9" s="33"/>
      <c r="F9" s="11"/>
      <c r="G9" s="11"/>
      <c r="H9" s="11"/>
      <c r="I9" s="11"/>
      <c r="J9" s="11"/>
      <c r="K9" s="55"/>
      <c r="L9" s="11"/>
      <c r="M9" s="45"/>
      <c r="N9" s="7"/>
    </row>
    <row r="10" spans="1:19" s="2" customFormat="1">
      <c r="A10" s="63" t="s">
        <v>96</v>
      </c>
      <c r="B10" s="61" t="s">
        <v>31</v>
      </c>
      <c r="C10" s="19"/>
      <c r="D10" s="5" t="s">
        <v>94</v>
      </c>
      <c r="E10" s="31">
        <f>SUM(E11:E14)</f>
        <v>3725</v>
      </c>
      <c r="F10" s="12"/>
      <c r="G10" s="12"/>
      <c r="H10" s="12"/>
      <c r="I10" s="12"/>
      <c r="J10" s="12"/>
      <c r="K10" s="56"/>
      <c r="L10" s="12"/>
      <c r="M10" s="43">
        <f>SUM(M11:M16)</f>
        <v>0</v>
      </c>
      <c r="N10" s="48"/>
    </row>
    <row r="11" spans="1:19">
      <c r="A11" s="64"/>
      <c r="B11" s="62"/>
      <c r="C11" s="14" t="s">
        <v>32</v>
      </c>
      <c r="D11" s="15"/>
      <c r="E11" s="4">
        <v>1000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54">
        <f>(F11+G11+H11)</f>
        <v>0</v>
      </c>
      <c r="L11" s="8">
        <v>3.5</v>
      </c>
      <c r="M11" s="44">
        <f>(E11*F11*L11)+(G11*E11)+((H11+I11+J11)*E11)</f>
        <v>0</v>
      </c>
      <c r="N11" s="7"/>
    </row>
    <row r="12" spans="1:19">
      <c r="A12" s="64"/>
      <c r="B12" s="62"/>
      <c r="C12" s="14" t="s">
        <v>33</v>
      </c>
      <c r="D12" s="15"/>
      <c r="E12" s="4">
        <v>1750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54">
        <f>(F10003+G10003+H10003)</f>
        <v>0</v>
      </c>
      <c r="L12" s="8">
        <v>3.5</v>
      </c>
      <c r="M12" s="44">
        <f>(E12*F12*L12)+(G12*E12)+((H12+I12+J12)*E12)</f>
        <v>0</v>
      </c>
      <c r="N12" s="7"/>
    </row>
    <row r="13" spans="1:19" s="15" customFormat="1">
      <c r="A13" s="64"/>
      <c r="B13" s="62"/>
      <c r="C13" s="16" t="s">
        <v>89</v>
      </c>
      <c r="E13" s="4">
        <v>750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54">
        <f t="shared" ref="K13" si="0">(F13+G13+H13)</f>
        <v>0</v>
      </c>
      <c r="L13" s="8">
        <v>3.5</v>
      </c>
      <c r="M13" s="44">
        <f>(E13*F13*L13)+(G13*E13)+((H13+I13+J13)*E13)</f>
        <v>0</v>
      </c>
      <c r="N13" s="7"/>
      <c r="O13" s="3"/>
      <c r="P13" s="3"/>
      <c r="Q13" s="3"/>
      <c r="R13" s="3"/>
      <c r="S13" s="3"/>
    </row>
    <row r="14" spans="1:19">
      <c r="A14" s="64"/>
      <c r="B14" s="62"/>
      <c r="C14" s="14" t="s">
        <v>110</v>
      </c>
      <c r="D14" s="15"/>
      <c r="E14" s="4">
        <v>225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54">
        <f t="shared" ref="K14" si="1">(F14+G14+H14)</f>
        <v>0</v>
      </c>
      <c r="L14" s="8">
        <v>3.5</v>
      </c>
      <c r="M14" s="44">
        <f>(E14*F14*L14)+(G14*E14)+((H14+I14+J14)*E14)</f>
        <v>0</v>
      </c>
      <c r="N14" s="7"/>
    </row>
    <row r="15" spans="1:19">
      <c r="A15" s="64"/>
      <c r="B15" s="62"/>
      <c r="C15" s="14" t="s">
        <v>28</v>
      </c>
      <c r="D15" s="4">
        <v>2001</v>
      </c>
      <c r="E15" s="32"/>
      <c r="F15" s="8"/>
      <c r="G15" s="8"/>
      <c r="H15" s="8"/>
      <c r="I15" s="8"/>
      <c r="J15" s="8"/>
      <c r="K15" s="54"/>
      <c r="L15" s="8"/>
      <c r="M15" s="46">
        <v>0</v>
      </c>
      <c r="N15" s="7"/>
    </row>
    <row r="16" spans="1:19">
      <c r="A16" s="64"/>
      <c r="B16" s="62"/>
      <c r="C16" s="14" t="s">
        <v>29</v>
      </c>
      <c r="D16" s="4">
        <v>2002</v>
      </c>
      <c r="E16" s="32"/>
      <c r="F16" s="8"/>
      <c r="G16" s="8"/>
      <c r="H16" s="8"/>
      <c r="I16" s="8"/>
      <c r="J16" s="8"/>
      <c r="K16" s="54"/>
      <c r="L16" s="8"/>
      <c r="M16" s="46">
        <v>0</v>
      </c>
      <c r="N16" s="7"/>
    </row>
    <row r="17" spans="1:14">
      <c r="A17" s="7"/>
      <c r="E17" s="32"/>
      <c r="F17" s="8"/>
      <c r="G17" s="8"/>
      <c r="H17" s="8"/>
      <c r="I17" s="8"/>
      <c r="J17" s="8"/>
      <c r="K17" s="54"/>
      <c r="L17" s="8"/>
      <c r="M17" s="44"/>
      <c r="N17" s="7"/>
    </row>
    <row r="18" spans="1:14" s="2" customFormat="1">
      <c r="A18" s="63" t="s">
        <v>97</v>
      </c>
      <c r="B18" s="61" t="s">
        <v>35</v>
      </c>
      <c r="C18" s="19"/>
      <c r="D18" s="5" t="s">
        <v>94</v>
      </c>
      <c r="E18" s="31">
        <f>SUM(E19:E21)</f>
        <v>4225</v>
      </c>
      <c r="F18" s="12"/>
      <c r="G18" s="12"/>
      <c r="H18" s="12"/>
      <c r="I18" s="12"/>
      <c r="J18" s="12"/>
      <c r="K18" s="56"/>
      <c r="L18" s="12"/>
      <c r="M18" s="43">
        <f>SUM(M19:M23)</f>
        <v>0</v>
      </c>
      <c r="N18" s="48"/>
    </row>
    <row r="19" spans="1:14" s="2" customFormat="1">
      <c r="A19" s="64"/>
      <c r="B19" s="62"/>
      <c r="C19" s="14" t="s">
        <v>36</v>
      </c>
      <c r="D19" s="15"/>
      <c r="E19" s="4">
        <v>3000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54">
        <f>(F19+G19+H19)</f>
        <v>0</v>
      </c>
      <c r="L19" s="8">
        <v>3.5</v>
      </c>
      <c r="M19" s="44">
        <f>(E19*F19*L19)+(G19*E19)+((H19+I19+J19)*E19)</f>
        <v>0</v>
      </c>
      <c r="N19" s="48"/>
    </row>
    <row r="20" spans="1:14" s="28" customFormat="1" ht="31.5">
      <c r="A20" s="64"/>
      <c r="B20" s="62"/>
      <c r="C20" s="16" t="s">
        <v>90</v>
      </c>
      <c r="D20" s="15"/>
      <c r="E20" s="4">
        <v>1000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57">
        <f>(F20+G20+H20)</f>
        <v>0</v>
      </c>
      <c r="L20" s="17">
        <v>3.5</v>
      </c>
      <c r="M20" s="44">
        <f>(E20*F20*L20)+(G20*E20)+((H20+I20+J20)*E20)</f>
        <v>0</v>
      </c>
      <c r="N20" s="49"/>
    </row>
    <row r="21" spans="1:14" s="2" customFormat="1">
      <c r="A21" s="64"/>
      <c r="B21" s="62"/>
      <c r="C21" s="14" t="s">
        <v>93</v>
      </c>
      <c r="D21" s="15"/>
      <c r="E21" s="4">
        <v>225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57">
        <f>(F21+G21+H21)</f>
        <v>0</v>
      </c>
      <c r="L21" s="17">
        <v>3.5</v>
      </c>
      <c r="M21" s="44">
        <f>(E21*F21*L21)+(G21*E21)+((H21+I21+J21)*E21)</f>
        <v>0</v>
      </c>
      <c r="N21" s="48"/>
    </row>
    <row r="22" spans="1:14">
      <c r="A22" s="64"/>
      <c r="B22" s="62"/>
      <c r="C22" s="14" t="s">
        <v>28</v>
      </c>
      <c r="D22" s="4">
        <v>2001</v>
      </c>
      <c r="E22" s="32"/>
      <c r="F22" s="8"/>
      <c r="G22" s="8"/>
      <c r="H22" s="8"/>
      <c r="I22" s="8"/>
      <c r="J22" s="8"/>
      <c r="K22" s="54"/>
      <c r="L22" s="8"/>
      <c r="M22" s="46">
        <v>0</v>
      </c>
      <c r="N22" s="7"/>
    </row>
    <row r="23" spans="1:14">
      <c r="A23" s="64"/>
      <c r="B23" s="62"/>
      <c r="C23" s="14" t="s">
        <v>29</v>
      </c>
      <c r="D23" s="4">
        <v>2002</v>
      </c>
      <c r="E23" s="32"/>
      <c r="F23" s="8"/>
      <c r="G23" s="8"/>
      <c r="H23" s="8"/>
      <c r="I23" s="8"/>
      <c r="J23" s="8"/>
      <c r="K23" s="54"/>
      <c r="L23" s="8"/>
      <c r="M23" s="46">
        <v>0</v>
      </c>
      <c r="N23" s="7"/>
    </row>
    <row r="24" spans="1:14">
      <c r="A24" s="9"/>
      <c r="B24" s="10"/>
      <c r="C24" s="29"/>
      <c r="D24" s="10"/>
      <c r="E24" s="33"/>
      <c r="F24" s="11"/>
      <c r="G24" s="11"/>
      <c r="H24" s="11"/>
      <c r="I24" s="11"/>
      <c r="J24" s="11"/>
      <c r="K24" s="55"/>
      <c r="L24" s="11"/>
      <c r="M24" s="45"/>
      <c r="N24" s="7"/>
    </row>
    <row r="25" spans="1:14" s="2" customFormat="1">
      <c r="A25" s="63" t="s">
        <v>98</v>
      </c>
      <c r="B25" s="61" t="s">
        <v>38</v>
      </c>
      <c r="C25" s="19"/>
      <c r="D25" s="5" t="s">
        <v>94</v>
      </c>
      <c r="E25" s="31">
        <f>SUM(E26:E28)</f>
        <v>3550</v>
      </c>
      <c r="F25" s="12"/>
      <c r="G25" s="12"/>
      <c r="H25" s="12"/>
      <c r="I25" s="12"/>
      <c r="J25" s="12"/>
      <c r="K25" s="56"/>
      <c r="L25" s="12"/>
      <c r="M25" s="43">
        <f>SUM(M26:M30)</f>
        <v>0</v>
      </c>
      <c r="N25" s="48"/>
    </row>
    <row r="26" spans="1:14" s="15" customFormat="1">
      <c r="A26" s="64"/>
      <c r="B26" s="62"/>
      <c r="C26" s="16" t="s">
        <v>39</v>
      </c>
      <c r="E26" s="4">
        <v>2500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57">
        <f>(F26+G26+H26)</f>
        <v>0</v>
      </c>
      <c r="L26" s="17">
        <v>3.5</v>
      </c>
      <c r="M26" s="44">
        <f>(E26*F26*L26)+(G26*E26)+((H26+I26+J26)*E26)</f>
        <v>0</v>
      </c>
      <c r="N26" s="50"/>
    </row>
    <row r="27" spans="1:14" s="15" customFormat="1" ht="31.5">
      <c r="A27" s="64"/>
      <c r="B27" s="62"/>
      <c r="C27" s="16" t="s">
        <v>91</v>
      </c>
      <c r="E27" s="4">
        <v>750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57">
        <f>(F27+G27+H27)</f>
        <v>0</v>
      </c>
      <c r="L27" s="17">
        <v>3.5</v>
      </c>
      <c r="M27" s="44">
        <f>(E27*F27*L27)+(G27*E27)+((H27+I27+J27)*E27)</f>
        <v>0</v>
      </c>
      <c r="N27" s="50"/>
    </row>
    <row r="28" spans="1:14">
      <c r="A28" s="64"/>
      <c r="B28" s="62"/>
      <c r="C28" s="14" t="s">
        <v>93</v>
      </c>
      <c r="D28" s="15"/>
      <c r="E28" s="4">
        <v>300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57">
        <f>(F28+G28+H28)</f>
        <v>0</v>
      </c>
      <c r="L28" s="17">
        <v>3.5</v>
      </c>
      <c r="M28" s="44">
        <f>(E28*F28*L28)+(G28*E28)+((H28+I28+J28)*E28)</f>
        <v>0</v>
      </c>
      <c r="N28" s="7"/>
    </row>
    <row r="29" spans="1:14">
      <c r="A29" s="64"/>
      <c r="B29" s="62"/>
      <c r="C29" s="14" t="s">
        <v>28</v>
      </c>
      <c r="D29" s="4">
        <v>2001</v>
      </c>
      <c r="E29" s="32"/>
      <c r="F29" s="8"/>
      <c r="G29" s="8"/>
      <c r="H29" s="8"/>
      <c r="I29" s="8"/>
      <c r="J29" s="8"/>
      <c r="K29" s="54"/>
      <c r="L29" s="8"/>
      <c r="M29" s="46">
        <v>0</v>
      </c>
      <c r="N29" s="7"/>
    </row>
    <row r="30" spans="1:14">
      <c r="A30" s="64"/>
      <c r="B30" s="62"/>
      <c r="C30" s="14" t="s">
        <v>29</v>
      </c>
      <c r="D30" s="4">
        <v>2002</v>
      </c>
      <c r="E30" s="32"/>
      <c r="F30" s="8"/>
      <c r="G30" s="8"/>
      <c r="H30" s="8"/>
      <c r="I30" s="8"/>
      <c r="J30" s="8"/>
      <c r="K30" s="54"/>
      <c r="L30" s="8"/>
      <c r="M30" s="46">
        <v>0</v>
      </c>
      <c r="N30" s="7"/>
    </row>
    <row r="31" spans="1:14">
      <c r="A31" s="9"/>
      <c r="B31" s="10"/>
      <c r="C31" s="29"/>
      <c r="D31" s="10"/>
      <c r="E31" s="33"/>
      <c r="F31" s="13"/>
      <c r="G31" s="13"/>
      <c r="H31" s="13"/>
      <c r="I31" s="13"/>
      <c r="J31" s="13"/>
      <c r="K31" s="58"/>
      <c r="L31" s="13"/>
      <c r="M31" s="13"/>
      <c r="N31" s="7"/>
    </row>
    <row r="32" spans="1:14" s="2" customFormat="1">
      <c r="A32" s="63" t="s">
        <v>99</v>
      </c>
      <c r="B32" s="61" t="s">
        <v>41</v>
      </c>
      <c r="C32" s="19"/>
      <c r="D32" s="5" t="s">
        <v>94</v>
      </c>
      <c r="E32" s="31">
        <f>SUM(E33:E36)</f>
        <v>5500</v>
      </c>
      <c r="F32" s="12"/>
      <c r="G32" s="12"/>
      <c r="H32" s="12"/>
      <c r="I32" s="12"/>
      <c r="J32" s="12"/>
      <c r="K32" s="56"/>
      <c r="L32" s="12"/>
      <c r="M32" s="43">
        <f>SUM(M33:M38)</f>
        <v>0</v>
      </c>
      <c r="N32" s="48"/>
    </row>
    <row r="33" spans="1:14" s="15" customFormat="1" ht="31.5">
      <c r="A33" s="64"/>
      <c r="B33" s="62"/>
      <c r="C33" s="16" t="s">
        <v>42</v>
      </c>
      <c r="E33" s="4">
        <v>2750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57">
        <f>(F33+G33+H33)</f>
        <v>0</v>
      </c>
      <c r="L33" s="17">
        <v>3.5</v>
      </c>
      <c r="M33" s="44">
        <f>(E33*F33*L33)+(G33*E33)+((H33+I33+J33)*E33)</f>
        <v>0</v>
      </c>
      <c r="N33" s="50"/>
    </row>
    <row r="34" spans="1:14">
      <c r="A34" s="64"/>
      <c r="B34" s="62"/>
      <c r="C34" s="14" t="s">
        <v>33</v>
      </c>
      <c r="D34" s="15"/>
      <c r="E34" s="4">
        <v>1125</v>
      </c>
      <c r="F34" s="8">
        <v>0</v>
      </c>
      <c r="G34" s="8">
        <v>0</v>
      </c>
      <c r="H34" s="17">
        <v>0</v>
      </c>
      <c r="I34" s="17">
        <v>0</v>
      </c>
      <c r="J34" s="17">
        <v>0</v>
      </c>
      <c r="K34" s="54">
        <f>(F34+G34+H34)</f>
        <v>0</v>
      </c>
      <c r="L34" s="8">
        <v>3.5</v>
      </c>
      <c r="M34" s="44">
        <f>(E34*F34*L34)+(G34*E34)+((H34+I34+J34)*E34)</f>
        <v>0</v>
      </c>
      <c r="N34" s="7"/>
    </row>
    <row r="35" spans="1:14">
      <c r="A35" s="64"/>
      <c r="B35" s="62"/>
      <c r="C35" s="14" t="s">
        <v>27</v>
      </c>
      <c r="D35" s="15"/>
      <c r="E35" s="4">
        <v>625</v>
      </c>
      <c r="F35" s="8">
        <v>0</v>
      </c>
      <c r="G35" s="8">
        <v>0</v>
      </c>
      <c r="H35" s="17">
        <v>0</v>
      </c>
      <c r="I35" s="17">
        <v>0</v>
      </c>
      <c r="J35" s="17">
        <v>0</v>
      </c>
      <c r="K35" s="54">
        <f t="shared" ref="K35:K36" si="2">(F35+G35+H35)</f>
        <v>0</v>
      </c>
      <c r="L35" s="8">
        <v>3.5</v>
      </c>
      <c r="M35" s="44">
        <f>(E35*F35*L35)+(G35*E35)+((H35+I35+J35)*E35)</f>
        <v>0</v>
      </c>
      <c r="N35" s="7"/>
    </row>
    <row r="36" spans="1:14" s="15" customFormat="1" ht="31.5">
      <c r="A36" s="64"/>
      <c r="B36" s="62"/>
      <c r="C36" s="16" t="s">
        <v>92</v>
      </c>
      <c r="E36" s="14">
        <v>1000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57">
        <f t="shared" si="2"/>
        <v>0</v>
      </c>
      <c r="L36" s="17">
        <v>3.5</v>
      </c>
      <c r="M36" s="44">
        <f>(E36*F36*L36)+(G36*E36)+((H36+I36+J36)*E36)</f>
        <v>0</v>
      </c>
      <c r="N36" s="50"/>
    </row>
    <row r="37" spans="1:14">
      <c r="A37" s="64"/>
      <c r="B37" s="62"/>
      <c r="C37" s="14" t="s">
        <v>28</v>
      </c>
      <c r="D37" s="4">
        <v>2001</v>
      </c>
      <c r="E37" s="32"/>
      <c r="F37" s="8"/>
      <c r="G37" s="8"/>
      <c r="H37" s="8"/>
      <c r="I37" s="8"/>
      <c r="J37" s="8"/>
      <c r="K37" s="54"/>
      <c r="L37" s="8"/>
      <c r="M37" s="46">
        <v>0</v>
      </c>
      <c r="N37" s="7"/>
    </row>
    <row r="38" spans="1:14">
      <c r="A38" s="64"/>
      <c r="B38" s="62"/>
      <c r="C38" s="14" t="s">
        <v>29</v>
      </c>
      <c r="D38" s="4">
        <v>2002</v>
      </c>
      <c r="E38" s="32"/>
      <c r="F38" s="8"/>
      <c r="G38" s="8"/>
      <c r="H38" s="8"/>
      <c r="I38" s="8"/>
      <c r="J38" s="8"/>
      <c r="K38" s="54"/>
      <c r="L38" s="8"/>
      <c r="M38" s="46">
        <v>0</v>
      </c>
      <c r="N38" s="7"/>
    </row>
    <row r="39" spans="1:14">
      <c r="A39" s="9"/>
      <c r="B39" s="13"/>
      <c r="C39" s="29"/>
      <c r="D39" s="10"/>
      <c r="E39" s="33"/>
      <c r="F39" s="13"/>
      <c r="G39" s="13"/>
      <c r="H39" s="13"/>
      <c r="I39" s="13"/>
      <c r="J39" s="13"/>
      <c r="K39" s="58"/>
      <c r="L39" s="13"/>
      <c r="M39" s="13"/>
      <c r="N39" s="7"/>
    </row>
    <row r="40" spans="1:14" s="2" customFormat="1">
      <c r="A40" s="63" t="s">
        <v>100</v>
      </c>
      <c r="B40" s="61" t="s">
        <v>44</v>
      </c>
      <c r="C40" s="19"/>
      <c r="D40" s="5" t="s">
        <v>94</v>
      </c>
      <c r="E40" s="31">
        <f>SUM(E41:E43)</f>
        <v>1900</v>
      </c>
      <c r="F40" s="12"/>
      <c r="G40" s="12"/>
      <c r="H40" s="12"/>
      <c r="I40" s="12"/>
      <c r="J40" s="12"/>
      <c r="K40" s="56"/>
      <c r="L40" s="12"/>
      <c r="M40" s="43">
        <f>SUM(M41:M45)</f>
        <v>0</v>
      </c>
      <c r="N40" s="48"/>
    </row>
    <row r="41" spans="1:14">
      <c r="A41" s="64"/>
      <c r="B41" s="62"/>
      <c r="C41" s="14" t="s">
        <v>26</v>
      </c>
      <c r="D41" s="15"/>
      <c r="E41" s="32">
        <v>1000</v>
      </c>
      <c r="F41" s="8">
        <v>0</v>
      </c>
      <c r="G41" s="8">
        <v>0</v>
      </c>
      <c r="H41" s="17">
        <v>0</v>
      </c>
      <c r="I41" s="8">
        <v>0</v>
      </c>
      <c r="J41" s="17">
        <v>0</v>
      </c>
      <c r="K41" s="54">
        <f>(F41+G41+H41)</f>
        <v>0</v>
      </c>
      <c r="L41" s="8">
        <v>3.5</v>
      </c>
      <c r="M41" s="44">
        <f>(E41*F41*L41)+(G41*E41)+((H41+I41+J41)*E41)</f>
        <v>0</v>
      </c>
      <c r="N41" s="7"/>
    </row>
    <row r="42" spans="1:14" s="15" customFormat="1" ht="31.5">
      <c r="A42" s="64"/>
      <c r="B42" s="62"/>
      <c r="C42" s="16" t="s">
        <v>88</v>
      </c>
      <c r="E42" s="34">
        <v>750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57">
        <f>(F40003+G40003+H40003)</f>
        <v>0</v>
      </c>
      <c r="L42" s="17">
        <v>3.5</v>
      </c>
      <c r="M42" s="44">
        <f>(E42*F42*L42)+(G42*E42)+((H42+I42+J42)*E42)</f>
        <v>0</v>
      </c>
      <c r="N42" s="50"/>
    </row>
    <row r="43" spans="1:14">
      <c r="A43" s="64"/>
      <c r="B43" s="62"/>
      <c r="C43" s="14" t="s">
        <v>93</v>
      </c>
      <c r="D43" s="15"/>
      <c r="E43" s="32">
        <v>150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57">
        <f>(F43+G43+H43)</f>
        <v>0</v>
      </c>
      <c r="L43" s="17">
        <v>3.5</v>
      </c>
      <c r="M43" s="44">
        <f>(E43*F43*L43)+(G43*E43)+((H43+I43+J43)*E43)</f>
        <v>0</v>
      </c>
      <c r="N43" s="7"/>
    </row>
    <row r="44" spans="1:14">
      <c r="A44" s="64"/>
      <c r="B44" s="62"/>
      <c r="C44" s="14" t="s">
        <v>28</v>
      </c>
      <c r="D44" s="4">
        <v>2001</v>
      </c>
      <c r="E44" s="32"/>
      <c r="F44" s="8"/>
      <c r="G44" s="8"/>
      <c r="H44" s="8"/>
      <c r="I44" s="8"/>
      <c r="J44" s="8"/>
      <c r="K44" s="54"/>
      <c r="L44" s="8"/>
      <c r="M44" s="46">
        <v>0</v>
      </c>
      <c r="N44" s="7"/>
    </row>
    <row r="45" spans="1:14">
      <c r="A45" s="64"/>
      <c r="B45" s="62"/>
      <c r="C45" s="14" t="s">
        <v>29</v>
      </c>
      <c r="D45" s="4">
        <v>2002</v>
      </c>
      <c r="E45" s="32"/>
      <c r="F45" s="8"/>
      <c r="G45" s="8"/>
      <c r="H45" s="8"/>
      <c r="I45" s="8"/>
      <c r="J45" s="8"/>
      <c r="K45" s="54"/>
      <c r="L45" s="8"/>
      <c r="M45" s="46">
        <v>0</v>
      </c>
      <c r="N45" s="7"/>
    </row>
    <row r="46" spans="1:14">
      <c r="A46" s="9"/>
      <c r="B46" s="10"/>
      <c r="C46" s="29"/>
      <c r="D46" s="10"/>
      <c r="E46" s="33"/>
      <c r="F46" s="13"/>
      <c r="G46" s="13"/>
      <c r="H46" s="13"/>
      <c r="I46" s="13"/>
      <c r="J46" s="13"/>
      <c r="K46" s="58"/>
      <c r="L46" s="13"/>
      <c r="M46" s="13"/>
      <c r="N46" s="7"/>
    </row>
    <row r="47" spans="1:14" s="2" customFormat="1">
      <c r="A47" s="63" t="s">
        <v>101</v>
      </c>
      <c r="B47" s="61" t="s">
        <v>46</v>
      </c>
      <c r="C47" s="19"/>
      <c r="D47" s="5" t="s">
        <v>94</v>
      </c>
      <c r="E47" s="31">
        <f>SUM(E48:E48)</f>
        <v>3500</v>
      </c>
      <c r="F47" s="12"/>
      <c r="G47" s="12"/>
      <c r="H47" s="12"/>
      <c r="I47" s="12"/>
      <c r="J47" s="12"/>
      <c r="K47" s="56"/>
      <c r="L47" s="12"/>
      <c r="M47" s="43">
        <f>SUM(M48:M50)</f>
        <v>0</v>
      </c>
      <c r="N47" s="48"/>
    </row>
    <row r="48" spans="1:14" s="14" customFormat="1">
      <c r="A48" s="64"/>
      <c r="B48" s="62"/>
      <c r="C48" s="16" t="s">
        <v>47</v>
      </c>
      <c r="E48" s="34">
        <v>3500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57">
        <v>0</v>
      </c>
      <c r="L48" s="17">
        <v>0</v>
      </c>
      <c r="M48" s="44">
        <f>(E48*F48*L48)+(G48*E48)+((H48+I48+J48)*E48)</f>
        <v>0</v>
      </c>
      <c r="N48" s="51"/>
    </row>
    <row r="49" spans="1:14">
      <c r="A49" s="64"/>
      <c r="B49" s="62"/>
      <c r="C49" s="14" t="s">
        <v>28</v>
      </c>
      <c r="D49" s="4">
        <v>2001</v>
      </c>
      <c r="E49" s="32"/>
      <c r="F49" s="8"/>
      <c r="G49" s="8"/>
      <c r="H49" s="8"/>
      <c r="I49" s="8"/>
      <c r="J49" s="8"/>
      <c r="K49" s="54"/>
      <c r="L49" s="8"/>
      <c r="M49" s="46">
        <v>0</v>
      </c>
      <c r="N49" s="7"/>
    </row>
    <row r="50" spans="1:14">
      <c r="A50" s="64"/>
      <c r="B50" s="62"/>
      <c r="C50" s="14" t="s">
        <v>29</v>
      </c>
      <c r="D50" s="4">
        <v>2002</v>
      </c>
      <c r="E50" s="32"/>
      <c r="F50" s="8"/>
      <c r="G50" s="8"/>
      <c r="H50" s="8"/>
      <c r="I50" s="8"/>
      <c r="J50" s="8"/>
      <c r="K50" s="54"/>
      <c r="L50" s="8"/>
      <c r="M50" s="46">
        <v>0</v>
      </c>
      <c r="N50" s="7"/>
    </row>
    <row r="51" spans="1:14">
      <c r="A51" s="9"/>
      <c r="B51" s="10"/>
      <c r="C51" s="29"/>
      <c r="D51" s="10"/>
      <c r="E51" s="33"/>
      <c r="F51" s="13"/>
      <c r="G51" s="13"/>
      <c r="H51" s="13"/>
      <c r="I51" s="13"/>
      <c r="J51" s="13"/>
      <c r="K51" s="58"/>
      <c r="L51" s="13"/>
      <c r="M51" s="13"/>
      <c r="N51" s="7"/>
    </row>
    <row r="52" spans="1:14" s="2" customFormat="1">
      <c r="A52" s="63" t="s">
        <v>102</v>
      </c>
      <c r="B52" s="61" t="s">
        <v>49</v>
      </c>
      <c r="C52" s="19"/>
      <c r="D52" s="5" t="s">
        <v>94</v>
      </c>
      <c r="E52" s="31">
        <f>SUM(E53:E54)</f>
        <v>1050</v>
      </c>
      <c r="F52" s="12"/>
      <c r="G52" s="12"/>
      <c r="H52" s="12"/>
      <c r="I52" s="12"/>
      <c r="J52" s="12"/>
      <c r="K52" s="56"/>
      <c r="L52" s="12"/>
      <c r="M52" s="43">
        <f>SUM(M53:M56)</f>
        <v>0</v>
      </c>
      <c r="N52" s="48"/>
    </row>
    <row r="53" spans="1:14">
      <c r="A53" s="64"/>
      <c r="B53" s="62"/>
      <c r="C53" s="14" t="s">
        <v>86</v>
      </c>
      <c r="D53" s="15"/>
      <c r="E53" s="32">
        <v>750</v>
      </c>
      <c r="F53" s="8">
        <v>0</v>
      </c>
      <c r="G53" s="8">
        <v>0</v>
      </c>
      <c r="H53" s="17">
        <v>0</v>
      </c>
      <c r="I53" s="17">
        <v>0</v>
      </c>
      <c r="J53" s="17">
        <v>0</v>
      </c>
      <c r="K53" s="54">
        <f>(F53+G53+H53)</f>
        <v>0</v>
      </c>
      <c r="L53" s="8">
        <v>3.5</v>
      </c>
      <c r="M53" s="44">
        <f>(E53*F53*L53)+(G53*E53)+((H53+I53+J53)*E53)</f>
        <v>0</v>
      </c>
      <c r="N53" s="7"/>
    </row>
    <row r="54" spans="1:14">
      <c r="A54" s="64"/>
      <c r="B54" s="62"/>
      <c r="C54" s="14" t="s">
        <v>93</v>
      </c>
      <c r="D54" s="15"/>
      <c r="E54" s="32">
        <v>300</v>
      </c>
      <c r="F54" s="8">
        <v>0</v>
      </c>
      <c r="G54" s="8">
        <v>0</v>
      </c>
      <c r="H54" s="17">
        <v>0</v>
      </c>
      <c r="I54" s="17">
        <v>0</v>
      </c>
      <c r="J54" s="17">
        <v>0</v>
      </c>
      <c r="K54" s="54">
        <f>(F54+G54+H54)</f>
        <v>0</v>
      </c>
      <c r="L54" s="8">
        <v>3.5</v>
      </c>
      <c r="M54" s="44">
        <f>(E54*F54*L54)+(G54*E54)+((H54+I54+J54)*E54)</f>
        <v>0</v>
      </c>
      <c r="N54" s="7"/>
    </row>
    <row r="55" spans="1:14">
      <c r="A55" s="64"/>
      <c r="B55" s="62"/>
      <c r="C55" s="14" t="s">
        <v>28</v>
      </c>
      <c r="D55" s="4">
        <v>2001</v>
      </c>
      <c r="E55" s="32"/>
      <c r="F55" s="8"/>
      <c r="G55" s="8"/>
      <c r="H55" s="8"/>
      <c r="I55" s="8"/>
      <c r="J55" s="8"/>
      <c r="K55" s="54"/>
      <c r="L55" s="8"/>
      <c r="M55" s="46">
        <v>0</v>
      </c>
      <c r="N55" s="7"/>
    </row>
    <row r="56" spans="1:14">
      <c r="A56" s="64"/>
      <c r="B56" s="62"/>
      <c r="C56" s="14" t="s">
        <v>29</v>
      </c>
      <c r="D56" s="4">
        <v>2002</v>
      </c>
      <c r="E56" s="32"/>
      <c r="F56" s="8"/>
      <c r="G56" s="8"/>
      <c r="H56" s="8"/>
      <c r="I56" s="8"/>
      <c r="J56" s="8"/>
      <c r="K56" s="54"/>
      <c r="L56" s="8"/>
      <c r="M56" s="46">
        <v>0</v>
      </c>
      <c r="N56" s="7"/>
    </row>
    <row r="57" spans="1:14">
      <c r="A57" s="9"/>
      <c r="B57" s="10"/>
      <c r="C57" s="29"/>
      <c r="D57" s="10"/>
      <c r="E57" s="33"/>
      <c r="F57" s="13"/>
      <c r="G57" s="13"/>
      <c r="H57" s="13"/>
      <c r="I57" s="13"/>
      <c r="J57" s="13"/>
      <c r="K57" s="58"/>
      <c r="L57" s="13"/>
      <c r="M57" s="13"/>
      <c r="N57" s="7"/>
    </row>
    <row r="58" spans="1:14" s="2" customFormat="1">
      <c r="A58" s="63" t="s">
        <v>103</v>
      </c>
      <c r="B58" s="61" t="s">
        <v>51</v>
      </c>
      <c r="C58" s="19"/>
      <c r="D58" s="5" t="s">
        <v>94</v>
      </c>
      <c r="E58" s="31">
        <f>SUM(E59:E59)</f>
        <v>375</v>
      </c>
      <c r="F58" s="12"/>
      <c r="G58" s="12"/>
      <c r="H58" s="12"/>
      <c r="I58" s="12"/>
      <c r="J58" s="12"/>
      <c r="K58" s="56"/>
      <c r="L58" s="12"/>
      <c r="M58" s="43">
        <f>SUM(M59:M62)</f>
        <v>0</v>
      </c>
      <c r="N58" s="48"/>
    </row>
    <row r="59" spans="1:14">
      <c r="A59" s="64"/>
      <c r="B59" s="62"/>
      <c r="C59" s="14" t="s">
        <v>86</v>
      </c>
      <c r="D59" s="15"/>
      <c r="E59" s="32">
        <v>375</v>
      </c>
      <c r="F59" s="8">
        <v>0</v>
      </c>
      <c r="G59" s="8">
        <v>0</v>
      </c>
      <c r="H59" s="17">
        <v>0</v>
      </c>
      <c r="I59" s="17">
        <v>0</v>
      </c>
      <c r="J59" s="17">
        <v>0</v>
      </c>
      <c r="K59" s="54">
        <f>(F59+G59+H59)</f>
        <v>0</v>
      </c>
      <c r="L59" s="8">
        <v>3.5</v>
      </c>
      <c r="M59" s="44">
        <f>(E59*F59*L59)+(G59*E59)+((H59+I59+J59)*E59)</f>
        <v>0</v>
      </c>
      <c r="N59" s="7"/>
    </row>
    <row r="60" spans="1:14">
      <c r="A60" s="64"/>
      <c r="B60" s="62"/>
      <c r="C60" s="14" t="s">
        <v>93</v>
      </c>
      <c r="D60" s="15"/>
      <c r="E60" s="32">
        <v>375</v>
      </c>
      <c r="F60" s="8">
        <v>0</v>
      </c>
      <c r="G60" s="8">
        <v>0</v>
      </c>
      <c r="H60" s="17">
        <v>0</v>
      </c>
      <c r="I60" s="17">
        <v>0</v>
      </c>
      <c r="J60" s="17">
        <v>0</v>
      </c>
      <c r="K60" s="54">
        <f>(F60+G60+H60)</f>
        <v>0</v>
      </c>
      <c r="L60" s="8">
        <v>3.5</v>
      </c>
      <c r="M60" s="44">
        <f>(E60*F60*L60)+(G60*E60)+((H60+I60+J60)*E60)</f>
        <v>0</v>
      </c>
      <c r="N60" s="7"/>
    </row>
    <row r="61" spans="1:14">
      <c r="A61" s="64"/>
      <c r="B61" s="62"/>
      <c r="C61" s="14" t="s">
        <v>28</v>
      </c>
      <c r="D61" s="4">
        <v>2001</v>
      </c>
      <c r="E61" s="32"/>
      <c r="F61" s="8"/>
      <c r="G61" s="8"/>
      <c r="H61" s="8"/>
      <c r="I61" s="8"/>
      <c r="J61" s="8"/>
      <c r="K61" s="54"/>
      <c r="L61" s="8"/>
      <c r="M61" s="44">
        <v>0</v>
      </c>
      <c r="N61" s="7"/>
    </row>
    <row r="62" spans="1:14">
      <c r="A62" s="64"/>
      <c r="B62" s="62"/>
      <c r="C62" s="14" t="s">
        <v>29</v>
      </c>
      <c r="D62" s="4">
        <v>2002</v>
      </c>
      <c r="E62" s="32"/>
      <c r="F62" s="8"/>
      <c r="G62" s="8"/>
      <c r="H62" s="8"/>
      <c r="I62" s="8"/>
      <c r="J62" s="8"/>
      <c r="K62" s="54"/>
      <c r="L62" s="8"/>
      <c r="M62" s="44">
        <v>0</v>
      </c>
      <c r="N62" s="7"/>
    </row>
    <row r="63" spans="1:14">
      <c r="A63" s="9"/>
      <c r="B63" s="10"/>
      <c r="C63" s="29"/>
      <c r="D63" s="10"/>
      <c r="E63" s="33"/>
      <c r="F63" s="13"/>
      <c r="G63" s="13"/>
      <c r="H63" s="13"/>
      <c r="I63" s="13"/>
      <c r="J63" s="13"/>
      <c r="K63" s="58"/>
      <c r="L63" s="13"/>
      <c r="M63" s="13"/>
      <c r="N63" s="7"/>
    </row>
    <row r="64" spans="1:14" s="2" customFormat="1">
      <c r="A64" s="63" t="s">
        <v>104</v>
      </c>
      <c r="B64" s="61" t="s">
        <v>53</v>
      </c>
      <c r="C64" s="19"/>
      <c r="D64" s="5" t="s">
        <v>94</v>
      </c>
      <c r="E64" s="31">
        <f>SUM(E65:E65)</f>
        <v>375</v>
      </c>
      <c r="F64" s="12"/>
      <c r="G64" s="12"/>
      <c r="H64" s="12"/>
      <c r="I64" s="12"/>
      <c r="J64" s="12"/>
      <c r="K64" s="56"/>
      <c r="L64" s="12"/>
      <c r="M64" s="43">
        <f>SUM(M65:M67)</f>
        <v>0</v>
      </c>
      <c r="N64" s="48"/>
    </row>
    <row r="65" spans="1:14">
      <c r="A65" s="64"/>
      <c r="B65" s="62"/>
      <c r="C65" s="14" t="s">
        <v>86</v>
      </c>
      <c r="D65" s="15"/>
      <c r="E65" s="32">
        <v>375</v>
      </c>
      <c r="F65" s="8">
        <v>0</v>
      </c>
      <c r="G65" s="8">
        <v>0</v>
      </c>
      <c r="H65" s="17">
        <v>0</v>
      </c>
      <c r="I65" s="17">
        <v>0</v>
      </c>
      <c r="J65" s="17">
        <v>0</v>
      </c>
      <c r="K65" s="54">
        <f>(F65+G65+H65)</f>
        <v>0</v>
      </c>
      <c r="L65" s="8">
        <v>3.5</v>
      </c>
      <c r="M65" s="44">
        <f>(E65*F65*L65)+(G65*E65)+((H65+I65+J65)*E65)</f>
        <v>0</v>
      </c>
      <c r="N65" s="7"/>
    </row>
    <row r="66" spans="1:14">
      <c r="A66" s="64"/>
      <c r="B66" s="62"/>
      <c r="C66" s="14" t="s">
        <v>28</v>
      </c>
      <c r="D66" s="4">
        <v>2001</v>
      </c>
      <c r="E66" s="32"/>
      <c r="F66" s="8"/>
      <c r="G66" s="8"/>
      <c r="H66" s="8"/>
      <c r="I66" s="8"/>
      <c r="J66" s="8"/>
      <c r="K66" s="54"/>
      <c r="L66" s="8"/>
      <c r="M66" s="44">
        <v>0</v>
      </c>
      <c r="N66" s="7"/>
    </row>
    <row r="67" spans="1:14">
      <c r="A67" s="65"/>
      <c r="B67" s="66"/>
      <c r="C67" s="14" t="s">
        <v>29</v>
      </c>
      <c r="D67" s="10">
        <v>2002</v>
      </c>
      <c r="E67" s="33"/>
      <c r="F67" s="11"/>
      <c r="G67" s="11"/>
      <c r="H67" s="11"/>
      <c r="I67" s="11"/>
      <c r="J67" s="11"/>
      <c r="K67" s="55"/>
      <c r="L67" s="11"/>
      <c r="M67" s="45">
        <v>0</v>
      </c>
      <c r="N67" s="7"/>
    </row>
    <row r="68" spans="1:14">
      <c r="A68" s="63" t="s">
        <v>105</v>
      </c>
      <c r="B68" s="61" t="s">
        <v>55</v>
      </c>
      <c r="C68" s="19"/>
      <c r="D68" s="5" t="s">
        <v>94</v>
      </c>
      <c r="E68" s="31">
        <f>SUM(E69:E69)</f>
        <v>375</v>
      </c>
      <c r="F68" s="12"/>
      <c r="G68" s="12"/>
      <c r="H68" s="12"/>
      <c r="I68" s="12"/>
      <c r="J68" s="12"/>
      <c r="K68" s="56"/>
      <c r="L68" s="12"/>
      <c r="M68" s="43">
        <f>SUM(M69:M71)</f>
        <v>0</v>
      </c>
      <c r="N68" s="7"/>
    </row>
    <row r="69" spans="1:14">
      <c r="A69" s="64"/>
      <c r="B69" s="62"/>
      <c r="C69" s="14" t="s">
        <v>86</v>
      </c>
      <c r="D69" s="15"/>
      <c r="E69" s="32">
        <v>375</v>
      </c>
      <c r="F69" s="8">
        <v>0</v>
      </c>
      <c r="G69" s="8">
        <v>0</v>
      </c>
      <c r="H69" s="17">
        <v>0</v>
      </c>
      <c r="I69" s="17">
        <v>0</v>
      </c>
      <c r="J69" s="17">
        <v>0</v>
      </c>
      <c r="K69" s="54">
        <f>(F69+G69+H69)</f>
        <v>0</v>
      </c>
      <c r="L69" s="8">
        <v>3.5</v>
      </c>
      <c r="M69" s="44">
        <f>(E69*F69*L69)+(G69*E69)+((H69+I69+J69)*E69)</f>
        <v>0</v>
      </c>
      <c r="N69" s="7"/>
    </row>
    <row r="70" spans="1:14">
      <c r="A70" s="64"/>
      <c r="B70" s="62"/>
      <c r="C70" s="14" t="s">
        <v>28</v>
      </c>
      <c r="D70" s="4">
        <v>2001</v>
      </c>
      <c r="E70" s="32"/>
      <c r="F70" s="8"/>
      <c r="G70" s="8"/>
      <c r="H70" s="8"/>
      <c r="I70" s="8"/>
      <c r="J70" s="8"/>
      <c r="K70" s="54"/>
      <c r="L70" s="8"/>
      <c r="M70" s="44">
        <v>0</v>
      </c>
      <c r="N70" s="7"/>
    </row>
    <row r="71" spans="1:14">
      <c r="A71" s="65"/>
      <c r="B71" s="66"/>
      <c r="C71" s="14" t="s">
        <v>29</v>
      </c>
      <c r="D71" s="10">
        <v>2002</v>
      </c>
      <c r="E71" s="33"/>
      <c r="F71" s="11"/>
      <c r="G71" s="11"/>
      <c r="H71" s="11"/>
      <c r="I71" s="11"/>
      <c r="J71" s="11"/>
      <c r="K71" s="55"/>
      <c r="L71" s="11"/>
      <c r="M71" s="45">
        <v>0</v>
      </c>
      <c r="N71" s="7"/>
    </row>
    <row r="72" spans="1:14">
      <c r="A72" s="63" t="s">
        <v>106</v>
      </c>
      <c r="B72" s="61" t="s">
        <v>57</v>
      </c>
      <c r="C72" s="19"/>
      <c r="D72" s="5" t="s">
        <v>94</v>
      </c>
      <c r="E72" s="31">
        <f>SUM(E70003:E70003)</f>
        <v>0</v>
      </c>
      <c r="F72" s="12"/>
      <c r="G72" s="12"/>
      <c r="H72" s="12"/>
      <c r="I72" s="12"/>
      <c r="J72" s="12"/>
      <c r="K72" s="56"/>
      <c r="L72" s="12"/>
      <c r="M72" s="43">
        <f>SUM(M73:M75)</f>
        <v>0</v>
      </c>
      <c r="N72" s="7"/>
    </row>
    <row r="73" spans="1:14">
      <c r="A73" s="64"/>
      <c r="B73" s="62"/>
      <c r="C73" s="14" t="s">
        <v>86</v>
      </c>
      <c r="D73" s="15"/>
      <c r="E73" s="32">
        <v>375</v>
      </c>
      <c r="F73" s="8">
        <v>0</v>
      </c>
      <c r="G73" s="8">
        <v>0</v>
      </c>
      <c r="H73" s="17">
        <v>0</v>
      </c>
      <c r="I73" s="17">
        <v>0</v>
      </c>
      <c r="J73" s="17">
        <v>0</v>
      </c>
      <c r="K73" s="54">
        <f>(F70003+G70003+H70003)</f>
        <v>0</v>
      </c>
      <c r="L73" s="8">
        <v>3.5</v>
      </c>
      <c r="M73" s="44">
        <f>(E73*F73*L73)+(G73*E73)+((H73+I73+J73)*E73)</f>
        <v>0</v>
      </c>
      <c r="N73" s="7"/>
    </row>
    <row r="74" spans="1:14">
      <c r="A74" s="64"/>
      <c r="B74" s="62"/>
      <c r="C74" s="14" t="s">
        <v>28</v>
      </c>
      <c r="D74" s="4">
        <v>2001</v>
      </c>
      <c r="E74" s="32"/>
      <c r="F74" s="8"/>
      <c r="G74" s="8"/>
      <c r="H74" s="8"/>
      <c r="I74" s="8"/>
      <c r="J74" s="8"/>
      <c r="K74" s="54"/>
      <c r="L74" s="8"/>
      <c r="M74" s="44">
        <v>0</v>
      </c>
      <c r="N74" s="7"/>
    </row>
    <row r="75" spans="1:14">
      <c r="A75" s="65"/>
      <c r="B75" s="66"/>
      <c r="C75" s="14" t="s">
        <v>29</v>
      </c>
      <c r="D75" s="10">
        <v>2002</v>
      </c>
      <c r="E75" s="33"/>
      <c r="F75" s="11"/>
      <c r="G75" s="11"/>
      <c r="H75" s="11"/>
      <c r="I75" s="11"/>
      <c r="J75" s="11"/>
      <c r="K75" s="55"/>
      <c r="L75" s="11"/>
      <c r="M75" s="45">
        <v>0</v>
      </c>
      <c r="N75" s="7"/>
    </row>
    <row r="76" spans="1:14">
      <c r="A76" s="63" t="s">
        <v>107</v>
      </c>
      <c r="B76" s="61" t="s">
        <v>59</v>
      </c>
      <c r="C76" s="19"/>
      <c r="D76" s="5" t="s">
        <v>94</v>
      </c>
      <c r="E76" s="31">
        <f>SUM(E77:E77)</f>
        <v>375</v>
      </c>
      <c r="F76" s="12"/>
      <c r="G76" s="12"/>
      <c r="H76" s="12"/>
      <c r="I76" s="12"/>
      <c r="J76" s="12"/>
      <c r="K76" s="56"/>
      <c r="L76" s="12"/>
      <c r="M76" s="43">
        <f>SUM(M77:M79)</f>
        <v>0</v>
      </c>
      <c r="N76" s="7"/>
    </row>
    <row r="77" spans="1:14">
      <c r="A77" s="64"/>
      <c r="B77" s="62"/>
      <c r="C77" s="14" t="s">
        <v>86</v>
      </c>
      <c r="D77" s="15"/>
      <c r="E77" s="32">
        <v>375</v>
      </c>
      <c r="F77" s="8">
        <v>0</v>
      </c>
      <c r="G77" s="8">
        <v>0</v>
      </c>
      <c r="H77" s="17">
        <v>0</v>
      </c>
      <c r="I77" s="17">
        <v>0</v>
      </c>
      <c r="J77" s="17">
        <v>0</v>
      </c>
      <c r="K77" s="54">
        <f>(F77+G77+H77)</f>
        <v>0</v>
      </c>
      <c r="L77" s="8">
        <v>3.5</v>
      </c>
      <c r="M77" s="44">
        <f>(E77*F77*L77)+(G77*E77)+((H77+I77+J77)*E77)</f>
        <v>0</v>
      </c>
      <c r="N77" s="7"/>
    </row>
    <row r="78" spans="1:14">
      <c r="A78" s="64"/>
      <c r="B78" s="62"/>
      <c r="C78" s="14" t="s">
        <v>28</v>
      </c>
      <c r="D78" s="4">
        <v>2001</v>
      </c>
      <c r="E78" s="32"/>
      <c r="F78" s="8"/>
      <c r="G78" s="8"/>
      <c r="H78" s="8"/>
      <c r="I78" s="8"/>
      <c r="J78" s="8"/>
      <c r="K78" s="54"/>
      <c r="L78" s="8"/>
      <c r="M78" s="44">
        <v>0</v>
      </c>
      <c r="N78" s="7"/>
    </row>
    <row r="79" spans="1:14">
      <c r="A79" s="65"/>
      <c r="B79" s="66"/>
      <c r="C79" s="14" t="s">
        <v>29</v>
      </c>
      <c r="D79" s="10">
        <v>2002</v>
      </c>
      <c r="E79" s="33"/>
      <c r="F79" s="11"/>
      <c r="G79" s="11"/>
      <c r="H79" s="11"/>
      <c r="I79" s="11"/>
      <c r="J79" s="11"/>
      <c r="K79" s="55"/>
      <c r="L79" s="11"/>
      <c r="M79" s="45">
        <v>0</v>
      </c>
      <c r="N79" s="7"/>
    </row>
    <row r="80" spans="1:14">
      <c r="A80" s="63" t="s">
        <v>108</v>
      </c>
      <c r="B80" s="61" t="s">
        <v>61</v>
      </c>
      <c r="C80" s="19"/>
      <c r="D80" s="5" t="s">
        <v>94</v>
      </c>
      <c r="E80" s="31">
        <f>SUM(E81:E81)</f>
        <v>375</v>
      </c>
      <c r="F80" s="12"/>
      <c r="G80" s="12"/>
      <c r="H80" s="12"/>
      <c r="I80" s="12"/>
      <c r="J80" s="12"/>
      <c r="K80" s="56"/>
      <c r="L80" s="12"/>
      <c r="M80" s="43">
        <f>SUM(M81:M83)</f>
        <v>0</v>
      </c>
      <c r="N80" s="7"/>
    </row>
    <row r="81" spans="1:15">
      <c r="A81" s="64"/>
      <c r="B81" s="62"/>
      <c r="C81" s="14" t="s">
        <v>86</v>
      </c>
      <c r="D81" s="15"/>
      <c r="E81" s="32">
        <v>375</v>
      </c>
      <c r="F81" s="8">
        <v>0</v>
      </c>
      <c r="G81" s="8">
        <v>0</v>
      </c>
      <c r="H81" s="17">
        <v>0</v>
      </c>
      <c r="I81" s="17">
        <v>0</v>
      </c>
      <c r="J81" s="17">
        <v>0</v>
      </c>
      <c r="K81" s="54">
        <f>(F81+G81+H81)</f>
        <v>0</v>
      </c>
      <c r="L81" s="8">
        <v>3.5</v>
      </c>
      <c r="M81" s="44">
        <f>(E81*F81*L81)+(G81*E81)+((H81+I81+J81)*E81)</f>
        <v>0</v>
      </c>
      <c r="N81" s="7"/>
    </row>
    <row r="82" spans="1:15">
      <c r="A82" s="64"/>
      <c r="B82" s="62"/>
      <c r="C82" s="14" t="s">
        <v>28</v>
      </c>
      <c r="D82" s="4">
        <v>2001</v>
      </c>
      <c r="E82" s="32"/>
      <c r="F82" s="8"/>
      <c r="G82" s="8"/>
      <c r="H82" s="8"/>
      <c r="I82" s="8"/>
      <c r="J82" s="8"/>
      <c r="K82" s="54"/>
      <c r="L82" s="8"/>
      <c r="M82" s="44">
        <v>0</v>
      </c>
      <c r="N82" s="7"/>
    </row>
    <row r="83" spans="1:15">
      <c r="A83" s="65"/>
      <c r="B83" s="66"/>
      <c r="C83" s="14" t="s">
        <v>29</v>
      </c>
      <c r="D83" s="10">
        <v>2002</v>
      </c>
      <c r="E83" s="33"/>
      <c r="F83" s="11"/>
      <c r="G83" s="11"/>
      <c r="H83" s="11"/>
      <c r="I83" s="11"/>
      <c r="J83" s="11"/>
      <c r="K83" s="55"/>
      <c r="L83" s="11"/>
      <c r="M83" s="45">
        <v>0</v>
      </c>
      <c r="N83" s="7"/>
    </row>
    <row r="84" spans="1:15">
      <c r="A84" s="63" t="s">
        <v>109</v>
      </c>
      <c r="B84" s="61" t="s">
        <v>63</v>
      </c>
      <c r="C84" s="19"/>
      <c r="D84" s="5" t="s">
        <v>94</v>
      </c>
      <c r="E84" s="31">
        <f>SUM(E85:E85)</f>
        <v>375</v>
      </c>
      <c r="F84" s="12"/>
      <c r="G84" s="12"/>
      <c r="H84" s="12"/>
      <c r="I84" s="12"/>
      <c r="J84" s="12"/>
      <c r="K84" s="56"/>
      <c r="L84" s="12"/>
      <c r="M84" s="43">
        <f>SUM(M85:M87)</f>
        <v>0</v>
      </c>
      <c r="N84" s="7"/>
    </row>
    <row r="85" spans="1:15">
      <c r="A85" s="64"/>
      <c r="B85" s="62"/>
      <c r="C85" s="14" t="s">
        <v>86</v>
      </c>
      <c r="D85" s="15"/>
      <c r="E85" s="32">
        <v>375</v>
      </c>
      <c r="F85" s="8">
        <v>0</v>
      </c>
      <c r="G85" s="8">
        <v>0</v>
      </c>
      <c r="H85" s="17">
        <v>0</v>
      </c>
      <c r="I85" s="17">
        <v>0</v>
      </c>
      <c r="J85" s="17">
        <v>0</v>
      </c>
      <c r="K85" s="54">
        <f>(F85+G85+H85)</f>
        <v>0</v>
      </c>
      <c r="L85" s="8">
        <v>3.5</v>
      </c>
      <c r="M85" s="44">
        <f>(E85*F85*L85)+(G85*E85)+((H85+I85+J85)*E85)</f>
        <v>0</v>
      </c>
      <c r="N85" s="7"/>
    </row>
    <row r="86" spans="1:15">
      <c r="A86" s="64"/>
      <c r="B86" s="62"/>
      <c r="C86" s="14" t="s">
        <v>28</v>
      </c>
      <c r="D86" s="4">
        <v>2001</v>
      </c>
      <c r="E86" s="32"/>
      <c r="F86" s="8"/>
      <c r="G86" s="8"/>
      <c r="H86" s="8"/>
      <c r="I86" s="8"/>
      <c r="J86" s="8"/>
      <c r="K86" s="54"/>
      <c r="L86" s="8"/>
      <c r="M86" s="44">
        <v>0</v>
      </c>
      <c r="N86" s="7"/>
    </row>
    <row r="87" spans="1:15">
      <c r="A87" s="65"/>
      <c r="B87" s="66"/>
      <c r="C87" s="10" t="s">
        <v>29</v>
      </c>
      <c r="D87" s="10">
        <v>2002</v>
      </c>
      <c r="E87" s="33"/>
      <c r="F87" s="11"/>
      <c r="G87" s="11"/>
      <c r="H87" s="11"/>
      <c r="I87" s="11"/>
      <c r="J87" s="11"/>
      <c r="K87" s="55"/>
      <c r="L87" s="11"/>
      <c r="M87" s="45">
        <v>0</v>
      </c>
      <c r="N87" s="7"/>
    </row>
    <row r="88" spans="1:15" ht="16.5" thickTop="1">
      <c r="A88" s="2" t="s">
        <v>68</v>
      </c>
      <c r="E88" s="32"/>
      <c r="O88" s="38"/>
    </row>
    <row r="89" spans="1:15">
      <c r="L89" s="21" t="s">
        <v>66</v>
      </c>
      <c r="M89" s="20">
        <f>M2+M10+M18+M25+M32+M40+M47+M52+M58+M64+M68+M72+M76+M80+M84</f>
        <v>0</v>
      </c>
    </row>
  </sheetData>
  <mergeCells count="30">
    <mergeCell ref="A76:A79"/>
    <mergeCell ref="B76:B79"/>
    <mergeCell ref="A80:A83"/>
    <mergeCell ref="B80:B83"/>
    <mergeCell ref="A84:A87"/>
    <mergeCell ref="B84:B87"/>
    <mergeCell ref="A64:A67"/>
    <mergeCell ref="B64:B67"/>
    <mergeCell ref="A68:A71"/>
    <mergeCell ref="B68:B71"/>
    <mergeCell ref="A72:A75"/>
    <mergeCell ref="B72:B75"/>
    <mergeCell ref="A47:A50"/>
    <mergeCell ref="B47:B50"/>
    <mergeCell ref="A52:A56"/>
    <mergeCell ref="B52:B56"/>
    <mergeCell ref="A58:A62"/>
    <mergeCell ref="B58:B62"/>
    <mergeCell ref="A25:A30"/>
    <mergeCell ref="B25:B30"/>
    <mergeCell ref="A32:A38"/>
    <mergeCell ref="B32:B38"/>
    <mergeCell ref="A40:A45"/>
    <mergeCell ref="B40:B45"/>
    <mergeCell ref="A2:A8"/>
    <mergeCell ref="B2:B8"/>
    <mergeCell ref="A10:A16"/>
    <mergeCell ref="B10:B16"/>
    <mergeCell ref="A18:A23"/>
    <mergeCell ref="B18:B23"/>
  </mergeCells>
  <pageMargins left="0.7" right="0.7" top="0.75" bottom="0.75" header="0.3" footer="0.3"/>
  <pageSetup scale="50" fitToWidth="0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04D93-B703-47CC-BCFD-637F5595FBF7}">
  <dimension ref="A1:O95"/>
  <sheetViews>
    <sheetView zoomScaleNormal="100" workbookViewId="0">
      <selection activeCell="K1" sqref="K1"/>
    </sheetView>
  </sheetViews>
  <sheetFormatPr defaultColWidth="9.125" defaultRowHeight="15.75"/>
  <cols>
    <col min="1" max="1" width="18.25" style="3" bestFit="1" customWidth="1"/>
    <col min="2" max="2" width="15.75" style="4" customWidth="1"/>
    <col min="3" max="3" width="31.625" style="14" customWidth="1"/>
    <col min="4" max="5" width="24.75" style="4" customWidth="1"/>
    <col min="6" max="10" width="24.75" style="3" customWidth="1"/>
    <col min="11" max="11" width="4.375" style="3" bestFit="1" customWidth="1"/>
    <col min="12" max="13" width="24.75" style="3" customWidth="1"/>
    <col min="14" max="21" width="15.75" style="3" customWidth="1"/>
    <col min="22" max="16384" width="9.125" style="3"/>
  </cols>
  <sheetData>
    <row r="1" spans="1:14" s="1" customFormat="1" ht="31.5">
      <c r="A1" s="18" t="s">
        <v>10</v>
      </c>
      <c r="B1" s="18" t="s">
        <v>11</v>
      </c>
      <c r="C1" s="18" t="s">
        <v>12</v>
      </c>
      <c r="D1" s="18" t="s">
        <v>13</v>
      </c>
      <c r="E1" s="18" t="s">
        <v>65</v>
      </c>
      <c r="F1" s="18" t="s">
        <v>14</v>
      </c>
      <c r="G1" s="18" t="s">
        <v>15</v>
      </c>
      <c r="H1" s="18" t="s">
        <v>16</v>
      </c>
      <c r="I1" s="18" t="s">
        <v>17</v>
      </c>
      <c r="J1" s="18" t="s">
        <v>18</v>
      </c>
      <c r="K1" s="52"/>
      <c r="L1" s="18" t="s">
        <v>19</v>
      </c>
      <c r="M1" s="42" t="s">
        <v>20</v>
      </c>
      <c r="N1" s="47"/>
    </row>
    <row r="2" spans="1:14" s="2" customFormat="1">
      <c r="A2" s="63" t="s">
        <v>21</v>
      </c>
      <c r="B2" s="61" t="s">
        <v>22</v>
      </c>
      <c r="C2" s="19"/>
      <c r="D2" s="5" t="s">
        <v>111</v>
      </c>
      <c r="E2" s="31">
        <f>SUM(E3:E6)</f>
        <v>8250</v>
      </c>
      <c r="F2" s="6"/>
      <c r="G2" s="6"/>
      <c r="H2" s="6"/>
      <c r="I2" s="6"/>
      <c r="J2" s="6"/>
      <c r="K2" s="53"/>
      <c r="L2" s="6"/>
      <c r="M2" s="43">
        <f>SUM(M3:M8)</f>
        <v>0</v>
      </c>
      <c r="N2" s="48"/>
    </row>
    <row r="3" spans="1:14">
      <c r="A3" s="64"/>
      <c r="B3" s="62"/>
      <c r="C3" s="14" t="s">
        <v>24</v>
      </c>
      <c r="D3" s="15"/>
      <c r="E3" s="32">
        <v>1875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54">
        <v>0</v>
      </c>
      <c r="L3" s="8">
        <v>3.5</v>
      </c>
      <c r="M3" s="44">
        <f>(E3*F3*L3)+(G3*E3)+((H3+I3+J3)*E3)</f>
        <v>0</v>
      </c>
      <c r="N3" s="7"/>
    </row>
    <row r="4" spans="1:14">
      <c r="A4" s="64"/>
      <c r="B4" s="62"/>
      <c r="C4" s="14" t="s">
        <v>25</v>
      </c>
      <c r="D4" s="15"/>
      <c r="E4" s="32">
        <v>3750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54">
        <v>0</v>
      </c>
      <c r="L4" s="8">
        <v>3.5</v>
      </c>
      <c r="M4" s="44">
        <f>(E4*F4*L4)+(G4*E4)+((H4+I4+J4)*E4)</f>
        <v>0</v>
      </c>
      <c r="N4" s="7"/>
    </row>
    <row r="5" spans="1:14">
      <c r="A5" s="64"/>
      <c r="B5" s="62"/>
      <c r="C5" s="14" t="s">
        <v>26</v>
      </c>
      <c r="D5" s="15"/>
      <c r="E5" s="32">
        <v>1875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54">
        <v>0</v>
      </c>
      <c r="L5" s="8">
        <v>3.5</v>
      </c>
      <c r="M5" s="44">
        <f>(E5*F5*L5)+(G5*E5)+((H5+I5+J5)*E5)</f>
        <v>0</v>
      </c>
      <c r="N5" s="7"/>
    </row>
    <row r="6" spans="1:14">
      <c r="A6" s="64"/>
      <c r="B6" s="62"/>
      <c r="C6" s="14" t="s">
        <v>27</v>
      </c>
      <c r="D6" s="15"/>
      <c r="E6" s="32">
        <v>750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54">
        <v>0</v>
      </c>
      <c r="L6" s="8">
        <v>3.5</v>
      </c>
      <c r="M6" s="44">
        <f>(E6*F6*L6)+(G6*E6)+((H6+I6+J6)*E6)</f>
        <v>0</v>
      </c>
      <c r="N6" s="7"/>
    </row>
    <row r="7" spans="1:14">
      <c r="A7" s="64"/>
      <c r="B7" s="62"/>
      <c r="C7" s="14" t="s">
        <v>28</v>
      </c>
      <c r="D7" s="4">
        <v>3001</v>
      </c>
      <c r="E7" s="32"/>
      <c r="F7" s="8"/>
      <c r="G7" s="8"/>
      <c r="H7" s="8"/>
      <c r="I7" s="8"/>
      <c r="J7" s="8"/>
      <c r="K7" s="54"/>
      <c r="L7" s="8"/>
      <c r="M7" s="46">
        <v>0</v>
      </c>
      <c r="N7" s="7"/>
    </row>
    <row r="8" spans="1:14">
      <c r="A8" s="64"/>
      <c r="B8" s="62"/>
      <c r="C8" s="14" t="s">
        <v>29</v>
      </c>
      <c r="D8" s="4">
        <v>3002</v>
      </c>
      <c r="E8" s="32"/>
      <c r="F8" s="8"/>
      <c r="G8" s="8"/>
      <c r="H8" s="8"/>
      <c r="I8" s="8"/>
      <c r="J8" s="8"/>
      <c r="K8" s="54"/>
      <c r="L8" s="8"/>
      <c r="M8" s="46">
        <v>0</v>
      </c>
      <c r="N8" s="7"/>
    </row>
    <row r="9" spans="1:14">
      <c r="A9" s="9"/>
      <c r="B9" s="10"/>
      <c r="C9" s="29"/>
      <c r="D9" s="10"/>
      <c r="E9" s="33"/>
      <c r="F9" s="11"/>
      <c r="G9" s="11"/>
      <c r="H9" s="11"/>
      <c r="I9" s="11"/>
      <c r="J9" s="11"/>
      <c r="K9" s="55"/>
      <c r="L9" s="11"/>
      <c r="M9" s="45"/>
      <c r="N9" s="7"/>
    </row>
    <row r="10" spans="1:14" s="2" customFormat="1">
      <c r="A10" s="63" t="s">
        <v>30</v>
      </c>
      <c r="B10" s="61" t="s">
        <v>31</v>
      </c>
      <c r="C10" s="19"/>
      <c r="D10" s="5" t="s">
        <v>111</v>
      </c>
      <c r="E10" s="31">
        <f>SUM(E11:E14)</f>
        <v>4750</v>
      </c>
      <c r="F10" s="12"/>
      <c r="G10" s="12"/>
      <c r="H10" s="12"/>
      <c r="I10" s="12"/>
      <c r="J10" s="12"/>
      <c r="K10" s="56"/>
      <c r="L10" s="12"/>
      <c r="M10" s="43">
        <f>SUM(M11:M16)</f>
        <v>0</v>
      </c>
      <c r="N10" s="48"/>
    </row>
    <row r="11" spans="1:14">
      <c r="A11" s="64"/>
      <c r="B11" s="62"/>
      <c r="C11" s="14" t="s">
        <v>32</v>
      </c>
      <c r="D11" s="15"/>
      <c r="E11" s="32">
        <v>1125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54">
        <f>(F11+G11+H11)</f>
        <v>0</v>
      </c>
      <c r="L11" s="8">
        <v>3.5</v>
      </c>
      <c r="M11" s="44">
        <f>(E11*F11*L11)+(G11*E11)+((H11+I11+J11)*E11)</f>
        <v>0</v>
      </c>
      <c r="N11" s="7"/>
    </row>
    <row r="12" spans="1:14">
      <c r="A12" s="64"/>
      <c r="B12" s="62"/>
      <c r="C12" s="14" t="s">
        <v>33</v>
      </c>
      <c r="D12" s="15"/>
      <c r="E12" s="32">
        <v>1875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54">
        <f>(F12+G12+H12)</f>
        <v>0</v>
      </c>
      <c r="L12" s="8">
        <v>3.5</v>
      </c>
      <c r="M12" s="44">
        <f>(E12*F12*L12)+(G12*E12)+((H12+I12+J12)*E12)</f>
        <v>0</v>
      </c>
      <c r="N12" s="7"/>
    </row>
    <row r="13" spans="1:14">
      <c r="A13" s="64"/>
      <c r="B13" s="62"/>
      <c r="C13" s="16" t="s">
        <v>113</v>
      </c>
      <c r="D13" s="15"/>
      <c r="E13" s="32">
        <v>1125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54">
        <f t="shared" ref="K13" si="0">(F13+G13+H13)</f>
        <v>0</v>
      </c>
      <c r="L13" s="8">
        <v>3.5</v>
      </c>
      <c r="M13" s="44">
        <f>(E13*F13*L13)+(G13*E13)+((H13+I13+J13)*E13)</f>
        <v>0</v>
      </c>
      <c r="N13" s="7"/>
    </row>
    <row r="14" spans="1:14">
      <c r="A14" s="64"/>
      <c r="B14" s="62"/>
      <c r="C14" s="14" t="s">
        <v>80</v>
      </c>
      <c r="D14" s="15"/>
      <c r="E14" s="32">
        <v>625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54">
        <f t="shared" ref="K14" si="1">(F14+G14+H14)</f>
        <v>0</v>
      </c>
      <c r="L14" s="8">
        <v>3.5</v>
      </c>
      <c r="M14" s="44">
        <f>(E14*F14*L14)+(G14*E14)+((H14+I14+J14)*E14)</f>
        <v>0</v>
      </c>
      <c r="N14" s="7"/>
    </row>
    <row r="15" spans="1:14">
      <c r="A15" s="64"/>
      <c r="B15" s="62"/>
      <c r="C15" s="14" t="s">
        <v>28</v>
      </c>
      <c r="D15" s="4">
        <v>3001</v>
      </c>
      <c r="E15" s="32"/>
      <c r="F15" s="8"/>
      <c r="G15" s="8"/>
      <c r="H15" s="8"/>
      <c r="I15" s="8"/>
      <c r="J15" s="8"/>
      <c r="K15" s="54"/>
      <c r="L15" s="8"/>
      <c r="M15" s="46">
        <v>0</v>
      </c>
      <c r="N15" s="7"/>
    </row>
    <row r="16" spans="1:14">
      <c r="A16" s="64"/>
      <c r="B16" s="62"/>
      <c r="C16" s="14" t="s">
        <v>29</v>
      </c>
      <c r="D16" s="4">
        <v>3002</v>
      </c>
      <c r="E16" s="32"/>
      <c r="F16" s="8"/>
      <c r="G16" s="8"/>
      <c r="H16" s="8"/>
      <c r="I16" s="8"/>
      <c r="J16" s="8"/>
      <c r="K16" s="54"/>
      <c r="L16" s="8"/>
      <c r="M16" s="46">
        <v>0</v>
      </c>
      <c r="N16" s="7"/>
    </row>
    <row r="17" spans="1:14">
      <c r="A17" s="7"/>
      <c r="E17" s="32"/>
      <c r="F17" s="8"/>
      <c r="G17" s="8"/>
      <c r="H17" s="8"/>
      <c r="I17" s="8"/>
      <c r="J17" s="8"/>
      <c r="K17" s="54"/>
      <c r="L17" s="8"/>
      <c r="M17" s="44"/>
      <c r="N17" s="7"/>
    </row>
    <row r="18" spans="1:14" s="2" customFormat="1">
      <c r="A18" s="63" t="s">
        <v>34</v>
      </c>
      <c r="B18" s="61" t="s">
        <v>35</v>
      </c>
      <c r="C18" s="19"/>
      <c r="D18" s="5" t="s">
        <v>111</v>
      </c>
      <c r="E18" s="31">
        <f>SUM(E19:E22)</f>
        <v>5625</v>
      </c>
      <c r="F18" s="12"/>
      <c r="G18" s="12"/>
      <c r="H18" s="12"/>
      <c r="I18" s="12"/>
      <c r="J18" s="12"/>
      <c r="K18" s="56"/>
      <c r="L18" s="12"/>
      <c r="M18" s="43">
        <f>SUM(M19:M24)</f>
        <v>0</v>
      </c>
      <c r="N18" s="48"/>
    </row>
    <row r="19" spans="1:14" s="2" customFormat="1">
      <c r="A19" s="64"/>
      <c r="B19" s="62"/>
      <c r="C19" s="14" t="s">
        <v>36</v>
      </c>
      <c r="D19" s="15"/>
      <c r="E19" s="32">
        <v>3250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54">
        <f>(F19+G19+H19)</f>
        <v>0</v>
      </c>
      <c r="L19" s="8">
        <v>3.5</v>
      </c>
      <c r="M19" s="44">
        <f>(E19*F19*L19)+(G19*E19)+((H19+I19+J19)*E19)</f>
        <v>0</v>
      </c>
      <c r="N19" s="48"/>
    </row>
    <row r="20" spans="1:14" s="28" customFormat="1" ht="31.5">
      <c r="A20" s="64"/>
      <c r="B20" s="62"/>
      <c r="C20" s="16" t="s">
        <v>81</v>
      </c>
      <c r="D20" s="15"/>
      <c r="E20" s="34">
        <v>1250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57">
        <f>(F20+G20+H20)</f>
        <v>0</v>
      </c>
      <c r="L20" s="17">
        <v>3.5</v>
      </c>
      <c r="M20" s="44">
        <f>(E20*F20*L20)+(G20*E20)+((H20+I20+J20)*E20)</f>
        <v>0</v>
      </c>
      <c r="N20" s="49"/>
    </row>
    <row r="21" spans="1:14" s="2" customFormat="1">
      <c r="A21" s="64"/>
      <c r="B21" s="62"/>
      <c r="C21" s="14" t="s">
        <v>93</v>
      </c>
      <c r="D21" s="15"/>
      <c r="E21" s="32">
        <v>750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57">
        <f t="shared" ref="K21:K22" si="2">(F21+G21+H21)</f>
        <v>0</v>
      </c>
      <c r="L21" s="17">
        <v>3.5</v>
      </c>
      <c r="M21" s="44">
        <f>(E21*F21*L21)+(G21*E21)+((H21+I21+J21)*E21)</f>
        <v>0</v>
      </c>
      <c r="N21" s="48"/>
    </row>
    <row r="22" spans="1:14">
      <c r="A22" s="64"/>
      <c r="B22" s="62"/>
      <c r="C22" s="14" t="s">
        <v>112</v>
      </c>
      <c r="D22" s="15"/>
      <c r="E22" s="32">
        <v>375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57">
        <f t="shared" si="2"/>
        <v>0</v>
      </c>
      <c r="L22" s="17">
        <v>3.5</v>
      </c>
      <c r="M22" s="44">
        <f>(E22*F22*L22)+(G22*E22)+((H22+I22+J22)*E22)</f>
        <v>0</v>
      </c>
      <c r="N22" s="7"/>
    </row>
    <row r="23" spans="1:14">
      <c r="A23" s="64"/>
      <c r="B23" s="62"/>
      <c r="C23" s="14" t="s">
        <v>28</v>
      </c>
      <c r="D23" s="4">
        <v>3001</v>
      </c>
      <c r="E23" s="32"/>
      <c r="F23" s="8"/>
      <c r="G23" s="8"/>
      <c r="H23" s="8"/>
      <c r="I23" s="8"/>
      <c r="J23" s="8"/>
      <c r="K23" s="54"/>
      <c r="L23" s="8"/>
      <c r="M23" s="46">
        <v>0</v>
      </c>
      <c r="N23" s="7"/>
    </row>
    <row r="24" spans="1:14">
      <c r="A24" s="64"/>
      <c r="B24" s="62"/>
      <c r="C24" s="14" t="s">
        <v>29</v>
      </c>
      <c r="D24" s="4">
        <v>3002</v>
      </c>
      <c r="E24" s="32"/>
      <c r="F24" s="8"/>
      <c r="G24" s="8"/>
      <c r="H24" s="8"/>
      <c r="I24" s="8"/>
      <c r="J24" s="8"/>
      <c r="K24" s="54"/>
      <c r="L24" s="8"/>
      <c r="M24" s="46">
        <v>0</v>
      </c>
      <c r="N24" s="7"/>
    </row>
    <row r="25" spans="1:14">
      <c r="A25" s="9"/>
      <c r="B25" s="10"/>
      <c r="C25" s="29"/>
      <c r="D25" s="10"/>
      <c r="E25" s="33"/>
      <c r="F25" s="11"/>
      <c r="G25" s="11"/>
      <c r="H25" s="11"/>
      <c r="I25" s="11"/>
      <c r="J25" s="11"/>
      <c r="K25" s="55"/>
      <c r="L25" s="11"/>
      <c r="M25" s="45"/>
      <c r="N25" s="7"/>
    </row>
    <row r="26" spans="1:14" s="2" customFormat="1">
      <c r="A26" s="63" t="s">
        <v>37</v>
      </c>
      <c r="B26" s="61" t="s">
        <v>38</v>
      </c>
      <c r="C26" s="19"/>
      <c r="D26" s="5" t="s">
        <v>111</v>
      </c>
      <c r="E26" s="31">
        <f>SUM(E27:E30)</f>
        <v>5300</v>
      </c>
      <c r="F26" s="12"/>
      <c r="G26" s="12"/>
      <c r="H26" s="12"/>
      <c r="I26" s="12"/>
      <c r="J26" s="12"/>
      <c r="K26" s="56"/>
      <c r="L26" s="12"/>
      <c r="M26" s="43">
        <f>SUM(M27:M32)</f>
        <v>0</v>
      </c>
      <c r="N26" s="48"/>
    </row>
    <row r="27" spans="1:14" s="15" customFormat="1">
      <c r="A27" s="64"/>
      <c r="B27" s="62"/>
      <c r="C27" s="16" t="s">
        <v>39</v>
      </c>
      <c r="E27" s="34">
        <v>3125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57">
        <f>(F27+G27+H27)</f>
        <v>0</v>
      </c>
      <c r="L27" s="17">
        <v>3.5</v>
      </c>
      <c r="M27" s="44">
        <f>(E27*F27*L27)+(G27*E27)+((H27+I27+J27)*E27)</f>
        <v>0</v>
      </c>
      <c r="N27" s="50"/>
    </row>
    <row r="28" spans="1:14" s="15" customFormat="1" ht="31.5">
      <c r="A28" s="64"/>
      <c r="B28" s="62"/>
      <c r="C28" s="16" t="s">
        <v>87</v>
      </c>
      <c r="E28" s="34">
        <v>1125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57">
        <f>(F28+G28+H28)</f>
        <v>0</v>
      </c>
      <c r="L28" s="17">
        <v>3.5</v>
      </c>
      <c r="M28" s="44">
        <f>(E28*F28*L28)+(G28*E28)+((H28+I28+J28)*E28)</f>
        <v>0</v>
      </c>
      <c r="N28" s="50"/>
    </row>
    <row r="29" spans="1:14">
      <c r="A29" s="64"/>
      <c r="B29" s="62"/>
      <c r="C29" s="14" t="s">
        <v>93</v>
      </c>
      <c r="D29" s="15"/>
      <c r="E29" s="32">
        <v>750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57">
        <f t="shared" ref="K29:K30" si="3">(F29+G29+H29)</f>
        <v>0</v>
      </c>
      <c r="L29" s="17">
        <v>3.5</v>
      </c>
      <c r="M29" s="44">
        <f>(E29*F29*L29)+(G29*E29)+((H29+I29+J29)*E29)</f>
        <v>0</v>
      </c>
      <c r="N29" s="7"/>
    </row>
    <row r="30" spans="1:14">
      <c r="A30" s="64"/>
      <c r="B30" s="62"/>
      <c r="C30" s="14" t="s">
        <v>112</v>
      </c>
      <c r="D30" s="15"/>
      <c r="E30" s="32">
        <v>300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57">
        <f t="shared" si="3"/>
        <v>0</v>
      </c>
      <c r="L30" s="17">
        <v>3.5</v>
      </c>
      <c r="M30" s="44">
        <f>(E30*F30*L30)+(G30*E30)+((H30+I30+J30)*E30)</f>
        <v>0</v>
      </c>
      <c r="N30" s="7"/>
    </row>
    <row r="31" spans="1:14">
      <c r="A31" s="64"/>
      <c r="B31" s="62"/>
      <c r="C31" s="14" t="s">
        <v>28</v>
      </c>
      <c r="D31" s="4">
        <v>3001</v>
      </c>
      <c r="E31" s="32"/>
      <c r="F31" s="8"/>
      <c r="G31" s="8"/>
      <c r="H31" s="8"/>
      <c r="I31" s="8"/>
      <c r="J31" s="8"/>
      <c r="K31" s="54"/>
      <c r="L31" s="8"/>
      <c r="M31" s="46">
        <v>0</v>
      </c>
      <c r="N31" s="7"/>
    </row>
    <row r="32" spans="1:14">
      <c r="A32" s="64"/>
      <c r="B32" s="62"/>
      <c r="C32" s="14" t="s">
        <v>29</v>
      </c>
      <c r="D32" s="4">
        <v>3002</v>
      </c>
      <c r="E32" s="32"/>
      <c r="F32" s="8"/>
      <c r="G32" s="8"/>
      <c r="H32" s="8"/>
      <c r="I32" s="8"/>
      <c r="J32" s="8"/>
      <c r="K32" s="54"/>
      <c r="L32" s="8"/>
      <c r="M32" s="46">
        <v>0</v>
      </c>
      <c r="N32" s="7"/>
    </row>
    <row r="33" spans="1:14">
      <c r="A33" s="9"/>
      <c r="B33" s="10"/>
      <c r="C33" s="29"/>
      <c r="D33" s="10"/>
      <c r="E33" s="33"/>
      <c r="F33" s="13"/>
      <c r="G33" s="13"/>
      <c r="H33" s="13"/>
      <c r="I33" s="13"/>
      <c r="J33" s="13"/>
      <c r="K33" s="58"/>
      <c r="L33" s="13"/>
      <c r="M33" s="13"/>
      <c r="N33" s="7"/>
    </row>
    <row r="34" spans="1:14" s="2" customFormat="1">
      <c r="A34" s="63" t="s">
        <v>40</v>
      </c>
      <c r="B34" s="61" t="s">
        <v>41</v>
      </c>
      <c r="C34" s="19"/>
      <c r="D34" s="5" t="s">
        <v>111</v>
      </c>
      <c r="E34" s="31">
        <f>SUM(E35:E38)</f>
        <v>7250</v>
      </c>
      <c r="F34" s="12"/>
      <c r="G34" s="12"/>
      <c r="H34" s="12"/>
      <c r="I34" s="12"/>
      <c r="J34" s="12"/>
      <c r="K34" s="56"/>
      <c r="L34" s="12"/>
      <c r="M34" s="43">
        <f>SUM(M35:M40)</f>
        <v>0</v>
      </c>
      <c r="N34" s="48"/>
    </row>
    <row r="35" spans="1:14" s="15" customFormat="1" ht="31.5">
      <c r="A35" s="64"/>
      <c r="B35" s="62"/>
      <c r="C35" s="16" t="s">
        <v>42</v>
      </c>
      <c r="E35" s="34">
        <v>3750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57">
        <f>(F35+G35+H35)</f>
        <v>0</v>
      </c>
      <c r="L35" s="17">
        <v>3.5</v>
      </c>
      <c r="M35" s="44">
        <f>(E35*F35*L35)+(G35*E35)+((H35+I35+J35)*E35)</f>
        <v>0</v>
      </c>
      <c r="N35" s="50"/>
    </row>
    <row r="36" spans="1:14">
      <c r="A36" s="64"/>
      <c r="B36" s="62"/>
      <c r="C36" s="14" t="s">
        <v>33</v>
      </c>
      <c r="D36" s="15"/>
      <c r="E36" s="32">
        <v>1500</v>
      </c>
      <c r="F36" s="8">
        <v>0</v>
      </c>
      <c r="G36" s="8">
        <v>0</v>
      </c>
      <c r="H36" s="17">
        <v>0</v>
      </c>
      <c r="I36" s="17">
        <v>0</v>
      </c>
      <c r="J36" s="17">
        <v>0</v>
      </c>
      <c r="K36" s="54">
        <f>(F36+G36+H36)</f>
        <v>0</v>
      </c>
      <c r="L36" s="8">
        <v>3.5</v>
      </c>
      <c r="M36" s="44">
        <f>(E36*F36*L36)+(G36*E36)+((H36+I36+J36)*E36)</f>
        <v>0</v>
      </c>
      <c r="N36" s="7"/>
    </row>
    <row r="37" spans="1:14">
      <c r="A37" s="64"/>
      <c r="B37" s="62"/>
      <c r="C37" s="14" t="s">
        <v>27</v>
      </c>
      <c r="D37" s="15"/>
      <c r="E37" s="32">
        <v>750</v>
      </c>
      <c r="F37" s="8">
        <v>0</v>
      </c>
      <c r="G37" s="8">
        <v>0</v>
      </c>
      <c r="H37" s="17">
        <v>0</v>
      </c>
      <c r="I37" s="17">
        <v>0</v>
      </c>
      <c r="J37" s="17">
        <v>0</v>
      </c>
      <c r="K37" s="54">
        <f t="shared" ref="K37:K38" si="4">(F37+G37+H37)</f>
        <v>0</v>
      </c>
      <c r="L37" s="8">
        <v>3.5</v>
      </c>
      <c r="M37" s="44">
        <f>(E37*F37*L37)+(G37*E37)+((H37+I37+J37)*E37)</f>
        <v>0</v>
      </c>
      <c r="N37" s="7"/>
    </row>
    <row r="38" spans="1:14" s="15" customFormat="1" ht="31.5">
      <c r="A38" s="64"/>
      <c r="B38" s="62"/>
      <c r="C38" s="16" t="s">
        <v>92</v>
      </c>
      <c r="E38" s="34">
        <v>1250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57">
        <f t="shared" si="4"/>
        <v>0</v>
      </c>
      <c r="L38" s="17">
        <v>3.5</v>
      </c>
      <c r="M38" s="44">
        <f>(E38*F38*L38)+(G38*E38)+((H38+I38+J38)*E38)</f>
        <v>0</v>
      </c>
      <c r="N38" s="50"/>
    </row>
    <row r="39" spans="1:14">
      <c r="A39" s="64"/>
      <c r="B39" s="62"/>
      <c r="C39" s="14" t="s">
        <v>28</v>
      </c>
      <c r="D39" s="4">
        <v>3001</v>
      </c>
      <c r="E39" s="32"/>
      <c r="F39" s="8"/>
      <c r="G39" s="8"/>
      <c r="H39" s="8"/>
      <c r="I39" s="8"/>
      <c r="J39" s="8"/>
      <c r="K39" s="54"/>
      <c r="L39" s="8"/>
      <c r="M39" s="46">
        <v>0</v>
      </c>
      <c r="N39" s="7"/>
    </row>
    <row r="40" spans="1:14">
      <c r="A40" s="64"/>
      <c r="B40" s="62"/>
      <c r="C40" s="14" t="s">
        <v>29</v>
      </c>
      <c r="D40" s="4">
        <v>3002</v>
      </c>
      <c r="E40" s="32"/>
      <c r="F40" s="8"/>
      <c r="G40" s="8"/>
      <c r="H40" s="8"/>
      <c r="I40" s="8"/>
      <c r="J40" s="8"/>
      <c r="K40" s="54"/>
      <c r="L40" s="8"/>
      <c r="M40" s="46">
        <v>0</v>
      </c>
      <c r="N40" s="7"/>
    </row>
    <row r="41" spans="1:14" ht="16.5" thickBot="1">
      <c r="A41" s="9"/>
      <c r="B41" s="13"/>
      <c r="C41" s="29"/>
      <c r="D41" s="10"/>
      <c r="E41" s="33"/>
      <c r="F41" s="13"/>
      <c r="G41" s="13"/>
      <c r="H41" s="13"/>
      <c r="I41" s="13"/>
      <c r="J41" s="13"/>
      <c r="K41" s="58"/>
      <c r="L41" s="13"/>
      <c r="M41" s="13"/>
      <c r="N41" s="7"/>
    </row>
    <row r="42" spans="1:14" s="2" customFormat="1" ht="16.5" thickTop="1">
      <c r="A42" s="63" t="s">
        <v>43</v>
      </c>
      <c r="B42" s="61" t="s">
        <v>44</v>
      </c>
      <c r="C42" s="19"/>
      <c r="D42" s="5" t="s">
        <v>111</v>
      </c>
      <c r="E42" s="31">
        <f>SUM(E43:E45)</f>
        <v>3250</v>
      </c>
      <c r="F42" s="12"/>
      <c r="G42" s="12"/>
      <c r="H42" s="12"/>
      <c r="I42" s="12"/>
      <c r="J42" s="12"/>
      <c r="K42" s="56"/>
      <c r="L42" s="12"/>
      <c r="M42" s="43">
        <f>SUM(M43:M47)</f>
        <v>0</v>
      </c>
      <c r="N42" s="48"/>
    </row>
    <row r="43" spans="1:14">
      <c r="A43" s="64"/>
      <c r="B43" s="62"/>
      <c r="C43" s="14" t="s">
        <v>26</v>
      </c>
      <c r="D43" s="15"/>
      <c r="E43" s="32">
        <v>1500</v>
      </c>
      <c r="F43" s="8">
        <v>0</v>
      </c>
      <c r="G43" s="8">
        <v>0</v>
      </c>
      <c r="H43" s="17">
        <v>0</v>
      </c>
      <c r="I43" s="8">
        <v>0</v>
      </c>
      <c r="J43" s="17">
        <v>0</v>
      </c>
      <c r="K43" s="54">
        <f>(F43+G43+H43)</f>
        <v>0</v>
      </c>
      <c r="L43" s="8">
        <v>3.5</v>
      </c>
      <c r="M43" s="44">
        <f>(E43*F43*L43)+(G43*E43)+((H43+I43+J43)*E43)</f>
        <v>0</v>
      </c>
      <c r="N43" s="7"/>
    </row>
    <row r="44" spans="1:14" s="15" customFormat="1" ht="31.5">
      <c r="A44" s="64"/>
      <c r="B44" s="62"/>
      <c r="C44" s="16" t="s">
        <v>88</v>
      </c>
      <c r="E44" s="34">
        <v>1125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57">
        <f>(F44+G44+H44)</f>
        <v>0</v>
      </c>
      <c r="L44" s="17">
        <v>3.5</v>
      </c>
      <c r="M44" s="44">
        <f>(E44*F44*L44)+(G44*E44)+((H44+I44+J44)*E44)</f>
        <v>0</v>
      </c>
      <c r="N44" s="50"/>
    </row>
    <row r="45" spans="1:14">
      <c r="A45" s="64"/>
      <c r="B45" s="62"/>
      <c r="C45" s="14" t="s">
        <v>93</v>
      </c>
      <c r="D45" s="15"/>
      <c r="E45" s="32">
        <v>625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57">
        <f>(F45+G45+H45)</f>
        <v>0</v>
      </c>
      <c r="L45" s="17">
        <v>3.5</v>
      </c>
      <c r="M45" s="44">
        <f>(E45*F45*L45)+(G45*E45)+((H45+I45+J45)*E45)</f>
        <v>0</v>
      </c>
      <c r="N45" s="7"/>
    </row>
    <row r="46" spans="1:14">
      <c r="A46" s="64"/>
      <c r="B46" s="62"/>
      <c r="C46" s="14" t="s">
        <v>28</v>
      </c>
      <c r="D46" s="15"/>
      <c r="E46" s="32"/>
      <c r="F46" s="8"/>
      <c r="G46" s="8"/>
      <c r="H46" s="8"/>
      <c r="I46" s="8"/>
      <c r="J46" s="8"/>
      <c r="K46" s="54"/>
      <c r="L46" s="8"/>
      <c r="M46" s="46">
        <v>0</v>
      </c>
      <c r="N46" s="7"/>
    </row>
    <row r="47" spans="1:14">
      <c r="A47" s="64"/>
      <c r="B47" s="62"/>
      <c r="C47" s="14" t="s">
        <v>29</v>
      </c>
      <c r="D47" s="4">
        <v>3001</v>
      </c>
      <c r="E47" s="32"/>
      <c r="F47" s="8"/>
      <c r="G47" s="8"/>
      <c r="H47" s="8"/>
      <c r="I47" s="8"/>
      <c r="J47" s="8"/>
      <c r="K47" s="54"/>
      <c r="L47" s="8"/>
      <c r="M47" s="46">
        <v>0</v>
      </c>
      <c r="N47" s="7"/>
    </row>
    <row r="48" spans="1:14" ht="16.5" thickBot="1">
      <c r="A48" s="9"/>
      <c r="B48" s="10"/>
      <c r="C48" s="29"/>
      <c r="D48" s="4">
        <v>3002</v>
      </c>
      <c r="E48" s="33"/>
      <c r="F48" s="13"/>
      <c r="G48" s="13"/>
      <c r="H48" s="13"/>
      <c r="I48" s="13"/>
      <c r="J48" s="13"/>
      <c r="K48" s="58"/>
      <c r="L48" s="13"/>
      <c r="M48" s="13"/>
      <c r="N48" s="7"/>
    </row>
    <row r="49" spans="1:14" s="2" customFormat="1" ht="16.5" thickTop="1">
      <c r="A49" s="63" t="s">
        <v>45</v>
      </c>
      <c r="B49" s="61" t="s">
        <v>46</v>
      </c>
      <c r="C49" s="19"/>
      <c r="D49" s="5" t="s">
        <v>111</v>
      </c>
      <c r="E49" s="31">
        <f>SUM(E50:E50)</f>
        <v>4000</v>
      </c>
      <c r="F49" s="12"/>
      <c r="G49" s="12"/>
      <c r="H49" s="12"/>
      <c r="I49" s="12"/>
      <c r="J49" s="12"/>
      <c r="K49" s="56"/>
      <c r="L49" s="12"/>
      <c r="M49" s="43">
        <f>SUM(M50:M52)</f>
        <v>0</v>
      </c>
      <c r="N49" s="48"/>
    </row>
    <row r="50" spans="1:14" s="14" customFormat="1">
      <c r="A50" s="64"/>
      <c r="B50" s="62"/>
      <c r="C50" s="16" t="s">
        <v>47</v>
      </c>
      <c r="E50" s="34">
        <v>4000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57">
        <v>0</v>
      </c>
      <c r="L50" s="17">
        <v>3.5</v>
      </c>
      <c r="M50" s="44">
        <f>(E50*F50*L50)+(G50*E50)+((H50+I50+J50)*E50)</f>
        <v>0</v>
      </c>
      <c r="N50" s="51"/>
    </row>
    <row r="51" spans="1:14">
      <c r="A51" s="64"/>
      <c r="B51" s="62"/>
      <c r="C51" s="14" t="s">
        <v>28</v>
      </c>
      <c r="D51" s="4">
        <v>3001</v>
      </c>
      <c r="E51" s="32"/>
      <c r="F51" s="8"/>
      <c r="G51" s="8"/>
      <c r="H51" s="8"/>
      <c r="I51" s="8"/>
      <c r="J51" s="8"/>
      <c r="K51" s="54"/>
      <c r="L51" s="8"/>
      <c r="M51" s="46">
        <v>0</v>
      </c>
      <c r="N51" s="7"/>
    </row>
    <row r="52" spans="1:14">
      <c r="A52" s="64"/>
      <c r="B52" s="62"/>
      <c r="C52" s="14" t="s">
        <v>29</v>
      </c>
      <c r="D52" s="4">
        <v>3002</v>
      </c>
      <c r="E52" s="32"/>
      <c r="F52" s="8"/>
      <c r="G52" s="8"/>
      <c r="H52" s="8"/>
      <c r="I52" s="8"/>
      <c r="J52" s="8"/>
      <c r="K52" s="54"/>
      <c r="L52" s="8"/>
      <c r="M52" s="46">
        <v>0</v>
      </c>
      <c r="N52" s="7"/>
    </row>
    <row r="53" spans="1:14">
      <c r="A53" s="9"/>
      <c r="B53" s="10"/>
      <c r="C53" s="29"/>
      <c r="D53" s="10"/>
      <c r="E53" s="33"/>
      <c r="F53" s="13"/>
      <c r="G53" s="13"/>
      <c r="H53" s="13"/>
      <c r="I53" s="13"/>
      <c r="J53" s="13"/>
      <c r="K53" s="58"/>
      <c r="L53" s="13"/>
      <c r="M53" s="13"/>
      <c r="N53" s="7"/>
    </row>
    <row r="54" spans="1:14" s="2" customFormat="1">
      <c r="A54" s="63" t="s">
        <v>48</v>
      </c>
      <c r="B54" s="61" t="s">
        <v>49</v>
      </c>
      <c r="C54" s="19"/>
      <c r="D54" s="5" t="s">
        <v>111</v>
      </c>
      <c r="E54" s="31">
        <f>SUM(E55:E57)</f>
        <v>2550</v>
      </c>
      <c r="F54" s="12"/>
      <c r="G54" s="12"/>
      <c r="H54" s="12"/>
      <c r="I54" s="12"/>
      <c r="J54" s="12"/>
      <c r="K54" s="56"/>
      <c r="L54" s="12"/>
      <c r="M54" s="43">
        <f>SUM(M55:M59)</f>
        <v>0</v>
      </c>
      <c r="N54" s="48"/>
    </row>
    <row r="55" spans="1:14">
      <c r="A55" s="64"/>
      <c r="B55" s="62"/>
      <c r="C55" s="14" t="s">
        <v>86</v>
      </c>
      <c r="D55" s="15"/>
      <c r="E55" s="32">
        <v>1500</v>
      </c>
      <c r="F55" s="8">
        <v>0</v>
      </c>
      <c r="G55" s="8">
        <v>0</v>
      </c>
      <c r="H55" s="17">
        <v>0</v>
      </c>
      <c r="I55" s="17">
        <v>0</v>
      </c>
      <c r="J55" s="17">
        <v>0</v>
      </c>
      <c r="K55" s="54">
        <f>(F55+G55+H55)</f>
        <v>0</v>
      </c>
      <c r="L55" s="8">
        <v>3.5</v>
      </c>
      <c r="M55" s="44">
        <f>(E55*F55*L55)+(G55*E55)+((H55+I55+J55)*E55)</f>
        <v>0</v>
      </c>
      <c r="N55" s="7"/>
    </row>
    <row r="56" spans="1:14">
      <c r="A56" s="64"/>
      <c r="B56" s="62"/>
      <c r="C56" s="14" t="s">
        <v>93</v>
      </c>
      <c r="D56" s="15"/>
      <c r="E56" s="32">
        <v>750</v>
      </c>
      <c r="F56" s="8">
        <v>0</v>
      </c>
      <c r="G56" s="8">
        <v>0</v>
      </c>
      <c r="H56" s="17">
        <v>0</v>
      </c>
      <c r="I56" s="17">
        <v>0</v>
      </c>
      <c r="J56" s="17">
        <v>0</v>
      </c>
      <c r="K56" s="54">
        <f>(F56+G56+H56)</f>
        <v>0</v>
      </c>
      <c r="L56" s="8">
        <v>3.5</v>
      </c>
      <c r="M56" s="44">
        <f>(E56*F56*L56)+(G56*E56)+((H56+I56+J56)*E56)</f>
        <v>0</v>
      </c>
      <c r="N56" s="7"/>
    </row>
    <row r="57" spans="1:14">
      <c r="A57" s="64"/>
      <c r="B57" s="62"/>
      <c r="C57" s="14" t="s">
        <v>112</v>
      </c>
      <c r="D57" s="15"/>
      <c r="E57" s="32">
        <v>300</v>
      </c>
      <c r="F57" s="8">
        <v>0</v>
      </c>
      <c r="G57" s="8">
        <v>0</v>
      </c>
      <c r="H57" s="17">
        <v>0</v>
      </c>
      <c r="I57" s="17">
        <v>0</v>
      </c>
      <c r="J57" s="17">
        <v>0</v>
      </c>
      <c r="K57" s="54">
        <f t="shared" ref="K57" si="5">(F57+G57+H57)</f>
        <v>0</v>
      </c>
      <c r="L57" s="8">
        <v>3.5</v>
      </c>
      <c r="M57" s="44">
        <f>(E57*F57*L57)+(G57*E57)+((H57+I57+J57)*E57)</f>
        <v>0</v>
      </c>
      <c r="N57" s="7"/>
    </row>
    <row r="58" spans="1:14">
      <c r="A58" s="64"/>
      <c r="B58" s="62"/>
      <c r="C58" s="14" t="s">
        <v>28</v>
      </c>
      <c r="D58" s="4">
        <v>3001</v>
      </c>
      <c r="E58" s="32"/>
      <c r="F58" s="8"/>
      <c r="G58" s="8"/>
      <c r="H58" s="8"/>
      <c r="I58" s="8"/>
      <c r="J58" s="8"/>
      <c r="K58" s="54"/>
      <c r="L58" s="8"/>
      <c r="M58" s="46">
        <v>0</v>
      </c>
      <c r="N58" s="7"/>
    </row>
    <row r="59" spans="1:14">
      <c r="A59" s="64"/>
      <c r="B59" s="62"/>
      <c r="C59" s="14" t="s">
        <v>29</v>
      </c>
      <c r="D59" s="4">
        <v>3002</v>
      </c>
      <c r="E59" s="32"/>
      <c r="F59" s="8"/>
      <c r="G59" s="8"/>
      <c r="H59" s="8"/>
      <c r="I59" s="8"/>
      <c r="J59" s="8"/>
      <c r="K59" s="54"/>
      <c r="L59" s="8"/>
      <c r="M59" s="46">
        <v>0</v>
      </c>
      <c r="N59" s="7"/>
    </row>
    <row r="60" spans="1:14">
      <c r="A60" s="9"/>
      <c r="B60" s="10"/>
      <c r="C60" s="29"/>
      <c r="D60" s="10"/>
      <c r="E60" s="33"/>
      <c r="F60" s="13"/>
      <c r="G60" s="13"/>
      <c r="H60" s="13"/>
      <c r="I60" s="13"/>
      <c r="J60" s="13"/>
      <c r="K60" s="58"/>
      <c r="L60" s="13"/>
      <c r="M60" s="13"/>
      <c r="N60" s="7"/>
    </row>
    <row r="61" spans="1:14" s="2" customFormat="1">
      <c r="A61" s="63" t="s">
        <v>50</v>
      </c>
      <c r="B61" s="61" t="s">
        <v>51</v>
      </c>
      <c r="C61" s="19"/>
      <c r="D61" s="5" t="s">
        <v>111</v>
      </c>
      <c r="E61" s="31">
        <f>SUM(E62:E63)</f>
        <v>375</v>
      </c>
      <c r="F61" s="12"/>
      <c r="G61" s="12"/>
      <c r="H61" s="12"/>
      <c r="I61" s="12"/>
      <c r="J61" s="12"/>
      <c r="K61" s="56"/>
      <c r="L61" s="12"/>
      <c r="M61" s="43">
        <f>SUM(M62:M65)</f>
        <v>0</v>
      </c>
      <c r="N61" s="48"/>
    </row>
    <row r="62" spans="1:14">
      <c r="A62" s="64"/>
      <c r="B62" s="62"/>
      <c r="C62" s="14" t="s">
        <v>93</v>
      </c>
      <c r="D62" s="15"/>
      <c r="E62" s="32">
        <v>375</v>
      </c>
      <c r="F62" s="8">
        <v>0</v>
      </c>
      <c r="G62" s="8">
        <v>0</v>
      </c>
      <c r="H62" s="17">
        <v>0</v>
      </c>
      <c r="I62" s="17">
        <v>0</v>
      </c>
      <c r="J62" s="17">
        <v>0</v>
      </c>
      <c r="K62" s="54">
        <f>(F62+G62+H62)</f>
        <v>0</v>
      </c>
      <c r="L62" s="8">
        <v>3.5</v>
      </c>
      <c r="M62" s="44">
        <f>(E62*F62*L62)+(G62*E62)+((H62+I62+J62)*E62)</f>
        <v>0</v>
      </c>
      <c r="N62" s="7"/>
    </row>
    <row r="63" spans="1:14">
      <c r="A63" s="64"/>
      <c r="B63" s="62"/>
      <c r="C63" s="14" t="s">
        <v>112</v>
      </c>
      <c r="D63" s="15"/>
      <c r="E63" s="32">
        <v>0</v>
      </c>
      <c r="F63" s="8">
        <v>0</v>
      </c>
      <c r="G63" s="8">
        <v>0</v>
      </c>
      <c r="H63" s="17">
        <v>0</v>
      </c>
      <c r="I63" s="17">
        <v>0</v>
      </c>
      <c r="J63" s="17">
        <v>0</v>
      </c>
      <c r="K63" s="54">
        <f>(F63+G63+H63)</f>
        <v>0</v>
      </c>
      <c r="L63" s="8">
        <v>3.5</v>
      </c>
      <c r="M63" s="44">
        <f>(E63*F63*L63)+(G63*E63)+((H63+I63+J63)*E63)</f>
        <v>0</v>
      </c>
      <c r="N63" s="7"/>
    </row>
    <row r="64" spans="1:14">
      <c r="A64" s="64"/>
      <c r="B64" s="62"/>
      <c r="C64" s="14" t="s">
        <v>28</v>
      </c>
      <c r="D64" s="4">
        <v>3001</v>
      </c>
      <c r="E64" s="32"/>
      <c r="F64" s="8"/>
      <c r="G64" s="8"/>
      <c r="H64" s="8"/>
      <c r="I64" s="8"/>
      <c r="J64" s="8"/>
      <c r="K64" s="54"/>
      <c r="L64" s="8"/>
      <c r="M64" s="44">
        <v>0</v>
      </c>
      <c r="N64" s="7"/>
    </row>
    <row r="65" spans="1:14">
      <c r="A65" s="64"/>
      <c r="B65" s="62"/>
      <c r="C65" s="14" t="s">
        <v>29</v>
      </c>
      <c r="D65" s="4">
        <v>3002</v>
      </c>
      <c r="E65" s="32"/>
      <c r="F65" s="8"/>
      <c r="G65" s="8"/>
      <c r="H65" s="8"/>
      <c r="I65" s="8"/>
      <c r="J65" s="8"/>
      <c r="K65" s="54"/>
      <c r="L65" s="8"/>
      <c r="M65" s="44">
        <v>0</v>
      </c>
      <c r="N65" s="7"/>
    </row>
    <row r="66" spans="1:14">
      <c r="A66" s="9"/>
      <c r="B66" s="10"/>
      <c r="C66" s="29"/>
      <c r="D66" s="10"/>
      <c r="E66" s="33"/>
      <c r="F66" s="13"/>
      <c r="G66" s="13"/>
      <c r="H66" s="13"/>
      <c r="I66" s="13"/>
      <c r="J66" s="13"/>
      <c r="K66" s="58"/>
      <c r="L66" s="13"/>
      <c r="M66" s="13"/>
      <c r="N66" s="7"/>
    </row>
    <row r="67" spans="1:14" s="2" customFormat="1">
      <c r="A67" s="63" t="s">
        <v>52</v>
      </c>
      <c r="B67" s="61" t="s">
        <v>53</v>
      </c>
      <c r="C67" s="19"/>
      <c r="D67" s="5" t="s">
        <v>111</v>
      </c>
      <c r="E67" s="31">
        <f>SUM(E68:E69)</f>
        <v>750</v>
      </c>
      <c r="F67" s="12"/>
      <c r="G67" s="12"/>
      <c r="H67" s="12"/>
      <c r="I67" s="12"/>
      <c r="J67" s="12"/>
      <c r="K67" s="56"/>
      <c r="L67" s="12"/>
      <c r="M67" s="43">
        <f>SUM(M68:M71)</f>
        <v>0</v>
      </c>
      <c r="N67" s="48"/>
    </row>
    <row r="68" spans="1:14">
      <c r="A68" s="64"/>
      <c r="B68" s="62"/>
      <c r="C68" s="14" t="s">
        <v>86</v>
      </c>
      <c r="D68" s="15"/>
      <c r="E68" s="32">
        <v>375</v>
      </c>
      <c r="F68" s="8">
        <v>0</v>
      </c>
      <c r="G68" s="8">
        <v>0</v>
      </c>
      <c r="H68" s="17">
        <v>0</v>
      </c>
      <c r="I68" s="17">
        <v>0</v>
      </c>
      <c r="J68" s="17">
        <v>0</v>
      </c>
      <c r="K68" s="54">
        <f>(F68+G68+H68)</f>
        <v>0</v>
      </c>
      <c r="L68" s="8">
        <v>3.5</v>
      </c>
      <c r="M68" s="44">
        <f>(E68*F68*L68)+(G68*E68)+((H68+I68+J68)*E68)</f>
        <v>0</v>
      </c>
      <c r="N68" s="7"/>
    </row>
    <row r="69" spans="1:14">
      <c r="A69" s="64"/>
      <c r="B69" s="62"/>
      <c r="C69" s="14" t="s">
        <v>112</v>
      </c>
      <c r="D69" s="15"/>
      <c r="E69" s="32">
        <v>375</v>
      </c>
      <c r="F69" s="8">
        <v>0</v>
      </c>
      <c r="G69" s="8">
        <v>0</v>
      </c>
      <c r="H69" s="17">
        <v>0</v>
      </c>
      <c r="I69" s="17">
        <v>0</v>
      </c>
      <c r="J69" s="17">
        <v>0</v>
      </c>
      <c r="K69" s="54">
        <f>(F69+G69+H69)</f>
        <v>0</v>
      </c>
      <c r="L69" s="8">
        <v>3.5</v>
      </c>
      <c r="M69" s="44">
        <f>(E69*F69*L69)+(G69*E69)+((H69+I69+J69)*E69)</f>
        <v>0</v>
      </c>
      <c r="N69" s="7"/>
    </row>
    <row r="70" spans="1:14">
      <c r="A70" s="64"/>
      <c r="B70" s="62"/>
      <c r="C70" s="14" t="s">
        <v>28</v>
      </c>
      <c r="D70" s="4">
        <v>3001</v>
      </c>
      <c r="E70" s="32"/>
      <c r="F70" s="8"/>
      <c r="G70" s="8"/>
      <c r="H70" s="8"/>
      <c r="I70" s="8"/>
      <c r="J70" s="8"/>
      <c r="K70" s="54"/>
      <c r="L70" s="8"/>
      <c r="M70" s="44">
        <v>0</v>
      </c>
      <c r="N70" s="7"/>
    </row>
    <row r="71" spans="1:14">
      <c r="A71" s="65"/>
      <c r="B71" s="66"/>
      <c r="C71" s="14" t="s">
        <v>29</v>
      </c>
      <c r="D71" s="10">
        <v>3002</v>
      </c>
      <c r="E71" s="33"/>
      <c r="F71" s="11"/>
      <c r="G71" s="11"/>
      <c r="H71" s="11"/>
      <c r="I71" s="11"/>
      <c r="J71" s="11"/>
      <c r="K71" s="55"/>
      <c r="L71" s="11"/>
      <c r="M71" s="45">
        <v>0</v>
      </c>
      <c r="N71" s="7"/>
    </row>
    <row r="72" spans="1:14">
      <c r="A72" s="63" t="s">
        <v>54</v>
      </c>
      <c r="B72" s="61" t="s">
        <v>55</v>
      </c>
      <c r="C72" s="19"/>
      <c r="D72" s="5" t="s">
        <v>111</v>
      </c>
      <c r="E72" s="31">
        <f>SUM(E73:E74)</f>
        <v>750</v>
      </c>
      <c r="F72" s="12"/>
      <c r="G72" s="12"/>
      <c r="H72" s="12"/>
      <c r="I72" s="12"/>
      <c r="J72" s="12"/>
      <c r="K72" s="56"/>
      <c r="L72" s="12"/>
      <c r="M72" s="43">
        <f>SUM(M73:M76)</f>
        <v>0</v>
      </c>
      <c r="N72" s="7"/>
    </row>
    <row r="73" spans="1:14">
      <c r="A73" s="64"/>
      <c r="B73" s="62"/>
      <c r="C73" s="14" t="s">
        <v>86</v>
      </c>
      <c r="D73" s="15"/>
      <c r="E73" s="32">
        <v>375</v>
      </c>
      <c r="F73" s="8">
        <v>0</v>
      </c>
      <c r="G73" s="8">
        <v>0</v>
      </c>
      <c r="H73" s="17">
        <v>0</v>
      </c>
      <c r="I73" s="17">
        <v>0</v>
      </c>
      <c r="J73" s="17">
        <v>0</v>
      </c>
      <c r="K73" s="54">
        <f>(F73+G73+H73)</f>
        <v>0</v>
      </c>
      <c r="L73" s="8">
        <v>3.5</v>
      </c>
      <c r="M73" s="44">
        <f>(E73*F73*L73)+(G73*E73)+((H73+I73+J73)*E73)</f>
        <v>0</v>
      </c>
      <c r="N73" s="7"/>
    </row>
    <row r="74" spans="1:14">
      <c r="A74" s="64"/>
      <c r="B74" s="62"/>
      <c r="C74" s="14" t="s">
        <v>112</v>
      </c>
      <c r="D74" s="15"/>
      <c r="E74" s="32">
        <v>375</v>
      </c>
      <c r="F74" s="8">
        <v>0</v>
      </c>
      <c r="G74" s="8">
        <v>0</v>
      </c>
      <c r="H74" s="17">
        <v>0</v>
      </c>
      <c r="I74" s="17">
        <v>0</v>
      </c>
      <c r="J74" s="17">
        <v>0</v>
      </c>
      <c r="K74" s="54">
        <f>(F74+G74+H74)</f>
        <v>0</v>
      </c>
      <c r="L74" s="8">
        <v>3.5</v>
      </c>
      <c r="M74" s="44">
        <f>(E74*F74*L74)+(G74*E74)+((H74+I74+J74)*E74)</f>
        <v>0</v>
      </c>
      <c r="N74" s="7"/>
    </row>
    <row r="75" spans="1:14">
      <c r="A75" s="64"/>
      <c r="B75" s="62"/>
      <c r="C75" s="14" t="s">
        <v>28</v>
      </c>
      <c r="D75" s="4">
        <v>3001</v>
      </c>
      <c r="E75" s="32"/>
      <c r="F75" s="8"/>
      <c r="G75" s="8"/>
      <c r="H75" s="8"/>
      <c r="I75" s="8"/>
      <c r="J75" s="8"/>
      <c r="K75" s="54"/>
      <c r="L75" s="8"/>
      <c r="M75" s="44">
        <v>0</v>
      </c>
      <c r="N75" s="7"/>
    </row>
    <row r="76" spans="1:14">
      <c r="A76" s="65"/>
      <c r="B76" s="66"/>
      <c r="C76" s="14" t="s">
        <v>29</v>
      </c>
      <c r="D76" s="10">
        <v>3002</v>
      </c>
      <c r="E76" s="33"/>
      <c r="F76" s="11"/>
      <c r="G76" s="11"/>
      <c r="H76" s="11"/>
      <c r="I76" s="11"/>
      <c r="J76" s="11"/>
      <c r="K76" s="55"/>
      <c r="L76" s="11"/>
      <c r="M76" s="45">
        <v>0</v>
      </c>
      <c r="N76" s="7"/>
    </row>
    <row r="77" spans="1:14">
      <c r="A77" s="63" t="s">
        <v>56</v>
      </c>
      <c r="B77" s="61" t="s">
        <v>57</v>
      </c>
      <c r="C77" s="19"/>
      <c r="D77" s="5" t="s">
        <v>111</v>
      </c>
      <c r="E77" s="31">
        <f>SUM(E78:E79)</f>
        <v>750</v>
      </c>
      <c r="F77" s="12"/>
      <c r="G77" s="12"/>
      <c r="H77" s="12"/>
      <c r="I77" s="12"/>
      <c r="J77" s="12"/>
      <c r="K77" s="56"/>
      <c r="L77" s="12"/>
      <c r="M77" s="43">
        <f>SUM(M78:M81)</f>
        <v>0</v>
      </c>
      <c r="N77" s="7"/>
    </row>
    <row r="78" spans="1:14">
      <c r="A78" s="64"/>
      <c r="B78" s="62"/>
      <c r="C78" s="14" t="s">
        <v>86</v>
      </c>
      <c r="D78" s="15"/>
      <c r="E78" s="32">
        <v>375</v>
      </c>
      <c r="F78" s="8">
        <v>0</v>
      </c>
      <c r="G78" s="8">
        <v>0</v>
      </c>
      <c r="H78" s="17">
        <v>0</v>
      </c>
      <c r="I78" s="17">
        <v>0</v>
      </c>
      <c r="J78" s="17">
        <v>0</v>
      </c>
      <c r="K78" s="54">
        <f>(F78+G78+H78)</f>
        <v>0</v>
      </c>
      <c r="L78" s="8">
        <v>3.5</v>
      </c>
      <c r="M78" s="44">
        <f>(E78*F78*L78)+(G78*E78)+((H78+I78+J78)*E78)</f>
        <v>0</v>
      </c>
      <c r="N78" s="7"/>
    </row>
    <row r="79" spans="1:14">
      <c r="A79" s="64"/>
      <c r="B79" s="62"/>
      <c r="C79" s="14" t="s">
        <v>112</v>
      </c>
      <c r="D79" s="15"/>
      <c r="E79" s="32">
        <v>375</v>
      </c>
      <c r="F79" s="8">
        <v>0</v>
      </c>
      <c r="G79" s="8">
        <v>0</v>
      </c>
      <c r="H79" s="17">
        <v>0</v>
      </c>
      <c r="I79" s="17">
        <v>0</v>
      </c>
      <c r="J79" s="17">
        <v>0</v>
      </c>
      <c r="K79" s="54">
        <f>(F79+G79+H79)</f>
        <v>0</v>
      </c>
      <c r="L79" s="8">
        <v>3.5</v>
      </c>
      <c r="M79" s="44">
        <f>(E79*F79*L79)+(G79*E79)+((H79+I79+J79)*E79)</f>
        <v>0</v>
      </c>
      <c r="N79" s="7"/>
    </row>
    <row r="80" spans="1:14">
      <c r="A80" s="64"/>
      <c r="B80" s="62"/>
      <c r="C80" s="14" t="s">
        <v>28</v>
      </c>
      <c r="D80" s="4">
        <v>3001</v>
      </c>
      <c r="E80" s="32"/>
      <c r="F80" s="8"/>
      <c r="G80" s="8"/>
      <c r="H80" s="8"/>
      <c r="I80" s="8"/>
      <c r="J80" s="8"/>
      <c r="K80" s="54"/>
      <c r="L80" s="8"/>
      <c r="M80" s="44">
        <v>0</v>
      </c>
      <c r="N80" s="7"/>
    </row>
    <row r="81" spans="1:15" ht="16.5" thickBot="1">
      <c r="A81" s="65"/>
      <c r="B81" s="66"/>
      <c r="C81" s="14" t="s">
        <v>29</v>
      </c>
      <c r="D81" s="10">
        <v>3002</v>
      </c>
      <c r="E81" s="33"/>
      <c r="F81" s="11"/>
      <c r="G81" s="11"/>
      <c r="H81" s="11"/>
      <c r="I81" s="11"/>
      <c r="J81" s="11"/>
      <c r="K81" s="55"/>
      <c r="L81" s="11"/>
      <c r="M81" s="45">
        <v>0</v>
      </c>
      <c r="N81" s="7"/>
    </row>
    <row r="82" spans="1:15" ht="16.5" thickTop="1">
      <c r="A82" s="63" t="s">
        <v>58</v>
      </c>
      <c r="B82" s="61" t="s">
        <v>59</v>
      </c>
      <c r="C82" s="19"/>
      <c r="D82" s="5" t="s">
        <v>111</v>
      </c>
      <c r="E82" s="31">
        <f>SUM(E83:E83)</f>
        <v>375</v>
      </c>
      <c r="F82" s="12"/>
      <c r="G82" s="12"/>
      <c r="H82" s="12"/>
      <c r="I82" s="12"/>
      <c r="J82" s="12"/>
      <c r="K82" s="56"/>
      <c r="L82" s="12"/>
      <c r="M82" s="43">
        <f>SUM(M83:M85)</f>
        <v>0</v>
      </c>
      <c r="N82" s="7"/>
    </row>
    <row r="83" spans="1:15">
      <c r="A83" s="64"/>
      <c r="B83" s="62"/>
      <c r="C83" s="14" t="s">
        <v>86</v>
      </c>
      <c r="D83" s="15"/>
      <c r="E83" s="32">
        <v>375</v>
      </c>
      <c r="F83" s="8">
        <v>0</v>
      </c>
      <c r="G83" s="8">
        <v>0</v>
      </c>
      <c r="H83" s="17">
        <v>0</v>
      </c>
      <c r="I83" s="17">
        <v>0</v>
      </c>
      <c r="J83" s="17">
        <v>0</v>
      </c>
      <c r="K83" s="54">
        <f>(F83+G83+H83)</f>
        <v>0</v>
      </c>
      <c r="L83" s="8">
        <v>3.5</v>
      </c>
      <c r="M83" s="44">
        <f>(E83*F83*L83)+(G83*E83)+((H83+I83+J83)*E83)</f>
        <v>0</v>
      </c>
      <c r="N83" s="7"/>
    </row>
    <row r="84" spans="1:15">
      <c r="A84" s="64"/>
      <c r="B84" s="62"/>
      <c r="C84" s="14" t="s">
        <v>28</v>
      </c>
      <c r="D84" s="4">
        <v>3001</v>
      </c>
      <c r="E84" s="32"/>
      <c r="F84" s="8"/>
      <c r="G84" s="8"/>
      <c r="H84" s="8"/>
      <c r="I84" s="8"/>
      <c r="J84" s="8"/>
      <c r="K84" s="54"/>
      <c r="L84" s="8"/>
      <c r="M84" s="44">
        <v>0</v>
      </c>
      <c r="N84" s="7"/>
    </row>
    <row r="85" spans="1:15" ht="16.5" thickBot="1">
      <c r="A85" s="65"/>
      <c r="B85" s="66"/>
      <c r="C85" s="14" t="s">
        <v>29</v>
      </c>
      <c r="D85" s="10">
        <v>3002</v>
      </c>
      <c r="E85" s="33"/>
      <c r="F85" s="11"/>
      <c r="G85" s="11"/>
      <c r="H85" s="11"/>
      <c r="I85" s="11"/>
      <c r="J85" s="11"/>
      <c r="K85" s="55"/>
      <c r="L85" s="11"/>
      <c r="M85" s="45">
        <v>0</v>
      </c>
      <c r="N85" s="7"/>
    </row>
    <row r="86" spans="1:15" ht="16.5" thickTop="1">
      <c r="A86" s="63" t="s">
        <v>60</v>
      </c>
      <c r="B86" s="61" t="s">
        <v>61</v>
      </c>
      <c r="C86" s="19"/>
      <c r="D86" s="5" t="s">
        <v>111</v>
      </c>
      <c r="E86" s="31">
        <f>SUM(E87:E87)</f>
        <v>375</v>
      </c>
      <c r="F86" s="12"/>
      <c r="G86" s="12"/>
      <c r="H86" s="12"/>
      <c r="I86" s="12"/>
      <c r="J86" s="12"/>
      <c r="K86" s="56"/>
      <c r="L86" s="12"/>
      <c r="M86" s="43">
        <f>SUM(M87:M89)</f>
        <v>0</v>
      </c>
      <c r="N86" s="7"/>
    </row>
    <row r="87" spans="1:15">
      <c r="A87" s="64"/>
      <c r="B87" s="62"/>
      <c r="C87" s="14" t="s">
        <v>86</v>
      </c>
      <c r="D87" s="15"/>
      <c r="E87" s="32">
        <v>375</v>
      </c>
      <c r="F87" s="8">
        <v>0</v>
      </c>
      <c r="G87" s="8">
        <v>0</v>
      </c>
      <c r="H87" s="17">
        <v>0</v>
      </c>
      <c r="I87" s="17">
        <v>0</v>
      </c>
      <c r="J87" s="17">
        <v>0</v>
      </c>
      <c r="K87" s="54">
        <f>(F87+G87+H87)</f>
        <v>0</v>
      </c>
      <c r="L87" s="8">
        <v>3.5</v>
      </c>
      <c r="M87" s="44">
        <f>(E87*F87*L87)+(G87*E87)+((H87+I87+J87)*E87)</f>
        <v>0</v>
      </c>
      <c r="N87" s="7"/>
    </row>
    <row r="88" spans="1:15">
      <c r="A88" s="64"/>
      <c r="B88" s="62"/>
      <c r="C88" s="14" t="s">
        <v>28</v>
      </c>
      <c r="D88" s="4">
        <v>3001</v>
      </c>
      <c r="E88" s="32"/>
      <c r="F88" s="8"/>
      <c r="G88" s="8"/>
      <c r="H88" s="8"/>
      <c r="I88" s="8"/>
      <c r="J88" s="8"/>
      <c r="K88" s="54"/>
      <c r="L88" s="8"/>
      <c r="M88" s="44">
        <v>0</v>
      </c>
      <c r="N88" s="7"/>
    </row>
    <row r="89" spans="1:15" ht="16.5" thickBot="1">
      <c r="A89" s="65"/>
      <c r="B89" s="66"/>
      <c r="C89" s="14" t="s">
        <v>29</v>
      </c>
      <c r="D89" s="10">
        <v>3002</v>
      </c>
      <c r="E89" s="33"/>
      <c r="F89" s="11"/>
      <c r="G89" s="11"/>
      <c r="H89" s="11"/>
      <c r="I89" s="11"/>
      <c r="J89" s="11"/>
      <c r="K89" s="55"/>
      <c r="L89" s="11"/>
      <c r="M89" s="45">
        <v>0</v>
      </c>
      <c r="N89" s="7"/>
    </row>
    <row r="90" spans="1:15" ht="16.5" thickTop="1">
      <c r="A90" s="63" t="s">
        <v>62</v>
      </c>
      <c r="B90" s="61" t="s">
        <v>63</v>
      </c>
      <c r="C90" s="19"/>
      <c r="D90" s="5" t="s">
        <v>111</v>
      </c>
      <c r="E90" s="31">
        <f>SUM(E91:E91)</f>
        <v>375</v>
      </c>
      <c r="F90" s="12"/>
      <c r="G90" s="12"/>
      <c r="H90" s="12"/>
      <c r="I90" s="12"/>
      <c r="J90" s="12"/>
      <c r="K90" s="56"/>
      <c r="L90" s="12"/>
      <c r="M90" s="43">
        <f>SUM(M91:M93)</f>
        <v>0</v>
      </c>
      <c r="N90" s="7"/>
    </row>
    <row r="91" spans="1:15">
      <c r="A91" s="64"/>
      <c r="B91" s="62"/>
      <c r="C91" s="14" t="s">
        <v>86</v>
      </c>
      <c r="D91" s="15"/>
      <c r="E91" s="32">
        <v>375</v>
      </c>
      <c r="F91" s="8">
        <v>0</v>
      </c>
      <c r="G91" s="8">
        <v>0</v>
      </c>
      <c r="H91" s="17">
        <v>0</v>
      </c>
      <c r="I91" s="17">
        <v>0</v>
      </c>
      <c r="J91" s="17">
        <v>0</v>
      </c>
      <c r="K91" s="54">
        <f>(F91+G91+H91)</f>
        <v>0</v>
      </c>
      <c r="L91" s="8">
        <v>3.5</v>
      </c>
      <c r="M91" s="44">
        <f>(E91*F91*L91)+(G91*E91)+((H91+I91+J91)*E91)</f>
        <v>0</v>
      </c>
      <c r="N91" s="7"/>
    </row>
    <row r="92" spans="1:15">
      <c r="A92" s="64"/>
      <c r="B92" s="62"/>
      <c r="C92" s="14" t="s">
        <v>28</v>
      </c>
      <c r="D92" s="4">
        <v>3001</v>
      </c>
      <c r="E92" s="32"/>
      <c r="F92" s="8"/>
      <c r="G92" s="8"/>
      <c r="H92" s="8"/>
      <c r="I92" s="8"/>
      <c r="J92" s="8"/>
      <c r="K92" s="54"/>
      <c r="L92" s="8"/>
      <c r="M92" s="44">
        <v>0</v>
      </c>
      <c r="N92" s="7"/>
    </row>
    <row r="93" spans="1:15" ht="16.5" thickBot="1">
      <c r="A93" s="65"/>
      <c r="B93" s="66"/>
      <c r="C93" s="10" t="s">
        <v>29</v>
      </c>
      <c r="D93" s="10">
        <v>3002</v>
      </c>
      <c r="E93" s="33"/>
      <c r="F93" s="11"/>
      <c r="G93" s="11"/>
      <c r="H93" s="11"/>
      <c r="I93" s="11"/>
      <c r="J93" s="11"/>
      <c r="K93" s="55"/>
      <c r="L93" s="11"/>
      <c r="M93" s="45">
        <v>0</v>
      </c>
      <c r="N93" s="7"/>
    </row>
    <row r="94" spans="1:15" ht="16.5" thickTop="1">
      <c r="A94" s="2" t="s">
        <v>69</v>
      </c>
      <c r="E94" s="32"/>
      <c r="O94" s="38"/>
    </row>
    <row r="95" spans="1:15">
      <c r="L95" s="21" t="s">
        <v>66</v>
      </c>
      <c r="M95" s="20">
        <f>M2+M10+M18+M26+M34+M42+M49+M54+M61+M67+M72+M77+M82+M86+M90</f>
        <v>0</v>
      </c>
    </row>
  </sheetData>
  <mergeCells count="30">
    <mergeCell ref="A82:A85"/>
    <mergeCell ref="B82:B85"/>
    <mergeCell ref="A86:A89"/>
    <mergeCell ref="B86:B89"/>
    <mergeCell ref="A90:A93"/>
    <mergeCell ref="B90:B93"/>
    <mergeCell ref="A67:A71"/>
    <mergeCell ref="B67:B71"/>
    <mergeCell ref="A72:A76"/>
    <mergeCell ref="B72:B76"/>
    <mergeCell ref="A77:A81"/>
    <mergeCell ref="B77:B81"/>
    <mergeCell ref="A49:A52"/>
    <mergeCell ref="B49:B52"/>
    <mergeCell ref="A54:A59"/>
    <mergeCell ref="B54:B59"/>
    <mergeCell ref="A61:A65"/>
    <mergeCell ref="B61:B65"/>
    <mergeCell ref="A26:A32"/>
    <mergeCell ref="B26:B32"/>
    <mergeCell ref="A34:A40"/>
    <mergeCell ref="B34:B40"/>
    <mergeCell ref="A42:A47"/>
    <mergeCell ref="B42:B47"/>
    <mergeCell ref="A2:A8"/>
    <mergeCell ref="B2:B8"/>
    <mergeCell ref="A10:A16"/>
    <mergeCell ref="B10:B16"/>
    <mergeCell ref="A18:A24"/>
    <mergeCell ref="B18:B24"/>
  </mergeCells>
  <pageMargins left="0.7" right="0.7" top="0.75" bottom="0.75" header="0.3" footer="0.3"/>
  <pageSetup scale="50" fitToWidth="0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997E8-8AF2-494D-955B-63A266B235C1}">
  <dimension ref="A1:O97"/>
  <sheetViews>
    <sheetView zoomScaleNormal="100" workbookViewId="0">
      <selection activeCell="K1" sqref="K1"/>
    </sheetView>
  </sheetViews>
  <sheetFormatPr defaultColWidth="9.125" defaultRowHeight="15.75"/>
  <cols>
    <col min="1" max="1" width="18.25" style="3" bestFit="1" customWidth="1"/>
    <col min="2" max="2" width="15.75" style="4" customWidth="1"/>
    <col min="3" max="3" width="31.625" style="14" customWidth="1"/>
    <col min="4" max="5" width="24.75" style="4" customWidth="1"/>
    <col min="6" max="10" width="24.75" style="3" customWidth="1"/>
    <col min="11" max="11" width="4.375" style="3" bestFit="1" customWidth="1"/>
    <col min="12" max="13" width="24.75" style="3" customWidth="1"/>
    <col min="14" max="21" width="15.75" style="3" customWidth="1"/>
    <col min="22" max="16384" width="9.125" style="3"/>
  </cols>
  <sheetData>
    <row r="1" spans="1:14" s="1" customFormat="1" ht="31.5">
      <c r="A1" s="18" t="s">
        <v>10</v>
      </c>
      <c r="B1" s="18" t="s">
        <v>11</v>
      </c>
      <c r="C1" s="18" t="s">
        <v>12</v>
      </c>
      <c r="D1" s="18" t="s">
        <v>13</v>
      </c>
      <c r="E1" s="18" t="s">
        <v>65</v>
      </c>
      <c r="F1" s="18" t="s">
        <v>14</v>
      </c>
      <c r="G1" s="18" t="s">
        <v>15</v>
      </c>
      <c r="H1" s="18" t="s">
        <v>16</v>
      </c>
      <c r="I1" s="18" t="s">
        <v>17</v>
      </c>
      <c r="J1" s="18" t="s">
        <v>18</v>
      </c>
      <c r="K1" s="52"/>
      <c r="L1" s="18" t="s">
        <v>19</v>
      </c>
      <c r="M1" s="42" t="s">
        <v>20</v>
      </c>
      <c r="N1" s="47"/>
    </row>
    <row r="2" spans="1:14" s="2" customFormat="1">
      <c r="A2" s="63" t="s">
        <v>21</v>
      </c>
      <c r="B2" s="61" t="s">
        <v>22</v>
      </c>
      <c r="C2" s="19"/>
      <c r="D2" s="5" t="s">
        <v>114</v>
      </c>
      <c r="E2" s="31">
        <f>SUM(E3:E6)</f>
        <v>9000</v>
      </c>
      <c r="F2" s="6"/>
      <c r="G2" s="6"/>
      <c r="H2" s="6"/>
      <c r="I2" s="6"/>
      <c r="J2" s="6"/>
      <c r="K2" s="53"/>
      <c r="L2" s="6"/>
      <c r="M2" s="43">
        <f>SUM(M3:M8)</f>
        <v>0</v>
      </c>
      <c r="N2" s="48"/>
    </row>
    <row r="3" spans="1:14">
      <c r="A3" s="64"/>
      <c r="B3" s="62"/>
      <c r="C3" s="14" t="s">
        <v>24</v>
      </c>
      <c r="D3" s="15"/>
      <c r="E3" s="32">
        <v>2000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54">
        <v>0</v>
      </c>
      <c r="L3" s="8">
        <v>3.5</v>
      </c>
      <c r="M3" s="44">
        <f>(E3*F3*L3)+(G3*E3)+((H3+I3+J3)*E3)</f>
        <v>0</v>
      </c>
      <c r="N3" s="7"/>
    </row>
    <row r="4" spans="1:14">
      <c r="A4" s="64"/>
      <c r="B4" s="62"/>
      <c r="C4" s="14" t="s">
        <v>25</v>
      </c>
      <c r="D4" s="15"/>
      <c r="E4" s="32">
        <v>4000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54">
        <v>0</v>
      </c>
      <c r="L4" s="8">
        <v>3.5</v>
      </c>
      <c r="M4" s="44">
        <f>(E4*F4*L4)+(G4*E4)+((H4+I4+J4)*E4)</f>
        <v>0</v>
      </c>
      <c r="N4" s="7"/>
    </row>
    <row r="5" spans="1:14">
      <c r="A5" s="64"/>
      <c r="B5" s="62"/>
      <c r="C5" s="14" t="s">
        <v>26</v>
      </c>
      <c r="D5" s="15"/>
      <c r="E5" s="32">
        <v>2125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54">
        <v>0</v>
      </c>
      <c r="L5" s="8">
        <v>3.5</v>
      </c>
      <c r="M5" s="44">
        <f>(E5*F5*L5)+(G5*E5)+((H5+I5+J5)*E5)</f>
        <v>0</v>
      </c>
      <c r="N5" s="7"/>
    </row>
    <row r="6" spans="1:14">
      <c r="A6" s="64"/>
      <c r="B6" s="62"/>
      <c r="C6" s="14" t="s">
        <v>27</v>
      </c>
      <c r="D6" s="15"/>
      <c r="E6" s="32">
        <v>875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54">
        <v>0</v>
      </c>
      <c r="L6" s="8">
        <v>3.5</v>
      </c>
      <c r="M6" s="44">
        <f>(E6*F6*L6)+(G6*E6)+((H6+I6+J6)*E6)</f>
        <v>0</v>
      </c>
      <c r="N6" s="7"/>
    </row>
    <row r="7" spans="1:14">
      <c r="A7" s="64"/>
      <c r="B7" s="62"/>
      <c r="C7" s="14" t="s">
        <v>28</v>
      </c>
      <c r="D7" s="4">
        <v>4001</v>
      </c>
      <c r="E7" s="32"/>
      <c r="F7" s="8"/>
      <c r="G7" s="8"/>
      <c r="H7" s="8"/>
      <c r="I7" s="8"/>
      <c r="J7" s="8"/>
      <c r="K7" s="54"/>
      <c r="L7" s="8"/>
      <c r="M7" s="46">
        <v>0</v>
      </c>
      <c r="N7" s="7"/>
    </row>
    <row r="8" spans="1:14">
      <c r="A8" s="64"/>
      <c r="B8" s="62"/>
      <c r="C8" s="14" t="s">
        <v>29</v>
      </c>
      <c r="D8" s="4">
        <v>4002</v>
      </c>
      <c r="E8" s="32"/>
      <c r="F8" s="8"/>
      <c r="G8" s="8"/>
      <c r="H8" s="8"/>
      <c r="I8" s="8"/>
      <c r="J8" s="8"/>
      <c r="K8" s="54"/>
      <c r="L8" s="8"/>
      <c r="M8" s="46">
        <v>0</v>
      </c>
      <c r="N8" s="7"/>
    </row>
    <row r="9" spans="1:14">
      <c r="A9" s="9"/>
      <c r="B9" s="10"/>
      <c r="C9" s="29"/>
      <c r="D9" s="10"/>
      <c r="E9" s="33"/>
      <c r="F9" s="11"/>
      <c r="G9" s="11"/>
      <c r="H9" s="11"/>
      <c r="I9" s="11"/>
      <c r="J9" s="11"/>
      <c r="K9" s="55"/>
      <c r="L9" s="11"/>
      <c r="M9" s="45"/>
      <c r="N9" s="7"/>
    </row>
    <row r="10" spans="1:14" s="2" customFormat="1">
      <c r="A10" s="63" t="s">
        <v>30</v>
      </c>
      <c r="B10" s="61" t="s">
        <v>31</v>
      </c>
      <c r="C10" s="19"/>
      <c r="D10" s="5" t="s">
        <v>114</v>
      </c>
      <c r="E10" s="31">
        <f>SUM(E11:E14)</f>
        <v>5250</v>
      </c>
      <c r="F10" s="12"/>
      <c r="G10" s="12"/>
      <c r="H10" s="12"/>
      <c r="I10" s="12"/>
      <c r="J10" s="12"/>
      <c r="K10" s="56"/>
      <c r="L10" s="12"/>
      <c r="M10" s="43">
        <f>SUM(M11:M16)</f>
        <v>0</v>
      </c>
      <c r="N10" s="48"/>
    </row>
    <row r="11" spans="1:14">
      <c r="A11" s="64"/>
      <c r="B11" s="62"/>
      <c r="C11" s="14" t="s">
        <v>32</v>
      </c>
      <c r="D11" s="15"/>
      <c r="E11" s="32">
        <v>1125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54">
        <f>(F11+G11+H11)</f>
        <v>0</v>
      </c>
      <c r="L11" s="8">
        <v>3.5</v>
      </c>
      <c r="M11" s="44">
        <f>(E11*F11*L11)+(G11*E11)+((H11+I11+J11)*E11)</f>
        <v>0</v>
      </c>
      <c r="N11" s="7"/>
    </row>
    <row r="12" spans="1:14">
      <c r="A12" s="64"/>
      <c r="B12" s="62"/>
      <c r="C12" s="14" t="s">
        <v>33</v>
      </c>
      <c r="D12" s="15"/>
      <c r="E12" s="32">
        <v>2125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54">
        <f>(F12+G12+H12)</f>
        <v>0</v>
      </c>
      <c r="L12" s="8">
        <v>3.5</v>
      </c>
      <c r="M12" s="44">
        <f>(E12*F12*L12)+(G12*E12)+((H12+I12+J12)*E12)</f>
        <v>0</v>
      </c>
      <c r="N12" s="7"/>
    </row>
    <row r="13" spans="1:14">
      <c r="A13" s="64"/>
      <c r="B13" s="62"/>
      <c r="C13" s="16" t="s">
        <v>113</v>
      </c>
      <c r="D13" s="15"/>
      <c r="E13" s="32">
        <v>1250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54">
        <f t="shared" ref="K13" si="0">(F13+G13+H13)</f>
        <v>0</v>
      </c>
      <c r="L13" s="8">
        <v>3.5</v>
      </c>
      <c r="M13" s="44">
        <f>(E13*F13*L13)+(G13*E13)+((H13+I13+J13)*E13)</f>
        <v>0</v>
      </c>
      <c r="N13" s="7"/>
    </row>
    <row r="14" spans="1:14">
      <c r="A14" s="64"/>
      <c r="B14" s="62"/>
      <c r="C14" s="14" t="s">
        <v>80</v>
      </c>
      <c r="D14" s="15"/>
      <c r="E14" s="32">
        <v>750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54">
        <f t="shared" ref="K14" si="1">(F14+G14+H14)</f>
        <v>0</v>
      </c>
      <c r="L14" s="8">
        <v>3.5</v>
      </c>
      <c r="M14" s="44">
        <f>(E14*F14*L14)+(G14*E14)+((H14+I14+J14)*E14)</f>
        <v>0</v>
      </c>
      <c r="N14" s="7"/>
    </row>
    <row r="15" spans="1:14">
      <c r="A15" s="64"/>
      <c r="B15" s="62"/>
      <c r="C15" s="14" t="s">
        <v>28</v>
      </c>
      <c r="D15" s="4">
        <v>4001</v>
      </c>
      <c r="E15" s="32"/>
      <c r="F15" s="8"/>
      <c r="G15" s="8"/>
      <c r="H15" s="8"/>
      <c r="I15" s="8"/>
      <c r="J15" s="8"/>
      <c r="K15" s="54"/>
      <c r="L15" s="8"/>
      <c r="M15" s="46">
        <v>0</v>
      </c>
      <c r="N15" s="7"/>
    </row>
    <row r="16" spans="1:14">
      <c r="A16" s="64"/>
      <c r="B16" s="62"/>
      <c r="C16" s="14" t="s">
        <v>29</v>
      </c>
      <c r="D16" s="4">
        <v>4002</v>
      </c>
      <c r="E16" s="32"/>
      <c r="F16" s="8"/>
      <c r="G16" s="8"/>
      <c r="H16" s="8"/>
      <c r="I16" s="8"/>
      <c r="J16" s="8"/>
      <c r="K16" s="54"/>
      <c r="L16" s="8"/>
      <c r="M16" s="46">
        <v>0</v>
      </c>
      <c r="N16" s="7"/>
    </row>
    <row r="17" spans="1:14">
      <c r="A17" s="7"/>
      <c r="E17" s="32"/>
      <c r="F17" s="8"/>
      <c r="G17" s="8"/>
      <c r="H17" s="8"/>
      <c r="I17" s="8"/>
      <c r="J17" s="8"/>
      <c r="K17" s="54"/>
      <c r="L17" s="8"/>
      <c r="M17" s="44"/>
      <c r="N17" s="7"/>
    </row>
    <row r="18" spans="1:14" s="2" customFormat="1">
      <c r="A18" s="63" t="s">
        <v>34</v>
      </c>
      <c r="B18" s="61" t="s">
        <v>35</v>
      </c>
      <c r="C18" s="19"/>
      <c r="D18" s="5" t="s">
        <v>114</v>
      </c>
      <c r="E18" s="31">
        <f>SUM(E19:E22)</f>
        <v>6750</v>
      </c>
      <c r="F18" s="12"/>
      <c r="G18" s="12"/>
      <c r="H18" s="12"/>
      <c r="I18" s="12"/>
      <c r="J18" s="12"/>
      <c r="K18" s="56"/>
      <c r="L18" s="12"/>
      <c r="M18" s="43">
        <f>SUM(M19:M24)</f>
        <v>0</v>
      </c>
      <c r="N18" s="48"/>
    </row>
    <row r="19" spans="1:14" s="2" customFormat="1">
      <c r="A19" s="64"/>
      <c r="B19" s="62"/>
      <c r="C19" s="14" t="s">
        <v>36</v>
      </c>
      <c r="D19" s="15"/>
      <c r="E19" s="32">
        <v>3500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54">
        <f>(F19+G19+H19)</f>
        <v>0</v>
      </c>
      <c r="L19" s="8">
        <v>3.5</v>
      </c>
      <c r="M19" s="44">
        <f>(E19*F19*L19)+(G19*E19)+((H19+I19+J19)*E19)</f>
        <v>0</v>
      </c>
      <c r="N19" s="48"/>
    </row>
    <row r="20" spans="1:14" s="28" customFormat="1" ht="31.5">
      <c r="A20" s="64"/>
      <c r="B20" s="62"/>
      <c r="C20" s="16" t="s">
        <v>81</v>
      </c>
      <c r="D20" s="15"/>
      <c r="E20" s="34">
        <v>1500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57">
        <f>(F20+G20+H20)</f>
        <v>0</v>
      </c>
      <c r="L20" s="17">
        <v>3.5</v>
      </c>
      <c r="M20" s="44">
        <f>(E20*F20*L20)+(G20*E20)+((H20+I20+J20)*E20)</f>
        <v>0</v>
      </c>
      <c r="N20" s="49"/>
    </row>
    <row r="21" spans="1:14" s="2" customFormat="1">
      <c r="A21" s="64"/>
      <c r="B21" s="62"/>
      <c r="C21" s="14" t="s">
        <v>93</v>
      </c>
      <c r="D21" s="15"/>
      <c r="E21" s="32">
        <v>875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57">
        <f t="shared" ref="K21:K22" si="2">(F21+G21+H21)</f>
        <v>0</v>
      </c>
      <c r="L21" s="17">
        <v>3.5</v>
      </c>
      <c r="M21" s="44">
        <f>(E21*F21*L21)+(G21*E21)+((H21+I21+J21)*E21)</f>
        <v>0</v>
      </c>
      <c r="N21" s="48"/>
    </row>
    <row r="22" spans="1:14">
      <c r="A22" s="64"/>
      <c r="B22" s="62"/>
      <c r="C22" s="14" t="s">
        <v>112</v>
      </c>
      <c r="D22" s="15"/>
      <c r="E22" s="32">
        <v>875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57">
        <f t="shared" si="2"/>
        <v>0</v>
      </c>
      <c r="L22" s="17">
        <v>3.5</v>
      </c>
      <c r="M22" s="44">
        <f>(E22*F22*L22)+(G22*E22)+((H22+I22+J22)*E22)</f>
        <v>0</v>
      </c>
      <c r="N22" s="7"/>
    </row>
    <row r="23" spans="1:14">
      <c r="A23" s="64"/>
      <c r="B23" s="62"/>
      <c r="C23" s="14" t="s">
        <v>28</v>
      </c>
      <c r="D23" s="4">
        <v>4001</v>
      </c>
      <c r="E23" s="32"/>
      <c r="F23" s="8"/>
      <c r="G23" s="8"/>
      <c r="H23" s="8"/>
      <c r="I23" s="8"/>
      <c r="J23" s="8"/>
      <c r="K23" s="54"/>
      <c r="L23" s="8"/>
      <c r="M23" s="46">
        <v>0</v>
      </c>
      <c r="N23" s="7"/>
    </row>
    <row r="24" spans="1:14">
      <c r="A24" s="64"/>
      <c r="B24" s="62"/>
      <c r="C24" s="14" t="s">
        <v>29</v>
      </c>
      <c r="D24" s="4">
        <v>4002</v>
      </c>
      <c r="E24" s="32"/>
      <c r="F24" s="8"/>
      <c r="G24" s="8"/>
      <c r="H24" s="8"/>
      <c r="I24" s="8"/>
      <c r="J24" s="8"/>
      <c r="K24" s="54"/>
      <c r="L24" s="8"/>
      <c r="M24" s="46">
        <v>0</v>
      </c>
      <c r="N24" s="7"/>
    </row>
    <row r="25" spans="1:14">
      <c r="A25" s="9"/>
      <c r="B25" s="10"/>
      <c r="C25" s="29"/>
      <c r="D25" s="10"/>
      <c r="E25" s="33"/>
      <c r="F25" s="11"/>
      <c r="G25" s="11"/>
      <c r="H25" s="11"/>
      <c r="I25" s="11"/>
      <c r="J25" s="11"/>
      <c r="K25" s="55"/>
      <c r="L25" s="11"/>
      <c r="M25" s="45"/>
      <c r="N25" s="7"/>
    </row>
    <row r="26" spans="1:14" s="2" customFormat="1">
      <c r="A26" s="63" t="s">
        <v>37</v>
      </c>
      <c r="B26" s="61" t="s">
        <v>38</v>
      </c>
      <c r="C26" s="19"/>
      <c r="D26" s="5" t="s">
        <v>114</v>
      </c>
      <c r="E26" s="31">
        <f>SUM(E27:E30)</f>
        <v>6750</v>
      </c>
      <c r="F26" s="12"/>
      <c r="G26" s="12"/>
      <c r="H26" s="12"/>
      <c r="I26" s="12"/>
      <c r="J26" s="12"/>
      <c r="K26" s="56"/>
      <c r="L26" s="12"/>
      <c r="M26" s="43">
        <f>SUM(M27:M32)</f>
        <v>0</v>
      </c>
      <c r="N26" s="48"/>
    </row>
    <row r="27" spans="1:14" s="15" customFormat="1">
      <c r="A27" s="64"/>
      <c r="B27" s="62"/>
      <c r="C27" s="16" t="s">
        <v>39</v>
      </c>
      <c r="E27" s="34">
        <v>3750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57">
        <f>(F27+G27+H27)</f>
        <v>0</v>
      </c>
      <c r="L27" s="17">
        <v>3.5</v>
      </c>
      <c r="M27" s="44">
        <f>(E27*F27*L27)+(G27*E27)+((H27+I27+J27)*E27)</f>
        <v>0</v>
      </c>
      <c r="N27" s="50"/>
    </row>
    <row r="28" spans="1:14" s="15" customFormat="1" ht="31.5">
      <c r="A28" s="64"/>
      <c r="B28" s="62"/>
      <c r="C28" s="16" t="s">
        <v>87</v>
      </c>
      <c r="E28" s="34">
        <v>1250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57">
        <f>(F28+G28+H28)</f>
        <v>0</v>
      </c>
      <c r="L28" s="17">
        <v>3.5</v>
      </c>
      <c r="M28" s="44">
        <f>(E28*F28*L28)+(G28*E28)+((H28+I28+J28)*E28)</f>
        <v>0</v>
      </c>
      <c r="N28" s="50"/>
    </row>
    <row r="29" spans="1:14">
      <c r="A29" s="64"/>
      <c r="B29" s="62"/>
      <c r="C29" s="14" t="s">
        <v>93</v>
      </c>
      <c r="D29" s="15"/>
      <c r="E29" s="32">
        <v>1000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57">
        <f t="shared" ref="K29:K30" si="3">(F29+G29+H29)</f>
        <v>0</v>
      </c>
      <c r="L29" s="17">
        <v>3.5</v>
      </c>
      <c r="M29" s="44">
        <f>(E29*F29*L29)+(G29*E29)+((H29+I29+J29)*E29)</f>
        <v>0</v>
      </c>
      <c r="N29" s="7"/>
    </row>
    <row r="30" spans="1:14">
      <c r="A30" s="64"/>
      <c r="B30" s="62"/>
      <c r="C30" s="14" t="s">
        <v>112</v>
      </c>
      <c r="D30" s="15"/>
      <c r="E30" s="32">
        <v>750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57">
        <f t="shared" si="3"/>
        <v>0</v>
      </c>
      <c r="L30" s="17">
        <v>3.5</v>
      </c>
      <c r="M30" s="44">
        <f>(E30*F30*L30)+(G30*E30)+((H30+I30+J30)*E30)</f>
        <v>0</v>
      </c>
      <c r="N30" s="7"/>
    </row>
    <row r="31" spans="1:14">
      <c r="A31" s="64"/>
      <c r="B31" s="62"/>
      <c r="C31" s="14" t="s">
        <v>28</v>
      </c>
      <c r="D31" s="4">
        <v>4001</v>
      </c>
      <c r="E31" s="32"/>
      <c r="F31" s="8"/>
      <c r="G31" s="8"/>
      <c r="H31" s="8"/>
      <c r="I31" s="8"/>
      <c r="J31" s="8"/>
      <c r="K31" s="54"/>
      <c r="L31" s="8"/>
      <c r="M31" s="46">
        <v>0</v>
      </c>
      <c r="N31" s="7"/>
    </row>
    <row r="32" spans="1:14">
      <c r="A32" s="64"/>
      <c r="B32" s="62"/>
      <c r="C32" s="14" t="s">
        <v>29</v>
      </c>
      <c r="D32" s="4">
        <v>4002</v>
      </c>
      <c r="E32" s="32"/>
      <c r="F32" s="8"/>
      <c r="G32" s="8"/>
      <c r="H32" s="8"/>
      <c r="I32" s="8"/>
      <c r="J32" s="8"/>
      <c r="K32" s="54"/>
      <c r="L32" s="8"/>
      <c r="M32" s="46">
        <v>0</v>
      </c>
      <c r="N32" s="7"/>
    </row>
    <row r="33" spans="1:14">
      <c r="A33" s="9"/>
      <c r="B33" s="10"/>
      <c r="C33" s="29"/>
      <c r="D33" s="10"/>
      <c r="E33" s="33"/>
      <c r="F33" s="13"/>
      <c r="G33" s="13"/>
      <c r="H33" s="13"/>
      <c r="I33" s="13"/>
      <c r="J33" s="13"/>
      <c r="K33" s="58"/>
      <c r="L33" s="13"/>
      <c r="M33" s="13"/>
      <c r="N33" s="7"/>
    </row>
    <row r="34" spans="1:14" s="2" customFormat="1">
      <c r="A34" s="63" t="s">
        <v>40</v>
      </c>
      <c r="B34" s="61" t="s">
        <v>41</v>
      </c>
      <c r="C34" s="19"/>
      <c r="D34" s="5" t="s">
        <v>114</v>
      </c>
      <c r="E34" s="31">
        <f>SUM(E35:E38)</f>
        <v>8250</v>
      </c>
      <c r="F34" s="12"/>
      <c r="G34" s="12"/>
      <c r="H34" s="12"/>
      <c r="I34" s="12"/>
      <c r="J34" s="12"/>
      <c r="K34" s="56"/>
      <c r="L34" s="12"/>
      <c r="M34" s="43">
        <f>SUM(M35:M40)</f>
        <v>0</v>
      </c>
      <c r="N34" s="48"/>
    </row>
    <row r="35" spans="1:14" s="15" customFormat="1" ht="31.5">
      <c r="A35" s="64"/>
      <c r="B35" s="62"/>
      <c r="C35" s="16" t="s">
        <v>42</v>
      </c>
      <c r="E35" s="34">
        <v>4250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57">
        <f>(F35+G35+H35)</f>
        <v>0</v>
      </c>
      <c r="L35" s="17">
        <v>3.5</v>
      </c>
      <c r="M35" s="44">
        <f>(E35*F35*L35)+(G35*E35)+((H35+I35+J35)*E35)</f>
        <v>0</v>
      </c>
      <c r="N35" s="50"/>
    </row>
    <row r="36" spans="1:14">
      <c r="A36" s="64"/>
      <c r="B36" s="62"/>
      <c r="C36" s="14" t="s">
        <v>33</v>
      </c>
      <c r="D36" s="15"/>
      <c r="E36" s="32">
        <v>1750</v>
      </c>
      <c r="F36" s="8">
        <v>0</v>
      </c>
      <c r="G36" s="8">
        <v>0</v>
      </c>
      <c r="H36" s="17">
        <v>0</v>
      </c>
      <c r="I36" s="17">
        <v>0</v>
      </c>
      <c r="J36" s="17">
        <v>0</v>
      </c>
      <c r="K36" s="54">
        <f>(F36+G36+H36)</f>
        <v>0</v>
      </c>
      <c r="L36" s="8">
        <v>3.5</v>
      </c>
      <c r="M36" s="44">
        <f>(E36*F36*L36)+(G36*E36)+((H36+I36+J36)*E36)</f>
        <v>0</v>
      </c>
      <c r="N36" s="7"/>
    </row>
    <row r="37" spans="1:14">
      <c r="A37" s="64"/>
      <c r="B37" s="62"/>
      <c r="C37" s="14" t="s">
        <v>27</v>
      </c>
      <c r="D37" s="15"/>
      <c r="E37" s="32">
        <v>750</v>
      </c>
      <c r="F37" s="8">
        <v>0</v>
      </c>
      <c r="G37" s="8">
        <v>0</v>
      </c>
      <c r="H37" s="17">
        <v>0</v>
      </c>
      <c r="I37" s="17">
        <v>0</v>
      </c>
      <c r="J37" s="17">
        <v>0</v>
      </c>
      <c r="K37" s="54">
        <f t="shared" ref="K37:K38" si="4">(F37+G37+H37)</f>
        <v>0</v>
      </c>
      <c r="L37" s="8">
        <v>3.5</v>
      </c>
      <c r="M37" s="44">
        <f>(E37*F37*L37)+(G37*E37)+((H37+I37+J37)*E37)</f>
        <v>0</v>
      </c>
      <c r="N37" s="7"/>
    </row>
    <row r="38" spans="1:14" s="15" customFormat="1" ht="31.5">
      <c r="A38" s="64"/>
      <c r="B38" s="62"/>
      <c r="C38" s="16" t="s">
        <v>92</v>
      </c>
      <c r="E38" s="34">
        <v>1500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57">
        <f t="shared" si="4"/>
        <v>0</v>
      </c>
      <c r="L38" s="17">
        <v>3.5</v>
      </c>
      <c r="M38" s="44">
        <f>(E38*F38*L38)+(G38*E38)+((H38+I38+J38)*E38)</f>
        <v>0</v>
      </c>
      <c r="N38" s="50"/>
    </row>
    <row r="39" spans="1:14">
      <c r="A39" s="64"/>
      <c r="B39" s="62"/>
      <c r="C39" s="14" t="s">
        <v>28</v>
      </c>
      <c r="D39" s="4">
        <v>4001</v>
      </c>
      <c r="E39" s="32"/>
      <c r="F39" s="8"/>
      <c r="G39" s="8"/>
      <c r="H39" s="8"/>
      <c r="I39" s="8"/>
      <c r="J39" s="8"/>
      <c r="K39" s="54"/>
      <c r="L39" s="8"/>
      <c r="M39" s="46">
        <v>0</v>
      </c>
      <c r="N39" s="7"/>
    </row>
    <row r="40" spans="1:14">
      <c r="A40" s="64"/>
      <c r="B40" s="62"/>
      <c r="C40" s="14" t="s">
        <v>29</v>
      </c>
      <c r="D40" s="4">
        <v>4002</v>
      </c>
      <c r="E40" s="32"/>
      <c r="F40" s="8"/>
      <c r="G40" s="8"/>
      <c r="H40" s="8"/>
      <c r="I40" s="8"/>
      <c r="J40" s="8"/>
      <c r="K40" s="54"/>
      <c r="L40" s="8"/>
      <c r="M40" s="46">
        <v>0</v>
      </c>
      <c r="N40" s="7"/>
    </row>
    <row r="41" spans="1:14">
      <c r="A41" s="9"/>
      <c r="B41" s="13"/>
      <c r="C41" s="29"/>
      <c r="D41" s="10"/>
      <c r="E41" s="33"/>
      <c r="F41" s="13"/>
      <c r="G41" s="13"/>
      <c r="H41" s="13"/>
      <c r="I41" s="13"/>
      <c r="J41" s="13"/>
      <c r="K41" s="58"/>
      <c r="L41" s="13"/>
      <c r="M41" s="13"/>
      <c r="N41" s="7"/>
    </row>
    <row r="42" spans="1:14" s="2" customFormat="1">
      <c r="A42" s="63" t="s">
        <v>43</v>
      </c>
      <c r="B42" s="61" t="s">
        <v>44</v>
      </c>
      <c r="C42" s="19"/>
      <c r="D42" s="5" t="s">
        <v>114</v>
      </c>
      <c r="E42" s="31">
        <f>SUM(E43:E45)</f>
        <v>3750</v>
      </c>
      <c r="F42" s="12"/>
      <c r="G42" s="12"/>
      <c r="H42" s="12"/>
      <c r="I42" s="12"/>
      <c r="J42" s="12"/>
      <c r="K42" s="56"/>
      <c r="L42" s="12"/>
      <c r="M42" s="43">
        <f>SUM(M43:M47)</f>
        <v>0</v>
      </c>
      <c r="N42" s="48"/>
    </row>
    <row r="43" spans="1:14">
      <c r="A43" s="64"/>
      <c r="B43" s="62"/>
      <c r="C43" s="14" t="s">
        <v>26</v>
      </c>
      <c r="D43" s="15"/>
      <c r="E43" s="32">
        <v>1625</v>
      </c>
      <c r="F43" s="8">
        <v>0</v>
      </c>
      <c r="G43" s="8">
        <v>0</v>
      </c>
      <c r="H43" s="17">
        <v>0</v>
      </c>
      <c r="I43" s="8">
        <v>0</v>
      </c>
      <c r="J43" s="17">
        <v>0</v>
      </c>
      <c r="K43" s="54">
        <f>(F43+G43+H43)</f>
        <v>0</v>
      </c>
      <c r="L43" s="8">
        <v>3.5</v>
      </c>
      <c r="M43" s="44">
        <f>(E43*F43*L43)+(G43*E43)+((H43+I43+J43)*E43)</f>
        <v>0</v>
      </c>
      <c r="N43" s="7"/>
    </row>
    <row r="44" spans="1:14" s="15" customFormat="1" ht="31.5">
      <c r="A44" s="64"/>
      <c r="B44" s="62"/>
      <c r="C44" s="16" t="s">
        <v>88</v>
      </c>
      <c r="E44" s="34">
        <v>1250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57">
        <f>(F44+G44+H44)</f>
        <v>0</v>
      </c>
      <c r="L44" s="17">
        <v>3.5</v>
      </c>
      <c r="M44" s="44">
        <f>(E44*F44*L44)+(G44*E44)+((H44+I44+J44)*E44)</f>
        <v>0</v>
      </c>
      <c r="N44" s="50"/>
    </row>
    <row r="45" spans="1:14">
      <c r="A45" s="64"/>
      <c r="B45" s="62"/>
      <c r="C45" s="14" t="s">
        <v>93</v>
      </c>
      <c r="D45" s="15"/>
      <c r="E45" s="32">
        <v>875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57">
        <f>(F45+G45+H45)</f>
        <v>0</v>
      </c>
      <c r="L45" s="17">
        <v>3.5</v>
      </c>
      <c r="M45" s="44">
        <f>(E45*F45*L45)+(G45*E45)+((H45+I45+J45)*E45)</f>
        <v>0</v>
      </c>
      <c r="N45" s="7"/>
    </row>
    <row r="46" spans="1:14">
      <c r="A46" s="64"/>
      <c r="B46" s="62"/>
      <c r="C46" s="14" t="s">
        <v>28</v>
      </c>
      <c r="D46" s="4">
        <v>4001</v>
      </c>
      <c r="E46" s="32"/>
      <c r="F46" s="8"/>
      <c r="G46" s="8"/>
      <c r="H46" s="8"/>
      <c r="I46" s="8"/>
      <c r="J46" s="8"/>
      <c r="K46" s="54"/>
      <c r="L46" s="8"/>
      <c r="M46" s="46">
        <v>0</v>
      </c>
      <c r="N46" s="7"/>
    </row>
    <row r="47" spans="1:14">
      <c r="A47" s="64"/>
      <c r="B47" s="62"/>
      <c r="C47" s="14" t="s">
        <v>29</v>
      </c>
      <c r="D47" s="4">
        <v>4002</v>
      </c>
      <c r="E47" s="32"/>
      <c r="F47" s="8"/>
      <c r="G47" s="8"/>
      <c r="H47" s="8"/>
      <c r="I47" s="8"/>
      <c r="J47" s="8"/>
      <c r="K47" s="54"/>
      <c r="L47" s="8"/>
      <c r="M47" s="46">
        <v>0</v>
      </c>
      <c r="N47" s="7"/>
    </row>
    <row r="48" spans="1:14">
      <c r="A48" s="9"/>
      <c r="B48" s="10"/>
      <c r="C48" s="29"/>
      <c r="D48" s="10"/>
      <c r="E48" s="33"/>
      <c r="F48" s="13"/>
      <c r="G48" s="13"/>
      <c r="H48" s="13"/>
      <c r="I48" s="13"/>
      <c r="J48" s="13"/>
      <c r="K48" s="58"/>
      <c r="L48" s="13"/>
      <c r="M48" s="13"/>
      <c r="N48" s="7"/>
    </row>
    <row r="49" spans="1:14" s="2" customFormat="1">
      <c r="A49" s="63" t="s">
        <v>45</v>
      </c>
      <c r="B49" s="61" t="s">
        <v>46</v>
      </c>
      <c r="C49" s="19"/>
      <c r="D49" s="5" t="s">
        <v>114</v>
      </c>
      <c r="E49" s="31">
        <f>SUM(E50:E50)</f>
        <v>4375</v>
      </c>
      <c r="F49" s="12"/>
      <c r="G49" s="12"/>
      <c r="H49" s="12"/>
      <c r="I49" s="12"/>
      <c r="J49" s="12"/>
      <c r="K49" s="56"/>
      <c r="L49" s="12"/>
      <c r="M49" s="43">
        <f>SUM(M50:M52)</f>
        <v>0</v>
      </c>
      <c r="N49" s="48"/>
    </row>
    <row r="50" spans="1:14" s="14" customFormat="1">
      <c r="A50" s="64"/>
      <c r="B50" s="62"/>
      <c r="C50" s="16" t="s">
        <v>47</v>
      </c>
      <c r="E50" s="34">
        <v>4375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57">
        <v>0</v>
      </c>
      <c r="L50" s="17">
        <v>0</v>
      </c>
      <c r="M50" s="44">
        <f>(E50*F50*L50)+(G50*E50)+((H50+I50+J50)*E50)</f>
        <v>0</v>
      </c>
      <c r="N50" s="51"/>
    </row>
    <row r="51" spans="1:14">
      <c r="A51" s="64"/>
      <c r="B51" s="62"/>
      <c r="C51" s="14" t="s">
        <v>28</v>
      </c>
      <c r="D51" s="4">
        <v>4001</v>
      </c>
      <c r="E51" s="32"/>
      <c r="F51" s="8"/>
      <c r="G51" s="8"/>
      <c r="H51" s="8"/>
      <c r="I51" s="8"/>
      <c r="J51" s="8"/>
      <c r="K51" s="54"/>
      <c r="L51" s="8"/>
      <c r="M51" s="46">
        <v>0</v>
      </c>
      <c r="N51" s="7"/>
    </row>
    <row r="52" spans="1:14">
      <c r="A52" s="64"/>
      <c r="B52" s="62"/>
      <c r="C52" s="14" t="s">
        <v>29</v>
      </c>
      <c r="D52" s="4">
        <v>4002</v>
      </c>
      <c r="E52" s="32"/>
      <c r="F52" s="8"/>
      <c r="G52" s="8"/>
      <c r="H52" s="8"/>
      <c r="I52" s="8"/>
      <c r="J52" s="8"/>
      <c r="K52" s="54"/>
      <c r="L52" s="8"/>
      <c r="M52" s="46">
        <v>0</v>
      </c>
      <c r="N52" s="7"/>
    </row>
    <row r="53" spans="1:14">
      <c r="A53" s="9"/>
      <c r="B53" s="10"/>
      <c r="C53" s="29"/>
      <c r="D53" s="10"/>
      <c r="E53" s="33"/>
      <c r="F53" s="13"/>
      <c r="G53" s="13"/>
      <c r="H53" s="13"/>
      <c r="I53" s="13"/>
      <c r="J53" s="13"/>
      <c r="K53" s="58"/>
      <c r="L53" s="13"/>
      <c r="M53" s="13"/>
      <c r="N53" s="7"/>
    </row>
    <row r="54" spans="1:14" s="2" customFormat="1" ht="16.5" thickTop="1">
      <c r="A54" s="63" t="s">
        <v>48</v>
      </c>
      <c r="B54" s="61" t="s">
        <v>49</v>
      </c>
      <c r="C54" s="19"/>
      <c r="D54" s="5" t="s">
        <v>114</v>
      </c>
      <c r="E54" s="31">
        <f>SUM(E55:E57)</f>
        <v>3125</v>
      </c>
      <c r="F54" s="12"/>
      <c r="G54" s="12"/>
      <c r="H54" s="12"/>
      <c r="I54" s="12"/>
      <c r="J54" s="12"/>
      <c r="K54" s="56"/>
      <c r="L54" s="12"/>
      <c r="M54" s="43">
        <f>SUM(M55:M59)</f>
        <v>0</v>
      </c>
      <c r="N54" s="48"/>
    </row>
    <row r="55" spans="1:14">
      <c r="A55" s="64"/>
      <c r="B55" s="62"/>
      <c r="C55" s="14" t="s">
        <v>86</v>
      </c>
      <c r="D55" s="15"/>
      <c r="E55" s="32">
        <v>1625</v>
      </c>
      <c r="F55" s="8">
        <v>0</v>
      </c>
      <c r="G55" s="8">
        <v>0</v>
      </c>
      <c r="H55" s="17">
        <v>0</v>
      </c>
      <c r="I55" s="17">
        <v>0</v>
      </c>
      <c r="J55" s="17">
        <v>0</v>
      </c>
      <c r="K55" s="54">
        <f>(F55+G55+H55)</f>
        <v>0</v>
      </c>
      <c r="L55" s="8">
        <v>3.5</v>
      </c>
      <c r="M55" s="44">
        <f>(E55*F55*L55)+(G55*E55)+((H55+I55+J55)*E55)</f>
        <v>0</v>
      </c>
      <c r="N55" s="7"/>
    </row>
    <row r="56" spans="1:14">
      <c r="A56" s="64"/>
      <c r="B56" s="62"/>
      <c r="C56" s="14" t="s">
        <v>93</v>
      </c>
      <c r="D56" s="15"/>
      <c r="E56" s="32">
        <v>875</v>
      </c>
      <c r="F56" s="8">
        <v>0</v>
      </c>
      <c r="G56" s="8">
        <v>0</v>
      </c>
      <c r="H56" s="17">
        <v>0</v>
      </c>
      <c r="I56" s="17">
        <v>0</v>
      </c>
      <c r="J56" s="17">
        <v>0</v>
      </c>
      <c r="K56" s="54">
        <f>(F56+G56+H56)</f>
        <v>0</v>
      </c>
      <c r="L56" s="8">
        <v>3.5</v>
      </c>
      <c r="M56" s="44">
        <f>(E56*F56*L56)+(G56*E56)+((H56+I56+J56)*E56)</f>
        <v>0</v>
      </c>
      <c r="N56" s="7"/>
    </row>
    <row r="57" spans="1:14">
      <c r="A57" s="64"/>
      <c r="B57" s="62"/>
      <c r="C57" s="14" t="s">
        <v>112</v>
      </c>
      <c r="D57" s="15"/>
      <c r="E57" s="32">
        <v>625</v>
      </c>
      <c r="F57" s="8">
        <v>0</v>
      </c>
      <c r="G57" s="8">
        <v>0</v>
      </c>
      <c r="H57" s="17">
        <v>0</v>
      </c>
      <c r="I57" s="17">
        <v>0</v>
      </c>
      <c r="J57" s="17">
        <v>0</v>
      </c>
      <c r="K57" s="54">
        <f t="shared" ref="K57" si="5">(F57+G57+H57)</f>
        <v>0</v>
      </c>
      <c r="L57" s="8">
        <v>3.5</v>
      </c>
      <c r="M57" s="44">
        <f>(E57*F57*L57)+(G57*E57)+((H57+I57+J57)*E57)</f>
        <v>0</v>
      </c>
      <c r="N57" s="7"/>
    </row>
    <row r="58" spans="1:14">
      <c r="A58" s="64"/>
      <c r="B58" s="62"/>
      <c r="C58" s="14" t="s">
        <v>28</v>
      </c>
      <c r="D58" s="4">
        <v>4001</v>
      </c>
      <c r="E58" s="32"/>
      <c r="F58" s="8"/>
      <c r="G58" s="8"/>
      <c r="H58" s="8"/>
      <c r="I58" s="8"/>
      <c r="J58" s="8"/>
      <c r="K58" s="54"/>
      <c r="L58" s="8"/>
      <c r="M58" s="46">
        <v>0</v>
      </c>
      <c r="N58" s="7"/>
    </row>
    <row r="59" spans="1:14">
      <c r="A59" s="64"/>
      <c r="B59" s="62"/>
      <c r="C59" s="14" t="s">
        <v>29</v>
      </c>
      <c r="D59" s="4">
        <v>4002</v>
      </c>
      <c r="E59" s="32"/>
      <c r="F59" s="8"/>
      <c r="G59" s="8"/>
      <c r="H59" s="8"/>
      <c r="I59" s="8"/>
      <c r="J59" s="8"/>
      <c r="K59" s="54"/>
      <c r="L59" s="8"/>
      <c r="M59" s="46">
        <v>0</v>
      </c>
      <c r="N59" s="7"/>
    </row>
    <row r="60" spans="1:14" ht="16.5" thickBot="1">
      <c r="A60" s="9"/>
      <c r="B60" s="10"/>
      <c r="C60" s="29"/>
      <c r="D60" s="10"/>
      <c r="E60" s="33"/>
      <c r="F60" s="13"/>
      <c r="G60" s="13"/>
      <c r="H60" s="13"/>
      <c r="I60" s="13"/>
      <c r="J60" s="13"/>
      <c r="K60" s="58"/>
      <c r="L60" s="13"/>
      <c r="M60" s="13"/>
      <c r="N60" s="7"/>
    </row>
    <row r="61" spans="1:14" s="2" customFormat="1" ht="16.5" thickTop="1">
      <c r="A61" s="63" t="s">
        <v>50</v>
      </c>
      <c r="B61" s="61" t="s">
        <v>51</v>
      </c>
      <c r="C61" s="19"/>
      <c r="D61" s="5" t="s">
        <v>114</v>
      </c>
      <c r="E61" s="31">
        <f>SUM(E62:E63)</f>
        <v>1200</v>
      </c>
      <c r="F61" s="12"/>
      <c r="G61" s="12"/>
      <c r="H61" s="12"/>
      <c r="I61" s="12"/>
      <c r="J61" s="12"/>
      <c r="K61" s="56"/>
      <c r="L61" s="12"/>
      <c r="M61" s="43">
        <f>SUM(M62:M65)</f>
        <v>0</v>
      </c>
      <c r="N61" s="48"/>
    </row>
    <row r="62" spans="1:14">
      <c r="A62" s="64"/>
      <c r="B62" s="62"/>
      <c r="C62" s="14" t="s">
        <v>93</v>
      </c>
      <c r="D62" s="15"/>
      <c r="E62" s="32">
        <v>750</v>
      </c>
      <c r="F62" s="8">
        <v>0</v>
      </c>
      <c r="G62" s="8">
        <v>0</v>
      </c>
      <c r="H62" s="17">
        <v>0</v>
      </c>
      <c r="I62" s="17">
        <v>0</v>
      </c>
      <c r="J62" s="17">
        <v>0</v>
      </c>
      <c r="K62" s="54">
        <f>(F62+G62+H62)</f>
        <v>0</v>
      </c>
      <c r="L62" s="8">
        <v>3.5</v>
      </c>
      <c r="M62" s="44">
        <f>(E62*F62*L62)+(G62*E62)+((H62+I62+J62)*E62)</f>
        <v>0</v>
      </c>
      <c r="N62" s="7"/>
    </row>
    <row r="63" spans="1:14">
      <c r="A63" s="64"/>
      <c r="B63" s="62"/>
      <c r="C63" s="14" t="s">
        <v>112</v>
      </c>
      <c r="D63" s="15"/>
      <c r="E63" s="32">
        <v>450</v>
      </c>
      <c r="F63" s="8">
        <v>0</v>
      </c>
      <c r="G63" s="8">
        <v>0</v>
      </c>
      <c r="H63" s="17">
        <v>0</v>
      </c>
      <c r="I63" s="17">
        <v>0</v>
      </c>
      <c r="J63" s="17">
        <v>0</v>
      </c>
      <c r="K63" s="54">
        <f>(F63+G63+H63)</f>
        <v>0</v>
      </c>
      <c r="L63" s="8">
        <v>3.5</v>
      </c>
      <c r="M63" s="44">
        <f>(E63*F63*L63)+(G63*E63)+((H63+I63+J63)*E63)</f>
        <v>0</v>
      </c>
      <c r="N63" s="7"/>
    </row>
    <row r="64" spans="1:14">
      <c r="A64" s="64"/>
      <c r="B64" s="62"/>
      <c r="C64" s="14" t="s">
        <v>28</v>
      </c>
      <c r="D64" s="4">
        <v>4001</v>
      </c>
      <c r="E64" s="32"/>
      <c r="F64" s="8"/>
      <c r="G64" s="8"/>
      <c r="H64" s="8"/>
      <c r="I64" s="8"/>
      <c r="J64" s="8"/>
      <c r="K64" s="54"/>
      <c r="L64" s="8"/>
      <c r="M64" s="44">
        <v>0</v>
      </c>
      <c r="N64" s="7"/>
    </row>
    <row r="65" spans="1:14">
      <c r="A65" s="64"/>
      <c r="B65" s="62"/>
      <c r="C65" s="14" t="s">
        <v>29</v>
      </c>
      <c r="D65" s="4">
        <v>4002</v>
      </c>
      <c r="E65" s="32"/>
      <c r="F65" s="8"/>
      <c r="G65" s="8"/>
      <c r="H65" s="8"/>
      <c r="I65" s="8"/>
      <c r="J65" s="8"/>
      <c r="K65" s="54"/>
      <c r="L65" s="8"/>
      <c r="M65" s="44">
        <v>0</v>
      </c>
      <c r="N65" s="7"/>
    </row>
    <row r="66" spans="1:14" ht="16.5" thickBot="1">
      <c r="A66" s="9"/>
      <c r="B66" s="10"/>
      <c r="C66" s="29"/>
      <c r="D66" s="10"/>
      <c r="E66" s="33"/>
      <c r="F66" s="13"/>
      <c r="G66" s="13"/>
      <c r="H66" s="13"/>
      <c r="I66" s="13"/>
      <c r="J66" s="13"/>
      <c r="K66" s="58"/>
      <c r="L66" s="13"/>
      <c r="M66" s="13"/>
      <c r="N66" s="7"/>
    </row>
    <row r="67" spans="1:14" s="2" customFormat="1" ht="16.5" thickTop="1">
      <c r="A67" s="63" t="s">
        <v>52</v>
      </c>
      <c r="B67" s="61" t="s">
        <v>53</v>
      </c>
      <c r="C67" s="19"/>
      <c r="D67" s="5" t="s">
        <v>114</v>
      </c>
      <c r="E67" s="31">
        <f>SUM(E68:E69)</f>
        <v>1000</v>
      </c>
      <c r="F67" s="12"/>
      <c r="G67" s="12"/>
      <c r="H67" s="12"/>
      <c r="I67" s="12"/>
      <c r="J67" s="12"/>
      <c r="K67" s="56"/>
      <c r="L67" s="12"/>
      <c r="M67" s="43">
        <f>SUM(M68:M71)</f>
        <v>0</v>
      </c>
      <c r="N67" s="48"/>
    </row>
    <row r="68" spans="1:14">
      <c r="A68" s="64"/>
      <c r="B68" s="62"/>
      <c r="C68" s="14" t="s">
        <v>86</v>
      </c>
      <c r="D68" s="15"/>
      <c r="E68" s="32">
        <v>625</v>
      </c>
      <c r="F68" s="8">
        <v>0</v>
      </c>
      <c r="G68" s="8">
        <v>0</v>
      </c>
      <c r="H68" s="17">
        <v>0</v>
      </c>
      <c r="I68" s="17">
        <v>0</v>
      </c>
      <c r="J68" s="17">
        <v>0</v>
      </c>
      <c r="K68" s="54">
        <f>(F68+G68+H68)</f>
        <v>0</v>
      </c>
      <c r="L68" s="8">
        <v>3.5</v>
      </c>
      <c r="M68" s="44">
        <f>(E68*F68*L68)+(G68*E68)+((H68+I68+J68)*E68)</f>
        <v>0</v>
      </c>
      <c r="N68" s="7"/>
    </row>
    <row r="69" spans="1:14">
      <c r="A69" s="64"/>
      <c r="B69" s="62"/>
      <c r="C69" s="14" t="s">
        <v>112</v>
      </c>
      <c r="D69" s="15"/>
      <c r="E69" s="32">
        <v>375</v>
      </c>
      <c r="F69" s="8">
        <v>0</v>
      </c>
      <c r="G69" s="8">
        <v>0</v>
      </c>
      <c r="H69" s="17">
        <v>0</v>
      </c>
      <c r="I69" s="17">
        <v>0</v>
      </c>
      <c r="J69" s="17">
        <v>0</v>
      </c>
      <c r="K69" s="54">
        <f>(F69+G69+H69)</f>
        <v>0</v>
      </c>
      <c r="L69" s="8">
        <v>3.5</v>
      </c>
      <c r="M69" s="44">
        <f>(E69*F69*L69)+(G69*E69)+((H69+I69+J69)*E69)</f>
        <v>0</v>
      </c>
      <c r="N69" s="7"/>
    </row>
    <row r="70" spans="1:14">
      <c r="A70" s="64"/>
      <c r="B70" s="62"/>
      <c r="C70" s="14" t="s">
        <v>28</v>
      </c>
      <c r="D70" s="4">
        <v>4001</v>
      </c>
      <c r="E70" s="32"/>
      <c r="F70" s="8"/>
      <c r="G70" s="8"/>
      <c r="H70" s="8"/>
      <c r="I70" s="8"/>
      <c r="J70" s="8"/>
      <c r="K70" s="54"/>
      <c r="L70" s="8"/>
      <c r="M70" s="44">
        <v>0</v>
      </c>
      <c r="N70" s="7"/>
    </row>
    <row r="71" spans="1:14" ht="16.5" thickBot="1">
      <c r="A71" s="65"/>
      <c r="B71" s="66"/>
      <c r="C71" s="14" t="s">
        <v>29</v>
      </c>
      <c r="D71" s="10">
        <v>4002</v>
      </c>
      <c r="E71" s="33"/>
      <c r="F71" s="11"/>
      <c r="G71" s="11"/>
      <c r="H71" s="11"/>
      <c r="I71" s="11"/>
      <c r="J71" s="11"/>
      <c r="K71" s="55"/>
      <c r="L71" s="11"/>
      <c r="M71" s="45">
        <v>0</v>
      </c>
      <c r="N71" s="7"/>
    </row>
    <row r="72" spans="1:14" ht="16.5" thickTop="1">
      <c r="A72" s="63" t="s">
        <v>54</v>
      </c>
      <c r="B72" s="61" t="s">
        <v>55</v>
      </c>
      <c r="C72" s="19"/>
      <c r="D72" s="5" t="s">
        <v>114</v>
      </c>
      <c r="E72" s="31">
        <f>SUM(E73:E74)</f>
        <v>375</v>
      </c>
      <c r="F72" s="12"/>
      <c r="G72" s="12"/>
      <c r="H72" s="12"/>
      <c r="I72" s="12"/>
      <c r="J72" s="12"/>
      <c r="K72" s="56"/>
      <c r="L72" s="12"/>
      <c r="M72" s="43">
        <f>SUM(M73:M76)</f>
        <v>0</v>
      </c>
      <c r="N72" s="7"/>
    </row>
    <row r="73" spans="1:14">
      <c r="A73" s="64"/>
      <c r="B73" s="62"/>
      <c r="C73" s="14" t="s">
        <v>86</v>
      </c>
      <c r="D73" s="15"/>
      <c r="E73" s="32">
        <v>375</v>
      </c>
      <c r="F73" s="8">
        <v>0</v>
      </c>
      <c r="G73" s="8">
        <v>0</v>
      </c>
      <c r="H73" s="17">
        <v>0</v>
      </c>
      <c r="I73" s="17">
        <v>0</v>
      </c>
      <c r="J73" s="17">
        <v>0</v>
      </c>
      <c r="K73" s="54">
        <f>(F73+G73+H73)</f>
        <v>0</v>
      </c>
      <c r="L73" s="8">
        <v>3.5</v>
      </c>
      <c r="M73" s="44">
        <f>(E73*F73*L73)+(G73*E73)+((H73+I73+J73)*E73)</f>
        <v>0</v>
      </c>
      <c r="N73" s="7"/>
    </row>
    <row r="74" spans="1:14">
      <c r="A74" s="64"/>
      <c r="B74" s="62"/>
      <c r="C74" s="14" t="s">
        <v>112</v>
      </c>
      <c r="D74" s="15"/>
      <c r="E74" s="32"/>
      <c r="F74" s="8">
        <v>0</v>
      </c>
      <c r="G74" s="8">
        <v>0</v>
      </c>
      <c r="H74" s="17">
        <v>0</v>
      </c>
      <c r="I74" s="17">
        <v>0</v>
      </c>
      <c r="J74" s="17">
        <v>0</v>
      </c>
      <c r="K74" s="54">
        <f>(F74+G74+H74)</f>
        <v>0</v>
      </c>
      <c r="L74" s="8">
        <v>3.5</v>
      </c>
      <c r="M74" s="44">
        <f>(E74*F74*L74)+(G74*E74)+((H74+I74+J74)*E74)</f>
        <v>0</v>
      </c>
      <c r="N74" s="7"/>
    </row>
    <row r="75" spans="1:14">
      <c r="A75" s="64"/>
      <c r="B75" s="62"/>
      <c r="C75" s="14" t="s">
        <v>28</v>
      </c>
      <c r="D75" s="4">
        <v>4001</v>
      </c>
      <c r="E75" s="32"/>
      <c r="F75" s="8"/>
      <c r="G75" s="8"/>
      <c r="H75" s="8"/>
      <c r="I75" s="8"/>
      <c r="J75" s="8"/>
      <c r="K75" s="54"/>
      <c r="L75" s="8"/>
      <c r="M75" s="44">
        <v>0</v>
      </c>
      <c r="N75" s="7"/>
    </row>
    <row r="76" spans="1:14" ht="16.5" thickBot="1">
      <c r="A76" s="65"/>
      <c r="B76" s="66"/>
      <c r="C76" s="14" t="s">
        <v>29</v>
      </c>
      <c r="D76" s="10">
        <v>4002</v>
      </c>
      <c r="E76" s="33"/>
      <c r="F76" s="11"/>
      <c r="G76" s="11"/>
      <c r="H76" s="11"/>
      <c r="I76" s="11"/>
      <c r="J76" s="11"/>
      <c r="K76" s="55"/>
      <c r="L76" s="11"/>
      <c r="M76" s="45">
        <v>0</v>
      </c>
      <c r="N76" s="7"/>
    </row>
    <row r="77" spans="1:14" ht="16.5" thickTop="1">
      <c r="A77" s="63" t="s">
        <v>56</v>
      </c>
      <c r="B77" s="61" t="s">
        <v>57</v>
      </c>
      <c r="C77" s="19"/>
      <c r="D77" s="5" t="s">
        <v>114</v>
      </c>
      <c r="E77" s="31">
        <f>SUM(E78:E79)</f>
        <v>375</v>
      </c>
      <c r="F77" s="12"/>
      <c r="G77" s="12"/>
      <c r="H77" s="12"/>
      <c r="I77" s="12"/>
      <c r="J77" s="12"/>
      <c r="K77" s="56"/>
      <c r="L77" s="12"/>
      <c r="M77" s="43">
        <f>SUM(M78:M81)</f>
        <v>0</v>
      </c>
      <c r="N77" s="7"/>
    </row>
    <row r="78" spans="1:14">
      <c r="A78" s="64"/>
      <c r="B78" s="62"/>
      <c r="C78" s="14" t="s">
        <v>86</v>
      </c>
      <c r="D78" s="15"/>
      <c r="E78" s="32">
        <v>375</v>
      </c>
      <c r="F78" s="8">
        <v>0</v>
      </c>
      <c r="G78" s="8">
        <v>0</v>
      </c>
      <c r="H78" s="17">
        <v>0</v>
      </c>
      <c r="I78" s="17">
        <v>0</v>
      </c>
      <c r="J78" s="17">
        <v>0</v>
      </c>
      <c r="K78" s="54">
        <f>(F78+G78+H78)</f>
        <v>0</v>
      </c>
      <c r="L78" s="8">
        <v>3.5</v>
      </c>
      <c r="M78" s="44">
        <f>(E78*F78*L78)+(G78*E78)+((H78+I78+J78)*E78)</f>
        <v>0</v>
      </c>
      <c r="N78" s="7"/>
    </row>
    <row r="79" spans="1:14">
      <c r="A79" s="64"/>
      <c r="B79" s="62"/>
      <c r="C79" s="14" t="s">
        <v>112</v>
      </c>
      <c r="D79" s="15"/>
      <c r="E79" s="32"/>
      <c r="F79" s="8">
        <v>0</v>
      </c>
      <c r="G79" s="8">
        <v>0</v>
      </c>
      <c r="H79" s="17">
        <v>0</v>
      </c>
      <c r="I79" s="17">
        <v>0</v>
      </c>
      <c r="J79" s="17">
        <v>0</v>
      </c>
      <c r="K79" s="54">
        <f>(F79+G79+H79)</f>
        <v>0</v>
      </c>
      <c r="L79" s="8">
        <v>3.5</v>
      </c>
      <c r="M79" s="44">
        <f>(E79*F79*L79)+(G79*E79)+((H79+I79+J79)*E79)</f>
        <v>0</v>
      </c>
      <c r="N79" s="7"/>
    </row>
    <row r="80" spans="1:14">
      <c r="A80" s="64"/>
      <c r="B80" s="62"/>
      <c r="C80" s="14" t="s">
        <v>28</v>
      </c>
      <c r="D80" s="4">
        <v>4001</v>
      </c>
      <c r="E80" s="32"/>
      <c r="F80" s="8"/>
      <c r="G80" s="8"/>
      <c r="H80" s="8"/>
      <c r="I80" s="8"/>
      <c r="J80" s="8"/>
      <c r="K80" s="54"/>
      <c r="L80" s="8"/>
      <c r="M80" s="44">
        <v>0</v>
      </c>
      <c r="N80" s="7"/>
    </row>
    <row r="81" spans="1:15" ht="16.5" thickBot="1">
      <c r="A81" s="65"/>
      <c r="B81" s="66"/>
      <c r="C81" s="14" t="s">
        <v>29</v>
      </c>
      <c r="D81" s="10">
        <v>4002</v>
      </c>
      <c r="E81" s="33"/>
      <c r="F81" s="11"/>
      <c r="G81" s="11"/>
      <c r="H81" s="11"/>
      <c r="I81" s="11"/>
      <c r="J81" s="11"/>
      <c r="K81" s="55"/>
      <c r="L81" s="11"/>
      <c r="M81" s="45">
        <v>0</v>
      </c>
      <c r="N81" s="7"/>
    </row>
    <row r="82" spans="1:15" ht="16.5" thickTop="1">
      <c r="A82" s="63" t="s">
        <v>58</v>
      </c>
      <c r="B82" s="61" t="s">
        <v>59</v>
      </c>
      <c r="C82" s="19"/>
      <c r="D82" s="5" t="s">
        <v>114</v>
      </c>
      <c r="E82" s="31">
        <f>SUM(E83:E84)</f>
        <v>750</v>
      </c>
      <c r="F82" s="12"/>
      <c r="G82" s="12"/>
      <c r="H82" s="12"/>
      <c r="I82" s="12"/>
      <c r="J82" s="12"/>
      <c r="K82" s="56"/>
      <c r="L82" s="12"/>
      <c r="M82" s="43">
        <f>SUM(M83:M86)</f>
        <v>0</v>
      </c>
      <c r="N82" s="7"/>
    </row>
    <row r="83" spans="1:15">
      <c r="A83" s="64"/>
      <c r="B83" s="62"/>
      <c r="C83" s="14" t="s">
        <v>86</v>
      </c>
      <c r="D83" s="15"/>
      <c r="E83" s="32">
        <v>375</v>
      </c>
      <c r="F83" s="8">
        <v>0</v>
      </c>
      <c r="G83" s="8">
        <v>0</v>
      </c>
      <c r="H83" s="17">
        <v>0</v>
      </c>
      <c r="I83" s="17">
        <v>0</v>
      </c>
      <c r="J83" s="17">
        <v>0</v>
      </c>
      <c r="K83" s="54">
        <f>(F83+G83+H83)</f>
        <v>0</v>
      </c>
      <c r="L83" s="8">
        <v>3.5</v>
      </c>
      <c r="M83" s="44">
        <f>(E83*F83*L83)+(G83*E83)+((H83+I83+J83)*E83)</f>
        <v>0</v>
      </c>
      <c r="N83" s="7"/>
    </row>
    <row r="84" spans="1:15">
      <c r="A84" s="64"/>
      <c r="B84" s="62"/>
      <c r="C84" s="14" t="s">
        <v>115</v>
      </c>
      <c r="D84" s="15"/>
      <c r="E84" s="32">
        <v>375</v>
      </c>
      <c r="F84" s="8">
        <v>0</v>
      </c>
      <c r="G84" s="8">
        <v>0</v>
      </c>
      <c r="H84" s="17">
        <v>0</v>
      </c>
      <c r="I84" s="17">
        <v>0</v>
      </c>
      <c r="J84" s="17">
        <v>0</v>
      </c>
      <c r="K84" s="54">
        <f>(F84+G84+H84)</f>
        <v>0</v>
      </c>
      <c r="L84" s="8">
        <v>3.5</v>
      </c>
      <c r="M84" s="44">
        <f>(E84*F84*L84)+(G84*E84)+((H84+I84+J84)*E84)</f>
        <v>0</v>
      </c>
      <c r="N84" s="7"/>
    </row>
    <row r="85" spans="1:15">
      <c r="A85" s="64"/>
      <c r="B85" s="62"/>
      <c r="C85" s="14" t="s">
        <v>28</v>
      </c>
      <c r="D85" s="4">
        <v>4001</v>
      </c>
      <c r="E85" s="32"/>
      <c r="F85" s="8"/>
      <c r="G85" s="8"/>
      <c r="H85" s="8"/>
      <c r="I85" s="8"/>
      <c r="J85" s="8"/>
      <c r="K85" s="54"/>
      <c r="L85" s="8"/>
      <c r="M85" s="44">
        <v>0</v>
      </c>
      <c r="N85" s="7"/>
    </row>
    <row r="86" spans="1:15" ht="16.5" thickBot="1">
      <c r="A86" s="65"/>
      <c r="B86" s="66"/>
      <c r="C86" s="14" t="s">
        <v>29</v>
      </c>
      <c r="D86" s="10">
        <v>4002</v>
      </c>
      <c r="E86" s="33"/>
      <c r="F86" s="11"/>
      <c r="G86" s="11"/>
      <c r="H86" s="11"/>
      <c r="I86" s="11"/>
      <c r="J86" s="11"/>
      <c r="K86" s="55"/>
      <c r="L86" s="11"/>
      <c r="M86" s="45">
        <v>0</v>
      </c>
      <c r="N86" s="7"/>
    </row>
    <row r="87" spans="1:15" ht="16.5" thickTop="1">
      <c r="A87" s="63" t="s">
        <v>60</v>
      </c>
      <c r="B87" s="61" t="s">
        <v>61</v>
      </c>
      <c r="C87" s="19"/>
      <c r="D87" s="5" t="s">
        <v>114</v>
      </c>
      <c r="E87" s="31">
        <f>SUM(E88:E89)</f>
        <v>750</v>
      </c>
      <c r="F87" s="12"/>
      <c r="G87" s="12"/>
      <c r="H87" s="12"/>
      <c r="I87" s="12"/>
      <c r="J87" s="12"/>
      <c r="K87" s="56"/>
      <c r="L87" s="12"/>
      <c r="M87" s="43">
        <f>SUM(M88:M91)</f>
        <v>0</v>
      </c>
      <c r="N87" s="7"/>
    </row>
    <row r="88" spans="1:15">
      <c r="A88" s="64"/>
      <c r="B88" s="62"/>
      <c r="C88" s="14" t="s">
        <v>86</v>
      </c>
      <c r="D88" s="15"/>
      <c r="E88" s="59">
        <v>375</v>
      </c>
      <c r="F88" s="8">
        <v>0</v>
      </c>
      <c r="G88" s="8">
        <v>0</v>
      </c>
      <c r="H88" s="17">
        <v>0</v>
      </c>
      <c r="I88" s="17">
        <v>0</v>
      </c>
      <c r="J88" s="17">
        <v>0</v>
      </c>
      <c r="K88" s="54">
        <f>(F88+G88+H88)</f>
        <v>0</v>
      </c>
      <c r="L88" s="8">
        <v>3.5</v>
      </c>
      <c r="M88" s="44">
        <f>(E88*F88*L88)+(G88*E88)+((H88+I88+J88)*E88)</f>
        <v>0</v>
      </c>
      <c r="N88" s="7"/>
    </row>
    <row r="89" spans="1:15">
      <c r="A89" s="64"/>
      <c r="B89" s="62"/>
      <c r="C89" s="14" t="s">
        <v>115</v>
      </c>
      <c r="D89" s="15"/>
      <c r="E89" s="32">
        <v>375</v>
      </c>
      <c r="F89" s="8">
        <v>0</v>
      </c>
      <c r="G89" s="8">
        <v>0</v>
      </c>
      <c r="H89" s="17">
        <v>0</v>
      </c>
      <c r="I89" s="17">
        <v>0</v>
      </c>
      <c r="J89" s="17">
        <v>0</v>
      </c>
      <c r="K89" s="54">
        <f>(F89+G89+H89)</f>
        <v>0</v>
      </c>
      <c r="L89" s="8">
        <v>3.5</v>
      </c>
      <c r="M89" s="44">
        <f>(E89*F89*L89)+(G89*E89)+((H89+I89+J89)*E89)</f>
        <v>0</v>
      </c>
      <c r="N89" s="7"/>
    </row>
    <row r="90" spans="1:15">
      <c r="A90" s="64"/>
      <c r="B90" s="62"/>
      <c r="C90" s="14" t="s">
        <v>28</v>
      </c>
      <c r="D90" s="4">
        <v>1001</v>
      </c>
      <c r="E90" s="32"/>
      <c r="F90" s="8"/>
      <c r="G90" s="8"/>
      <c r="H90" s="8"/>
      <c r="I90" s="8"/>
      <c r="J90" s="8"/>
      <c r="K90" s="54"/>
      <c r="L90" s="8"/>
      <c r="M90" s="44">
        <v>0</v>
      </c>
      <c r="N90" s="7"/>
    </row>
    <row r="91" spans="1:15" ht="16.5" thickBot="1">
      <c r="A91" s="65"/>
      <c r="B91" s="66"/>
      <c r="C91" s="14" t="s">
        <v>29</v>
      </c>
      <c r="D91" s="10">
        <v>1002</v>
      </c>
      <c r="E91" s="33"/>
      <c r="F91" s="11"/>
      <c r="G91" s="11"/>
      <c r="H91" s="11"/>
      <c r="I91" s="11"/>
      <c r="J91" s="11"/>
      <c r="K91" s="55"/>
      <c r="L91" s="11"/>
      <c r="M91" s="45">
        <v>0</v>
      </c>
      <c r="N91" s="7"/>
    </row>
    <row r="92" spans="1:15" ht="16.5" thickTop="1">
      <c r="A92" s="63" t="s">
        <v>62</v>
      </c>
      <c r="B92" s="61" t="s">
        <v>63</v>
      </c>
      <c r="C92" s="19"/>
      <c r="D92" s="5" t="s">
        <v>114</v>
      </c>
      <c r="E92" s="31">
        <f>SUM(E93:E93)</f>
        <v>375</v>
      </c>
      <c r="F92" s="12"/>
      <c r="G92" s="12"/>
      <c r="H92" s="12"/>
      <c r="I92" s="12"/>
      <c r="J92" s="12"/>
      <c r="K92" s="56"/>
      <c r="L92" s="12"/>
      <c r="M92" s="43">
        <f>SUM(M93:M95)</f>
        <v>0</v>
      </c>
      <c r="N92" s="7"/>
    </row>
    <row r="93" spans="1:15">
      <c r="A93" s="64"/>
      <c r="B93" s="62"/>
      <c r="C93" s="14" t="s">
        <v>86</v>
      </c>
      <c r="D93" s="15"/>
      <c r="E93" s="32">
        <v>375</v>
      </c>
      <c r="F93" s="8">
        <v>0</v>
      </c>
      <c r="G93" s="8">
        <v>0</v>
      </c>
      <c r="H93" s="17">
        <v>0</v>
      </c>
      <c r="I93" s="17">
        <v>0</v>
      </c>
      <c r="J93" s="17">
        <v>0</v>
      </c>
      <c r="K93" s="54">
        <f>(F93+G93+H93)</f>
        <v>0</v>
      </c>
      <c r="L93" s="8">
        <v>3.5</v>
      </c>
      <c r="M93" s="44">
        <f>(E93*F93*L93)+(G93*E93)+((H93+I93+J93)*E93)</f>
        <v>0</v>
      </c>
      <c r="N93" s="7"/>
    </row>
    <row r="94" spans="1:15">
      <c r="A94" s="64"/>
      <c r="B94" s="62"/>
      <c r="C94" s="14" t="s">
        <v>28</v>
      </c>
      <c r="D94" s="4">
        <v>4001</v>
      </c>
      <c r="E94" s="32"/>
      <c r="F94" s="8"/>
      <c r="G94" s="8"/>
      <c r="H94" s="8"/>
      <c r="I94" s="8"/>
      <c r="J94" s="8"/>
      <c r="K94" s="54"/>
      <c r="L94" s="8"/>
      <c r="M94" s="44">
        <v>0</v>
      </c>
      <c r="N94" s="7"/>
    </row>
    <row r="95" spans="1:15">
      <c r="A95" s="65"/>
      <c r="B95" s="66"/>
      <c r="C95" s="29" t="s">
        <v>29</v>
      </c>
      <c r="D95" s="10">
        <v>4002</v>
      </c>
      <c r="E95" s="33"/>
      <c r="F95" s="11"/>
      <c r="G95" s="11"/>
      <c r="H95" s="11"/>
      <c r="I95" s="11"/>
      <c r="J95" s="11"/>
      <c r="K95" s="55"/>
      <c r="L95" s="11"/>
      <c r="M95" s="45">
        <v>0</v>
      </c>
      <c r="N95" s="7"/>
    </row>
    <row r="96" spans="1:15" ht="16.5" thickTop="1">
      <c r="A96" s="2" t="s">
        <v>70</v>
      </c>
      <c r="E96" s="32"/>
      <c r="O96" s="38"/>
    </row>
    <row r="97" spans="12:13">
      <c r="L97" s="21" t="s">
        <v>66</v>
      </c>
      <c r="M97" s="20">
        <f>M2+M10+M18+M26+M34+M42+M49+M54+M61+M67+M72+M77+M82+M87+M92</f>
        <v>0</v>
      </c>
    </row>
  </sheetData>
  <mergeCells count="30">
    <mergeCell ref="A82:A86"/>
    <mergeCell ref="B82:B86"/>
    <mergeCell ref="A87:A91"/>
    <mergeCell ref="B87:B91"/>
    <mergeCell ref="A92:A95"/>
    <mergeCell ref="B92:B95"/>
    <mergeCell ref="A67:A71"/>
    <mergeCell ref="B67:B71"/>
    <mergeCell ref="A72:A76"/>
    <mergeCell ref="B72:B76"/>
    <mergeCell ref="A77:A81"/>
    <mergeCell ref="B77:B81"/>
    <mergeCell ref="A49:A52"/>
    <mergeCell ref="B49:B52"/>
    <mergeCell ref="A54:A59"/>
    <mergeCell ref="B54:B59"/>
    <mergeCell ref="A61:A65"/>
    <mergeCell ref="B61:B65"/>
    <mergeCell ref="A26:A32"/>
    <mergeCell ref="B26:B32"/>
    <mergeCell ref="A34:A40"/>
    <mergeCell ref="B34:B40"/>
    <mergeCell ref="A42:A47"/>
    <mergeCell ref="B42:B47"/>
    <mergeCell ref="A2:A8"/>
    <mergeCell ref="B2:B8"/>
    <mergeCell ref="A10:A16"/>
    <mergeCell ref="B10:B16"/>
    <mergeCell ref="A18:A24"/>
    <mergeCell ref="B18:B24"/>
  </mergeCells>
  <pageMargins left="0.7" right="0.7" top="0.75" bottom="0.75" header="0.3" footer="0.3"/>
  <pageSetup scale="50" fitToWidth="0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E8AA3-DA06-43C5-BBF1-6B4BC076AD32}">
  <dimension ref="A1:R101"/>
  <sheetViews>
    <sheetView zoomScaleNormal="100" workbookViewId="0">
      <selection activeCell="K1" sqref="K1"/>
    </sheetView>
  </sheetViews>
  <sheetFormatPr defaultColWidth="9.125" defaultRowHeight="15.75"/>
  <cols>
    <col min="1" max="1" width="18.25" style="3" bestFit="1" customWidth="1"/>
    <col min="2" max="2" width="15.75" style="4" customWidth="1"/>
    <col min="3" max="3" width="31.625" style="14" customWidth="1"/>
    <col min="4" max="5" width="24.75" style="4" customWidth="1"/>
    <col min="6" max="10" width="24.75" style="3" customWidth="1"/>
    <col min="11" max="11" width="4.375" style="3" bestFit="1" customWidth="1"/>
    <col min="12" max="13" width="24.75" style="3" customWidth="1"/>
    <col min="14" max="17" width="15.75" style="3" customWidth="1"/>
    <col min="18" max="18" width="12.75" style="3" customWidth="1"/>
    <col min="19" max="19" width="15.75" style="3" customWidth="1"/>
    <col min="20" max="16384" width="9.125" style="3"/>
  </cols>
  <sheetData>
    <row r="1" spans="1:14" s="1" customFormat="1" ht="31.5">
      <c r="A1" s="18" t="s">
        <v>10</v>
      </c>
      <c r="B1" s="18" t="s">
        <v>11</v>
      </c>
      <c r="C1" s="18" t="s">
        <v>12</v>
      </c>
      <c r="D1" s="18" t="s">
        <v>13</v>
      </c>
      <c r="E1" s="18" t="s">
        <v>65</v>
      </c>
      <c r="F1" s="18" t="s">
        <v>14</v>
      </c>
      <c r="G1" s="18" t="s">
        <v>15</v>
      </c>
      <c r="H1" s="18" t="s">
        <v>16</v>
      </c>
      <c r="I1" s="18" t="s">
        <v>17</v>
      </c>
      <c r="J1" s="18" t="s">
        <v>18</v>
      </c>
      <c r="K1" s="52"/>
      <c r="L1" s="18" t="s">
        <v>19</v>
      </c>
      <c r="M1" s="42" t="s">
        <v>20</v>
      </c>
      <c r="N1" s="47"/>
    </row>
    <row r="2" spans="1:14" s="2" customFormat="1">
      <c r="A2" s="63" t="s">
        <v>21</v>
      </c>
      <c r="B2" s="61" t="s">
        <v>22</v>
      </c>
      <c r="C2" s="19"/>
      <c r="D2" s="5" t="s">
        <v>116</v>
      </c>
      <c r="E2" s="31">
        <f>SUM(E3:E6)</f>
        <v>9000</v>
      </c>
      <c r="F2" s="6"/>
      <c r="G2" s="6"/>
      <c r="H2" s="6"/>
      <c r="I2" s="6"/>
      <c r="J2" s="6"/>
      <c r="K2" s="53"/>
      <c r="L2" s="6"/>
      <c r="M2" s="43">
        <f>SUM(M3:M8)</f>
        <v>0</v>
      </c>
      <c r="N2" s="48"/>
    </row>
    <row r="3" spans="1:14">
      <c r="A3" s="64"/>
      <c r="B3" s="62"/>
      <c r="C3" s="14" t="s">
        <v>24</v>
      </c>
      <c r="D3" s="15"/>
      <c r="E3" s="32">
        <v>2000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54">
        <v>0</v>
      </c>
      <c r="L3" s="8">
        <v>3.5</v>
      </c>
      <c r="M3" s="44">
        <f>(E3*F3*L3)+(G3*E3)+((H3+I3+J3)*E3)</f>
        <v>0</v>
      </c>
      <c r="N3" s="7"/>
    </row>
    <row r="4" spans="1:14">
      <c r="A4" s="64"/>
      <c r="B4" s="62"/>
      <c r="C4" s="14" t="s">
        <v>25</v>
      </c>
      <c r="D4" s="15"/>
      <c r="E4" s="32">
        <v>4000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54">
        <v>0</v>
      </c>
      <c r="L4" s="8">
        <v>3.5</v>
      </c>
      <c r="M4" s="44">
        <f>(E4*F4*L4)+(G4*E4)+((H4+I4+J4)*E4)</f>
        <v>0</v>
      </c>
      <c r="N4" s="7"/>
    </row>
    <row r="5" spans="1:14">
      <c r="A5" s="64"/>
      <c r="B5" s="62"/>
      <c r="C5" s="14" t="s">
        <v>26</v>
      </c>
      <c r="D5" s="15"/>
      <c r="E5" s="32">
        <v>2125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54">
        <v>0</v>
      </c>
      <c r="L5" s="8">
        <v>3.5</v>
      </c>
      <c r="M5" s="44">
        <f>(E5*F5*L5)+(G5*E5)+((H5+I5+J5)*E5)</f>
        <v>0</v>
      </c>
      <c r="N5" s="7"/>
    </row>
    <row r="6" spans="1:14">
      <c r="A6" s="64"/>
      <c r="B6" s="62"/>
      <c r="C6" s="14" t="s">
        <v>27</v>
      </c>
      <c r="D6" s="15"/>
      <c r="E6" s="32">
        <v>875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54">
        <v>0</v>
      </c>
      <c r="L6" s="8">
        <v>3.5</v>
      </c>
      <c r="M6" s="44">
        <f>(E6*F6*L6)+(G6*E6)+((H6+I6+J6)*E6)</f>
        <v>0</v>
      </c>
      <c r="N6" s="7"/>
    </row>
    <row r="7" spans="1:14">
      <c r="A7" s="64"/>
      <c r="B7" s="62"/>
      <c r="C7" s="14" t="s">
        <v>28</v>
      </c>
      <c r="D7" s="4">
        <v>5001</v>
      </c>
      <c r="E7" s="32"/>
      <c r="F7" s="8"/>
      <c r="G7" s="8"/>
      <c r="H7" s="8"/>
      <c r="I7" s="8"/>
      <c r="J7" s="8"/>
      <c r="K7" s="54"/>
      <c r="L7" s="8"/>
      <c r="M7" s="46">
        <v>0</v>
      </c>
      <c r="N7" s="7"/>
    </row>
    <row r="8" spans="1:14">
      <c r="A8" s="64"/>
      <c r="B8" s="62"/>
      <c r="C8" s="14" t="s">
        <v>29</v>
      </c>
      <c r="D8" s="4">
        <v>5002</v>
      </c>
      <c r="E8" s="32"/>
      <c r="F8" s="8"/>
      <c r="G8" s="8"/>
      <c r="H8" s="8"/>
      <c r="I8" s="8"/>
      <c r="J8" s="8"/>
      <c r="K8" s="54"/>
      <c r="L8" s="8"/>
      <c r="M8" s="46">
        <v>0</v>
      </c>
      <c r="N8" s="7"/>
    </row>
    <row r="9" spans="1:14">
      <c r="A9" s="9"/>
      <c r="B9" s="10"/>
      <c r="C9" s="29"/>
      <c r="D9" s="10"/>
      <c r="E9" s="33"/>
      <c r="F9" s="11"/>
      <c r="G9" s="11"/>
      <c r="H9" s="11"/>
      <c r="I9" s="11"/>
      <c r="J9" s="11"/>
      <c r="K9" s="55"/>
      <c r="L9" s="11"/>
      <c r="M9" s="45"/>
      <c r="N9" s="7"/>
    </row>
    <row r="10" spans="1:14" s="2" customFormat="1">
      <c r="A10" s="63" t="s">
        <v>30</v>
      </c>
      <c r="B10" s="61" t="s">
        <v>31</v>
      </c>
      <c r="C10" s="19"/>
      <c r="D10" s="5" t="s">
        <v>116</v>
      </c>
      <c r="E10" s="31">
        <f>SUM(E11:E14)</f>
        <v>5250</v>
      </c>
      <c r="F10" s="12"/>
      <c r="G10" s="12"/>
      <c r="H10" s="12"/>
      <c r="I10" s="12"/>
      <c r="J10" s="12"/>
      <c r="K10" s="56"/>
      <c r="L10" s="12"/>
      <c r="M10" s="43">
        <f>SUM(M11:M16)</f>
        <v>0</v>
      </c>
      <c r="N10" s="48"/>
    </row>
    <row r="11" spans="1:14">
      <c r="A11" s="64"/>
      <c r="B11" s="62"/>
      <c r="C11" s="14" t="s">
        <v>32</v>
      </c>
      <c r="D11" s="15"/>
      <c r="E11" s="32">
        <v>1125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54">
        <f>(F11+G11+H11)</f>
        <v>0</v>
      </c>
      <c r="L11" s="8">
        <v>3.5</v>
      </c>
      <c r="M11" s="44">
        <f>(E11*F11*L11)+(G11*E11)+((H11+I11+J11)*E11)</f>
        <v>0</v>
      </c>
      <c r="N11" s="7"/>
    </row>
    <row r="12" spans="1:14">
      <c r="A12" s="64"/>
      <c r="B12" s="62"/>
      <c r="C12" s="14" t="s">
        <v>33</v>
      </c>
      <c r="D12" s="15"/>
      <c r="E12" s="32">
        <v>2125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54">
        <f>(F12+G12+H12)</f>
        <v>0</v>
      </c>
      <c r="L12" s="8">
        <v>3.5</v>
      </c>
      <c r="M12" s="44">
        <f>(E12*F12*L12)+(G12*E12)+((H12+I12+J12)*E12)</f>
        <v>0</v>
      </c>
      <c r="N12" s="7"/>
    </row>
    <row r="13" spans="1:14">
      <c r="A13" s="64"/>
      <c r="B13" s="62"/>
      <c r="C13" s="16" t="s">
        <v>113</v>
      </c>
      <c r="D13" s="15"/>
      <c r="E13" s="32">
        <v>1250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54">
        <f t="shared" ref="K13" si="0">(F13+G13+H13)</f>
        <v>0</v>
      </c>
      <c r="L13" s="8">
        <v>3.5</v>
      </c>
      <c r="M13" s="44">
        <f>(E13*F13*L13)+(G13*E13)+((H13+I13+J13)*E13)</f>
        <v>0</v>
      </c>
      <c r="N13" s="7"/>
    </row>
    <row r="14" spans="1:14">
      <c r="A14" s="64"/>
      <c r="B14" s="62"/>
      <c r="C14" s="14" t="s">
        <v>80</v>
      </c>
      <c r="D14" s="15"/>
      <c r="E14" s="32">
        <v>750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54">
        <f t="shared" ref="K14" si="1">(F14+G14+H14)</f>
        <v>0</v>
      </c>
      <c r="L14" s="8">
        <v>3.5</v>
      </c>
      <c r="M14" s="44">
        <f>(E14*F14*L14)+(G14*E14)+((H14+I14+J14)*E14)</f>
        <v>0</v>
      </c>
      <c r="N14" s="7"/>
    </row>
    <row r="15" spans="1:14">
      <c r="A15" s="64"/>
      <c r="B15" s="62"/>
      <c r="C15" s="14" t="s">
        <v>28</v>
      </c>
      <c r="D15" s="4">
        <v>5001</v>
      </c>
      <c r="E15" s="32"/>
      <c r="F15" s="8"/>
      <c r="G15" s="8"/>
      <c r="H15" s="8"/>
      <c r="I15" s="8"/>
      <c r="J15" s="8"/>
      <c r="K15" s="54"/>
      <c r="L15" s="8"/>
      <c r="M15" s="46">
        <v>0</v>
      </c>
      <c r="N15" s="7"/>
    </row>
    <row r="16" spans="1:14">
      <c r="A16" s="64"/>
      <c r="B16" s="62"/>
      <c r="C16" s="14" t="s">
        <v>29</v>
      </c>
      <c r="D16" s="4">
        <v>5002</v>
      </c>
      <c r="E16" s="32"/>
      <c r="F16" s="8"/>
      <c r="G16" s="8"/>
      <c r="H16" s="8"/>
      <c r="I16" s="8"/>
      <c r="J16" s="8"/>
      <c r="K16" s="54"/>
      <c r="L16" s="8"/>
      <c r="M16" s="46">
        <v>0</v>
      </c>
      <c r="N16" s="7"/>
    </row>
    <row r="17" spans="1:14">
      <c r="A17" s="7"/>
      <c r="E17" s="32"/>
      <c r="F17" s="8"/>
      <c r="G17" s="8"/>
      <c r="H17" s="8"/>
      <c r="I17" s="8"/>
      <c r="J17" s="8"/>
      <c r="K17" s="54"/>
      <c r="L17" s="8"/>
      <c r="M17" s="44"/>
      <c r="N17" s="7"/>
    </row>
    <row r="18" spans="1:14" s="2" customFormat="1">
      <c r="A18" s="63" t="s">
        <v>34</v>
      </c>
      <c r="B18" s="61" t="s">
        <v>35</v>
      </c>
      <c r="C18" s="19"/>
      <c r="D18" s="5" t="s">
        <v>116</v>
      </c>
      <c r="E18" s="31">
        <f>SUM(E19:E22)</f>
        <v>6750</v>
      </c>
      <c r="F18" s="12"/>
      <c r="G18" s="12"/>
      <c r="H18" s="12"/>
      <c r="I18" s="12"/>
      <c r="J18" s="12"/>
      <c r="K18" s="56"/>
      <c r="L18" s="12"/>
      <c r="M18" s="43">
        <f>SUM(M19:M24)</f>
        <v>0</v>
      </c>
      <c r="N18" s="48"/>
    </row>
    <row r="19" spans="1:14" s="2" customFormat="1">
      <c r="A19" s="64"/>
      <c r="B19" s="62"/>
      <c r="C19" s="14" t="s">
        <v>36</v>
      </c>
      <c r="D19" s="15"/>
      <c r="E19" s="32">
        <v>3500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54">
        <f>(F19+G19+H19)</f>
        <v>0</v>
      </c>
      <c r="L19" s="8">
        <v>3.5</v>
      </c>
      <c r="M19" s="44">
        <f>(E19*F19*L19)+(G19*E19)+((H19+I19+J19)*E19)</f>
        <v>0</v>
      </c>
      <c r="N19" s="48"/>
    </row>
    <row r="20" spans="1:14" s="28" customFormat="1" ht="31.5">
      <c r="A20" s="64"/>
      <c r="B20" s="62"/>
      <c r="C20" s="16" t="s">
        <v>81</v>
      </c>
      <c r="D20" s="15"/>
      <c r="E20" s="34">
        <v>1500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57">
        <f>(F20+G20+H20)</f>
        <v>0</v>
      </c>
      <c r="L20" s="17">
        <v>3.5</v>
      </c>
      <c r="M20" s="44">
        <f>(E20*F20*L20)+(G20*E20)+((H20+I20+J20)*E20)</f>
        <v>0</v>
      </c>
      <c r="N20" s="49"/>
    </row>
    <row r="21" spans="1:14" s="2" customFormat="1">
      <c r="A21" s="64"/>
      <c r="B21" s="62"/>
      <c r="C21" s="14" t="s">
        <v>93</v>
      </c>
      <c r="D21" s="15"/>
      <c r="E21" s="32">
        <v>875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57">
        <f t="shared" ref="K21:K22" si="2">(F21+G21+H21)</f>
        <v>0</v>
      </c>
      <c r="L21" s="17">
        <v>3.5</v>
      </c>
      <c r="M21" s="44">
        <f>(E21*F21*L21)+(G21*E21)+((H21+I21+J21)*E21)</f>
        <v>0</v>
      </c>
      <c r="N21" s="48"/>
    </row>
    <row r="22" spans="1:14">
      <c r="A22" s="64"/>
      <c r="B22" s="62"/>
      <c r="C22" s="14" t="s">
        <v>112</v>
      </c>
      <c r="D22" s="15"/>
      <c r="E22" s="32">
        <v>875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57">
        <f t="shared" si="2"/>
        <v>0</v>
      </c>
      <c r="L22" s="17">
        <v>3.5</v>
      </c>
      <c r="M22" s="44">
        <f>(E22*F22*L22)+(G22*E22)+((H22+I22+J22)*E22)</f>
        <v>0</v>
      </c>
      <c r="N22" s="7"/>
    </row>
    <row r="23" spans="1:14">
      <c r="A23" s="64"/>
      <c r="B23" s="62"/>
      <c r="C23" s="14" t="s">
        <v>28</v>
      </c>
      <c r="D23" s="4">
        <v>5001</v>
      </c>
      <c r="E23" s="32"/>
      <c r="F23" s="8"/>
      <c r="G23" s="8"/>
      <c r="H23" s="8"/>
      <c r="I23" s="8"/>
      <c r="J23" s="8"/>
      <c r="K23" s="54"/>
      <c r="L23" s="8"/>
      <c r="M23" s="46">
        <v>0</v>
      </c>
      <c r="N23" s="7"/>
    </row>
    <row r="24" spans="1:14">
      <c r="A24" s="64"/>
      <c r="B24" s="62"/>
      <c r="C24" s="14" t="s">
        <v>29</v>
      </c>
      <c r="D24" s="4">
        <v>5002</v>
      </c>
      <c r="E24" s="32"/>
      <c r="F24" s="8"/>
      <c r="G24" s="8"/>
      <c r="H24" s="8"/>
      <c r="I24" s="8"/>
      <c r="J24" s="8"/>
      <c r="K24" s="54"/>
      <c r="L24" s="8"/>
      <c r="M24" s="46">
        <v>0</v>
      </c>
      <c r="N24" s="7"/>
    </row>
    <row r="25" spans="1:14">
      <c r="A25" s="9"/>
      <c r="B25" s="10"/>
      <c r="C25" s="29"/>
      <c r="D25" s="10"/>
      <c r="E25" s="33"/>
      <c r="F25" s="11"/>
      <c r="G25" s="11"/>
      <c r="H25" s="11"/>
      <c r="I25" s="11"/>
      <c r="J25" s="11"/>
      <c r="K25" s="55"/>
      <c r="L25" s="11"/>
      <c r="M25" s="45"/>
      <c r="N25" s="7"/>
    </row>
    <row r="26" spans="1:14" s="2" customFormat="1">
      <c r="A26" s="63" t="s">
        <v>37</v>
      </c>
      <c r="B26" s="61" t="s">
        <v>38</v>
      </c>
      <c r="C26" s="19"/>
      <c r="D26" s="5" t="s">
        <v>116</v>
      </c>
      <c r="E26" s="31">
        <f>SUM(E27:E30)</f>
        <v>6750</v>
      </c>
      <c r="F26" s="12"/>
      <c r="G26" s="12"/>
      <c r="H26" s="12"/>
      <c r="I26" s="12"/>
      <c r="J26" s="12"/>
      <c r="K26" s="56"/>
      <c r="L26" s="12"/>
      <c r="M26" s="43">
        <f>SUM(M27:M32)</f>
        <v>0</v>
      </c>
      <c r="N26" s="48"/>
    </row>
    <row r="27" spans="1:14" s="15" customFormat="1">
      <c r="A27" s="64"/>
      <c r="B27" s="62"/>
      <c r="C27" s="16" t="s">
        <v>39</v>
      </c>
      <c r="E27" s="34">
        <v>3750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57">
        <f>(F27+G27+H27)</f>
        <v>0</v>
      </c>
      <c r="L27" s="17">
        <v>3.5</v>
      </c>
      <c r="M27" s="44">
        <f>(E27*F27*L27)+(G27*E27)+((H27+I27+J27)*E27)</f>
        <v>0</v>
      </c>
      <c r="N27" s="50"/>
    </row>
    <row r="28" spans="1:14" s="15" customFormat="1" ht="31.5">
      <c r="A28" s="64"/>
      <c r="B28" s="62"/>
      <c r="C28" s="16" t="s">
        <v>87</v>
      </c>
      <c r="E28" s="34">
        <v>1250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57">
        <f>(F28+G28+H28)</f>
        <v>0</v>
      </c>
      <c r="L28" s="17">
        <v>3.5</v>
      </c>
      <c r="M28" s="44">
        <f>(E28*F28*L28)+(G28*E28)+((H28+I28+J28)*E28)</f>
        <v>0</v>
      </c>
      <c r="N28" s="50"/>
    </row>
    <row r="29" spans="1:14">
      <c r="A29" s="64"/>
      <c r="B29" s="62"/>
      <c r="C29" s="14" t="s">
        <v>93</v>
      </c>
      <c r="D29" s="15"/>
      <c r="E29" s="32">
        <v>1000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57">
        <f t="shared" ref="K29:K30" si="3">(F29+G29+H29)</f>
        <v>0</v>
      </c>
      <c r="L29" s="17">
        <v>3.5</v>
      </c>
      <c r="M29" s="44">
        <f>(E29*F29*L29)+(G29*E29)+((H29+I29+J29)*E29)</f>
        <v>0</v>
      </c>
      <c r="N29" s="7"/>
    </row>
    <row r="30" spans="1:14">
      <c r="A30" s="64"/>
      <c r="B30" s="62"/>
      <c r="C30" s="14" t="s">
        <v>112</v>
      </c>
      <c r="D30" s="15"/>
      <c r="E30" s="32">
        <v>750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57">
        <f t="shared" si="3"/>
        <v>0</v>
      </c>
      <c r="L30" s="17">
        <v>3.5</v>
      </c>
      <c r="M30" s="44">
        <f>(E30*F30*L30)+(G30*E30)+((H30+I30+J30)*E30)</f>
        <v>0</v>
      </c>
      <c r="N30" s="7"/>
    </row>
    <row r="31" spans="1:14">
      <c r="A31" s="64"/>
      <c r="B31" s="62"/>
      <c r="C31" s="14" t="s">
        <v>28</v>
      </c>
      <c r="D31" s="4">
        <v>1001</v>
      </c>
      <c r="E31" s="32"/>
      <c r="F31" s="8"/>
      <c r="G31" s="8"/>
      <c r="H31" s="8"/>
      <c r="I31" s="8"/>
      <c r="J31" s="8"/>
      <c r="K31" s="54"/>
      <c r="L31" s="8"/>
      <c r="M31" s="46">
        <v>0</v>
      </c>
      <c r="N31" s="7"/>
    </row>
    <row r="32" spans="1:14">
      <c r="A32" s="64"/>
      <c r="B32" s="62"/>
      <c r="C32" s="14" t="s">
        <v>29</v>
      </c>
      <c r="D32" s="4">
        <v>1002</v>
      </c>
      <c r="E32" s="32"/>
      <c r="F32" s="8"/>
      <c r="G32" s="8"/>
      <c r="H32" s="8"/>
      <c r="I32" s="8"/>
      <c r="J32" s="8"/>
      <c r="K32" s="54"/>
      <c r="L32" s="8"/>
      <c r="M32" s="46">
        <v>0</v>
      </c>
      <c r="N32" s="7"/>
    </row>
    <row r="33" spans="1:14">
      <c r="A33" s="9"/>
      <c r="B33" s="10"/>
      <c r="C33" s="29"/>
      <c r="D33" s="10"/>
      <c r="E33" s="33"/>
      <c r="F33" s="13"/>
      <c r="G33" s="13"/>
      <c r="H33" s="13"/>
      <c r="I33" s="13"/>
      <c r="J33" s="13"/>
      <c r="K33" s="58"/>
      <c r="L33" s="13"/>
      <c r="M33" s="13"/>
      <c r="N33" s="7"/>
    </row>
    <row r="34" spans="1:14" s="2" customFormat="1">
      <c r="A34" s="63" t="s">
        <v>40</v>
      </c>
      <c r="B34" s="61" t="s">
        <v>41</v>
      </c>
      <c r="C34" s="19"/>
      <c r="D34" s="5" t="s">
        <v>116</v>
      </c>
      <c r="E34" s="31">
        <f>SUM(E35:E38)</f>
        <v>8250</v>
      </c>
      <c r="F34" s="12"/>
      <c r="G34" s="12"/>
      <c r="H34" s="12"/>
      <c r="I34" s="12"/>
      <c r="J34" s="12"/>
      <c r="K34" s="56"/>
      <c r="L34" s="12"/>
      <c r="M34" s="43">
        <f>SUM(M35:M40)</f>
        <v>0</v>
      </c>
      <c r="N34" s="48"/>
    </row>
    <row r="35" spans="1:14" s="15" customFormat="1" ht="31.5">
      <c r="A35" s="64"/>
      <c r="B35" s="62"/>
      <c r="C35" s="16" t="s">
        <v>42</v>
      </c>
      <c r="E35" s="34">
        <v>4250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57">
        <f>(F35+G35+H35)</f>
        <v>0</v>
      </c>
      <c r="L35" s="17">
        <v>3.5</v>
      </c>
      <c r="M35" s="44">
        <f>(E35*F35*L35)+(G35*E35)+((H35+I35+J35)*E35)</f>
        <v>0</v>
      </c>
      <c r="N35" s="50"/>
    </row>
    <row r="36" spans="1:14">
      <c r="A36" s="64"/>
      <c r="B36" s="62"/>
      <c r="C36" s="14" t="s">
        <v>33</v>
      </c>
      <c r="D36" s="15"/>
      <c r="E36" s="32">
        <v>1750</v>
      </c>
      <c r="F36" s="8">
        <v>0</v>
      </c>
      <c r="G36" s="8">
        <v>0</v>
      </c>
      <c r="H36" s="17">
        <v>0</v>
      </c>
      <c r="I36" s="17">
        <v>0</v>
      </c>
      <c r="J36" s="17">
        <v>0</v>
      </c>
      <c r="K36" s="54">
        <f>(F36+G36+H36)</f>
        <v>0</v>
      </c>
      <c r="L36" s="8">
        <v>3.5</v>
      </c>
      <c r="M36" s="44">
        <f>(E36*F36*L36)+(G36*E36)+((H36+I36+J36)*E36)</f>
        <v>0</v>
      </c>
      <c r="N36" s="7"/>
    </row>
    <row r="37" spans="1:14">
      <c r="A37" s="64"/>
      <c r="B37" s="62"/>
      <c r="C37" s="14" t="s">
        <v>27</v>
      </c>
      <c r="D37" s="15"/>
      <c r="E37" s="32">
        <v>750</v>
      </c>
      <c r="F37" s="8">
        <v>0</v>
      </c>
      <c r="G37" s="8">
        <v>0</v>
      </c>
      <c r="H37" s="17">
        <v>0</v>
      </c>
      <c r="I37" s="17">
        <v>0</v>
      </c>
      <c r="J37" s="17">
        <v>0</v>
      </c>
      <c r="K37" s="54">
        <f t="shared" ref="K37:K38" si="4">(F37+G37+H37)</f>
        <v>0</v>
      </c>
      <c r="L37" s="8">
        <v>3.5</v>
      </c>
      <c r="M37" s="44">
        <f>(E37*F37*L37)+(G37*E37)+((H37+I37+J37)*E37)</f>
        <v>0</v>
      </c>
      <c r="N37" s="7"/>
    </row>
    <row r="38" spans="1:14" s="15" customFormat="1" ht="31.5">
      <c r="A38" s="64"/>
      <c r="B38" s="62"/>
      <c r="C38" s="16" t="s">
        <v>92</v>
      </c>
      <c r="E38" s="34">
        <v>1500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57">
        <f t="shared" si="4"/>
        <v>0</v>
      </c>
      <c r="L38" s="17">
        <v>3.5</v>
      </c>
      <c r="M38" s="44">
        <f>(E38*F38*L38)+(G38*E38)+((H38+I38+J38)*E38)</f>
        <v>0</v>
      </c>
      <c r="N38" s="50"/>
    </row>
    <row r="39" spans="1:14">
      <c r="A39" s="64"/>
      <c r="B39" s="62"/>
      <c r="C39" s="14" t="s">
        <v>28</v>
      </c>
      <c r="D39" s="4">
        <v>5001</v>
      </c>
      <c r="E39" s="32"/>
      <c r="F39" s="8"/>
      <c r="G39" s="8"/>
      <c r="H39" s="8"/>
      <c r="I39" s="8"/>
      <c r="J39" s="8"/>
      <c r="K39" s="54"/>
      <c r="L39" s="8"/>
      <c r="M39" s="46">
        <v>0</v>
      </c>
      <c r="N39" s="7"/>
    </row>
    <row r="40" spans="1:14">
      <c r="A40" s="64"/>
      <c r="B40" s="62"/>
      <c r="C40" s="14" t="s">
        <v>29</v>
      </c>
      <c r="D40" s="4">
        <v>5002</v>
      </c>
      <c r="E40" s="32"/>
      <c r="F40" s="8"/>
      <c r="G40" s="8"/>
      <c r="H40" s="8"/>
      <c r="I40" s="8"/>
      <c r="J40" s="8"/>
      <c r="K40" s="54"/>
      <c r="L40" s="8"/>
      <c r="M40" s="46">
        <v>0</v>
      </c>
      <c r="N40" s="7"/>
    </row>
    <row r="41" spans="1:14">
      <c r="A41" s="9"/>
      <c r="B41" s="13"/>
      <c r="C41" s="29"/>
      <c r="D41" s="10"/>
      <c r="E41" s="33"/>
      <c r="F41" s="13"/>
      <c r="G41" s="13"/>
      <c r="H41" s="13"/>
      <c r="I41" s="13"/>
      <c r="J41" s="13"/>
      <c r="K41" s="58"/>
      <c r="L41" s="13"/>
      <c r="M41" s="13"/>
      <c r="N41" s="7"/>
    </row>
    <row r="42" spans="1:14" s="2" customFormat="1">
      <c r="A42" s="63" t="s">
        <v>43</v>
      </c>
      <c r="B42" s="61" t="s">
        <v>44</v>
      </c>
      <c r="C42" s="19"/>
      <c r="D42" s="5" t="s">
        <v>116</v>
      </c>
      <c r="E42" s="31">
        <f>SUM(E43:E45)</f>
        <v>3750</v>
      </c>
      <c r="F42" s="12"/>
      <c r="G42" s="12"/>
      <c r="H42" s="12"/>
      <c r="I42" s="12"/>
      <c r="J42" s="12"/>
      <c r="K42" s="56"/>
      <c r="L42" s="12"/>
      <c r="M42" s="43">
        <f>SUM(M43:M47)</f>
        <v>0</v>
      </c>
      <c r="N42" s="48"/>
    </row>
    <row r="43" spans="1:14">
      <c r="A43" s="64"/>
      <c r="B43" s="62"/>
      <c r="C43" s="14" t="s">
        <v>26</v>
      </c>
      <c r="D43" s="15"/>
      <c r="E43" s="32">
        <v>1625</v>
      </c>
      <c r="F43" s="8">
        <v>0</v>
      </c>
      <c r="G43" s="8">
        <v>0</v>
      </c>
      <c r="H43" s="17">
        <v>0</v>
      </c>
      <c r="I43" s="8">
        <v>0</v>
      </c>
      <c r="J43" s="17">
        <v>0</v>
      </c>
      <c r="K43" s="54">
        <f>(F43+G43+H43)</f>
        <v>0</v>
      </c>
      <c r="L43" s="8">
        <v>3.5</v>
      </c>
      <c r="M43" s="44">
        <f>(E43*F43*L43)+(G43*E43)+((H43+I43+J43)*E43)</f>
        <v>0</v>
      </c>
      <c r="N43" s="7"/>
    </row>
    <row r="44" spans="1:14" s="15" customFormat="1" ht="31.5">
      <c r="A44" s="64"/>
      <c r="B44" s="62"/>
      <c r="C44" s="16" t="s">
        <v>88</v>
      </c>
      <c r="E44" s="34">
        <v>1250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57">
        <f>(F44+G44+H44)</f>
        <v>0</v>
      </c>
      <c r="L44" s="17">
        <v>3.5</v>
      </c>
      <c r="M44" s="44">
        <f>(E44*F44*L44)+(G44*E44)+((H44+I44+J44)*E44)</f>
        <v>0</v>
      </c>
      <c r="N44" s="50"/>
    </row>
    <row r="45" spans="1:14">
      <c r="A45" s="64"/>
      <c r="B45" s="62"/>
      <c r="C45" s="14" t="s">
        <v>93</v>
      </c>
      <c r="D45" s="15"/>
      <c r="E45" s="32">
        <v>875</v>
      </c>
      <c r="F45" s="8"/>
      <c r="G45" s="8"/>
      <c r="H45" s="8"/>
      <c r="I45" s="8"/>
      <c r="J45" s="8"/>
      <c r="K45" s="54"/>
      <c r="L45" s="8"/>
      <c r="M45" s="44">
        <f>(E45*K45*L45)+(E45*(I45+J45))</f>
        <v>0</v>
      </c>
      <c r="N45" s="7"/>
    </row>
    <row r="46" spans="1:14">
      <c r="A46" s="64"/>
      <c r="B46" s="62"/>
      <c r="C46" s="14" t="s">
        <v>28</v>
      </c>
      <c r="D46" s="4">
        <v>5001</v>
      </c>
      <c r="E46" s="32"/>
      <c r="F46" s="8"/>
      <c r="G46" s="8"/>
      <c r="H46" s="8"/>
      <c r="I46" s="8"/>
      <c r="J46" s="8"/>
      <c r="K46" s="54"/>
      <c r="L46" s="8"/>
      <c r="M46" s="46">
        <v>0</v>
      </c>
      <c r="N46" s="7"/>
    </row>
    <row r="47" spans="1:14">
      <c r="A47" s="64"/>
      <c r="B47" s="62"/>
      <c r="C47" s="14" t="s">
        <v>29</v>
      </c>
      <c r="D47" s="4">
        <v>5002</v>
      </c>
      <c r="E47" s="32"/>
      <c r="F47" s="8"/>
      <c r="G47" s="8"/>
      <c r="H47" s="8"/>
      <c r="I47" s="8"/>
      <c r="J47" s="8"/>
      <c r="K47" s="54"/>
      <c r="L47" s="8"/>
      <c r="M47" s="46">
        <v>0</v>
      </c>
      <c r="N47" s="7"/>
    </row>
    <row r="48" spans="1:14">
      <c r="A48" s="9"/>
      <c r="B48" s="10"/>
      <c r="C48" s="29"/>
      <c r="D48" s="10"/>
      <c r="E48" s="33"/>
      <c r="F48" s="13"/>
      <c r="G48" s="13"/>
      <c r="H48" s="13"/>
      <c r="I48" s="13"/>
      <c r="J48" s="13"/>
      <c r="K48" s="58"/>
      <c r="L48" s="13"/>
      <c r="M48" s="13"/>
      <c r="N48" s="7"/>
    </row>
    <row r="49" spans="1:14" s="2" customFormat="1">
      <c r="A49" s="63" t="s">
        <v>45</v>
      </c>
      <c r="B49" s="61" t="s">
        <v>46</v>
      </c>
      <c r="C49" s="19"/>
      <c r="D49" s="5" t="s">
        <v>116</v>
      </c>
      <c r="E49" s="31">
        <f>SUM(E50:E50)</f>
        <v>4375</v>
      </c>
      <c r="F49" s="12"/>
      <c r="G49" s="12"/>
      <c r="H49" s="12"/>
      <c r="I49" s="12"/>
      <c r="J49" s="12"/>
      <c r="K49" s="56"/>
      <c r="L49" s="12"/>
      <c r="M49" s="43">
        <f>SUM(M50:M52)</f>
        <v>0</v>
      </c>
      <c r="N49" s="48"/>
    </row>
    <row r="50" spans="1:14" s="14" customFormat="1">
      <c r="A50" s="64"/>
      <c r="B50" s="62"/>
      <c r="C50" s="16" t="s">
        <v>47</v>
      </c>
      <c r="E50" s="34">
        <v>4375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57">
        <v>0</v>
      </c>
      <c r="L50" s="17">
        <v>0</v>
      </c>
      <c r="M50" s="44">
        <f>(E50*F50*L50)+(G50*E50)+((H50+I50+J50)*E50)</f>
        <v>0</v>
      </c>
      <c r="N50" s="51"/>
    </row>
    <row r="51" spans="1:14">
      <c r="A51" s="64"/>
      <c r="B51" s="62"/>
      <c r="C51" s="14" t="s">
        <v>28</v>
      </c>
      <c r="D51" s="4">
        <v>5001</v>
      </c>
      <c r="E51" s="32"/>
      <c r="F51" s="8"/>
      <c r="G51" s="8"/>
      <c r="H51" s="8"/>
      <c r="I51" s="8"/>
      <c r="J51" s="8"/>
      <c r="K51" s="54"/>
      <c r="L51" s="8"/>
      <c r="M51" s="46">
        <v>0</v>
      </c>
      <c r="N51" s="7"/>
    </row>
    <row r="52" spans="1:14">
      <c r="A52" s="64"/>
      <c r="B52" s="62"/>
      <c r="C52" s="14" t="s">
        <v>29</v>
      </c>
      <c r="D52" s="4">
        <v>5002</v>
      </c>
      <c r="E52" s="32"/>
      <c r="F52" s="8"/>
      <c r="G52" s="8"/>
      <c r="H52" s="8"/>
      <c r="I52" s="8"/>
      <c r="J52" s="8"/>
      <c r="K52" s="54"/>
      <c r="L52" s="8"/>
      <c r="M52" s="46">
        <v>0</v>
      </c>
      <c r="N52" s="7"/>
    </row>
    <row r="53" spans="1:14">
      <c r="A53" s="9"/>
      <c r="B53" s="10"/>
      <c r="C53" s="29"/>
      <c r="D53" s="10"/>
      <c r="E53" s="33"/>
      <c r="F53" s="13"/>
      <c r="G53" s="13"/>
      <c r="H53" s="13"/>
      <c r="I53" s="13"/>
      <c r="J53" s="13"/>
      <c r="K53" s="58"/>
      <c r="L53" s="13"/>
      <c r="M53" s="13"/>
      <c r="N53" s="7"/>
    </row>
    <row r="54" spans="1:14" s="2" customFormat="1">
      <c r="A54" s="63" t="s">
        <v>48</v>
      </c>
      <c r="B54" s="61" t="s">
        <v>49</v>
      </c>
      <c r="C54" s="19"/>
      <c r="D54" s="5" t="s">
        <v>116</v>
      </c>
      <c r="E54" s="31">
        <f>SUM(E55:E57)</f>
        <v>3125</v>
      </c>
      <c r="F54" s="12"/>
      <c r="G54" s="12"/>
      <c r="H54" s="12"/>
      <c r="I54" s="12"/>
      <c r="J54" s="12"/>
      <c r="K54" s="56"/>
      <c r="L54" s="12"/>
      <c r="M54" s="43">
        <f>SUM(M55:M59)</f>
        <v>0</v>
      </c>
      <c r="N54" s="48"/>
    </row>
    <row r="55" spans="1:14">
      <c r="A55" s="64"/>
      <c r="B55" s="62"/>
      <c r="C55" s="14" t="s">
        <v>86</v>
      </c>
      <c r="D55" s="15"/>
      <c r="E55" s="32">
        <v>1625</v>
      </c>
      <c r="F55" s="8">
        <v>0</v>
      </c>
      <c r="G55" s="8">
        <v>0</v>
      </c>
      <c r="H55" s="17">
        <v>0</v>
      </c>
      <c r="I55" s="17">
        <v>0</v>
      </c>
      <c r="J55" s="17">
        <v>0</v>
      </c>
      <c r="K55" s="54">
        <f>(F55+G55+H55)</f>
        <v>0</v>
      </c>
      <c r="L55" s="8">
        <v>3.5</v>
      </c>
      <c r="M55" s="44">
        <f>(E55*F55*L55)+(G55*E55)+((H55+I55+J55)*E55)</f>
        <v>0</v>
      </c>
      <c r="N55" s="7"/>
    </row>
    <row r="56" spans="1:14">
      <c r="A56" s="64"/>
      <c r="B56" s="62"/>
      <c r="C56" s="14" t="s">
        <v>93</v>
      </c>
      <c r="D56" s="15"/>
      <c r="E56" s="32">
        <v>875</v>
      </c>
      <c r="F56" s="8">
        <v>0</v>
      </c>
      <c r="G56" s="8">
        <v>0</v>
      </c>
      <c r="H56" s="17">
        <v>0</v>
      </c>
      <c r="I56" s="17">
        <v>0</v>
      </c>
      <c r="J56" s="17">
        <v>0</v>
      </c>
      <c r="K56" s="54">
        <f>(F56+G56+H56)</f>
        <v>0</v>
      </c>
      <c r="L56" s="8">
        <v>3.5</v>
      </c>
      <c r="M56" s="44">
        <f>(E56*F56*L56)+(G56*E56)+((H56+I56+J56)*E56)</f>
        <v>0</v>
      </c>
      <c r="N56" s="7"/>
    </row>
    <row r="57" spans="1:14">
      <c r="A57" s="64"/>
      <c r="B57" s="62"/>
      <c r="C57" s="14" t="s">
        <v>112</v>
      </c>
      <c r="D57" s="15"/>
      <c r="E57" s="32">
        <v>625</v>
      </c>
      <c r="F57" s="8">
        <v>0</v>
      </c>
      <c r="G57" s="8">
        <v>0</v>
      </c>
      <c r="H57" s="17">
        <v>0</v>
      </c>
      <c r="I57" s="17">
        <v>0</v>
      </c>
      <c r="J57" s="17">
        <v>0</v>
      </c>
      <c r="K57" s="54">
        <f t="shared" ref="K57" si="5">(F57+G57+H57)</f>
        <v>0</v>
      </c>
      <c r="L57" s="8">
        <v>3.5</v>
      </c>
      <c r="M57" s="44">
        <f>(E57*F57*L57)+(G57*E57)+((H57+I57+J57)*E57)</f>
        <v>0</v>
      </c>
      <c r="N57" s="7"/>
    </row>
    <row r="58" spans="1:14">
      <c r="A58" s="64"/>
      <c r="B58" s="62"/>
      <c r="C58" s="14" t="s">
        <v>28</v>
      </c>
      <c r="D58" s="4">
        <v>5001</v>
      </c>
      <c r="E58" s="32"/>
      <c r="F58" s="8"/>
      <c r="G58" s="8"/>
      <c r="H58" s="8"/>
      <c r="I58" s="8"/>
      <c r="J58" s="8"/>
      <c r="K58" s="54"/>
      <c r="L58" s="8"/>
      <c r="M58" s="46">
        <v>0</v>
      </c>
      <c r="N58" s="7"/>
    </row>
    <row r="59" spans="1:14">
      <c r="A59" s="64"/>
      <c r="B59" s="62"/>
      <c r="C59" s="14" t="s">
        <v>29</v>
      </c>
      <c r="D59" s="4">
        <v>5002</v>
      </c>
      <c r="E59" s="32"/>
      <c r="F59" s="8"/>
      <c r="G59" s="8"/>
      <c r="H59" s="8"/>
      <c r="I59" s="8"/>
      <c r="J59" s="8"/>
      <c r="K59" s="54"/>
      <c r="L59" s="8"/>
      <c r="M59" s="46">
        <v>0</v>
      </c>
      <c r="N59" s="7"/>
    </row>
    <row r="60" spans="1:14">
      <c r="A60" s="9"/>
      <c r="B60" s="10"/>
      <c r="C60" s="29"/>
      <c r="D60" s="10"/>
      <c r="E60" s="33"/>
      <c r="F60" s="13"/>
      <c r="G60" s="13"/>
      <c r="H60" s="13"/>
      <c r="I60" s="13"/>
      <c r="J60" s="13"/>
      <c r="K60" s="58"/>
      <c r="L60" s="13"/>
      <c r="M60" s="13"/>
      <c r="N60" s="7"/>
    </row>
    <row r="61" spans="1:14" s="2" customFormat="1">
      <c r="A61" s="63" t="s">
        <v>50</v>
      </c>
      <c r="B61" s="61" t="s">
        <v>51</v>
      </c>
      <c r="C61" s="19"/>
      <c r="D61" s="5" t="s">
        <v>116</v>
      </c>
      <c r="E61" s="31">
        <f>SUM(E62:E63)</f>
        <v>1200</v>
      </c>
      <c r="F61" s="12"/>
      <c r="G61" s="12"/>
      <c r="H61" s="12"/>
      <c r="I61" s="12"/>
      <c r="J61" s="12"/>
      <c r="K61" s="56"/>
      <c r="L61" s="12"/>
      <c r="M61" s="43">
        <f>SUM(M62:M65)</f>
        <v>0</v>
      </c>
      <c r="N61" s="48"/>
    </row>
    <row r="62" spans="1:14">
      <c r="A62" s="64"/>
      <c r="B62" s="62"/>
      <c r="C62" s="14" t="s">
        <v>93</v>
      </c>
      <c r="D62" s="15"/>
      <c r="E62" s="32">
        <v>750</v>
      </c>
      <c r="F62" s="8">
        <v>0</v>
      </c>
      <c r="G62" s="8">
        <v>0</v>
      </c>
      <c r="H62" s="17">
        <v>0</v>
      </c>
      <c r="I62" s="17">
        <v>0</v>
      </c>
      <c r="J62" s="17">
        <v>0</v>
      </c>
      <c r="K62" s="54">
        <f>(F62+G62+H62)</f>
        <v>0</v>
      </c>
      <c r="L62" s="8">
        <v>3.5</v>
      </c>
      <c r="M62" s="44">
        <f>(E62*F62*L62)+(G62*E62)+((H62+I62+J62)*E62)</f>
        <v>0</v>
      </c>
      <c r="N62" s="7"/>
    </row>
    <row r="63" spans="1:14">
      <c r="A63" s="64"/>
      <c r="B63" s="62"/>
      <c r="C63" s="14" t="s">
        <v>112</v>
      </c>
      <c r="D63" s="15"/>
      <c r="E63" s="32">
        <v>450</v>
      </c>
      <c r="F63" s="8">
        <v>0</v>
      </c>
      <c r="G63" s="8">
        <v>0</v>
      </c>
      <c r="H63" s="17">
        <v>0</v>
      </c>
      <c r="I63" s="17">
        <v>0</v>
      </c>
      <c r="J63" s="17">
        <v>0</v>
      </c>
      <c r="K63" s="54">
        <f>(F63+G63+H63)</f>
        <v>0</v>
      </c>
      <c r="L63" s="8">
        <v>3.5</v>
      </c>
      <c r="M63" s="44">
        <f>(E63*F63*L63)+(G63*E63)+((H63+I63+J63)*E63)</f>
        <v>0</v>
      </c>
      <c r="N63" s="7"/>
    </row>
    <row r="64" spans="1:14">
      <c r="A64" s="64"/>
      <c r="B64" s="62"/>
      <c r="C64" s="14" t="s">
        <v>28</v>
      </c>
      <c r="D64" s="4">
        <v>5001</v>
      </c>
      <c r="E64" s="32"/>
      <c r="F64" s="8"/>
      <c r="G64" s="8"/>
      <c r="H64" s="8"/>
      <c r="I64" s="8"/>
      <c r="J64" s="8"/>
      <c r="K64" s="54"/>
      <c r="L64" s="8"/>
      <c r="M64" s="44">
        <v>0</v>
      </c>
      <c r="N64" s="7"/>
    </row>
    <row r="65" spans="1:14">
      <c r="A65" s="64"/>
      <c r="B65" s="62"/>
      <c r="C65" s="14" t="s">
        <v>29</v>
      </c>
      <c r="D65" s="4">
        <v>5002</v>
      </c>
      <c r="E65" s="32"/>
      <c r="F65" s="8"/>
      <c r="G65" s="8"/>
      <c r="H65" s="8"/>
      <c r="I65" s="8"/>
      <c r="J65" s="8"/>
      <c r="K65" s="54"/>
      <c r="L65" s="8"/>
      <c r="M65" s="44">
        <v>0</v>
      </c>
      <c r="N65" s="7"/>
    </row>
    <row r="66" spans="1:14">
      <c r="A66" s="9"/>
      <c r="B66" s="10"/>
      <c r="C66" s="29"/>
      <c r="D66" s="10"/>
      <c r="E66" s="33"/>
      <c r="F66" s="13"/>
      <c r="G66" s="13"/>
      <c r="H66" s="13"/>
      <c r="I66" s="13"/>
      <c r="J66" s="13"/>
      <c r="K66" s="58"/>
      <c r="L66" s="13"/>
      <c r="M66" s="13"/>
      <c r="N66" s="7"/>
    </row>
    <row r="67" spans="1:14" s="2" customFormat="1" ht="16.5" thickTop="1">
      <c r="A67" s="63" t="s">
        <v>52</v>
      </c>
      <c r="B67" s="61" t="s">
        <v>53</v>
      </c>
      <c r="C67" s="19"/>
      <c r="D67" s="5" t="s">
        <v>116</v>
      </c>
      <c r="E67" s="31">
        <f>SUM(E68:E69)</f>
        <v>1000</v>
      </c>
      <c r="F67" s="12"/>
      <c r="G67" s="12"/>
      <c r="H67" s="12"/>
      <c r="I67" s="12"/>
      <c r="J67" s="12"/>
      <c r="K67" s="56"/>
      <c r="L67" s="12"/>
      <c r="M67" s="43">
        <f>SUM(M68:M71)</f>
        <v>0</v>
      </c>
      <c r="N67" s="48"/>
    </row>
    <row r="68" spans="1:14">
      <c r="A68" s="64"/>
      <c r="B68" s="62"/>
      <c r="C68" s="14" t="s">
        <v>86</v>
      </c>
      <c r="D68" s="15"/>
      <c r="E68" s="32">
        <v>625</v>
      </c>
      <c r="F68" s="8">
        <v>0</v>
      </c>
      <c r="G68" s="8">
        <v>0</v>
      </c>
      <c r="H68" s="17">
        <v>0</v>
      </c>
      <c r="I68" s="17">
        <v>0</v>
      </c>
      <c r="J68" s="17">
        <v>0</v>
      </c>
      <c r="K68" s="54">
        <f>(F68+G68+H68)</f>
        <v>0</v>
      </c>
      <c r="L68" s="8">
        <v>3.5</v>
      </c>
      <c r="M68" s="44">
        <f>(E68*F68*L68)+(G68*E68)+((H68+I68+J68)*E68)</f>
        <v>0</v>
      </c>
      <c r="N68" s="7"/>
    </row>
    <row r="69" spans="1:14">
      <c r="A69" s="64"/>
      <c r="B69" s="62"/>
      <c r="C69" s="14" t="s">
        <v>112</v>
      </c>
      <c r="D69" s="15"/>
      <c r="E69" s="32">
        <v>375</v>
      </c>
      <c r="F69" s="8">
        <v>0</v>
      </c>
      <c r="G69" s="8">
        <v>0</v>
      </c>
      <c r="H69" s="17">
        <v>0</v>
      </c>
      <c r="I69" s="17">
        <v>0</v>
      </c>
      <c r="J69" s="17">
        <v>0</v>
      </c>
      <c r="K69" s="54">
        <f>(F69+G69+H69)</f>
        <v>0</v>
      </c>
      <c r="L69" s="8">
        <v>3.5</v>
      </c>
      <c r="M69" s="44">
        <f>(E69*F69*L69)+(G69*E69)+((H69+I69+J69)*E69)</f>
        <v>0</v>
      </c>
      <c r="N69" s="7"/>
    </row>
    <row r="70" spans="1:14">
      <c r="A70" s="64"/>
      <c r="B70" s="62"/>
      <c r="C70" s="14" t="s">
        <v>28</v>
      </c>
      <c r="D70" s="4">
        <v>5001</v>
      </c>
      <c r="E70" s="32"/>
      <c r="F70" s="8"/>
      <c r="G70" s="8"/>
      <c r="H70" s="8"/>
      <c r="I70" s="8"/>
      <c r="J70" s="8"/>
      <c r="K70" s="54"/>
      <c r="L70" s="8"/>
      <c r="M70" s="44">
        <v>0</v>
      </c>
      <c r="N70" s="7"/>
    </row>
    <row r="71" spans="1:14" ht="16.5" thickBot="1">
      <c r="A71" s="65"/>
      <c r="B71" s="66"/>
      <c r="C71" s="14" t="s">
        <v>29</v>
      </c>
      <c r="D71" s="10">
        <v>5002</v>
      </c>
      <c r="E71" s="33"/>
      <c r="F71" s="11"/>
      <c r="G71" s="11"/>
      <c r="H71" s="11"/>
      <c r="I71" s="11"/>
      <c r="J71" s="11"/>
      <c r="K71" s="55"/>
      <c r="L71" s="11"/>
      <c r="M71" s="45">
        <v>0</v>
      </c>
      <c r="N71" s="7"/>
    </row>
    <row r="72" spans="1:14" ht="16.5" thickTop="1">
      <c r="A72" s="63" t="s">
        <v>54</v>
      </c>
      <c r="B72" s="61" t="s">
        <v>55</v>
      </c>
      <c r="C72" s="19"/>
      <c r="D72" s="5" t="s">
        <v>116</v>
      </c>
      <c r="E72" s="31">
        <f>SUM(E73:E74)</f>
        <v>1000</v>
      </c>
      <c r="F72" s="12"/>
      <c r="G72" s="12"/>
      <c r="H72" s="12"/>
      <c r="I72" s="12"/>
      <c r="J72" s="12"/>
      <c r="K72" s="56"/>
      <c r="L72" s="12"/>
      <c r="M72" s="43">
        <f>SUM(M73:M76)</f>
        <v>0</v>
      </c>
      <c r="N72" s="7"/>
    </row>
    <row r="73" spans="1:14">
      <c r="A73" s="64"/>
      <c r="B73" s="62"/>
      <c r="C73" s="14" t="s">
        <v>86</v>
      </c>
      <c r="D73" s="15"/>
      <c r="E73" s="32">
        <v>625</v>
      </c>
      <c r="F73" s="8">
        <v>0</v>
      </c>
      <c r="G73" s="8">
        <v>0</v>
      </c>
      <c r="H73" s="17">
        <v>0</v>
      </c>
      <c r="I73" s="17">
        <v>0</v>
      </c>
      <c r="J73" s="17">
        <v>0</v>
      </c>
      <c r="K73" s="54">
        <f>(F73+G73+H73)</f>
        <v>0</v>
      </c>
      <c r="L73" s="8">
        <v>3.5</v>
      </c>
      <c r="M73" s="44">
        <f>(E73*F73*L73)+(G73*E73)+((H73+I73+J73)*E73)</f>
        <v>0</v>
      </c>
      <c r="N73" s="7"/>
    </row>
    <row r="74" spans="1:14">
      <c r="A74" s="64"/>
      <c r="B74" s="62"/>
      <c r="C74" s="14" t="s">
        <v>112</v>
      </c>
      <c r="D74" s="15"/>
      <c r="E74" s="32">
        <v>375</v>
      </c>
      <c r="F74" s="8">
        <v>0</v>
      </c>
      <c r="G74" s="8">
        <v>0</v>
      </c>
      <c r="H74" s="17">
        <v>0</v>
      </c>
      <c r="I74" s="17">
        <v>0</v>
      </c>
      <c r="J74" s="17">
        <v>0</v>
      </c>
      <c r="K74" s="54">
        <f>(F74+G74+H74)</f>
        <v>0</v>
      </c>
      <c r="L74" s="8">
        <v>3.5</v>
      </c>
      <c r="M74" s="44">
        <f>(E74*F74*L74)+(G74*E74)+((H74+I74+J74)*E74)</f>
        <v>0</v>
      </c>
      <c r="N74" s="7"/>
    </row>
    <row r="75" spans="1:14">
      <c r="A75" s="64"/>
      <c r="B75" s="62"/>
      <c r="C75" s="14" t="s">
        <v>28</v>
      </c>
      <c r="D75" s="4">
        <v>5001</v>
      </c>
      <c r="E75" s="32"/>
      <c r="F75" s="8"/>
      <c r="G75" s="8"/>
      <c r="H75" s="8"/>
      <c r="I75" s="8"/>
      <c r="J75" s="8"/>
      <c r="K75" s="54"/>
      <c r="L75" s="8"/>
      <c r="M75" s="44">
        <v>0</v>
      </c>
      <c r="N75" s="7"/>
    </row>
    <row r="76" spans="1:14" ht="16.5" thickBot="1">
      <c r="A76" s="65"/>
      <c r="B76" s="66"/>
      <c r="C76" s="14" t="s">
        <v>29</v>
      </c>
      <c r="D76" s="10">
        <v>5002</v>
      </c>
      <c r="E76" s="33"/>
      <c r="F76" s="11"/>
      <c r="G76" s="11"/>
      <c r="H76" s="11"/>
      <c r="I76" s="11"/>
      <c r="J76" s="11"/>
      <c r="K76" s="55"/>
      <c r="L76" s="11"/>
      <c r="M76" s="45">
        <v>0</v>
      </c>
      <c r="N76" s="7"/>
    </row>
    <row r="77" spans="1:14" ht="16.5" thickTop="1">
      <c r="A77" s="63" t="s">
        <v>56</v>
      </c>
      <c r="B77" s="61" t="s">
        <v>57</v>
      </c>
      <c r="C77" s="19"/>
      <c r="D77" s="5" t="s">
        <v>116</v>
      </c>
      <c r="E77" s="31">
        <f>SUM(E78:E79)</f>
        <v>1000</v>
      </c>
      <c r="F77" s="12"/>
      <c r="G77" s="12"/>
      <c r="H77" s="12"/>
      <c r="I77" s="12"/>
      <c r="J77" s="12"/>
      <c r="K77" s="56"/>
      <c r="L77" s="12"/>
      <c r="M77" s="43">
        <f>SUM(M78:M81)</f>
        <v>0</v>
      </c>
      <c r="N77" s="7"/>
    </row>
    <row r="78" spans="1:14">
      <c r="A78" s="64"/>
      <c r="B78" s="62"/>
      <c r="C78" s="14" t="s">
        <v>86</v>
      </c>
      <c r="D78" s="15"/>
      <c r="E78" s="32">
        <v>625</v>
      </c>
      <c r="F78" s="8">
        <v>0</v>
      </c>
      <c r="G78" s="8">
        <v>0</v>
      </c>
      <c r="H78" s="17">
        <v>0</v>
      </c>
      <c r="I78" s="17">
        <v>0</v>
      </c>
      <c r="J78" s="17">
        <v>0</v>
      </c>
      <c r="K78" s="54">
        <f>(F78+G78+H78)</f>
        <v>0</v>
      </c>
      <c r="L78" s="8">
        <v>3.5</v>
      </c>
      <c r="M78" s="44">
        <f>(E78*F78*L78)+(G78*E78)+((H78+I78+J78)*E78)</f>
        <v>0</v>
      </c>
      <c r="N78" s="7"/>
    </row>
    <row r="79" spans="1:14">
      <c r="A79" s="64"/>
      <c r="B79" s="62"/>
      <c r="C79" s="14" t="s">
        <v>112</v>
      </c>
      <c r="D79" s="15"/>
      <c r="E79" s="32">
        <v>375</v>
      </c>
      <c r="F79" s="8">
        <v>0</v>
      </c>
      <c r="G79" s="8">
        <v>0</v>
      </c>
      <c r="H79" s="17">
        <v>0</v>
      </c>
      <c r="I79" s="17">
        <v>0</v>
      </c>
      <c r="J79" s="17">
        <v>0</v>
      </c>
      <c r="K79" s="54">
        <f>(F79+G79+H79)</f>
        <v>0</v>
      </c>
      <c r="L79" s="8">
        <v>3.5</v>
      </c>
      <c r="M79" s="44">
        <f>(E79*F79*L79)+(G79*E79)+((H79+I79+J79)*E79)</f>
        <v>0</v>
      </c>
      <c r="N79" s="7"/>
    </row>
    <row r="80" spans="1:14">
      <c r="A80" s="64"/>
      <c r="B80" s="62"/>
      <c r="C80" s="14" t="s">
        <v>28</v>
      </c>
      <c r="D80" s="4">
        <v>5001</v>
      </c>
      <c r="E80" s="32"/>
      <c r="F80" s="8"/>
      <c r="G80" s="8"/>
      <c r="H80" s="8"/>
      <c r="I80" s="8"/>
      <c r="J80" s="8"/>
      <c r="K80" s="54"/>
      <c r="L80" s="8"/>
      <c r="M80" s="44">
        <v>0</v>
      </c>
      <c r="N80" s="7"/>
    </row>
    <row r="81" spans="1:14" ht="16.5" thickBot="1">
      <c r="A81" s="65"/>
      <c r="B81" s="66"/>
      <c r="C81" s="14" t="s">
        <v>29</v>
      </c>
      <c r="D81" s="10">
        <v>5002</v>
      </c>
      <c r="E81" s="33"/>
      <c r="F81" s="11"/>
      <c r="G81" s="11"/>
      <c r="H81" s="11"/>
      <c r="I81" s="11"/>
      <c r="J81" s="11"/>
      <c r="K81" s="55"/>
      <c r="L81" s="11"/>
      <c r="M81" s="45">
        <v>0</v>
      </c>
      <c r="N81" s="7"/>
    </row>
    <row r="82" spans="1:14" ht="16.5" thickTop="1">
      <c r="A82" s="63" t="s">
        <v>58</v>
      </c>
      <c r="B82" s="61" t="s">
        <v>59</v>
      </c>
      <c r="C82" s="19"/>
      <c r="D82" s="5" t="s">
        <v>116</v>
      </c>
      <c r="E82" s="31">
        <f>SUM(E83:E84)</f>
        <v>1000</v>
      </c>
      <c r="F82" s="12"/>
      <c r="G82" s="12"/>
      <c r="H82" s="12"/>
      <c r="I82" s="12"/>
      <c r="J82" s="12"/>
      <c r="K82" s="56"/>
      <c r="L82" s="12"/>
      <c r="M82" s="43">
        <f>SUM(M83:M86)</f>
        <v>0</v>
      </c>
      <c r="N82" s="7"/>
    </row>
    <row r="83" spans="1:14">
      <c r="A83" s="64"/>
      <c r="B83" s="62"/>
      <c r="C83" s="14" t="s">
        <v>86</v>
      </c>
      <c r="D83" s="15"/>
      <c r="E83" s="32">
        <v>625</v>
      </c>
      <c r="F83" s="8">
        <v>0</v>
      </c>
      <c r="G83" s="8">
        <v>0</v>
      </c>
      <c r="H83" s="17">
        <v>0</v>
      </c>
      <c r="I83" s="17">
        <v>0</v>
      </c>
      <c r="J83" s="17">
        <v>0</v>
      </c>
      <c r="K83" s="54">
        <f>(F83+G83+H83)</f>
        <v>0</v>
      </c>
      <c r="L83" s="8">
        <v>3.5</v>
      </c>
      <c r="M83" s="44">
        <f>(E83*F83*L83)+(G83*E83)+((H83+I83+J83)*E83)</f>
        <v>0</v>
      </c>
      <c r="N83" s="7"/>
    </row>
    <row r="84" spans="1:14">
      <c r="A84" s="64"/>
      <c r="B84" s="62"/>
      <c r="C84" s="14" t="s">
        <v>115</v>
      </c>
      <c r="D84" s="15"/>
      <c r="E84" s="32">
        <v>375</v>
      </c>
      <c r="F84" s="8">
        <v>0</v>
      </c>
      <c r="G84" s="8">
        <v>0</v>
      </c>
      <c r="H84" s="17">
        <v>0</v>
      </c>
      <c r="I84" s="17">
        <v>0</v>
      </c>
      <c r="J84" s="17">
        <v>0</v>
      </c>
      <c r="K84" s="54">
        <f>(F84+G84+H84)</f>
        <v>0</v>
      </c>
      <c r="L84" s="8">
        <v>3.5</v>
      </c>
      <c r="M84" s="44">
        <f>(E84*F84*L84)+(G84*E84)+((H84+I84+J84)*E84)</f>
        <v>0</v>
      </c>
      <c r="N84" s="7"/>
    </row>
    <row r="85" spans="1:14">
      <c r="A85" s="64"/>
      <c r="B85" s="62"/>
      <c r="C85" s="14" t="s">
        <v>28</v>
      </c>
      <c r="D85" s="4">
        <v>5001</v>
      </c>
      <c r="E85" s="32"/>
      <c r="F85" s="8"/>
      <c r="G85" s="8"/>
      <c r="H85" s="8"/>
      <c r="I85" s="8"/>
      <c r="J85" s="8"/>
      <c r="K85" s="54"/>
      <c r="L85" s="8"/>
      <c r="M85" s="44">
        <v>0</v>
      </c>
      <c r="N85" s="7"/>
    </row>
    <row r="86" spans="1:14" ht="16.5" thickBot="1">
      <c r="A86" s="65"/>
      <c r="B86" s="66"/>
      <c r="C86" s="14" t="s">
        <v>29</v>
      </c>
      <c r="D86" s="10">
        <v>5002</v>
      </c>
      <c r="E86" s="33"/>
      <c r="F86" s="11"/>
      <c r="G86" s="11"/>
      <c r="H86" s="11"/>
      <c r="I86" s="11"/>
      <c r="J86" s="11"/>
      <c r="K86" s="55"/>
      <c r="L86" s="11"/>
      <c r="M86" s="45">
        <v>0</v>
      </c>
      <c r="N86" s="7"/>
    </row>
    <row r="87" spans="1:14" ht="16.5" thickTop="1">
      <c r="A87" s="63" t="s">
        <v>60</v>
      </c>
      <c r="B87" s="61" t="s">
        <v>61</v>
      </c>
      <c r="C87" s="19"/>
      <c r="D87" s="5" t="s">
        <v>116</v>
      </c>
      <c r="E87" s="31">
        <f>SUM(E88:E89)</f>
        <v>1000</v>
      </c>
      <c r="F87" s="12"/>
      <c r="G87" s="12"/>
      <c r="H87" s="12"/>
      <c r="I87" s="12"/>
      <c r="J87" s="12"/>
      <c r="K87" s="56"/>
      <c r="L87" s="12"/>
      <c r="M87" s="43">
        <f>SUM(M88:M91)</f>
        <v>0</v>
      </c>
      <c r="N87" s="7"/>
    </row>
    <row r="88" spans="1:14">
      <c r="A88" s="64"/>
      <c r="B88" s="62"/>
      <c r="C88" s="14" t="s">
        <v>86</v>
      </c>
      <c r="D88" s="15"/>
      <c r="E88" s="32">
        <v>625</v>
      </c>
      <c r="F88" s="8">
        <v>0</v>
      </c>
      <c r="G88" s="8">
        <v>0</v>
      </c>
      <c r="H88" s="17">
        <v>0</v>
      </c>
      <c r="I88" s="17">
        <v>0</v>
      </c>
      <c r="J88" s="17">
        <v>0</v>
      </c>
      <c r="K88" s="54">
        <f>(F88+G88+H88)</f>
        <v>0</v>
      </c>
      <c r="L88" s="8">
        <v>3.5</v>
      </c>
      <c r="M88" s="44">
        <f>(E88*F88*L88)+(G88*E88)+((H88+I88+J88)*E88)</f>
        <v>0</v>
      </c>
      <c r="N88" s="7"/>
    </row>
    <row r="89" spans="1:14">
      <c r="A89" s="64"/>
      <c r="B89" s="62"/>
      <c r="C89" s="14" t="s">
        <v>115</v>
      </c>
      <c r="D89" s="15"/>
      <c r="E89" s="32">
        <v>375</v>
      </c>
      <c r="F89" s="8">
        <v>0</v>
      </c>
      <c r="G89" s="8">
        <v>0</v>
      </c>
      <c r="H89" s="17">
        <v>0</v>
      </c>
      <c r="I89" s="17">
        <v>0</v>
      </c>
      <c r="J89" s="17">
        <v>0</v>
      </c>
      <c r="K89" s="54">
        <f>(F89+G89+H89)</f>
        <v>0</v>
      </c>
      <c r="L89" s="8">
        <v>3.5</v>
      </c>
      <c r="M89" s="44">
        <f>(E89*F89*L89)+(G89*E89)+((H89+I89+J89)*E89)</f>
        <v>0</v>
      </c>
      <c r="N89" s="7"/>
    </row>
    <row r="90" spans="1:14">
      <c r="A90" s="64"/>
      <c r="B90" s="62"/>
      <c r="C90" s="14" t="s">
        <v>28</v>
      </c>
      <c r="D90" s="4">
        <v>5001</v>
      </c>
      <c r="E90" s="32"/>
      <c r="F90" s="8"/>
      <c r="G90" s="8"/>
      <c r="H90" s="8"/>
      <c r="I90" s="8"/>
      <c r="J90" s="8"/>
      <c r="K90" s="54"/>
      <c r="L90" s="8"/>
      <c r="M90" s="44">
        <v>0</v>
      </c>
      <c r="N90" s="7"/>
    </row>
    <row r="91" spans="1:14" ht="16.5" thickBot="1">
      <c r="A91" s="65"/>
      <c r="B91" s="66"/>
      <c r="C91" s="14" t="s">
        <v>29</v>
      </c>
      <c r="D91" s="10">
        <v>5002</v>
      </c>
      <c r="E91" s="33"/>
      <c r="F91" s="11"/>
      <c r="G91" s="11"/>
      <c r="H91" s="11"/>
      <c r="I91" s="11"/>
      <c r="J91" s="11"/>
      <c r="K91" s="55"/>
      <c r="L91" s="11"/>
      <c r="M91" s="45">
        <v>0</v>
      </c>
      <c r="N91" s="7"/>
    </row>
    <row r="92" spans="1:14" ht="16.5" thickTop="1">
      <c r="A92" s="63" t="s">
        <v>62</v>
      </c>
      <c r="B92" s="61" t="s">
        <v>63</v>
      </c>
      <c r="C92" s="19"/>
      <c r="D92" s="5" t="s">
        <v>116</v>
      </c>
      <c r="E92" s="31">
        <f>SUM(E93:E94)</f>
        <v>1000</v>
      </c>
      <c r="F92" s="12"/>
      <c r="G92" s="12"/>
      <c r="H92" s="12"/>
      <c r="I92" s="12"/>
      <c r="J92" s="12"/>
      <c r="K92" s="56"/>
      <c r="L92" s="12"/>
      <c r="M92" s="43">
        <f>SUM(M93:M96)</f>
        <v>0</v>
      </c>
      <c r="N92" s="7"/>
    </row>
    <row r="93" spans="1:14">
      <c r="A93" s="64"/>
      <c r="B93" s="62"/>
      <c r="C93" s="14" t="s">
        <v>86</v>
      </c>
      <c r="D93" s="15"/>
      <c r="E93" s="32">
        <v>625</v>
      </c>
      <c r="F93" s="8">
        <v>0</v>
      </c>
      <c r="G93" s="8">
        <v>0</v>
      </c>
      <c r="H93" s="17">
        <v>0</v>
      </c>
      <c r="I93" s="17">
        <v>0</v>
      </c>
      <c r="J93" s="17">
        <v>0</v>
      </c>
      <c r="K93" s="54">
        <f>(F93+G93+H93)</f>
        <v>0</v>
      </c>
      <c r="L93" s="8">
        <v>3.5</v>
      </c>
      <c r="M93" s="44">
        <f>(E93*F93*L93)+(G93*E93)+((H93+I93+J93)*E93)</f>
        <v>0</v>
      </c>
      <c r="N93" s="7"/>
    </row>
    <row r="94" spans="1:14">
      <c r="A94" s="64"/>
      <c r="B94" s="62"/>
      <c r="C94" s="14" t="s">
        <v>117</v>
      </c>
      <c r="D94" s="15"/>
      <c r="E94" s="32">
        <v>375</v>
      </c>
      <c r="F94" s="8">
        <v>0</v>
      </c>
      <c r="G94" s="8">
        <v>0</v>
      </c>
      <c r="H94" s="17">
        <v>0</v>
      </c>
      <c r="I94" s="17">
        <v>0</v>
      </c>
      <c r="J94" s="17">
        <v>0</v>
      </c>
      <c r="K94" s="54">
        <f>(F94+G94+H94)</f>
        <v>0</v>
      </c>
      <c r="L94" s="8">
        <v>3.5</v>
      </c>
      <c r="M94" s="44">
        <f>(E94*F94*L94)+(G94*E94)+((H94+I94+J94)*E94)</f>
        <v>0</v>
      </c>
      <c r="N94" s="7"/>
    </row>
    <row r="95" spans="1:14">
      <c r="A95" s="64"/>
      <c r="B95" s="62"/>
      <c r="C95" s="14" t="s">
        <v>28</v>
      </c>
      <c r="D95" s="4">
        <v>5001</v>
      </c>
      <c r="E95" s="32"/>
      <c r="F95" s="8"/>
      <c r="G95" s="8"/>
      <c r="H95" s="8"/>
      <c r="I95" s="8"/>
      <c r="J95" s="8"/>
      <c r="K95" s="54"/>
      <c r="L95" s="8"/>
      <c r="M95" s="44">
        <v>0</v>
      </c>
      <c r="N95" s="7"/>
    </row>
    <row r="96" spans="1:14">
      <c r="A96" s="65"/>
      <c r="B96" s="66"/>
      <c r="C96" s="29" t="s">
        <v>29</v>
      </c>
      <c r="D96" s="10">
        <v>5002</v>
      </c>
      <c r="E96" s="33"/>
      <c r="F96" s="11"/>
      <c r="G96" s="11"/>
      <c r="H96" s="11"/>
      <c r="I96" s="11"/>
      <c r="J96" s="11"/>
      <c r="K96" s="55"/>
      <c r="L96" s="11"/>
      <c r="M96" s="45">
        <v>0</v>
      </c>
      <c r="N96" s="7"/>
    </row>
    <row r="97" spans="1:18" ht="16.5" thickTop="1">
      <c r="A97" s="2" t="s">
        <v>76</v>
      </c>
      <c r="E97" s="32"/>
      <c r="O97" s="38"/>
      <c r="R97" s="38" t="s">
        <v>64</v>
      </c>
    </row>
    <row r="98" spans="1:18">
      <c r="L98" s="21" t="s">
        <v>66</v>
      </c>
      <c r="M98" s="20">
        <f>M2+M10+M18+M26+M34+M42+M49+M54+M61+M67+M72+M77+M82+M87+M92</f>
        <v>0</v>
      </c>
    </row>
    <row r="101" spans="1:18">
      <c r="G101" s="44"/>
    </row>
  </sheetData>
  <mergeCells count="30">
    <mergeCell ref="A82:A86"/>
    <mergeCell ref="B82:B86"/>
    <mergeCell ref="A87:A91"/>
    <mergeCell ref="B87:B91"/>
    <mergeCell ref="A92:A96"/>
    <mergeCell ref="B92:B96"/>
    <mergeCell ref="A67:A71"/>
    <mergeCell ref="B67:B71"/>
    <mergeCell ref="A72:A76"/>
    <mergeCell ref="B72:B76"/>
    <mergeCell ref="A77:A81"/>
    <mergeCell ref="B77:B81"/>
    <mergeCell ref="A49:A52"/>
    <mergeCell ref="B49:B52"/>
    <mergeCell ref="A54:A59"/>
    <mergeCell ref="B54:B59"/>
    <mergeCell ref="A61:A65"/>
    <mergeCell ref="B61:B65"/>
    <mergeCell ref="A26:A32"/>
    <mergeCell ref="B26:B32"/>
    <mergeCell ref="A34:A40"/>
    <mergeCell ref="B34:B40"/>
    <mergeCell ref="A42:A47"/>
    <mergeCell ref="B42:B47"/>
    <mergeCell ref="A2:A8"/>
    <mergeCell ref="B2:B8"/>
    <mergeCell ref="A10:A16"/>
    <mergeCell ref="B10:B16"/>
    <mergeCell ref="A18:A24"/>
    <mergeCell ref="B18:B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30D34-ED8B-4192-9B94-AF7CFEA0CA94}">
  <dimension ref="A1:R100"/>
  <sheetViews>
    <sheetView workbookViewId="0">
      <selection activeCell="K1" sqref="K1"/>
    </sheetView>
  </sheetViews>
  <sheetFormatPr defaultColWidth="9.125" defaultRowHeight="15.75"/>
  <cols>
    <col min="1" max="1" width="18.25" style="3" bestFit="1" customWidth="1"/>
    <col min="2" max="2" width="15.75" style="4" customWidth="1"/>
    <col min="3" max="3" width="31.625" style="14" customWidth="1"/>
    <col min="4" max="5" width="24.75" style="4" customWidth="1"/>
    <col min="6" max="10" width="24.75" style="3" customWidth="1"/>
    <col min="11" max="11" width="4.375" style="3" bestFit="1" customWidth="1"/>
    <col min="12" max="13" width="24.75" style="3" customWidth="1"/>
    <col min="14" max="17" width="15.75" style="3" customWidth="1"/>
    <col min="18" max="18" width="12.75" style="3" customWidth="1"/>
    <col min="19" max="19" width="15.75" style="3" customWidth="1"/>
    <col min="20" max="16384" width="9.125" style="3"/>
  </cols>
  <sheetData>
    <row r="1" spans="1:14" s="1" customFormat="1" ht="33" thickTop="1" thickBot="1">
      <c r="A1" s="18" t="s">
        <v>10</v>
      </c>
      <c r="B1" s="18" t="s">
        <v>11</v>
      </c>
      <c r="C1" s="18" t="s">
        <v>12</v>
      </c>
      <c r="D1" s="18" t="s">
        <v>13</v>
      </c>
      <c r="E1" s="18" t="s">
        <v>65</v>
      </c>
      <c r="F1" s="18" t="s">
        <v>14</v>
      </c>
      <c r="G1" s="18" t="s">
        <v>15</v>
      </c>
      <c r="H1" s="18" t="s">
        <v>16</v>
      </c>
      <c r="I1" s="18" t="s">
        <v>17</v>
      </c>
      <c r="J1" s="18" t="s">
        <v>18</v>
      </c>
      <c r="K1" s="52"/>
      <c r="L1" s="18" t="s">
        <v>19</v>
      </c>
      <c r="M1" s="42" t="s">
        <v>20</v>
      </c>
      <c r="N1" s="47"/>
    </row>
    <row r="2" spans="1:14" s="2" customFormat="1" ht="16.5" thickTop="1">
      <c r="A2" s="63" t="s">
        <v>21</v>
      </c>
      <c r="B2" s="61" t="s">
        <v>22</v>
      </c>
      <c r="C2" s="19"/>
      <c r="D2" s="5" t="s">
        <v>118</v>
      </c>
      <c r="E2" s="31">
        <f>SUM(E3:E6)</f>
        <v>4500</v>
      </c>
      <c r="F2" s="6"/>
      <c r="G2" s="6"/>
      <c r="H2" s="6"/>
      <c r="I2" s="6"/>
      <c r="J2" s="6"/>
      <c r="K2" s="53"/>
      <c r="L2" s="6"/>
      <c r="M2" s="43">
        <f>SUM(M3:M8)</f>
        <v>0</v>
      </c>
      <c r="N2" s="48"/>
    </row>
    <row r="3" spans="1:14">
      <c r="A3" s="64"/>
      <c r="B3" s="62"/>
      <c r="C3" s="14" t="s">
        <v>24</v>
      </c>
      <c r="D3" s="15"/>
      <c r="E3" s="32">
        <f>'CLIN 0005 (OY4)'!E3/2</f>
        <v>1000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54">
        <v>0</v>
      </c>
      <c r="L3" s="8">
        <v>3.5</v>
      </c>
      <c r="M3" s="44">
        <f>(E3*F3*L3)+(G3*E3)+((H3+I3+J3)*E3)</f>
        <v>0</v>
      </c>
      <c r="N3" s="7"/>
    </row>
    <row r="4" spans="1:14">
      <c r="A4" s="64"/>
      <c r="B4" s="62"/>
      <c r="C4" s="14" t="s">
        <v>25</v>
      </c>
      <c r="D4" s="15"/>
      <c r="E4" s="32">
        <f>'CLIN 0005 (OY4)'!E4/2</f>
        <v>2000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54">
        <v>0</v>
      </c>
      <c r="L4" s="8">
        <v>3.5</v>
      </c>
      <c r="M4" s="44">
        <f>(E4*F4*L4)+(G4*E4)+((H4+I4+J4)*E4)</f>
        <v>0</v>
      </c>
      <c r="N4" s="7"/>
    </row>
    <row r="5" spans="1:14">
      <c r="A5" s="64"/>
      <c r="B5" s="62"/>
      <c r="C5" s="14" t="s">
        <v>26</v>
      </c>
      <c r="D5" s="15"/>
      <c r="E5" s="32">
        <f>'CLIN 0005 (OY4)'!E5/2</f>
        <v>1062.5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54">
        <v>0</v>
      </c>
      <c r="L5" s="8">
        <v>3.5</v>
      </c>
      <c r="M5" s="44">
        <f>(E5*F5*L5)+(G5*E5)+((H5+I5+J5)*E5)</f>
        <v>0</v>
      </c>
      <c r="N5" s="7"/>
    </row>
    <row r="6" spans="1:14">
      <c r="A6" s="64"/>
      <c r="B6" s="62"/>
      <c r="C6" s="14" t="s">
        <v>27</v>
      </c>
      <c r="D6" s="15"/>
      <c r="E6" s="32">
        <f>'CLIN 0005 (OY4)'!E6/2</f>
        <v>437.5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54">
        <v>0</v>
      </c>
      <c r="L6" s="8">
        <v>3.5</v>
      </c>
      <c r="M6" s="44">
        <f>(E6*F6*L6)+(G6*E6)+((H6+I6+J6)*E6)</f>
        <v>0</v>
      </c>
      <c r="N6" s="7"/>
    </row>
    <row r="7" spans="1:14">
      <c r="A7" s="64"/>
      <c r="B7" s="62"/>
      <c r="C7" s="14" t="s">
        <v>28</v>
      </c>
      <c r="D7" s="4">
        <v>6001</v>
      </c>
      <c r="E7" s="32"/>
      <c r="F7" s="8"/>
      <c r="G7" s="8"/>
      <c r="H7" s="8"/>
      <c r="I7" s="8"/>
      <c r="J7" s="8"/>
      <c r="K7" s="54"/>
      <c r="L7" s="8"/>
      <c r="M7" s="46">
        <v>0</v>
      </c>
      <c r="N7" s="7"/>
    </row>
    <row r="8" spans="1:14">
      <c r="A8" s="64"/>
      <c r="B8" s="62"/>
      <c r="C8" s="14" t="s">
        <v>29</v>
      </c>
      <c r="D8" s="4">
        <v>6002</v>
      </c>
      <c r="E8" s="32"/>
      <c r="F8" s="8"/>
      <c r="G8" s="8"/>
      <c r="H8" s="8"/>
      <c r="I8" s="8"/>
      <c r="J8" s="8"/>
      <c r="K8" s="54"/>
      <c r="L8" s="8"/>
      <c r="M8" s="46">
        <v>0</v>
      </c>
      <c r="N8" s="7"/>
    </row>
    <row r="9" spans="1:14" ht="16.5" thickBot="1">
      <c r="A9" s="9"/>
      <c r="B9" s="10"/>
      <c r="C9" s="29"/>
      <c r="D9" s="10"/>
      <c r="E9" s="33"/>
      <c r="F9" s="11"/>
      <c r="G9" s="11"/>
      <c r="H9" s="11"/>
      <c r="I9" s="11"/>
      <c r="J9" s="11"/>
      <c r="K9" s="55"/>
      <c r="L9" s="11"/>
      <c r="M9" s="45"/>
      <c r="N9" s="7"/>
    </row>
    <row r="10" spans="1:14" s="2" customFormat="1" ht="16.5" thickTop="1">
      <c r="A10" s="63" t="s">
        <v>30</v>
      </c>
      <c r="B10" s="61" t="s">
        <v>31</v>
      </c>
      <c r="C10" s="19"/>
      <c r="D10" s="5" t="s">
        <v>118</v>
      </c>
      <c r="E10" s="31">
        <f>SUM(E11:E14)</f>
        <v>2625</v>
      </c>
      <c r="F10" s="12"/>
      <c r="G10" s="12"/>
      <c r="H10" s="12"/>
      <c r="I10" s="12"/>
      <c r="J10" s="12"/>
      <c r="K10" s="56"/>
      <c r="L10" s="12"/>
      <c r="M10" s="43">
        <f>SUM(M11:M16)</f>
        <v>0</v>
      </c>
      <c r="N10" s="48"/>
    </row>
    <row r="11" spans="1:14">
      <c r="A11" s="64"/>
      <c r="B11" s="62"/>
      <c r="C11" s="14" t="s">
        <v>32</v>
      </c>
      <c r="D11" s="15"/>
      <c r="E11" s="32">
        <f>'CLIN 0005 (OY4)'!E11/2</f>
        <v>562.5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54">
        <f>(F11+G11+H11)</f>
        <v>0</v>
      </c>
      <c r="L11" s="8">
        <v>3.5</v>
      </c>
      <c r="M11" s="44">
        <f>(E11*F11*L11)+(G11*E11)+((H11+I11+J11)*E11)</f>
        <v>0</v>
      </c>
      <c r="N11" s="7"/>
    </row>
    <row r="12" spans="1:14">
      <c r="A12" s="64"/>
      <c r="B12" s="62"/>
      <c r="C12" s="14" t="s">
        <v>33</v>
      </c>
      <c r="D12" s="15"/>
      <c r="E12" s="32">
        <f>'CLIN 0005 (OY4)'!E12/2</f>
        <v>1062.5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54">
        <f>(F12+G12+H12)</f>
        <v>0</v>
      </c>
      <c r="L12" s="8">
        <v>3.5</v>
      </c>
      <c r="M12" s="44">
        <f>(E12*F12*L12)+(G12*E12)+((H12+I12+J12)*E12)</f>
        <v>0</v>
      </c>
      <c r="N12" s="7"/>
    </row>
    <row r="13" spans="1:14">
      <c r="A13" s="64"/>
      <c r="B13" s="62"/>
      <c r="C13" s="16" t="s">
        <v>113</v>
      </c>
      <c r="D13" s="15"/>
      <c r="E13" s="32">
        <f>'CLIN 0005 (OY4)'!E13/2</f>
        <v>625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54">
        <f t="shared" ref="K13" si="0">(F13+G13+H13)</f>
        <v>0</v>
      </c>
      <c r="L13" s="8">
        <v>3.5</v>
      </c>
      <c r="M13" s="44">
        <f>(E13*F13*L13)+(G13*E13)+((H13+I13+J13)*E13)</f>
        <v>0</v>
      </c>
      <c r="N13" s="7"/>
    </row>
    <row r="14" spans="1:14">
      <c r="A14" s="64"/>
      <c r="B14" s="62"/>
      <c r="C14" s="14" t="s">
        <v>80</v>
      </c>
      <c r="D14" s="15"/>
      <c r="E14" s="32">
        <f>'CLIN 0005 (OY4)'!E14/2</f>
        <v>375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54">
        <f t="shared" ref="K14" si="1">(F14+G14+H14)</f>
        <v>0</v>
      </c>
      <c r="L14" s="8">
        <v>3.5</v>
      </c>
      <c r="M14" s="44">
        <f>(E14*F14*L14)+(G14*E14)+((H14+I14+J14)*E14)</f>
        <v>0</v>
      </c>
      <c r="N14" s="7"/>
    </row>
    <row r="15" spans="1:14">
      <c r="A15" s="64"/>
      <c r="B15" s="62"/>
      <c r="C15" s="14" t="s">
        <v>28</v>
      </c>
      <c r="D15" s="4">
        <v>6001</v>
      </c>
      <c r="E15" s="32"/>
      <c r="F15" s="8"/>
      <c r="G15" s="8"/>
      <c r="H15" s="8"/>
      <c r="I15" s="8"/>
      <c r="J15" s="8"/>
      <c r="K15" s="54"/>
      <c r="L15" s="8"/>
      <c r="M15" s="46">
        <v>0</v>
      </c>
      <c r="N15" s="7"/>
    </row>
    <row r="16" spans="1:14">
      <c r="A16" s="64"/>
      <c r="B16" s="62"/>
      <c r="C16" s="14" t="s">
        <v>29</v>
      </c>
      <c r="D16" s="4">
        <v>6002</v>
      </c>
      <c r="E16" s="32"/>
      <c r="F16" s="8"/>
      <c r="G16" s="8"/>
      <c r="H16" s="8"/>
      <c r="I16" s="8"/>
      <c r="J16" s="8"/>
      <c r="K16" s="54"/>
      <c r="L16" s="8"/>
      <c r="M16" s="46">
        <v>0</v>
      </c>
      <c r="N16" s="7"/>
    </row>
    <row r="17" spans="1:14" ht="16.5" thickBot="1">
      <c r="A17" s="7"/>
      <c r="E17" s="32"/>
      <c r="F17" s="8"/>
      <c r="G17" s="8"/>
      <c r="H17" s="8"/>
      <c r="I17" s="8"/>
      <c r="J17" s="8"/>
      <c r="K17" s="54"/>
      <c r="L17" s="8"/>
      <c r="M17" s="44"/>
      <c r="N17" s="7"/>
    </row>
    <row r="18" spans="1:14" s="2" customFormat="1" ht="16.5" thickTop="1">
      <c r="A18" s="63" t="s">
        <v>34</v>
      </c>
      <c r="B18" s="61" t="s">
        <v>35</v>
      </c>
      <c r="C18" s="19"/>
      <c r="D18" s="5" t="s">
        <v>118</v>
      </c>
      <c r="E18" s="31">
        <f>SUM(E19:E22)</f>
        <v>3375</v>
      </c>
      <c r="F18" s="12"/>
      <c r="G18" s="12"/>
      <c r="H18" s="12"/>
      <c r="I18" s="12"/>
      <c r="J18" s="12"/>
      <c r="K18" s="56"/>
      <c r="L18" s="12"/>
      <c r="M18" s="43">
        <f>SUM(M19:M24)</f>
        <v>0</v>
      </c>
      <c r="N18" s="48"/>
    </row>
    <row r="19" spans="1:14" s="2" customFormat="1">
      <c r="A19" s="64"/>
      <c r="B19" s="62"/>
      <c r="C19" s="14" t="s">
        <v>36</v>
      </c>
      <c r="D19" s="15"/>
      <c r="E19" s="32">
        <f>'CLIN 0005 (OY4)'!E19/2</f>
        <v>1750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54">
        <f>(F19+G19+H19)</f>
        <v>0</v>
      </c>
      <c r="L19" s="8">
        <v>3.5</v>
      </c>
      <c r="M19" s="44">
        <f>(E19*F19*L19)+(G19*E19)+((H19+I19+J19)*E19)</f>
        <v>0</v>
      </c>
      <c r="N19" s="48"/>
    </row>
    <row r="20" spans="1:14" s="28" customFormat="1" ht="31.5">
      <c r="A20" s="64"/>
      <c r="B20" s="62"/>
      <c r="C20" s="16" t="s">
        <v>81</v>
      </c>
      <c r="D20" s="15"/>
      <c r="E20" s="32">
        <f>'CLIN 0005 (OY4)'!E20/2</f>
        <v>750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57">
        <f>(F20+G20+H20)</f>
        <v>0</v>
      </c>
      <c r="L20" s="17">
        <v>3.5</v>
      </c>
      <c r="M20" s="44">
        <f>(E20*F20*L20)+(G20*E20)+((H20+I20+J20)*E20)</f>
        <v>0</v>
      </c>
      <c r="N20" s="49"/>
    </row>
    <row r="21" spans="1:14" s="2" customFormat="1">
      <c r="A21" s="64"/>
      <c r="B21" s="62"/>
      <c r="C21" s="14" t="s">
        <v>93</v>
      </c>
      <c r="D21" s="15"/>
      <c r="E21" s="32">
        <f>'CLIN 0005 (OY4)'!E21/2</f>
        <v>437.5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57">
        <f t="shared" ref="K21:K22" si="2">(F21+G21+H21)</f>
        <v>0</v>
      </c>
      <c r="L21" s="17">
        <v>3.5</v>
      </c>
      <c r="M21" s="44">
        <f>(E21*F21*L21)+(G21*E21)+((H21+I21+J21)*E21)</f>
        <v>0</v>
      </c>
      <c r="N21" s="48"/>
    </row>
    <row r="22" spans="1:14">
      <c r="A22" s="64"/>
      <c r="B22" s="62"/>
      <c r="C22" s="14" t="s">
        <v>112</v>
      </c>
      <c r="D22" s="15"/>
      <c r="E22" s="32">
        <f>'CLIN 0005 (OY4)'!E22/2</f>
        <v>437.5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57">
        <f t="shared" si="2"/>
        <v>0</v>
      </c>
      <c r="L22" s="17">
        <v>3.5</v>
      </c>
      <c r="M22" s="44">
        <f>(E22*F22*L22)+(G22*E22)+((H22+I22+J22)*E22)</f>
        <v>0</v>
      </c>
      <c r="N22" s="7"/>
    </row>
    <row r="23" spans="1:14">
      <c r="A23" s="64"/>
      <c r="B23" s="62"/>
      <c r="C23" s="14" t="s">
        <v>28</v>
      </c>
      <c r="D23" s="4">
        <v>6001</v>
      </c>
      <c r="E23" s="32"/>
      <c r="F23" s="8"/>
      <c r="G23" s="8"/>
      <c r="H23" s="8"/>
      <c r="I23" s="8"/>
      <c r="J23" s="8"/>
      <c r="K23" s="54"/>
      <c r="L23" s="8"/>
      <c r="M23" s="46">
        <v>0</v>
      </c>
      <c r="N23" s="7"/>
    </row>
    <row r="24" spans="1:14">
      <c r="A24" s="64"/>
      <c r="B24" s="62"/>
      <c r="C24" s="14" t="s">
        <v>29</v>
      </c>
      <c r="D24" s="4">
        <v>6002</v>
      </c>
      <c r="E24" s="32"/>
      <c r="F24" s="8"/>
      <c r="G24" s="8"/>
      <c r="H24" s="8"/>
      <c r="I24" s="8"/>
      <c r="J24" s="8"/>
      <c r="K24" s="54"/>
      <c r="L24" s="8"/>
      <c r="M24" s="46">
        <v>0</v>
      </c>
      <c r="N24" s="7"/>
    </row>
    <row r="25" spans="1:14" ht="16.5" thickBot="1">
      <c r="A25" s="9"/>
      <c r="B25" s="10"/>
      <c r="C25" s="29"/>
      <c r="D25" s="10"/>
      <c r="E25" s="33"/>
      <c r="F25" s="11"/>
      <c r="G25" s="11"/>
      <c r="H25" s="11"/>
      <c r="I25" s="11"/>
      <c r="J25" s="11"/>
      <c r="K25" s="55"/>
      <c r="L25" s="11"/>
      <c r="M25" s="45"/>
      <c r="N25" s="7"/>
    </row>
    <row r="26" spans="1:14" s="2" customFormat="1" ht="16.5" thickTop="1">
      <c r="A26" s="63" t="s">
        <v>37</v>
      </c>
      <c r="B26" s="61" t="s">
        <v>38</v>
      </c>
      <c r="C26" s="19"/>
      <c r="D26" s="5" t="s">
        <v>118</v>
      </c>
      <c r="E26" s="31">
        <f>SUM(E27:E30)</f>
        <v>3375</v>
      </c>
      <c r="F26" s="12"/>
      <c r="G26" s="12"/>
      <c r="H26" s="12"/>
      <c r="I26" s="12"/>
      <c r="J26" s="12"/>
      <c r="K26" s="56"/>
      <c r="L26" s="12"/>
      <c r="M26" s="43">
        <f>SUM(M27:M32)</f>
        <v>0</v>
      </c>
      <c r="N26" s="48"/>
    </row>
    <row r="27" spans="1:14" s="15" customFormat="1">
      <c r="A27" s="64"/>
      <c r="B27" s="62"/>
      <c r="C27" s="16" t="s">
        <v>39</v>
      </c>
      <c r="E27" s="32">
        <f>'CLIN 0005 (OY4)'!E27/2</f>
        <v>1875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57">
        <f>(F27+G27+H27)</f>
        <v>0</v>
      </c>
      <c r="L27" s="17">
        <v>3.5</v>
      </c>
      <c r="M27" s="44">
        <f>(E27*F27*L27)+(G27*E27)+((H27+I27+J27)*E27)</f>
        <v>0</v>
      </c>
      <c r="N27" s="50"/>
    </row>
    <row r="28" spans="1:14" s="15" customFormat="1" ht="31.5">
      <c r="A28" s="64"/>
      <c r="B28" s="62"/>
      <c r="C28" s="16" t="s">
        <v>87</v>
      </c>
      <c r="E28" s="32">
        <f>'CLIN 0005 (OY4)'!E28/2</f>
        <v>625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57">
        <f>(F28+G28+H28)</f>
        <v>0</v>
      </c>
      <c r="L28" s="17">
        <v>3.5</v>
      </c>
      <c r="M28" s="44">
        <f>(E28*F28*L28)+(G28*E28)+((H28+I28+J28)*E28)</f>
        <v>0</v>
      </c>
      <c r="N28" s="50"/>
    </row>
    <row r="29" spans="1:14">
      <c r="A29" s="64"/>
      <c r="B29" s="62"/>
      <c r="C29" s="14" t="s">
        <v>93</v>
      </c>
      <c r="D29" s="15"/>
      <c r="E29" s="32">
        <f>'CLIN 0005 (OY4)'!E29/2</f>
        <v>500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57">
        <f t="shared" ref="K29:K30" si="3">(F29+G29+H29)</f>
        <v>0</v>
      </c>
      <c r="L29" s="17">
        <v>3.5</v>
      </c>
      <c r="M29" s="44">
        <f>(E29*F29*L29)+(G29*E29)+((H29+I29+J29)*E29)</f>
        <v>0</v>
      </c>
      <c r="N29" s="7"/>
    </row>
    <row r="30" spans="1:14">
      <c r="A30" s="64"/>
      <c r="B30" s="62"/>
      <c r="C30" s="14" t="s">
        <v>112</v>
      </c>
      <c r="D30" s="15"/>
      <c r="E30" s="32">
        <f>'CLIN 0005 (OY4)'!E30/2</f>
        <v>375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57">
        <f t="shared" si="3"/>
        <v>0</v>
      </c>
      <c r="L30" s="17">
        <v>3.5</v>
      </c>
      <c r="M30" s="44">
        <f>(E30*F30*L30)+(G30*E30)+((H30+I30+J30)*E30)</f>
        <v>0</v>
      </c>
      <c r="N30" s="7"/>
    </row>
    <row r="31" spans="1:14">
      <c r="A31" s="64"/>
      <c r="B31" s="62"/>
      <c r="C31" s="14" t="s">
        <v>28</v>
      </c>
      <c r="D31" s="4">
        <v>6001</v>
      </c>
      <c r="E31" s="32"/>
      <c r="F31" s="8"/>
      <c r="G31" s="8"/>
      <c r="H31" s="8"/>
      <c r="I31" s="8"/>
      <c r="J31" s="8"/>
      <c r="K31" s="54"/>
      <c r="L31" s="8"/>
      <c r="M31" s="46">
        <v>0</v>
      </c>
      <c r="N31" s="7"/>
    </row>
    <row r="32" spans="1:14">
      <c r="A32" s="64"/>
      <c r="B32" s="62"/>
      <c r="C32" s="14" t="s">
        <v>29</v>
      </c>
      <c r="D32" s="4">
        <v>6002</v>
      </c>
      <c r="E32" s="32"/>
      <c r="F32" s="8"/>
      <c r="G32" s="8"/>
      <c r="H32" s="8"/>
      <c r="I32" s="8"/>
      <c r="J32" s="8"/>
      <c r="K32" s="54"/>
      <c r="L32" s="8"/>
      <c r="M32" s="46">
        <v>0</v>
      </c>
      <c r="N32" s="7"/>
    </row>
    <row r="33" spans="1:14" ht="16.5" thickBot="1">
      <c r="A33" s="9"/>
      <c r="B33" s="10"/>
      <c r="C33" s="29"/>
      <c r="D33" s="10"/>
      <c r="E33" s="33"/>
      <c r="F33" s="13"/>
      <c r="G33" s="13"/>
      <c r="H33" s="13"/>
      <c r="I33" s="13"/>
      <c r="J33" s="13"/>
      <c r="K33" s="58"/>
      <c r="L33" s="13"/>
      <c r="M33" s="13"/>
      <c r="N33" s="7"/>
    </row>
    <row r="34" spans="1:14" s="2" customFormat="1" ht="16.5" thickTop="1">
      <c r="A34" s="63" t="s">
        <v>40</v>
      </c>
      <c r="B34" s="61" t="s">
        <v>41</v>
      </c>
      <c r="C34" s="19"/>
      <c r="D34" s="5" t="s">
        <v>118</v>
      </c>
      <c r="E34" s="31">
        <f>SUM(E35:E38)</f>
        <v>4125</v>
      </c>
      <c r="F34" s="12"/>
      <c r="G34" s="12"/>
      <c r="H34" s="12"/>
      <c r="I34" s="12"/>
      <c r="J34" s="12"/>
      <c r="K34" s="56"/>
      <c r="L34" s="12"/>
      <c r="M34" s="43">
        <f>SUM(M35:M40)</f>
        <v>0</v>
      </c>
      <c r="N34" s="48"/>
    </row>
    <row r="35" spans="1:14" s="15" customFormat="1" ht="31.5">
      <c r="A35" s="64"/>
      <c r="B35" s="62"/>
      <c r="C35" s="16" t="s">
        <v>42</v>
      </c>
      <c r="E35" s="32">
        <f>'CLIN 0005 (OY4)'!E35/2</f>
        <v>2125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57">
        <f>(F35+G35+H35)</f>
        <v>0</v>
      </c>
      <c r="L35" s="17">
        <v>3.5</v>
      </c>
      <c r="M35" s="44">
        <f>(E35*F35*L35)+(G35*E35)+((H35+I35+J35)*E35)</f>
        <v>0</v>
      </c>
      <c r="N35" s="50"/>
    </row>
    <row r="36" spans="1:14">
      <c r="A36" s="64"/>
      <c r="B36" s="62"/>
      <c r="C36" s="14" t="s">
        <v>33</v>
      </c>
      <c r="D36" s="15"/>
      <c r="E36" s="32">
        <f>'CLIN 0005 (OY4)'!E36/2</f>
        <v>875</v>
      </c>
      <c r="F36" s="8">
        <v>0</v>
      </c>
      <c r="G36" s="8">
        <v>0</v>
      </c>
      <c r="H36" s="17">
        <v>0</v>
      </c>
      <c r="I36" s="17">
        <v>0</v>
      </c>
      <c r="J36" s="17">
        <v>0</v>
      </c>
      <c r="K36" s="54">
        <f>(F36+G36+H36)</f>
        <v>0</v>
      </c>
      <c r="L36" s="8">
        <v>3.5</v>
      </c>
      <c r="M36" s="44">
        <f>(E36*F36*L36)+(G36*E36)+((H36+I36+J36)*E36)</f>
        <v>0</v>
      </c>
      <c r="N36" s="7"/>
    </row>
    <row r="37" spans="1:14">
      <c r="A37" s="64"/>
      <c r="B37" s="62"/>
      <c r="C37" s="14" t="s">
        <v>27</v>
      </c>
      <c r="D37" s="15"/>
      <c r="E37" s="32">
        <f>'CLIN 0005 (OY4)'!E37/2</f>
        <v>375</v>
      </c>
      <c r="F37" s="8">
        <v>0</v>
      </c>
      <c r="G37" s="8">
        <v>0</v>
      </c>
      <c r="H37" s="17">
        <v>0</v>
      </c>
      <c r="I37" s="17">
        <v>0</v>
      </c>
      <c r="J37" s="17">
        <v>0</v>
      </c>
      <c r="K37" s="54">
        <f t="shared" ref="K37:K38" si="4">(F37+G37+H37)</f>
        <v>0</v>
      </c>
      <c r="L37" s="8">
        <v>3.5</v>
      </c>
      <c r="M37" s="44">
        <f>(E37*F37*L37)+(G37*E37)+((H37+I37+J37)*E37)</f>
        <v>0</v>
      </c>
      <c r="N37" s="7"/>
    </row>
    <row r="38" spans="1:14" s="15" customFormat="1" ht="31.5">
      <c r="A38" s="64"/>
      <c r="B38" s="62"/>
      <c r="C38" s="16" t="s">
        <v>92</v>
      </c>
      <c r="E38" s="32">
        <f>'CLIN 0005 (OY4)'!E38/2</f>
        <v>750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57">
        <f t="shared" si="4"/>
        <v>0</v>
      </c>
      <c r="L38" s="17">
        <v>3.5</v>
      </c>
      <c r="M38" s="44">
        <f>(E38*F38*L38)+(G38*E38)+((H38+I38+J38)*E38)</f>
        <v>0</v>
      </c>
      <c r="N38" s="50"/>
    </row>
    <row r="39" spans="1:14">
      <c r="A39" s="64"/>
      <c r="B39" s="62"/>
      <c r="C39" s="14" t="s">
        <v>28</v>
      </c>
      <c r="D39" s="4">
        <v>6001</v>
      </c>
      <c r="E39" s="32"/>
      <c r="F39" s="8"/>
      <c r="G39" s="8"/>
      <c r="H39" s="8"/>
      <c r="I39" s="8"/>
      <c r="J39" s="8"/>
      <c r="K39" s="54"/>
      <c r="L39" s="8"/>
      <c r="M39" s="46">
        <v>0</v>
      </c>
      <c r="N39" s="7"/>
    </row>
    <row r="40" spans="1:14">
      <c r="A40" s="64"/>
      <c r="B40" s="62"/>
      <c r="C40" s="14" t="s">
        <v>29</v>
      </c>
      <c r="D40" s="4">
        <v>6002</v>
      </c>
      <c r="E40" s="32"/>
      <c r="F40" s="8"/>
      <c r="G40" s="8"/>
      <c r="H40" s="8"/>
      <c r="I40" s="8"/>
      <c r="J40" s="8"/>
      <c r="K40" s="54"/>
      <c r="L40" s="8"/>
      <c r="M40" s="46">
        <v>0</v>
      </c>
      <c r="N40" s="7"/>
    </row>
    <row r="41" spans="1:14" ht="16.5" thickBot="1">
      <c r="A41" s="9"/>
      <c r="B41" s="13"/>
      <c r="C41" s="29"/>
      <c r="D41" s="10"/>
      <c r="E41" s="33"/>
      <c r="F41" s="13"/>
      <c r="G41" s="13"/>
      <c r="H41" s="13"/>
      <c r="I41" s="13"/>
      <c r="J41" s="13"/>
      <c r="K41" s="58"/>
      <c r="L41" s="13"/>
      <c r="M41" s="13"/>
      <c r="N41" s="7"/>
    </row>
    <row r="42" spans="1:14" s="2" customFormat="1" ht="16.5" thickTop="1">
      <c r="A42" s="63" t="s">
        <v>43</v>
      </c>
      <c r="B42" s="61" t="s">
        <v>44</v>
      </c>
      <c r="C42" s="19"/>
      <c r="D42" s="5" t="s">
        <v>118</v>
      </c>
      <c r="E42" s="31">
        <f>SUM(E43:E45)</f>
        <v>1875</v>
      </c>
      <c r="F42" s="12"/>
      <c r="G42" s="12"/>
      <c r="H42" s="12"/>
      <c r="I42" s="12"/>
      <c r="J42" s="12"/>
      <c r="K42" s="56"/>
      <c r="L42" s="12"/>
      <c r="M42" s="43">
        <f>SUM(M43:M47)</f>
        <v>0</v>
      </c>
      <c r="N42" s="48"/>
    </row>
    <row r="43" spans="1:14">
      <c r="A43" s="64"/>
      <c r="B43" s="62"/>
      <c r="C43" s="14" t="s">
        <v>26</v>
      </c>
      <c r="D43" s="15"/>
      <c r="E43" s="32">
        <f>'CLIN 0005 (OY4)'!E43/2</f>
        <v>812.5</v>
      </c>
      <c r="F43" s="8">
        <v>0</v>
      </c>
      <c r="G43" s="8">
        <v>0</v>
      </c>
      <c r="H43" s="17">
        <v>0</v>
      </c>
      <c r="I43" s="8">
        <v>0</v>
      </c>
      <c r="J43" s="17">
        <v>0</v>
      </c>
      <c r="K43" s="54">
        <f>(F43+G43+H43)</f>
        <v>0</v>
      </c>
      <c r="L43" s="8">
        <v>3.5</v>
      </c>
      <c r="M43" s="44">
        <f>(E43*F43*L43)+(G43*E43)+((H43+I43+J43)*E43)</f>
        <v>0</v>
      </c>
      <c r="N43" s="7"/>
    </row>
    <row r="44" spans="1:14" s="15" customFormat="1" ht="31.5">
      <c r="A44" s="64"/>
      <c r="B44" s="62"/>
      <c r="C44" s="16" t="s">
        <v>88</v>
      </c>
      <c r="E44" s="32">
        <f>'CLIN 0005 (OY4)'!E44/2</f>
        <v>625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57">
        <f>(F44+G44+H44)</f>
        <v>0</v>
      </c>
      <c r="L44" s="8">
        <v>3.5</v>
      </c>
      <c r="M44" s="44">
        <f>(E44*F44*L44)+(G44*E44)+((H44+I44+J44)*E44)</f>
        <v>0</v>
      </c>
      <c r="N44" s="50"/>
    </row>
    <row r="45" spans="1:14">
      <c r="A45" s="64"/>
      <c r="B45" s="62"/>
      <c r="C45" s="14" t="s">
        <v>93</v>
      </c>
      <c r="D45" s="15"/>
      <c r="E45" s="32">
        <f>'CLIN 0005 (OY4)'!E45/2</f>
        <v>437.5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57">
        <f>(F45+G45+H45)</f>
        <v>0</v>
      </c>
      <c r="L45" s="8">
        <v>3.5</v>
      </c>
      <c r="M45" s="44">
        <f>(E45*F45*L45)+(G45*E45)+((H45+I45+J45)*E45)</f>
        <v>0</v>
      </c>
      <c r="N45" s="7"/>
    </row>
    <row r="46" spans="1:14">
      <c r="A46" s="64"/>
      <c r="B46" s="62"/>
      <c r="C46" s="14" t="s">
        <v>28</v>
      </c>
      <c r="D46" s="4">
        <v>6001</v>
      </c>
      <c r="E46" s="32"/>
      <c r="F46" s="8"/>
      <c r="G46" s="8"/>
      <c r="H46" s="8"/>
      <c r="I46" s="8"/>
      <c r="J46" s="8"/>
      <c r="K46" s="54"/>
      <c r="L46" s="8"/>
      <c r="M46" s="46">
        <v>0</v>
      </c>
      <c r="N46" s="7"/>
    </row>
    <row r="47" spans="1:14">
      <c r="A47" s="64"/>
      <c r="B47" s="62"/>
      <c r="C47" s="14" t="s">
        <v>29</v>
      </c>
      <c r="D47" s="4">
        <v>6002</v>
      </c>
      <c r="E47" s="32"/>
      <c r="F47" s="8"/>
      <c r="G47" s="8"/>
      <c r="H47" s="8"/>
      <c r="I47" s="8"/>
      <c r="J47" s="8"/>
      <c r="K47" s="54"/>
      <c r="L47" s="8"/>
      <c r="M47" s="46">
        <v>0</v>
      </c>
      <c r="N47" s="7"/>
    </row>
    <row r="48" spans="1:14" ht="16.5" thickBot="1">
      <c r="A48" s="9"/>
      <c r="B48" s="10"/>
      <c r="C48" s="29"/>
      <c r="D48" s="10"/>
      <c r="E48" s="33"/>
      <c r="F48" s="13"/>
      <c r="G48" s="13"/>
      <c r="H48" s="13"/>
      <c r="I48" s="13"/>
      <c r="J48" s="13"/>
      <c r="K48" s="58"/>
      <c r="L48" s="13"/>
      <c r="M48" s="13"/>
      <c r="N48" s="7"/>
    </row>
    <row r="49" spans="1:14" s="2" customFormat="1" ht="16.5" thickTop="1">
      <c r="A49" s="63" t="s">
        <v>45</v>
      </c>
      <c r="B49" s="61" t="s">
        <v>46</v>
      </c>
      <c r="C49" s="19"/>
      <c r="D49" s="5" t="s">
        <v>118</v>
      </c>
      <c r="E49" s="31">
        <f>SUM(E50:E50)</f>
        <v>2187.5</v>
      </c>
      <c r="F49" s="12"/>
      <c r="G49" s="12"/>
      <c r="H49" s="12"/>
      <c r="I49" s="12"/>
      <c r="J49" s="12"/>
      <c r="K49" s="56"/>
      <c r="L49" s="12"/>
      <c r="M49" s="43">
        <f>SUM(M50:M52)</f>
        <v>0</v>
      </c>
      <c r="N49" s="48"/>
    </row>
    <row r="50" spans="1:14" s="14" customFormat="1">
      <c r="A50" s="64"/>
      <c r="B50" s="62"/>
      <c r="C50" s="16" t="s">
        <v>47</v>
      </c>
      <c r="E50" s="32">
        <f>'CLIN 0005 (OY4)'!E50/2</f>
        <v>2187.5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57">
        <v>0</v>
      </c>
      <c r="L50" s="17">
        <v>0</v>
      </c>
      <c r="M50" s="44">
        <f>(E50*F50*L50)+(G50*E50)+((H50+I50+J50)*E50)</f>
        <v>0</v>
      </c>
      <c r="N50" s="51"/>
    </row>
    <row r="51" spans="1:14">
      <c r="A51" s="64"/>
      <c r="B51" s="62"/>
      <c r="C51" s="14" t="s">
        <v>28</v>
      </c>
      <c r="D51" s="4">
        <v>6001</v>
      </c>
      <c r="E51" s="32"/>
      <c r="F51" s="8"/>
      <c r="G51" s="8"/>
      <c r="H51" s="8"/>
      <c r="I51" s="8"/>
      <c r="J51" s="8"/>
      <c r="K51" s="54"/>
      <c r="L51" s="8"/>
      <c r="M51" s="46">
        <v>0</v>
      </c>
      <c r="N51" s="7"/>
    </row>
    <row r="52" spans="1:14">
      <c r="A52" s="64"/>
      <c r="B52" s="62"/>
      <c r="C52" s="14" t="s">
        <v>29</v>
      </c>
      <c r="D52" s="4">
        <v>6002</v>
      </c>
      <c r="E52" s="32"/>
      <c r="F52" s="8"/>
      <c r="G52" s="8"/>
      <c r="H52" s="8"/>
      <c r="I52" s="8"/>
      <c r="J52" s="8"/>
      <c r="K52" s="54"/>
      <c r="L52" s="8"/>
      <c r="M52" s="46">
        <v>0</v>
      </c>
      <c r="N52" s="7"/>
    </row>
    <row r="53" spans="1:14" ht="16.5" thickBot="1">
      <c r="A53" s="9"/>
      <c r="B53" s="10"/>
      <c r="C53" s="29"/>
      <c r="D53" s="10"/>
      <c r="E53" s="33"/>
      <c r="F53" s="13"/>
      <c r="G53" s="13"/>
      <c r="H53" s="13"/>
      <c r="I53" s="13"/>
      <c r="J53" s="13"/>
      <c r="K53" s="58"/>
      <c r="L53" s="13"/>
      <c r="M53" s="13"/>
      <c r="N53" s="7"/>
    </row>
    <row r="54" spans="1:14" s="2" customFormat="1" ht="16.5" thickTop="1">
      <c r="A54" s="63" t="s">
        <v>48</v>
      </c>
      <c r="B54" s="61" t="s">
        <v>49</v>
      </c>
      <c r="C54" s="19"/>
      <c r="D54" s="5" t="s">
        <v>118</v>
      </c>
      <c r="E54" s="31">
        <f>SUM(E55:E57)</f>
        <v>1562.5</v>
      </c>
      <c r="F54" s="12"/>
      <c r="G54" s="12"/>
      <c r="H54" s="12"/>
      <c r="I54" s="12"/>
      <c r="J54" s="12"/>
      <c r="K54" s="56"/>
      <c r="L54" s="12"/>
      <c r="M54" s="43">
        <f>SUM(M55:M59)</f>
        <v>0</v>
      </c>
      <c r="N54" s="48"/>
    </row>
    <row r="55" spans="1:14">
      <c r="A55" s="64"/>
      <c r="B55" s="62"/>
      <c r="C55" s="14" t="s">
        <v>86</v>
      </c>
      <c r="D55" s="15"/>
      <c r="E55" s="32">
        <f>'CLIN 0005 (OY4)'!E55/2</f>
        <v>812.5</v>
      </c>
      <c r="F55" s="8">
        <v>0</v>
      </c>
      <c r="G55" s="8">
        <v>0</v>
      </c>
      <c r="H55" s="17">
        <v>0</v>
      </c>
      <c r="I55" s="17">
        <v>0</v>
      </c>
      <c r="J55" s="17">
        <v>0</v>
      </c>
      <c r="K55" s="54">
        <f>(F55+G55+H55)</f>
        <v>0</v>
      </c>
      <c r="L55" s="8">
        <v>3.5</v>
      </c>
      <c r="M55" s="44">
        <f>(E55*F55*L55)+(G55*E55)+((H55+I55+J55)*E55)</f>
        <v>0</v>
      </c>
      <c r="N55" s="7"/>
    </row>
    <row r="56" spans="1:14">
      <c r="A56" s="64"/>
      <c r="B56" s="62"/>
      <c r="C56" s="14" t="s">
        <v>93</v>
      </c>
      <c r="D56" s="15"/>
      <c r="E56" s="32">
        <f>'CLIN 0005 (OY4)'!E56/2</f>
        <v>437.5</v>
      </c>
      <c r="F56" s="8">
        <v>0</v>
      </c>
      <c r="G56" s="8">
        <v>0</v>
      </c>
      <c r="H56" s="17">
        <v>0</v>
      </c>
      <c r="I56" s="17">
        <v>0</v>
      </c>
      <c r="J56" s="17">
        <v>0</v>
      </c>
      <c r="K56" s="54">
        <f>(F56+G56+H56)</f>
        <v>0</v>
      </c>
      <c r="L56" s="8">
        <v>3.5</v>
      </c>
      <c r="M56" s="44">
        <f>(E56*F56*L56)+(G56*E56)+((H56+I56+J56)*E56)</f>
        <v>0</v>
      </c>
      <c r="N56" s="7"/>
    </row>
    <row r="57" spans="1:14">
      <c r="A57" s="64"/>
      <c r="B57" s="62"/>
      <c r="C57" s="14" t="s">
        <v>112</v>
      </c>
      <c r="D57" s="15"/>
      <c r="E57" s="32">
        <f>'CLIN 0005 (OY4)'!E57/2</f>
        <v>312.5</v>
      </c>
      <c r="F57" s="8">
        <v>0</v>
      </c>
      <c r="G57" s="8">
        <v>0</v>
      </c>
      <c r="H57" s="17">
        <v>0</v>
      </c>
      <c r="I57" s="17">
        <v>0</v>
      </c>
      <c r="J57" s="17">
        <v>0</v>
      </c>
      <c r="K57" s="54">
        <f t="shared" ref="K57" si="5">(F57+G57+H57)</f>
        <v>0</v>
      </c>
      <c r="L57" s="8">
        <v>3.5</v>
      </c>
      <c r="M57" s="44">
        <f>(E57*F57*L57)+(G57*E57)+((H57+I57+J57)*E57)</f>
        <v>0</v>
      </c>
      <c r="N57" s="7"/>
    </row>
    <row r="58" spans="1:14">
      <c r="A58" s="64"/>
      <c r="B58" s="62"/>
      <c r="C58" s="14" t="s">
        <v>28</v>
      </c>
      <c r="D58" s="4">
        <v>6001</v>
      </c>
      <c r="E58" s="32"/>
      <c r="F58" s="8"/>
      <c r="G58" s="8"/>
      <c r="H58" s="8"/>
      <c r="I58" s="8"/>
      <c r="J58" s="8"/>
      <c r="K58" s="54"/>
      <c r="L58" s="8"/>
      <c r="M58" s="46">
        <v>0</v>
      </c>
      <c r="N58" s="7"/>
    </row>
    <row r="59" spans="1:14">
      <c r="A59" s="64"/>
      <c r="B59" s="62"/>
      <c r="C59" s="14" t="s">
        <v>29</v>
      </c>
      <c r="D59" s="4">
        <v>6002</v>
      </c>
      <c r="E59" s="32"/>
      <c r="F59" s="8"/>
      <c r="G59" s="8"/>
      <c r="H59" s="8"/>
      <c r="I59" s="8"/>
      <c r="J59" s="8"/>
      <c r="K59" s="54"/>
      <c r="L59" s="8"/>
      <c r="M59" s="46">
        <v>0</v>
      </c>
      <c r="N59" s="7"/>
    </row>
    <row r="60" spans="1:14" ht="16.5" thickBot="1">
      <c r="A60" s="9"/>
      <c r="B60" s="10"/>
      <c r="C60" s="29"/>
      <c r="D60" s="10"/>
      <c r="E60" s="33"/>
      <c r="F60" s="13"/>
      <c r="G60" s="13"/>
      <c r="H60" s="13"/>
      <c r="I60" s="13"/>
      <c r="J60" s="13"/>
      <c r="K60" s="58"/>
      <c r="L60" s="13"/>
      <c r="M60" s="13"/>
      <c r="N60" s="7"/>
    </row>
    <row r="61" spans="1:14" s="2" customFormat="1" ht="16.5" thickTop="1">
      <c r="A61" s="63" t="s">
        <v>50</v>
      </c>
      <c r="B61" s="61" t="s">
        <v>51</v>
      </c>
      <c r="C61" s="19"/>
      <c r="D61" s="5" t="s">
        <v>118</v>
      </c>
      <c r="E61" s="31">
        <f>SUM(E62:E63)</f>
        <v>600</v>
      </c>
      <c r="F61" s="12"/>
      <c r="G61" s="12"/>
      <c r="H61" s="12"/>
      <c r="I61" s="12"/>
      <c r="J61" s="12"/>
      <c r="K61" s="56"/>
      <c r="L61" s="12"/>
      <c r="M61" s="43">
        <f>SUM(M62:M65)</f>
        <v>0</v>
      </c>
      <c r="N61" s="48"/>
    </row>
    <row r="62" spans="1:14">
      <c r="A62" s="64"/>
      <c r="B62" s="62"/>
      <c r="C62" s="14" t="s">
        <v>93</v>
      </c>
      <c r="D62" s="15"/>
      <c r="E62" s="32">
        <f>'CLIN 0005 (OY4)'!E62/2</f>
        <v>375</v>
      </c>
      <c r="F62" s="8">
        <v>0</v>
      </c>
      <c r="G62" s="8">
        <v>0</v>
      </c>
      <c r="H62" s="17">
        <v>0</v>
      </c>
      <c r="I62" s="17">
        <v>0</v>
      </c>
      <c r="J62" s="17">
        <v>0</v>
      </c>
      <c r="K62" s="54">
        <f>(F62+G62+H62)</f>
        <v>0</v>
      </c>
      <c r="L62" s="8">
        <v>3.5</v>
      </c>
      <c r="M62" s="44">
        <f>(E62*F62*L62)+(G62*E62)+((H62+I62+J62)*E62)</f>
        <v>0</v>
      </c>
      <c r="N62" s="7"/>
    </row>
    <row r="63" spans="1:14">
      <c r="A63" s="64"/>
      <c r="B63" s="62"/>
      <c r="C63" s="14" t="s">
        <v>112</v>
      </c>
      <c r="D63" s="15"/>
      <c r="E63" s="32">
        <f>'CLIN 0005 (OY4)'!E63/2</f>
        <v>225</v>
      </c>
      <c r="F63" s="8">
        <v>0</v>
      </c>
      <c r="G63" s="8">
        <v>0</v>
      </c>
      <c r="H63" s="17">
        <v>0</v>
      </c>
      <c r="I63" s="17">
        <v>0</v>
      </c>
      <c r="J63" s="17">
        <v>0</v>
      </c>
      <c r="K63" s="54">
        <f>(F63+G63+H63)</f>
        <v>0</v>
      </c>
      <c r="L63" s="8">
        <v>3.5</v>
      </c>
      <c r="M63" s="44">
        <f>(E63*F63*L63)+(G63*E63)+((H63+I63+J63)*E63)</f>
        <v>0</v>
      </c>
      <c r="N63" s="7"/>
    </row>
    <row r="64" spans="1:14">
      <c r="A64" s="64"/>
      <c r="B64" s="62"/>
      <c r="C64" s="14" t="s">
        <v>28</v>
      </c>
      <c r="D64" s="4">
        <v>6001</v>
      </c>
      <c r="E64" s="32"/>
      <c r="F64" s="8"/>
      <c r="G64" s="8"/>
      <c r="H64" s="8"/>
      <c r="I64" s="8"/>
      <c r="J64" s="8"/>
      <c r="K64" s="54"/>
      <c r="L64" s="8"/>
      <c r="M64" s="44">
        <v>0</v>
      </c>
      <c r="N64" s="7"/>
    </row>
    <row r="65" spans="1:14">
      <c r="A65" s="64"/>
      <c r="B65" s="62"/>
      <c r="C65" s="14" t="s">
        <v>29</v>
      </c>
      <c r="D65" s="4">
        <v>6002</v>
      </c>
      <c r="E65" s="32"/>
      <c r="F65" s="8"/>
      <c r="G65" s="8"/>
      <c r="H65" s="8"/>
      <c r="I65" s="8"/>
      <c r="J65" s="8"/>
      <c r="K65" s="54"/>
      <c r="L65" s="8"/>
      <c r="M65" s="44">
        <v>0</v>
      </c>
      <c r="N65" s="7"/>
    </row>
    <row r="66" spans="1:14" ht="16.5" thickBot="1">
      <c r="A66" s="9"/>
      <c r="B66" s="10"/>
      <c r="C66" s="29"/>
      <c r="D66" s="10"/>
      <c r="E66" s="33"/>
      <c r="F66" s="13"/>
      <c r="G66" s="13"/>
      <c r="H66" s="13"/>
      <c r="I66" s="13"/>
      <c r="J66" s="13"/>
      <c r="K66" s="58"/>
      <c r="L66" s="13"/>
      <c r="M66" s="13"/>
      <c r="N66" s="7"/>
    </row>
    <row r="67" spans="1:14" s="2" customFormat="1" ht="16.5" thickTop="1">
      <c r="A67" s="63" t="s">
        <v>52</v>
      </c>
      <c r="B67" s="61" t="s">
        <v>53</v>
      </c>
      <c r="C67" s="19"/>
      <c r="D67" s="5" t="s">
        <v>118</v>
      </c>
      <c r="E67" s="31">
        <f>SUM(E68:E69)</f>
        <v>500</v>
      </c>
      <c r="F67" s="12"/>
      <c r="G67" s="12"/>
      <c r="H67" s="12"/>
      <c r="I67" s="12"/>
      <c r="J67" s="12"/>
      <c r="K67" s="56"/>
      <c r="L67" s="12"/>
      <c r="M67" s="43">
        <f>SUM(M68:M71)</f>
        <v>0</v>
      </c>
      <c r="N67" s="48"/>
    </row>
    <row r="68" spans="1:14">
      <c r="A68" s="64"/>
      <c r="B68" s="62"/>
      <c r="C68" s="14" t="s">
        <v>86</v>
      </c>
      <c r="D68" s="15"/>
      <c r="E68" s="32">
        <f>'CLIN 0005 (OY4)'!E68/2</f>
        <v>312.5</v>
      </c>
      <c r="F68" s="8">
        <v>0</v>
      </c>
      <c r="G68" s="8">
        <v>0</v>
      </c>
      <c r="H68" s="17">
        <v>0</v>
      </c>
      <c r="I68" s="17">
        <v>0</v>
      </c>
      <c r="J68" s="17">
        <v>0</v>
      </c>
      <c r="K68" s="54">
        <f>(F68+G68+H68)</f>
        <v>0</v>
      </c>
      <c r="L68" s="8">
        <v>3.5</v>
      </c>
      <c r="M68" s="44">
        <f>(E68*F68*L68)+(G68*E68)+((H68+I68+J68)*E68)</f>
        <v>0</v>
      </c>
      <c r="N68" s="7"/>
    </row>
    <row r="69" spans="1:14">
      <c r="A69" s="64"/>
      <c r="B69" s="62"/>
      <c r="C69" s="14" t="s">
        <v>112</v>
      </c>
      <c r="D69" s="15"/>
      <c r="E69" s="32">
        <f>'CLIN 0005 (OY4)'!E69/2</f>
        <v>187.5</v>
      </c>
      <c r="F69" s="8">
        <v>0</v>
      </c>
      <c r="G69" s="8">
        <v>0</v>
      </c>
      <c r="H69" s="17">
        <v>0</v>
      </c>
      <c r="I69" s="17">
        <v>0</v>
      </c>
      <c r="J69" s="17">
        <v>0</v>
      </c>
      <c r="K69" s="54">
        <f>(F69+G69+H69)</f>
        <v>0</v>
      </c>
      <c r="L69" s="8">
        <v>3.5</v>
      </c>
      <c r="M69" s="44">
        <f>(E69*F69*L69)+(G69*E69)+((H69+I69+J69)*E69)</f>
        <v>0</v>
      </c>
      <c r="N69" s="7"/>
    </row>
    <row r="70" spans="1:14">
      <c r="A70" s="64"/>
      <c r="B70" s="62"/>
      <c r="C70" s="14" t="s">
        <v>28</v>
      </c>
      <c r="D70" s="4">
        <v>6001</v>
      </c>
      <c r="E70" s="32"/>
      <c r="F70" s="8"/>
      <c r="G70" s="8"/>
      <c r="H70" s="8"/>
      <c r="I70" s="8"/>
      <c r="J70" s="8"/>
      <c r="K70" s="54"/>
      <c r="L70" s="8"/>
      <c r="M70" s="44">
        <v>0</v>
      </c>
      <c r="N70" s="7"/>
    </row>
    <row r="71" spans="1:14" ht="16.5" thickBot="1">
      <c r="A71" s="65"/>
      <c r="B71" s="66"/>
      <c r="C71" s="14" t="s">
        <v>29</v>
      </c>
      <c r="D71" s="10">
        <v>6002</v>
      </c>
      <c r="E71" s="33"/>
      <c r="F71" s="11"/>
      <c r="G71" s="11"/>
      <c r="H71" s="11"/>
      <c r="I71" s="11"/>
      <c r="J71" s="11"/>
      <c r="K71" s="55"/>
      <c r="L71" s="11"/>
      <c r="M71" s="45">
        <v>0</v>
      </c>
      <c r="N71" s="7"/>
    </row>
    <row r="72" spans="1:14" ht="16.5" thickTop="1">
      <c r="A72" s="63" t="s">
        <v>54</v>
      </c>
      <c r="B72" s="61" t="s">
        <v>55</v>
      </c>
      <c r="C72" s="19"/>
      <c r="D72" s="5" t="s">
        <v>118</v>
      </c>
      <c r="E72" s="31">
        <f>SUM(E73:E74)</f>
        <v>625.5</v>
      </c>
      <c r="F72" s="12"/>
      <c r="G72" s="12"/>
      <c r="H72" s="12"/>
      <c r="I72" s="12"/>
      <c r="J72" s="12"/>
      <c r="K72" s="56"/>
      <c r="L72" s="12"/>
      <c r="M72" s="43">
        <f>SUM(M73:M76)</f>
        <v>0</v>
      </c>
      <c r="N72" s="7"/>
    </row>
    <row r="73" spans="1:14">
      <c r="A73" s="64"/>
      <c r="B73" s="62"/>
      <c r="C73" s="14" t="s">
        <v>86</v>
      </c>
      <c r="D73" s="15"/>
      <c r="E73" s="32">
        <f>'CLIN 0005 (OY4)'!E73/2</f>
        <v>312.5</v>
      </c>
      <c r="F73" s="8">
        <v>0</v>
      </c>
      <c r="G73" s="8">
        <v>0</v>
      </c>
      <c r="H73" s="17">
        <v>0</v>
      </c>
      <c r="I73" s="17">
        <v>0</v>
      </c>
      <c r="J73" s="17">
        <v>0</v>
      </c>
      <c r="K73" s="54">
        <f>(F73+G73+H73)</f>
        <v>0</v>
      </c>
      <c r="L73" s="8">
        <v>3.5</v>
      </c>
      <c r="M73" s="44">
        <f>(E73*F73*L73)+(G73*E73)+((H73+I73+J73)*E73)</f>
        <v>0</v>
      </c>
      <c r="N73" s="7"/>
    </row>
    <row r="74" spans="1:14">
      <c r="A74" s="64"/>
      <c r="B74" s="62"/>
      <c r="C74" s="14" t="s">
        <v>112</v>
      </c>
      <c r="D74" s="15"/>
      <c r="E74" s="32">
        <v>313</v>
      </c>
      <c r="F74" s="8">
        <v>0</v>
      </c>
      <c r="G74" s="8">
        <v>0</v>
      </c>
      <c r="H74" s="17">
        <v>0</v>
      </c>
      <c r="I74" s="17">
        <v>0</v>
      </c>
      <c r="J74" s="17">
        <v>0</v>
      </c>
      <c r="K74" s="54">
        <f>(F74+G74+H74)</f>
        <v>0</v>
      </c>
      <c r="L74" s="8">
        <v>3.5</v>
      </c>
      <c r="M74" s="44">
        <f>(E74*F74*L74)+(G74*E74)+((H74+I74+J74)*E74)</f>
        <v>0</v>
      </c>
      <c r="N74" s="7"/>
    </row>
    <row r="75" spans="1:14">
      <c r="A75" s="64"/>
      <c r="B75" s="62"/>
      <c r="C75" s="14" t="s">
        <v>28</v>
      </c>
      <c r="D75" s="4">
        <v>6001</v>
      </c>
      <c r="E75" s="32"/>
      <c r="F75" s="8"/>
      <c r="G75" s="8"/>
      <c r="H75" s="8"/>
      <c r="I75" s="8"/>
      <c r="J75" s="8"/>
      <c r="K75" s="54"/>
      <c r="L75" s="8"/>
      <c r="M75" s="44">
        <v>0</v>
      </c>
      <c r="N75" s="7"/>
    </row>
    <row r="76" spans="1:14" ht="16.5" thickBot="1">
      <c r="A76" s="65"/>
      <c r="B76" s="66"/>
      <c r="C76" s="14" t="s">
        <v>29</v>
      </c>
      <c r="D76" s="10">
        <v>6002</v>
      </c>
      <c r="E76" s="33"/>
      <c r="F76" s="11"/>
      <c r="G76" s="11"/>
      <c r="H76" s="11"/>
      <c r="I76" s="11"/>
      <c r="J76" s="11"/>
      <c r="K76" s="55"/>
      <c r="L76" s="11"/>
      <c r="M76" s="45">
        <v>0</v>
      </c>
      <c r="N76" s="7"/>
    </row>
    <row r="77" spans="1:14" ht="16.5" thickTop="1">
      <c r="A77" s="63" t="s">
        <v>56</v>
      </c>
      <c r="B77" s="61" t="s">
        <v>57</v>
      </c>
      <c r="C77" s="19"/>
      <c r="D77" s="5" t="s">
        <v>118</v>
      </c>
      <c r="E77" s="31">
        <f>SUM(E78:E79)</f>
        <v>625.5</v>
      </c>
      <c r="F77" s="12"/>
      <c r="G77" s="12"/>
      <c r="H77" s="12"/>
      <c r="I77" s="12"/>
      <c r="J77" s="12"/>
      <c r="K77" s="56"/>
      <c r="L77" s="12"/>
      <c r="M77" s="43">
        <f>SUM(M78:M81)</f>
        <v>0</v>
      </c>
      <c r="N77" s="7"/>
    </row>
    <row r="78" spans="1:14">
      <c r="A78" s="64"/>
      <c r="B78" s="62"/>
      <c r="C78" s="14" t="s">
        <v>86</v>
      </c>
      <c r="D78" s="15"/>
      <c r="E78" s="32">
        <f>'CLIN 0005 (OY4)'!E78/2</f>
        <v>312.5</v>
      </c>
      <c r="F78" s="8">
        <v>0</v>
      </c>
      <c r="G78" s="8">
        <v>0</v>
      </c>
      <c r="H78" s="17">
        <v>0</v>
      </c>
      <c r="I78" s="17">
        <v>0</v>
      </c>
      <c r="J78" s="17">
        <v>0</v>
      </c>
      <c r="K78" s="54">
        <f>(F78+G78+H78)</f>
        <v>0</v>
      </c>
      <c r="L78" s="8">
        <v>3.5</v>
      </c>
      <c r="M78" s="44">
        <f>(E78*F78*L78)+(G78*E78)+((H78+I78+J78)*E78)</f>
        <v>0</v>
      </c>
      <c r="N78" s="7"/>
    </row>
    <row r="79" spans="1:14">
      <c r="A79" s="64"/>
      <c r="B79" s="62"/>
      <c r="C79" s="14" t="s">
        <v>112</v>
      </c>
      <c r="D79" s="15"/>
      <c r="E79" s="32">
        <v>313</v>
      </c>
      <c r="F79" s="8">
        <v>0</v>
      </c>
      <c r="G79" s="8">
        <v>0</v>
      </c>
      <c r="H79" s="17">
        <v>0</v>
      </c>
      <c r="I79" s="17">
        <v>0</v>
      </c>
      <c r="J79" s="17">
        <v>0</v>
      </c>
      <c r="K79" s="54">
        <f>(F79+G79+H79)</f>
        <v>0</v>
      </c>
      <c r="L79" s="8">
        <v>3.5</v>
      </c>
      <c r="M79" s="44">
        <f>(E79*F79*L79)+(G79*E79)+((H79+I79+J79)*E79)</f>
        <v>0</v>
      </c>
      <c r="N79" s="7"/>
    </row>
    <row r="80" spans="1:14">
      <c r="A80" s="64"/>
      <c r="B80" s="62"/>
      <c r="C80" s="14" t="s">
        <v>28</v>
      </c>
      <c r="D80" s="4">
        <v>6001</v>
      </c>
      <c r="E80" s="32"/>
      <c r="F80" s="8"/>
      <c r="G80" s="8"/>
      <c r="H80" s="8"/>
      <c r="I80" s="8"/>
      <c r="J80" s="8"/>
      <c r="K80" s="54"/>
      <c r="L80" s="8"/>
      <c r="M80" s="44">
        <v>0</v>
      </c>
      <c r="N80" s="7"/>
    </row>
    <row r="81" spans="1:14" ht="16.5" thickBot="1">
      <c r="A81" s="65"/>
      <c r="B81" s="66"/>
      <c r="C81" s="14" t="s">
        <v>29</v>
      </c>
      <c r="D81" s="10">
        <v>6002</v>
      </c>
      <c r="E81" s="33"/>
      <c r="F81" s="11"/>
      <c r="G81" s="11"/>
      <c r="H81" s="11"/>
      <c r="I81" s="11"/>
      <c r="J81" s="11"/>
      <c r="K81" s="55"/>
      <c r="L81" s="11"/>
      <c r="M81" s="45">
        <v>0</v>
      </c>
      <c r="N81" s="7"/>
    </row>
    <row r="82" spans="1:14" ht="16.5" thickTop="1">
      <c r="A82" s="63" t="s">
        <v>58</v>
      </c>
      <c r="B82" s="61" t="s">
        <v>59</v>
      </c>
      <c r="C82" s="19"/>
      <c r="D82" s="5" t="s">
        <v>118</v>
      </c>
      <c r="E82" s="31">
        <f>SUM(E83:E84)</f>
        <v>625.5</v>
      </c>
      <c r="F82" s="12"/>
      <c r="G82" s="12"/>
      <c r="H82" s="12"/>
      <c r="I82" s="12"/>
      <c r="J82" s="12"/>
      <c r="K82" s="56"/>
      <c r="L82" s="12"/>
      <c r="M82" s="43">
        <f>SUM(M83:M86)</f>
        <v>0</v>
      </c>
      <c r="N82" s="7"/>
    </row>
    <row r="83" spans="1:14">
      <c r="A83" s="64"/>
      <c r="B83" s="62"/>
      <c r="C83" s="14" t="s">
        <v>86</v>
      </c>
      <c r="D83" s="15"/>
      <c r="E83" s="32">
        <f>'CLIN 0005 (OY4)'!E83/2</f>
        <v>312.5</v>
      </c>
      <c r="F83" s="8">
        <v>0</v>
      </c>
      <c r="G83" s="8">
        <v>0</v>
      </c>
      <c r="H83" s="17">
        <v>0</v>
      </c>
      <c r="I83" s="17">
        <v>0</v>
      </c>
      <c r="J83" s="17">
        <v>0</v>
      </c>
      <c r="K83" s="54">
        <f>(F83+G83+H83)</f>
        <v>0</v>
      </c>
      <c r="L83" s="8">
        <v>3.5</v>
      </c>
      <c r="M83" s="44">
        <f>(E83*F83*L83)+(G83*E83)+((H83+I83+J83)*E83)</f>
        <v>0</v>
      </c>
      <c r="N83" s="7"/>
    </row>
    <row r="84" spans="1:14">
      <c r="A84" s="64"/>
      <c r="B84" s="62"/>
      <c r="C84" s="14" t="s">
        <v>115</v>
      </c>
      <c r="D84" s="15"/>
      <c r="E84" s="32">
        <v>313</v>
      </c>
      <c r="F84" s="8">
        <v>0</v>
      </c>
      <c r="G84" s="8">
        <v>0</v>
      </c>
      <c r="H84" s="17">
        <v>0</v>
      </c>
      <c r="I84" s="17">
        <v>0</v>
      </c>
      <c r="J84" s="17">
        <v>0</v>
      </c>
      <c r="K84" s="54">
        <f>(F84+G84+H84)</f>
        <v>0</v>
      </c>
      <c r="L84" s="8">
        <v>3.5</v>
      </c>
      <c r="M84" s="44">
        <f>(E84*F84*L84)+(G84*E84)+((H84+I84+J84)*E84)</f>
        <v>0</v>
      </c>
      <c r="N84" s="7"/>
    </row>
    <row r="85" spans="1:14">
      <c r="A85" s="64"/>
      <c r="B85" s="62"/>
      <c r="C85" s="14" t="s">
        <v>28</v>
      </c>
      <c r="D85" s="4">
        <v>6001</v>
      </c>
      <c r="E85" s="32"/>
      <c r="F85" s="8"/>
      <c r="G85" s="8"/>
      <c r="H85" s="8"/>
      <c r="I85" s="8"/>
      <c r="J85" s="8"/>
      <c r="K85" s="54"/>
      <c r="L85" s="8"/>
      <c r="M85" s="44">
        <v>0</v>
      </c>
      <c r="N85" s="7"/>
    </row>
    <row r="86" spans="1:14" ht="16.5" thickBot="1">
      <c r="A86" s="65"/>
      <c r="B86" s="66"/>
      <c r="C86" s="14" t="s">
        <v>29</v>
      </c>
      <c r="D86" s="10">
        <v>6002</v>
      </c>
      <c r="E86" s="33"/>
      <c r="F86" s="11"/>
      <c r="G86" s="11"/>
      <c r="H86" s="11"/>
      <c r="I86" s="11"/>
      <c r="J86" s="11"/>
      <c r="K86" s="55"/>
      <c r="L86" s="11"/>
      <c r="M86" s="45">
        <v>0</v>
      </c>
      <c r="N86" s="7"/>
    </row>
    <row r="87" spans="1:14" ht="16.5" thickTop="1">
      <c r="A87" s="63" t="s">
        <v>60</v>
      </c>
      <c r="B87" s="61" t="s">
        <v>61</v>
      </c>
      <c r="C87" s="19"/>
      <c r="D87" s="5" t="s">
        <v>118</v>
      </c>
      <c r="E87" s="31">
        <f>SUM(E88:E89)</f>
        <v>625.5</v>
      </c>
      <c r="F87" s="12"/>
      <c r="G87" s="12"/>
      <c r="H87" s="12"/>
      <c r="I87" s="12"/>
      <c r="J87" s="12"/>
      <c r="K87" s="56"/>
      <c r="L87" s="12"/>
      <c r="M87" s="43">
        <f>SUM(M88:M91)</f>
        <v>0</v>
      </c>
      <c r="N87" s="7"/>
    </row>
    <row r="88" spans="1:14">
      <c r="A88" s="64"/>
      <c r="B88" s="62"/>
      <c r="C88" s="14" t="s">
        <v>86</v>
      </c>
      <c r="D88" s="15"/>
      <c r="E88" s="32">
        <f>'CLIN 0005 (OY4)'!E88/2</f>
        <v>312.5</v>
      </c>
      <c r="F88" s="8">
        <v>0</v>
      </c>
      <c r="G88" s="8">
        <v>0</v>
      </c>
      <c r="H88" s="17">
        <v>0</v>
      </c>
      <c r="I88" s="17">
        <v>0</v>
      </c>
      <c r="J88" s="17">
        <v>0</v>
      </c>
      <c r="K88" s="54">
        <f>(F88+G88+H88)</f>
        <v>0</v>
      </c>
      <c r="L88" s="8">
        <v>3.5</v>
      </c>
      <c r="M88" s="44">
        <f>(E88*F88*L88)+(G88*E88)+((H88+I88+J88)*E88)</f>
        <v>0</v>
      </c>
      <c r="N88" s="7"/>
    </row>
    <row r="89" spans="1:14">
      <c r="A89" s="64"/>
      <c r="B89" s="62"/>
      <c r="C89" s="14" t="s">
        <v>115</v>
      </c>
      <c r="D89" s="15"/>
      <c r="E89" s="32">
        <v>313</v>
      </c>
      <c r="F89" s="8">
        <v>0</v>
      </c>
      <c r="G89" s="8">
        <v>0</v>
      </c>
      <c r="H89" s="17">
        <v>0</v>
      </c>
      <c r="I89" s="17">
        <v>0</v>
      </c>
      <c r="J89" s="17">
        <v>0</v>
      </c>
      <c r="K89" s="54">
        <f>(F89+G89+H89)</f>
        <v>0</v>
      </c>
      <c r="L89" s="8">
        <v>3.5</v>
      </c>
      <c r="M89" s="44">
        <f>(E89*F89*L89)+(G89*E89)+((H89+I89+J89)*E89)</f>
        <v>0</v>
      </c>
      <c r="N89" s="7"/>
    </row>
    <row r="90" spans="1:14">
      <c r="A90" s="64"/>
      <c r="B90" s="62"/>
      <c r="C90" s="14" t="s">
        <v>28</v>
      </c>
      <c r="D90" s="4">
        <v>6001</v>
      </c>
      <c r="E90" s="32"/>
      <c r="F90" s="8"/>
      <c r="G90" s="8"/>
      <c r="H90" s="8"/>
      <c r="I90" s="8"/>
      <c r="J90" s="8"/>
      <c r="K90" s="54"/>
      <c r="L90" s="8"/>
      <c r="M90" s="44">
        <v>0</v>
      </c>
      <c r="N90" s="7"/>
    </row>
    <row r="91" spans="1:14" ht="16.5" thickBot="1">
      <c r="A91" s="65"/>
      <c r="B91" s="66"/>
      <c r="C91" s="14" t="s">
        <v>29</v>
      </c>
      <c r="D91" s="10">
        <v>6002</v>
      </c>
      <c r="E91" s="33"/>
      <c r="F91" s="11"/>
      <c r="G91" s="11"/>
      <c r="H91" s="11"/>
      <c r="I91" s="11"/>
      <c r="J91" s="11"/>
      <c r="K91" s="55"/>
      <c r="L91" s="11"/>
      <c r="M91" s="45">
        <v>0</v>
      </c>
      <c r="N91" s="7"/>
    </row>
    <row r="92" spans="1:14" ht="16.5" thickTop="1">
      <c r="A92" s="63" t="s">
        <v>62</v>
      </c>
      <c r="B92" s="61" t="s">
        <v>63</v>
      </c>
      <c r="C92" s="19"/>
      <c r="D92" s="5" t="s">
        <v>118</v>
      </c>
      <c r="E92" s="31">
        <f>SUM(E93:E94)</f>
        <v>492.5</v>
      </c>
      <c r="F92" s="12"/>
      <c r="G92" s="12"/>
      <c r="H92" s="12"/>
      <c r="I92" s="12"/>
      <c r="J92" s="12"/>
      <c r="K92" s="56"/>
      <c r="L92" s="12"/>
      <c r="M92" s="43">
        <f>SUM(M93:M96)</f>
        <v>0</v>
      </c>
      <c r="N92" s="7"/>
    </row>
    <row r="93" spans="1:14">
      <c r="A93" s="64"/>
      <c r="B93" s="62"/>
      <c r="C93" s="14" t="s">
        <v>86</v>
      </c>
      <c r="D93" s="15"/>
      <c r="E93" s="32">
        <f>'CLIN 0005 (OY4)'!E93/2</f>
        <v>312.5</v>
      </c>
      <c r="F93" s="8">
        <v>0</v>
      </c>
      <c r="G93" s="8">
        <v>0</v>
      </c>
      <c r="H93" s="17">
        <v>0</v>
      </c>
      <c r="I93" s="17">
        <v>0</v>
      </c>
      <c r="J93" s="17">
        <v>0</v>
      </c>
      <c r="K93" s="54">
        <f>(F93+G93+H93)</f>
        <v>0</v>
      </c>
      <c r="L93" s="8">
        <v>3.5</v>
      </c>
      <c r="M93" s="44">
        <f>(E93*F93*L93)+(G93*E93)+((H93+I93+J93)*E93)</f>
        <v>0</v>
      </c>
      <c r="N93" s="7"/>
    </row>
    <row r="94" spans="1:14">
      <c r="A94" s="64"/>
      <c r="B94" s="62"/>
      <c r="C94" s="14" t="s">
        <v>117</v>
      </c>
      <c r="D94" s="15"/>
      <c r="E94" s="32">
        <v>180</v>
      </c>
      <c r="F94" s="8">
        <v>0</v>
      </c>
      <c r="G94" s="8">
        <v>0</v>
      </c>
      <c r="H94" s="17">
        <v>0</v>
      </c>
      <c r="I94" s="17">
        <v>0</v>
      </c>
      <c r="J94" s="17">
        <v>0</v>
      </c>
      <c r="K94" s="54">
        <f>(F94+G94+H94)</f>
        <v>0</v>
      </c>
      <c r="L94" s="8">
        <v>3.5</v>
      </c>
      <c r="M94" s="44">
        <f>(E94*F94*L94)+(G94*E94)+((H94+I94+J94)*E94)</f>
        <v>0</v>
      </c>
      <c r="N94" s="7"/>
    </row>
    <row r="95" spans="1:14">
      <c r="A95" s="64"/>
      <c r="B95" s="62"/>
      <c r="C95" s="14" t="s">
        <v>28</v>
      </c>
      <c r="D95" s="4">
        <v>6001</v>
      </c>
      <c r="E95" s="32"/>
      <c r="F95" s="8"/>
      <c r="G95" s="8"/>
      <c r="H95" s="8"/>
      <c r="I95" s="8"/>
      <c r="J95" s="8"/>
      <c r="K95" s="54"/>
      <c r="L95" s="8"/>
      <c r="M95" s="44">
        <v>0</v>
      </c>
      <c r="N95" s="7"/>
    </row>
    <row r="96" spans="1:14" ht="16.5" thickBot="1">
      <c r="A96" s="65"/>
      <c r="B96" s="66"/>
      <c r="C96" s="29" t="s">
        <v>29</v>
      </c>
      <c r="D96" s="10">
        <v>6002</v>
      </c>
      <c r="E96" s="33"/>
      <c r="F96" s="11"/>
      <c r="G96" s="11"/>
      <c r="H96" s="11"/>
      <c r="I96" s="11"/>
      <c r="J96" s="11"/>
      <c r="K96" s="55"/>
      <c r="L96" s="11"/>
      <c r="M96" s="45">
        <v>0</v>
      </c>
      <c r="N96" s="7"/>
    </row>
    <row r="97" spans="1:18" ht="16.5" thickTop="1">
      <c r="A97" s="2" t="s">
        <v>77</v>
      </c>
      <c r="E97" s="32"/>
      <c r="O97" s="38"/>
      <c r="R97" s="38"/>
    </row>
    <row r="98" spans="1:18">
      <c r="B98" s="22"/>
      <c r="D98" s="30"/>
      <c r="E98" s="35"/>
      <c r="L98" s="21" t="s">
        <v>66</v>
      </c>
      <c r="M98" s="20">
        <f>M2+M10+M18+M26+M34+M42+M49+M54+M61+M67+M72+M77+M82+M87+M92</f>
        <v>0</v>
      </c>
    </row>
    <row r="99" spans="1:18">
      <c r="D99" s="30"/>
      <c r="E99" s="36"/>
    </row>
    <row r="100" spans="1:18">
      <c r="D100" s="30"/>
      <c r="E100" s="36"/>
    </row>
  </sheetData>
  <mergeCells count="30">
    <mergeCell ref="A2:A8"/>
    <mergeCell ref="B2:B8"/>
    <mergeCell ref="A10:A16"/>
    <mergeCell ref="B10:B16"/>
    <mergeCell ref="A18:A24"/>
    <mergeCell ref="B18:B24"/>
    <mergeCell ref="A26:A32"/>
    <mergeCell ref="B26:B32"/>
    <mergeCell ref="A34:A40"/>
    <mergeCell ref="B34:B40"/>
    <mergeCell ref="A42:A47"/>
    <mergeCell ref="B42:B47"/>
    <mergeCell ref="A49:A52"/>
    <mergeCell ref="B49:B52"/>
    <mergeCell ref="A54:A59"/>
    <mergeCell ref="B54:B59"/>
    <mergeCell ref="A61:A65"/>
    <mergeCell ref="B61:B65"/>
    <mergeCell ref="A67:A71"/>
    <mergeCell ref="B67:B71"/>
    <mergeCell ref="A72:A76"/>
    <mergeCell ref="B72:B76"/>
    <mergeCell ref="A77:A81"/>
    <mergeCell ref="B77:B81"/>
    <mergeCell ref="A82:A86"/>
    <mergeCell ref="B82:B86"/>
    <mergeCell ref="A87:A91"/>
    <mergeCell ref="B87:B91"/>
    <mergeCell ref="A92:A96"/>
    <mergeCell ref="B92:B9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b315d1-bf06-4151-bab0-ed9c3ce06e61">
      <Terms xmlns="http://schemas.microsoft.com/office/infopath/2007/PartnerControls"/>
    </lcf76f155ced4ddcb4097134ff3c332f>
    <TaxCatchAll xmlns="0fe6a93c-8243-4165-ad52-42abdb93f167" xsi:nil="true"/>
    <_Flow_SignoffStatus xmlns="ffb315d1-bf06-4151-bab0-ed9c3ce06e6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26A5070EE49141BCC9790B07988363" ma:contentTypeVersion="14" ma:contentTypeDescription="Create a new document." ma:contentTypeScope="" ma:versionID="10ed274ff0bb3ef7243996ac688ce358">
  <xsd:schema xmlns:xsd="http://www.w3.org/2001/XMLSchema" xmlns:xs="http://www.w3.org/2001/XMLSchema" xmlns:p="http://schemas.microsoft.com/office/2006/metadata/properties" xmlns:ns2="0fe6a93c-8243-4165-ad52-42abdb93f167" xmlns:ns3="ffb315d1-bf06-4151-bab0-ed9c3ce06e61" targetNamespace="http://schemas.microsoft.com/office/2006/metadata/properties" ma:root="true" ma:fieldsID="f689b43d86e5f6d6c3fc440bd9ba2c26" ns2:_="" ns3:_="">
    <xsd:import namespace="0fe6a93c-8243-4165-ad52-42abdb93f167"/>
    <xsd:import namespace="ffb315d1-bf06-4151-bab0-ed9c3ce06e6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6a93c-8243-4165-ad52-42abdb93f16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9b9c3ea-3b34-4792-8dc6-96418008b5c9}" ma:internalName="TaxCatchAll" ma:showField="CatchAllData" ma:web="0fe6a93c-8243-4165-ad52-42abdb93f1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b315d1-bf06-4151-bab0-ed9c3ce06e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ef8d974-1c18-4612-a5a4-3abc6609d3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93DB6E-4E3C-426E-B2AA-446F31195E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B219CB-19FC-49A7-8AE5-A67BA1C454F7}">
  <ds:schemaRefs>
    <ds:schemaRef ds:uri="http://schemas.microsoft.com/office/2006/metadata/properties"/>
    <ds:schemaRef ds:uri="http://schemas.microsoft.com/office/infopath/2007/PartnerControls"/>
    <ds:schemaRef ds:uri="ffb315d1-bf06-4151-bab0-ed9c3ce06e61"/>
    <ds:schemaRef ds:uri="0fe6a93c-8243-4165-ad52-42abdb93f167"/>
  </ds:schemaRefs>
</ds:datastoreItem>
</file>

<file path=customXml/itemProps3.xml><?xml version="1.0" encoding="utf-8"?>
<ds:datastoreItem xmlns:ds="http://schemas.openxmlformats.org/officeDocument/2006/customXml" ds:itemID="{9ADC5193-4EFD-429F-820E-636E23B79D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6a93c-8243-4165-ad52-42abdb93f167"/>
    <ds:schemaRef ds:uri="ffb315d1-bf06-4151-bab0-ed9c3ce06e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Summary</vt:lpstr>
      <vt:lpstr>CLIN 0001 (Base)</vt:lpstr>
      <vt:lpstr>CLIN 0002 (OY1)</vt:lpstr>
      <vt:lpstr>CLIN 0003 (OY2)</vt:lpstr>
      <vt:lpstr>CLIN 0004 (OY3)</vt:lpstr>
      <vt:lpstr>CLIN 0005 (OY4)</vt:lpstr>
      <vt:lpstr>6-Month Add</vt:lpstr>
      <vt:lpstr>'CLIN 0001 (Base)'!Print_Area</vt:lpstr>
      <vt:lpstr>'CLIN 0002 (OY1)'!Print_Area</vt:lpstr>
      <vt:lpstr>'CLIN 0003 (OY2)'!Print_Area</vt:lpstr>
      <vt:lpstr>'CLIN 0004 (OY3)'!Print_Area</vt:lpstr>
      <vt:lpstr>'CLIN 0005 (OY4)'!Print_Area</vt:lpstr>
    </vt:vector>
  </TitlesOfParts>
  <Manager/>
  <Company>Marine Corps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Winn CIV Spencer R (SBL USER) US</dc:creator>
  <cp:keywords/>
  <dc:description/>
  <cp:lastModifiedBy>Favata, John D CIV USN NAVSUP FLCN PHILLY (USA)</cp:lastModifiedBy>
  <cp:revision/>
  <dcterms:created xsi:type="dcterms:W3CDTF">2024-10-01T14:38:26Z</dcterms:created>
  <dcterms:modified xsi:type="dcterms:W3CDTF">2026-04-22T18:45:34Z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ce42e6-5f70-4400-bc44-85bf7e24cbda_Enabled">
    <vt:lpwstr>true</vt:lpwstr>
  </property>
  <property fmtid="{D5CDD505-2E9C-101B-9397-08002B2CF9AE}" pid="3" name="MSIP_Label_dece42e6-5f70-4400-bc44-85bf7e24cbda_SetDate">
    <vt:lpwstr>2024-10-01T14:38:34Z</vt:lpwstr>
  </property>
  <property fmtid="{D5CDD505-2E9C-101B-9397-08002B2CF9AE}" pid="4" name="MSIP_Label_dece42e6-5f70-4400-bc44-85bf7e24cbda_Method">
    <vt:lpwstr>Standard</vt:lpwstr>
  </property>
  <property fmtid="{D5CDD505-2E9C-101B-9397-08002B2CF9AE}" pid="5" name="MSIP_Label_dece42e6-5f70-4400-bc44-85bf7e24cbda_Name">
    <vt:lpwstr>defa4170-0d19-0005-0004-bc88714345d2</vt:lpwstr>
  </property>
  <property fmtid="{D5CDD505-2E9C-101B-9397-08002B2CF9AE}" pid="6" name="MSIP_Label_dece42e6-5f70-4400-bc44-85bf7e24cbda_SiteId">
    <vt:lpwstr>94e5a9ba-bbdc-4274-843d-164a71fd8ad3</vt:lpwstr>
  </property>
  <property fmtid="{D5CDD505-2E9C-101B-9397-08002B2CF9AE}" pid="7" name="MSIP_Label_dece42e6-5f70-4400-bc44-85bf7e24cbda_ActionId">
    <vt:lpwstr>1c4966e1-fb1c-4489-917a-afad562148e4</vt:lpwstr>
  </property>
  <property fmtid="{D5CDD505-2E9C-101B-9397-08002B2CF9AE}" pid="8" name="MSIP_Label_dece42e6-5f70-4400-bc44-85bf7e24cbda_ContentBits">
    <vt:lpwstr>0</vt:lpwstr>
  </property>
  <property fmtid="{D5CDD505-2E9C-101B-9397-08002B2CF9AE}" pid="9" name="ContentTypeId">
    <vt:lpwstr>0x0101008526A5070EE49141BCC9790B07988363</vt:lpwstr>
  </property>
  <property fmtid="{D5CDD505-2E9C-101B-9397-08002B2CF9AE}" pid="10" name="MediaServiceImageTags">
    <vt:lpwstr/>
  </property>
</Properties>
</file>