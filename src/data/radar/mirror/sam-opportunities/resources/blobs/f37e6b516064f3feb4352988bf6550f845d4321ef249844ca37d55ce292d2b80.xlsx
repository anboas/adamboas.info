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van.biza\Desktop\Rewrite\Regional 8a Janitorial\SECTION J\"/>
    </mc:Choice>
  </mc:AlternateContent>
  <xr:revisionPtr revIDLastSave="0" documentId="13_ncr:1_{57DB5394-CE17-43DE-A817-A284FCE2EEDC}" xr6:coauthVersionLast="47" xr6:coauthVersionMax="47" xr10:uidLastSave="{00000000-0000-0000-0000-000000000000}"/>
  <bookViews>
    <workbookView xWindow="-120" yWindow="90" windowWidth="20730" windowHeight="10950" firstSheet="2" activeTab="2" xr2:uid="{00000000-000D-0000-FFFF-FFFF00000000}"/>
  </bookViews>
  <sheets>
    <sheet name="BLDG 4056" sheetId="13" r:id="rId1"/>
    <sheet name="BLDG 4057" sheetId="12" r:id="rId2"/>
    <sheet name="BLDG 6010" sheetId="11" r:id="rId3"/>
    <sheet name="BLDG 6085" sheetId="7" r:id="rId4"/>
    <sheet name="BLDG 6103" sheetId="8" r:id="rId5"/>
    <sheet name="BLDG 6105" sheetId="9" r:id="rId6"/>
    <sheet name="BLDG 6463" sheetId="6" r:id="rId7"/>
    <sheet name="BLDG 6471" sheetId="5" r:id="rId8"/>
    <sheet name="BLDG 6503" sheetId="4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2" l="1"/>
  <c r="F6" i="13"/>
  <c r="F5" i="6" l="1"/>
  <c r="F35" i="9"/>
  <c r="F8" i="8"/>
  <c r="F8" i="7"/>
  <c r="F21" i="11"/>
</calcChain>
</file>

<file path=xl/sharedStrings.xml><?xml version="1.0" encoding="utf-8"?>
<sst xmlns="http://schemas.openxmlformats.org/spreadsheetml/2006/main" count="409" uniqueCount="77">
  <si>
    <t>PWD PATUXENT RIVER</t>
  </si>
  <si>
    <t>Customer:  REGION - SOLOMONS ANNEX</t>
  </si>
  <si>
    <t>Building No.</t>
  </si>
  <si>
    <t>Floor No.</t>
  </si>
  <si>
    <t>Room No.</t>
  </si>
  <si>
    <t>Type of Space</t>
  </si>
  <si>
    <t>Floor Type</t>
  </si>
  <si>
    <t>Area (SF)</t>
  </si>
  <si>
    <t>Security Requirements   Y/N</t>
  </si>
  <si>
    <t>COL         Level</t>
  </si>
  <si>
    <t>No#</t>
  </si>
  <si>
    <t>Restroom</t>
  </si>
  <si>
    <t>Lineoleum</t>
  </si>
  <si>
    <t>Standard</t>
  </si>
  <si>
    <t>TOTAL SF</t>
  </si>
  <si>
    <t>RESTROOM FIXTURES</t>
  </si>
  <si>
    <t>Mens</t>
  </si>
  <si>
    <t>Womens</t>
  </si>
  <si>
    <t>Stalls</t>
  </si>
  <si>
    <t>Urinal</t>
  </si>
  <si>
    <t>Sinks</t>
  </si>
  <si>
    <t>Mirror</t>
  </si>
  <si>
    <t>Shower</t>
  </si>
  <si>
    <t>Soap Disp</t>
  </si>
  <si>
    <t>Hand Dryer</t>
  </si>
  <si>
    <t>PT Disp</t>
  </si>
  <si>
    <t>TP Disp</t>
  </si>
  <si>
    <t>SP Disp</t>
  </si>
  <si>
    <t>W/O Mat</t>
  </si>
  <si>
    <t>Fountain</t>
  </si>
  <si>
    <t>Windows</t>
  </si>
  <si>
    <t>Not Covered in Service Level</t>
  </si>
  <si>
    <t>Shower Area</t>
  </si>
  <si>
    <t>Support</t>
  </si>
  <si>
    <t>Locker Room</t>
  </si>
  <si>
    <t>Customer:  COMFRC SOLOMONS ANNEX</t>
  </si>
  <si>
    <t>Security Requirements       Y/N</t>
  </si>
  <si>
    <t>Service          Class</t>
  </si>
  <si>
    <t>Conference Room</t>
  </si>
  <si>
    <t>Carpet</t>
  </si>
  <si>
    <t>D</t>
  </si>
  <si>
    <t>Resilient Tile</t>
  </si>
  <si>
    <t>Office Support</t>
  </si>
  <si>
    <t>No #</t>
  </si>
  <si>
    <t>Corridor</t>
  </si>
  <si>
    <t>Ceramic or Quarry Tile</t>
  </si>
  <si>
    <t>Break Room</t>
  </si>
  <si>
    <t>Office/Cube Area</t>
  </si>
  <si>
    <t>Office</t>
  </si>
  <si>
    <t>Stairs</t>
  </si>
  <si>
    <t>Wood</t>
  </si>
  <si>
    <t>Note:  131 sinks are mop sinks</t>
  </si>
  <si>
    <t>Entry</t>
  </si>
  <si>
    <t>Painted Concrete</t>
  </si>
  <si>
    <t>M1</t>
  </si>
  <si>
    <t>Breakroom</t>
  </si>
  <si>
    <t>Concrete</t>
  </si>
  <si>
    <t>114/148</t>
  </si>
  <si>
    <t>105a</t>
  </si>
  <si>
    <t>110a</t>
  </si>
  <si>
    <t>Cubicle</t>
  </si>
  <si>
    <t>Food Services</t>
  </si>
  <si>
    <t>H101</t>
  </si>
  <si>
    <t>H102</t>
  </si>
  <si>
    <t>H102A</t>
  </si>
  <si>
    <t>H104</t>
  </si>
  <si>
    <t>Finished or Bare Concrete</t>
  </si>
  <si>
    <t>H201</t>
  </si>
  <si>
    <t>R101</t>
  </si>
  <si>
    <t>R102</t>
  </si>
  <si>
    <t>R103</t>
  </si>
  <si>
    <t>S101</t>
  </si>
  <si>
    <t>Metal</t>
  </si>
  <si>
    <t>S201</t>
  </si>
  <si>
    <t>V101</t>
  </si>
  <si>
    <t>Vinyl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</si>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</sst>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1">
    <xf numFmtId="0" fontId="0" fillId="0" borderId="0"/>
    <xf numFmtId="0" fontId="4" fillId="0" borderId="0"/>
    <xf numFmtId="0" fontId="1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3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3" fillId="0" borderId="0"/>
  </cellStyleXfs>
  <cellXfs count="56">
    <xf numFmtId="0" fontId="0" fillId="0" borderId="0" xfId="0"/>
    <xf numFmtId="3" fontId="3" fillId="3" borderId="1" xfId="0" applyNumberFormat="1" applyFont="1" applyFill="1" applyBorder="1" applyAlignment="1">
      <alignment horizontal="right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0" borderId="0" xfId="0"/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horizontal="left" vertical="center"/>
    </xf>
    <xf numFmtId="1" fontId="8" fillId="0" borderId="1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vertical="center"/>
    </xf>
    <xf numFmtId="0" fontId="8" fillId="0" borderId="5" xfId="0" applyFont="1" applyBorder="1" applyAlignment="1">
      <alignment horizontal="left" vertical="center"/>
    </xf>
    <xf numFmtId="1" fontId="8" fillId="0" borderId="5" xfId="0" applyNumberFormat="1" applyFont="1" applyBorder="1" applyAlignment="1">
      <alignment horizontal="right" vertical="center"/>
    </xf>
    <xf numFmtId="3" fontId="3" fillId="3" borderId="5" xfId="0" applyNumberFormat="1" applyFont="1" applyFill="1" applyBorder="1" applyAlignment="1">
      <alignment horizontal="right" vertical="center" wrapText="1"/>
    </xf>
    <xf numFmtId="0" fontId="3" fillId="0" borderId="6" xfId="9" applyFont="1" applyFill="1" applyBorder="1" applyAlignment="1">
      <alignment horizontal="center" vertical="center"/>
    </xf>
    <xf numFmtId="0" fontId="3" fillId="0" borderId="6" xfId="8" applyFont="1" applyFill="1" applyBorder="1" applyAlignment="1">
      <alignment horizontal="center" vertical="center" wrapText="1"/>
    </xf>
    <xf numFmtId="0" fontId="3" fillId="0" borderId="6" xfId="9" applyFont="1" applyFill="1" applyBorder="1" applyAlignment="1">
      <alignment horizontal="left" vertical="center"/>
    </xf>
    <xf numFmtId="0" fontId="2" fillId="0" borderId="6" xfId="9" applyFont="1" applyFill="1" applyBorder="1" applyAlignment="1">
      <alignment horizontal="left" vertical="center"/>
    </xf>
    <xf numFmtId="1" fontId="2" fillId="0" borderId="6" xfId="9" applyNumberFormat="1" applyFont="1" applyFill="1" applyBorder="1" applyAlignment="1">
      <alignment horizontal="right" vertical="center"/>
    </xf>
    <xf numFmtId="3" fontId="3" fillId="3" borderId="6" xfId="0" applyNumberFormat="1" applyFont="1" applyFill="1" applyBorder="1" applyAlignment="1">
      <alignment horizontal="right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2" fillId="0" borderId="6" xfId="9" applyFont="1" applyFill="1" applyBorder="1" applyAlignment="1">
      <alignment horizontal="right" vertical="center"/>
    </xf>
    <xf numFmtId="0" fontId="7" fillId="0" borderId="0" xfId="0" applyFont="1"/>
    <xf numFmtId="0" fontId="8" fillId="3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left"/>
    </xf>
    <xf numFmtId="0" fontId="0" fillId="0" borderId="1" xfId="0" applyFill="1" applyBorder="1"/>
    <xf numFmtId="0" fontId="0" fillId="3" borderId="7" xfId="0" applyFill="1" applyBorder="1" applyAlignment="1"/>
    <xf numFmtId="0" fontId="0" fillId="3" borderId="3" xfId="0" applyFill="1" applyBorder="1" applyAlignment="1"/>
    <xf numFmtId="0" fontId="0" fillId="0" borderId="5" xfId="0" applyFill="1" applyBorder="1" applyAlignment="1">
      <alignment horizontal="center"/>
    </xf>
    <xf numFmtId="0" fontId="0" fillId="0" borderId="5" xfId="0" applyBorder="1"/>
    <xf numFmtId="0" fontId="0" fillId="0" borderId="3" xfId="0" applyBorder="1"/>
    <xf numFmtId="0" fontId="3" fillId="0" borderId="1" xfId="9" applyFont="1" applyBorder="1" applyAlignment="1">
      <alignment horizontal="center" vertical="center"/>
    </xf>
    <xf numFmtId="0" fontId="3" fillId="0" borderId="1" xfId="9" applyFont="1" applyBorder="1" applyAlignment="1">
      <alignment horizontal="left" vertical="center"/>
    </xf>
    <xf numFmtId="0" fontId="3" fillId="0" borderId="1" xfId="9" applyFont="1" applyBorder="1" applyAlignment="1">
      <alignment horizontal="right" vertical="center"/>
    </xf>
    <xf numFmtId="3" fontId="3" fillId="0" borderId="1" xfId="8" applyNumberFormat="1" applyFont="1" applyFill="1" applyBorder="1" applyAlignment="1">
      <alignment horizontal="right" vertical="center" wrapText="1"/>
    </xf>
    <xf numFmtId="3" fontId="3" fillId="0" borderId="1" xfId="8" applyNumberFormat="1" applyFont="1" applyFill="1" applyBorder="1" applyAlignment="1">
      <alignment horizontal="center" vertical="center" wrapText="1"/>
    </xf>
    <xf numFmtId="1" fontId="3" fillId="0" borderId="1" xfId="8" applyNumberFormat="1" applyFont="1" applyFill="1" applyBorder="1" applyAlignment="1">
      <alignment horizontal="center" vertical="center" wrapText="1"/>
    </xf>
    <xf numFmtId="0" fontId="3" fillId="0" borderId="1" xfId="8" applyFont="1" applyFill="1" applyBorder="1" applyAlignment="1">
      <alignment horizontal="center" vertical="center" wrapText="1"/>
    </xf>
    <xf numFmtId="0" fontId="3" fillId="0" borderId="1" xfId="8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wrapText="1"/>
    </xf>
    <xf numFmtId="0" fontId="2" fillId="0" borderId="1" xfId="8" applyNumberFormat="1" applyFont="1" applyFill="1" applyBorder="1" applyAlignment="1">
      <alignment horizontal="right" vertical="center" wrapText="1"/>
    </xf>
    <xf numFmtId="0" fontId="3" fillId="0" borderId="1" xfId="8" applyFont="1" applyFill="1" applyBorder="1" applyAlignment="1">
      <alignment horizontal="right" vertical="center" wrapText="1"/>
    </xf>
    <xf numFmtId="0" fontId="8" fillId="3" borderId="5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</cellXfs>
  <cellStyles count="11">
    <cellStyle name="Comma 2" xfId="3" xr:uid="{00000000-0005-0000-0000-000000000000}"/>
    <cellStyle name="Currency 2" xfId="4" xr:uid="{00000000-0005-0000-0000-000001000000}"/>
    <cellStyle name="Normal" xfId="0" builtinId="0"/>
    <cellStyle name="Normal 2" xfId="5" xr:uid="{00000000-0005-0000-0000-000003000000}"/>
    <cellStyle name="Normal 2 2" xfId="2" xr:uid="{00000000-0005-0000-0000-000004000000}"/>
    <cellStyle name="Normal 2 2 2" xfId="6" xr:uid="{00000000-0005-0000-0000-000005000000}"/>
    <cellStyle name="Normal 2 3" xfId="8" xr:uid="{00000000-0005-0000-0000-000006000000}"/>
    <cellStyle name="Normal 2 3 2" xfId="10" xr:uid="{00000000-0005-0000-0000-000007000000}"/>
    <cellStyle name="Normal 2 4" xfId="9" xr:uid="{00000000-0005-0000-0000-000008000000}"/>
    <cellStyle name="Normal 3" xfId="1" xr:uid="{00000000-0005-0000-0000-000009000000}"/>
    <cellStyle name="Normal 6" xfId="7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workbookViewId="0">
      <selection activeCell="E17" sqref="E17"/>
    </sheetView>
  </sheetViews>
  <sheetFormatPr defaultRowHeight="15"/>
  <cols>
    <col min="1" max="1" width="10.7109375" style="3" customWidth="1"/>
    <col min="2" max="3" width="9.140625" style="3"/>
    <col min="4" max="5" width="15.7109375" style="3" customWidth="1"/>
    <col min="6" max="6" width="9.140625" style="3"/>
    <col min="7" max="7" width="12.7109375" style="3" customWidth="1"/>
    <col min="8" max="16384" width="9.140625" style="3"/>
  </cols>
  <sheetData>
    <row r="1" spans="1:8">
      <c r="A1" s="46" t="s">
        <v>0</v>
      </c>
      <c r="B1" s="46"/>
      <c r="C1" s="46"/>
      <c r="D1" s="46"/>
      <c r="E1" s="46"/>
      <c r="F1" s="46"/>
      <c r="G1" s="46"/>
      <c r="H1" s="47"/>
    </row>
    <row r="2" spans="1:8">
      <c r="A2" s="48" t="s">
        <v>1</v>
      </c>
      <c r="B2" s="48"/>
      <c r="C2" s="48"/>
      <c r="D2" s="48"/>
      <c r="E2" s="48"/>
      <c r="F2" s="48"/>
      <c r="G2" s="48"/>
      <c r="H2" s="49"/>
    </row>
    <row r="3" spans="1:8" ht="38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</row>
    <row r="4" spans="1:8">
      <c r="A4" s="34">
        <v>4056</v>
      </c>
      <c r="B4" s="34">
        <v>1</v>
      </c>
      <c r="C4" s="35" t="s">
        <v>10</v>
      </c>
      <c r="D4" s="35" t="s">
        <v>11</v>
      </c>
      <c r="E4" s="35" t="s">
        <v>12</v>
      </c>
      <c r="F4" s="36">
        <v>119</v>
      </c>
      <c r="G4" s="37"/>
      <c r="H4" s="38" t="s">
        <v>13</v>
      </c>
    </row>
    <row r="5" spans="1:8">
      <c r="A5" s="34">
        <v>4056</v>
      </c>
      <c r="B5" s="34">
        <v>1</v>
      </c>
      <c r="C5" s="35" t="s">
        <v>10</v>
      </c>
      <c r="D5" s="35" t="s">
        <v>11</v>
      </c>
      <c r="E5" s="35" t="s">
        <v>12</v>
      </c>
      <c r="F5" s="36">
        <v>119</v>
      </c>
      <c r="G5" s="37"/>
      <c r="H5" s="38" t="s">
        <v>13</v>
      </c>
    </row>
    <row r="6" spans="1:8">
      <c r="A6" s="39"/>
      <c r="B6" s="40"/>
      <c r="C6" s="40"/>
      <c r="D6" s="41"/>
      <c r="E6" s="42" t="s">
        <v>14</v>
      </c>
      <c r="F6" s="43">
        <f>SUM(F4:F5)</f>
        <v>238</v>
      </c>
      <c r="G6" s="37"/>
      <c r="H6" s="40"/>
    </row>
    <row r="9" spans="1:8">
      <c r="A9" s="50" t="s">
        <v>15</v>
      </c>
      <c r="B9" s="50"/>
      <c r="C9" s="50"/>
    </row>
    <row r="10" spans="1:8">
      <c r="A10" s="24"/>
      <c r="B10" s="25" t="s">
        <v>16</v>
      </c>
      <c r="C10" s="26" t="s">
        <v>17</v>
      </c>
    </row>
    <row r="11" spans="1:8">
      <c r="A11" s="27" t="s">
        <v>18</v>
      </c>
      <c r="B11" s="25">
        <v>3</v>
      </c>
      <c r="C11" s="26">
        <v>3</v>
      </c>
    </row>
    <row r="12" spans="1:8">
      <c r="A12" s="27" t="s">
        <v>19</v>
      </c>
      <c r="B12" s="25">
        <v>1</v>
      </c>
      <c r="C12" s="26">
        <v>0</v>
      </c>
    </row>
    <row r="13" spans="1:8">
      <c r="A13" s="24" t="s">
        <v>20</v>
      </c>
      <c r="B13" s="25">
        <v>3</v>
      </c>
      <c r="C13" s="25">
        <v>2</v>
      </c>
    </row>
    <row r="14" spans="1:8">
      <c r="A14" s="24" t="s">
        <v>21</v>
      </c>
      <c r="B14" s="25">
        <v>3</v>
      </c>
      <c r="C14" s="25">
        <v>2</v>
      </c>
    </row>
    <row r="15" spans="1:8">
      <c r="A15" s="24" t="s">
        <v>22</v>
      </c>
      <c r="B15" s="25">
        <v>0</v>
      </c>
      <c r="C15" s="25">
        <v>0</v>
      </c>
    </row>
    <row r="16" spans="1:8">
      <c r="A16" s="24" t="s">
        <v>23</v>
      </c>
      <c r="B16" s="25">
        <v>2</v>
      </c>
      <c r="C16" s="25">
        <v>2</v>
      </c>
    </row>
    <row r="17" spans="1:4">
      <c r="A17" s="24" t="s">
        <v>24</v>
      </c>
      <c r="B17" s="25">
        <v>1</v>
      </c>
      <c r="C17" s="25">
        <v>1</v>
      </c>
    </row>
    <row r="18" spans="1:4">
      <c r="A18" s="24" t="s">
        <v>25</v>
      </c>
      <c r="B18" s="25">
        <v>1</v>
      </c>
      <c r="C18" s="25">
        <v>1</v>
      </c>
    </row>
    <row r="19" spans="1:4">
      <c r="A19" s="24" t="s">
        <v>26</v>
      </c>
      <c r="B19" s="25">
        <v>3</v>
      </c>
      <c r="C19" s="25">
        <v>3</v>
      </c>
    </row>
    <row r="20" spans="1:4">
      <c r="A20" s="24" t="s">
        <v>27</v>
      </c>
      <c r="B20" s="25">
        <v>0</v>
      </c>
      <c r="C20" s="25">
        <v>0</v>
      </c>
    </row>
    <row r="23" spans="1:4">
      <c r="A23" s="28" t="s">
        <v>28</v>
      </c>
      <c r="B23" s="25">
        <v>1</v>
      </c>
      <c r="C23" s="24"/>
    </row>
    <row r="24" spans="1:4">
      <c r="A24" s="28" t="s">
        <v>29</v>
      </c>
      <c r="B24" s="31">
        <v>1</v>
      </c>
      <c r="C24" s="32"/>
    </row>
    <row r="25" spans="1:4">
      <c r="A25" s="28" t="s">
        <v>30</v>
      </c>
      <c r="B25" s="29" t="s">
        <v>31</v>
      </c>
      <c r="C25" s="30"/>
      <c r="D25" s="33"/>
    </row>
  </sheetData>
  <mergeCells count="3">
    <mergeCell ref="A1:H1"/>
    <mergeCell ref="A2:H2"/>
    <mergeCell ref="A9:C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"/>
  <sheetViews>
    <sheetView workbookViewId="0">
      <selection activeCell="G13" sqref="G13"/>
    </sheetView>
  </sheetViews>
  <sheetFormatPr defaultRowHeight="15"/>
  <cols>
    <col min="1" max="1" width="10.7109375" style="3" customWidth="1"/>
    <col min="2" max="3" width="9.140625" style="3"/>
    <col min="4" max="5" width="15.7109375" style="3" customWidth="1"/>
    <col min="6" max="16384" width="9.140625" style="3"/>
  </cols>
  <sheetData>
    <row r="1" spans="1:8">
      <c r="A1" s="46" t="s">
        <v>0</v>
      </c>
      <c r="B1" s="46"/>
      <c r="C1" s="46"/>
      <c r="D1" s="46"/>
      <c r="E1" s="46"/>
      <c r="F1" s="46"/>
      <c r="G1" s="46"/>
      <c r="H1" s="47"/>
    </row>
    <row r="2" spans="1:8">
      <c r="A2" s="48" t="s">
        <v>1</v>
      </c>
      <c r="B2" s="48"/>
      <c r="C2" s="48"/>
      <c r="D2" s="48"/>
      <c r="E2" s="48"/>
      <c r="F2" s="48"/>
      <c r="G2" s="48"/>
      <c r="H2" s="49"/>
    </row>
    <row r="3" spans="1:8" ht="38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</row>
    <row r="4" spans="1:8">
      <c r="A4" s="34">
        <v>4057</v>
      </c>
      <c r="B4" s="34">
        <v>1</v>
      </c>
      <c r="C4" s="35" t="s">
        <v>10</v>
      </c>
      <c r="D4" s="35" t="s">
        <v>32</v>
      </c>
      <c r="E4" s="35" t="s">
        <v>12</v>
      </c>
      <c r="F4" s="36">
        <v>70</v>
      </c>
      <c r="G4" s="37"/>
      <c r="H4" s="38" t="s">
        <v>13</v>
      </c>
    </row>
    <row r="5" spans="1:8">
      <c r="A5" s="34">
        <v>4057</v>
      </c>
      <c r="B5" s="34">
        <v>1</v>
      </c>
      <c r="C5" s="35" t="s">
        <v>10</v>
      </c>
      <c r="D5" s="35" t="s">
        <v>33</v>
      </c>
      <c r="E5" s="35" t="s">
        <v>12</v>
      </c>
      <c r="F5" s="36">
        <v>87</v>
      </c>
      <c r="G5" s="37"/>
      <c r="H5" s="38" t="s">
        <v>13</v>
      </c>
    </row>
    <row r="6" spans="1:8">
      <c r="A6" s="34">
        <v>4057</v>
      </c>
      <c r="B6" s="34">
        <v>1</v>
      </c>
      <c r="C6" s="35" t="s">
        <v>10</v>
      </c>
      <c r="D6" s="35" t="s">
        <v>34</v>
      </c>
      <c r="E6" s="35" t="s">
        <v>12</v>
      </c>
      <c r="F6" s="36">
        <v>80</v>
      </c>
      <c r="G6" s="44"/>
      <c r="H6" s="38" t="s">
        <v>13</v>
      </c>
    </row>
    <row r="7" spans="1:8">
      <c r="A7" s="39"/>
      <c r="B7" s="40"/>
      <c r="C7" s="40"/>
      <c r="D7" s="41"/>
      <c r="E7" s="42" t="s">
        <v>14</v>
      </c>
      <c r="F7" s="43">
        <f>SUM(F4:F6)</f>
        <v>237</v>
      </c>
      <c r="G7" s="37"/>
      <c r="H7" s="40"/>
    </row>
    <row r="10" spans="1:8">
      <c r="A10" s="50" t="s">
        <v>15</v>
      </c>
      <c r="B10" s="50"/>
      <c r="C10" s="50"/>
    </row>
    <row r="11" spans="1:8">
      <c r="A11" s="24"/>
      <c r="B11" s="25"/>
      <c r="C11" s="26"/>
    </row>
    <row r="12" spans="1:8">
      <c r="A12" s="27" t="s">
        <v>18</v>
      </c>
      <c r="B12" s="25">
        <v>0</v>
      </c>
      <c r="C12" s="26"/>
    </row>
    <row r="13" spans="1:8">
      <c r="A13" s="27" t="s">
        <v>19</v>
      </c>
      <c r="B13" s="25">
        <v>0</v>
      </c>
      <c r="C13" s="26"/>
    </row>
    <row r="14" spans="1:8">
      <c r="A14" s="24" t="s">
        <v>20</v>
      </c>
      <c r="B14" s="25">
        <v>0</v>
      </c>
      <c r="C14" s="25"/>
    </row>
    <row r="15" spans="1:8">
      <c r="A15" s="24" t="s">
        <v>21</v>
      </c>
      <c r="B15" s="25">
        <v>0</v>
      </c>
      <c r="C15" s="25"/>
    </row>
    <row r="16" spans="1:8">
      <c r="A16" s="24" t="s">
        <v>22</v>
      </c>
      <c r="B16" s="25">
        <v>3</v>
      </c>
      <c r="C16" s="25"/>
    </row>
    <row r="17" spans="1:4">
      <c r="A17" s="24" t="s">
        <v>23</v>
      </c>
      <c r="B17" s="25">
        <v>0</v>
      </c>
      <c r="C17" s="25"/>
    </row>
    <row r="18" spans="1:4">
      <c r="A18" s="24" t="s">
        <v>25</v>
      </c>
      <c r="B18" s="25">
        <v>0</v>
      </c>
      <c r="C18" s="25"/>
    </row>
    <row r="19" spans="1:4">
      <c r="A19" s="24" t="s">
        <v>26</v>
      </c>
      <c r="B19" s="25">
        <v>0</v>
      </c>
      <c r="C19" s="25"/>
    </row>
    <row r="20" spans="1:4">
      <c r="A20" s="24" t="s">
        <v>27</v>
      </c>
      <c r="B20" s="25">
        <v>0</v>
      </c>
      <c r="C20" s="25"/>
    </row>
    <row r="23" spans="1:4">
      <c r="A23" s="28" t="s">
        <v>28</v>
      </c>
      <c r="B23" s="25">
        <v>0</v>
      </c>
      <c r="C23" s="24"/>
    </row>
    <row r="24" spans="1:4">
      <c r="A24" s="28" t="s">
        <v>29</v>
      </c>
      <c r="B24" s="31">
        <v>0</v>
      </c>
      <c r="C24" s="32"/>
    </row>
    <row r="25" spans="1:4">
      <c r="A25" s="28" t="s">
        <v>30</v>
      </c>
      <c r="B25" s="29" t="s">
        <v>31</v>
      </c>
      <c r="C25" s="30"/>
      <c r="D25" s="33"/>
    </row>
  </sheetData>
  <mergeCells count="3">
    <mergeCell ref="A1:H1"/>
    <mergeCell ref="A2:H2"/>
    <mergeCell ref="A10:C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9"/>
  <sheetViews>
    <sheetView tabSelected="1" workbookViewId="0">
      <selection activeCell="G15" sqref="G15"/>
    </sheetView>
  </sheetViews>
  <sheetFormatPr defaultRowHeight="15"/>
  <cols>
    <col min="1" max="2" width="9.28515625" style="3" customWidth="1"/>
    <col min="3" max="3" width="9.5703125" style="3" customWidth="1"/>
    <col min="4" max="4" width="18.5703125" style="3" customWidth="1"/>
    <col min="5" max="5" width="18.42578125" style="3" customWidth="1"/>
    <col min="6" max="6" width="7.85546875" style="3" customWidth="1"/>
    <col min="7" max="7" width="12.28515625" style="3" customWidth="1"/>
    <col min="8" max="8" width="13.140625" style="3" customWidth="1"/>
    <col min="9" max="16384" width="9.140625" style="3"/>
  </cols>
  <sheetData>
    <row r="1" spans="1:8" ht="15" customHeight="1">
      <c r="A1" s="51" t="s">
        <v>0</v>
      </c>
      <c r="B1" s="51"/>
      <c r="C1" s="51"/>
      <c r="D1" s="51"/>
      <c r="E1" s="51"/>
      <c r="F1" s="51"/>
      <c r="G1" s="51"/>
      <c r="H1" s="51"/>
    </row>
    <row r="2" spans="1:8" ht="16.5" customHeight="1">
      <c r="A2" s="48" t="s">
        <v>35</v>
      </c>
      <c r="B2" s="48"/>
      <c r="C2" s="48"/>
      <c r="D2" s="48"/>
      <c r="E2" s="48"/>
      <c r="F2" s="48"/>
      <c r="G2" s="48"/>
      <c r="H2" s="49"/>
    </row>
    <row r="3" spans="1:8" ht="48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36</v>
      </c>
      <c r="H3" s="2" t="s">
        <v>37</v>
      </c>
    </row>
    <row r="4" spans="1:8" ht="17.25" customHeight="1">
      <c r="A4" s="7">
        <v>6010</v>
      </c>
      <c r="B4" s="7">
        <v>1</v>
      </c>
      <c r="C4" s="23">
        <v>115</v>
      </c>
      <c r="D4" s="5" t="s">
        <v>38</v>
      </c>
      <c r="E4" s="5" t="s">
        <v>39</v>
      </c>
      <c r="F4" s="6">
        <v>431.37</v>
      </c>
      <c r="G4" s="1"/>
      <c r="H4" s="7" t="s">
        <v>40</v>
      </c>
    </row>
    <row r="5" spans="1:8" ht="17.25" customHeight="1">
      <c r="A5" s="7">
        <v>6010</v>
      </c>
      <c r="B5" s="7">
        <v>1</v>
      </c>
      <c r="C5" s="23">
        <v>123</v>
      </c>
      <c r="D5" s="5" t="s">
        <v>38</v>
      </c>
      <c r="E5" s="5" t="s">
        <v>41</v>
      </c>
      <c r="F5" s="6">
        <v>280.33</v>
      </c>
      <c r="G5" s="1"/>
      <c r="H5" s="7" t="s">
        <v>40</v>
      </c>
    </row>
    <row r="6" spans="1:8" ht="17.25" customHeight="1">
      <c r="A6" s="7">
        <v>6010</v>
      </c>
      <c r="B6" s="7">
        <v>1</v>
      </c>
      <c r="C6" s="23">
        <v>113</v>
      </c>
      <c r="D6" s="5" t="s">
        <v>42</v>
      </c>
      <c r="E6" s="5" t="s">
        <v>39</v>
      </c>
      <c r="F6" s="6">
        <v>149.83000000000001</v>
      </c>
      <c r="G6" s="1"/>
      <c r="H6" s="7" t="s">
        <v>40</v>
      </c>
    </row>
    <row r="7" spans="1:8" ht="17.25" customHeight="1">
      <c r="A7" s="7">
        <v>6010</v>
      </c>
      <c r="B7" s="7">
        <v>1</v>
      </c>
      <c r="C7" s="23">
        <v>111</v>
      </c>
      <c r="D7" s="5" t="s">
        <v>42</v>
      </c>
      <c r="E7" s="5" t="s">
        <v>39</v>
      </c>
      <c r="F7" s="6">
        <v>132.12</v>
      </c>
      <c r="G7" s="1"/>
      <c r="H7" s="7" t="s">
        <v>40</v>
      </c>
    </row>
    <row r="8" spans="1:8" ht="17.25" customHeight="1">
      <c r="A8" s="7">
        <v>6010</v>
      </c>
      <c r="B8" s="7">
        <v>1</v>
      </c>
      <c r="C8" s="23" t="s">
        <v>43</v>
      </c>
      <c r="D8" s="5" t="s">
        <v>44</v>
      </c>
      <c r="E8" s="5" t="s">
        <v>45</v>
      </c>
      <c r="F8" s="6">
        <v>48.37</v>
      </c>
      <c r="G8" s="1"/>
      <c r="H8" s="7" t="s">
        <v>40</v>
      </c>
    </row>
    <row r="9" spans="1:8" ht="17.25" customHeight="1">
      <c r="A9" s="7">
        <v>6010</v>
      </c>
      <c r="B9" s="7">
        <v>1</v>
      </c>
      <c r="C9" s="23" t="s">
        <v>43</v>
      </c>
      <c r="D9" s="5" t="s">
        <v>11</v>
      </c>
      <c r="E9" s="5" t="s">
        <v>45</v>
      </c>
      <c r="F9" s="6">
        <v>42.75</v>
      </c>
      <c r="G9" s="1"/>
      <c r="H9" s="7" t="s">
        <v>40</v>
      </c>
    </row>
    <row r="10" spans="1:8" ht="17.25" customHeight="1">
      <c r="A10" s="7">
        <v>6010</v>
      </c>
      <c r="B10" s="7">
        <v>1</v>
      </c>
      <c r="C10" s="23">
        <v>125</v>
      </c>
      <c r="D10" s="5" t="s">
        <v>46</v>
      </c>
      <c r="E10" s="5" t="s">
        <v>41</v>
      </c>
      <c r="F10" s="6">
        <v>291.98</v>
      </c>
      <c r="G10" s="1"/>
      <c r="H10" s="7" t="s">
        <v>40</v>
      </c>
    </row>
    <row r="11" spans="1:8" ht="17.25" customHeight="1">
      <c r="A11" s="7">
        <v>6010</v>
      </c>
      <c r="B11" s="7">
        <v>1</v>
      </c>
      <c r="C11" s="23" t="s">
        <v>43</v>
      </c>
      <c r="D11" s="5" t="s">
        <v>44</v>
      </c>
      <c r="E11" s="5" t="s">
        <v>41</v>
      </c>
      <c r="F11" s="6">
        <v>53.75</v>
      </c>
      <c r="G11" s="1"/>
      <c r="H11" s="7" t="s">
        <v>40</v>
      </c>
    </row>
    <row r="12" spans="1:8" ht="17.25" customHeight="1">
      <c r="A12" s="7">
        <v>6010</v>
      </c>
      <c r="B12" s="7">
        <v>1</v>
      </c>
      <c r="C12" s="23" t="s">
        <v>43</v>
      </c>
      <c r="D12" s="5" t="s">
        <v>44</v>
      </c>
      <c r="E12" s="5" t="s">
        <v>41</v>
      </c>
      <c r="F12" s="6">
        <v>786.15</v>
      </c>
      <c r="G12" s="1"/>
      <c r="H12" s="7" t="s">
        <v>40</v>
      </c>
    </row>
    <row r="13" spans="1:8" ht="17.25" customHeight="1">
      <c r="A13" s="7">
        <v>6010</v>
      </c>
      <c r="B13" s="7">
        <v>1</v>
      </c>
      <c r="C13" s="23" t="s">
        <v>43</v>
      </c>
      <c r="D13" s="5" t="s">
        <v>44</v>
      </c>
      <c r="E13" s="5" t="s">
        <v>41</v>
      </c>
      <c r="F13" s="6">
        <v>790.18</v>
      </c>
      <c r="G13" s="1"/>
      <c r="H13" s="7" t="s">
        <v>40</v>
      </c>
    </row>
    <row r="14" spans="1:8" ht="17.25" customHeight="1">
      <c r="A14" s="7">
        <v>6010</v>
      </c>
      <c r="B14" s="7">
        <v>1</v>
      </c>
      <c r="C14" s="23">
        <v>126</v>
      </c>
      <c r="D14" s="5" t="s">
        <v>47</v>
      </c>
      <c r="E14" s="5" t="s">
        <v>41</v>
      </c>
      <c r="F14" s="6">
        <v>611.09</v>
      </c>
      <c r="G14" s="1"/>
      <c r="H14" s="7" t="s">
        <v>40</v>
      </c>
    </row>
    <row r="15" spans="1:8" ht="17.25" customHeight="1">
      <c r="A15" s="7">
        <v>6010</v>
      </c>
      <c r="B15" s="7">
        <v>1</v>
      </c>
      <c r="C15" s="23">
        <v>107</v>
      </c>
      <c r="D15" s="5" t="s">
        <v>42</v>
      </c>
      <c r="E15" s="5" t="s">
        <v>39</v>
      </c>
      <c r="F15" s="6">
        <v>330.77</v>
      </c>
      <c r="G15" s="1"/>
      <c r="H15" s="7" t="s">
        <v>40</v>
      </c>
    </row>
    <row r="16" spans="1:8" ht="17.25" customHeight="1">
      <c r="A16" s="7">
        <v>6010</v>
      </c>
      <c r="B16" s="7">
        <v>1</v>
      </c>
      <c r="C16" s="23">
        <v>127</v>
      </c>
      <c r="D16" s="5" t="s">
        <v>42</v>
      </c>
      <c r="E16" s="5" t="s">
        <v>41</v>
      </c>
      <c r="F16" s="6">
        <v>400.07</v>
      </c>
      <c r="G16" s="1"/>
      <c r="H16" s="7" t="s">
        <v>40</v>
      </c>
    </row>
    <row r="17" spans="1:8" ht="17.25" customHeight="1">
      <c r="A17" s="7">
        <v>6010</v>
      </c>
      <c r="B17" s="7">
        <v>1</v>
      </c>
      <c r="C17" s="23">
        <v>131</v>
      </c>
      <c r="D17" s="5" t="s">
        <v>11</v>
      </c>
      <c r="E17" s="5" t="s">
        <v>41</v>
      </c>
      <c r="F17" s="6">
        <v>113.02</v>
      </c>
      <c r="G17" s="1"/>
      <c r="H17" s="7" t="s">
        <v>40</v>
      </c>
    </row>
    <row r="18" spans="1:8" ht="17.25" customHeight="1">
      <c r="A18" s="9">
        <v>6010</v>
      </c>
      <c r="B18" s="9">
        <v>1</v>
      </c>
      <c r="C18" s="45">
        <v>105</v>
      </c>
      <c r="D18" s="11" t="s">
        <v>48</v>
      </c>
      <c r="E18" s="11" t="s">
        <v>41</v>
      </c>
      <c r="F18" s="12">
        <v>253</v>
      </c>
      <c r="G18" s="13"/>
      <c r="H18" s="7" t="s">
        <v>40</v>
      </c>
    </row>
    <row r="19" spans="1:8" ht="17.25" customHeight="1">
      <c r="A19" s="9">
        <v>6010</v>
      </c>
      <c r="B19" s="9">
        <v>1</v>
      </c>
      <c r="C19" s="45">
        <v>101</v>
      </c>
      <c r="D19" s="11" t="s">
        <v>48</v>
      </c>
      <c r="E19" s="11" t="s">
        <v>41</v>
      </c>
      <c r="F19" s="12">
        <v>141</v>
      </c>
      <c r="G19" s="13"/>
      <c r="H19" s="7" t="s">
        <v>40</v>
      </c>
    </row>
    <row r="20" spans="1:8" ht="17.25" customHeight="1">
      <c r="A20" s="9">
        <v>6010</v>
      </c>
      <c r="B20" s="9">
        <v>2</v>
      </c>
      <c r="C20" s="45"/>
      <c r="D20" s="11" t="s">
        <v>49</v>
      </c>
      <c r="E20" s="11" t="s">
        <v>50</v>
      </c>
      <c r="F20" s="12">
        <v>24.76</v>
      </c>
      <c r="G20" s="13"/>
      <c r="H20" s="7" t="s">
        <v>40</v>
      </c>
    </row>
    <row r="21" spans="1:8" ht="17.25" customHeight="1">
      <c r="A21" s="14"/>
      <c r="B21" s="15"/>
      <c r="C21" s="15"/>
      <c r="D21" s="16"/>
      <c r="E21" s="17" t="s">
        <v>14</v>
      </c>
      <c r="F21" s="18">
        <f>SUM(F4:F20)</f>
        <v>4880.5400000000009</v>
      </c>
      <c r="G21" s="19"/>
      <c r="H21" s="20"/>
    </row>
    <row r="24" spans="1:8">
      <c r="A24" s="50" t="s">
        <v>15</v>
      </c>
      <c r="B24" s="50"/>
      <c r="C24" s="50"/>
    </row>
    <row r="25" spans="1:8">
      <c r="A25" s="24"/>
      <c r="B25" s="25">
        <v>131</v>
      </c>
      <c r="C25" s="26" t="s">
        <v>17</v>
      </c>
    </row>
    <row r="26" spans="1:8">
      <c r="A26" s="27" t="s">
        <v>18</v>
      </c>
      <c r="B26" s="25">
        <v>1</v>
      </c>
      <c r="C26" s="26">
        <v>1</v>
      </c>
    </row>
    <row r="27" spans="1:8">
      <c r="A27" s="27" t="s">
        <v>19</v>
      </c>
      <c r="B27" s="25">
        <v>1</v>
      </c>
      <c r="C27" s="26">
        <v>0</v>
      </c>
    </row>
    <row r="28" spans="1:8">
      <c r="A28" s="24" t="s">
        <v>20</v>
      </c>
      <c r="B28" s="25">
        <v>2</v>
      </c>
      <c r="C28" s="25">
        <v>1</v>
      </c>
      <c r="D28" s="3" t="s">
        <v>51</v>
      </c>
    </row>
    <row r="29" spans="1:8">
      <c r="A29" s="24" t="s">
        <v>21</v>
      </c>
      <c r="B29" s="25">
        <v>1</v>
      </c>
      <c r="C29" s="25">
        <v>1</v>
      </c>
    </row>
    <row r="30" spans="1:8">
      <c r="A30" s="24" t="s">
        <v>22</v>
      </c>
      <c r="B30" s="25">
        <v>0</v>
      </c>
      <c r="C30" s="25">
        <v>0</v>
      </c>
    </row>
    <row r="31" spans="1:8">
      <c r="A31" s="24" t="s">
        <v>23</v>
      </c>
      <c r="B31" s="25">
        <v>2</v>
      </c>
      <c r="C31" s="25">
        <v>1</v>
      </c>
    </row>
    <row r="32" spans="1:8">
      <c r="A32" s="24" t="s">
        <v>25</v>
      </c>
      <c r="B32" s="25">
        <v>2</v>
      </c>
      <c r="C32" s="25">
        <v>1</v>
      </c>
    </row>
    <row r="33" spans="1:4">
      <c r="A33" s="24" t="s">
        <v>26</v>
      </c>
      <c r="B33" s="25">
        <v>1</v>
      </c>
      <c r="C33" s="25">
        <v>1</v>
      </c>
    </row>
    <row r="34" spans="1:4">
      <c r="A34" s="24" t="s">
        <v>27</v>
      </c>
      <c r="B34" s="25">
        <v>1</v>
      </c>
      <c r="C34" s="25">
        <v>1</v>
      </c>
    </row>
    <row r="37" spans="1:4">
      <c r="A37" s="28" t="s">
        <v>28</v>
      </c>
      <c r="B37" s="25">
        <v>2</v>
      </c>
      <c r="C37" s="24"/>
    </row>
    <row r="38" spans="1:4">
      <c r="A38" s="28" t="s">
        <v>29</v>
      </c>
      <c r="B38" s="31">
        <v>1</v>
      </c>
      <c r="C38" s="32"/>
    </row>
    <row r="39" spans="1:4">
      <c r="A39" s="28" t="s">
        <v>30</v>
      </c>
      <c r="B39" s="29" t="s">
        <v>31</v>
      </c>
      <c r="C39" s="30"/>
      <c r="D39" s="33"/>
    </row>
  </sheetData>
  <mergeCells count="3">
    <mergeCell ref="A1:H1"/>
    <mergeCell ref="A2:H2"/>
    <mergeCell ref="A24:C24"/>
  </mergeCells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8"/>
  <sheetViews>
    <sheetView workbookViewId="0">
      <selection activeCell="E16" sqref="E16"/>
    </sheetView>
  </sheetViews>
  <sheetFormatPr defaultRowHeight="15"/>
  <cols>
    <col min="1" max="2" width="9.28515625" style="3" customWidth="1"/>
    <col min="3" max="3" width="8.5703125" style="3" customWidth="1"/>
    <col min="4" max="4" width="10.42578125" style="3" customWidth="1"/>
    <col min="5" max="5" width="22.42578125" style="3" customWidth="1"/>
    <col min="6" max="6" width="7" style="3" customWidth="1"/>
    <col min="7" max="7" width="12.28515625" style="3" customWidth="1"/>
    <col min="8" max="8" width="12.42578125" style="3" customWidth="1"/>
    <col min="9" max="16384" width="9.140625" style="3"/>
  </cols>
  <sheetData>
    <row r="1" spans="1:8" ht="15" customHeight="1">
      <c r="A1" s="51" t="s">
        <v>0</v>
      </c>
      <c r="B1" s="51"/>
      <c r="C1" s="51"/>
      <c r="D1" s="51"/>
      <c r="E1" s="51"/>
      <c r="F1" s="51"/>
      <c r="G1" s="51"/>
      <c r="H1" s="51"/>
    </row>
    <row r="2" spans="1:8" ht="16.5" customHeight="1">
      <c r="A2" s="52" t="s">
        <v>35</v>
      </c>
      <c r="B2" s="52"/>
      <c r="C2" s="52"/>
      <c r="D2" s="52"/>
      <c r="E2" s="52"/>
      <c r="F2" s="52"/>
      <c r="G2" s="52"/>
      <c r="H2" s="52"/>
    </row>
    <row r="3" spans="1:8" ht="48" customHeight="1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36</v>
      </c>
      <c r="H3" s="2" t="s">
        <v>37</v>
      </c>
    </row>
    <row r="4" spans="1:8" ht="17.25" customHeight="1">
      <c r="A4" s="7">
        <v>6085</v>
      </c>
      <c r="B4" s="7">
        <v>1</v>
      </c>
      <c r="C4" s="4"/>
      <c r="D4" s="5" t="s">
        <v>52</v>
      </c>
      <c r="E4" s="5" t="s">
        <v>53</v>
      </c>
      <c r="F4" s="6">
        <v>180.37</v>
      </c>
      <c r="G4" s="1"/>
      <c r="H4" s="7" t="s">
        <v>40</v>
      </c>
    </row>
    <row r="5" spans="1:8" ht="17.25" customHeight="1">
      <c r="A5" s="7">
        <v>6085</v>
      </c>
      <c r="B5" s="7">
        <v>1</v>
      </c>
      <c r="C5" s="4"/>
      <c r="D5" s="5" t="s">
        <v>49</v>
      </c>
      <c r="E5" s="5" t="s">
        <v>50</v>
      </c>
      <c r="F5" s="6">
        <v>42.81</v>
      </c>
      <c r="G5" s="1"/>
      <c r="H5" s="7" t="s">
        <v>40</v>
      </c>
    </row>
    <row r="6" spans="1:8" ht="17.25" customHeight="1">
      <c r="A6" s="7">
        <v>6085</v>
      </c>
      <c r="B6" s="7" t="s">
        <v>54</v>
      </c>
      <c r="C6" s="4"/>
      <c r="D6" s="5" t="s">
        <v>49</v>
      </c>
      <c r="E6" s="5" t="s">
        <v>50</v>
      </c>
      <c r="F6" s="6">
        <v>43</v>
      </c>
      <c r="G6" s="1"/>
      <c r="H6" s="7" t="s">
        <v>40</v>
      </c>
    </row>
    <row r="7" spans="1:8" ht="17.25" customHeight="1">
      <c r="A7" s="9">
        <v>6085</v>
      </c>
      <c r="B7" s="9">
        <v>1</v>
      </c>
      <c r="C7" s="10"/>
      <c r="D7" s="11" t="s">
        <v>55</v>
      </c>
      <c r="E7" s="11" t="s">
        <v>56</v>
      </c>
      <c r="F7" s="12">
        <v>700</v>
      </c>
      <c r="G7" s="13"/>
      <c r="H7" s="7" t="s">
        <v>40</v>
      </c>
    </row>
    <row r="8" spans="1:8" ht="17.25" customHeight="1">
      <c r="A8" s="14"/>
      <c r="B8" s="15"/>
      <c r="C8" s="15"/>
      <c r="D8" s="16"/>
      <c r="E8" s="17" t="s">
        <v>14</v>
      </c>
      <c r="F8" s="18">
        <f>SUM(F4:F7)</f>
        <v>966.18000000000006</v>
      </c>
      <c r="G8" s="19"/>
      <c r="H8" s="20"/>
    </row>
  </sheetData>
  <mergeCells count="2">
    <mergeCell ref="A1:H1"/>
    <mergeCell ref="A2:H2"/>
  </mergeCells>
  <pageMargins left="0.7" right="0.7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5"/>
  <sheetViews>
    <sheetView workbookViewId="0">
      <selection activeCell="G27" sqref="G27"/>
    </sheetView>
  </sheetViews>
  <sheetFormatPr defaultRowHeight="15"/>
  <cols>
    <col min="1" max="2" width="9.28515625" style="3" customWidth="1"/>
    <col min="3" max="3" width="9.5703125" style="3" customWidth="1"/>
    <col min="4" max="4" width="12" style="3" customWidth="1"/>
    <col min="5" max="5" width="14.7109375" style="3" customWidth="1"/>
    <col min="6" max="6" width="9.42578125" style="3" customWidth="1"/>
    <col min="7" max="7" width="12.28515625" style="3" customWidth="1"/>
    <col min="8" max="8" width="13.85546875" style="3" customWidth="1"/>
    <col min="9" max="16384" width="9.140625" style="3"/>
  </cols>
  <sheetData>
    <row r="1" spans="1:8" ht="15" customHeight="1">
      <c r="A1" s="51" t="s">
        <v>0</v>
      </c>
      <c r="B1" s="51"/>
      <c r="C1" s="51"/>
      <c r="D1" s="51"/>
      <c r="E1" s="51"/>
      <c r="F1" s="51"/>
      <c r="G1" s="51"/>
      <c r="H1" s="51"/>
    </row>
    <row r="2" spans="1:8" ht="16.5" customHeight="1">
      <c r="A2" s="52" t="s">
        <v>35</v>
      </c>
      <c r="B2" s="52"/>
      <c r="C2" s="52"/>
      <c r="D2" s="52"/>
      <c r="E2" s="52"/>
      <c r="F2" s="52"/>
      <c r="G2" s="52"/>
      <c r="H2" s="52"/>
    </row>
    <row r="3" spans="1:8" ht="48" customHeight="1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36</v>
      </c>
      <c r="H3" s="2" t="s">
        <v>37</v>
      </c>
    </row>
    <row r="4" spans="1:8" ht="17.25" customHeight="1">
      <c r="A4" s="7">
        <v>6103</v>
      </c>
      <c r="B4" s="7">
        <v>1</v>
      </c>
      <c r="C4" s="7">
        <v>87</v>
      </c>
      <c r="D4" s="5" t="s">
        <v>52</v>
      </c>
      <c r="E4" s="5" t="s">
        <v>41</v>
      </c>
      <c r="F4" s="6">
        <v>86.52</v>
      </c>
      <c r="G4" s="1"/>
      <c r="H4" s="7" t="s">
        <v>40</v>
      </c>
    </row>
    <row r="5" spans="1:8" ht="17.25" customHeight="1">
      <c r="A5" s="7">
        <v>6103</v>
      </c>
      <c r="B5" s="7">
        <v>1</v>
      </c>
      <c r="C5" s="7" t="s">
        <v>57</v>
      </c>
      <c r="D5" s="5" t="s">
        <v>42</v>
      </c>
      <c r="E5" s="5" t="s">
        <v>41</v>
      </c>
      <c r="F5" s="6">
        <v>425.02</v>
      </c>
      <c r="G5" s="1"/>
      <c r="H5" s="7" t="s">
        <v>40</v>
      </c>
    </row>
    <row r="6" spans="1:8" ht="17.25" customHeight="1">
      <c r="A6" s="7">
        <v>6103</v>
      </c>
      <c r="B6" s="7">
        <v>1</v>
      </c>
      <c r="C6" s="7">
        <v>185</v>
      </c>
      <c r="D6" s="5" t="s">
        <v>11</v>
      </c>
      <c r="E6" s="5" t="s">
        <v>41</v>
      </c>
      <c r="F6" s="6">
        <v>185.26</v>
      </c>
      <c r="G6" s="1"/>
      <c r="H6" s="7" t="s">
        <v>40</v>
      </c>
    </row>
    <row r="7" spans="1:8" ht="17.25" customHeight="1">
      <c r="A7" s="9">
        <v>6103</v>
      </c>
      <c r="B7" s="9">
        <v>1</v>
      </c>
      <c r="C7" s="9">
        <v>53</v>
      </c>
      <c r="D7" s="11" t="s">
        <v>11</v>
      </c>
      <c r="E7" s="11" t="s">
        <v>41</v>
      </c>
      <c r="F7" s="12">
        <v>52.7</v>
      </c>
      <c r="G7" s="13"/>
      <c r="H7" s="7" t="s">
        <v>40</v>
      </c>
    </row>
    <row r="8" spans="1:8" ht="17.25" customHeight="1">
      <c r="A8" s="14"/>
      <c r="B8" s="15"/>
      <c r="C8" s="15"/>
      <c r="D8" s="16"/>
      <c r="E8" s="17" t="s">
        <v>14</v>
      </c>
      <c r="F8" s="18">
        <f>SUM(F4:F7)</f>
        <v>749.5</v>
      </c>
      <c r="G8" s="19"/>
      <c r="H8" s="20"/>
    </row>
    <row r="10" spans="1:8">
      <c r="A10" s="50" t="s">
        <v>15</v>
      </c>
      <c r="B10" s="50"/>
      <c r="C10" s="50"/>
    </row>
    <row r="11" spans="1:8">
      <c r="A11" s="24"/>
      <c r="B11" s="25">
        <v>185</v>
      </c>
      <c r="C11" s="26">
        <v>53</v>
      </c>
    </row>
    <row r="12" spans="1:8">
      <c r="A12" s="27" t="s">
        <v>18</v>
      </c>
      <c r="B12" s="25">
        <v>2</v>
      </c>
      <c r="C12" s="26">
        <v>1</v>
      </c>
    </row>
    <row r="13" spans="1:8">
      <c r="A13" s="27" t="s">
        <v>19</v>
      </c>
      <c r="B13" s="25">
        <v>1</v>
      </c>
      <c r="C13" s="26">
        <v>0</v>
      </c>
    </row>
    <row r="14" spans="1:8">
      <c r="A14" s="24" t="s">
        <v>20</v>
      </c>
      <c r="B14" s="25">
        <v>2</v>
      </c>
      <c r="C14" s="25">
        <v>1</v>
      </c>
    </row>
    <row r="15" spans="1:8">
      <c r="A15" s="24" t="s">
        <v>21</v>
      </c>
      <c r="B15" s="25">
        <v>2</v>
      </c>
      <c r="C15" s="25">
        <v>1</v>
      </c>
    </row>
    <row r="16" spans="1:8">
      <c r="A16" s="24" t="s">
        <v>22</v>
      </c>
      <c r="B16" s="25">
        <v>0</v>
      </c>
      <c r="C16" s="25">
        <v>0</v>
      </c>
    </row>
    <row r="17" spans="1:4">
      <c r="A17" s="24" t="s">
        <v>23</v>
      </c>
      <c r="B17" s="25">
        <v>2</v>
      </c>
      <c r="C17" s="25">
        <v>1</v>
      </c>
    </row>
    <row r="18" spans="1:4">
      <c r="A18" s="24" t="s">
        <v>25</v>
      </c>
      <c r="B18" s="25">
        <v>1</v>
      </c>
      <c r="C18" s="25">
        <v>1</v>
      </c>
    </row>
    <row r="19" spans="1:4">
      <c r="A19" s="24" t="s">
        <v>26</v>
      </c>
      <c r="B19" s="25">
        <v>2</v>
      </c>
      <c r="C19" s="25">
        <v>1</v>
      </c>
    </row>
    <row r="20" spans="1:4">
      <c r="A20" s="24" t="s">
        <v>27</v>
      </c>
      <c r="B20" s="25">
        <v>2</v>
      </c>
      <c r="C20" s="25">
        <v>1</v>
      </c>
    </row>
    <row r="23" spans="1:4">
      <c r="A23" s="28" t="s">
        <v>28</v>
      </c>
      <c r="B23" s="25">
        <v>1</v>
      </c>
      <c r="C23" s="24"/>
    </row>
    <row r="24" spans="1:4">
      <c r="A24" s="28" t="s">
        <v>29</v>
      </c>
      <c r="B24" s="31">
        <v>1</v>
      </c>
      <c r="C24" s="32"/>
    </row>
    <row r="25" spans="1:4">
      <c r="A25" s="28" t="s">
        <v>30</v>
      </c>
      <c r="B25" s="29" t="s">
        <v>31</v>
      </c>
      <c r="C25" s="30"/>
      <c r="D25" s="33"/>
    </row>
  </sheetData>
  <mergeCells count="3">
    <mergeCell ref="A1:H1"/>
    <mergeCell ref="A2:H2"/>
    <mergeCell ref="A10:C10"/>
  </mergeCells>
  <pageMargins left="0.7" right="0.7" top="0.75" bottom="0.75" header="0.3" footer="0.3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2"/>
  <sheetViews>
    <sheetView topLeftCell="A3" workbookViewId="0">
      <selection activeCell="K29" sqref="K29"/>
    </sheetView>
  </sheetViews>
  <sheetFormatPr defaultRowHeight="15"/>
  <cols>
    <col min="1" max="2" width="9.28515625" style="3" customWidth="1"/>
    <col min="3" max="3" width="9.5703125" style="3" customWidth="1"/>
    <col min="4" max="4" width="16.28515625" style="3" customWidth="1"/>
    <col min="5" max="5" width="21.5703125" style="3" customWidth="1"/>
    <col min="6" max="6" width="9.140625" style="3" customWidth="1"/>
    <col min="7" max="7" width="12.28515625" style="3" customWidth="1"/>
    <col min="8" max="8" width="11.7109375" style="3" customWidth="1"/>
    <col min="9" max="16384" width="9.140625" style="3"/>
  </cols>
  <sheetData>
    <row r="1" spans="1:8" ht="15" customHeight="1">
      <c r="A1" s="51" t="s">
        <v>0</v>
      </c>
      <c r="B1" s="51"/>
      <c r="C1" s="51"/>
      <c r="D1" s="51"/>
      <c r="E1" s="51"/>
      <c r="F1" s="51"/>
      <c r="G1" s="51"/>
      <c r="H1" s="51"/>
    </row>
    <row r="2" spans="1:8" ht="16.5" customHeight="1">
      <c r="A2" s="52" t="s">
        <v>35</v>
      </c>
      <c r="B2" s="52"/>
      <c r="C2" s="52"/>
      <c r="D2" s="52"/>
      <c r="E2" s="52"/>
      <c r="F2" s="52"/>
      <c r="G2" s="52"/>
      <c r="H2" s="52"/>
    </row>
    <row r="3" spans="1:8" ht="48" customHeight="1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36</v>
      </c>
      <c r="H3" s="2" t="s">
        <v>37</v>
      </c>
    </row>
    <row r="4" spans="1:8" ht="17.25" customHeight="1">
      <c r="A4" s="7">
        <v>6105</v>
      </c>
      <c r="B4" s="7">
        <v>1</v>
      </c>
      <c r="C4" s="23">
        <v>102</v>
      </c>
      <c r="D4" s="5" t="s">
        <v>48</v>
      </c>
      <c r="E4" s="5" t="s">
        <v>39</v>
      </c>
      <c r="F4" s="6">
        <v>113.16</v>
      </c>
      <c r="G4" s="1"/>
      <c r="H4" s="7" t="s">
        <v>40</v>
      </c>
    </row>
    <row r="5" spans="1:8" ht="17.25" customHeight="1">
      <c r="A5" s="7">
        <v>6105</v>
      </c>
      <c r="B5" s="7">
        <v>1</v>
      </c>
      <c r="C5" s="23">
        <v>105</v>
      </c>
      <c r="D5" s="5" t="s">
        <v>48</v>
      </c>
      <c r="E5" s="5" t="s">
        <v>41</v>
      </c>
      <c r="F5" s="6">
        <v>78</v>
      </c>
      <c r="G5" s="1"/>
      <c r="H5" s="7" t="s">
        <v>40</v>
      </c>
    </row>
    <row r="6" spans="1:8" ht="17.25" customHeight="1">
      <c r="A6" s="7">
        <v>6105</v>
      </c>
      <c r="B6" s="7">
        <v>1</v>
      </c>
      <c r="C6" s="23" t="s">
        <v>58</v>
      </c>
      <c r="D6" s="5" t="s">
        <v>48</v>
      </c>
      <c r="E6" s="5" t="s">
        <v>39</v>
      </c>
      <c r="F6" s="6">
        <v>73</v>
      </c>
      <c r="G6" s="1"/>
      <c r="H6" s="7" t="s">
        <v>40</v>
      </c>
    </row>
    <row r="7" spans="1:8" ht="17.25" customHeight="1">
      <c r="A7" s="7">
        <v>6105</v>
      </c>
      <c r="B7" s="7">
        <v>1</v>
      </c>
      <c r="C7" s="23">
        <v>107</v>
      </c>
      <c r="D7" s="5" t="s">
        <v>42</v>
      </c>
      <c r="E7" s="5" t="s">
        <v>41</v>
      </c>
      <c r="F7" s="6">
        <v>320</v>
      </c>
      <c r="G7" s="1"/>
      <c r="H7" s="7" t="s">
        <v>40</v>
      </c>
    </row>
    <row r="8" spans="1:8" ht="17.25" customHeight="1">
      <c r="A8" s="7">
        <v>6105</v>
      </c>
      <c r="B8" s="7">
        <v>1</v>
      </c>
      <c r="C8" s="23">
        <v>108</v>
      </c>
      <c r="D8" s="5" t="s">
        <v>42</v>
      </c>
      <c r="E8" s="5" t="s">
        <v>39</v>
      </c>
      <c r="F8" s="6">
        <v>337</v>
      </c>
      <c r="G8" s="1"/>
      <c r="H8" s="7" t="s">
        <v>40</v>
      </c>
    </row>
    <row r="9" spans="1:8" ht="17.25" customHeight="1">
      <c r="A9" s="7">
        <v>6105</v>
      </c>
      <c r="B9" s="7">
        <v>1</v>
      </c>
      <c r="C9" s="23">
        <v>110</v>
      </c>
      <c r="D9" s="5" t="s">
        <v>48</v>
      </c>
      <c r="E9" s="5" t="s">
        <v>39</v>
      </c>
      <c r="F9" s="6">
        <v>172</v>
      </c>
      <c r="G9" s="1"/>
      <c r="H9" s="7" t="s">
        <v>40</v>
      </c>
    </row>
    <row r="10" spans="1:8" ht="17.25" customHeight="1">
      <c r="A10" s="7">
        <v>6105</v>
      </c>
      <c r="B10" s="7">
        <v>1</v>
      </c>
      <c r="C10" s="23" t="s">
        <v>59</v>
      </c>
      <c r="D10" s="5" t="s">
        <v>48</v>
      </c>
      <c r="E10" s="5" t="s">
        <v>41</v>
      </c>
      <c r="F10" s="6">
        <v>162</v>
      </c>
      <c r="G10" s="1"/>
      <c r="H10" s="7" t="s">
        <v>40</v>
      </c>
    </row>
    <row r="11" spans="1:8" ht="17.25" customHeight="1">
      <c r="A11" s="7">
        <v>6105</v>
      </c>
      <c r="B11" s="7">
        <v>1</v>
      </c>
      <c r="C11" s="23">
        <v>111</v>
      </c>
      <c r="D11" s="5" t="s">
        <v>38</v>
      </c>
      <c r="E11" s="5" t="s">
        <v>39</v>
      </c>
      <c r="F11" s="6">
        <v>1119.43</v>
      </c>
      <c r="G11" s="1"/>
      <c r="H11" s="7" t="s">
        <v>40</v>
      </c>
    </row>
    <row r="12" spans="1:8" ht="17.25" customHeight="1">
      <c r="A12" s="7">
        <v>6105</v>
      </c>
      <c r="B12" s="7">
        <v>1</v>
      </c>
      <c r="C12" s="23">
        <v>112</v>
      </c>
      <c r="D12" s="5" t="s">
        <v>60</v>
      </c>
      <c r="E12" s="5" t="s">
        <v>39</v>
      </c>
      <c r="F12" s="6">
        <v>117.28</v>
      </c>
      <c r="G12" s="1"/>
      <c r="H12" s="7" t="s">
        <v>40</v>
      </c>
    </row>
    <row r="13" spans="1:8" ht="17.25" customHeight="1">
      <c r="A13" s="7">
        <v>6105</v>
      </c>
      <c r="B13" s="7">
        <v>1</v>
      </c>
      <c r="C13" s="23">
        <v>112</v>
      </c>
      <c r="D13" s="5" t="s">
        <v>60</v>
      </c>
      <c r="E13" s="5" t="s">
        <v>39</v>
      </c>
      <c r="F13" s="6">
        <v>106.73</v>
      </c>
      <c r="G13" s="1"/>
      <c r="H13" s="7" t="s">
        <v>40</v>
      </c>
    </row>
    <row r="14" spans="1:8" ht="17.25" customHeight="1">
      <c r="A14" s="7">
        <v>6105</v>
      </c>
      <c r="B14" s="7">
        <v>1</v>
      </c>
      <c r="C14" s="23">
        <v>113</v>
      </c>
      <c r="D14" s="5" t="s">
        <v>48</v>
      </c>
      <c r="E14" s="5" t="s">
        <v>39</v>
      </c>
      <c r="F14" s="6">
        <v>176</v>
      </c>
      <c r="G14" s="1"/>
      <c r="H14" s="7" t="s">
        <v>40</v>
      </c>
    </row>
    <row r="15" spans="1:8" ht="17.25" customHeight="1">
      <c r="A15" s="7">
        <v>6105</v>
      </c>
      <c r="B15" s="7">
        <v>1</v>
      </c>
      <c r="C15" s="23">
        <v>114</v>
      </c>
      <c r="D15" s="5" t="s">
        <v>48</v>
      </c>
      <c r="E15" s="5" t="s">
        <v>39</v>
      </c>
      <c r="F15" s="6">
        <v>257</v>
      </c>
      <c r="G15" s="1"/>
      <c r="H15" s="7" t="s">
        <v>40</v>
      </c>
    </row>
    <row r="16" spans="1:8" ht="17.25" customHeight="1">
      <c r="A16" s="7">
        <v>6105</v>
      </c>
      <c r="B16" s="7">
        <v>1</v>
      </c>
      <c r="C16" s="23">
        <v>115</v>
      </c>
      <c r="D16" s="5" t="s">
        <v>42</v>
      </c>
      <c r="E16" s="5" t="s">
        <v>39</v>
      </c>
      <c r="F16" s="6">
        <v>224</v>
      </c>
      <c r="G16" s="1"/>
      <c r="H16" s="7" t="s">
        <v>40</v>
      </c>
    </row>
    <row r="17" spans="1:8" ht="17.25" customHeight="1">
      <c r="A17" s="7">
        <v>6105</v>
      </c>
      <c r="B17" s="7">
        <v>1</v>
      </c>
      <c r="C17" s="23">
        <v>116</v>
      </c>
      <c r="D17" s="5" t="s">
        <v>48</v>
      </c>
      <c r="E17" s="5" t="s">
        <v>39</v>
      </c>
      <c r="F17" s="6">
        <v>95</v>
      </c>
      <c r="G17" s="1"/>
      <c r="H17" s="7" t="s">
        <v>40</v>
      </c>
    </row>
    <row r="18" spans="1:8" ht="17.25" customHeight="1">
      <c r="A18" s="7">
        <v>6105</v>
      </c>
      <c r="B18" s="7">
        <v>1</v>
      </c>
      <c r="C18" s="23">
        <v>117</v>
      </c>
      <c r="D18" s="5" t="s">
        <v>48</v>
      </c>
      <c r="E18" s="5" t="s">
        <v>39</v>
      </c>
      <c r="F18" s="6">
        <v>158</v>
      </c>
      <c r="G18" s="1"/>
      <c r="H18" s="7" t="s">
        <v>40</v>
      </c>
    </row>
    <row r="19" spans="1:8" ht="17.25" customHeight="1">
      <c r="A19" s="7">
        <v>6105</v>
      </c>
      <c r="B19" s="7">
        <v>1</v>
      </c>
      <c r="C19" s="23">
        <v>118</v>
      </c>
      <c r="D19" s="5" t="s">
        <v>48</v>
      </c>
      <c r="E19" s="5" t="s">
        <v>39</v>
      </c>
      <c r="F19" s="6">
        <v>94</v>
      </c>
      <c r="G19" s="1"/>
      <c r="H19" s="7" t="s">
        <v>40</v>
      </c>
    </row>
    <row r="20" spans="1:8" ht="17.25" customHeight="1">
      <c r="A20" s="7">
        <v>6105</v>
      </c>
      <c r="B20" s="7">
        <v>1</v>
      </c>
      <c r="C20" s="23">
        <v>119</v>
      </c>
      <c r="D20" s="5" t="s">
        <v>61</v>
      </c>
      <c r="E20" s="5" t="s">
        <v>41</v>
      </c>
      <c r="F20" s="6">
        <v>84.5</v>
      </c>
      <c r="G20" s="1"/>
      <c r="H20" s="7" t="s">
        <v>40</v>
      </c>
    </row>
    <row r="21" spans="1:8" ht="17.25" customHeight="1">
      <c r="A21" s="7">
        <v>6105</v>
      </c>
      <c r="B21" s="7">
        <v>2</v>
      </c>
      <c r="C21" s="23">
        <v>204</v>
      </c>
      <c r="D21" s="5" t="s">
        <v>42</v>
      </c>
      <c r="E21" s="5" t="s">
        <v>39</v>
      </c>
      <c r="F21" s="6">
        <v>238.8</v>
      </c>
      <c r="G21" s="1"/>
      <c r="H21" s="7" t="s">
        <v>40</v>
      </c>
    </row>
    <row r="22" spans="1:8" ht="17.25" customHeight="1">
      <c r="A22" s="7">
        <v>6105</v>
      </c>
      <c r="B22" s="7">
        <v>2</v>
      </c>
      <c r="C22" s="23">
        <v>205</v>
      </c>
      <c r="D22" s="5" t="s">
        <v>61</v>
      </c>
      <c r="E22" s="5" t="s">
        <v>41</v>
      </c>
      <c r="F22" s="6">
        <v>63.31</v>
      </c>
      <c r="G22" s="1"/>
      <c r="H22" s="7" t="s">
        <v>40</v>
      </c>
    </row>
    <row r="23" spans="1:8" ht="17.25" customHeight="1">
      <c r="A23" s="7">
        <v>6105</v>
      </c>
      <c r="B23" s="7">
        <v>1</v>
      </c>
      <c r="C23" s="23" t="s">
        <v>62</v>
      </c>
      <c r="D23" s="5" t="s">
        <v>44</v>
      </c>
      <c r="E23" s="5" t="s">
        <v>41</v>
      </c>
      <c r="F23" s="6">
        <v>439.4</v>
      </c>
      <c r="G23" s="1"/>
      <c r="H23" s="7" t="s">
        <v>40</v>
      </c>
    </row>
    <row r="24" spans="1:8" ht="17.25" customHeight="1">
      <c r="A24" s="7">
        <v>6105</v>
      </c>
      <c r="B24" s="7">
        <v>1</v>
      </c>
      <c r="C24" s="23" t="s">
        <v>63</v>
      </c>
      <c r="D24" s="5" t="s">
        <v>44</v>
      </c>
      <c r="E24" s="5" t="s">
        <v>41</v>
      </c>
      <c r="F24" s="6">
        <v>235.96</v>
      </c>
      <c r="G24" s="1"/>
      <c r="H24" s="7" t="s">
        <v>40</v>
      </c>
    </row>
    <row r="25" spans="1:8" ht="17.25" customHeight="1">
      <c r="A25" s="7">
        <v>6105</v>
      </c>
      <c r="B25" s="7">
        <v>1</v>
      </c>
      <c r="C25" s="23" t="s">
        <v>64</v>
      </c>
      <c r="D25" s="5" t="s">
        <v>42</v>
      </c>
      <c r="E25" s="5" t="s">
        <v>41</v>
      </c>
      <c r="F25" s="6">
        <v>50.55</v>
      </c>
      <c r="G25" s="1"/>
      <c r="H25" s="7" t="s">
        <v>40</v>
      </c>
    </row>
    <row r="26" spans="1:8" ht="17.25" customHeight="1">
      <c r="A26" s="7">
        <v>6105</v>
      </c>
      <c r="B26" s="7">
        <v>1</v>
      </c>
      <c r="C26" s="23" t="s">
        <v>65</v>
      </c>
      <c r="D26" s="5" t="s">
        <v>44</v>
      </c>
      <c r="E26" s="5" t="s">
        <v>66</v>
      </c>
      <c r="F26" s="6">
        <v>1737.3</v>
      </c>
      <c r="G26" s="1"/>
      <c r="H26" s="7" t="s">
        <v>40</v>
      </c>
    </row>
    <row r="27" spans="1:8" ht="17.25" customHeight="1">
      <c r="A27" s="7">
        <v>6105</v>
      </c>
      <c r="B27" s="7">
        <v>2</v>
      </c>
      <c r="C27" s="23" t="s">
        <v>67</v>
      </c>
      <c r="D27" s="5" t="s">
        <v>44</v>
      </c>
      <c r="E27" s="5" t="s">
        <v>41</v>
      </c>
      <c r="F27" s="6">
        <v>167.22</v>
      </c>
      <c r="G27" s="1"/>
      <c r="H27" s="7" t="s">
        <v>40</v>
      </c>
    </row>
    <row r="28" spans="1:8" ht="17.25" customHeight="1">
      <c r="A28" s="7">
        <v>6105</v>
      </c>
      <c r="B28" s="7">
        <v>1</v>
      </c>
      <c r="C28" s="23" t="s">
        <v>68</v>
      </c>
      <c r="D28" s="5" t="s">
        <v>11</v>
      </c>
      <c r="E28" s="5" t="s">
        <v>41</v>
      </c>
      <c r="F28" s="6">
        <v>113</v>
      </c>
      <c r="G28" s="1"/>
      <c r="H28" s="7" t="s">
        <v>40</v>
      </c>
    </row>
    <row r="29" spans="1:8" ht="17.25" customHeight="1">
      <c r="A29" s="7">
        <v>6105</v>
      </c>
      <c r="B29" s="7">
        <v>1</v>
      </c>
      <c r="C29" s="23" t="s">
        <v>69</v>
      </c>
      <c r="D29" s="5" t="s">
        <v>11</v>
      </c>
      <c r="E29" s="5" t="s">
        <v>41</v>
      </c>
      <c r="F29" s="6">
        <v>157.78</v>
      </c>
      <c r="G29" s="1"/>
      <c r="H29" s="7" t="s">
        <v>40</v>
      </c>
    </row>
    <row r="30" spans="1:8" ht="17.25" customHeight="1">
      <c r="A30" s="7">
        <v>6105</v>
      </c>
      <c r="B30" s="7">
        <v>1</v>
      </c>
      <c r="C30" s="23" t="s">
        <v>70</v>
      </c>
      <c r="D30" s="5" t="s">
        <v>11</v>
      </c>
      <c r="E30" s="5" t="s">
        <v>41</v>
      </c>
      <c r="F30" s="6">
        <v>92.63</v>
      </c>
      <c r="G30" s="1"/>
      <c r="H30" s="7" t="s">
        <v>40</v>
      </c>
    </row>
    <row r="31" spans="1:8" ht="15.75" customHeight="1">
      <c r="A31" s="7">
        <v>6105</v>
      </c>
      <c r="B31" s="7">
        <v>1</v>
      </c>
      <c r="C31" s="7" t="s">
        <v>71</v>
      </c>
      <c r="D31" s="5" t="s">
        <v>49</v>
      </c>
      <c r="E31" s="5" t="s">
        <v>72</v>
      </c>
      <c r="F31" s="6">
        <v>30</v>
      </c>
      <c r="G31" s="1"/>
      <c r="H31" s="7" t="s">
        <v>40</v>
      </c>
    </row>
    <row r="32" spans="1:8">
      <c r="A32" s="7">
        <v>6105</v>
      </c>
      <c r="B32" s="7">
        <v>1</v>
      </c>
      <c r="C32" s="7" t="s">
        <v>71</v>
      </c>
      <c r="D32" s="5" t="s">
        <v>49</v>
      </c>
      <c r="E32" s="5" t="s">
        <v>72</v>
      </c>
      <c r="F32" s="6">
        <v>33</v>
      </c>
      <c r="G32" s="1"/>
      <c r="H32" s="7" t="s">
        <v>40</v>
      </c>
    </row>
    <row r="33" spans="1:8">
      <c r="A33" s="7">
        <v>6105</v>
      </c>
      <c r="B33" s="7">
        <v>2</v>
      </c>
      <c r="C33" s="7" t="s">
        <v>73</v>
      </c>
      <c r="D33" s="5" t="s">
        <v>49</v>
      </c>
      <c r="E33" s="5" t="s">
        <v>41</v>
      </c>
      <c r="F33" s="6">
        <v>26.41</v>
      </c>
      <c r="G33" s="1"/>
      <c r="H33" s="7" t="s">
        <v>40</v>
      </c>
    </row>
    <row r="34" spans="1:8">
      <c r="A34" s="9">
        <v>6105</v>
      </c>
      <c r="B34" s="9">
        <v>1</v>
      </c>
      <c r="C34" s="9" t="s">
        <v>74</v>
      </c>
      <c r="D34" s="11" t="s">
        <v>52</v>
      </c>
      <c r="E34" s="11" t="s">
        <v>66</v>
      </c>
      <c r="F34" s="12">
        <v>110.51</v>
      </c>
      <c r="G34" s="13"/>
      <c r="H34" s="7" t="s">
        <v>40</v>
      </c>
    </row>
    <row r="35" spans="1:8">
      <c r="A35" s="14"/>
      <c r="B35" s="15"/>
      <c r="C35" s="15"/>
      <c r="D35" s="16"/>
      <c r="E35" s="17" t="s">
        <v>14</v>
      </c>
      <c r="F35" s="18">
        <f>SUM(F4:F34)</f>
        <v>7182.9700000000012</v>
      </c>
      <c r="G35" s="19"/>
      <c r="H35" s="20"/>
    </row>
    <row r="37" spans="1:8">
      <c r="A37" s="53" t="s">
        <v>15</v>
      </c>
      <c r="B37" s="54"/>
      <c r="C37" s="54"/>
      <c r="D37" s="55"/>
    </row>
    <row r="38" spans="1:8">
      <c r="A38" s="24"/>
      <c r="B38" s="25" t="s">
        <v>68</v>
      </c>
      <c r="C38" s="26" t="s">
        <v>69</v>
      </c>
      <c r="D38" s="26" t="s">
        <v>70</v>
      </c>
    </row>
    <row r="39" spans="1:8">
      <c r="A39" s="27" t="s">
        <v>18</v>
      </c>
      <c r="B39" s="25">
        <v>2</v>
      </c>
      <c r="C39" s="26">
        <v>2</v>
      </c>
      <c r="D39" s="26">
        <v>1</v>
      </c>
    </row>
    <row r="40" spans="1:8">
      <c r="A40" s="27" t="s">
        <v>19</v>
      </c>
      <c r="B40" s="25">
        <v>0</v>
      </c>
      <c r="C40" s="26">
        <v>2</v>
      </c>
      <c r="D40" s="26">
        <v>0</v>
      </c>
    </row>
    <row r="41" spans="1:8">
      <c r="A41" s="24" t="s">
        <v>20</v>
      </c>
      <c r="B41" s="25">
        <v>2</v>
      </c>
      <c r="C41" s="25">
        <v>2</v>
      </c>
      <c r="D41" s="26">
        <v>1</v>
      </c>
    </row>
    <row r="42" spans="1:8">
      <c r="A42" s="24" t="s">
        <v>21</v>
      </c>
      <c r="B42" s="25">
        <v>2</v>
      </c>
      <c r="C42" s="25">
        <v>2</v>
      </c>
      <c r="D42" s="26">
        <v>1</v>
      </c>
    </row>
    <row r="43" spans="1:8">
      <c r="A43" s="24" t="s">
        <v>22</v>
      </c>
      <c r="B43" s="25">
        <v>2</v>
      </c>
      <c r="C43" s="25">
        <v>0</v>
      </c>
      <c r="D43" s="26">
        <v>0</v>
      </c>
    </row>
    <row r="44" spans="1:8">
      <c r="A44" s="24" t="s">
        <v>23</v>
      </c>
      <c r="B44" s="25">
        <v>2</v>
      </c>
      <c r="C44" s="25">
        <v>2</v>
      </c>
      <c r="D44" s="26">
        <v>1</v>
      </c>
    </row>
    <row r="45" spans="1:8">
      <c r="A45" s="24" t="s">
        <v>25</v>
      </c>
      <c r="B45" s="25">
        <v>1</v>
      </c>
      <c r="C45" s="25">
        <v>1</v>
      </c>
      <c r="D45" s="26">
        <v>1</v>
      </c>
    </row>
    <row r="46" spans="1:8">
      <c r="A46" s="24" t="s">
        <v>26</v>
      </c>
      <c r="B46" s="25">
        <v>2</v>
      </c>
      <c r="C46" s="25">
        <v>2</v>
      </c>
      <c r="D46" s="26">
        <v>1</v>
      </c>
    </row>
    <row r="47" spans="1:8">
      <c r="A47" s="24" t="s">
        <v>27</v>
      </c>
      <c r="B47" s="25">
        <v>0</v>
      </c>
      <c r="C47" s="25">
        <v>0</v>
      </c>
      <c r="D47" s="26">
        <v>0</v>
      </c>
    </row>
    <row r="50" spans="1:4">
      <c r="A50" s="28" t="s">
        <v>28</v>
      </c>
      <c r="B50" s="25">
        <v>4</v>
      </c>
      <c r="C50" s="24"/>
    </row>
    <row r="51" spans="1:4">
      <c r="A51" s="28" t="s">
        <v>29</v>
      </c>
      <c r="B51" s="31">
        <v>1</v>
      </c>
      <c r="C51" s="32"/>
    </row>
    <row r="52" spans="1:4">
      <c r="A52" s="28" t="s">
        <v>30</v>
      </c>
      <c r="B52" s="29" t="s">
        <v>31</v>
      </c>
      <c r="C52" s="30"/>
      <c r="D52" s="33"/>
    </row>
  </sheetData>
  <sortState xmlns:xlrd2="http://schemas.microsoft.com/office/spreadsheetml/2017/richdata2" ref="A4:H28">
    <sortCondition ref="C4:C28"/>
  </sortState>
  <mergeCells count="3">
    <mergeCell ref="A1:H1"/>
    <mergeCell ref="A2:H2"/>
    <mergeCell ref="A37:D37"/>
  </mergeCells>
  <pageMargins left="0.7" right="0.7" top="0.75" bottom="0.75" header="0.3" footer="0.3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2"/>
  <sheetViews>
    <sheetView workbookViewId="0">
      <selection activeCell="A7" sqref="A7:D22"/>
    </sheetView>
  </sheetViews>
  <sheetFormatPr defaultRowHeight="15"/>
  <cols>
    <col min="1" max="2" width="9.28515625" style="3" customWidth="1"/>
    <col min="3" max="3" width="9.5703125" style="3" customWidth="1"/>
    <col min="4" max="4" width="12" style="3" customWidth="1"/>
    <col min="5" max="5" width="15.42578125" style="3" customWidth="1"/>
    <col min="6" max="6" width="9.140625" style="3" customWidth="1"/>
    <col min="7" max="7" width="12.28515625" style="3" customWidth="1"/>
    <col min="8" max="8" width="11.140625" style="3" customWidth="1"/>
    <col min="9" max="16384" width="9.140625" style="3"/>
  </cols>
  <sheetData>
    <row r="1" spans="1:8" ht="15" customHeight="1">
      <c r="A1" s="51" t="s">
        <v>0</v>
      </c>
      <c r="B1" s="51"/>
      <c r="C1" s="51"/>
      <c r="D1" s="51"/>
      <c r="E1" s="51"/>
      <c r="F1" s="51"/>
      <c r="G1" s="51"/>
      <c r="H1" s="51"/>
    </row>
    <row r="2" spans="1:8" ht="16.5" customHeight="1">
      <c r="A2" s="52" t="s">
        <v>35</v>
      </c>
      <c r="B2" s="52"/>
      <c r="C2" s="52"/>
      <c r="D2" s="52"/>
      <c r="E2" s="52"/>
      <c r="F2" s="52"/>
      <c r="G2" s="52"/>
      <c r="H2" s="52"/>
    </row>
    <row r="3" spans="1:8" ht="48" customHeight="1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36</v>
      </c>
      <c r="H3" s="2" t="s">
        <v>37</v>
      </c>
    </row>
    <row r="4" spans="1:8" ht="17.25" customHeight="1">
      <c r="A4" s="9">
        <v>6463</v>
      </c>
      <c r="B4" s="9">
        <v>1</v>
      </c>
      <c r="C4" s="10">
        <v>126142</v>
      </c>
      <c r="D4" s="11" t="s">
        <v>11</v>
      </c>
      <c r="E4" s="11" t="s">
        <v>41</v>
      </c>
      <c r="F4" s="12">
        <v>90.26</v>
      </c>
      <c r="G4" s="13"/>
      <c r="H4" s="7" t="s">
        <v>40</v>
      </c>
    </row>
    <row r="5" spans="1:8" ht="17.25" customHeight="1">
      <c r="A5" s="14"/>
      <c r="B5" s="15"/>
      <c r="C5" s="15"/>
      <c r="D5" s="16"/>
      <c r="E5" s="17" t="s">
        <v>14</v>
      </c>
      <c r="F5" s="18">
        <f>SUM(F4)</f>
        <v>90.26</v>
      </c>
      <c r="G5" s="19"/>
      <c r="H5" s="20"/>
    </row>
    <row r="7" spans="1:8">
      <c r="A7" s="50" t="s">
        <v>15</v>
      </c>
      <c r="B7" s="50"/>
      <c r="C7" s="50"/>
    </row>
    <row r="8" spans="1:8">
      <c r="A8" s="24"/>
      <c r="B8" s="25">
        <v>126142</v>
      </c>
      <c r="C8" s="26"/>
    </row>
    <row r="9" spans="1:8">
      <c r="A9" s="27" t="s">
        <v>18</v>
      </c>
      <c r="B9" s="25">
        <v>1</v>
      </c>
      <c r="C9" s="26"/>
    </row>
    <row r="10" spans="1:8">
      <c r="A10" s="27" t="s">
        <v>19</v>
      </c>
      <c r="B10" s="25">
        <v>1</v>
      </c>
      <c r="C10" s="26"/>
    </row>
    <row r="11" spans="1:8">
      <c r="A11" s="24" t="s">
        <v>20</v>
      </c>
      <c r="B11" s="25">
        <v>1</v>
      </c>
      <c r="C11" s="25"/>
    </row>
    <row r="12" spans="1:8">
      <c r="A12" s="24" t="s">
        <v>21</v>
      </c>
      <c r="B12" s="25">
        <v>1</v>
      </c>
      <c r="C12" s="25"/>
    </row>
    <row r="13" spans="1:8">
      <c r="A13" s="24" t="s">
        <v>22</v>
      </c>
      <c r="B13" s="25">
        <v>0</v>
      </c>
      <c r="C13" s="25"/>
    </row>
    <row r="14" spans="1:8">
      <c r="A14" s="24" t="s">
        <v>23</v>
      </c>
      <c r="B14" s="25">
        <v>1</v>
      </c>
      <c r="C14" s="25"/>
    </row>
    <row r="15" spans="1:8">
      <c r="A15" s="24" t="s">
        <v>25</v>
      </c>
      <c r="B15" s="25">
        <v>1</v>
      </c>
      <c r="C15" s="25"/>
    </row>
    <row r="16" spans="1:8">
      <c r="A16" s="24" t="s">
        <v>26</v>
      </c>
      <c r="B16" s="25">
        <v>1</v>
      </c>
      <c r="C16" s="25"/>
    </row>
    <row r="17" spans="1:4">
      <c r="A17" s="24" t="s">
        <v>27</v>
      </c>
      <c r="B17" s="25">
        <v>1</v>
      </c>
      <c r="C17" s="25"/>
    </row>
    <row r="20" spans="1:4">
      <c r="A20" s="28" t="s">
        <v>28</v>
      </c>
      <c r="B20" s="25">
        <v>0</v>
      </c>
      <c r="C20" s="24"/>
    </row>
    <row r="21" spans="1:4">
      <c r="A21" s="28" t="s">
        <v>29</v>
      </c>
      <c r="B21" s="31">
        <v>1</v>
      </c>
      <c r="C21" s="32"/>
    </row>
    <row r="22" spans="1:4">
      <c r="A22" s="28" t="s">
        <v>30</v>
      </c>
      <c r="B22" s="29" t="s">
        <v>31</v>
      </c>
      <c r="C22" s="30"/>
      <c r="D22" s="33"/>
    </row>
  </sheetData>
  <mergeCells count="3">
    <mergeCell ref="A1:H1"/>
    <mergeCell ref="A2:H2"/>
    <mergeCell ref="A7:C7"/>
  </mergeCells>
  <pageMargins left="0.7" right="0.7" top="0.75" bottom="0.75" header="0.3" footer="0.3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"/>
  <sheetViews>
    <sheetView workbookViewId="0">
      <selection activeCell="A8" sqref="A8:C9"/>
    </sheetView>
  </sheetViews>
  <sheetFormatPr defaultRowHeight="15"/>
  <cols>
    <col min="1" max="2" width="9.28515625" style="3" customWidth="1"/>
    <col min="3" max="3" width="9.5703125" style="3" customWidth="1"/>
    <col min="4" max="4" width="14.42578125" style="3" customWidth="1"/>
    <col min="5" max="5" width="12.42578125" style="3" customWidth="1"/>
    <col min="6" max="6" width="9.140625" style="3" customWidth="1"/>
    <col min="7" max="7" width="12.28515625" style="3" customWidth="1"/>
    <col min="8" max="8" width="11.140625" style="3" customWidth="1"/>
    <col min="9" max="16384" width="9.140625" style="3"/>
  </cols>
  <sheetData>
    <row r="1" spans="1:8" ht="15" customHeight="1">
      <c r="A1" s="51" t="s">
        <v>0</v>
      </c>
      <c r="B1" s="51"/>
      <c r="C1" s="51"/>
      <c r="D1" s="51"/>
      <c r="E1" s="51"/>
      <c r="F1" s="51"/>
      <c r="G1" s="51"/>
      <c r="H1" s="51"/>
    </row>
    <row r="2" spans="1:8" ht="16.5" customHeight="1">
      <c r="A2" s="52" t="s">
        <v>35</v>
      </c>
      <c r="B2" s="52"/>
      <c r="C2" s="52"/>
      <c r="D2" s="52"/>
      <c r="E2" s="52"/>
      <c r="F2" s="52"/>
      <c r="G2" s="52"/>
      <c r="H2" s="52"/>
    </row>
    <row r="3" spans="1:8" ht="48" customHeight="1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36</v>
      </c>
      <c r="H3" s="2" t="s">
        <v>37</v>
      </c>
    </row>
    <row r="4" spans="1:8" ht="17.25" customHeight="1">
      <c r="A4" s="9">
        <v>6471</v>
      </c>
      <c r="B4" s="9">
        <v>1</v>
      </c>
      <c r="C4" s="9">
        <v>101</v>
      </c>
      <c r="D4" s="11" t="s">
        <v>55</v>
      </c>
      <c r="E4" s="11" t="s">
        <v>75</v>
      </c>
      <c r="F4" s="12">
        <v>134.16999999999999</v>
      </c>
      <c r="G4" s="13"/>
      <c r="H4" s="7" t="s">
        <v>40</v>
      </c>
    </row>
    <row r="5" spans="1:8" ht="17.25" customHeight="1">
      <c r="A5" s="14"/>
      <c r="B5" s="15"/>
      <c r="C5" s="15"/>
      <c r="D5" s="16"/>
      <c r="E5" s="21" t="s">
        <v>14</v>
      </c>
      <c r="F5" s="21">
        <v>134</v>
      </c>
      <c r="G5" s="19"/>
      <c r="H5" s="20"/>
    </row>
  </sheetData>
  <mergeCells count="2">
    <mergeCell ref="A1:H1"/>
    <mergeCell ref="A2:H2"/>
  </mergeCells>
  <pageMargins left="0.7" right="0.7" top="0.75" bottom="0.75" header="0.3" footer="0.3"/>
  <pageSetup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"/>
  <sheetViews>
    <sheetView workbookViewId="0">
      <selection activeCell="D18" sqref="D18"/>
    </sheetView>
  </sheetViews>
  <sheetFormatPr defaultRowHeight="15"/>
  <cols>
    <col min="1" max="2" width="9.28515625" style="3" customWidth="1"/>
    <col min="3" max="3" width="9.5703125" style="3" customWidth="1"/>
    <col min="4" max="4" width="13.42578125" style="3" customWidth="1"/>
    <col min="5" max="5" width="12.85546875" style="3" customWidth="1"/>
    <col min="6" max="6" width="9.140625" style="3" customWidth="1"/>
    <col min="7" max="7" width="12.28515625" style="3" customWidth="1"/>
    <col min="8" max="8" width="12.140625" style="3" customWidth="1"/>
    <col min="9" max="16384" width="9.140625" style="3"/>
  </cols>
  <sheetData>
    <row r="1" spans="1:8" ht="15" customHeight="1">
      <c r="A1" s="51" t="s">
        <v>0</v>
      </c>
      <c r="B1" s="51"/>
      <c r="C1" s="51"/>
      <c r="D1" s="51"/>
      <c r="E1" s="51"/>
      <c r="F1" s="51"/>
      <c r="G1" s="51"/>
      <c r="H1" s="51"/>
    </row>
    <row r="2" spans="1:8" ht="16.5" customHeight="1">
      <c r="A2" s="48" t="s">
        <v>35</v>
      </c>
      <c r="B2" s="48"/>
      <c r="C2" s="48"/>
      <c r="D2" s="48"/>
      <c r="E2" s="48"/>
      <c r="F2" s="48"/>
      <c r="G2" s="48"/>
      <c r="H2" s="49"/>
    </row>
    <row r="3" spans="1:8" ht="48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36</v>
      </c>
      <c r="H3" s="2" t="s">
        <v>37</v>
      </c>
    </row>
    <row r="4" spans="1:8" ht="17.25" customHeight="1">
      <c r="A4" s="7">
        <v>6503</v>
      </c>
      <c r="B4" s="7">
        <v>1</v>
      </c>
      <c r="C4" s="4"/>
      <c r="D4" s="5" t="s">
        <v>49</v>
      </c>
      <c r="E4" s="5" t="s">
        <v>50</v>
      </c>
      <c r="F4" s="6">
        <v>70</v>
      </c>
      <c r="G4" s="1"/>
      <c r="H4" s="7" t="s">
        <v>40</v>
      </c>
    </row>
    <row r="5" spans="1:8">
      <c r="E5" s="22" t="s">
        <v>76</v>
      </c>
      <c r="F5" s="22">
        <v>140</v>
      </c>
    </row>
  </sheetData>
  <mergeCells count="2">
    <mergeCell ref="A1:H1"/>
    <mergeCell ref="A2:H2"/>
  </mergeCells>
  <pageMargins left="0.7" right="0.7" top="0.75" bottom="0.75" header="0.3" footer="0.3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B43733C617904C85E87075094A409A" ma:contentTypeVersion="6" ma:contentTypeDescription="Create a new document." ma:contentTypeScope="" ma:versionID="0a373da26d21645226900e2d7ea562b3">
  <xsd:schema xmlns:xsd="http://www.w3.org/2001/XMLSchema" xmlns:xs="http://www.w3.org/2001/XMLSchema" xmlns:p="http://schemas.microsoft.com/office/2006/metadata/properties" xmlns:ns2="df973e7e-d561-4bdc-82b8-7e03e279031b" xmlns:ns3="f983c02f-8e4c-413e-8233-61a43bac8b22" targetNamespace="http://schemas.microsoft.com/office/2006/metadata/properties" ma:root="true" ma:fieldsID="859b85f2aa58925d0ae3520354540a66" ns2:_="" ns3:_="">
    <xsd:import namespace="df973e7e-d561-4bdc-82b8-7e03e279031b"/>
    <xsd:import namespace="f983c02f-8e4c-413e-8233-61a43bac8b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973e7e-d561-4bdc-82b8-7e03e27903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83c02f-8e4c-413e-8233-61a43bac8b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C2FDBA3-6A65-405A-82D6-31534D69AB22}"/>
</file>

<file path=customXml/itemProps2.xml><?xml version="1.0" encoding="utf-8"?>
<ds:datastoreItem xmlns:ds="http://schemas.openxmlformats.org/officeDocument/2006/customXml" ds:itemID="{E01E9CDB-F340-415B-8E3D-435E8D32CCD0}"/>
</file>

<file path=customXml/itemProps3.xml><?xml version="1.0" encoding="utf-8"?>
<ds:datastoreItem xmlns:ds="http://schemas.openxmlformats.org/officeDocument/2006/customXml" ds:itemID="{E1B8C2EB-D614-4D1C-8188-CFE3D41208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NMCI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Lacidonia, Roxanne L CIV NAVFAC, N40080</dc:creator>
  <cp:keywords/>
  <dc:description/>
  <cp:lastModifiedBy>Bean, John F Jr CIV USN NAVFAC WASHINGTON DC (USA)</cp:lastModifiedBy>
  <cp:revision/>
  <dcterms:created xsi:type="dcterms:W3CDTF">2017-04-14T18:23:25Z</dcterms:created>
  <dcterms:modified xsi:type="dcterms:W3CDTF">2025-12-03T14:32:41Z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0x01010030B43733C617904C85E87075094A409A</vt:lpwstr>
  </property>
  <property fmtid="{D5CDD505-2E9C-101B-9397-08002B2CF9AE}" pid="3" name="Order">
    <vt:r8>432000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TemplateUrl">
    <vt:lpwstr/>
  </property>
  <property fmtid="{D5CDD505-2E9C-101B-9397-08002B2CF9AE}" pid="11" name="ComplianceAssetId">
    <vt:lpwstr/>
  </property>
</Properties>
</file>