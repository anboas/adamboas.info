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my_g_davis_civ_us_navy_mil/Documents/Desktop/SRA Attachments/"/>
    </mc:Choice>
  </mc:AlternateContent>
  <xr:revisionPtr revIDLastSave="0" documentId="8_{C23CEC4C-7279-4298-861D-CD2F4272AA4B}" xr6:coauthVersionLast="47" xr6:coauthVersionMax="47" xr10:uidLastSave="{00000000-0000-0000-0000-000000000000}"/>
  <bookViews>
    <workbookView xWindow="8340" yWindow="2400" windowWidth="22935" windowHeight="15345" firstSheet="2" xr2:uid="{00000000-000D-0000-FFFF-FFFF00000000}"/>
  </bookViews>
  <sheets>
    <sheet name="Total Hours" sheetId="2" r:id="rId1"/>
    <sheet name="On Site Hours" sheetId="4" r:id="rId2"/>
    <sheet name="Off Site Hours" sheetId="5" r:id="rId3"/>
  </sheets>
  <definedNames>
    <definedName name="_xlnm._FilterDatabase" localSheetId="0" hidden="1">'Total Hours'!$A$5:$H$35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6" i="5"/>
  <c r="H6" i="4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6" i="2"/>
  <c r="D34" i="5" l="1"/>
  <c r="E34" i="5"/>
  <c r="F34" i="5"/>
  <c r="G34" i="5"/>
  <c r="H34" i="5"/>
  <c r="C34" i="5"/>
  <c r="D7" i="4"/>
  <c r="E7" i="4"/>
  <c r="F7" i="4"/>
  <c r="G7" i="4"/>
  <c r="C7" i="4"/>
  <c r="H7" i="4" l="1"/>
  <c r="G35" i="2" l="1"/>
  <c r="F35" i="2"/>
  <c r="E35" i="2"/>
  <c r="D35" i="2"/>
  <c r="C35" i="2"/>
  <c r="H35" i="2" l="1"/>
</calcChain>
</file>

<file path=xl/sharedStrings.xml><?xml version="1.0" encoding="utf-8"?>
<sst xmlns="http://schemas.openxmlformats.org/spreadsheetml/2006/main" count="155" uniqueCount="50">
  <si>
    <t>SRA Government Labor Hours - N00421-26-R-3000</t>
  </si>
  <si>
    <t>Attachment L1, Part B, Paragraph 2.5.1</t>
  </si>
  <si>
    <t>Attachment L2</t>
  </si>
  <si>
    <t>Note: The location is either St. Inigoes, MD (Govt) (On-Site) or Contractor (KTR) (Off-Site)</t>
  </si>
  <si>
    <r>
      <t>Labor Category</t>
    </r>
    <r>
      <rPr>
        <sz val="12"/>
        <color rgb="FF000000"/>
        <rFont val="Times New Roman"/>
        <family val="1"/>
      </rPr>
      <t> </t>
    </r>
  </si>
  <si>
    <r>
      <t>Location</t>
    </r>
    <r>
      <rPr>
        <sz val="12"/>
        <color rgb="FF000000"/>
        <rFont val="Times New Roman"/>
        <family val="1"/>
      </rPr>
      <t> </t>
    </r>
  </si>
  <si>
    <r>
      <t>Year I</t>
    </r>
    <r>
      <rPr>
        <sz val="12"/>
        <color rgb="FF000000"/>
        <rFont val="Times New Roman"/>
        <family val="1"/>
      </rPr>
      <t> </t>
    </r>
  </si>
  <si>
    <r>
      <t>Year II</t>
    </r>
    <r>
      <rPr>
        <sz val="12"/>
        <color rgb="FF000000"/>
        <rFont val="Times New Roman"/>
        <family val="1"/>
      </rPr>
      <t> </t>
    </r>
  </si>
  <si>
    <r>
      <t>Year III</t>
    </r>
    <r>
      <rPr>
        <sz val="12"/>
        <color rgb="FF000000"/>
        <rFont val="Times New Roman"/>
        <family val="1"/>
      </rPr>
      <t> </t>
    </r>
  </si>
  <si>
    <r>
      <t>Year IV</t>
    </r>
    <r>
      <rPr>
        <sz val="12"/>
        <color rgb="FF000000"/>
        <rFont val="Times New Roman"/>
        <family val="1"/>
      </rPr>
      <t> </t>
    </r>
  </si>
  <si>
    <r>
      <t>Year V</t>
    </r>
    <r>
      <rPr>
        <sz val="12"/>
        <color rgb="FF000000"/>
        <rFont val="Times New Roman"/>
        <family val="1"/>
      </rPr>
      <t> </t>
    </r>
  </si>
  <si>
    <r>
      <t>Total</t>
    </r>
    <r>
      <rPr>
        <sz val="12"/>
        <rFont val="Times New Roman"/>
        <family val="1"/>
      </rPr>
      <t> </t>
    </r>
  </si>
  <si>
    <t>Computer Network Architects, Basic, 15-1241</t>
  </si>
  <si>
    <t>KTR</t>
  </si>
  <si>
    <t>Computer Network Architects, Intermediate, 15-1241</t>
  </si>
  <si>
    <t>Computer Network Architects, Advanced, 15-1241</t>
  </si>
  <si>
    <t>Computer Programmers, Basic, 15-1251</t>
  </si>
  <si>
    <t>Computer Programmers, Intermediate, 15-1251</t>
  </si>
  <si>
    <t>Computer Programmers, Advanced, 15-1251</t>
  </si>
  <si>
    <t>Computer Systems Analysts, Basic, 15-1211</t>
  </si>
  <si>
    <t>Computer Systems Analysts, Intermediate, 15-1211</t>
  </si>
  <si>
    <t>Computer Systems Analysts, Intermediate, 15-1211 (OT)</t>
  </si>
  <si>
    <t>Computer Systems Analysts, Advanced, 15-1211</t>
  </si>
  <si>
    <t>Computer Systems Analysts, Advanced, 15-1211 (OT)</t>
  </si>
  <si>
    <t>Engineers, All Other (Systems Engineer), Junior, 17-2199</t>
  </si>
  <si>
    <t>Engineers, All Other (Systems Engineer), Journeyman, 17-2199</t>
  </si>
  <si>
    <t>Financial Specialists, All Other, Junior, 13-2099</t>
  </si>
  <si>
    <t>Financial Specialists, All Other, Journeyman, 13-2099</t>
  </si>
  <si>
    <t>General and Operations Managers (Program Manager), Journeyman, 11-1021 (KEY)</t>
  </si>
  <si>
    <t>General and Operations Managers (Project Manager), Journeyman, 11-1021 (KEY)</t>
  </si>
  <si>
    <t>GOVT</t>
  </si>
  <si>
    <t>Information Security Analysts, Basic, 15-1212</t>
  </si>
  <si>
    <t>Information Security Analysts, Intermediate, 15-1212</t>
  </si>
  <si>
    <t>Information Security Analysts, Advanced, 15-1212</t>
  </si>
  <si>
    <t>Information Security Analysts, Advanced, 15-1212 (KEY)</t>
  </si>
  <si>
    <t>Network and Computer Systems Administrators, Basic, 15-1244</t>
  </si>
  <si>
    <t>Network and Computer Systems Administrators, Intermediate, 15-1244</t>
  </si>
  <si>
    <t>Network and Computer Systems Administrators, Advanced, 15-1244</t>
  </si>
  <si>
    <t>Project Management Specialists, Junior, 13-1082</t>
  </si>
  <si>
    <t>Project Management Specialists, Journeyman, 13-1082</t>
  </si>
  <si>
    <t>General Clerk I, 01111 (SCA)</t>
  </si>
  <si>
    <t>General Clerk II, 01112 (SCA)</t>
  </si>
  <si>
    <t>General Clerk III, 01113 (SCA)</t>
  </si>
  <si>
    <t>TOTAL </t>
  </si>
  <si>
    <t>Section L, Part B, Paragraph 2.5.1</t>
  </si>
  <si>
    <t>The location is Government (Govt) (On-Site)</t>
  </si>
  <si>
    <t>Location</t>
  </si>
  <si>
    <t>TOTAL</t>
  </si>
  <si>
    <t>Attachment L2, Part B, Paragraph 2.5.1</t>
  </si>
  <si>
    <t>The location is Contractor (KTR) (Off-Site)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</si>
</sst>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/>
    <xf numFmtId="0" fontId="6" fillId="0" borderId="1" xfId="0" applyFont="1" applyBorder="1" applyAlignment="1">
      <alignment horizontal="right" vertical="center" wrapText="1"/>
    </xf>
    <xf numFmtId="0" fontId="8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164" fontId="7" fillId="0" borderId="1" xfId="1" applyNumberFormat="1" applyFont="1" applyFill="1" applyBorder="1"/>
    <xf numFmtId="0" fontId="0" fillId="0" borderId="0" xfId="0" applyFont="1"/>
    <xf numFmtId="0" fontId="9" fillId="0" borderId="0" xfId="0" applyFont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 applyFill="1" applyAlignment="1">
      <alignment horizontal="right"/>
    </xf>
    <xf numFmtId="0" fontId="10" fillId="0" borderId="0" xfId="0" applyFont="1" applyFill="1"/>
    <xf numFmtId="0" fontId="10" fillId="0" borderId="0" xfId="0" applyFont="1"/>
    <xf numFmtId="0" fontId="10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  <xf numFmtId="0" fontId="11" fillId="0" borderId="0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164" fontId="11" fillId="0" borderId="2" xfId="1" applyNumberFormat="1" applyFont="1" applyBorder="1"/>
    <xf numFmtId="0" fontId="10" fillId="0" borderId="3" xfId="0" applyFont="1" applyBorder="1"/>
    <xf numFmtId="164" fontId="11" fillId="0" borderId="3" xfId="1" applyNumberFormat="1" applyFont="1" applyBorder="1"/>
    <xf numFmtId="0" fontId="7" fillId="0" borderId="0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164" fontId="6" fillId="0" borderId="3" xfId="1" applyNumberFormat="1" applyFont="1" applyBorder="1" applyAlignment="1">
      <alignment horizontal="left" vertical="center" wrapText="1"/>
    </xf>
    <xf numFmtId="0" fontId="4" fillId="0" borderId="0" xfId="0" applyFont="1" applyFill="1"/>
    <xf numFmtId="0" fontId="4" fillId="2" borderId="0" xfId="0" applyFont="1" applyFill="1"/>
    <xf numFmtId="164" fontId="7" fillId="0" borderId="4" xfId="1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3606012</xdr:colOff>
      <xdr:row>22</xdr:row>
      <xdr:rowOff>123825</xdr:rowOff>
    </xdr:from>
    <xdr:ext cx="1627177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D9C8FE-36F0-C323-EF69-AB33C154DCA1}"/>
            </a:ext>
          </a:extLst>
        </xdr:cNvPr>
        <xdr:cNvSpPr/>
      </xdr:nvSpPr>
      <xdr:spPr>
        <a:xfrm>
          <a:off x="3606012" y="5724525"/>
          <a:ext cx="162717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B22B-2B1E-4BB7-99F3-442F740DDD2C}">
  <dimension ref="A1:H36"/>
  <sheetViews>
    <sheetView tabSelected="1" workbookViewId="0">
      <selection activeCell="H21" sqref="H21"/>
    </sheetView>
  </sheetViews>
  <sheetFormatPr defaultRowHeight="15"/>
  <cols>
    <col min="1" max="1" width="78.140625" customWidth="1"/>
    <col min="2" max="7" width="11.5703125" customWidth="1"/>
    <col min="8" max="8" width="11.5703125" style="16" customWidth="1"/>
  </cols>
  <sheetData>
    <row r="1" spans="1:8" s="22" customFormat="1" ht="15.75">
      <c r="A1" s="23" t="s">
        <v>0</v>
      </c>
      <c r="B1" s="24"/>
      <c r="C1" s="25"/>
      <c r="D1" s="25"/>
      <c r="E1" s="25"/>
      <c r="F1" s="25"/>
      <c r="G1" s="25"/>
      <c r="H1" s="26"/>
    </row>
    <row r="2" spans="1:8" s="22" customFormat="1" ht="15.75">
      <c r="A2" s="44" t="s">
        <v>1</v>
      </c>
      <c r="B2" s="24"/>
      <c r="C2" s="25"/>
      <c r="D2" s="25"/>
      <c r="E2" s="25"/>
      <c r="F2" s="25"/>
      <c r="G2" s="25"/>
      <c r="H2" s="26" t="s">
        <v>2</v>
      </c>
    </row>
    <row r="3" spans="1:8" ht="15.75">
      <c r="A3" s="2" t="s">
        <v>3</v>
      </c>
      <c r="B3" s="7"/>
      <c r="C3" s="1"/>
      <c r="D3" s="1"/>
      <c r="E3" s="1"/>
      <c r="F3" s="1"/>
      <c r="G3" s="1"/>
      <c r="H3" s="14"/>
    </row>
    <row r="4" spans="1:8" ht="15.75">
      <c r="A4" s="2"/>
      <c r="B4" s="7"/>
      <c r="C4" s="1"/>
      <c r="D4" s="1"/>
      <c r="E4" s="1"/>
      <c r="F4" s="1"/>
      <c r="G4" s="1"/>
      <c r="H4" s="14"/>
    </row>
    <row r="5" spans="1:8">
      <c r="A5" s="3" t="s">
        <v>4</v>
      </c>
      <c r="B5" s="4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15" t="s">
        <v>11</v>
      </c>
    </row>
    <row r="6" spans="1:8" ht="15.75">
      <c r="A6" s="9" t="s">
        <v>12</v>
      </c>
      <c r="B6" s="10" t="s">
        <v>13</v>
      </c>
      <c r="C6" s="8">
        <v>475</v>
      </c>
      <c r="D6" s="8">
        <v>535</v>
      </c>
      <c r="E6" s="8">
        <v>559</v>
      </c>
      <c r="F6" s="8">
        <v>500</v>
      </c>
      <c r="G6" s="8">
        <v>425</v>
      </c>
      <c r="H6" s="8">
        <f>C6+D6+E6+F6+G6</f>
        <v>2494</v>
      </c>
    </row>
    <row r="7" spans="1:8" ht="15.75">
      <c r="A7" s="9" t="s">
        <v>14</v>
      </c>
      <c r="B7" s="11" t="s">
        <v>13</v>
      </c>
      <c r="C7" s="8">
        <v>477</v>
      </c>
      <c r="D7" s="8">
        <v>465</v>
      </c>
      <c r="E7" s="8">
        <v>491</v>
      </c>
      <c r="F7" s="8">
        <v>603</v>
      </c>
      <c r="G7" s="8">
        <v>734</v>
      </c>
      <c r="H7" s="8">
        <f t="shared" ref="H7:H34" si="0">C7+D7+E7+F7+G7</f>
        <v>2770</v>
      </c>
    </row>
    <row r="8" spans="1:8" ht="15.75">
      <c r="A8" s="13" t="s">
        <v>15</v>
      </c>
      <c r="B8" s="11" t="s">
        <v>13</v>
      </c>
      <c r="C8" s="8">
        <v>8</v>
      </c>
      <c r="D8" s="8">
        <v>8</v>
      </c>
      <c r="E8" s="8">
        <v>8</v>
      </c>
      <c r="F8" s="8">
        <v>8</v>
      </c>
      <c r="G8" s="8">
        <v>8</v>
      </c>
      <c r="H8" s="8">
        <f t="shared" si="0"/>
        <v>40</v>
      </c>
    </row>
    <row r="9" spans="1:8" ht="15.75">
      <c r="A9" s="13" t="s">
        <v>16</v>
      </c>
      <c r="B9" s="11" t="s">
        <v>13</v>
      </c>
      <c r="C9" s="8">
        <v>220</v>
      </c>
      <c r="D9" s="8">
        <v>250</v>
      </c>
      <c r="E9" s="8">
        <v>257</v>
      </c>
      <c r="F9" s="8">
        <v>310</v>
      </c>
      <c r="G9" s="8">
        <v>269</v>
      </c>
      <c r="H9" s="8">
        <f t="shared" si="0"/>
        <v>1306</v>
      </c>
    </row>
    <row r="10" spans="1:8" ht="15.75">
      <c r="A10" s="13" t="s">
        <v>17</v>
      </c>
      <c r="B10" s="10" t="s">
        <v>13</v>
      </c>
      <c r="C10" s="8">
        <v>247</v>
      </c>
      <c r="D10" s="8">
        <v>247</v>
      </c>
      <c r="E10" s="8">
        <v>266</v>
      </c>
      <c r="F10" s="8">
        <v>240</v>
      </c>
      <c r="G10" s="8">
        <v>309</v>
      </c>
      <c r="H10" s="8">
        <f t="shared" si="0"/>
        <v>1309</v>
      </c>
    </row>
    <row r="11" spans="1:8" ht="15.75">
      <c r="A11" s="18" t="s">
        <v>18</v>
      </c>
      <c r="B11" s="11" t="s">
        <v>13</v>
      </c>
      <c r="C11" s="8">
        <v>13</v>
      </c>
      <c r="D11" s="8">
        <v>7</v>
      </c>
      <c r="E11" s="8">
        <v>7</v>
      </c>
      <c r="F11" s="8">
        <v>7</v>
      </c>
      <c r="G11" s="8">
        <v>7</v>
      </c>
      <c r="H11" s="8">
        <f t="shared" si="0"/>
        <v>41</v>
      </c>
    </row>
    <row r="12" spans="1:8" ht="15.75">
      <c r="A12" s="18" t="s">
        <v>19</v>
      </c>
      <c r="B12" s="11" t="s">
        <v>13</v>
      </c>
      <c r="C12" s="19">
        <v>480</v>
      </c>
      <c r="D12" s="19">
        <v>504</v>
      </c>
      <c r="E12" s="19">
        <v>530</v>
      </c>
      <c r="F12" s="19">
        <v>557</v>
      </c>
      <c r="G12" s="19">
        <v>585</v>
      </c>
      <c r="H12" s="8">
        <f t="shared" si="0"/>
        <v>2656</v>
      </c>
    </row>
    <row r="13" spans="1:8" ht="15.75">
      <c r="A13" s="13" t="s">
        <v>20</v>
      </c>
      <c r="B13" s="11" t="s">
        <v>13</v>
      </c>
      <c r="C13" s="8">
        <v>1920</v>
      </c>
      <c r="D13" s="8">
        <v>2016</v>
      </c>
      <c r="E13" s="8">
        <v>2116</v>
      </c>
      <c r="F13" s="8">
        <v>2222</v>
      </c>
      <c r="G13" s="8">
        <v>2333</v>
      </c>
      <c r="H13" s="8">
        <f t="shared" si="0"/>
        <v>10607</v>
      </c>
    </row>
    <row r="14" spans="1:8" ht="15.75">
      <c r="A14" s="13" t="s">
        <v>21</v>
      </c>
      <c r="B14" s="11" t="s">
        <v>13</v>
      </c>
      <c r="C14" s="8">
        <v>88</v>
      </c>
      <c r="D14" s="8">
        <v>88</v>
      </c>
      <c r="E14" s="8">
        <v>100</v>
      </c>
      <c r="F14" s="8">
        <v>105</v>
      </c>
      <c r="G14" s="8">
        <v>115</v>
      </c>
      <c r="H14" s="8">
        <f t="shared" si="0"/>
        <v>496</v>
      </c>
    </row>
    <row r="15" spans="1:8" ht="15.75">
      <c r="A15" s="13" t="s">
        <v>22</v>
      </c>
      <c r="B15" s="10" t="s">
        <v>13</v>
      </c>
      <c r="C15" s="8">
        <v>480</v>
      </c>
      <c r="D15" s="8">
        <v>504</v>
      </c>
      <c r="E15" s="8">
        <v>530</v>
      </c>
      <c r="F15" s="8">
        <v>557</v>
      </c>
      <c r="G15" s="8">
        <v>585</v>
      </c>
      <c r="H15" s="8">
        <f t="shared" si="0"/>
        <v>2656</v>
      </c>
    </row>
    <row r="16" spans="1:8" ht="15.75">
      <c r="A16" s="13" t="s">
        <v>23</v>
      </c>
      <c r="B16" s="10" t="s">
        <v>13</v>
      </c>
      <c r="C16" s="8">
        <v>20</v>
      </c>
      <c r="D16" s="8">
        <v>20</v>
      </c>
      <c r="E16" s="8">
        <v>22</v>
      </c>
      <c r="F16" s="8">
        <v>22</v>
      </c>
      <c r="G16" s="8">
        <v>22</v>
      </c>
      <c r="H16" s="8">
        <f t="shared" si="0"/>
        <v>106</v>
      </c>
    </row>
    <row r="17" spans="1:8" ht="15.75">
      <c r="A17" s="13" t="s">
        <v>24</v>
      </c>
      <c r="B17" s="10" t="s">
        <v>13</v>
      </c>
      <c r="C17" s="8">
        <v>700</v>
      </c>
      <c r="D17" s="8">
        <v>724</v>
      </c>
      <c r="E17" s="8">
        <v>760</v>
      </c>
      <c r="F17" s="8">
        <v>787</v>
      </c>
      <c r="G17" s="8">
        <v>815</v>
      </c>
      <c r="H17" s="8">
        <f t="shared" si="0"/>
        <v>3786</v>
      </c>
    </row>
    <row r="18" spans="1:8" ht="15.75">
      <c r="A18" s="13" t="s">
        <v>25</v>
      </c>
      <c r="B18" s="10" t="s">
        <v>13</v>
      </c>
      <c r="C18" s="8">
        <v>490</v>
      </c>
      <c r="D18" s="8">
        <v>504</v>
      </c>
      <c r="E18" s="8">
        <v>530</v>
      </c>
      <c r="F18" s="8">
        <v>1111</v>
      </c>
      <c r="G18" s="8">
        <v>1167</v>
      </c>
      <c r="H18" s="8">
        <f t="shared" si="0"/>
        <v>3802</v>
      </c>
    </row>
    <row r="19" spans="1:8" ht="15.75">
      <c r="A19" s="13" t="s">
        <v>26</v>
      </c>
      <c r="B19" s="10" t="s">
        <v>13</v>
      </c>
      <c r="C19" s="8">
        <v>210</v>
      </c>
      <c r="D19" s="8">
        <v>210</v>
      </c>
      <c r="E19" s="8">
        <v>210</v>
      </c>
      <c r="F19" s="8">
        <v>210</v>
      </c>
      <c r="G19" s="8">
        <v>210</v>
      </c>
      <c r="H19" s="8">
        <f t="shared" si="0"/>
        <v>1050</v>
      </c>
    </row>
    <row r="20" spans="1:8" ht="15.75">
      <c r="A20" s="13" t="s">
        <v>27</v>
      </c>
      <c r="B20" s="10" t="s">
        <v>13</v>
      </c>
      <c r="C20" s="8">
        <v>270</v>
      </c>
      <c r="D20" s="8">
        <v>270</v>
      </c>
      <c r="E20" s="8">
        <v>270</v>
      </c>
      <c r="F20" s="8">
        <v>270</v>
      </c>
      <c r="G20" s="8">
        <v>270</v>
      </c>
      <c r="H20" s="8">
        <f t="shared" si="0"/>
        <v>1350</v>
      </c>
    </row>
    <row r="21" spans="1:8" ht="15.75">
      <c r="A21" s="13" t="s">
        <v>28</v>
      </c>
      <c r="B21" s="11" t="s">
        <v>13</v>
      </c>
      <c r="C21" s="5">
        <v>1920</v>
      </c>
      <c r="D21" s="5">
        <v>1920</v>
      </c>
      <c r="E21" s="5">
        <v>1920</v>
      </c>
      <c r="F21" s="5">
        <v>1920</v>
      </c>
      <c r="G21" s="5">
        <v>1920</v>
      </c>
      <c r="H21" s="8">
        <f t="shared" si="0"/>
        <v>9600</v>
      </c>
    </row>
    <row r="22" spans="1:8" ht="15.75">
      <c r="A22" s="13" t="s">
        <v>29</v>
      </c>
      <c r="B22" s="11" t="s">
        <v>30</v>
      </c>
      <c r="C22" s="5">
        <v>960</v>
      </c>
      <c r="D22" s="5">
        <v>960</v>
      </c>
      <c r="E22" s="5">
        <v>960</v>
      </c>
      <c r="F22" s="5">
        <v>960</v>
      </c>
      <c r="G22" s="5">
        <v>960</v>
      </c>
      <c r="H22" s="8">
        <f t="shared" si="0"/>
        <v>4800</v>
      </c>
    </row>
    <row r="23" spans="1:8" ht="15.75">
      <c r="A23" s="13" t="s">
        <v>31</v>
      </c>
      <c r="B23" s="11" t="s">
        <v>13</v>
      </c>
      <c r="C23" s="8">
        <v>270</v>
      </c>
      <c r="D23" s="8">
        <v>402</v>
      </c>
      <c r="E23" s="8">
        <v>574</v>
      </c>
      <c r="F23" s="8">
        <v>492</v>
      </c>
      <c r="G23" s="8">
        <v>551</v>
      </c>
      <c r="H23" s="8">
        <f t="shared" si="0"/>
        <v>2289</v>
      </c>
    </row>
    <row r="24" spans="1:8" ht="15.75">
      <c r="A24" s="13" t="s">
        <v>32</v>
      </c>
      <c r="B24" s="11" t="s">
        <v>13</v>
      </c>
      <c r="C24" s="8">
        <v>683</v>
      </c>
      <c r="D24" s="8">
        <v>599</v>
      </c>
      <c r="E24" s="8">
        <v>484</v>
      </c>
      <c r="F24" s="8">
        <v>619</v>
      </c>
      <c r="G24" s="8">
        <v>616</v>
      </c>
      <c r="H24" s="8">
        <f t="shared" si="0"/>
        <v>3001</v>
      </c>
    </row>
    <row r="25" spans="1:8" ht="15.75">
      <c r="A25" s="13" t="s">
        <v>33</v>
      </c>
      <c r="B25" s="11" t="s">
        <v>13</v>
      </c>
      <c r="C25" s="8">
        <v>7</v>
      </c>
      <c r="D25" s="8">
        <v>7</v>
      </c>
      <c r="E25" s="8"/>
      <c r="F25" s="8"/>
      <c r="G25" s="8"/>
      <c r="H25" s="8">
        <f t="shared" si="0"/>
        <v>14</v>
      </c>
    </row>
    <row r="26" spans="1:8" ht="15.75">
      <c r="A26" s="13" t="s">
        <v>34</v>
      </c>
      <c r="B26" s="11" t="s">
        <v>13</v>
      </c>
      <c r="C26" s="5">
        <v>960</v>
      </c>
      <c r="D26" s="5">
        <v>960</v>
      </c>
      <c r="E26" s="5">
        <v>960</v>
      </c>
      <c r="F26" s="5">
        <v>960</v>
      </c>
      <c r="G26" s="5">
        <v>960</v>
      </c>
      <c r="H26" s="8">
        <f t="shared" si="0"/>
        <v>4800</v>
      </c>
    </row>
    <row r="27" spans="1:8" s="20" customFormat="1" ht="15.75">
      <c r="A27" s="13" t="s">
        <v>35</v>
      </c>
      <c r="B27" s="11" t="s">
        <v>13</v>
      </c>
      <c r="C27" s="8">
        <v>240</v>
      </c>
      <c r="D27" s="8">
        <v>350</v>
      </c>
      <c r="E27" s="8">
        <v>330</v>
      </c>
      <c r="F27" s="8">
        <v>408</v>
      </c>
      <c r="G27" s="8">
        <v>450</v>
      </c>
      <c r="H27" s="8">
        <f t="shared" si="0"/>
        <v>1778</v>
      </c>
    </row>
    <row r="28" spans="1:8" ht="15.75">
      <c r="A28" s="13" t="s">
        <v>36</v>
      </c>
      <c r="B28" s="11" t="s">
        <v>13</v>
      </c>
      <c r="C28" s="8">
        <v>480</v>
      </c>
      <c r="D28" s="8">
        <v>504</v>
      </c>
      <c r="E28" s="8">
        <v>530</v>
      </c>
      <c r="F28" s="8">
        <v>557</v>
      </c>
      <c r="G28" s="8">
        <v>585</v>
      </c>
      <c r="H28" s="8">
        <f t="shared" si="0"/>
        <v>2656</v>
      </c>
    </row>
    <row r="29" spans="1:8" ht="15.75">
      <c r="A29" s="13" t="s">
        <v>37</v>
      </c>
      <c r="B29" s="11" t="s">
        <v>13</v>
      </c>
      <c r="C29" s="8">
        <v>240</v>
      </c>
      <c r="D29" s="8">
        <v>154</v>
      </c>
      <c r="E29" s="8">
        <v>200</v>
      </c>
      <c r="F29" s="8">
        <v>149</v>
      </c>
      <c r="G29" s="8">
        <v>135</v>
      </c>
      <c r="H29" s="8">
        <f t="shared" si="0"/>
        <v>878</v>
      </c>
    </row>
    <row r="30" spans="1:8" ht="15.75">
      <c r="A30" s="13" t="s">
        <v>38</v>
      </c>
      <c r="B30" s="11" t="s">
        <v>13</v>
      </c>
      <c r="C30" s="8">
        <v>210</v>
      </c>
      <c r="D30" s="8">
        <v>210</v>
      </c>
      <c r="E30" s="8">
        <v>210</v>
      </c>
      <c r="F30" s="8">
        <v>210</v>
      </c>
      <c r="G30" s="8">
        <v>210</v>
      </c>
      <c r="H30" s="8">
        <f t="shared" si="0"/>
        <v>1050</v>
      </c>
    </row>
    <row r="31" spans="1:8" ht="15.75">
      <c r="A31" s="13" t="s">
        <v>39</v>
      </c>
      <c r="B31" s="11" t="s">
        <v>13</v>
      </c>
      <c r="C31" s="8">
        <v>270</v>
      </c>
      <c r="D31" s="8">
        <v>270</v>
      </c>
      <c r="E31" s="8">
        <v>270</v>
      </c>
      <c r="F31" s="8">
        <v>270</v>
      </c>
      <c r="G31" s="8">
        <v>270</v>
      </c>
      <c r="H31" s="8">
        <f t="shared" si="0"/>
        <v>1350</v>
      </c>
    </row>
    <row r="32" spans="1:8" ht="15.75">
      <c r="A32" s="13" t="s">
        <v>40</v>
      </c>
      <c r="B32" s="11" t="s">
        <v>13</v>
      </c>
      <c r="C32" s="8">
        <v>475</v>
      </c>
      <c r="D32" s="8">
        <v>420</v>
      </c>
      <c r="E32" s="8">
        <v>363</v>
      </c>
      <c r="F32" s="8">
        <v>575</v>
      </c>
      <c r="G32" s="8">
        <v>628</v>
      </c>
      <c r="H32" s="8">
        <f t="shared" si="0"/>
        <v>2461</v>
      </c>
    </row>
    <row r="33" spans="1:8" s="21" customFormat="1" ht="15.75">
      <c r="A33" s="13" t="s">
        <v>41</v>
      </c>
      <c r="B33" s="11" t="s">
        <v>13</v>
      </c>
      <c r="C33" s="8">
        <v>478</v>
      </c>
      <c r="D33" s="8">
        <v>581</v>
      </c>
      <c r="E33" s="8">
        <v>688</v>
      </c>
      <c r="F33" s="8">
        <v>529</v>
      </c>
      <c r="G33" s="8">
        <v>532</v>
      </c>
      <c r="H33" s="8">
        <f t="shared" si="0"/>
        <v>2808</v>
      </c>
    </row>
    <row r="34" spans="1:8" s="21" customFormat="1" ht="15.75">
      <c r="A34" s="38" t="s">
        <v>42</v>
      </c>
      <c r="B34" s="39" t="s">
        <v>13</v>
      </c>
      <c r="C34" s="40">
        <v>7</v>
      </c>
      <c r="D34" s="40">
        <v>7</v>
      </c>
      <c r="E34" s="40">
        <v>7</v>
      </c>
      <c r="F34" s="40">
        <v>7</v>
      </c>
      <c r="G34" s="40">
        <v>7</v>
      </c>
      <c r="H34" s="8">
        <f t="shared" si="0"/>
        <v>35</v>
      </c>
    </row>
    <row r="35" spans="1:8" ht="15.75">
      <c r="A35" s="41" t="s">
        <v>43</v>
      </c>
      <c r="B35" s="42"/>
      <c r="C35" s="43">
        <f t="shared" ref="C35:H35" si="1">SUM(C6:C34)</f>
        <v>13298</v>
      </c>
      <c r="D35" s="43">
        <f t="shared" si="1"/>
        <v>13696</v>
      </c>
      <c r="E35" s="43">
        <f t="shared" si="1"/>
        <v>14152</v>
      </c>
      <c r="F35" s="43">
        <f t="shared" si="1"/>
        <v>15165</v>
      </c>
      <c r="G35" s="43">
        <f t="shared" si="1"/>
        <v>15678</v>
      </c>
      <c r="H35" s="43">
        <f t="shared" si="1"/>
        <v>71989</v>
      </c>
    </row>
    <row r="36" spans="1:8" ht="15.75">
      <c r="B36" s="37"/>
      <c r="H36"/>
    </row>
  </sheetData>
  <autoFilter ref="A5:H35" xr:uid="{BF6BB22B-2B1E-4BB7-99F3-442F740DDD2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47E-C2EC-4A78-9B5B-73991FE0F40C}">
  <dimension ref="A1:H7"/>
  <sheetViews>
    <sheetView workbookViewId="0">
      <selection activeCell="H17" sqref="H17"/>
    </sheetView>
  </sheetViews>
  <sheetFormatPr defaultRowHeight="15"/>
  <cols>
    <col min="1" max="1" width="81.85546875" style="29" customWidth="1"/>
    <col min="2" max="7" width="9.42578125" style="28" customWidth="1"/>
    <col min="8" max="8" width="10.85546875" style="28" customWidth="1"/>
    <col min="9" max="16384" width="9.140625" style="28"/>
  </cols>
  <sheetData>
    <row r="1" spans="1:8" s="27" customFormat="1" ht="15.75">
      <c r="A1" s="23" t="s">
        <v>0</v>
      </c>
      <c r="B1" s="24"/>
      <c r="C1" s="25"/>
      <c r="D1" s="25"/>
      <c r="E1" s="25"/>
      <c r="F1" s="25"/>
      <c r="G1" s="25"/>
      <c r="H1" s="26"/>
    </row>
    <row r="2" spans="1:8" s="27" customFormat="1" ht="15.75">
      <c r="A2" s="45" t="s">
        <v>44</v>
      </c>
      <c r="B2" s="24"/>
      <c r="C2" s="25"/>
      <c r="D2" s="25"/>
      <c r="E2" s="25"/>
      <c r="F2" s="25"/>
      <c r="G2" s="25"/>
      <c r="H2" s="26" t="s">
        <v>2</v>
      </c>
    </row>
    <row r="3" spans="1:8" ht="15.75">
      <c r="A3" s="45" t="s">
        <v>45</v>
      </c>
      <c r="B3" s="7"/>
      <c r="C3" s="1"/>
      <c r="D3" s="1"/>
      <c r="E3" s="1"/>
      <c r="F3" s="1"/>
      <c r="G3" s="1"/>
      <c r="H3" s="14"/>
    </row>
    <row r="4" spans="1:8" ht="15.75">
      <c r="A4" s="2"/>
      <c r="B4" s="7"/>
      <c r="C4" s="1"/>
      <c r="D4" s="1"/>
      <c r="E4" s="1"/>
      <c r="F4" s="1"/>
      <c r="G4" s="1"/>
      <c r="H4" s="14"/>
    </row>
    <row r="5" spans="1:8">
      <c r="A5" s="3" t="s">
        <v>4</v>
      </c>
      <c r="B5" s="4" t="s">
        <v>46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12" t="s">
        <v>11</v>
      </c>
    </row>
    <row r="6" spans="1:8" ht="15.75">
      <c r="A6" s="17" t="s">
        <v>28</v>
      </c>
      <c r="B6" s="33" t="s">
        <v>13</v>
      </c>
      <c r="C6" s="34">
        <v>960</v>
      </c>
      <c r="D6" s="34">
        <v>960</v>
      </c>
      <c r="E6" s="34">
        <v>960</v>
      </c>
      <c r="F6" s="34">
        <v>960</v>
      </c>
      <c r="G6" s="34">
        <v>960</v>
      </c>
      <c r="H6" s="36">
        <f>SUM(C6:G6)</f>
        <v>4800</v>
      </c>
    </row>
    <row r="7" spans="1:8">
      <c r="A7" s="32" t="s">
        <v>47</v>
      </c>
      <c r="B7" s="35"/>
      <c r="C7" s="36">
        <f t="shared" ref="C7:G7" si="0">SUM(C6:C6)</f>
        <v>960</v>
      </c>
      <c r="D7" s="36">
        <f t="shared" si="0"/>
        <v>960</v>
      </c>
      <c r="E7" s="36">
        <f t="shared" si="0"/>
        <v>960</v>
      </c>
      <c r="F7" s="36">
        <f t="shared" si="0"/>
        <v>960</v>
      </c>
      <c r="G7" s="36">
        <f t="shared" si="0"/>
        <v>960</v>
      </c>
      <c r="H7" s="36">
        <f>SUM(C7:G7)</f>
        <v>4800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AA6-8FA9-405D-A665-C0C8D9EF141F}">
  <dimension ref="A1:H34"/>
  <sheetViews>
    <sheetView topLeftCell="A5" workbookViewId="0">
      <selection activeCell="A2" sqref="A2"/>
    </sheetView>
  </sheetViews>
  <sheetFormatPr defaultRowHeight="15"/>
  <cols>
    <col min="1" max="1" width="83.28515625" style="29" customWidth="1"/>
    <col min="2" max="2" width="9.140625" style="28"/>
    <col min="3" max="7" width="9.28515625" style="28" bestFit="1" customWidth="1"/>
    <col min="8" max="8" width="9.85546875" style="28" bestFit="1" customWidth="1"/>
    <col min="9" max="16384" width="9.140625" style="28"/>
  </cols>
  <sheetData>
    <row r="1" spans="1:8" s="27" customFormat="1" ht="15.75">
      <c r="A1" s="23" t="s">
        <v>0</v>
      </c>
      <c r="B1" s="24"/>
      <c r="C1" s="25"/>
      <c r="D1" s="25"/>
      <c r="E1" s="25"/>
      <c r="F1" s="25"/>
      <c r="G1" s="25"/>
      <c r="H1" s="26"/>
    </row>
    <row r="2" spans="1:8" s="27" customFormat="1" ht="15.75">
      <c r="A2" s="44" t="s">
        <v>48</v>
      </c>
      <c r="B2" s="24"/>
      <c r="C2" s="25"/>
      <c r="D2" s="25"/>
      <c r="E2" s="25"/>
      <c r="F2" s="25"/>
      <c r="G2" s="25"/>
      <c r="H2" s="26" t="s">
        <v>2</v>
      </c>
    </row>
    <row r="3" spans="1:8" ht="15.75">
      <c r="A3" s="2" t="s">
        <v>49</v>
      </c>
      <c r="B3" s="7"/>
      <c r="C3" s="1"/>
      <c r="D3" s="1"/>
      <c r="E3" s="1"/>
      <c r="F3" s="1"/>
      <c r="G3" s="1"/>
      <c r="H3" s="14"/>
    </row>
    <row r="4" spans="1:8" ht="15.75">
      <c r="A4" s="2"/>
      <c r="B4" s="7"/>
      <c r="C4" s="1"/>
      <c r="D4" s="1"/>
      <c r="E4" s="1"/>
      <c r="F4" s="1"/>
      <c r="G4" s="1"/>
      <c r="H4" s="14"/>
    </row>
    <row r="5" spans="1:8" ht="30.75">
      <c r="A5" s="3" t="s">
        <v>4</v>
      </c>
      <c r="B5" s="4" t="s">
        <v>46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12" t="s">
        <v>11</v>
      </c>
    </row>
    <row r="6" spans="1:8" ht="15.75">
      <c r="A6" s="9" t="s">
        <v>12</v>
      </c>
      <c r="B6" s="10" t="s">
        <v>13</v>
      </c>
      <c r="C6" s="8">
        <v>475</v>
      </c>
      <c r="D6" s="8">
        <v>535</v>
      </c>
      <c r="E6" s="8">
        <v>559</v>
      </c>
      <c r="F6" s="8">
        <v>500</v>
      </c>
      <c r="G6" s="8">
        <v>425</v>
      </c>
      <c r="H6" s="8">
        <f>C6+D6+E6+F6+G6</f>
        <v>2494</v>
      </c>
    </row>
    <row r="7" spans="1:8" ht="15.75">
      <c r="A7" s="9" t="s">
        <v>14</v>
      </c>
      <c r="B7" s="11" t="s">
        <v>13</v>
      </c>
      <c r="C7" s="8">
        <v>477</v>
      </c>
      <c r="D7" s="8">
        <v>465</v>
      </c>
      <c r="E7" s="8">
        <v>491</v>
      </c>
      <c r="F7" s="8">
        <v>603</v>
      </c>
      <c r="G7" s="8">
        <v>734</v>
      </c>
      <c r="H7" s="8">
        <f t="shared" ref="H7:H33" si="0">C7+D7+E7+F7+G7</f>
        <v>2770</v>
      </c>
    </row>
    <row r="8" spans="1:8" ht="15.75">
      <c r="A8" s="13" t="s">
        <v>15</v>
      </c>
      <c r="B8" s="11" t="s">
        <v>13</v>
      </c>
      <c r="C8" s="8">
        <v>8</v>
      </c>
      <c r="D8" s="8">
        <v>8</v>
      </c>
      <c r="E8" s="8">
        <v>8</v>
      </c>
      <c r="F8" s="8">
        <v>8</v>
      </c>
      <c r="G8" s="8">
        <v>8</v>
      </c>
      <c r="H8" s="8">
        <f t="shared" si="0"/>
        <v>40</v>
      </c>
    </row>
    <row r="9" spans="1:8" ht="15.75">
      <c r="A9" s="13" t="s">
        <v>16</v>
      </c>
      <c r="B9" s="11" t="s">
        <v>13</v>
      </c>
      <c r="C9" s="8">
        <v>220</v>
      </c>
      <c r="D9" s="8">
        <v>250</v>
      </c>
      <c r="E9" s="8">
        <v>257</v>
      </c>
      <c r="F9" s="8">
        <v>310</v>
      </c>
      <c r="G9" s="8">
        <v>269</v>
      </c>
      <c r="H9" s="8">
        <f t="shared" si="0"/>
        <v>1306</v>
      </c>
    </row>
    <row r="10" spans="1:8" ht="15.75">
      <c r="A10" s="13" t="s">
        <v>17</v>
      </c>
      <c r="B10" s="10" t="s">
        <v>13</v>
      </c>
      <c r="C10" s="8">
        <v>247</v>
      </c>
      <c r="D10" s="8">
        <v>247</v>
      </c>
      <c r="E10" s="8">
        <v>266</v>
      </c>
      <c r="F10" s="8">
        <v>240</v>
      </c>
      <c r="G10" s="8">
        <v>309</v>
      </c>
      <c r="H10" s="8">
        <f t="shared" si="0"/>
        <v>1309</v>
      </c>
    </row>
    <row r="11" spans="1:8" ht="15.75">
      <c r="A11" s="18" t="s">
        <v>18</v>
      </c>
      <c r="B11" s="11" t="s">
        <v>13</v>
      </c>
      <c r="C11" s="8">
        <v>13</v>
      </c>
      <c r="D11" s="8">
        <v>7</v>
      </c>
      <c r="E11" s="8">
        <v>7</v>
      </c>
      <c r="F11" s="8">
        <v>7</v>
      </c>
      <c r="G11" s="8">
        <v>7</v>
      </c>
      <c r="H11" s="8">
        <f t="shared" si="0"/>
        <v>41</v>
      </c>
    </row>
    <row r="12" spans="1:8" ht="15.75">
      <c r="A12" s="18" t="s">
        <v>19</v>
      </c>
      <c r="B12" s="11" t="s">
        <v>13</v>
      </c>
      <c r="C12" s="19">
        <v>480</v>
      </c>
      <c r="D12" s="19">
        <v>504</v>
      </c>
      <c r="E12" s="19">
        <v>530</v>
      </c>
      <c r="F12" s="19">
        <v>557</v>
      </c>
      <c r="G12" s="19">
        <v>585</v>
      </c>
      <c r="H12" s="8">
        <f t="shared" si="0"/>
        <v>2656</v>
      </c>
    </row>
    <row r="13" spans="1:8" ht="15.75">
      <c r="A13" s="13" t="s">
        <v>20</v>
      </c>
      <c r="B13" s="11" t="s">
        <v>13</v>
      </c>
      <c r="C13" s="8">
        <v>1920</v>
      </c>
      <c r="D13" s="8">
        <v>2016</v>
      </c>
      <c r="E13" s="8">
        <v>2116</v>
      </c>
      <c r="F13" s="8">
        <v>2222</v>
      </c>
      <c r="G13" s="8">
        <v>2333</v>
      </c>
      <c r="H13" s="8">
        <f t="shared" si="0"/>
        <v>10607</v>
      </c>
    </row>
    <row r="14" spans="1:8" ht="15.75">
      <c r="A14" s="13" t="s">
        <v>21</v>
      </c>
      <c r="B14" s="11" t="s">
        <v>13</v>
      </c>
      <c r="C14" s="8">
        <v>88</v>
      </c>
      <c r="D14" s="8">
        <v>88</v>
      </c>
      <c r="E14" s="8">
        <v>100</v>
      </c>
      <c r="F14" s="8">
        <v>105</v>
      </c>
      <c r="G14" s="8">
        <v>115</v>
      </c>
      <c r="H14" s="8">
        <f t="shared" si="0"/>
        <v>496</v>
      </c>
    </row>
    <row r="15" spans="1:8" ht="15.75">
      <c r="A15" s="13" t="s">
        <v>22</v>
      </c>
      <c r="B15" s="10" t="s">
        <v>13</v>
      </c>
      <c r="C15" s="8">
        <v>480</v>
      </c>
      <c r="D15" s="8">
        <v>504</v>
      </c>
      <c r="E15" s="8">
        <v>530</v>
      </c>
      <c r="F15" s="8">
        <v>557</v>
      </c>
      <c r="G15" s="8">
        <v>585</v>
      </c>
      <c r="H15" s="8">
        <f t="shared" si="0"/>
        <v>2656</v>
      </c>
    </row>
    <row r="16" spans="1:8" ht="15.75">
      <c r="A16" s="13" t="s">
        <v>23</v>
      </c>
      <c r="B16" s="10" t="s">
        <v>13</v>
      </c>
      <c r="C16" s="8">
        <v>20</v>
      </c>
      <c r="D16" s="8">
        <v>20</v>
      </c>
      <c r="E16" s="8">
        <v>22</v>
      </c>
      <c r="F16" s="8">
        <v>22</v>
      </c>
      <c r="G16" s="8">
        <v>22</v>
      </c>
      <c r="H16" s="8">
        <f t="shared" si="0"/>
        <v>106</v>
      </c>
    </row>
    <row r="17" spans="1:8" ht="15.75">
      <c r="A17" s="13" t="s">
        <v>24</v>
      </c>
      <c r="B17" s="10" t="s">
        <v>13</v>
      </c>
      <c r="C17" s="8">
        <v>700</v>
      </c>
      <c r="D17" s="8">
        <v>724</v>
      </c>
      <c r="E17" s="8">
        <v>760</v>
      </c>
      <c r="F17" s="8">
        <v>787</v>
      </c>
      <c r="G17" s="8">
        <v>815</v>
      </c>
      <c r="H17" s="8">
        <f t="shared" si="0"/>
        <v>3786</v>
      </c>
    </row>
    <row r="18" spans="1:8" ht="15.75">
      <c r="A18" s="13" t="s">
        <v>25</v>
      </c>
      <c r="B18" s="10" t="s">
        <v>13</v>
      </c>
      <c r="C18" s="8">
        <v>490</v>
      </c>
      <c r="D18" s="8">
        <v>504</v>
      </c>
      <c r="E18" s="8">
        <v>530</v>
      </c>
      <c r="F18" s="8">
        <v>1111</v>
      </c>
      <c r="G18" s="8">
        <v>1167</v>
      </c>
      <c r="H18" s="8">
        <f t="shared" si="0"/>
        <v>3802</v>
      </c>
    </row>
    <row r="19" spans="1:8" ht="15.75">
      <c r="A19" s="13" t="s">
        <v>26</v>
      </c>
      <c r="B19" s="10" t="s">
        <v>13</v>
      </c>
      <c r="C19" s="8">
        <v>210</v>
      </c>
      <c r="D19" s="8">
        <v>210</v>
      </c>
      <c r="E19" s="8">
        <v>210</v>
      </c>
      <c r="F19" s="8">
        <v>210</v>
      </c>
      <c r="G19" s="8">
        <v>210</v>
      </c>
      <c r="H19" s="8">
        <f t="shared" si="0"/>
        <v>1050</v>
      </c>
    </row>
    <row r="20" spans="1:8" ht="15.75">
      <c r="A20" s="13" t="s">
        <v>27</v>
      </c>
      <c r="B20" s="10" t="s">
        <v>13</v>
      </c>
      <c r="C20" s="8">
        <v>270</v>
      </c>
      <c r="D20" s="8">
        <v>270</v>
      </c>
      <c r="E20" s="8">
        <v>270</v>
      </c>
      <c r="F20" s="8">
        <v>270</v>
      </c>
      <c r="G20" s="8">
        <v>270</v>
      </c>
      <c r="H20" s="8">
        <f t="shared" si="0"/>
        <v>1350</v>
      </c>
    </row>
    <row r="21" spans="1:8" ht="15.75">
      <c r="A21" s="17" t="s">
        <v>28</v>
      </c>
      <c r="B21" s="12" t="s">
        <v>13</v>
      </c>
      <c r="C21" s="5">
        <v>1920</v>
      </c>
      <c r="D21" s="5">
        <v>1920</v>
      </c>
      <c r="E21" s="5">
        <v>1920</v>
      </c>
      <c r="F21" s="5">
        <v>1920</v>
      </c>
      <c r="G21" s="5">
        <v>1920</v>
      </c>
      <c r="H21" s="8">
        <f t="shared" si="0"/>
        <v>9600</v>
      </c>
    </row>
    <row r="22" spans="1:8" ht="15.75">
      <c r="A22" s="13" t="s">
        <v>31</v>
      </c>
      <c r="B22" s="11" t="s">
        <v>13</v>
      </c>
      <c r="C22" s="8">
        <v>270</v>
      </c>
      <c r="D22" s="8">
        <v>402</v>
      </c>
      <c r="E22" s="8">
        <v>574</v>
      </c>
      <c r="F22" s="8">
        <v>492</v>
      </c>
      <c r="G22" s="8">
        <v>551</v>
      </c>
      <c r="H22" s="8">
        <f t="shared" si="0"/>
        <v>2289</v>
      </c>
    </row>
    <row r="23" spans="1:8" ht="15.75">
      <c r="A23" s="13" t="s">
        <v>32</v>
      </c>
      <c r="B23" s="11" t="s">
        <v>13</v>
      </c>
      <c r="C23" s="8">
        <v>683</v>
      </c>
      <c r="D23" s="8">
        <v>599</v>
      </c>
      <c r="E23" s="8">
        <v>484</v>
      </c>
      <c r="F23" s="8">
        <v>619</v>
      </c>
      <c r="G23" s="8">
        <v>616</v>
      </c>
      <c r="H23" s="8">
        <f t="shared" si="0"/>
        <v>3001</v>
      </c>
    </row>
    <row r="24" spans="1:8" ht="15.75">
      <c r="A24" s="13" t="s">
        <v>33</v>
      </c>
      <c r="B24" s="11" t="s">
        <v>13</v>
      </c>
      <c r="C24" s="8">
        <v>7</v>
      </c>
      <c r="D24" s="8">
        <v>7</v>
      </c>
      <c r="E24" s="8"/>
      <c r="F24" s="8"/>
      <c r="G24" s="8"/>
      <c r="H24" s="8">
        <f t="shared" si="0"/>
        <v>14</v>
      </c>
    </row>
    <row r="25" spans="1:8" ht="15.75">
      <c r="A25" s="17" t="s">
        <v>34</v>
      </c>
      <c r="B25" s="12" t="s">
        <v>13</v>
      </c>
      <c r="C25" s="5">
        <v>960</v>
      </c>
      <c r="D25" s="5">
        <v>960</v>
      </c>
      <c r="E25" s="5">
        <v>960</v>
      </c>
      <c r="F25" s="5">
        <v>960</v>
      </c>
      <c r="G25" s="5">
        <v>960</v>
      </c>
      <c r="H25" s="8">
        <f t="shared" si="0"/>
        <v>4800</v>
      </c>
    </row>
    <row r="26" spans="1:8" ht="15.75">
      <c r="A26" s="13" t="s">
        <v>35</v>
      </c>
      <c r="B26" s="11" t="s">
        <v>13</v>
      </c>
      <c r="C26" s="8">
        <v>240</v>
      </c>
      <c r="D26" s="8">
        <v>350</v>
      </c>
      <c r="E26" s="8">
        <v>330</v>
      </c>
      <c r="F26" s="8">
        <v>408</v>
      </c>
      <c r="G26" s="8">
        <v>450</v>
      </c>
      <c r="H26" s="8">
        <f t="shared" si="0"/>
        <v>1778</v>
      </c>
    </row>
    <row r="27" spans="1:8" ht="15.75">
      <c r="A27" s="13" t="s">
        <v>36</v>
      </c>
      <c r="B27" s="11" t="s">
        <v>13</v>
      </c>
      <c r="C27" s="8">
        <v>480</v>
      </c>
      <c r="D27" s="8">
        <v>504</v>
      </c>
      <c r="E27" s="8">
        <v>530</v>
      </c>
      <c r="F27" s="8">
        <v>557</v>
      </c>
      <c r="G27" s="8">
        <v>585</v>
      </c>
      <c r="H27" s="8">
        <f t="shared" si="0"/>
        <v>2656</v>
      </c>
    </row>
    <row r="28" spans="1:8" ht="15.75">
      <c r="A28" s="13" t="s">
        <v>37</v>
      </c>
      <c r="B28" s="11" t="s">
        <v>13</v>
      </c>
      <c r="C28" s="8">
        <v>240</v>
      </c>
      <c r="D28" s="8">
        <v>154</v>
      </c>
      <c r="E28" s="8">
        <v>200</v>
      </c>
      <c r="F28" s="8">
        <v>149</v>
      </c>
      <c r="G28" s="8">
        <v>135</v>
      </c>
      <c r="H28" s="8">
        <f t="shared" si="0"/>
        <v>878</v>
      </c>
    </row>
    <row r="29" spans="1:8" ht="15.75">
      <c r="A29" s="13" t="s">
        <v>38</v>
      </c>
      <c r="B29" s="11" t="s">
        <v>13</v>
      </c>
      <c r="C29" s="8">
        <v>210</v>
      </c>
      <c r="D29" s="8">
        <v>210</v>
      </c>
      <c r="E29" s="8">
        <v>210</v>
      </c>
      <c r="F29" s="8">
        <v>210</v>
      </c>
      <c r="G29" s="8">
        <v>210</v>
      </c>
      <c r="H29" s="8">
        <f t="shared" si="0"/>
        <v>1050</v>
      </c>
    </row>
    <row r="30" spans="1:8" ht="15.75">
      <c r="A30" s="13" t="s">
        <v>39</v>
      </c>
      <c r="B30" s="11" t="s">
        <v>13</v>
      </c>
      <c r="C30" s="8">
        <v>270</v>
      </c>
      <c r="D30" s="8">
        <v>270</v>
      </c>
      <c r="E30" s="8">
        <v>270</v>
      </c>
      <c r="F30" s="8">
        <v>270</v>
      </c>
      <c r="G30" s="8">
        <v>270</v>
      </c>
      <c r="H30" s="8">
        <f t="shared" si="0"/>
        <v>1350</v>
      </c>
    </row>
    <row r="31" spans="1:8" ht="15.75">
      <c r="A31" s="13" t="s">
        <v>40</v>
      </c>
      <c r="B31" s="11" t="s">
        <v>13</v>
      </c>
      <c r="C31" s="8">
        <v>475</v>
      </c>
      <c r="D31" s="8">
        <v>420</v>
      </c>
      <c r="E31" s="8">
        <v>363</v>
      </c>
      <c r="F31" s="8">
        <v>575</v>
      </c>
      <c r="G31" s="8">
        <v>628</v>
      </c>
      <c r="H31" s="8">
        <f t="shared" si="0"/>
        <v>2461</v>
      </c>
    </row>
    <row r="32" spans="1:8" ht="15.75">
      <c r="A32" s="13" t="s">
        <v>41</v>
      </c>
      <c r="B32" s="11" t="s">
        <v>13</v>
      </c>
      <c r="C32" s="40">
        <v>478</v>
      </c>
      <c r="D32" s="40">
        <v>581</v>
      </c>
      <c r="E32" s="40">
        <v>688</v>
      </c>
      <c r="F32" s="40">
        <v>529</v>
      </c>
      <c r="G32" s="40">
        <v>532</v>
      </c>
      <c r="H32" s="8">
        <f t="shared" si="0"/>
        <v>2808</v>
      </c>
    </row>
    <row r="33" spans="1:8" ht="15.75">
      <c r="A33" s="13" t="s">
        <v>42</v>
      </c>
      <c r="B33" s="47" t="s">
        <v>13</v>
      </c>
      <c r="C33" s="46">
        <v>7</v>
      </c>
      <c r="D33" s="46">
        <v>7</v>
      </c>
      <c r="E33" s="46">
        <v>7</v>
      </c>
      <c r="F33" s="46">
        <v>7</v>
      </c>
      <c r="G33" s="46">
        <v>7</v>
      </c>
      <c r="H33" s="48">
        <f t="shared" si="0"/>
        <v>35</v>
      </c>
    </row>
    <row r="34" spans="1:8" ht="15.75">
      <c r="A34" s="31" t="s">
        <v>47</v>
      </c>
      <c r="C34" s="30">
        <f t="shared" ref="C34:H34" si="1">SUM(C6:C33)</f>
        <v>12338</v>
      </c>
      <c r="D34" s="30">
        <f t="shared" si="1"/>
        <v>12736</v>
      </c>
      <c r="E34" s="30">
        <f t="shared" si="1"/>
        <v>13192</v>
      </c>
      <c r="F34" s="30">
        <f t="shared" si="1"/>
        <v>14205</v>
      </c>
      <c r="G34" s="30">
        <f t="shared" si="1"/>
        <v>14718</v>
      </c>
      <c r="H34" s="30">
        <f t="shared" si="1"/>
        <v>67189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0BA2CEED28742A4F8AC2D51BC246E" ma:contentTypeVersion="14" ma:contentTypeDescription="Create a new document." ma:contentTypeScope="" ma:versionID="c5bfd4d025b57f1fb630d41d5d0d72d2">
  <xsd:schema xmlns:xsd="http://www.w3.org/2001/XMLSchema" xmlns:xs="http://www.w3.org/2001/XMLSchema" xmlns:p="http://schemas.microsoft.com/office/2006/metadata/properties" xmlns:ns2="1438cc18-f613-495a-893f-1116621d34dd" xmlns:ns3="b2130a69-70b2-4abb-afa6-fe5edc804dca" targetNamespace="http://schemas.microsoft.com/office/2006/metadata/properties" ma:root="true" ma:fieldsID="ec1305ea9a9779d48a87a75a1e3bace1" ns2:_="" ns3:_="">
    <xsd:import namespace="1438cc18-f613-495a-893f-1116621d34dd"/>
    <xsd:import namespace="b2130a69-70b2-4abb-afa6-fe5edc804d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cc18-f613-495a-893f-1116621d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0a69-70b2-4abb-afa6-fe5edc804d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929628-be75-4929-8336-c013cf3c6647}" ma:internalName="TaxCatchAll" ma:showField="CatchAllData" ma:web="b2130a69-70b2-4abb-afa6-fe5edc804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130a69-70b2-4abb-afa6-fe5edc804dca" xsi:nil="true"/>
    <lcf76f155ced4ddcb4097134ff3c332f xmlns="1438cc18-f613-495a-893f-1116621d34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CE5CF-5C6D-47EA-83A5-C97AE5EEEBB3}"/>
</file>

<file path=customXml/itemProps2.xml><?xml version="1.0" encoding="utf-8"?>
<ds:datastoreItem xmlns:ds="http://schemas.openxmlformats.org/officeDocument/2006/customXml" ds:itemID="{33735A30-7D36-4EF8-A390-114C7E87B8A8}"/>
</file>

<file path=customXml/itemProps3.xml><?xml version="1.0" encoding="utf-8"?>
<ds:datastoreItem xmlns:ds="http://schemas.openxmlformats.org/officeDocument/2006/customXml" ds:itemID="{36A62687-5EA1-4A3E-B11A-BBB7C628CAD3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HPES NMCI NGEN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Kimberly A CIV USN COMNAVAIRSYSCOM PAX (USA)</dc:creator>
  <cp:keywords/>
  <dc:description/>
  <cp:lastModifiedBy/>
  <cp:revision/>
  <dcterms:created xsi:type="dcterms:W3CDTF">2024-03-27T12:24:32Z</dcterms:created>
  <dcterms:modified xsi:type="dcterms:W3CDTF">2026-03-19T16:48:01Z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0x0101007C80BA2CEED28742A4F8AC2D51BC246E</vt:lpwstr>
  </property>
  <property fmtid="{D5CDD505-2E9C-101B-9397-08002B2CF9AE}" pid="3" name="MediaServiceImageTags">
    <vt:lpwstr/>
  </property>
</Properties>
</file>