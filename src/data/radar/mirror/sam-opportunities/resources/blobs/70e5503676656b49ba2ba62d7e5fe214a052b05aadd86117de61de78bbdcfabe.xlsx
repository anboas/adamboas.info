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S:\Acquisition\ACQ2\!Construction Contracts\FY25\IDIQ 25R2559 HR Rigid Paving\1. Preaward w.out Peer Review\Tab 12 Solicitation &amp; Amendments\Amendments\Amend 0002\"/>
    </mc:Choice>
  </mc:AlternateContent>
  <xr:revisionPtr revIDLastSave="0" documentId="13_ncr:1_{F415ABD9-9BDD-45AD-B208-637FD0AE3542}" xr6:coauthVersionLast="47" xr6:coauthVersionMax="47" xr10:uidLastSave="{00000000-0000-0000-0000-000000000000}"/>
  <bookViews>
    <workbookView xWindow="-108" yWindow="60" windowWidth="23256" windowHeight="12408" tabRatio="684" xr2:uid="{00000000-000D-0000-FFFF-FFFF00000000}"/>
  </bookViews>
  <sheets>
    <sheet name="Synopsis of Line Items" sheetId="7" r:id="rId1"/>
    <sheet name="Summary" sheetId="8" r:id="rId2"/>
    <sheet name="Base Year " sheetId="1" r:id="rId3"/>
    <sheet name="Option One " sheetId="2" r:id="rId4"/>
    <sheet name="Option Two " sheetId="3" r:id="rId5"/>
    <sheet name="Option Three" sheetId="6" r:id="rId6"/>
    <sheet name="Option Four" sheetId="5" r:id="rId7"/>
  </sheets>
  <externalReferences>
    <externalReference r:id="rId8"/>
    <externalReference r:id="rId9"/>
  </externalReferenc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6" i="1" l="1"/>
  <c r="G14" i="1"/>
  <c r="G16" i="1"/>
  <c r="G18" i="1"/>
  <c r="G20" i="1"/>
  <c r="G22" i="1"/>
  <c r="G24" i="1"/>
  <c r="G28" i="1"/>
  <c r="G30" i="1"/>
  <c r="G32" i="1"/>
  <c r="G34" i="1"/>
  <c r="G36" i="1"/>
  <c r="G38" i="1"/>
  <c r="G40" i="1"/>
  <c r="G42" i="1"/>
  <c r="G44" i="1"/>
  <c r="G46" i="1"/>
  <c r="G48" i="1"/>
  <c r="G52" i="1"/>
  <c r="G54" i="1"/>
  <c r="G56" i="1"/>
  <c r="G58" i="1"/>
  <c r="G60" i="1"/>
  <c r="G62" i="1"/>
  <c r="G64" i="1"/>
  <c r="G66" i="1"/>
  <c r="G68" i="1"/>
  <c r="G70" i="1"/>
  <c r="G74" i="1"/>
  <c r="G76" i="1"/>
  <c r="G80" i="1"/>
  <c r="G82" i="1"/>
  <c r="G86" i="1"/>
  <c r="G88" i="1"/>
  <c r="G90" i="1"/>
  <c r="G92" i="1"/>
  <c r="G94" i="1"/>
  <c r="G96" i="1"/>
  <c r="G98" i="1"/>
  <c r="G100" i="1"/>
  <c r="G102" i="1"/>
  <c r="G106" i="1"/>
  <c r="G108" i="1"/>
  <c r="G110" i="1"/>
  <c r="G112" i="1"/>
  <c r="G114" i="1"/>
  <c r="G116" i="1"/>
  <c r="G118" i="1"/>
  <c r="G120" i="1"/>
  <c r="G122" i="1"/>
  <c r="G124" i="1"/>
  <c r="G126" i="1"/>
  <c r="G128" i="1"/>
  <c r="G130" i="1"/>
  <c r="G132" i="1"/>
  <c r="G134" i="1"/>
  <c r="G136" i="1"/>
  <c r="G138" i="1"/>
  <c r="G140" i="1"/>
  <c r="G144" i="1"/>
  <c r="G146" i="1"/>
  <c r="G148" i="1"/>
  <c r="G150" i="1"/>
  <c r="G152" i="1"/>
  <c r="G154" i="1"/>
  <c r="G156" i="1"/>
  <c r="G158" i="1"/>
  <c r="G160" i="1"/>
  <c r="G164" i="1"/>
  <c r="G166" i="1"/>
  <c r="G168" i="1"/>
  <c r="G170" i="1"/>
  <c r="G172" i="1"/>
  <c r="G174" i="1"/>
  <c r="G176" i="1"/>
  <c r="G178" i="1"/>
  <c r="G180" i="1"/>
  <c r="G182" i="1"/>
  <c r="G184" i="1"/>
  <c r="G186" i="1"/>
  <c r="G188" i="1"/>
  <c r="G190" i="1"/>
  <c r="G192" i="1"/>
  <c r="G196" i="1"/>
  <c r="G198" i="1"/>
  <c r="G200" i="1"/>
  <c r="G202" i="1"/>
  <c r="G204" i="1"/>
  <c r="G206" i="1"/>
  <c r="G208" i="1"/>
  <c r="G210" i="1"/>
  <c r="G212" i="1"/>
  <c r="G214" i="1"/>
  <c r="G216" i="1"/>
  <c r="G218" i="1"/>
  <c r="G220" i="1"/>
  <c r="G222" i="1"/>
  <c r="G224" i="1"/>
  <c r="G226" i="1"/>
  <c r="G228" i="1"/>
  <c r="G230" i="1"/>
  <c r="G232" i="1"/>
  <c r="G234" i="1"/>
  <c r="G236" i="1"/>
  <c r="G240" i="1"/>
  <c r="G244" i="1"/>
  <c r="G249" i="1"/>
  <c r="E8" i="8"/>
  <c r="G12" i="2"/>
  <c r="G14" i="2"/>
  <c r="G16" i="2"/>
  <c r="G18" i="2"/>
  <c r="G20" i="2"/>
  <c r="G22" i="2"/>
  <c r="G24" i="2"/>
  <c r="G28" i="2"/>
  <c r="G30" i="2"/>
  <c r="G32" i="2"/>
  <c r="G34" i="2"/>
  <c r="G36" i="2"/>
  <c r="G38" i="2"/>
  <c r="G40" i="2"/>
  <c r="G42" i="2"/>
  <c r="G44" i="2"/>
  <c r="G46" i="2"/>
  <c r="G48" i="2"/>
  <c r="G52" i="2"/>
  <c r="G54" i="2"/>
  <c r="G56" i="2"/>
  <c r="G58" i="2"/>
  <c r="G60" i="2"/>
  <c r="G62" i="2"/>
  <c r="G64" i="2"/>
  <c r="G66" i="2"/>
  <c r="G68" i="2"/>
  <c r="G70" i="2"/>
  <c r="G74" i="2"/>
  <c r="G76" i="2"/>
  <c r="G80" i="2"/>
  <c r="G82" i="2"/>
  <c r="G86" i="2"/>
  <c r="G88" i="2"/>
  <c r="G90" i="2"/>
  <c r="G92" i="2"/>
  <c r="G94" i="2"/>
  <c r="G96" i="2"/>
  <c r="G98" i="2"/>
  <c r="G100" i="2"/>
  <c r="G102" i="2"/>
  <c r="G106" i="2"/>
  <c r="G108" i="2"/>
  <c r="G110" i="2"/>
  <c r="G112" i="2"/>
  <c r="G114" i="2"/>
  <c r="G116" i="2"/>
  <c r="G118" i="2"/>
  <c r="G120" i="2"/>
  <c r="G122" i="2"/>
  <c r="G124" i="2"/>
  <c r="G126" i="2"/>
  <c r="G128" i="2"/>
  <c r="G130" i="2"/>
  <c r="G132" i="2"/>
  <c r="G134" i="2"/>
  <c r="G136" i="2"/>
  <c r="G138" i="2"/>
  <c r="G140" i="2"/>
  <c r="G144" i="2"/>
  <c r="G146" i="2"/>
  <c r="G148" i="2"/>
  <c r="G150" i="2"/>
  <c r="G152" i="2"/>
  <c r="G154" i="2"/>
  <c r="G156" i="2"/>
  <c r="G158" i="2"/>
  <c r="G160" i="2"/>
  <c r="G164" i="2"/>
  <c r="G166" i="2"/>
  <c r="G168" i="2"/>
  <c r="G170" i="2"/>
  <c r="G172" i="2"/>
  <c r="G174" i="2"/>
  <c r="G176" i="2"/>
  <c r="G178" i="2"/>
  <c r="G180" i="2"/>
  <c r="G182" i="2"/>
  <c r="G184" i="2"/>
  <c r="G186" i="2"/>
  <c r="G188" i="2"/>
  <c r="G190" i="2"/>
  <c r="G192" i="2"/>
  <c r="G196" i="2"/>
  <c r="G198" i="2"/>
  <c r="G200" i="2"/>
  <c r="G202" i="2"/>
  <c r="G204" i="2"/>
  <c r="G206" i="2"/>
  <c r="G208" i="2"/>
  <c r="G210" i="2"/>
  <c r="G212" i="2"/>
  <c r="G214" i="2"/>
  <c r="G216" i="2"/>
  <c r="G218" i="2"/>
  <c r="G220" i="2"/>
  <c r="G222" i="2"/>
  <c r="G224" i="2"/>
  <c r="G226" i="2"/>
  <c r="G228" i="2"/>
  <c r="G230" i="2"/>
  <c r="G232" i="2"/>
  <c r="G234" i="2"/>
  <c r="G236" i="2"/>
  <c r="G246" i="2"/>
  <c r="G248" i="2"/>
  <c r="E10" i="8"/>
  <c r="G12" i="3"/>
  <c r="G14" i="3"/>
  <c r="G16" i="3"/>
  <c r="G18" i="3"/>
  <c r="G20" i="3"/>
  <c r="G22" i="3"/>
  <c r="G24" i="3"/>
  <c r="G28" i="3"/>
  <c r="G30" i="3"/>
  <c r="G32" i="3"/>
  <c r="G34" i="3"/>
  <c r="G36" i="3"/>
  <c r="G38" i="3"/>
  <c r="G40" i="3"/>
  <c r="G42" i="3"/>
  <c r="G44" i="3"/>
  <c r="G46" i="3"/>
  <c r="G48" i="3"/>
  <c r="G52" i="3"/>
  <c r="G54" i="3"/>
  <c r="G56" i="3"/>
  <c r="G58" i="3"/>
  <c r="G60" i="3"/>
  <c r="G62" i="3"/>
  <c r="G64" i="3"/>
  <c r="G66" i="3"/>
  <c r="G68" i="3"/>
  <c r="G70" i="3"/>
  <c r="G74" i="3"/>
  <c r="G76" i="3"/>
  <c r="G80" i="3"/>
  <c r="G82" i="3"/>
  <c r="G86" i="3"/>
  <c r="G88" i="3"/>
  <c r="G90" i="3"/>
  <c r="G92" i="3"/>
  <c r="G94" i="3"/>
  <c r="G96" i="3"/>
  <c r="G98" i="3"/>
  <c r="G100" i="3"/>
  <c r="G102" i="3"/>
  <c r="G106" i="3"/>
  <c r="G108" i="3"/>
  <c r="G110" i="3"/>
  <c r="G112" i="3"/>
  <c r="G114" i="3"/>
  <c r="G116" i="3"/>
  <c r="G118" i="3"/>
  <c r="G120" i="3"/>
  <c r="G122" i="3"/>
  <c r="G124" i="3"/>
  <c r="G126" i="3"/>
  <c r="G128" i="3"/>
  <c r="G130" i="3"/>
  <c r="G132" i="3"/>
  <c r="G134" i="3"/>
  <c r="G136" i="3"/>
  <c r="G138" i="3"/>
  <c r="G140" i="3"/>
  <c r="G144" i="3"/>
  <c r="G146" i="3"/>
  <c r="G148" i="3"/>
  <c r="G150" i="3"/>
  <c r="G152" i="3"/>
  <c r="G154" i="3"/>
  <c r="G156" i="3"/>
  <c r="G158" i="3"/>
  <c r="G160" i="3"/>
  <c r="G164" i="3"/>
  <c r="G166" i="3"/>
  <c r="G168" i="3"/>
  <c r="G170" i="3"/>
  <c r="G172" i="3"/>
  <c r="G174" i="3"/>
  <c r="G176" i="3"/>
  <c r="G178" i="3"/>
  <c r="G180" i="3"/>
  <c r="G182" i="3"/>
  <c r="G184" i="3"/>
  <c r="G186" i="3"/>
  <c r="G188" i="3"/>
  <c r="G190" i="3"/>
  <c r="G192" i="3"/>
  <c r="G196" i="3"/>
  <c r="G198" i="3"/>
  <c r="G200" i="3"/>
  <c r="G202" i="3"/>
  <c r="G204" i="3"/>
  <c r="G206" i="3"/>
  <c r="G208" i="3"/>
  <c r="G210" i="3"/>
  <c r="G212" i="3"/>
  <c r="G214" i="3"/>
  <c r="G216" i="3"/>
  <c r="G218" i="3"/>
  <c r="G220" i="3"/>
  <c r="G222" i="3"/>
  <c r="G224" i="3"/>
  <c r="G226" i="3"/>
  <c r="G228" i="3"/>
  <c r="G230" i="3"/>
  <c r="G232" i="3"/>
  <c r="G234" i="3"/>
  <c r="G236" i="3"/>
  <c r="G240" i="3"/>
  <c r="G244" i="3"/>
  <c r="G246" i="3"/>
  <c r="G248" i="3"/>
  <c r="E12" i="8"/>
  <c r="G12" i="6"/>
  <c r="G14" i="6"/>
  <c r="G16" i="6"/>
  <c r="G18" i="6"/>
  <c r="G20" i="6"/>
  <c r="G22" i="6"/>
  <c r="G24" i="6"/>
  <c r="G28" i="6"/>
  <c r="G30" i="6"/>
  <c r="G32" i="6"/>
  <c r="G34" i="6"/>
  <c r="G36" i="6"/>
  <c r="G38" i="6"/>
  <c r="G40" i="6"/>
  <c r="G42" i="6"/>
  <c r="G44" i="6"/>
  <c r="G46" i="6"/>
  <c r="G48" i="6"/>
  <c r="G52" i="6"/>
  <c r="G54" i="6"/>
  <c r="G56" i="6"/>
  <c r="G58" i="6"/>
  <c r="G60" i="6"/>
  <c r="G62" i="6"/>
  <c r="G64" i="6"/>
  <c r="G66" i="6"/>
  <c r="G68" i="6"/>
  <c r="G70" i="6"/>
  <c r="G74" i="6"/>
  <c r="G76" i="6"/>
  <c r="G80" i="6"/>
  <c r="G82" i="6"/>
  <c r="G86" i="6"/>
  <c r="G88" i="6"/>
  <c r="G90" i="6"/>
  <c r="G92" i="6"/>
  <c r="G94" i="6"/>
  <c r="G96" i="6"/>
  <c r="G98" i="6"/>
  <c r="G100" i="6"/>
  <c r="G102" i="6"/>
  <c r="G106" i="6"/>
  <c r="G108" i="6"/>
  <c r="G110" i="6"/>
  <c r="G112" i="6"/>
  <c r="G114" i="6"/>
  <c r="G116" i="6"/>
  <c r="G118" i="6"/>
  <c r="G120" i="6"/>
  <c r="G122" i="6"/>
  <c r="G124" i="6"/>
  <c r="G126" i="6"/>
  <c r="G128" i="6"/>
  <c r="G130" i="6"/>
  <c r="G132" i="6"/>
  <c r="G134" i="6"/>
  <c r="G136" i="6"/>
  <c r="G138" i="6"/>
  <c r="G140" i="6"/>
  <c r="G144" i="6"/>
  <c r="G146" i="6"/>
  <c r="G148" i="6"/>
  <c r="G150" i="6"/>
  <c r="G152" i="6"/>
  <c r="G154" i="6"/>
  <c r="G156" i="6"/>
  <c r="G158" i="6"/>
  <c r="G160" i="6"/>
  <c r="G164" i="6"/>
  <c r="G166" i="6"/>
  <c r="G168" i="6"/>
  <c r="G170" i="6"/>
  <c r="G172" i="6"/>
  <c r="G174" i="6"/>
  <c r="G176" i="6"/>
  <c r="G178" i="6"/>
  <c r="G180" i="6"/>
  <c r="G182" i="6"/>
  <c r="G184" i="6"/>
  <c r="G186" i="6"/>
  <c r="G188" i="6"/>
  <c r="G190" i="6"/>
  <c r="G192" i="6"/>
  <c r="G196" i="6"/>
  <c r="G198" i="6"/>
  <c r="G200" i="6"/>
  <c r="G202" i="6"/>
  <c r="G204" i="6"/>
  <c r="G206" i="6"/>
  <c r="G208" i="6"/>
  <c r="G210" i="6"/>
  <c r="G212" i="6"/>
  <c r="G214" i="6"/>
  <c r="G216" i="6"/>
  <c r="G218" i="6"/>
  <c r="G220" i="6"/>
  <c r="G222" i="6"/>
  <c r="G224" i="6"/>
  <c r="G226" i="6"/>
  <c r="G228" i="6"/>
  <c r="G230" i="6"/>
  <c r="G232" i="6"/>
  <c r="G234" i="6"/>
  <c r="G236" i="6"/>
  <c r="G240" i="6"/>
  <c r="G244" i="6"/>
  <c r="G246" i="6"/>
  <c r="G248" i="6"/>
  <c r="E14" i="8"/>
  <c r="G12" i="5"/>
  <c r="G14" i="5"/>
  <c r="G16" i="5"/>
  <c r="G18" i="5"/>
  <c r="G20" i="5"/>
  <c r="G22" i="5"/>
  <c r="G24" i="5"/>
  <c r="G28" i="5"/>
  <c r="G30" i="5"/>
  <c r="G32" i="5"/>
  <c r="G34" i="5"/>
  <c r="G36" i="5"/>
  <c r="G38" i="5"/>
  <c r="G40" i="5"/>
  <c r="G42" i="5"/>
  <c r="G44" i="5"/>
  <c r="G46" i="5"/>
  <c r="G48" i="5"/>
  <c r="G52" i="5"/>
  <c r="G54" i="5"/>
  <c r="G56" i="5"/>
  <c r="G58" i="5"/>
  <c r="G60" i="5"/>
  <c r="G62" i="5"/>
  <c r="G64" i="5"/>
  <c r="G66" i="5"/>
  <c r="G68" i="5"/>
  <c r="G70" i="5"/>
  <c r="G74" i="5"/>
  <c r="G76" i="5"/>
  <c r="G80" i="5"/>
  <c r="G82" i="5"/>
  <c r="G86" i="5"/>
  <c r="G88" i="5"/>
  <c r="G90" i="5"/>
  <c r="G92" i="5"/>
  <c r="G94" i="5"/>
  <c r="G96" i="5"/>
  <c r="G98" i="5"/>
  <c r="G100" i="5"/>
  <c r="G102" i="5"/>
  <c r="G106" i="5"/>
  <c r="G108" i="5"/>
  <c r="G110" i="5"/>
  <c r="G112" i="5"/>
  <c r="G114" i="5"/>
  <c r="G116" i="5"/>
  <c r="G118" i="5"/>
  <c r="G120" i="5"/>
  <c r="G122" i="5"/>
  <c r="G124" i="5"/>
  <c r="G126" i="5"/>
  <c r="G128" i="5"/>
  <c r="G130" i="5"/>
  <c r="G132" i="5"/>
  <c r="G134" i="5"/>
  <c r="G136" i="5"/>
  <c r="G138" i="5"/>
  <c r="G140" i="5"/>
  <c r="G144" i="5"/>
  <c r="G146" i="5"/>
  <c r="G148" i="5"/>
  <c r="G150" i="5"/>
  <c r="G152" i="5"/>
  <c r="G154" i="5"/>
  <c r="G156" i="5"/>
  <c r="G158" i="5"/>
  <c r="G160" i="5"/>
  <c r="G164" i="5"/>
  <c r="G166" i="5"/>
  <c r="G168" i="5"/>
  <c r="G170" i="5"/>
  <c r="G172" i="5"/>
  <c r="G174" i="5"/>
  <c r="G176" i="5"/>
  <c r="G178" i="5"/>
  <c r="G180" i="5"/>
  <c r="G182" i="5"/>
  <c r="G184" i="5"/>
  <c r="G186" i="5"/>
  <c r="G188" i="5"/>
  <c r="G190" i="5"/>
  <c r="G192" i="5"/>
  <c r="G196" i="5"/>
  <c r="G198" i="5"/>
  <c r="G200" i="5"/>
  <c r="G202" i="5"/>
  <c r="G204" i="5"/>
  <c r="G206" i="5"/>
  <c r="G208" i="5"/>
  <c r="G210" i="5"/>
  <c r="G212" i="5"/>
  <c r="G214" i="5"/>
  <c r="G216" i="5"/>
  <c r="G218" i="5"/>
  <c r="G220" i="5"/>
  <c r="G222" i="5"/>
  <c r="G224" i="5"/>
  <c r="G226" i="5"/>
  <c r="G228" i="5"/>
  <c r="G230" i="5"/>
  <c r="G232" i="5"/>
  <c r="G234" i="5"/>
  <c r="G236" i="5"/>
  <c r="G240" i="5"/>
  <c r="G244" i="5"/>
  <c r="G246" i="5"/>
  <c r="G248" i="5"/>
  <c r="E16" i="8"/>
  <c r="E19" i="8"/>
  <c r="G12" i="1"/>
  <c r="D244" i="6"/>
  <c r="D244" i="5"/>
  <c r="D244" i="3"/>
  <c r="D244" i="2"/>
  <c r="D244" i="1"/>
</calcChain>
</file>

<file path=xl/sharedStrings.xml><?xml version="1.0" encoding="utf-8"?>
<sst xmlns="http://schemas.openxmlformats.org/spreadsheetml/2006/main" count="3211" uniqueCount="934">
  <si>
    <t xml:space="preserve">  </t>
  </si>
  <si>
    <t xml:space="preserve"> </t>
  </si>
  <si>
    <t xml:space="preserve">EXHIBIT A, EXHIBIT LINE ITEMS </t>
  </si>
  <si>
    <t>SCHEDULE OF PRICES FOR SUPPLIES/SERVICES</t>
  </si>
  <si>
    <t>INDEFINITE QUANTITY (IQ) WORK ITEMS - BASE YEAR - CLIN 0001</t>
  </si>
  <si>
    <t>ELIN</t>
  </si>
  <si>
    <t>Description</t>
  </si>
  <si>
    <t>Est. Qty</t>
  </si>
  <si>
    <t>Unit</t>
  </si>
  <si>
    <t>Unit Price</t>
  </si>
  <si>
    <t>A001</t>
  </si>
  <si>
    <t>SITE PREPERATION WORK  (UFGS 01 57 19 Temporary Environmental Controls)</t>
  </si>
  <si>
    <t>A00101</t>
  </si>
  <si>
    <t>Temparory chain link fencing fencing, 6 ft hight minimum</t>
  </si>
  <si>
    <t xml:space="preserve">LF </t>
  </si>
  <si>
    <t>A00102</t>
  </si>
  <si>
    <t>Dust control for disturbed soil or haul roads</t>
  </si>
  <si>
    <t>1000-SY</t>
  </si>
  <si>
    <t>A00103</t>
  </si>
  <si>
    <t>Temporary diversion dikes</t>
  </si>
  <si>
    <t>A00104</t>
  </si>
  <si>
    <t xml:space="preserve">Silt fencing </t>
  </si>
  <si>
    <t>A00105</t>
  </si>
  <si>
    <t>Storm drain inlet silt protection</t>
  </si>
  <si>
    <t>EA</t>
  </si>
  <si>
    <t>A00106</t>
  </si>
  <si>
    <t>Barricades: Low profile barricades as required to close movement areas to aircraft in order to safely perform work.</t>
  </si>
  <si>
    <t>A00107</t>
  </si>
  <si>
    <t>Temporary Runway and Helipad "X" Closure markings. (typically made of yellow plywood)</t>
  </si>
  <si>
    <t>A002</t>
  </si>
  <si>
    <t>DEMOLITION, REMOVAL, AND DISPOSAL</t>
  </si>
  <si>
    <t>A00201</t>
  </si>
  <si>
    <t xml:space="preserve">Sawcutting (Per LF up to 4 inches deep) </t>
  </si>
  <si>
    <t>LF-IN</t>
  </si>
  <si>
    <t>A00202</t>
  </si>
  <si>
    <t xml:space="preserve">Concrete Removal-Plain </t>
  </si>
  <si>
    <t>CY</t>
  </si>
  <si>
    <t>A00203</t>
  </si>
  <si>
    <t xml:space="preserve">Concrete Removal-Reinf </t>
  </si>
  <si>
    <t>A00204</t>
  </si>
  <si>
    <t xml:space="preserve">Bituminous Pavement Removal </t>
  </si>
  <si>
    <t>A00205</t>
  </si>
  <si>
    <t xml:space="preserve">Milling of Bituminous Pavement </t>
  </si>
  <si>
    <t>SY-IN</t>
  </si>
  <si>
    <t>A00206</t>
  </si>
  <si>
    <t xml:space="preserve">Rubber Removal 1 To 75,000 SF </t>
  </si>
  <si>
    <t>SF</t>
  </si>
  <si>
    <t>A00207</t>
  </si>
  <si>
    <t xml:space="preserve">Rubber Removal 75,001 To 200,000 SF </t>
  </si>
  <si>
    <t>A00208</t>
  </si>
  <si>
    <t xml:space="preserve">Rubber Removal 200,001 and Above </t>
  </si>
  <si>
    <t>A00209</t>
  </si>
  <si>
    <t>Paint Removal Contractor Disposal (85%)</t>
  </si>
  <si>
    <t>A00210</t>
  </si>
  <si>
    <t>Paint Removal Contractor Disposal (100%)</t>
  </si>
  <si>
    <t>A00211</t>
  </si>
  <si>
    <t>Remove Aircraft Tiedown (Includes Saw cutting)</t>
  </si>
  <si>
    <t>A003</t>
  </si>
  <si>
    <t>EXCAVATION AND GRADING</t>
  </si>
  <si>
    <t>A00301</t>
  </si>
  <si>
    <t xml:space="preserve">Excavation and Grading </t>
  </si>
  <si>
    <t>A00302</t>
  </si>
  <si>
    <t xml:space="preserve">Hand Excavation </t>
  </si>
  <si>
    <t>A00303</t>
  </si>
  <si>
    <t>Furnish and Install Topsoil</t>
  </si>
  <si>
    <t>A00304</t>
  </si>
  <si>
    <t>Overhaul</t>
  </si>
  <si>
    <t>MI</t>
  </si>
  <si>
    <t>A00305</t>
  </si>
  <si>
    <t xml:space="preserve">Import and Placement of Suitable Soil </t>
  </si>
  <si>
    <t>A00306</t>
  </si>
  <si>
    <t xml:space="preserve">Import and Placement of Select Granular Fill </t>
  </si>
  <si>
    <t>A00307</t>
  </si>
  <si>
    <t xml:space="preserve">Import and Placement of VDOT 21A/B Crushed Stone </t>
  </si>
  <si>
    <t>A00308</t>
  </si>
  <si>
    <t xml:space="preserve">Import and Placement of VDOT 57 Crushed Stone </t>
  </si>
  <si>
    <t>A00309</t>
  </si>
  <si>
    <t xml:space="preserve">Removal of accumulated Sediments and Debris  </t>
  </si>
  <si>
    <t>TON</t>
  </si>
  <si>
    <t>A00310</t>
  </si>
  <si>
    <t xml:space="preserve">Repair, rehabilitation, or replacement of ditches or fills  </t>
  </si>
  <si>
    <t>SY</t>
  </si>
  <si>
    <t>A004</t>
  </si>
  <si>
    <t>FABRICS</t>
  </si>
  <si>
    <t>A00401</t>
  </si>
  <si>
    <t>Soil Reinforcement Fabric</t>
  </si>
  <si>
    <t>A00402</t>
  </si>
  <si>
    <t>Geotextile</t>
  </si>
  <si>
    <t>A005</t>
  </si>
  <si>
    <t>AGGREGATE</t>
  </si>
  <si>
    <t>A00501</t>
  </si>
  <si>
    <t>Coarse Aggregate</t>
  </si>
  <si>
    <t>TN</t>
  </si>
  <si>
    <t>A00502</t>
  </si>
  <si>
    <t>Aggregate Base Course</t>
  </si>
  <si>
    <t>A006</t>
  </si>
  <si>
    <t>CRACK SEALING AND BITUMINOUS</t>
  </si>
  <si>
    <t>A00601</t>
  </si>
  <si>
    <t xml:space="preserve">Liquid Bituminous </t>
  </si>
  <si>
    <t>GL</t>
  </si>
  <si>
    <t>A00602</t>
  </si>
  <si>
    <t xml:space="preserve">Crack Sealing </t>
  </si>
  <si>
    <t>LF</t>
  </si>
  <si>
    <t>A00603</t>
  </si>
  <si>
    <t xml:space="preserve">Crack Repairs - Across Entire Width of Slab </t>
  </si>
  <si>
    <t>A00604</t>
  </si>
  <si>
    <t xml:space="preserve">Crack Repairs - Not Across Entire Width of Slab </t>
  </si>
  <si>
    <t>A00605</t>
  </si>
  <si>
    <t xml:space="preserve">Bituminous Concrete B-2 (Base Mix) </t>
  </si>
  <si>
    <t>A00606</t>
  </si>
  <si>
    <t xml:space="preserve">Bituminous Concrete 1M1B (Intermitted Mix) </t>
  </si>
  <si>
    <t>A00607</t>
  </si>
  <si>
    <t xml:space="preserve">Bituminous Concrete P-401 (Surface Mix) </t>
  </si>
  <si>
    <t>A00608</t>
  </si>
  <si>
    <t>Bituminous Concrete SM-9.5, SM-12.5  (Surface Mix)</t>
  </si>
  <si>
    <t>A00609</t>
  </si>
  <si>
    <t>100% Handwork</t>
  </si>
  <si>
    <t>A007</t>
  </si>
  <si>
    <t>CONCRETE PAVEMENT</t>
  </si>
  <si>
    <t>A00701</t>
  </si>
  <si>
    <t xml:space="preserve">Total Slab Replacement: 8" Thick 0 To 28 CY </t>
  </si>
  <si>
    <t>A00702</t>
  </si>
  <si>
    <t xml:space="preserve">Total Slab Replacement: 8" Thick 28 To 84 CY </t>
  </si>
  <si>
    <t>A00703</t>
  </si>
  <si>
    <t xml:space="preserve">Total Slab Replacement: 8" Thick Over 84 CY </t>
  </si>
  <si>
    <t>A00704</t>
  </si>
  <si>
    <t xml:space="preserve">Total Slab Replacement: 10" Thick 0 To 28 CY </t>
  </si>
  <si>
    <t>A00705</t>
  </si>
  <si>
    <t xml:space="preserve">Total Slab Replacement: 10" Thick 28 To 84 CY </t>
  </si>
  <si>
    <t>A00706</t>
  </si>
  <si>
    <t xml:space="preserve">Total Slab Replacement: 10" Thick Over 84 CY </t>
  </si>
  <si>
    <t>A00707</t>
  </si>
  <si>
    <t xml:space="preserve">Total Slab Replacement: 12" Thick 0 To 28 CY </t>
  </si>
  <si>
    <t>A00708</t>
  </si>
  <si>
    <t xml:space="preserve">Total Slab Replacement: 12" Thick 28 To 84 CY </t>
  </si>
  <si>
    <t>A00709</t>
  </si>
  <si>
    <t xml:space="preserve">Total Slab Replacement: 12" Thick Over 84 CY </t>
  </si>
  <si>
    <t>A00710</t>
  </si>
  <si>
    <t xml:space="preserve">Partial Slab Replacement: 8" Thick </t>
  </si>
  <si>
    <t>A00711</t>
  </si>
  <si>
    <t xml:space="preserve">Partial Slab Replacement: 10" Thick </t>
  </si>
  <si>
    <t>A00712</t>
  </si>
  <si>
    <t xml:space="preserve">Partial Slab Replacement: 12" Thick </t>
  </si>
  <si>
    <t>A00713</t>
  </si>
  <si>
    <t xml:space="preserve">Surface Repairs - with 650 psi Concrete </t>
  </si>
  <si>
    <t>SF-IN</t>
  </si>
  <si>
    <t>A00714</t>
  </si>
  <si>
    <t xml:space="preserve">Surface Repairs - with Epoxy </t>
  </si>
  <si>
    <t>A00715</t>
  </si>
  <si>
    <t xml:space="preserve">Joint Resealing/Portland 0 To 500 LF  </t>
  </si>
  <si>
    <t>A00716</t>
  </si>
  <si>
    <t xml:space="preserve">Joint Resealing/Portland Over 500 LF  </t>
  </si>
  <si>
    <t>A00717</t>
  </si>
  <si>
    <t xml:space="preserve">Crack Repairs - Clean and Resealing of Joints </t>
  </si>
  <si>
    <t>A00718</t>
  </si>
  <si>
    <t>Use of High Early Strength Concrete</t>
  </si>
  <si>
    <t>A008</t>
  </si>
  <si>
    <t>PAVEMENT MARKINGS</t>
  </si>
  <si>
    <t>A00801</t>
  </si>
  <si>
    <t xml:space="preserve">Black Out/Black Background </t>
  </si>
  <si>
    <t>A00802</t>
  </si>
  <si>
    <t xml:space="preserve">Glass Spheres (Type III) </t>
  </si>
  <si>
    <t>LBS</t>
  </si>
  <si>
    <t>A00803</t>
  </si>
  <si>
    <t xml:space="preserve">Center Lines 0 To 1,000 SF </t>
  </si>
  <si>
    <t>A00804</t>
  </si>
  <si>
    <t>Center Lines Over 1,000 SF</t>
  </si>
  <si>
    <t>A00805</t>
  </si>
  <si>
    <t xml:space="preserve">Other Than Center Lines 0 To 1,000 SF </t>
  </si>
  <si>
    <t>A00806</t>
  </si>
  <si>
    <t xml:space="preserve">Other Than Center Lines Over 1,000 SF </t>
  </si>
  <si>
    <t>A00807</t>
  </si>
  <si>
    <t xml:space="preserve">Hatched Lines </t>
  </si>
  <si>
    <t>A00808</t>
  </si>
  <si>
    <t xml:space="preserve">Letters and Numbers </t>
  </si>
  <si>
    <t>A00809</t>
  </si>
  <si>
    <t xml:space="preserve">Arrows </t>
  </si>
  <si>
    <t>A009</t>
  </si>
  <si>
    <t>MISCELLANEOUS</t>
  </si>
  <si>
    <t>A00901</t>
  </si>
  <si>
    <t>Dowels 1" X 16" - Wet-set (Sections 03 30 53, 32 13 13.03 )</t>
  </si>
  <si>
    <t>A00902</t>
  </si>
  <si>
    <t>Dowels 1 1/4" X 20" - Wet-set (Sections 03 30 53, 32 13 13.03 )</t>
  </si>
  <si>
    <t>A00903</t>
  </si>
  <si>
    <t>Dowels 1" X 16" - Drilled / epoxy(Sections 03 30 53, 32 13 13.03)</t>
  </si>
  <si>
    <t>A00904</t>
  </si>
  <si>
    <t>Dowels 1 1/4" X 20" - Drilled / epoxy(Sections 03 30 53, 32 13 13.03)</t>
  </si>
  <si>
    <t xml:space="preserve">Welded Wire Fabric </t>
  </si>
  <si>
    <t xml:space="preserve">Reinforcing Steel </t>
  </si>
  <si>
    <t>A00905</t>
  </si>
  <si>
    <t>Mooring Eye</t>
  </si>
  <si>
    <t>A00906</t>
  </si>
  <si>
    <t>Mooring Eye in New Concrete</t>
  </si>
  <si>
    <t>A00907</t>
  </si>
  <si>
    <t>Fine grade Existing Topsoil and seed</t>
  </si>
  <si>
    <t>A00908</t>
  </si>
  <si>
    <t>Furnish, Fine grade and Seed Topsoil</t>
  </si>
  <si>
    <t>A00909</t>
  </si>
  <si>
    <t>Quick Response: (One Time Additive Cost To A Task Order)</t>
  </si>
  <si>
    <t>A00910</t>
  </si>
  <si>
    <t>Herbicide</t>
  </si>
  <si>
    <t>A00911</t>
  </si>
  <si>
    <t>Hauling and Dumping of government owned material (Measure mileage from base exit closest to government designated dump site, by the most direct legal route to the dump site one way only)</t>
  </si>
  <si>
    <t>A00912</t>
  </si>
  <si>
    <t xml:space="preserve">Grounding Points in Existing Concrete </t>
  </si>
  <si>
    <t>A00913</t>
  </si>
  <si>
    <t xml:space="preserve">Grounding Points in New Concrete </t>
  </si>
  <si>
    <t>A010</t>
  </si>
  <si>
    <t>LIGHTING</t>
  </si>
  <si>
    <t>A01001</t>
  </si>
  <si>
    <t xml:space="preserve">Taxi-way Edge Light - In-Pavement Incandescent </t>
  </si>
  <si>
    <t>A01002</t>
  </si>
  <si>
    <t xml:space="preserve">Taxi-way Edge Light - Elevated Incandescent </t>
  </si>
  <si>
    <t>A01003</t>
  </si>
  <si>
    <t xml:space="preserve">Taxi-way Edge Light - In-Pavement LED </t>
  </si>
  <si>
    <t>A01004</t>
  </si>
  <si>
    <t xml:space="preserve">Taxi-way Edge Light - Elevated LED </t>
  </si>
  <si>
    <t>A01005</t>
  </si>
  <si>
    <t xml:space="preserve">Runway Edge Light - In-Pavement Incandescent </t>
  </si>
  <si>
    <t>A01006</t>
  </si>
  <si>
    <t xml:space="preserve">Runway Edge Light - Elevated Incandescent </t>
  </si>
  <si>
    <t>A01007</t>
  </si>
  <si>
    <t xml:space="preserve">Runway Edge Light - In-Pavement LED </t>
  </si>
  <si>
    <t>A01008</t>
  </si>
  <si>
    <t xml:space="preserve">Runway Edge Light - Elevated LED </t>
  </si>
  <si>
    <t>A01009</t>
  </si>
  <si>
    <t xml:space="preserve">Runway Centerline Light - In-Pavement Incandescent </t>
  </si>
  <si>
    <t>A01010</t>
  </si>
  <si>
    <t xml:space="preserve">Runway Centerline Light - In-Pavement LED </t>
  </si>
  <si>
    <t>A01011</t>
  </si>
  <si>
    <t xml:space="preserve">Runway Threshold Light - In-Pavement Incandescent </t>
  </si>
  <si>
    <t>A01012</t>
  </si>
  <si>
    <t xml:space="preserve">Runway Threshold Light - Elevated Incandescent </t>
  </si>
  <si>
    <t>A01013</t>
  </si>
  <si>
    <t xml:space="preserve">Runway Threshold Light - In-Pavement LED </t>
  </si>
  <si>
    <t>A01014</t>
  </si>
  <si>
    <t xml:space="preserve">Runway Threshold Light - Elevated LED </t>
  </si>
  <si>
    <t>A01015</t>
  </si>
  <si>
    <t xml:space="preserve">Deep Light Base </t>
  </si>
  <si>
    <t>A01016</t>
  </si>
  <si>
    <t xml:space="preserve">Shallow Light Base </t>
  </si>
  <si>
    <t>A01017</t>
  </si>
  <si>
    <t xml:space="preserve">Handhole </t>
  </si>
  <si>
    <t>A01018</t>
  </si>
  <si>
    <t xml:space="preserve">Conduit </t>
  </si>
  <si>
    <t>A01019</t>
  </si>
  <si>
    <t>Demolish Existing Light and Base</t>
  </si>
  <si>
    <t>A01020</t>
  </si>
  <si>
    <t>Demolish Existing Conduit</t>
  </si>
  <si>
    <t>A01021</t>
  </si>
  <si>
    <t>Tailhook Resistant Light</t>
  </si>
  <si>
    <t>A011</t>
  </si>
  <si>
    <t>SPECIAL FAA AIRFIELD FRICTION TESTING</t>
  </si>
  <si>
    <t>A01101</t>
  </si>
  <si>
    <t>Provide runway friction testing in acordance with the specifications listed above.</t>
  </si>
  <si>
    <t>A012</t>
  </si>
  <si>
    <t>NON-PREPRICED MATERIAL, LABOR</t>
  </si>
  <si>
    <t>A01201</t>
  </si>
  <si>
    <t>Non-Prepriced Labor</t>
  </si>
  <si>
    <t>A01202</t>
  </si>
  <si>
    <t>Non-Prepriced Materials</t>
  </si>
  <si>
    <t>BASE YEAR TOTAL ESTIMATED PRICE - CLIN 0001</t>
  </si>
  <si>
    <t>Total</t>
  </si>
  <si>
    <t xml:space="preserve">(Sum of Exhibit Line Items A001-A012) </t>
  </si>
  <si>
    <t xml:space="preserve">EXHIBIT B, EXHIBIT LINE ITEMS </t>
  </si>
  <si>
    <t>INDEFINITE QUANTITY (IQ) WORK ITEMS - Option One - CLIN 0002</t>
  </si>
  <si>
    <t>B001</t>
  </si>
  <si>
    <t>B00101</t>
  </si>
  <si>
    <t>B00102</t>
  </si>
  <si>
    <t>B00103</t>
  </si>
  <si>
    <t>B00104</t>
  </si>
  <si>
    <t>B00105</t>
  </si>
  <si>
    <t>B00106</t>
  </si>
  <si>
    <t>B00107</t>
  </si>
  <si>
    <t>B002</t>
  </si>
  <si>
    <t>B00201</t>
  </si>
  <si>
    <t>B00202</t>
  </si>
  <si>
    <t>B00203</t>
  </si>
  <si>
    <t>B00204</t>
  </si>
  <si>
    <t>B00205</t>
  </si>
  <si>
    <t>B00206</t>
  </si>
  <si>
    <t>B00207</t>
  </si>
  <si>
    <t>B00208</t>
  </si>
  <si>
    <t>B00209</t>
  </si>
  <si>
    <t>B00210</t>
  </si>
  <si>
    <t>B00211</t>
  </si>
  <si>
    <t>B003</t>
  </si>
  <si>
    <t>B00301</t>
  </si>
  <si>
    <t>B00302</t>
  </si>
  <si>
    <t>B00303</t>
  </si>
  <si>
    <t>B00304</t>
  </si>
  <si>
    <t>B00305</t>
  </si>
  <si>
    <t>B00306</t>
  </si>
  <si>
    <t>B00307</t>
  </si>
  <si>
    <t>B00308</t>
  </si>
  <si>
    <t>B00309</t>
  </si>
  <si>
    <t>B00310</t>
  </si>
  <si>
    <t>B004</t>
  </si>
  <si>
    <t>B00401</t>
  </si>
  <si>
    <t>B00402</t>
  </si>
  <si>
    <t>B005</t>
  </si>
  <si>
    <t>B00501</t>
  </si>
  <si>
    <t>B00502</t>
  </si>
  <si>
    <t>B006</t>
  </si>
  <si>
    <t>B00601</t>
  </si>
  <si>
    <t>B00602</t>
  </si>
  <si>
    <t>B00603</t>
  </si>
  <si>
    <t>B00604</t>
  </si>
  <si>
    <t>B00605</t>
  </si>
  <si>
    <t>B00606</t>
  </si>
  <si>
    <t>B00607</t>
  </si>
  <si>
    <t>B00608</t>
  </si>
  <si>
    <t>B00609</t>
  </si>
  <si>
    <t>B007</t>
  </si>
  <si>
    <t>B00701</t>
  </si>
  <si>
    <t>B00702</t>
  </si>
  <si>
    <t>B00703</t>
  </si>
  <si>
    <t>B00704</t>
  </si>
  <si>
    <t>B00705</t>
  </si>
  <si>
    <t>B00706</t>
  </si>
  <si>
    <t>B00707</t>
  </si>
  <si>
    <t>B00708</t>
  </si>
  <si>
    <t>B00709</t>
  </si>
  <si>
    <t>B00710</t>
  </si>
  <si>
    <t>B00711</t>
  </si>
  <si>
    <t>B00712</t>
  </si>
  <si>
    <t>B00713</t>
  </si>
  <si>
    <t>B00714</t>
  </si>
  <si>
    <t>B00715</t>
  </si>
  <si>
    <t>B00716</t>
  </si>
  <si>
    <t>B00717</t>
  </si>
  <si>
    <t>B00718</t>
  </si>
  <si>
    <t>B008</t>
  </si>
  <si>
    <t>B00801</t>
  </si>
  <si>
    <t>B00802</t>
  </si>
  <si>
    <t>B00803</t>
  </si>
  <si>
    <t>B00804</t>
  </si>
  <si>
    <t>B00805</t>
  </si>
  <si>
    <t>B00806</t>
  </si>
  <si>
    <t>B00807</t>
  </si>
  <si>
    <t>B00808</t>
  </si>
  <si>
    <t>B00809</t>
  </si>
  <si>
    <t>B009</t>
  </si>
  <si>
    <t>B00901</t>
  </si>
  <si>
    <t>B00902</t>
  </si>
  <si>
    <t>B00903</t>
  </si>
  <si>
    <t>B010</t>
  </si>
  <si>
    <t>B01001</t>
  </si>
  <si>
    <t>B01002</t>
  </si>
  <si>
    <t>B01003</t>
  </si>
  <si>
    <t>B01004</t>
  </si>
  <si>
    <t>B01005</t>
  </si>
  <si>
    <t>B01006</t>
  </si>
  <si>
    <t>B01007</t>
  </si>
  <si>
    <t>B01008</t>
  </si>
  <si>
    <t>B01009</t>
  </si>
  <si>
    <t>B01010</t>
  </si>
  <si>
    <t>B01011</t>
  </si>
  <si>
    <t>B01012</t>
  </si>
  <si>
    <t>B01013</t>
  </si>
  <si>
    <t>B01014</t>
  </si>
  <si>
    <t>B01015</t>
  </si>
  <si>
    <t>B01016</t>
  </si>
  <si>
    <t>B01017</t>
  </si>
  <si>
    <t>B01018</t>
  </si>
  <si>
    <t>B01019</t>
  </si>
  <si>
    <t>B01020</t>
  </si>
  <si>
    <t>B01021</t>
  </si>
  <si>
    <t>B011</t>
  </si>
  <si>
    <t>B01101</t>
  </si>
  <si>
    <t>B012</t>
  </si>
  <si>
    <t>B01201</t>
  </si>
  <si>
    <t>B01202</t>
  </si>
  <si>
    <t>OPTION ONE, TOTAL ESTIMATED PRICE - CLIN 0002</t>
  </si>
  <si>
    <t xml:space="preserve">(Sum of Exhibit Line Items B001-B012) </t>
  </si>
  <si>
    <t xml:space="preserve">EXHIBIT C, EXHIBIT LINE ITEMS </t>
  </si>
  <si>
    <t>INDEFINITE QUANTITY (IQ) WORK ITEMS - Option Two - CLIN 0003</t>
  </si>
  <si>
    <t>C001</t>
  </si>
  <si>
    <t>C00101</t>
  </si>
  <si>
    <t>C00102</t>
  </si>
  <si>
    <t>C00103</t>
  </si>
  <si>
    <t>C00104</t>
  </si>
  <si>
    <t>C00105</t>
  </si>
  <si>
    <t>C00106</t>
  </si>
  <si>
    <t>C00107</t>
  </si>
  <si>
    <t>C002</t>
  </si>
  <si>
    <t>C00201</t>
  </si>
  <si>
    <t>C00202</t>
  </si>
  <si>
    <t>C00203</t>
  </si>
  <si>
    <t>C00204</t>
  </si>
  <si>
    <t>C00205</t>
  </si>
  <si>
    <t>C00206</t>
  </si>
  <si>
    <t>C00207</t>
  </si>
  <si>
    <t>C00208</t>
  </si>
  <si>
    <t>C00209</t>
  </si>
  <si>
    <t>C00210</t>
  </si>
  <si>
    <t>C00211</t>
  </si>
  <si>
    <t>C003</t>
  </si>
  <si>
    <t>C00301</t>
  </si>
  <si>
    <t>C00302</t>
  </si>
  <si>
    <t>C00303</t>
  </si>
  <si>
    <t>C00304</t>
  </si>
  <si>
    <t>C00305</t>
  </si>
  <si>
    <t>C00306</t>
  </si>
  <si>
    <t>C00307</t>
  </si>
  <si>
    <t>C00308</t>
  </si>
  <si>
    <t>C00309</t>
  </si>
  <si>
    <t>C00310</t>
  </si>
  <si>
    <t>C004</t>
  </si>
  <si>
    <t>C00401</t>
  </si>
  <si>
    <t>C00402</t>
  </si>
  <si>
    <t>C005</t>
  </si>
  <si>
    <t>C00501</t>
  </si>
  <si>
    <t>C00502</t>
  </si>
  <si>
    <t>C006</t>
  </si>
  <si>
    <t>C00601</t>
  </si>
  <si>
    <t>C00602</t>
  </si>
  <si>
    <t>C00603</t>
  </si>
  <si>
    <t>C00604</t>
  </si>
  <si>
    <t>C00605</t>
  </si>
  <si>
    <t>C00606</t>
  </si>
  <si>
    <t>C00607</t>
  </si>
  <si>
    <t>C00608</t>
  </si>
  <si>
    <t>C00609</t>
  </si>
  <si>
    <t>C007</t>
  </si>
  <si>
    <t>C00701</t>
  </si>
  <si>
    <t>C00702</t>
  </si>
  <si>
    <t>C00703</t>
  </si>
  <si>
    <t>C00704</t>
  </si>
  <si>
    <t>C00705</t>
  </si>
  <si>
    <t>C00706</t>
  </si>
  <si>
    <t>C00707</t>
  </si>
  <si>
    <t>C00708</t>
  </si>
  <si>
    <t>C00709</t>
  </si>
  <si>
    <t>C00710</t>
  </si>
  <si>
    <t>C00711</t>
  </si>
  <si>
    <t>C00712</t>
  </si>
  <si>
    <t>C00713</t>
  </si>
  <si>
    <t>C00714</t>
  </si>
  <si>
    <t>C00715</t>
  </si>
  <si>
    <t>C00716</t>
  </si>
  <si>
    <t>C00717</t>
  </si>
  <si>
    <t>C00718</t>
  </si>
  <si>
    <t>C008</t>
  </si>
  <si>
    <t>C00801</t>
  </si>
  <si>
    <t>C00802</t>
  </si>
  <si>
    <t>C00803</t>
  </si>
  <si>
    <t>C00804</t>
  </si>
  <si>
    <t>C00805</t>
  </si>
  <si>
    <t>C00806</t>
  </si>
  <si>
    <t>C00807</t>
  </si>
  <si>
    <t>C00808</t>
  </si>
  <si>
    <t>C00809</t>
  </si>
  <si>
    <t>C009</t>
  </si>
  <si>
    <t>C00901</t>
  </si>
  <si>
    <t>C00902</t>
  </si>
  <si>
    <t>C00903</t>
  </si>
  <si>
    <t>C010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</si>
  <si>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</si>
  <si>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</si>
  <si>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</si>
  <si>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</si>
  <si>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</si>
  <si>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</si>
  <si>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</si>
  <si>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</si>
  <si>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</si>
  <si>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</si>
  <si>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</si>
  <si>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</si>
  <si>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</si>
  <si>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</si>
  <si>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</si>
  <si>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</si>
  <si>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</si>
  <si>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</si>
  <si>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</si>
  <si>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</si>
  <si>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</si>
  <si>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C011</t>
  </si>
  <si>
    <t>C01101</t>
  </si>
  <si>
    <t>C012</t>
  </si>
  <si>
    <t>C01201</t>
  </si>
  <si>
    <t>C01202</t>
  </si>
  <si>
    <t>OPTION TWO, TOTAL ESTIMATED PRICE - CLIN 0002</t>
  </si>
  <si>
    <t xml:space="preserve">(Sum of Exhibit Line Items C001-C012) </t>
  </si>
  <si>
    <t xml:space="preserve">EXHIBIT E, EXHIBIT LINE ITEMS </t>
  </si>
  <si>
    <t>INDEFINITE QUANTITY (IQ) WORK ITEMS - Option Four - CLIN 0005</t>
  </si>
  <si>
    <t>E001</t>
  </si>
  <si>
    <t>E00101</t>
  </si>
  <si>
    <t>E00102</t>
  </si>
  <si>
    <t>E00103</t>
  </si>
  <si>
    <t>E00104</t>
  </si>
  <si>
    <t>E00105</t>
  </si>
  <si>
    <t>E00106</t>
  </si>
  <si>
    <t>E00107</t>
  </si>
  <si>
    <t>E002</t>
  </si>
  <si>
    <t>E00201</t>
  </si>
  <si>
    <t>E00202</t>
  </si>
  <si>
    <t>E00203</t>
  </si>
  <si>
    <t>E00204</t>
  </si>
  <si>
    <t>E00205</t>
  </si>
  <si>
    <t>E00206</t>
  </si>
  <si>
    <t>E00207</t>
  </si>
  <si>
    <t>E00208</t>
  </si>
  <si>
    <t>E00209</t>
  </si>
  <si>
    <t>E00210</t>
  </si>
  <si>
    <t>E00211</t>
  </si>
  <si>
    <t>E003</t>
  </si>
  <si>
    <t>E00301</t>
  </si>
  <si>
    <t>E00302</t>
  </si>
  <si>
    <t>E00303</t>
  </si>
  <si>
    <t>E00304</t>
  </si>
  <si>
    <t>E00305</t>
  </si>
  <si>
    <t>E00306</t>
  </si>
  <si>
    <t>E00307</t>
  </si>
  <si>
    <t>E00308</t>
  </si>
  <si>
    <t>E00309</t>
  </si>
  <si>
    <t>E00310</t>
  </si>
  <si>
    <t>E004</t>
  </si>
  <si>
    <t>E00401</t>
  </si>
  <si>
    <t>E00402</t>
  </si>
  <si>
    <t>E005</t>
  </si>
  <si>
    <t>E00501</t>
  </si>
  <si>
    <t>E00502</t>
  </si>
  <si>
    <t>E006</t>
  </si>
  <si>
    <t>E00601</t>
  </si>
  <si>
    <t>E00602</t>
  </si>
  <si>
    <t>E00603</t>
  </si>
  <si>
    <t>E00604</t>
  </si>
  <si>
    <t>E00605</t>
  </si>
  <si>
    <t>E00606</t>
  </si>
  <si>
    <t>E00607</t>
  </si>
  <si>
    <t>E00608</t>
  </si>
  <si>
    <t>E00609</t>
  </si>
  <si>
    <t>E007</t>
  </si>
  <si>
    <t>E00701</t>
  </si>
  <si>
    <t>E00702</t>
  </si>
  <si>
    <t>E00703</t>
  </si>
  <si>
    <t>E00704</t>
  </si>
  <si>
    <t>E00705</t>
  </si>
  <si>
    <t>E00706</t>
  </si>
  <si>
    <t>E00707</t>
  </si>
  <si>
    <t>E00708</t>
  </si>
  <si>
    <t>E00709</t>
  </si>
  <si>
    <t>E00710</t>
  </si>
  <si>
    <t>E00711</t>
  </si>
  <si>
    <t>E00712</t>
  </si>
  <si>
    <t>E00713</t>
  </si>
  <si>
    <t>E00714</t>
  </si>
  <si>
    <t>E00715</t>
  </si>
  <si>
    <t>E00716</t>
  </si>
  <si>
    <t>E00717</t>
  </si>
  <si>
    <t>E00718</t>
  </si>
  <si>
    <t>E008</t>
  </si>
  <si>
    <t>E00801</t>
  </si>
  <si>
    <t>E00802</t>
  </si>
  <si>
    <t>E00803</t>
  </si>
  <si>
    <t>E00804</t>
  </si>
  <si>
    <t>E00805</t>
  </si>
  <si>
    <t>E00806</t>
  </si>
  <si>
    <t>E00807</t>
  </si>
  <si>
    <t>E00808</t>
  </si>
  <si>
    <t>E00809</t>
  </si>
  <si>
    <t>E009</t>
  </si>
  <si>
    <t>E00901</t>
  </si>
  <si>
    <t>E00902</t>
  </si>
  <si>
    <t>E00903</t>
  </si>
  <si>
    <t>E010</t>
  </si>
  <si>
    <t>E01001</t>
  </si>
  <si>
    <t>E01002</t>
  </si>
  <si>
    <t>E01003</t>
  </si>
  <si>
    <t>E01004</t>
  </si>
  <si>
    <t>E01005</t>
  </si>
  <si>
    <t>E01006</t>
  </si>
  <si>
    <t>E01007</t>
  </si>
  <si>
    <t>E01008</t>
  </si>
  <si>
    <t>E01009</t>
  </si>
  <si>
    <t>E01010</t>
  </si>
  <si>
    <t>E01011</t>
  </si>
  <si>
    <t>E01012</t>
  </si>
  <si>
    <t>E01013</t>
  </si>
  <si>
    <t>E01014</t>
  </si>
  <si>
    <t>E01015</t>
  </si>
  <si>
    <t>E01016</t>
  </si>
  <si>
    <t>E01017</t>
  </si>
  <si>
    <t>E01018</t>
  </si>
  <si>
    <t>E01019</t>
  </si>
  <si>
    <t>E01020</t>
  </si>
  <si>
    <t>E01021</t>
  </si>
  <si>
    <t>E011</t>
  </si>
  <si>
    <t>E01101</t>
  </si>
  <si>
    <t>E012</t>
  </si>
  <si>
    <t>E01201</t>
  </si>
  <si>
    <t>E01202</t>
  </si>
  <si>
    <t>OPTION FOUR, TOTAL ESTIMATED PRICE - CLIN 0005</t>
  </si>
  <si>
    <t xml:space="preserve">(Sum of Exhibit Line Items E001-E012) </t>
  </si>
  <si>
    <t xml:space="preserve">EXHIBIT D, EXHIBIT LINE ITEMS </t>
  </si>
  <si>
    <t>INDEFINITE QUANTITY (IQ) WORK ITEMS - Option Three - CLIN 0004</t>
  </si>
  <si>
    <t>D001</t>
  </si>
  <si>
    <t>D00101</t>
  </si>
  <si>
    <t>D00102</t>
  </si>
  <si>
    <t>D00103</t>
  </si>
  <si>
    <t>D00104</t>
  </si>
  <si>
    <t>D00105</t>
  </si>
  <si>
    <t>D00106</t>
  </si>
  <si>
    <t>D00107</t>
  </si>
  <si>
    <t>D002</t>
  </si>
  <si>
    <t>D00201</t>
  </si>
  <si>
    <t>D00202</t>
  </si>
  <si>
    <t>D00203</t>
  </si>
  <si>
    <t>D00204</t>
  </si>
  <si>
    <t>D00205</t>
  </si>
  <si>
    <t>D00206</t>
  </si>
  <si>
    <t>D00207</t>
  </si>
  <si>
    <t>D00208</t>
  </si>
  <si>
    <t>D00209</t>
  </si>
  <si>
    <t>D00210</t>
  </si>
  <si>
    <t>D00211</t>
  </si>
  <si>
    <t>D003</t>
  </si>
  <si>
    <t>D00301</t>
  </si>
  <si>
    <t>D00302</t>
  </si>
  <si>
    <t>D00303</t>
  </si>
  <si>
    <t>D00304</t>
  </si>
  <si>
    <t>D00305</t>
  </si>
  <si>
    <t>D00306</t>
  </si>
  <si>
    <t>D00307</t>
  </si>
  <si>
    <t>D00308</t>
  </si>
  <si>
    <t>D00309</t>
  </si>
  <si>
    <t>D00310</t>
  </si>
  <si>
    <t>D004</t>
  </si>
  <si>
    <t>D00401</t>
  </si>
  <si>
    <t>D00402</t>
  </si>
  <si>
    <t>D005</t>
  </si>
  <si>
    <t>D00501</t>
  </si>
  <si>
    <t>D00502</t>
  </si>
  <si>
    <t>D006</t>
  </si>
  <si>
    <t>D00601</t>
  </si>
  <si>
    <t>D00602</t>
  </si>
  <si>
    <t>D00603</t>
  </si>
  <si>
    <t>D00604</t>
  </si>
  <si>
    <t>D00605</t>
  </si>
  <si>
    <t>D00606</t>
  </si>
  <si>
    <t>D00607</t>
  </si>
  <si>
    <t>D00608</t>
  </si>
  <si>
    <t>D00609</t>
  </si>
  <si>
    <t>D007</t>
  </si>
  <si>
    <t>D00701</t>
  </si>
  <si>
    <t>D00702</t>
  </si>
  <si>
    <t>D00703</t>
  </si>
  <si>
    <t>D00704</t>
  </si>
  <si>
    <t>D00705</t>
  </si>
  <si>
    <t>D00706</t>
  </si>
  <si>
    <t>D00707</t>
  </si>
  <si>
    <t>D00708</t>
  </si>
  <si>
    <t>D00709</t>
  </si>
  <si>
    <t>D00710</t>
  </si>
  <si>
    <t>D00711</t>
  </si>
  <si>
    <t>D00712</t>
  </si>
  <si>
    <t>D00713</t>
  </si>
  <si>
    <t>D00714</t>
  </si>
  <si>
    <t>D00715</t>
  </si>
  <si>
    <t>D00716</t>
  </si>
  <si>
    <t>D00717</t>
  </si>
  <si>
    <t>D00718</t>
  </si>
  <si>
    <t>D008</t>
  </si>
  <si>
    <t>D00801</t>
  </si>
  <si>
    <t>D00802</t>
  </si>
  <si>
    <t>D00803</t>
  </si>
  <si>
    <t>D00804</t>
  </si>
  <si>
    <t>D00805</t>
  </si>
  <si>
    <t>D00806</t>
  </si>
  <si>
    <t>D00807</t>
  </si>
  <si>
    <t>D00808</t>
  </si>
  <si>
    <t>D00809</t>
  </si>
  <si>
    <t>D009</t>
  </si>
  <si>
    <t>D00901</t>
  </si>
  <si>
    <t>D00902</t>
  </si>
  <si>
    <t>D00903</t>
  </si>
  <si>
    <t>D010</t>
  </si>
  <si>
    <t>D01001</t>
  </si>
  <si>
    <t>D01002</t>
  </si>
  <si>
    <t>D01003</t>
  </si>
  <si>
    <t>D01004</t>
  </si>
  <si>
    <t>D01005</t>
  </si>
  <si>
    <t>D01006</t>
  </si>
  <si>
    <t>D01007</t>
  </si>
  <si>
    <t>D01008</t>
  </si>
  <si>
    <t>D01009</t>
  </si>
  <si>
    <t>D01010</t>
  </si>
  <si>
    <t>D01011</t>
  </si>
  <si>
    <t>D01012</t>
  </si>
  <si>
    <t>D01013</t>
  </si>
  <si>
    <t>D01014</t>
  </si>
  <si>
    <t>D01015</t>
  </si>
  <si>
    <t>D01016</t>
  </si>
  <si>
    <t>D01017</t>
  </si>
  <si>
    <t>D01018</t>
  </si>
  <si>
    <t>D01019</t>
  </si>
  <si>
    <t>D01020</t>
  </si>
  <si>
    <t>D01021</t>
  </si>
  <si>
    <t>D011</t>
  </si>
  <si>
    <t>D01101</t>
  </si>
  <si>
    <t>D012</t>
  </si>
  <si>
    <t>D01201</t>
  </si>
  <si>
    <t>D01202</t>
  </si>
  <si>
    <t>OPTION THREE, TOTAL ESTIMATED PRICE - CLIN 0004</t>
  </si>
  <si>
    <t xml:space="preserve">(Sum of Exhibit Line Items D001-D012) </t>
  </si>
  <si>
    <t xml:space="preserve">EXHIBIT LINE ITEM NUMBERS </t>
  </si>
  <si>
    <t>EXHIBIT LINE ITEM NUMBERS DESCRIPTION OF WORK FOR SUPPLIES/SERVICES                                                                                            (Applicable to Exhibits A, B, C, D, E - attached)</t>
  </si>
  <si>
    <t>INDEFINITE QUANTITY (IQ) WORK ITEMS - CLIN 0001</t>
  </si>
  <si>
    <t>Saw cutting (00101):
a.  Saw cut to up to 4 inch depth per LF when ordered per task order.  When cuts are not to full depth of the material, materials can be broken off at the bottom of the saw cut ordered.  Where a depth of cut less than 4 inches is all that is required the contractor  will be paid as if a full 4 inch depth cut was made but the contractor will assume all risk of damage to material to remain in the event that they choose to use less than the entire 4 inch depth of cut.  Where directed by the government to use less than full 4 inch depth cuts the Government will assume the risk of damage to material to remain in place.</t>
  </si>
  <si>
    <t>b.  Includes saw cutting by large machine, or by hand saw where large machines cannot reach, protection of surrounding property, dust containment, proper disposal of debris off of Government property, water if needed where Government fixtures are not accessible, barricades, flagmen, and all safety related equipment to provide saw cutting.</t>
  </si>
  <si>
    <t>c.  A demo plan is required for each task order requiring saw cutting.  A demo plan should show the who (operator or person in charge, persons contacted for scheduling, etc., what (equipment to be used, including safety equipment, when (dates, times, and room numbers etc.) and how the job will start and end including all safety precautions.</t>
  </si>
  <si>
    <t>d.  If the material to be cut is more than 4 inches in thickness but less than 12 inches in thickness the contractor will be paid the bid price per inch depth for the cuts made.  (i.e. quantity/depth directed); ex. 15 LF * 8 inch depth = 120 LF-in</t>
  </si>
  <si>
    <t>Sawcutting (Per LF per inch depth; 4 inch min. depth to be paid except as noted in d.) (Section 02 41 00)</t>
  </si>
  <si>
    <t>Concrete and Bituminous Pavement Removal (00102-00104):                                                                                                                                                                                                                                                                                                                    a. Break up and remove, by breaking into manageable pieces, plain or reinforced concrete (portland or asphalt). Load, haul and properly dispose of off of Government property. Includes protection of surrounding property, dust containment, disposal of debris, providing and placing barricades, flagmen, a demo plan, and all safety related equipment to provide concrete (portland or asphalt) removal.</t>
  </si>
  <si>
    <t>b. In some cases the task may require the contractor to use jackhammers and buggy, or light and heavy equipment to break up and remove materials from areas where normal equipment cannot be operated such as alleyways, and between railroad tracks. Concrete may be plain or reinforced and will be ordered on separate line items.</t>
  </si>
  <si>
    <t>c. Fabric found during the removal of Portland or asphalt concrete shall be removed as part of the work requirement at no additional cost to the Government.</t>
  </si>
  <si>
    <t>d. All material shall be removed and disposed at the contractor's expense.</t>
  </si>
  <si>
    <t>Concrete Removal-Plain (Section 02 41 00)</t>
  </si>
  <si>
    <t>Concrete Removal-Reinf (Section 02 41 00)</t>
  </si>
  <si>
    <t>Bituminous Pavement Removal (Section 02 41 00)</t>
  </si>
  <si>
    <t>Milling of Bituminous Pavement (00105):
a. Mill existing bituminous pavement with Government approved milling machine (square yard per inch).  Load milled materials into dump trucks, sweep with broom tractor, or by hand.  Milling operations in aircraft operating areas must use a vacuum powered sweeper truck to minimize foreign object damage (FOD).  Contain and recycle bituminous pavement materials milled off of Government property.  Remove and properly dispose of debris caused by milling off of Government property.  Includes protection of surrounding property, dust containment, disposal of debris, providing and placing barricades, flagmen, a demo plan, and all safety related equipment to Mill existing bituminous pavement.</t>
  </si>
  <si>
    <t>b. All material shall be removed and disposed at the contractor's expense.</t>
  </si>
  <si>
    <t>Milling of Bituminous Pavement (Section 32 01 16.17)</t>
  </si>
  <si>
    <t>Rubber and Paint Removal (00106-00110):
a. Remove 90 percent of all visible rubber and remove 85 or 100 percent of loose, flaking paint with Government approved high-pressure rubber and paint removal equipment, and properly dispose of debris off of Government property. Contractor shall be responsible for repairing any damage caused by the removal work.</t>
  </si>
  <si>
    <t>Rubber Removal 1 To 75,000 SF (Section 32 01 11.51)</t>
  </si>
  <si>
    <t>Rubber Removal 75,001 To 200,000 SF (Section 32 01 11.51)</t>
  </si>
  <si>
    <t>Rubber Removal 200,001 and Above (Section 32 01 11.51)</t>
  </si>
  <si>
    <t>Paint Removal Contractor Disposal 85% (Section 32 01 11.51)</t>
  </si>
  <si>
    <t>Paint Removal Contractor Disposal 100% (Section 32 01 11.51)</t>
  </si>
  <si>
    <t>Remove Aircraft Tiedown (Includes Saw cutting) (Section 02 41 00)</t>
  </si>
  <si>
    <t>A003 Excavation, Fill, and Grading  (00201 – 00208)</t>
  </si>
  <si>
    <t>a.       Excavate, fill, and grade to elevation and limits indicated on task order, or already established by others. Excavate or fill to achieve proper drainage. Import additional Suitable Material (Section 31 23 00.00 20) as required and compact to required in-place density and provide third party verification of suitable material and in-place density testing. Dispose of surplus excavated material in a RCRA level D licensed Solid Waste Disposal Facility off Government property.</t>
  </si>
  <si>
    <t>b.      Hand excavate when within 2 feet of an underground utility, equipment is not practical, and in confined work areas.</t>
  </si>
  <si>
    <t>c.       Repair, rehabilitation, or replacement of ditches or fills destroyed or damaged by storms, floods, or other discrete events, provided the repair, rehabilitation, or replacement.</t>
  </si>
  <si>
    <t>d.      Remove accumulated sediments and debris in the vicinity of existing structures (e.g., bridges, culverted road crossings, water intake structures, roadways, runways, taxiways, etc.) and/or the placement of new or additional riprap to protect the structure or minimum amount of grading to restore proper site drainage.</t>
  </si>
  <si>
    <t xml:space="preserve">e.      Includes protection of surrounding property, dust containment, disposal of debris, excess material, demolition plan, work plan, and all required worker safety equipment. </t>
  </si>
  <si>
    <t>f.        Provide and implement traffic control in accordance with the Manual on Uniform Traffic Control Devices (MUTCD).</t>
  </si>
  <si>
    <t>g.       At the Government’s discretion, salvaged material may be retained for future or current use. The Government will notify the Contractor prior to the start of work what materials and equipment shall be salvaged. If the Government decides to salvage material and equipment, the Contractor will be directed to perform the one of the following:</t>
  </si>
  <si>
    <t>a.       Transport and unload the material to any location on the base at no additional cost.</t>
  </si>
  <si>
    <t xml:space="preserve">b.       Transport and unload the material to a designated location off base. The Government shall pay only for the additional hauling charge under line item “Overhall”. </t>
  </si>
  <si>
    <t>Excavation and Grading (Section 31 00 00)</t>
  </si>
  <si>
    <t>Hand Excavation (Section 31 00 00)</t>
  </si>
  <si>
    <t>Furnish and Install Topsoil (Section 31 00 00)</t>
  </si>
  <si>
    <t>Overhaul (Section 31 00 00)</t>
  </si>
  <si>
    <t>Import and Placement of Suitable Soil (Section 31 00 00)</t>
  </si>
  <si>
    <t>Contractor should assume Satisfactory Materials are Suitable unless other specific materials are specified.</t>
  </si>
  <si>
    <t>Import and Placement of Select Granular Fill (Section 31 00 00)</t>
  </si>
  <si>
    <t>Import and Placement of VDOT 21A/B Crushed Stone (Section 31 00 00)</t>
  </si>
  <si>
    <t>Import and Placement of VDOT 57 Crushed Stone (Section 31 00 00)</t>
  </si>
  <si>
    <t>Removal of accumulated Sediments and Debris (Section 31 00 00)</t>
  </si>
  <si>
    <t>Repair, rehabilitation, or replacement of ditches or fills (Section 31 00 00)</t>
  </si>
  <si>
    <t>Fabrics (00401-00402):
a.  Soil and pavement fabric includes fabric, placement, overlaps, folds, and repairs to fabric, measured from perimeter to perimeter.  Provide and apply liquid bituminous with pavement fabric.</t>
  </si>
  <si>
    <t>b.  Includes protection of surrounding property, dust containment, providing and placing barricades, flagmen, and all safety-related equipment.</t>
  </si>
  <si>
    <t>Geogrid Soil Reinforcement (Section 31 05 21)</t>
  </si>
  <si>
    <t>Geotextile (Section 31 05 19)</t>
  </si>
  <si>
    <t>Aggregate and Fine Aggregate Base Course (00501-00502):
a.  Aggregate or aggregate base course shall be furnished and applied to elevations shown, or to achieve drainage when elevations are not shown.  Apply in maximum of 6" lifts unless otherwise directed by the Government and compact to the density percentage required.  Protect work area so that new grade and fine aggregates are not lost. Provide density test and results.</t>
  </si>
  <si>
    <t>Coarse Aggragete (Section 31 00 00)</t>
  </si>
  <si>
    <t>Aggregate Base Course (Section 32 11 23)</t>
  </si>
  <si>
    <t>Bituminous (00601-00609):
a.  Liquid bituminous is ordered as a prime or tack coat for new asphalt paving work.  See VDOT manuals (www.vdot.gov) for rate of application and method.  Liquid bituminous and placing is included with the installation of pavement fabric (line item 00302).</t>
  </si>
  <si>
    <t>b.  Crack sealing includes cleaning cracks, herbicide, sealant application and clean up.</t>
  </si>
  <si>
    <t>c.  Bituminous concrete (all FAA mixes) includes providing, delivery, placement (80% machine, 20% hand) to grade on prepared surface, compaction, and test.  Liquid bituminous prime or tack coat will be ordered on separate line items.  Voids filled with bituminous concrete before paving is started are not considered pothole repair.</t>
  </si>
  <si>
    <t>d.  100% handwork (all FAA mixes) will be ordered as an additional cost when more than 20% of areas to be paved are not accessible to equipment normally used, or when the thickness of paving (Such as skim coating) is only feasible by 100% handwork.</t>
  </si>
  <si>
    <t>e.  Includes protection of surrounding property, dust containment, barricades, flagmen, and all safety-related equipment.</t>
  </si>
  <si>
    <t>Liquid Bituminous (Section 32 12 10)</t>
  </si>
  <si>
    <t>Crack Sealing (Section 32 01 17.16)</t>
  </si>
  <si>
    <t>Crack Repairs - Across Entire Width of Slab (Section 32 01 17.16)</t>
  </si>
  <si>
    <t>Crack Repairs - Not Across Entire Width of Slab (Section 32 01 17.16)</t>
  </si>
  <si>
    <t>Bituminous Concrete BM-25.0, BM-32.5 (Base Mix) (Section 32 12 17)</t>
  </si>
  <si>
    <t>Bituminous Concrete IM-19.0 (Intermediate Mix) (Section 32 12 17)</t>
  </si>
  <si>
    <t>Bituminous Concrete P-401 (Surface Mix) (Section 32 12 15.13)</t>
  </si>
  <si>
    <t>Bituminous Concrete SM-9.5, SM-12.5  (Surface Mix) (Section 32 12 17)</t>
  </si>
  <si>
    <t>Concrete Pavement (00601-00618):
a.  Concrete  aprons, valley gutters, handicap aprons, slabs and misc. shapes placed and installed by various methods and machines, includes forms, vapor barrier, expansion material, concrete placement, curing, backfill, and fine grade of existing earth.  Excavation, stone,  topsoil, and seed will be ordered on separate line items as needed.</t>
  </si>
  <si>
    <t>b.  High early concrete is added as an additional cost to other concrete line items when they are used.  High early shall increase concrete compressive strength to 4,000 psi within 7 days.</t>
  </si>
  <si>
    <t>c.  Minor edge repairs, surface spalls and crack repairs.  Remove loose or deleterious material up to one-inch deep and hand patch to blend into existing with a high strength grout.  Includes curing.</t>
  </si>
  <si>
    <t>d.  Joint sealing includes cleaning cracks, routing, backer rod, bond breaker tape, herbicide, vegetation removal, sealant application and cleanup.</t>
  </si>
  <si>
    <t>Total Slab Replacement: 8" Thick 0 To 28 CY (Section 32 13 11)</t>
  </si>
  <si>
    <t>Total Slab Replacement: 8" Thick 28 To 84 CY (Section 32 13 11)</t>
  </si>
  <si>
    <t>Total Slab Replacement: 8" Thick Over 84 CY (Section 32 13 11)</t>
  </si>
  <si>
    <t>Total Slab Replacement: 10" Thick 0 To 28 CY (Section 32 13 11)</t>
  </si>
  <si>
    <t>Total Slab Replacement: 10" Thick 28 To 84 CY (Section 32 13 11)</t>
  </si>
  <si>
    <t>Total Slab Replacement: 10" Thick Over 84 CY (Section 32 13 11)</t>
  </si>
  <si>
    <t>Total Slab Replacement: 12" Thick 0 To 28 CY (Section 32 13 11))</t>
  </si>
  <si>
    <t>Total Slab Replacement: 12" Thick 28 To 84 CY (Section 32 13 11)</t>
  </si>
  <si>
    <t>Total Slab Replacement: 12" Thick Over 84 CY (Section 32 13 11)</t>
  </si>
  <si>
    <t>Partial Slab Replacement: 8" Thick (Section 32 01 29.61)</t>
  </si>
  <si>
    <t>Partial Slab Replacement: 10" Thick (Section 32 01 29.61)</t>
  </si>
  <si>
    <t>Partial Slab Replacement: 12" Thick (Section 32 01 29.61)</t>
  </si>
  <si>
    <t>Surface Repairs - with 650 psi Concrete (Section 32 01 29.61)</t>
  </si>
  <si>
    <t>Surface Repairs - with Epoxy (Section 32 01 29.61)</t>
  </si>
  <si>
    <t xml:space="preserve">Joint Resealing/Portland 0 To 500 LF (Section 32 01 19.61) </t>
  </si>
  <si>
    <t xml:space="preserve">Joint Resealing/Portland Over 500 LF (Section 32 01 19.61) </t>
  </si>
  <si>
    <t>Crack Repairs - Clean and Resealing of Joints (Section 32 01 19.61)</t>
  </si>
  <si>
    <t>Pavement Markings(00701-00709):
a.  All removal of markings Includes demo plans for approval, protection of surrounding property, dust containment, barricades flagmen, and all safety-related equipment.</t>
  </si>
  <si>
    <t>b.  Remove raised or recessed paint in accordance with the specifications.</t>
  </si>
  <si>
    <t>c.  Raised and recessed thermoplastic striping shall be removed per manufacturer's directions.</t>
  </si>
  <si>
    <t>d.  All debris must be removed and disposed off of Government property at the contractor's expense.</t>
  </si>
  <si>
    <t>e.  Pavement markings (including curbs with various colors) installation includes work schedules, preparation, layout, materials, applications, cleanup, protection of surrounding property, dust containment, barricades flagmen, and all safety-related equipment.  When glass beads are ordered the rate of application shall be a minimum of 7 pounds per 100 SF.</t>
  </si>
  <si>
    <t>f.  Tape type pavement markings shall is installed per manufacturer's recommendations based on type and conditions. Handicap markings shall be 48" x 56".</t>
  </si>
  <si>
    <t>g. Include paint spec. TS TT-P-1952, Type [I or II] and  [III], in addition to MPI 97 paint to the specs and Elins</t>
  </si>
  <si>
    <t>Black Out/Black Background (Section 32 17 23.00 20)</t>
  </si>
  <si>
    <t>Glass Spheres, Type I, or Type III  (Section 32 17 23.00 20)</t>
  </si>
  <si>
    <t>Center Lines 0 To 1,000 SF (Section 32 17 23.00 20)</t>
  </si>
  <si>
    <t>Center Lines Over 1,000 SF (Section 32 17 23.00 20)</t>
  </si>
  <si>
    <t>Other Than Center Lines 0 To 1,000 SF (Section 32 17 23.00 20)</t>
  </si>
  <si>
    <t>Other Than Center Lines Over 1,000 SF (Section 32 17 23.00 20)</t>
  </si>
  <si>
    <t>Hatched Lines (Section 32 17 23.00 20)</t>
  </si>
  <si>
    <t>Letters and Numbers (Section 32 17 23.00 20)</t>
  </si>
  <si>
    <t>Arrows (Section 32 17 23.00 20)</t>
  </si>
  <si>
    <t>a.  Includes material, and installation as specified to include tying or welding as needed.</t>
  </si>
  <si>
    <t>a.  Dowels furnish and install.  Includes drilling, prime, epoxy, and caps.</t>
  </si>
  <si>
    <t>Welded Wire Fabric (Sections 03 30 53, 32 13 13.03)</t>
  </si>
  <si>
    <t>a.  Welded wire fabric includes fabric, and installation, measured from perimeter to perimeter after required overlaps been made.</t>
  </si>
  <si>
    <t>Reinforcing Steel (Sections 03 30 53, 32 13 13.03)</t>
  </si>
  <si>
    <t>Mooring Eye in Existing Concrete (Section 34 73 13)</t>
  </si>
  <si>
    <t>Mooring Eye in New Concrete (Section 34 73 13)</t>
  </si>
  <si>
    <t>Miscellaneous (00909-00910):
a. Fine grading of existing topsoil includes placing and spreading of soil dumped at the work site by others to elevations indicated.  Provide and apply seed to newly graded topsoil.  Furnish and cover lightly with straw.  Includes cleanup, protection of surrounding property, dust containment, barricades flagmen, and all safety-related equipment.</t>
  </si>
  <si>
    <t>Fine grade Existing Topsoil and seed (Section 32 92 19)</t>
  </si>
  <si>
    <t>Furnish, Fine grade and Seed Topsoil (Section 32 92 19)</t>
  </si>
  <si>
    <t>Miscellaneous (00911):
a. In some cases of Command Interest where the request for work is of an urgent nature the contractor shall be paid an additional one time cost to respond within 48 hours from receiving a written or verbal request for work.  The Contractor shall respond within 48 hours and shall work diligently until all work is completed.  Payment of this line item is based solely on the timeliness and the diligent progress of the Contractor's performance.  The Contractor must complete the project within the time negotiated or risk losing entire additional pay.  When the delay is determined not to be caused by the contractor, the Government may consider payment.  Also liquidated damages assessment starts the day after the required completion date.  When the Command Interest Line Item is used, the start up time is up to 48 hours.  Additional time that is given on other non-negotiated line items do not apply with Command Interest Work.</t>
  </si>
  <si>
    <t>Miscellaneous (00912):
a.  Herbicide application includes certification, materials, and application per manufacturer's instructions.  Includes schedules, cleanup, and protection of surrounding property, containment, barricades flagmen, and all safety-related equipment.</t>
  </si>
  <si>
    <t>Herbicide (31 11 00)</t>
  </si>
  <si>
    <t>A00914</t>
  </si>
  <si>
    <t>Grounding Points in Existing Concrete (Section 34 73 13)</t>
  </si>
  <si>
    <t>A00915</t>
  </si>
  <si>
    <t>Grounding Points in New Concrete (Section 34 73 13)</t>
  </si>
  <si>
    <t>a.  Provide light fixture, base can, isolation transformer, conduit, wiring, counterpoise, and handhole as required to match existing conditions.</t>
  </si>
  <si>
    <t>Taxi-way Edge Light - In-Pavement Incandescent (Section 34 43 00.00 20)</t>
  </si>
  <si>
    <t>a.  Provide light fixture with appropriate color and direction.</t>
  </si>
  <si>
    <t xml:space="preserve">b.  Provide associated  isolation transformer, L-823 connectors, and grounding, as required. </t>
  </si>
  <si>
    <t>Taxi-way Edge Light - Elevated Incandescent (Section 34 43 00.00 20)</t>
  </si>
  <si>
    <t>Taxi-way Edge Light - In-Pavement LED (Section 34 43 00.00 20)</t>
  </si>
  <si>
    <t>Taxi-way Edge Light - Elevated LED (Section 34 43 00.00 20)</t>
  </si>
  <si>
    <t>Runway Edge Light - In-Pavement Incandescent (Section 34 43 00.00 20)</t>
  </si>
  <si>
    <t>Runway Edge Light - Elevated Incandescent (Section 34 43 00.00 20)</t>
  </si>
  <si>
    <t>Runway Edge Light - In-Pavement LED (Section 34 43 00.00 20)</t>
  </si>
  <si>
    <t>Runway Edge Light - Elevated LED (Section 34 43 00.00 20)</t>
  </si>
  <si>
    <t>Runway Centerline Light - In-Pavement Incandescent (Section 34 43 00.00 20)</t>
  </si>
  <si>
    <t>Runway Centerline Light - In-Pavement LED (Section 34 43 00.00 20)</t>
  </si>
  <si>
    <t>Runway Threshold Light - In-Pavement Incandescent (Section 34 43 00.00 20)</t>
  </si>
  <si>
    <t>Runway Threshold Light - Elevated Incandescent (Section 34 43 00.00 20)</t>
  </si>
  <si>
    <t>Runway Threshold Light - In-Pavement LED (Section 34 43 00.00 20)</t>
  </si>
  <si>
    <t>Runway Threshold Light - Elevated LED (Section 34 43 00.00 20)</t>
  </si>
  <si>
    <t>Deep Light Base Can (Section 34 43 00.00 20)</t>
  </si>
  <si>
    <t xml:space="preserve">a.  Provide L-867 or L-868 deep base can sized to match associated light fixture, installed in concrete. </t>
  </si>
  <si>
    <t>b.  Bond light base external ground lug to either the counterpoise wire and/or a ground rod.</t>
  </si>
  <si>
    <t>Shallow Light Base Can (Section 34 43 00.00 20)</t>
  </si>
  <si>
    <t xml:space="preserve">a.  Provide L-867 or L-868 shallow base can sized to match associated light fixture, installed in concrete. </t>
  </si>
  <si>
    <t>Handhole (Section 33 71 02)</t>
  </si>
  <si>
    <t>a.  Provide 4'x4'x4' airfield rated handhole with spring assisted cover.</t>
  </si>
  <si>
    <t>Conduit Ductbank (Section 33 71 02)</t>
  </si>
  <si>
    <t xml:space="preserve">a.  Provide conduit to match existing, sized appropriately for wiring. Typically, provide 2" Schedule 40 PVC conduit for airfield lighting circuits. </t>
  </si>
  <si>
    <t>b.  Provide L-824 airfield lighting cable in conduit, and counterpoise wire above conduit in accordance with applicable codes and standards.</t>
  </si>
  <si>
    <t>Demolish Existing Airfield Fixture and Base (Section 02 41 00)</t>
  </si>
  <si>
    <t>Demolish Existing Conduit (Section 02 41 00)</t>
  </si>
  <si>
    <t>Tailhook resistant light - In-Pavement LED (Section 34 43 00.00 20)</t>
  </si>
  <si>
    <t>When this line item is ordered the Contractor shall folow the guideance listed in,  UFC 3-260-02, Chapter 21, Paragraph 1.c, found on page 428/538, it explains that the “Procedures for conducting friction testing and an approved equipment list are contained in Federal Aviation Administration Advisory Circular, AC 150/5320-12C, ‘Measurement, Construction, and Maintenance of Skid-Resistant Airport Pavement Surfaces’.”  This document was issued by the FAA on March 18, 1997.  When testing is complete provide a complete report to the Contracting Officer. That report shall include, the test results, testing method used, and the FAA approved equipment used during testing. Provide that report within 5 days of test completion. Line item pricing shall be all inclusive of labor, material, equipment rental, overhead, profit, and sub contractor costs.</t>
  </si>
  <si>
    <t>ELINs 01201 and 01202 of Exhibit cover, but are not limited to, the cost for labor, materials, and various types of equipment required to provide repair work, modifications, or new work in conjunction with other work ordered under the bid schedule.  The Government shall provide the Contractor with a scope of work that is to be performed.  After review the Contractor shall submit to the Contracting Officer either a Type I or Type II proposal (in some cases both) within five working days of the date of receiving the scope of work.</t>
  </si>
  <si>
    <t>Under a Type I proposal the Contractor shall develop an estimate for material and labor (in man-hours) required for task requested from current issues of any of the most current R.S. Means Facilities Estimating Guides.  Cost breakdown for Type I proposal shall be provided as indicated below.</t>
  </si>
  <si>
    <t>Material:  All material required to complete the project shall be at bare cost only.  The only mark up allowed to be added to material is delivery or shipping costs required for the contractor to receive the material and state sales tax.</t>
  </si>
  <si>
    <t>Labor:  This Line Item shall cover the total cost of labor which includes all associated costs to perform the work including but not limited to: tools, equipment, disposal, supervision, overhead, markup, profit, taxes, inspections, insurance, permits, fees, and bonds, for work not covered under the pre-priced  line items.  It is noted that the pre-priced line items are all inclusive including labor costs. All work performed under this ELIN will be governed by the contract requirements. This single inclusive hourly rate (the bid unit cost) will be multiplied by the required man-hours for each task as negotiated with the Government and the product shall establish the firm fixed price for the defined scope of work.</t>
  </si>
  <si>
    <t>Under a Type II proposal if a required task is not found in the R. S. Means Facilities Guide, then the Contractor shall submit a minimum of two (2) written quotes (for direct cost only) from subcontractor's / suppliers, and a breakdown of contractor's overhead and profit.</t>
  </si>
  <si>
    <t>HR</t>
  </si>
  <si>
    <t>SUMMARY PAGE</t>
  </si>
  <si>
    <t>BASE YEAR</t>
  </si>
  <si>
    <t>OPTION ONE</t>
  </si>
  <si>
    <t>OPTION TWO</t>
  </si>
  <si>
    <t>OPTION THREE</t>
  </si>
  <si>
    <t>OPTION FOUR</t>
  </si>
  <si>
    <t>TOTAL</t>
  </si>
  <si>
    <t>Extended Price</t>
  </si>
  <si>
    <t xml:space="preserve">Lighting (01001-01021):
a.  Lighting includes replacing the can for the light, all sawcutting around the existing light </t>
  </si>
  <si>
    <t>Aircraft Tiedown Removal (00111):
a. Includes protection of surrounding property, dust containment, disposal of debris off of Government property, providing and placing barricades, flagmen, a demo plan, and all safety-related equipment.</t>
  </si>
  <si>
    <t>A009010</t>
  </si>
  <si>
    <t>A009011</t>
  </si>
  <si>
    <t>Each line item under "Site Preparation Work" shall include all Material, Equipment, Labor, Suprevision, Sub-Contractor cost, Bonding, and Overhead to complete the following tasks: A) Provide the original installation of the required items. B) Maintain the required items in such a maner that they provide the required service, and are neet and sightly. C) At the end of the job all remaining material shall be removed from government property, and the job area returned to its pre work condition.</t>
  </si>
  <si>
    <t>DEMOLITION, REMOVAL, AND DISPOSAL.</t>
  </si>
  <si>
    <t>Solicitation No. N4008525R2559</t>
  </si>
  <si>
    <t>INDEFINITE DELIVERY, INDEFINITE QUANTITY CONSTRUCTION CONTRACT FOR 
CONSTRUCTION MAINTENANCE FOR RIGID PAVING 
AT THE VARIOUS NAVAL FACILITIES THROUGHOUT HAMPTON ROADS, VIRGINIA</t>
  </si>
  <si>
    <t>Contractor shall verify scope of work for each line item as defined in Section C Descriptions and Specifications, Section C, Contract No. N4008525R2559, Construction Maintenance for Rigid Paving at Various Federal Activities in the Hampton Roads Region</t>
  </si>
  <si>
    <t>INDEFINITE DELIVERY, INDEFINITE QUANTITY CONSTRUCTION CONTRACT FOR 
RIGID PAVING REPAIR AND REPLACMENT 
AT VARIOUS NAVAL FACILITIES THROUGHOUT HAMPTON ROADS, VIRGINIA</t>
  </si>
  <si>
    <t>B00904</t>
  </si>
  <si>
    <t>B00905</t>
  </si>
  <si>
    <t>B00906</t>
  </si>
  <si>
    <t>B00907</t>
  </si>
  <si>
    <t>B00908</t>
  </si>
  <si>
    <t>B00909</t>
  </si>
  <si>
    <t>B009010</t>
  </si>
  <si>
    <t>B009011</t>
  </si>
  <si>
    <t>B00912</t>
  </si>
  <si>
    <t>B00913</t>
  </si>
  <si>
    <t>B00914</t>
  </si>
  <si>
    <t>B00915</t>
  </si>
  <si>
    <t>C00904</t>
  </si>
  <si>
    <t>C00905</t>
  </si>
  <si>
    <t>C00906</t>
  </si>
  <si>
    <t>C00907</t>
  </si>
  <si>
    <t>C00908</t>
  </si>
  <si>
    <t>C00909</t>
  </si>
  <si>
    <t>C009010</t>
  </si>
  <si>
    <t>C009011</t>
  </si>
  <si>
    <t>C00912</t>
  </si>
  <si>
    <t>C00913</t>
  </si>
  <si>
    <t>C00914</t>
  </si>
  <si>
    <t>C00915</t>
  </si>
  <si>
    <t>D00904</t>
  </si>
  <si>
    <t>D00905</t>
  </si>
  <si>
    <t>D00906</t>
  </si>
  <si>
    <t>D00907</t>
  </si>
  <si>
    <t>D00908</t>
  </si>
  <si>
    <t>D00909</t>
  </si>
  <si>
    <t>D009010</t>
  </si>
  <si>
    <t>D009011</t>
  </si>
  <si>
    <t>D00912</t>
  </si>
  <si>
    <t>D00913</t>
  </si>
  <si>
    <t>D00914</t>
  </si>
  <si>
    <t>D00915</t>
  </si>
  <si>
    <t>E00904</t>
  </si>
  <si>
    <t>E00905</t>
  </si>
  <si>
    <t>E00906</t>
  </si>
  <si>
    <t>E00907</t>
  </si>
  <si>
    <t>E00908</t>
  </si>
  <si>
    <t>E00909</t>
  </si>
  <si>
    <t>E009010</t>
  </si>
  <si>
    <t>E009011</t>
  </si>
  <si>
    <t>E00912</t>
  </si>
  <si>
    <t>E00913</t>
  </si>
  <si>
    <t>E00914</t>
  </si>
  <si>
    <t>E00915</t>
  </si>
  <si>
    <t xml:space="preserve">Option </t>
  </si>
  <si>
    <t>LS</t>
  </si>
  <si>
    <t>Non-Prepriced Materials ($250,000.00 shall remain as Bid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</si>
</sst>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5" formatCode="_(* #,##0_);_(* \(#,##0\);_(* &quot;-&quot;??_);_(@_)"/>
  </numFmts>
  <fonts count="15" x14ac:knownFonts="1">
    <font>
      <sz val="11"/>
      <color theme="1"/>
      <name val="Calibri"/>
      <family val="2"/>
      <scheme val="minor"/>
    </font>
    <font>
      <sz val="11"/>
      <color theme="1"/>
      <name val="Calibri"/>
      <family val="2"/>
      <scheme val="minor"/>
    </font>
    <font>
      <b/>
      <sz val="10"/>
      <color theme="1"/>
      <name val="Times New Roman"/>
      <family val="1"/>
    </font>
    <font>
      <sz val="10"/>
      <color theme="1"/>
      <name val="Times New Roman"/>
      <family val="1"/>
    </font>
    <font>
      <strike/>
      <sz val="10"/>
      <color theme="1"/>
      <name val="Times New Roman"/>
      <family val="1"/>
    </font>
    <font>
      <sz val="10"/>
      <name val="Times New Roman"/>
      <family val="1"/>
    </font>
    <font>
      <b/>
      <sz val="10"/>
      <name val="Times New Roman"/>
      <family val="1"/>
    </font>
    <font>
      <b/>
      <sz val="12"/>
      <name val="Times New Roman"/>
      <family val="1"/>
    </font>
    <font>
      <b/>
      <u/>
      <sz val="10"/>
      <name val="Times New Roman"/>
      <family val="1"/>
    </font>
    <font>
      <strike/>
      <sz val="10"/>
      <name val="Times New Roman"/>
      <family val="1"/>
    </font>
    <font>
      <sz val="11"/>
      <color theme="1"/>
      <name val="Times New Roman"/>
      <family val="1"/>
    </font>
    <font>
      <b/>
      <sz val="20"/>
      <name val="Times New Roman"/>
      <family val="1"/>
    </font>
    <font>
      <sz val="11"/>
      <name val="Times New Roman"/>
      <family val="1"/>
    </font>
    <font>
      <b/>
      <sz val="11"/>
      <name val="Times New Roman"/>
      <family val="1"/>
    </font>
    <font>
      <b/>
      <sz val="11"/>
      <color theme="1"/>
      <name val="Times New Roman"/>
      <family val="1"/>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07">
    <xf numFmtId="0" fontId="0" fillId="0" borderId="0" xfId="0"/>
    <xf numFmtId="164" fontId="7" fillId="0" borderId="11" xfId="2" applyNumberFormat="1" applyFont="1" applyBorder="1" applyAlignment="1">
      <alignment vertical="center"/>
    </xf>
    <xf numFmtId="164" fontId="7" fillId="0" borderId="0" xfId="2" applyNumberFormat="1" applyFont="1" applyBorder="1" applyAlignment="1">
      <alignment vertical="center"/>
    </xf>
    <xf numFmtId="0" fontId="3" fillId="2" borderId="1" xfId="0" applyFont="1" applyFill="1" applyBorder="1" applyAlignment="1" applyProtection="1">
      <alignment horizontal="center" vertical="center"/>
    </xf>
    <xf numFmtId="0" fontId="3" fillId="2" borderId="1" xfId="0" applyFont="1" applyFill="1" applyBorder="1" applyAlignment="1" applyProtection="1">
      <alignment vertical="center" wrapText="1"/>
    </xf>
    <xf numFmtId="3" fontId="3" fillId="2" borderId="1" xfId="0" applyNumberFormat="1" applyFont="1" applyFill="1" applyBorder="1" applyAlignment="1" applyProtection="1">
      <alignment vertical="center"/>
    </xf>
    <xf numFmtId="0" fontId="3" fillId="2" borderId="0" xfId="0" applyFont="1" applyFill="1" applyAlignment="1" applyProtection="1">
      <alignment wrapText="1"/>
      <protection locked="0"/>
    </xf>
    <xf numFmtId="0" fontId="5" fillId="2" borderId="0" xfId="0" applyFont="1" applyFill="1" applyAlignment="1">
      <alignment vertical="top"/>
    </xf>
    <xf numFmtId="0" fontId="3" fillId="2" borderId="0" xfId="0" applyFont="1" applyFill="1" applyBorder="1" applyAlignment="1" applyProtection="1">
      <alignment horizontal="center" vertical="center"/>
      <protection locked="0"/>
    </xf>
    <xf numFmtId="0" fontId="3" fillId="2" borderId="0" xfId="0" applyFont="1" applyFill="1" applyBorder="1" applyAlignment="1" applyProtection="1">
      <alignment vertical="center" wrapText="1"/>
      <protection locked="0"/>
    </xf>
    <xf numFmtId="3" fontId="3" fillId="2" borderId="0" xfId="0" applyNumberFormat="1" applyFont="1" applyFill="1" applyBorder="1" applyAlignment="1" applyProtection="1">
      <alignment horizontal="right" vertical="center"/>
      <protection locked="0"/>
    </xf>
    <xf numFmtId="1" fontId="3" fillId="2" borderId="0" xfId="0" applyNumberFormat="1" applyFont="1" applyFill="1" applyBorder="1" applyAlignment="1" applyProtection="1">
      <alignment vertical="center"/>
      <protection locked="0"/>
    </xf>
    <xf numFmtId="0" fontId="3" fillId="2" borderId="1" xfId="0" applyNumberFormat="1" applyFont="1" applyFill="1" applyBorder="1" applyAlignment="1" applyProtection="1">
      <alignment horizontal="left" vertical="center" wrapText="1"/>
    </xf>
    <xf numFmtId="0" fontId="3" fillId="2" borderId="1" xfId="0" applyNumberFormat="1" applyFont="1" applyFill="1" applyBorder="1" applyAlignment="1" applyProtection="1">
      <alignment wrapText="1"/>
    </xf>
    <xf numFmtId="0" fontId="3" fillId="2" borderId="1"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vertical="top" wrapText="1"/>
      <protection locked="0"/>
    </xf>
    <xf numFmtId="0" fontId="3" fillId="2" borderId="1" xfId="0" applyNumberFormat="1" applyFont="1" applyFill="1" applyBorder="1" applyAlignment="1" applyProtection="1">
      <alignment vertical="center" wrapText="1"/>
    </xf>
    <xf numFmtId="3" fontId="3" fillId="2" borderId="1" xfId="0" applyNumberFormat="1" applyFont="1" applyFill="1" applyBorder="1" applyAlignment="1" applyProtection="1">
      <alignment wrapText="1"/>
    </xf>
    <xf numFmtId="3" fontId="3" fillId="2" borderId="1" xfId="0" applyNumberFormat="1" applyFont="1" applyFill="1" applyBorder="1" applyAlignment="1" applyProtection="1">
      <alignment horizontal="center" vertical="center" wrapText="1"/>
    </xf>
    <xf numFmtId="0" fontId="3" fillId="2" borderId="0" xfId="0" applyFont="1" applyFill="1" applyBorder="1" applyAlignment="1" applyProtection="1">
      <alignment horizontal="right" vertical="center"/>
      <protection locked="0"/>
    </xf>
    <xf numFmtId="3" fontId="3" fillId="2" borderId="0" xfId="0" applyNumberFormat="1" applyFont="1" applyFill="1" applyBorder="1" applyAlignment="1" applyProtection="1">
      <protection locked="0"/>
    </xf>
    <xf numFmtId="0" fontId="3" fillId="2" borderId="0" xfId="0" applyFont="1" applyFill="1" applyBorder="1" applyAlignment="1" applyProtection="1">
      <protection locked="0"/>
    </xf>
    <xf numFmtId="0" fontId="3" fillId="2" borderId="1" xfId="0" applyFont="1" applyFill="1" applyBorder="1" applyAlignment="1" applyProtection="1">
      <alignment horizontal="center" vertical="center" wrapText="1"/>
    </xf>
    <xf numFmtId="0" fontId="2" fillId="2" borderId="0" xfId="0" applyFont="1" applyFill="1" applyBorder="1" applyAlignment="1" applyProtection="1">
      <protection locked="0"/>
    </xf>
    <xf numFmtId="3" fontId="3" fillId="2" borderId="0" xfId="0" applyNumberFormat="1" applyFont="1" applyFill="1" applyBorder="1" applyAlignment="1" applyProtection="1">
      <alignment horizontal="center" vertical="center"/>
      <protection locked="0"/>
    </xf>
    <xf numFmtId="3" fontId="3" fillId="2" borderId="1" xfId="0" applyNumberFormat="1" applyFont="1" applyFill="1" applyBorder="1" applyAlignment="1" applyProtection="1">
      <alignment vertical="center" wrapText="1"/>
    </xf>
    <xf numFmtId="3" fontId="3" fillId="2" borderId="1" xfId="0" applyNumberFormat="1" applyFont="1" applyFill="1" applyBorder="1" applyAlignment="1" applyProtection="1">
      <alignment horizontal="right" wrapText="1"/>
    </xf>
    <xf numFmtId="0" fontId="5" fillId="2" borderId="1" xfId="0" applyFont="1" applyFill="1" applyBorder="1" applyAlignment="1" applyProtection="1">
      <alignment horizontal="center" vertical="center"/>
      <protection locked="0"/>
    </xf>
    <xf numFmtId="1" fontId="6" fillId="2" borderId="0" xfId="2" applyNumberFormat="1" applyFont="1" applyFill="1" applyBorder="1" applyAlignment="1">
      <alignment vertical="center" wrapText="1"/>
    </xf>
    <xf numFmtId="0" fontId="5" fillId="2" borderId="0" xfId="0" applyFont="1" applyFill="1" applyBorder="1" applyAlignment="1" applyProtection="1">
      <alignment vertical="center"/>
      <protection locked="0"/>
    </xf>
    <xf numFmtId="0" fontId="6" fillId="2" borderId="1" xfId="0" applyFont="1" applyFill="1" applyBorder="1" applyAlignment="1" applyProtection="1">
      <alignment horizontal="center" vertical="center" wrapText="1"/>
      <protection locked="0"/>
    </xf>
    <xf numFmtId="0" fontId="6" fillId="2" borderId="1" xfId="0" applyFont="1" applyFill="1" applyBorder="1" applyAlignment="1" applyProtection="1">
      <alignment horizontal="right" wrapText="1"/>
      <protection locked="0"/>
    </xf>
    <xf numFmtId="0" fontId="6" fillId="2" borderId="1" xfId="0" applyFont="1" applyFill="1" applyBorder="1" applyAlignment="1" applyProtection="1">
      <alignment horizontal="center" vertical="center"/>
      <protection locked="0"/>
    </xf>
    <xf numFmtId="0" fontId="5" fillId="2" borderId="1" xfId="0" applyFont="1" applyFill="1" applyBorder="1" applyAlignment="1" applyProtection="1">
      <alignment horizontal="center" vertical="center" wrapText="1"/>
      <protection locked="0"/>
    </xf>
    <xf numFmtId="3" fontId="5" fillId="2" borderId="1" xfId="0" applyNumberFormat="1" applyFont="1" applyFill="1" applyBorder="1" applyAlignment="1" applyProtection="1">
      <alignment horizontal="right"/>
      <protection locked="0"/>
    </xf>
    <xf numFmtId="0" fontId="5" fillId="2" borderId="1" xfId="0" applyFont="1" applyFill="1" applyBorder="1" applyAlignment="1" applyProtection="1">
      <alignment wrapText="1"/>
      <protection locked="0"/>
    </xf>
    <xf numFmtId="0" fontId="5" fillId="2" borderId="1" xfId="0" applyFont="1" applyFill="1" applyBorder="1" applyAlignment="1" applyProtection="1">
      <alignment vertical="center" wrapText="1"/>
      <protection locked="0"/>
    </xf>
    <xf numFmtId="0" fontId="6" fillId="2" borderId="1" xfId="0" applyFont="1" applyFill="1" applyBorder="1" applyAlignment="1" applyProtection="1">
      <alignment horizontal="left" vertical="center"/>
      <protection locked="0"/>
    </xf>
    <xf numFmtId="1" fontId="5" fillId="2" borderId="0" xfId="0" applyNumberFormat="1" applyFont="1" applyFill="1" applyBorder="1" applyAlignment="1" applyProtection="1">
      <alignment vertical="center"/>
      <protection locked="0"/>
    </xf>
    <xf numFmtId="0" fontId="5" fillId="2" borderId="0" xfId="0" applyNumberFormat="1" applyFont="1" applyFill="1" applyBorder="1" applyAlignment="1" applyProtection="1">
      <alignment vertical="center"/>
      <protection locked="0"/>
    </xf>
    <xf numFmtId="1" fontId="6" fillId="2" borderId="0" xfId="0" applyNumberFormat="1" applyFont="1" applyFill="1" applyBorder="1" applyAlignment="1" applyProtection="1">
      <alignment vertical="center"/>
      <protection locked="0"/>
    </xf>
    <xf numFmtId="49" fontId="6" fillId="2" borderId="1" xfId="0" applyNumberFormat="1" applyFont="1" applyFill="1" applyBorder="1" applyAlignment="1" applyProtection="1">
      <alignment horizontal="center" vertical="center"/>
      <protection locked="0"/>
    </xf>
    <xf numFmtId="3" fontId="6" fillId="2" borderId="1" xfId="1" applyNumberFormat="1" applyFont="1" applyFill="1" applyBorder="1" applyAlignment="1">
      <alignment horizontal="center" vertical="center"/>
    </xf>
    <xf numFmtId="1" fontId="6" fillId="2" borderId="0" xfId="0" applyNumberFormat="1" applyFont="1" applyFill="1" applyBorder="1" applyAlignment="1" applyProtection="1">
      <alignment horizontal="center" vertical="center" wrapText="1"/>
      <protection locked="0"/>
    </xf>
    <xf numFmtId="44" fontId="6" fillId="2" borderId="1" xfId="2" applyFont="1" applyFill="1" applyBorder="1" applyAlignment="1">
      <alignment horizontal="center" vertical="center" wrapText="1"/>
    </xf>
    <xf numFmtId="3" fontId="6" fillId="2" borderId="1" xfId="0" applyNumberFormat="1" applyFont="1" applyFill="1" applyBorder="1" applyAlignment="1" applyProtection="1">
      <alignment horizontal="right"/>
      <protection locked="0"/>
    </xf>
    <xf numFmtId="1" fontId="6" fillId="2" borderId="0" xfId="0" applyNumberFormat="1" applyFont="1" applyFill="1" applyBorder="1" applyAlignment="1" applyProtection="1">
      <alignment horizontal="center" vertical="center"/>
      <protection locked="0"/>
    </xf>
    <xf numFmtId="0" fontId="5" fillId="2" borderId="0" xfId="0" applyFont="1" applyFill="1" applyBorder="1" applyAlignment="1" applyProtection="1">
      <protection locked="0"/>
    </xf>
    <xf numFmtId="49" fontId="6" fillId="2" borderId="1" xfId="0" applyNumberFormat="1" applyFont="1" applyFill="1" applyBorder="1" applyAlignment="1" applyProtection="1">
      <alignment horizontal="center"/>
      <protection locked="0"/>
    </xf>
    <xf numFmtId="49" fontId="6" fillId="2" borderId="1" xfId="0" applyNumberFormat="1" applyFont="1" applyFill="1" applyBorder="1" applyAlignment="1" applyProtection="1">
      <alignment horizontal="right"/>
      <protection locked="0"/>
    </xf>
    <xf numFmtId="49" fontId="6" fillId="2" borderId="1" xfId="0" applyNumberFormat="1" applyFont="1" applyFill="1" applyBorder="1" applyAlignment="1" applyProtection="1">
      <protection locked="0"/>
    </xf>
    <xf numFmtId="1" fontId="6" fillId="2" borderId="0" xfId="0" applyNumberFormat="1" applyFont="1" applyFill="1" applyBorder="1" applyAlignment="1" applyProtection="1">
      <protection locked="0"/>
    </xf>
    <xf numFmtId="0" fontId="6" fillId="2" borderId="1" xfId="0" applyFont="1" applyFill="1" applyBorder="1" applyAlignment="1" applyProtection="1">
      <alignment vertical="center" wrapText="1"/>
      <protection locked="0"/>
    </xf>
    <xf numFmtId="0" fontId="5" fillId="2" borderId="1" xfId="0" applyFont="1" applyFill="1" applyBorder="1" applyAlignment="1" applyProtection="1">
      <alignment vertical="center"/>
      <protection locked="0"/>
    </xf>
    <xf numFmtId="0" fontId="6" fillId="2" borderId="2" xfId="0" applyFont="1" applyFill="1" applyBorder="1" applyAlignment="1" applyProtection="1">
      <alignment horizontal="left" vertical="center" wrapText="1"/>
      <protection locked="0"/>
    </xf>
    <xf numFmtId="0" fontId="6" fillId="2" borderId="10" xfId="0" applyFont="1" applyFill="1" applyBorder="1" applyAlignment="1" applyProtection="1">
      <alignment horizontal="right" wrapText="1"/>
      <protection locked="0"/>
    </xf>
    <xf numFmtId="0" fontId="6" fillId="2" borderId="3" xfId="0" applyFont="1" applyFill="1" applyBorder="1" applyAlignment="1" applyProtection="1">
      <alignment horizontal="left" vertical="center" wrapText="1"/>
      <protection locked="0"/>
    </xf>
    <xf numFmtId="0" fontId="6" fillId="2" borderId="1" xfId="0" applyFont="1" applyFill="1" applyBorder="1" applyAlignment="1" applyProtection="1">
      <alignment horizontal="left" vertical="center" wrapText="1"/>
      <protection locked="0"/>
    </xf>
    <xf numFmtId="3" fontId="6" fillId="2" borderId="1" xfId="0" applyNumberFormat="1" applyFont="1" applyFill="1" applyBorder="1" applyAlignment="1" applyProtection="1">
      <alignment horizontal="right" wrapText="1"/>
      <protection locked="0"/>
    </xf>
    <xf numFmtId="0" fontId="5" fillId="2" borderId="1" xfId="0" applyNumberFormat="1" applyFont="1" applyFill="1" applyBorder="1" applyAlignment="1" applyProtection="1">
      <alignment vertical="top" wrapText="1" readingOrder="1"/>
      <protection locked="0"/>
    </xf>
    <xf numFmtId="0" fontId="6" fillId="2" borderId="0" xfId="0" applyFont="1" applyFill="1" applyBorder="1" applyAlignment="1" applyProtection="1">
      <alignment vertical="center" wrapText="1"/>
      <protection locked="0"/>
    </xf>
    <xf numFmtId="0" fontId="5" fillId="2" borderId="1" xfId="0" applyNumberFormat="1" applyFont="1" applyFill="1" applyBorder="1" applyAlignment="1" applyProtection="1">
      <alignment vertical="top" wrapText="1"/>
      <protection locked="0"/>
    </xf>
    <xf numFmtId="0" fontId="5" fillId="2" borderId="1" xfId="0" applyFont="1" applyFill="1" applyBorder="1" applyAlignment="1" applyProtection="1">
      <alignment horizontal="left" vertical="center" wrapText="1"/>
      <protection locked="0"/>
    </xf>
    <xf numFmtId="0" fontId="5" fillId="2" borderId="0" xfId="0" applyFont="1" applyFill="1" applyAlignment="1" applyProtection="1">
      <alignment wrapText="1"/>
      <protection locked="0"/>
    </xf>
    <xf numFmtId="0" fontId="5" fillId="2" borderId="1" xfId="0" applyNumberFormat="1" applyFont="1" applyFill="1" applyBorder="1" applyAlignment="1" applyProtection="1">
      <alignment vertical="center" wrapText="1"/>
      <protection locked="0"/>
    </xf>
    <xf numFmtId="0" fontId="6" fillId="2" borderId="1" xfId="0" applyFont="1" applyFill="1" applyBorder="1" applyAlignment="1" applyProtection="1">
      <alignment horizontal="center"/>
      <protection locked="0"/>
    </xf>
    <xf numFmtId="0" fontId="6" fillId="2" borderId="1" xfId="0" applyFont="1" applyFill="1" applyBorder="1" applyAlignment="1" applyProtection="1">
      <alignment wrapText="1"/>
      <protection locked="0"/>
    </xf>
    <xf numFmtId="0" fontId="5" fillId="2" borderId="1" xfId="0" applyFont="1" applyFill="1" applyBorder="1" applyAlignment="1" applyProtection="1">
      <protection locked="0"/>
    </xf>
    <xf numFmtId="0" fontId="5" fillId="2" borderId="1" xfId="0" applyFont="1" applyFill="1" applyBorder="1" applyAlignment="1" applyProtection="1">
      <alignment horizontal="right" wrapText="1"/>
      <protection locked="0"/>
    </xf>
    <xf numFmtId="0" fontId="5" fillId="2" borderId="1" xfId="0" applyFont="1" applyFill="1" applyBorder="1" applyAlignment="1" applyProtection="1">
      <alignment horizontal="right"/>
      <protection locked="0"/>
    </xf>
    <xf numFmtId="1" fontId="5" fillId="2" borderId="0" xfId="0" applyNumberFormat="1" applyFont="1" applyFill="1" applyBorder="1" applyAlignment="1" applyProtection="1">
      <protection locked="0"/>
    </xf>
    <xf numFmtId="1" fontId="9" fillId="2" borderId="0" xfId="0" applyNumberFormat="1" applyFont="1" applyFill="1" applyBorder="1" applyAlignment="1" applyProtection="1">
      <alignment vertical="center"/>
      <protection locked="0"/>
    </xf>
    <xf numFmtId="0" fontId="9" fillId="2" borderId="0" xfId="0" applyFont="1" applyFill="1" applyBorder="1" applyAlignment="1" applyProtection="1">
      <alignment vertical="center"/>
      <protection locked="0"/>
    </xf>
    <xf numFmtId="0" fontId="5" fillId="2" borderId="0" xfId="0" applyNumberFormat="1" applyFont="1" applyFill="1" applyBorder="1" applyAlignment="1" applyProtection="1">
      <alignment vertical="top"/>
      <protection locked="0"/>
    </xf>
    <xf numFmtId="0" fontId="5" fillId="2" borderId="1" xfId="0" applyNumberFormat="1" applyFont="1" applyFill="1" applyBorder="1" applyAlignment="1" applyProtection="1">
      <alignment vertical="top"/>
      <protection locked="0"/>
    </xf>
    <xf numFmtId="49" fontId="5" fillId="2" borderId="1" xfId="0" applyNumberFormat="1" applyFont="1" applyFill="1" applyBorder="1" applyAlignment="1" applyProtection="1">
      <alignment vertical="center" wrapText="1"/>
    </xf>
    <xf numFmtId="0" fontId="5" fillId="2" borderId="1" xfId="0" applyNumberFormat="1" applyFont="1" applyFill="1" applyBorder="1" applyAlignment="1" applyProtection="1">
      <alignment vertical="top" wrapText="1"/>
    </xf>
    <xf numFmtId="49" fontId="5" fillId="2" borderId="1" xfId="0" applyNumberFormat="1" applyFont="1" applyFill="1" applyBorder="1" applyAlignment="1" applyProtection="1">
      <alignment horizontal="right" wrapText="1"/>
    </xf>
    <xf numFmtId="0" fontId="5" fillId="2" borderId="0" xfId="0" applyFont="1" applyFill="1" applyBorder="1" applyAlignment="1" applyProtection="1">
      <alignment horizontal="center" vertical="center"/>
      <protection locked="0"/>
    </xf>
    <xf numFmtId="0" fontId="5" fillId="2" borderId="0" xfId="0" applyFont="1" applyFill="1" applyBorder="1" applyAlignment="1" applyProtection="1">
      <alignment vertical="center" wrapText="1"/>
      <protection locked="0"/>
    </xf>
    <xf numFmtId="3" fontId="5" fillId="2" borderId="0" xfId="0" applyNumberFormat="1" applyFont="1" applyFill="1" applyBorder="1" applyAlignment="1" applyProtection="1">
      <alignment horizontal="right"/>
      <protection locked="0"/>
    </xf>
    <xf numFmtId="0" fontId="6" fillId="2" borderId="0" xfId="0" applyFont="1" applyFill="1" applyBorder="1" applyAlignment="1" applyProtection="1">
      <alignment wrapText="1"/>
      <protection locked="0"/>
    </xf>
    <xf numFmtId="49" fontId="5" fillId="2" borderId="0" xfId="0" applyNumberFormat="1" applyFont="1" applyFill="1" applyBorder="1" applyAlignment="1" applyProtection="1">
      <alignment vertical="center" wrapText="1"/>
    </xf>
    <xf numFmtId="0" fontId="3" fillId="2" borderId="0" xfId="0" applyFont="1" applyFill="1" applyAlignment="1" applyProtection="1">
      <alignment horizontal="center" vertical="center"/>
      <protection locked="0"/>
    </xf>
    <xf numFmtId="1" fontId="2" fillId="2" borderId="0" xfId="2" applyNumberFormat="1" applyFont="1" applyFill="1" applyBorder="1" applyAlignment="1">
      <alignment vertical="center" wrapText="1"/>
    </xf>
    <xf numFmtId="49" fontId="2" fillId="2" borderId="0" xfId="0" applyNumberFormat="1" applyFont="1" applyFill="1" applyBorder="1" applyAlignment="1" applyProtection="1">
      <protection locked="0"/>
    </xf>
    <xf numFmtId="0" fontId="2" fillId="2" borderId="0" xfId="0" applyFont="1" applyFill="1" applyBorder="1" applyAlignment="1" applyProtection="1">
      <alignment vertical="center" wrapText="1"/>
      <protection locked="0"/>
    </xf>
    <xf numFmtId="3" fontId="3" fillId="2" borderId="0" xfId="0" applyNumberFormat="1" applyFont="1" applyFill="1" applyBorder="1" applyAlignment="1" applyProtection="1">
      <alignment vertical="center"/>
      <protection locked="0"/>
    </xf>
    <xf numFmtId="0" fontId="3" fillId="2" borderId="0" xfId="0" applyFont="1" applyFill="1" applyBorder="1" applyAlignment="1" applyProtection="1">
      <alignment vertical="center"/>
      <protection locked="0"/>
    </xf>
    <xf numFmtId="0" fontId="2" fillId="2" borderId="0" xfId="0" applyFont="1" applyFill="1" applyBorder="1" applyAlignment="1" applyProtection="1">
      <alignment horizontal="center" vertical="center"/>
      <protection locked="0"/>
    </xf>
    <xf numFmtId="0" fontId="2" fillId="2" borderId="1" xfId="0" applyFont="1" applyFill="1" applyBorder="1" applyAlignment="1" applyProtection="1">
      <alignment horizontal="left" vertical="center"/>
    </xf>
    <xf numFmtId="0" fontId="2" fillId="2" borderId="0" xfId="0" applyFont="1" applyFill="1" applyBorder="1" applyAlignment="1" applyProtection="1">
      <alignment horizontal="left" vertical="center" wrapText="1"/>
      <protection locked="0"/>
    </xf>
    <xf numFmtId="3" fontId="2" fillId="2" borderId="0" xfId="0" applyNumberFormat="1" applyFont="1" applyFill="1" applyBorder="1" applyAlignment="1" applyProtection="1">
      <alignment horizontal="left" vertical="center" wrapText="1"/>
      <protection locked="0"/>
    </xf>
    <xf numFmtId="0" fontId="3" fillId="2" borderId="0" xfId="0" applyFont="1" applyFill="1" applyBorder="1" applyAlignment="1" applyProtection="1">
      <alignment horizontal="left" vertical="center" wrapText="1"/>
      <protection locked="0"/>
    </xf>
    <xf numFmtId="49" fontId="2" fillId="2" borderId="1" xfId="0" applyNumberFormat="1" applyFont="1" applyFill="1" applyBorder="1" applyAlignment="1" applyProtection="1">
      <alignment horizontal="center" vertical="center"/>
    </xf>
    <xf numFmtId="165" fontId="2" fillId="2" borderId="1" xfId="1" applyNumberFormat="1" applyFont="1" applyFill="1" applyBorder="1" applyAlignment="1" applyProtection="1">
      <alignment horizontal="center" vertical="center"/>
    </xf>
    <xf numFmtId="44" fontId="2" fillId="2" borderId="1" xfId="2" applyFont="1" applyFill="1" applyBorder="1" applyAlignment="1" applyProtection="1">
      <alignment horizontal="center" vertical="center"/>
    </xf>
    <xf numFmtId="0" fontId="5" fillId="2" borderId="0" xfId="0" applyFont="1" applyFill="1" applyAlignment="1">
      <alignment wrapText="1"/>
    </xf>
    <xf numFmtId="44" fontId="2" fillId="2" borderId="1" xfId="2" applyFont="1" applyFill="1" applyBorder="1" applyAlignment="1" applyProtection="1">
      <alignment horizontal="center" vertical="center" wrapText="1"/>
    </xf>
    <xf numFmtId="0" fontId="2" fillId="2" borderId="1" xfId="0" applyFont="1" applyFill="1" applyBorder="1" applyAlignment="1" applyProtection="1">
      <alignment vertical="center"/>
    </xf>
    <xf numFmtId="0" fontId="2" fillId="2" borderId="2" xfId="0" applyFont="1" applyFill="1" applyBorder="1" applyAlignment="1" applyProtection="1">
      <alignment vertical="center" wrapText="1"/>
    </xf>
    <xf numFmtId="0" fontId="2" fillId="2" borderId="3" xfId="0" applyFont="1" applyFill="1" applyBorder="1" applyAlignment="1" applyProtection="1">
      <alignment horizontal="center" vertical="center" wrapText="1"/>
    </xf>
    <xf numFmtId="0" fontId="2" fillId="2" borderId="1" xfId="0" applyFont="1" applyFill="1" applyBorder="1" applyAlignment="1" applyProtection="1">
      <alignment vertical="center" wrapText="1"/>
    </xf>
    <xf numFmtId="0" fontId="3" fillId="2" borderId="1" xfId="0" applyFont="1" applyFill="1" applyBorder="1" applyAlignment="1" applyProtection="1">
      <alignment wrapText="1"/>
    </xf>
    <xf numFmtId="0" fontId="3" fillId="2" borderId="1" xfId="0" applyFont="1" applyFill="1" applyBorder="1" applyAlignment="1" applyProtection="1">
      <alignment vertical="center"/>
    </xf>
    <xf numFmtId="2" fontId="3" fillId="2" borderId="1" xfId="0" applyNumberFormat="1" applyFont="1" applyFill="1" applyBorder="1" applyAlignment="1" applyProtection="1">
      <alignment horizontal="right" vertical="center"/>
    </xf>
    <xf numFmtId="0" fontId="3" fillId="2" borderId="1" xfId="0" applyFont="1" applyFill="1" applyBorder="1" applyAlignment="1" applyProtection="1">
      <alignment horizontal="right" vertical="center"/>
    </xf>
    <xf numFmtId="0" fontId="3" fillId="2" borderId="0" xfId="0" applyFont="1" applyFill="1" applyBorder="1" applyAlignment="1" applyProtection="1">
      <alignment horizontal="left" vertical="center"/>
      <protection locked="0"/>
    </xf>
    <xf numFmtId="0" fontId="2" fillId="2" borderId="1" xfId="0" applyNumberFormat="1" applyFont="1" applyFill="1" applyBorder="1" applyAlignment="1" applyProtection="1">
      <alignment vertical="center" wrapText="1"/>
    </xf>
    <xf numFmtId="0" fontId="2" fillId="2" borderId="1" xfId="0" applyFont="1" applyFill="1" applyBorder="1" applyAlignment="1" applyProtection="1">
      <alignment wrapText="1"/>
    </xf>
    <xf numFmtId="1" fontId="3" fillId="2" borderId="0" xfId="0" applyNumberFormat="1" applyFont="1" applyFill="1" applyBorder="1" applyAlignment="1" applyProtection="1">
      <protection locked="0"/>
    </xf>
    <xf numFmtId="1" fontId="4" fillId="2" borderId="0" xfId="0" applyNumberFormat="1" applyFont="1" applyFill="1" applyBorder="1" applyAlignment="1" applyProtection="1">
      <alignment vertical="center"/>
      <protection locked="0"/>
    </xf>
    <xf numFmtId="0" fontId="3" fillId="2" borderId="0" xfId="0" applyNumberFormat="1" applyFont="1" applyFill="1" applyBorder="1" applyAlignment="1" applyProtection="1">
      <alignment vertical="top"/>
      <protection locked="0"/>
    </xf>
    <xf numFmtId="1" fontId="3" fillId="2" borderId="1" xfId="0" applyNumberFormat="1" applyFont="1" applyFill="1" applyBorder="1" applyAlignment="1" applyProtection="1">
      <alignment horizontal="right" wrapText="1"/>
    </xf>
    <xf numFmtId="49" fontId="3" fillId="2" borderId="1" xfId="0" applyNumberFormat="1" applyFont="1" applyFill="1" applyBorder="1" applyAlignment="1" applyProtection="1">
      <alignment horizontal="center" vertical="center" wrapText="1"/>
    </xf>
    <xf numFmtId="49" fontId="3" fillId="2" borderId="0" xfId="0" applyNumberFormat="1" applyFont="1" applyFill="1" applyBorder="1" applyAlignment="1" applyProtection="1">
      <alignment vertical="center" wrapText="1"/>
    </xf>
    <xf numFmtId="0" fontId="3" fillId="2" borderId="0" xfId="0" applyNumberFormat="1" applyFont="1" applyFill="1" applyAlignment="1" applyProtection="1">
      <alignment vertical="top" wrapText="1"/>
    </xf>
    <xf numFmtId="0" fontId="3" fillId="2" borderId="1" xfId="0" applyNumberFormat="1" applyFont="1" applyFill="1" applyBorder="1" applyAlignment="1" applyProtection="1">
      <alignment horizontal="right" wrapText="1"/>
    </xf>
    <xf numFmtId="3" fontId="3" fillId="2" borderId="1" xfId="0" applyNumberFormat="1" applyFont="1" applyFill="1" applyBorder="1" applyAlignment="1" applyProtection="1">
      <alignment horizontal="right"/>
    </xf>
    <xf numFmtId="0" fontId="3" fillId="2" borderId="1" xfId="0" applyFont="1" applyFill="1" applyBorder="1" applyAlignment="1" applyProtection="1">
      <alignment horizontal="right" wrapText="1"/>
    </xf>
    <xf numFmtId="3" fontId="3" fillId="2" borderId="1" xfId="0" applyNumberFormat="1" applyFont="1" applyFill="1" applyBorder="1" applyAlignment="1" applyProtection="1">
      <alignment horizontal="center" vertical="center"/>
    </xf>
    <xf numFmtId="0" fontId="2" fillId="2" borderId="1" xfId="0" applyFont="1" applyFill="1" applyBorder="1" applyAlignment="1" applyProtection="1">
      <alignment horizontal="center"/>
    </xf>
    <xf numFmtId="0" fontId="3" fillId="2" borderId="0" xfId="0" applyNumberFormat="1" applyFont="1" applyFill="1" applyBorder="1" applyAlignment="1" applyProtection="1">
      <alignment vertical="top" wrapText="1" readingOrder="1"/>
      <protection locked="0"/>
    </xf>
    <xf numFmtId="0" fontId="3" fillId="2" borderId="4" xfId="0" applyNumberFormat="1" applyFont="1" applyFill="1" applyBorder="1" applyAlignment="1" applyProtection="1">
      <alignment wrapText="1"/>
    </xf>
    <xf numFmtId="0" fontId="3" fillId="2" borderId="0" xfId="0" applyNumberFormat="1" applyFont="1" applyFill="1" applyBorder="1" applyAlignment="1" applyProtection="1">
      <alignment horizontal="left" vertical="top" wrapText="1" indent="3" readingOrder="1"/>
      <protection locked="0"/>
    </xf>
    <xf numFmtId="0" fontId="5" fillId="2" borderId="0" xfId="0" applyFont="1" applyFill="1" applyAlignment="1">
      <alignment vertical="center"/>
    </xf>
    <xf numFmtId="0" fontId="5" fillId="2" borderId="0" xfId="0" applyFont="1" applyFill="1"/>
    <xf numFmtId="0" fontId="6" fillId="2" borderId="0" xfId="0" applyFont="1" applyFill="1"/>
    <xf numFmtId="164" fontId="8" fillId="2" borderId="0" xfId="0" applyNumberFormat="1" applyFont="1" applyFill="1" applyAlignment="1">
      <alignment horizontal="center"/>
    </xf>
    <xf numFmtId="0" fontId="3" fillId="2" borderId="1" xfId="0" applyFont="1" applyFill="1" applyBorder="1" applyAlignment="1" applyProtection="1">
      <alignment horizontal="center" wrapText="1"/>
    </xf>
    <xf numFmtId="3" fontId="3" fillId="2" borderId="1" xfId="0" applyNumberFormat="1" applyFont="1" applyFill="1" applyBorder="1" applyAlignment="1" applyProtection="1">
      <alignment horizontal="right" vertical="center" wrapText="1"/>
    </xf>
    <xf numFmtId="0" fontId="2" fillId="2" borderId="7" xfId="0" applyFont="1" applyFill="1" applyBorder="1" applyAlignment="1" applyProtection="1">
      <alignment horizontal="center" vertical="center"/>
    </xf>
    <xf numFmtId="0" fontId="2" fillId="2" borderId="8" xfId="0" applyFont="1" applyFill="1" applyBorder="1" applyAlignment="1" applyProtection="1">
      <alignment horizontal="center" vertical="center"/>
    </xf>
    <xf numFmtId="0" fontId="6" fillId="2" borderId="1"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left" vertical="center" wrapText="1"/>
    </xf>
    <xf numFmtId="0" fontId="2" fillId="2" borderId="1" xfId="0" applyFont="1" applyFill="1" applyBorder="1" applyAlignment="1" applyProtection="1">
      <alignment horizontal="center" vertical="center"/>
    </xf>
    <xf numFmtId="0" fontId="2" fillId="2" borderId="0" xfId="0" applyFont="1" applyFill="1" applyBorder="1" applyAlignment="1" applyProtection="1">
      <alignment wrapText="1"/>
      <protection locked="0"/>
    </xf>
    <xf numFmtId="0" fontId="2" fillId="2" borderId="1" xfId="0" applyNumberFormat="1" applyFont="1" applyFill="1" applyBorder="1" applyAlignment="1" applyProtection="1">
      <alignment wrapText="1"/>
    </xf>
    <xf numFmtId="0" fontId="2" fillId="2" borderId="1" xfId="0" applyFont="1" applyFill="1" applyBorder="1" applyAlignment="1" applyProtection="1">
      <alignment horizontal="center" vertical="center" wrapText="1"/>
    </xf>
    <xf numFmtId="0" fontId="2" fillId="2" borderId="0" xfId="0" applyFont="1" applyFill="1" applyAlignment="1" applyProtection="1">
      <alignment horizontal="center" vertical="center" wrapText="1"/>
      <protection locked="0"/>
    </xf>
    <xf numFmtId="0" fontId="2" fillId="2" borderId="1" xfId="0" applyFont="1" applyFill="1" applyBorder="1" applyAlignment="1" applyProtection="1">
      <alignment horizontal="center" vertical="center" wrapText="1"/>
    </xf>
    <xf numFmtId="0" fontId="10" fillId="0" borderId="0" xfId="0" applyFont="1" applyAlignment="1" applyProtection="1">
      <alignment vertical="center"/>
      <protection locked="0"/>
    </xf>
    <xf numFmtId="0" fontId="10" fillId="0" borderId="0" xfId="0" applyFont="1" applyAlignment="1" applyProtection="1">
      <alignment horizontal="center" vertical="center"/>
      <protection locked="0"/>
    </xf>
    <xf numFmtId="0" fontId="11" fillId="0" borderId="0" xfId="0" applyFont="1" applyAlignment="1" applyProtection="1">
      <alignment vertical="center"/>
      <protection locked="0"/>
    </xf>
    <xf numFmtId="0" fontId="7" fillId="0" borderId="1" xfId="0" applyFont="1" applyBorder="1" applyAlignment="1" applyProtection="1">
      <alignment horizontal="center" vertical="center"/>
      <protection locked="0"/>
    </xf>
    <xf numFmtId="0" fontId="10" fillId="0" borderId="1" xfId="0" applyFont="1" applyBorder="1" applyAlignment="1" applyProtection="1">
      <alignment vertical="center"/>
      <protection locked="0"/>
    </xf>
    <xf numFmtId="0" fontId="12" fillId="0" borderId="1" xfId="0" applyFont="1" applyBorder="1" applyAlignment="1" applyProtection="1">
      <alignment vertical="center"/>
      <protection locked="0"/>
    </xf>
    <xf numFmtId="164" fontId="13" fillId="0" borderId="1" xfId="2" applyNumberFormat="1" applyFont="1" applyBorder="1" applyAlignment="1">
      <alignment vertical="center"/>
    </xf>
    <xf numFmtId="164" fontId="14" fillId="0" borderId="1" xfId="0" applyNumberFormat="1" applyFont="1" applyBorder="1" applyAlignment="1" applyProtection="1">
      <alignment vertical="center"/>
      <protection locked="0"/>
    </xf>
    <xf numFmtId="0" fontId="5" fillId="2" borderId="2" xfId="0" applyFont="1" applyFill="1" applyBorder="1" applyAlignment="1" applyProtection="1">
      <alignment horizontal="left" vertical="top" wrapText="1"/>
      <protection locked="0"/>
    </xf>
    <xf numFmtId="0" fontId="5" fillId="2" borderId="1" xfId="0" applyFont="1" applyFill="1" applyBorder="1" applyAlignment="1" applyProtection="1">
      <alignment vertical="top" wrapText="1"/>
      <protection locked="0"/>
    </xf>
    <xf numFmtId="0" fontId="5" fillId="2" borderId="1" xfId="0" applyFont="1" applyFill="1" applyBorder="1" applyAlignment="1" applyProtection="1">
      <alignment horizontal="left" vertical="top" wrapText="1"/>
      <protection locked="0"/>
    </xf>
    <xf numFmtId="0" fontId="6" fillId="2" borderId="1" xfId="0" applyFont="1" applyFill="1" applyBorder="1" applyAlignment="1" applyProtection="1">
      <alignment vertical="top" wrapText="1"/>
      <protection locked="0"/>
    </xf>
    <xf numFmtId="0" fontId="5" fillId="2" borderId="1" xfId="0" applyFont="1" applyFill="1" applyBorder="1" applyAlignment="1" applyProtection="1">
      <alignment vertical="top"/>
      <protection locked="0"/>
    </xf>
    <xf numFmtId="4" fontId="3" fillId="2" borderId="1" xfId="0" applyNumberFormat="1" applyFont="1" applyFill="1" applyBorder="1" applyAlignment="1" applyProtection="1">
      <alignment horizontal="center" vertical="center"/>
    </xf>
    <xf numFmtId="4" fontId="3" fillId="2" borderId="1" xfId="2" applyNumberFormat="1" applyFont="1" applyFill="1" applyBorder="1" applyAlignment="1" applyProtection="1">
      <alignment vertical="center"/>
    </xf>
    <xf numFmtId="4" fontId="2" fillId="2" borderId="1" xfId="2" applyNumberFormat="1" applyFont="1" applyFill="1" applyBorder="1" applyAlignment="1" applyProtection="1">
      <alignment horizontal="center" vertical="center"/>
    </xf>
    <xf numFmtId="164" fontId="3" fillId="2" borderId="1" xfId="0" applyNumberFormat="1" applyFont="1" applyFill="1" applyBorder="1" applyAlignment="1" applyProtection="1">
      <alignment horizontal="center" vertical="center"/>
    </xf>
    <xf numFmtId="4" fontId="3" fillId="2" borderId="1" xfId="2" applyNumberFormat="1" applyFont="1" applyFill="1" applyBorder="1" applyAlignment="1" applyProtection="1">
      <alignment vertical="center"/>
      <protection locked="0"/>
    </xf>
    <xf numFmtId="4" fontId="3" fillId="2" borderId="1" xfId="0" applyNumberFormat="1" applyFont="1" applyFill="1" applyBorder="1" applyAlignment="1" applyProtection="1">
      <alignment vertical="center" wrapText="1"/>
      <protection locked="0"/>
    </xf>
    <xf numFmtId="164" fontId="3" fillId="2" borderId="1" xfId="0" applyNumberFormat="1" applyFont="1" applyFill="1" applyBorder="1" applyAlignment="1" applyProtection="1">
      <alignment vertical="center" wrapText="1"/>
    </xf>
    <xf numFmtId="4" fontId="3" fillId="2" borderId="1" xfId="0" applyNumberFormat="1" applyFont="1" applyFill="1" applyBorder="1" applyAlignment="1" applyProtection="1">
      <alignment wrapText="1"/>
      <protection locked="0"/>
    </xf>
    <xf numFmtId="164" fontId="3" fillId="2" borderId="1" xfId="0" applyNumberFormat="1" applyFont="1" applyFill="1" applyBorder="1" applyAlignment="1" applyProtection="1">
      <alignment wrapText="1"/>
    </xf>
    <xf numFmtId="164" fontId="3" fillId="2" borderId="1" xfId="0" applyNumberFormat="1" applyFont="1" applyFill="1" applyBorder="1" applyAlignment="1" applyProtection="1">
      <alignment vertical="center"/>
    </xf>
    <xf numFmtId="0" fontId="3" fillId="2" borderId="0" xfId="0" applyFont="1" applyFill="1" applyAlignment="1" applyProtection="1">
      <alignment horizontal="center" vertical="center" wrapText="1"/>
    </xf>
    <xf numFmtId="4" fontId="3" fillId="2" borderId="1" xfId="0" applyNumberFormat="1" applyFont="1" applyFill="1" applyBorder="1" applyAlignment="1" applyProtection="1">
      <alignment horizontal="right" vertical="center" wrapText="1"/>
      <protection locked="0"/>
    </xf>
    <xf numFmtId="4" fontId="3" fillId="2" borderId="1" xfId="0" applyNumberFormat="1" applyFont="1" applyFill="1" applyBorder="1" applyAlignment="1" applyProtection="1">
      <alignment wrapText="1"/>
    </xf>
    <xf numFmtId="0" fontId="3" fillId="2" borderId="0" xfId="0" applyFont="1" applyFill="1" applyAlignment="1" applyProtection="1">
      <alignment horizontal="center" vertical="center" wrapText="1"/>
      <protection locked="0"/>
    </xf>
    <xf numFmtId="4" fontId="3" fillId="2" borderId="0" xfId="0" applyNumberFormat="1" applyFont="1" applyFill="1" applyAlignment="1" applyProtection="1">
      <alignment wrapText="1"/>
      <protection locked="0"/>
    </xf>
    <xf numFmtId="0" fontId="3" fillId="2" borderId="0" xfId="0" applyNumberFormat="1" applyFont="1" applyFill="1" applyAlignment="1" applyProtection="1">
      <alignment wrapText="1"/>
      <protection locked="0"/>
    </xf>
    <xf numFmtId="0" fontId="3" fillId="2" borderId="0" xfId="0" applyNumberFormat="1" applyFont="1" applyFill="1" applyAlignment="1" applyProtection="1">
      <alignment horizontal="center" vertical="center" wrapText="1"/>
      <protection locked="0"/>
    </xf>
    <xf numFmtId="0" fontId="3" fillId="2" borderId="0" xfId="0" applyFont="1" applyFill="1" applyAlignment="1" applyProtection="1">
      <alignment horizontal="right" vertical="center" wrapText="1"/>
      <protection locked="0"/>
    </xf>
    <xf numFmtId="0" fontId="3" fillId="2" borderId="0" xfId="0" applyFont="1" applyFill="1" applyAlignment="1" applyProtection="1">
      <alignment vertical="center" wrapText="1"/>
      <protection locked="0"/>
    </xf>
    <xf numFmtId="1" fontId="3" fillId="2" borderId="1" xfId="0" applyNumberFormat="1" applyFont="1" applyFill="1" applyBorder="1" applyAlignment="1" applyProtection="1">
      <alignment horizontal="right" vertical="center" wrapText="1"/>
    </xf>
    <xf numFmtId="0" fontId="3" fillId="2" borderId="1" xfId="0" applyFont="1" applyFill="1" applyBorder="1" applyAlignment="1" applyProtection="1">
      <alignment horizontal="right" vertical="center" wrapText="1"/>
    </xf>
    <xf numFmtId="0" fontId="3" fillId="2" borderId="0" xfId="0" applyFont="1" applyFill="1" applyAlignment="1" applyProtection="1">
      <alignment horizontal="left" vertical="center" wrapText="1"/>
      <protection locked="0"/>
    </xf>
    <xf numFmtId="164" fontId="3" fillId="2" borderId="0" xfId="0" applyNumberFormat="1" applyFont="1" applyFill="1" applyAlignment="1" applyProtection="1">
      <alignment wrapText="1"/>
      <protection locked="0"/>
    </xf>
    <xf numFmtId="3" fontId="3" fillId="2" borderId="1" xfId="0" applyNumberFormat="1" applyFont="1" applyFill="1" applyBorder="1" applyAlignment="1" applyProtection="1">
      <alignment horizontal="right" vertical="center"/>
    </xf>
    <xf numFmtId="49" fontId="5" fillId="2" borderId="1" xfId="0" applyNumberFormat="1" applyFont="1" applyFill="1" applyBorder="1" applyAlignment="1" applyProtection="1">
      <alignment vertical="center"/>
      <protection locked="0"/>
    </xf>
    <xf numFmtId="0" fontId="5" fillId="2" borderId="1" xfId="0" applyFont="1" applyFill="1" applyBorder="1" applyAlignment="1" applyProtection="1">
      <alignment horizontal="center" vertical="center"/>
      <protection locked="0"/>
    </xf>
    <xf numFmtId="0" fontId="6" fillId="2" borderId="2" xfId="0" applyFont="1" applyFill="1" applyBorder="1" applyAlignment="1" applyProtection="1">
      <alignment horizontal="left" vertical="center" wrapText="1"/>
      <protection locked="0"/>
    </xf>
    <xf numFmtId="0" fontId="6" fillId="2" borderId="10" xfId="0" applyFont="1" applyFill="1" applyBorder="1" applyAlignment="1" applyProtection="1">
      <alignment horizontal="left" vertical="center" wrapText="1"/>
      <protection locked="0"/>
    </xf>
    <xf numFmtId="0" fontId="6" fillId="2" borderId="3" xfId="0" applyFont="1" applyFill="1" applyBorder="1" applyAlignment="1" applyProtection="1">
      <alignment horizontal="left" vertical="center" wrapText="1"/>
      <protection locked="0"/>
    </xf>
    <xf numFmtId="0" fontId="6" fillId="2" borderId="1" xfId="0" applyFont="1" applyFill="1" applyBorder="1" applyAlignment="1" applyProtection="1">
      <alignment wrapText="1"/>
      <protection locked="0"/>
    </xf>
    <xf numFmtId="0" fontId="6" fillId="2" borderId="1" xfId="0" applyFont="1" applyFill="1" applyBorder="1" applyAlignment="1" applyProtection="1">
      <alignment horizontal="center" vertical="center"/>
      <protection locked="0"/>
    </xf>
    <xf numFmtId="0" fontId="5" fillId="2" borderId="1" xfId="0" applyFont="1" applyFill="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3" fillId="2" borderId="0" xfId="0" applyFont="1" applyFill="1" applyAlignment="1" applyProtection="1">
      <alignment horizontal="center" vertical="center"/>
      <protection locked="0"/>
    </xf>
    <xf numFmtId="0" fontId="2" fillId="2" borderId="0" xfId="0" applyFont="1" applyFill="1" applyAlignment="1" applyProtection="1">
      <alignment horizontal="center" vertical="center" wrapText="1"/>
      <protection locked="0"/>
    </xf>
    <xf numFmtId="0" fontId="2" fillId="2" borderId="1" xfId="0" applyFont="1" applyFill="1" applyBorder="1" applyAlignment="1" applyProtection="1">
      <alignment horizontal="left" vertical="center" wrapText="1"/>
    </xf>
    <xf numFmtId="0" fontId="2" fillId="2" borderId="2" xfId="0" applyFont="1" applyFill="1" applyBorder="1" applyAlignment="1" applyProtection="1">
      <alignment horizontal="center" vertical="center"/>
    </xf>
    <xf numFmtId="0" fontId="2" fillId="2" borderId="10" xfId="0" applyFont="1" applyFill="1" applyBorder="1" applyAlignment="1" applyProtection="1">
      <alignment horizontal="center" vertical="center"/>
    </xf>
    <xf numFmtId="0" fontId="2" fillId="2" borderId="3" xfId="0" applyFont="1" applyFill="1" applyBorder="1" applyAlignment="1" applyProtection="1">
      <alignment horizontal="center" vertical="center"/>
    </xf>
    <xf numFmtId="164" fontId="2" fillId="2" borderId="6" xfId="2" applyNumberFormat="1" applyFont="1" applyFill="1" applyBorder="1" applyAlignment="1" applyProtection="1">
      <alignment horizontal="center" vertical="center"/>
    </xf>
    <xf numFmtId="44" fontId="2" fillId="2" borderId="9" xfId="2" applyFont="1" applyFill="1" applyBorder="1" applyAlignment="1" applyProtection="1">
      <alignment horizontal="center" vertical="center"/>
    </xf>
    <xf numFmtId="0" fontId="2" fillId="2" borderId="0" xfId="0" applyFont="1" applyFill="1" applyBorder="1" applyAlignment="1" applyProtection="1">
      <alignment wrapText="1"/>
      <protection locked="0"/>
    </xf>
    <xf numFmtId="0" fontId="2" fillId="2" borderId="1" xfId="0" applyNumberFormat="1" applyFont="1" applyFill="1" applyBorder="1" applyAlignment="1" applyProtection="1">
      <alignment wrapText="1"/>
    </xf>
    <xf numFmtId="0" fontId="2" fillId="2" borderId="2" xfId="0" applyFont="1" applyFill="1" applyBorder="1" applyAlignment="1" applyProtection="1">
      <alignment horizontal="center" vertical="center" wrapText="1"/>
    </xf>
    <xf numFmtId="0" fontId="2" fillId="2" borderId="10" xfId="0" applyFont="1" applyFill="1" applyBorder="1" applyAlignment="1" applyProtection="1">
      <alignment horizontal="center" vertical="center" wrapText="1"/>
    </xf>
    <xf numFmtId="0" fontId="2" fillId="2" borderId="3" xfId="0" applyFont="1" applyFill="1" applyBorder="1" applyAlignment="1" applyProtection="1">
      <alignment horizontal="center" vertical="center" wrapText="1"/>
    </xf>
    <xf numFmtId="0" fontId="2" fillId="2" borderId="1" xfId="0" applyFont="1" applyFill="1" applyBorder="1" applyAlignment="1" applyProtection="1">
      <alignment horizontal="center" vertical="center" wrapText="1"/>
    </xf>
    <xf numFmtId="0" fontId="3" fillId="2" borderId="4" xfId="0" applyFont="1" applyFill="1" applyBorder="1" applyAlignment="1" applyProtection="1">
      <alignment horizontal="center" vertical="center"/>
    </xf>
    <xf numFmtId="0" fontId="3" fillId="2" borderId="5" xfId="0" applyFont="1" applyFill="1" applyBorder="1" applyAlignment="1" applyProtection="1">
      <alignment horizontal="center" vertical="center"/>
    </xf>
    <xf numFmtId="0" fontId="3" fillId="2" borderId="7" xfId="0" applyFont="1" applyFill="1" applyBorder="1" applyAlignment="1" applyProtection="1">
      <alignment horizontal="center" vertical="center"/>
    </xf>
    <xf numFmtId="0" fontId="3" fillId="2" borderId="8" xfId="0" applyFont="1" applyFill="1" applyBorder="1" applyAlignment="1" applyProtection="1">
      <alignment horizontal="center" vertical="center"/>
    </xf>
    <xf numFmtId="0" fontId="2" fillId="2" borderId="1" xfId="0" applyFont="1" applyFill="1" applyBorder="1" applyAlignment="1" applyProtection="1">
      <alignment horizontal="center" vertic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vid.g.watkins1\AppData\Local\Microsoft\Windows\INetCache\Content.Outlook\GMKWAJPS\ELIN%20Schedule%20(00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avid.g.watkins1\AppData\Local\Microsoft\Windows\INetCache\Content.Outlook\GMKWAJPS\ELIN%20Schedule%20(0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00101"/>
      <sheetName val="Synopsis of Line Items"/>
      <sheetName val="Base Year "/>
      <sheetName val="Option One"/>
      <sheetName val="Option Two"/>
      <sheetName val="Option Three"/>
      <sheetName val="Option Four"/>
    </sheetNames>
    <sheetDataSet>
      <sheetData sheetId="0"/>
      <sheetData sheetId="1">
        <row r="363">
          <cell r="D363" t="str">
            <v>HR</v>
          </cell>
        </row>
      </sheetData>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00101"/>
      <sheetName val="Synopsis of Line Items"/>
      <sheetName val="Base Year "/>
      <sheetName val="Option One"/>
      <sheetName val="Option Two"/>
      <sheetName val="Option Three"/>
      <sheetName val="Option Four"/>
    </sheetNames>
    <sheetDataSet>
      <sheetData sheetId="0"/>
      <sheetData sheetId="1">
        <row r="363">
          <cell r="D363" t="str">
            <v>HR</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67"/>
  <sheetViews>
    <sheetView tabSelected="1" zoomScale="70" zoomScaleNormal="70" workbookViewId="0">
      <selection activeCell="B1" sqref="B1:C1"/>
    </sheetView>
  </sheetViews>
  <sheetFormatPr defaultRowHeight="13.2" x14ac:dyDescent="0.25"/>
  <cols>
    <col min="1" max="1" width="7.33203125" style="78" bestFit="1" customWidth="1"/>
    <col min="2" max="2" width="102.109375" style="79" customWidth="1"/>
    <col min="3" max="3" width="10.6640625" style="80" customWidth="1"/>
    <col min="4" max="4" width="10.6640625" style="29" customWidth="1"/>
    <col min="5" max="5" width="6.44140625" style="38" bestFit="1" customWidth="1"/>
    <col min="6" max="256" width="9.109375" style="29"/>
    <col min="257" max="257" width="7.5546875" style="29" customWidth="1"/>
    <col min="258" max="258" width="99.44140625" style="29" customWidth="1"/>
    <col min="259" max="259" width="9.44140625" style="29" bestFit="1" customWidth="1"/>
    <col min="260" max="260" width="7.5546875" style="29" customWidth="1"/>
    <col min="261" max="261" width="4.109375" style="29" customWidth="1"/>
    <col min="262" max="512" width="9.109375" style="29"/>
    <col min="513" max="513" width="7.5546875" style="29" customWidth="1"/>
    <col min="514" max="514" width="99.44140625" style="29" customWidth="1"/>
    <col min="515" max="515" width="9.44140625" style="29" bestFit="1" customWidth="1"/>
    <col min="516" max="516" width="7.5546875" style="29" customWidth="1"/>
    <col min="517" max="517" width="4.109375" style="29" customWidth="1"/>
    <col min="518" max="768" width="9.109375" style="29"/>
    <col min="769" max="769" width="7.5546875" style="29" customWidth="1"/>
    <col min="770" max="770" width="99.44140625" style="29" customWidth="1"/>
    <col min="771" max="771" width="9.44140625" style="29" bestFit="1" customWidth="1"/>
    <col min="772" max="772" width="7.5546875" style="29" customWidth="1"/>
    <col min="773" max="773" width="4.109375" style="29" customWidth="1"/>
    <col min="774" max="1024" width="9.109375" style="29"/>
    <col min="1025" max="1025" width="7.5546875" style="29" customWidth="1"/>
    <col min="1026" max="1026" width="99.44140625" style="29" customWidth="1"/>
    <col min="1027" max="1027" width="9.44140625" style="29" bestFit="1" customWidth="1"/>
    <col min="1028" max="1028" width="7.5546875" style="29" customWidth="1"/>
    <col min="1029" max="1029" width="4.109375" style="29" customWidth="1"/>
    <col min="1030" max="1280" width="9.109375" style="29"/>
    <col min="1281" max="1281" width="7.5546875" style="29" customWidth="1"/>
    <col min="1282" max="1282" width="99.44140625" style="29" customWidth="1"/>
    <col min="1283" max="1283" width="9.44140625" style="29" bestFit="1" customWidth="1"/>
    <col min="1284" max="1284" width="7.5546875" style="29" customWidth="1"/>
    <col min="1285" max="1285" width="4.109375" style="29" customWidth="1"/>
    <col min="1286" max="1536" width="9.109375" style="29"/>
    <col min="1537" max="1537" width="7.5546875" style="29" customWidth="1"/>
    <col min="1538" max="1538" width="99.44140625" style="29" customWidth="1"/>
    <col min="1539" max="1539" width="9.44140625" style="29" bestFit="1" customWidth="1"/>
    <col min="1540" max="1540" width="7.5546875" style="29" customWidth="1"/>
    <col min="1541" max="1541" width="4.109375" style="29" customWidth="1"/>
    <col min="1542" max="1792" width="9.109375" style="29"/>
    <col min="1793" max="1793" width="7.5546875" style="29" customWidth="1"/>
    <col min="1794" max="1794" width="99.44140625" style="29" customWidth="1"/>
    <col min="1795" max="1795" width="9.44140625" style="29" bestFit="1" customWidth="1"/>
    <col min="1796" max="1796" width="7.5546875" style="29" customWidth="1"/>
    <col min="1797" max="1797" width="4.109375" style="29" customWidth="1"/>
    <col min="1798" max="2048" width="9.109375" style="29"/>
    <col min="2049" max="2049" width="7.5546875" style="29" customWidth="1"/>
    <col min="2050" max="2050" width="99.44140625" style="29" customWidth="1"/>
    <col min="2051" max="2051" width="9.44140625" style="29" bestFit="1" customWidth="1"/>
    <col min="2052" max="2052" width="7.5546875" style="29" customWidth="1"/>
    <col min="2053" max="2053" width="4.109375" style="29" customWidth="1"/>
    <col min="2054" max="2304" width="9.109375" style="29"/>
    <col min="2305" max="2305" width="7.5546875" style="29" customWidth="1"/>
    <col min="2306" max="2306" width="99.44140625" style="29" customWidth="1"/>
    <col min="2307" max="2307" width="9.44140625" style="29" bestFit="1" customWidth="1"/>
    <col min="2308" max="2308" width="7.5546875" style="29" customWidth="1"/>
    <col min="2309" max="2309" width="4.109375" style="29" customWidth="1"/>
    <col min="2310" max="2560" width="9.109375" style="29"/>
    <col min="2561" max="2561" width="7.5546875" style="29" customWidth="1"/>
    <col min="2562" max="2562" width="99.44140625" style="29" customWidth="1"/>
    <col min="2563" max="2563" width="9.44140625" style="29" bestFit="1" customWidth="1"/>
    <col min="2564" max="2564" width="7.5546875" style="29" customWidth="1"/>
    <col min="2565" max="2565" width="4.109375" style="29" customWidth="1"/>
    <col min="2566" max="2816" width="9.109375" style="29"/>
    <col min="2817" max="2817" width="7.5546875" style="29" customWidth="1"/>
    <col min="2818" max="2818" width="99.44140625" style="29" customWidth="1"/>
    <col min="2819" max="2819" width="9.44140625" style="29" bestFit="1" customWidth="1"/>
    <col min="2820" max="2820" width="7.5546875" style="29" customWidth="1"/>
    <col min="2821" max="2821" width="4.109375" style="29" customWidth="1"/>
    <col min="2822" max="3072" width="9.109375" style="29"/>
    <col min="3073" max="3073" width="7.5546875" style="29" customWidth="1"/>
    <col min="3074" max="3074" width="99.44140625" style="29" customWidth="1"/>
    <col min="3075" max="3075" width="9.44140625" style="29" bestFit="1" customWidth="1"/>
    <col min="3076" max="3076" width="7.5546875" style="29" customWidth="1"/>
    <col min="3077" max="3077" width="4.109375" style="29" customWidth="1"/>
    <col min="3078" max="3328" width="9.109375" style="29"/>
    <col min="3329" max="3329" width="7.5546875" style="29" customWidth="1"/>
    <col min="3330" max="3330" width="99.44140625" style="29" customWidth="1"/>
    <col min="3331" max="3331" width="9.44140625" style="29" bestFit="1" customWidth="1"/>
    <col min="3332" max="3332" width="7.5546875" style="29" customWidth="1"/>
    <col min="3333" max="3333" width="4.109375" style="29" customWidth="1"/>
    <col min="3334" max="3584" width="9.109375" style="29"/>
    <col min="3585" max="3585" width="7.5546875" style="29" customWidth="1"/>
    <col min="3586" max="3586" width="99.44140625" style="29" customWidth="1"/>
    <col min="3587" max="3587" width="9.44140625" style="29" bestFit="1" customWidth="1"/>
    <col min="3588" max="3588" width="7.5546875" style="29" customWidth="1"/>
    <col min="3589" max="3589" width="4.109375" style="29" customWidth="1"/>
    <col min="3590" max="3840" width="9.109375" style="29"/>
    <col min="3841" max="3841" width="7.5546875" style="29" customWidth="1"/>
    <col min="3842" max="3842" width="99.44140625" style="29" customWidth="1"/>
    <col min="3843" max="3843" width="9.44140625" style="29" bestFit="1" customWidth="1"/>
    <col min="3844" max="3844" width="7.5546875" style="29" customWidth="1"/>
    <col min="3845" max="3845" width="4.109375" style="29" customWidth="1"/>
    <col min="3846" max="4096" width="9.109375" style="29"/>
    <col min="4097" max="4097" width="7.5546875" style="29" customWidth="1"/>
    <col min="4098" max="4098" width="99.44140625" style="29" customWidth="1"/>
    <col min="4099" max="4099" width="9.44140625" style="29" bestFit="1" customWidth="1"/>
    <col min="4100" max="4100" width="7.5546875" style="29" customWidth="1"/>
    <col min="4101" max="4101" width="4.109375" style="29" customWidth="1"/>
    <col min="4102" max="4352" width="9.109375" style="29"/>
    <col min="4353" max="4353" width="7.5546875" style="29" customWidth="1"/>
    <col min="4354" max="4354" width="99.44140625" style="29" customWidth="1"/>
    <col min="4355" max="4355" width="9.44140625" style="29" bestFit="1" customWidth="1"/>
    <col min="4356" max="4356" width="7.5546875" style="29" customWidth="1"/>
    <col min="4357" max="4357" width="4.109375" style="29" customWidth="1"/>
    <col min="4358" max="4608" width="9.109375" style="29"/>
    <col min="4609" max="4609" width="7.5546875" style="29" customWidth="1"/>
    <col min="4610" max="4610" width="99.44140625" style="29" customWidth="1"/>
    <col min="4611" max="4611" width="9.44140625" style="29" bestFit="1" customWidth="1"/>
    <col min="4612" max="4612" width="7.5546875" style="29" customWidth="1"/>
    <col min="4613" max="4613" width="4.109375" style="29" customWidth="1"/>
    <col min="4614" max="4864" width="9.109375" style="29"/>
    <col min="4865" max="4865" width="7.5546875" style="29" customWidth="1"/>
    <col min="4866" max="4866" width="99.44140625" style="29" customWidth="1"/>
    <col min="4867" max="4867" width="9.44140625" style="29" bestFit="1" customWidth="1"/>
    <col min="4868" max="4868" width="7.5546875" style="29" customWidth="1"/>
    <col min="4869" max="4869" width="4.109375" style="29" customWidth="1"/>
    <col min="4870" max="5120" width="9.109375" style="29"/>
    <col min="5121" max="5121" width="7.5546875" style="29" customWidth="1"/>
    <col min="5122" max="5122" width="99.44140625" style="29" customWidth="1"/>
    <col min="5123" max="5123" width="9.44140625" style="29" bestFit="1" customWidth="1"/>
    <col min="5124" max="5124" width="7.5546875" style="29" customWidth="1"/>
    <col min="5125" max="5125" width="4.109375" style="29" customWidth="1"/>
    <col min="5126" max="5376" width="9.109375" style="29"/>
    <col min="5377" max="5377" width="7.5546875" style="29" customWidth="1"/>
    <col min="5378" max="5378" width="99.44140625" style="29" customWidth="1"/>
    <col min="5379" max="5379" width="9.44140625" style="29" bestFit="1" customWidth="1"/>
    <col min="5380" max="5380" width="7.5546875" style="29" customWidth="1"/>
    <col min="5381" max="5381" width="4.109375" style="29" customWidth="1"/>
    <col min="5382" max="5632" width="9.109375" style="29"/>
    <col min="5633" max="5633" width="7.5546875" style="29" customWidth="1"/>
    <col min="5634" max="5634" width="99.44140625" style="29" customWidth="1"/>
    <col min="5635" max="5635" width="9.44140625" style="29" bestFit="1" customWidth="1"/>
    <col min="5636" max="5636" width="7.5546875" style="29" customWidth="1"/>
    <col min="5637" max="5637" width="4.109375" style="29" customWidth="1"/>
    <col min="5638" max="5888" width="9.109375" style="29"/>
    <col min="5889" max="5889" width="7.5546875" style="29" customWidth="1"/>
    <col min="5890" max="5890" width="99.44140625" style="29" customWidth="1"/>
    <col min="5891" max="5891" width="9.44140625" style="29" bestFit="1" customWidth="1"/>
    <col min="5892" max="5892" width="7.5546875" style="29" customWidth="1"/>
    <col min="5893" max="5893" width="4.109375" style="29" customWidth="1"/>
    <col min="5894" max="6144" width="9.109375" style="29"/>
    <col min="6145" max="6145" width="7.5546875" style="29" customWidth="1"/>
    <col min="6146" max="6146" width="99.44140625" style="29" customWidth="1"/>
    <col min="6147" max="6147" width="9.44140625" style="29" bestFit="1" customWidth="1"/>
    <col min="6148" max="6148" width="7.5546875" style="29" customWidth="1"/>
    <col min="6149" max="6149" width="4.109375" style="29" customWidth="1"/>
    <col min="6150" max="6400" width="9.109375" style="29"/>
    <col min="6401" max="6401" width="7.5546875" style="29" customWidth="1"/>
    <col min="6402" max="6402" width="99.44140625" style="29" customWidth="1"/>
    <col min="6403" max="6403" width="9.44140625" style="29" bestFit="1" customWidth="1"/>
    <col min="6404" max="6404" width="7.5546875" style="29" customWidth="1"/>
    <col min="6405" max="6405" width="4.109375" style="29" customWidth="1"/>
    <col min="6406" max="6656" width="9.109375" style="29"/>
    <col min="6657" max="6657" width="7.5546875" style="29" customWidth="1"/>
    <col min="6658" max="6658" width="99.44140625" style="29" customWidth="1"/>
    <col min="6659" max="6659" width="9.44140625" style="29" bestFit="1" customWidth="1"/>
    <col min="6660" max="6660" width="7.5546875" style="29" customWidth="1"/>
    <col min="6661" max="6661" width="4.109375" style="29" customWidth="1"/>
    <col min="6662" max="6912" width="9.109375" style="29"/>
    <col min="6913" max="6913" width="7.5546875" style="29" customWidth="1"/>
    <col min="6914" max="6914" width="99.44140625" style="29" customWidth="1"/>
    <col min="6915" max="6915" width="9.44140625" style="29" bestFit="1" customWidth="1"/>
    <col min="6916" max="6916" width="7.5546875" style="29" customWidth="1"/>
    <col min="6917" max="6917" width="4.109375" style="29" customWidth="1"/>
    <col min="6918" max="7168" width="9.109375" style="29"/>
    <col min="7169" max="7169" width="7.5546875" style="29" customWidth="1"/>
    <col min="7170" max="7170" width="99.44140625" style="29" customWidth="1"/>
    <col min="7171" max="7171" width="9.44140625" style="29" bestFit="1" customWidth="1"/>
    <col min="7172" max="7172" width="7.5546875" style="29" customWidth="1"/>
    <col min="7173" max="7173" width="4.109375" style="29" customWidth="1"/>
    <col min="7174" max="7424" width="9.109375" style="29"/>
    <col min="7425" max="7425" width="7.5546875" style="29" customWidth="1"/>
    <col min="7426" max="7426" width="99.44140625" style="29" customWidth="1"/>
    <col min="7427" max="7427" width="9.44140625" style="29" bestFit="1" customWidth="1"/>
    <col min="7428" max="7428" width="7.5546875" style="29" customWidth="1"/>
    <col min="7429" max="7429" width="4.109375" style="29" customWidth="1"/>
    <col min="7430" max="7680" width="9.109375" style="29"/>
    <col min="7681" max="7681" width="7.5546875" style="29" customWidth="1"/>
    <col min="7682" max="7682" width="99.44140625" style="29" customWidth="1"/>
    <col min="7683" max="7683" width="9.44140625" style="29" bestFit="1" customWidth="1"/>
    <col min="7684" max="7684" width="7.5546875" style="29" customWidth="1"/>
    <col min="7685" max="7685" width="4.109375" style="29" customWidth="1"/>
    <col min="7686" max="7936" width="9.109375" style="29"/>
    <col min="7937" max="7937" width="7.5546875" style="29" customWidth="1"/>
    <col min="7938" max="7938" width="99.44140625" style="29" customWidth="1"/>
    <col min="7939" max="7939" width="9.44140625" style="29" bestFit="1" customWidth="1"/>
    <col min="7940" max="7940" width="7.5546875" style="29" customWidth="1"/>
    <col min="7941" max="7941" width="4.109375" style="29" customWidth="1"/>
    <col min="7942" max="8192" width="9.109375" style="29"/>
    <col min="8193" max="8193" width="7.5546875" style="29" customWidth="1"/>
    <col min="8194" max="8194" width="99.44140625" style="29" customWidth="1"/>
    <col min="8195" max="8195" width="9.44140625" style="29" bestFit="1" customWidth="1"/>
    <col min="8196" max="8196" width="7.5546875" style="29" customWidth="1"/>
    <col min="8197" max="8197" width="4.109375" style="29" customWidth="1"/>
    <col min="8198" max="8448" width="9.109375" style="29"/>
    <col min="8449" max="8449" width="7.5546875" style="29" customWidth="1"/>
    <col min="8450" max="8450" width="99.44140625" style="29" customWidth="1"/>
    <col min="8451" max="8451" width="9.44140625" style="29" bestFit="1" customWidth="1"/>
    <col min="8452" max="8452" width="7.5546875" style="29" customWidth="1"/>
    <col min="8453" max="8453" width="4.109375" style="29" customWidth="1"/>
    <col min="8454" max="8704" width="9.109375" style="29"/>
    <col min="8705" max="8705" width="7.5546875" style="29" customWidth="1"/>
    <col min="8706" max="8706" width="99.44140625" style="29" customWidth="1"/>
    <col min="8707" max="8707" width="9.44140625" style="29" bestFit="1" customWidth="1"/>
    <col min="8708" max="8708" width="7.5546875" style="29" customWidth="1"/>
    <col min="8709" max="8709" width="4.109375" style="29" customWidth="1"/>
    <col min="8710" max="8960" width="9.109375" style="29"/>
    <col min="8961" max="8961" width="7.5546875" style="29" customWidth="1"/>
    <col min="8962" max="8962" width="99.44140625" style="29" customWidth="1"/>
    <col min="8963" max="8963" width="9.44140625" style="29" bestFit="1" customWidth="1"/>
    <col min="8964" max="8964" width="7.5546875" style="29" customWidth="1"/>
    <col min="8965" max="8965" width="4.109375" style="29" customWidth="1"/>
    <col min="8966" max="9216" width="9.109375" style="29"/>
    <col min="9217" max="9217" width="7.5546875" style="29" customWidth="1"/>
    <col min="9218" max="9218" width="99.44140625" style="29" customWidth="1"/>
    <col min="9219" max="9219" width="9.44140625" style="29" bestFit="1" customWidth="1"/>
    <col min="9220" max="9220" width="7.5546875" style="29" customWidth="1"/>
    <col min="9221" max="9221" width="4.109375" style="29" customWidth="1"/>
    <col min="9222" max="9472" width="9.109375" style="29"/>
    <col min="9473" max="9473" width="7.5546875" style="29" customWidth="1"/>
    <col min="9474" max="9474" width="99.44140625" style="29" customWidth="1"/>
    <col min="9475" max="9475" width="9.44140625" style="29" bestFit="1" customWidth="1"/>
    <col min="9476" max="9476" width="7.5546875" style="29" customWidth="1"/>
    <col min="9477" max="9477" width="4.109375" style="29" customWidth="1"/>
    <col min="9478" max="9728" width="9.109375" style="29"/>
    <col min="9729" max="9729" width="7.5546875" style="29" customWidth="1"/>
    <col min="9730" max="9730" width="99.44140625" style="29" customWidth="1"/>
    <col min="9731" max="9731" width="9.44140625" style="29" bestFit="1" customWidth="1"/>
    <col min="9732" max="9732" width="7.5546875" style="29" customWidth="1"/>
    <col min="9733" max="9733" width="4.109375" style="29" customWidth="1"/>
    <col min="9734" max="9984" width="9.109375" style="29"/>
    <col min="9985" max="9985" width="7.5546875" style="29" customWidth="1"/>
    <col min="9986" max="9986" width="99.44140625" style="29" customWidth="1"/>
    <col min="9987" max="9987" width="9.44140625" style="29" bestFit="1" customWidth="1"/>
    <col min="9988" max="9988" width="7.5546875" style="29" customWidth="1"/>
    <col min="9989" max="9989" width="4.109375" style="29" customWidth="1"/>
    <col min="9990" max="10240" width="9.109375" style="29"/>
    <col min="10241" max="10241" width="7.5546875" style="29" customWidth="1"/>
    <col min="10242" max="10242" width="99.44140625" style="29" customWidth="1"/>
    <col min="10243" max="10243" width="9.44140625" style="29" bestFit="1" customWidth="1"/>
    <col min="10244" max="10244" width="7.5546875" style="29" customWidth="1"/>
    <col min="10245" max="10245" width="4.109375" style="29" customWidth="1"/>
    <col min="10246" max="10496" width="9.109375" style="29"/>
    <col min="10497" max="10497" width="7.5546875" style="29" customWidth="1"/>
    <col min="10498" max="10498" width="99.44140625" style="29" customWidth="1"/>
    <col min="10499" max="10499" width="9.44140625" style="29" bestFit="1" customWidth="1"/>
    <col min="10500" max="10500" width="7.5546875" style="29" customWidth="1"/>
    <col min="10501" max="10501" width="4.109375" style="29" customWidth="1"/>
    <col min="10502" max="10752" width="9.109375" style="29"/>
    <col min="10753" max="10753" width="7.5546875" style="29" customWidth="1"/>
    <col min="10754" max="10754" width="99.44140625" style="29" customWidth="1"/>
    <col min="10755" max="10755" width="9.44140625" style="29" bestFit="1" customWidth="1"/>
    <col min="10756" max="10756" width="7.5546875" style="29" customWidth="1"/>
    <col min="10757" max="10757" width="4.109375" style="29" customWidth="1"/>
    <col min="10758" max="11008" width="9.109375" style="29"/>
    <col min="11009" max="11009" width="7.5546875" style="29" customWidth="1"/>
    <col min="11010" max="11010" width="99.44140625" style="29" customWidth="1"/>
    <col min="11011" max="11011" width="9.44140625" style="29" bestFit="1" customWidth="1"/>
    <col min="11012" max="11012" width="7.5546875" style="29" customWidth="1"/>
    <col min="11013" max="11013" width="4.109375" style="29" customWidth="1"/>
    <col min="11014" max="11264" width="9.109375" style="29"/>
    <col min="11265" max="11265" width="7.5546875" style="29" customWidth="1"/>
    <col min="11266" max="11266" width="99.44140625" style="29" customWidth="1"/>
    <col min="11267" max="11267" width="9.44140625" style="29" bestFit="1" customWidth="1"/>
    <col min="11268" max="11268" width="7.5546875" style="29" customWidth="1"/>
    <col min="11269" max="11269" width="4.109375" style="29" customWidth="1"/>
    <col min="11270" max="11520" width="9.109375" style="29"/>
    <col min="11521" max="11521" width="7.5546875" style="29" customWidth="1"/>
    <col min="11522" max="11522" width="99.44140625" style="29" customWidth="1"/>
    <col min="11523" max="11523" width="9.44140625" style="29" bestFit="1" customWidth="1"/>
    <col min="11524" max="11524" width="7.5546875" style="29" customWidth="1"/>
    <col min="11525" max="11525" width="4.109375" style="29" customWidth="1"/>
    <col min="11526" max="11776" width="9.109375" style="29"/>
    <col min="11777" max="11777" width="7.5546875" style="29" customWidth="1"/>
    <col min="11778" max="11778" width="99.44140625" style="29" customWidth="1"/>
    <col min="11779" max="11779" width="9.44140625" style="29" bestFit="1" customWidth="1"/>
    <col min="11780" max="11780" width="7.5546875" style="29" customWidth="1"/>
    <col min="11781" max="11781" width="4.109375" style="29" customWidth="1"/>
    <col min="11782" max="12032" width="9.109375" style="29"/>
    <col min="12033" max="12033" width="7.5546875" style="29" customWidth="1"/>
    <col min="12034" max="12034" width="99.44140625" style="29" customWidth="1"/>
    <col min="12035" max="12035" width="9.44140625" style="29" bestFit="1" customWidth="1"/>
    <col min="12036" max="12036" width="7.5546875" style="29" customWidth="1"/>
    <col min="12037" max="12037" width="4.109375" style="29" customWidth="1"/>
    <col min="12038" max="12288" width="9.109375" style="29"/>
    <col min="12289" max="12289" width="7.5546875" style="29" customWidth="1"/>
    <col min="12290" max="12290" width="99.44140625" style="29" customWidth="1"/>
    <col min="12291" max="12291" width="9.44140625" style="29" bestFit="1" customWidth="1"/>
    <col min="12292" max="12292" width="7.5546875" style="29" customWidth="1"/>
    <col min="12293" max="12293" width="4.109375" style="29" customWidth="1"/>
    <col min="12294" max="12544" width="9.109375" style="29"/>
    <col min="12545" max="12545" width="7.5546875" style="29" customWidth="1"/>
    <col min="12546" max="12546" width="99.44140625" style="29" customWidth="1"/>
    <col min="12547" max="12547" width="9.44140625" style="29" bestFit="1" customWidth="1"/>
    <col min="12548" max="12548" width="7.5546875" style="29" customWidth="1"/>
    <col min="12549" max="12549" width="4.109375" style="29" customWidth="1"/>
    <col min="12550" max="12800" width="9.109375" style="29"/>
    <col min="12801" max="12801" width="7.5546875" style="29" customWidth="1"/>
    <col min="12802" max="12802" width="99.44140625" style="29" customWidth="1"/>
    <col min="12803" max="12803" width="9.44140625" style="29" bestFit="1" customWidth="1"/>
    <col min="12804" max="12804" width="7.5546875" style="29" customWidth="1"/>
    <col min="12805" max="12805" width="4.109375" style="29" customWidth="1"/>
    <col min="12806" max="13056" width="9.109375" style="29"/>
    <col min="13057" max="13057" width="7.5546875" style="29" customWidth="1"/>
    <col min="13058" max="13058" width="99.44140625" style="29" customWidth="1"/>
    <col min="13059" max="13059" width="9.44140625" style="29" bestFit="1" customWidth="1"/>
    <col min="13060" max="13060" width="7.5546875" style="29" customWidth="1"/>
    <col min="13061" max="13061" width="4.109375" style="29" customWidth="1"/>
    <col min="13062" max="13312" width="9.109375" style="29"/>
    <col min="13313" max="13313" width="7.5546875" style="29" customWidth="1"/>
    <col min="13314" max="13314" width="99.44140625" style="29" customWidth="1"/>
    <col min="13315" max="13315" width="9.44140625" style="29" bestFit="1" customWidth="1"/>
    <col min="13316" max="13316" width="7.5546875" style="29" customWidth="1"/>
    <col min="13317" max="13317" width="4.109375" style="29" customWidth="1"/>
    <col min="13318" max="13568" width="9.109375" style="29"/>
    <col min="13569" max="13569" width="7.5546875" style="29" customWidth="1"/>
    <col min="13570" max="13570" width="99.44140625" style="29" customWidth="1"/>
    <col min="13571" max="13571" width="9.44140625" style="29" bestFit="1" customWidth="1"/>
    <col min="13572" max="13572" width="7.5546875" style="29" customWidth="1"/>
    <col min="13573" max="13573" width="4.109375" style="29" customWidth="1"/>
    <col min="13574" max="13824" width="9.109375" style="29"/>
    <col min="13825" max="13825" width="7.5546875" style="29" customWidth="1"/>
    <col min="13826" max="13826" width="99.44140625" style="29" customWidth="1"/>
    <col min="13827" max="13827" width="9.44140625" style="29" bestFit="1" customWidth="1"/>
    <col min="13828" max="13828" width="7.5546875" style="29" customWidth="1"/>
    <col min="13829" max="13829" width="4.109375" style="29" customWidth="1"/>
    <col min="13830" max="14080" width="9.109375" style="29"/>
    <col min="14081" max="14081" width="7.5546875" style="29" customWidth="1"/>
    <col min="14082" max="14082" width="99.44140625" style="29" customWidth="1"/>
    <col min="14083" max="14083" width="9.44140625" style="29" bestFit="1" customWidth="1"/>
    <col min="14084" max="14084" width="7.5546875" style="29" customWidth="1"/>
    <col min="14085" max="14085" width="4.109375" style="29" customWidth="1"/>
    <col min="14086" max="14336" width="9.109375" style="29"/>
    <col min="14337" max="14337" width="7.5546875" style="29" customWidth="1"/>
    <col min="14338" max="14338" width="99.44140625" style="29" customWidth="1"/>
    <col min="14339" max="14339" width="9.44140625" style="29" bestFit="1" customWidth="1"/>
    <col min="14340" max="14340" width="7.5546875" style="29" customWidth="1"/>
    <col min="14341" max="14341" width="4.109375" style="29" customWidth="1"/>
    <col min="14342" max="14592" width="9.109375" style="29"/>
    <col min="14593" max="14593" width="7.5546875" style="29" customWidth="1"/>
    <col min="14594" max="14594" width="99.44140625" style="29" customWidth="1"/>
    <col min="14595" max="14595" width="9.44140625" style="29" bestFit="1" customWidth="1"/>
    <col min="14596" max="14596" width="7.5546875" style="29" customWidth="1"/>
    <col min="14597" max="14597" width="4.109375" style="29" customWidth="1"/>
    <col min="14598" max="14848" width="9.109375" style="29"/>
    <col min="14849" max="14849" width="7.5546875" style="29" customWidth="1"/>
    <col min="14850" max="14850" width="99.44140625" style="29" customWidth="1"/>
    <col min="14851" max="14851" width="9.44140625" style="29" bestFit="1" customWidth="1"/>
    <col min="14852" max="14852" width="7.5546875" style="29" customWidth="1"/>
    <col min="14853" max="14853" width="4.109375" style="29" customWidth="1"/>
    <col min="14854" max="15104" width="9.109375" style="29"/>
    <col min="15105" max="15105" width="7.5546875" style="29" customWidth="1"/>
    <col min="15106" max="15106" width="99.44140625" style="29" customWidth="1"/>
    <col min="15107" max="15107" width="9.44140625" style="29" bestFit="1" customWidth="1"/>
    <col min="15108" max="15108" width="7.5546875" style="29" customWidth="1"/>
    <col min="15109" max="15109" width="4.109375" style="29" customWidth="1"/>
    <col min="15110" max="15360" width="9.109375" style="29"/>
    <col min="15361" max="15361" width="7.5546875" style="29" customWidth="1"/>
    <col min="15362" max="15362" width="99.44140625" style="29" customWidth="1"/>
    <col min="15363" max="15363" width="9.44140625" style="29" bestFit="1" customWidth="1"/>
    <col min="15364" max="15364" width="7.5546875" style="29" customWidth="1"/>
    <col min="15365" max="15365" width="4.109375" style="29" customWidth="1"/>
    <col min="15366" max="15616" width="9.109375" style="29"/>
    <col min="15617" max="15617" width="7.5546875" style="29" customWidth="1"/>
    <col min="15618" max="15618" width="99.44140625" style="29" customWidth="1"/>
    <col min="15619" max="15619" width="9.44140625" style="29" bestFit="1" customWidth="1"/>
    <col min="15620" max="15620" width="7.5546875" style="29" customWidth="1"/>
    <col min="15621" max="15621" width="4.109375" style="29" customWidth="1"/>
    <col min="15622" max="15872" width="9.109375" style="29"/>
    <col min="15873" max="15873" width="7.5546875" style="29" customWidth="1"/>
    <col min="15874" max="15874" width="99.44140625" style="29" customWidth="1"/>
    <col min="15875" max="15875" width="9.44140625" style="29" bestFit="1" customWidth="1"/>
    <col min="15876" max="15876" width="7.5546875" style="29" customWidth="1"/>
    <col min="15877" max="15877" width="4.109375" style="29" customWidth="1"/>
    <col min="15878" max="16128" width="9.109375" style="29"/>
    <col min="16129" max="16129" width="7.5546875" style="29" customWidth="1"/>
    <col min="16130" max="16130" width="99.44140625" style="29" customWidth="1"/>
    <col min="16131" max="16131" width="9.44140625" style="29" bestFit="1" customWidth="1"/>
    <col min="16132" max="16132" width="7.5546875" style="29" customWidth="1"/>
    <col min="16133" max="16133" width="4.109375" style="29" customWidth="1"/>
    <col min="16134" max="16384" width="9.109375" style="29"/>
  </cols>
  <sheetData>
    <row r="1" spans="1:7" x14ac:dyDescent="0.3">
      <c r="A1" s="27"/>
      <c r="B1" s="184" t="s">
        <v>879</v>
      </c>
      <c r="C1" s="185"/>
      <c r="D1" s="27"/>
      <c r="E1" s="28"/>
    </row>
    <row r="2" spans="1:7" ht="43.95" customHeight="1" x14ac:dyDescent="0.3">
      <c r="A2" s="30"/>
      <c r="B2" s="133" t="s">
        <v>880</v>
      </c>
      <c r="C2" s="52"/>
      <c r="D2" s="30"/>
      <c r="E2" s="28"/>
    </row>
    <row r="3" spans="1:7" x14ac:dyDescent="0.3">
      <c r="A3" s="178"/>
      <c r="B3" s="178"/>
      <c r="C3" s="178"/>
      <c r="D3" s="178"/>
      <c r="E3" s="28"/>
    </row>
    <row r="4" spans="1:7" x14ac:dyDescent="0.3">
      <c r="A4" s="32"/>
      <c r="B4" s="184" t="s">
        <v>708</v>
      </c>
      <c r="C4" s="184"/>
      <c r="D4" s="27"/>
      <c r="E4" s="28"/>
    </row>
    <row r="5" spans="1:7" ht="30" customHeight="1" x14ac:dyDescent="0.3">
      <c r="A5" s="32"/>
      <c r="B5" s="133" t="s">
        <v>709</v>
      </c>
      <c r="C5" s="36"/>
      <c r="D5" s="27"/>
      <c r="E5" s="28"/>
    </row>
    <row r="6" spans="1:7" x14ac:dyDescent="0.25">
      <c r="A6" s="32"/>
      <c r="B6" s="27"/>
      <c r="C6" s="34"/>
      <c r="D6" s="27"/>
      <c r="E6" s="28"/>
    </row>
    <row r="7" spans="1:7" ht="39.6" x14ac:dyDescent="0.25">
      <c r="A7" s="32"/>
      <c r="B7" s="64" t="s">
        <v>881</v>
      </c>
      <c r="C7" s="35"/>
      <c r="D7" s="35"/>
      <c r="E7" s="28"/>
    </row>
    <row r="8" spans="1:7" x14ac:dyDescent="0.25">
      <c r="A8" s="32"/>
      <c r="B8" s="36"/>
      <c r="C8" s="31"/>
      <c r="D8" s="37"/>
      <c r="E8" s="40"/>
      <c r="G8" s="39"/>
    </row>
    <row r="9" spans="1:7" x14ac:dyDescent="0.3">
      <c r="A9" s="41" t="s">
        <v>5</v>
      </c>
      <c r="B9" s="30" t="s">
        <v>6</v>
      </c>
      <c r="C9" s="42" t="s">
        <v>7</v>
      </c>
      <c r="D9" s="32" t="s">
        <v>8</v>
      </c>
      <c r="E9" s="43"/>
    </row>
    <row r="10" spans="1:7" x14ac:dyDescent="0.25">
      <c r="A10" s="32"/>
      <c r="B10" s="44"/>
      <c r="C10" s="45"/>
      <c r="D10" s="32"/>
      <c r="E10" s="46"/>
    </row>
    <row r="11" spans="1:7" s="47" customFormat="1" x14ac:dyDescent="0.25">
      <c r="B11" s="48" t="s">
        <v>710</v>
      </c>
      <c r="C11" s="49"/>
      <c r="D11" s="50"/>
      <c r="E11" s="51"/>
    </row>
    <row r="12" spans="1:7" x14ac:dyDescent="0.25">
      <c r="A12" s="32"/>
      <c r="B12" s="52"/>
      <c r="C12" s="34"/>
      <c r="D12" s="53"/>
    </row>
    <row r="13" spans="1:7" x14ac:dyDescent="0.3">
      <c r="A13" s="32" t="s">
        <v>10</v>
      </c>
      <c r="B13" s="180" t="s">
        <v>11</v>
      </c>
      <c r="C13" s="181"/>
      <c r="D13" s="182"/>
    </row>
    <row r="14" spans="1:7" x14ac:dyDescent="0.25">
      <c r="A14" s="32"/>
      <c r="B14" s="54"/>
      <c r="C14" s="55"/>
      <c r="D14" s="56"/>
    </row>
    <row r="15" spans="1:7" ht="52.8" x14ac:dyDescent="0.25">
      <c r="A15" s="32"/>
      <c r="B15" s="149" t="s">
        <v>877</v>
      </c>
      <c r="C15" s="31"/>
      <c r="D15" s="56"/>
      <c r="E15" s="29"/>
    </row>
    <row r="16" spans="1:7" x14ac:dyDescent="0.25">
      <c r="A16" s="32"/>
      <c r="B16" s="52"/>
      <c r="C16" s="34"/>
      <c r="D16" s="53"/>
      <c r="E16" s="29"/>
    </row>
    <row r="17" spans="1:10" x14ac:dyDescent="0.25">
      <c r="A17" s="27" t="s">
        <v>12</v>
      </c>
      <c r="B17" s="150" t="s">
        <v>13</v>
      </c>
      <c r="C17" s="34">
        <v>500</v>
      </c>
      <c r="D17" s="179" t="s">
        <v>14</v>
      </c>
      <c r="E17" s="29"/>
    </row>
    <row r="18" spans="1:10" x14ac:dyDescent="0.25">
      <c r="A18" s="27" t="s">
        <v>15</v>
      </c>
      <c r="B18" s="150" t="s">
        <v>16</v>
      </c>
      <c r="C18" s="34">
        <v>500</v>
      </c>
      <c r="D18" s="179" t="s">
        <v>17</v>
      </c>
      <c r="E18" s="29"/>
    </row>
    <row r="19" spans="1:10" x14ac:dyDescent="0.25">
      <c r="A19" s="27" t="s">
        <v>18</v>
      </c>
      <c r="B19" s="150" t="s">
        <v>19</v>
      </c>
      <c r="C19" s="34">
        <v>300</v>
      </c>
      <c r="D19" s="179" t="s">
        <v>14</v>
      </c>
      <c r="E19" s="29"/>
    </row>
    <row r="20" spans="1:10" x14ac:dyDescent="0.25">
      <c r="A20" s="27" t="s">
        <v>20</v>
      </c>
      <c r="B20" s="150" t="s">
        <v>21</v>
      </c>
      <c r="C20" s="34">
        <v>10000</v>
      </c>
      <c r="D20" s="179" t="s">
        <v>14</v>
      </c>
      <c r="E20" s="29"/>
    </row>
    <row r="21" spans="1:10" x14ac:dyDescent="0.25">
      <c r="A21" s="27" t="s">
        <v>22</v>
      </c>
      <c r="B21" s="150" t="s">
        <v>23</v>
      </c>
      <c r="C21" s="34">
        <v>300</v>
      </c>
      <c r="D21" s="179" t="s">
        <v>24</v>
      </c>
      <c r="E21" s="29"/>
    </row>
    <row r="22" spans="1:10" x14ac:dyDescent="0.25">
      <c r="A22" s="27" t="s">
        <v>25</v>
      </c>
      <c r="B22" s="150" t="s">
        <v>26</v>
      </c>
      <c r="C22" s="34">
        <v>3000</v>
      </c>
      <c r="D22" s="179" t="s">
        <v>14</v>
      </c>
      <c r="E22" s="29"/>
    </row>
    <row r="23" spans="1:10" x14ac:dyDescent="0.25">
      <c r="A23" s="27" t="s">
        <v>27</v>
      </c>
      <c r="B23" s="150" t="s">
        <v>28</v>
      </c>
      <c r="C23" s="34">
        <v>25</v>
      </c>
      <c r="D23" s="179" t="s">
        <v>24</v>
      </c>
      <c r="E23" s="29"/>
    </row>
    <row r="24" spans="1:10" x14ac:dyDescent="0.25">
      <c r="A24" s="32"/>
      <c r="B24" s="52"/>
      <c r="C24" s="34"/>
      <c r="D24" s="53"/>
      <c r="E24" s="29"/>
    </row>
    <row r="25" spans="1:10" s="47" customFormat="1" x14ac:dyDescent="0.25">
      <c r="A25" s="48" t="s">
        <v>29</v>
      </c>
      <c r="B25" s="183" t="s">
        <v>878</v>
      </c>
      <c r="C25" s="183"/>
      <c r="D25" s="183"/>
    </row>
    <row r="26" spans="1:10" x14ac:dyDescent="0.25">
      <c r="A26" s="32"/>
      <c r="B26" s="57"/>
      <c r="C26" s="58"/>
      <c r="D26" s="57"/>
      <c r="E26" s="29"/>
    </row>
    <row r="27" spans="1:10" ht="96" customHeight="1" x14ac:dyDescent="0.25">
      <c r="A27" s="32"/>
      <c r="B27" s="59" t="s">
        <v>711</v>
      </c>
      <c r="C27" s="58"/>
      <c r="D27" s="57"/>
      <c r="E27" s="60"/>
    </row>
    <row r="28" spans="1:10" ht="60.6" customHeight="1" x14ac:dyDescent="0.25">
      <c r="A28" s="32"/>
      <c r="B28" s="61" t="s">
        <v>712</v>
      </c>
      <c r="C28" s="58"/>
      <c r="D28" s="57"/>
      <c r="E28" s="60"/>
    </row>
    <row r="29" spans="1:10" ht="54" customHeight="1" x14ac:dyDescent="0.25">
      <c r="A29" s="32"/>
      <c r="B29" s="61" t="s">
        <v>713</v>
      </c>
      <c r="C29" s="58"/>
      <c r="D29" s="57"/>
      <c r="E29" s="60"/>
    </row>
    <row r="30" spans="1:10" ht="26.4" x14ac:dyDescent="0.25">
      <c r="A30" s="32"/>
      <c r="B30" s="61" t="s">
        <v>714</v>
      </c>
      <c r="C30" s="58"/>
      <c r="D30" s="57"/>
      <c r="E30" s="60"/>
    </row>
    <row r="31" spans="1:10" x14ac:dyDescent="0.25">
      <c r="A31" s="32"/>
      <c r="B31" s="57"/>
      <c r="C31" s="58"/>
      <c r="D31" s="57"/>
      <c r="E31" s="60"/>
    </row>
    <row r="32" spans="1:10" x14ac:dyDescent="0.25">
      <c r="A32" s="27" t="s">
        <v>31</v>
      </c>
      <c r="B32" s="151" t="s">
        <v>715</v>
      </c>
      <c r="C32" s="34">
        <v>55000</v>
      </c>
      <c r="D32" s="27" t="s">
        <v>33</v>
      </c>
      <c r="J32" s="63"/>
    </row>
    <row r="33" spans="1:10" x14ac:dyDescent="0.25">
      <c r="A33" s="27"/>
      <c r="B33" s="62"/>
      <c r="C33" s="34"/>
      <c r="D33" s="27"/>
      <c r="J33" s="63"/>
    </row>
    <row r="34" spans="1:10" ht="66" x14ac:dyDescent="0.25">
      <c r="A34" s="27"/>
      <c r="B34" s="61" t="s">
        <v>716</v>
      </c>
      <c r="C34" s="34"/>
      <c r="D34" s="27"/>
      <c r="J34" s="63"/>
    </row>
    <row r="35" spans="1:10" ht="39.6" x14ac:dyDescent="0.25">
      <c r="A35" s="27"/>
      <c r="B35" s="61" t="s">
        <v>717</v>
      </c>
      <c r="C35" s="34"/>
      <c r="D35" s="27"/>
    </row>
    <row r="36" spans="1:10" ht="26.4" x14ac:dyDescent="0.25">
      <c r="A36" s="27"/>
      <c r="B36" s="150" t="s">
        <v>718</v>
      </c>
      <c r="C36" s="34"/>
      <c r="D36" s="27"/>
    </row>
    <row r="37" spans="1:10" x14ac:dyDescent="0.25">
      <c r="A37" s="27"/>
      <c r="B37" s="61" t="s">
        <v>719</v>
      </c>
      <c r="C37" s="34"/>
      <c r="D37" s="27"/>
    </row>
    <row r="38" spans="1:10" x14ac:dyDescent="0.25">
      <c r="A38" s="27"/>
      <c r="B38" s="36"/>
      <c r="C38" s="34"/>
      <c r="D38" s="27"/>
    </row>
    <row r="39" spans="1:10" x14ac:dyDescent="0.25">
      <c r="A39" s="27" t="s">
        <v>34</v>
      </c>
      <c r="B39" s="150" t="s">
        <v>720</v>
      </c>
      <c r="C39" s="34">
        <v>2500</v>
      </c>
      <c r="D39" s="27" t="s">
        <v>36</v>
      </c>
    </row>
    <row r="40" spans="1:10" x14ac:dyDescent="0.25">
      <c r="A40" s="27"/>
      <c r="B40" s="150"/>
      <c r="C40" s="34"/>
      <c r="D40" s="27"/>
    </row>
    <row r="41" spans="1:10" x14ac:dyDescent="0.25">
      <c r="A41" s="27" t="s">
        <v>37</v>
      </c>
      <c r="B41" s="150" t="s">
        <v>721</v>
      </c>
      <c r="C41" s="34">
        <v>2500</v>
      </c>
      <c r="D41" s="27" t="s">
        <v>36</v>
      </c>
    </row>
    <row r="42" spans="1:10" x14ac:dyDescent="0.25">
      <c r="A42" s="27"/>
      <c r="B42" s="150"/>
      <c r="C42" s="34"/>
      <c r="D42" s="27"/>
    </row>
    <row r="43" spans="1:10" ht="12.75" customHeight="1" x14ac:dyDescent="0.25">
      <c r="A43" s="27" t="s">
        <v>39</v>
      </c>
      <c r="B43" s="150" t="s">
        <v>722</v>
      </c>
      <c r="C43" s="34">
        <v>10000</v>
      </c>
      <c r="D43" s="27" t="s">
        <v>36</v>
      </c>
    </row>
    <row r="44" spans="1:10" ht="12.75" customHeight="1" x14ac:dyDescent="0.25">
      <c r="A44" s="27"/>
      <c r="B44" s="150"/>
      <c r="C44" s="34"/>
      <c r="D44" s="27"/>
    </row>
    <row r="45" spans="1:10" ht="92.4" x14ac:dyDescent="0.25">
      <c r="A45" s="27"/>
      <c r="B45" s="61" t="s">
        <v>723</v>
      </c>
      <c r="C45" s="34"/>
      <c r="D45" s="27"/>
    </row>
    <row r="46" spans="1:10" x14ac:dyDescent="0.25">
      <c r="A46" s="27"/>
      <c r="B46" s="61" t="s">
        <v>724</v>
      </c>
      <c r="C46" s="34"/>
      <c r="D46" s="27"/>
    </row>
    <row r="47" spans="1:10" ht="12.75" customHeight="1" x14ac:dyDescent="0.25">
      <c r="A47" s="27"/>
      <c r="B47" s="150"/>
      <c r="C47" s="34"/>
      <c r="D47" s="27"/>
    </row>
    <row r="48" spans="1:10" x14ac:dyDescent="0.25">
      <c r="A48" s="27" t="s">
        <v>41</v>
      </c>
      <c r="B48" s="150" t="s">
        <v>725</v>
      </c>
      <c r="C48" s="34">
        <v>200000</v>
      </c>
      <c r="D48" s="27" t="s">
        <v>43</v>
      </c>
    </row>
    <row r="49" spans="1:4" x14ac:dyDescent="0.25">
      <c r="A49" s="27"/>
      <c r="B49" s="150"/>
      <c r="C49" s="34"/>
      <c r="D49" s="27"/>
    </row>
    <row r="50" spans="1:4" ht="52.8" x14ac:dyDescent="0.25">
      <c r="A50" s="27"/>
      <c r="B50" s="61" t="s">
        <v>726</v>
      </c>
      <c r="C50" s="34"/>
      <c r="D50" s="27"/>
    </row>
    <row r="51" spans="1:4" x14ac:dyDescent="0.25">
      <c r="A51" s="27"/>
      <c r="B51" s="61" t="s">
        <v>724</v>
      </c>
      <c r="C51" s="34"/>
      <c r="D51" s="27"/>
    </row>
    <row r="52" spans="1:4" x14ac:dyDescent="0.25">
      <c r="A52" s="27"/>
      <c r="B52" s="150"/>
      <c r="C52" s="34"/>
      <c r="D52" s="27"/>
    </row>
    <row r="53" spans="1:4" x14ac:dyDescent="0.25">
      <c r="A53" s="27" t="s">
        <v>44</v>
      </c>
      <c r="B53" s="150" t="s">
        <v>727</v>
      </c>
      <c r="C53" s="34">
        <v>100000</v>
      </c>
      <c r="D53" s="27" t="s">
        <v>46</v>
      </c>
    </row>
    <row r="54" spans="1:4" x14ac:dyDescent="0.25">
      <c r="A54" s="27"/>
      <c r="B54" s="150"/>
      <c r="C54" s="34"/>
      <c r="D54" s="27"/>
    </row>
    <row r="55" spans="1:4" x14ac:dyDescent="0.25">
      <c r="A55" s="27" t="s">
        <v>47</v>
      </c>
      <c r="B55" s="150" t="s">
        <v>728</v>
      </c>
      <c r="C55" s="34">
        <v>200000</v>
      </c>
      <c r="D55" s="27" t="s">
        <v>46</v>
      </c>
    </row>
    <row r="56" spans="1:4" x14ac:dyDescent="0.25">
      <c r="A56" s="27"/>
      <c r="B56" s="150"/>
      <c r="C56" s="34"/>
      <c r="D56" s="27"/>
    </row>
    <row r="57" spans="1:4" x14ac:dyDescent="0.25">
      <c r="A57" s="27" t="s">
        <v>49</v>
      </c>
      <c r="B57" s="150" t="s">
        <v>729</v>
      </c>
      <c r="C57" s="34">
        <v>1402000</v>
      </c>
      <c r="D57" s="27" t="s">
        <v>46</v>
      </c>
    </row>
    <row r="58" spans="1:4" x14ac:dyDescent="0.25">
      <c r="A58" s="27"/>
      <c r="B58" s="150"/>
      <c r="C58" s="34"/>
      <c r="D58" s="27"/>
    </row>
    <row r="59" spans="1:4" x14ac:dyDescent="0.25">
      <c r="A59" s="27" t="s">
        <v>51</v>
      </c>
      <c r="B59" s="150" t="s">
        <v>730</v>
      </c>
      <c r="C59" s="34">
        <v>82000</v>
      </c>
      <c r="D59" s="27" t="s">
        <v>46</v>
      </c>
    </row>
    <row r="60" spans="1:4" x14ac:dyDescent="0.25">
      <c r="A60" s="27"/>
      <c r="B60" s="150"/>
      <c r="C60" s="34"/>
      <c r="D60" s="27"/>
    </row>
    <row r="61" spans="1:4" x14ac:dyDescent="0.25">
      <c r="A61" s="27" t="s">
        <v>53</v>
      </c>
      <c r="B61" s="150" t="s">
        <v>731</v>
      </c>
      <c r="C61" s="34">
        <v>20000</v>
      </c>
      <c r="D61" s="27" t="s">
        <v>46</v>
      </c>
    </row>
    <row r="62" spans="1:4" x14ac:dyDescent="0.25">
      <c r="A62" s="27"/>
      <c r="B62" s="150"/>
      <c r="C62" s="34"/>
      <c r="D62" s="27"/>
    </row>
    <row r="63" spans="1:4" ht="39.6" x14ac:dyDescent="0.25">
      <c r="A63" s="27"/>
      <c r="B63" s="61" t="s">
        <v>874</v>
      </c>
      <c r="C63" s="34"/>
      <c r="D63" s="27"/>
    </row>
    <row r="64" spans="1:4" x14ac:dyDescent="0.25">
      <c r="A64" s="27"/>
      <c r="B64" s="150"/>
      <c r="C64" s="34"/>
      <c r="D64" s="27"/>
    </row>
    <row r="65" spans="1:4" ht="12.75" customHeight="1" x14ac:dyDescent="0.25">
      <c r="A65" s="27" t="s">
        <v>55</v>
      </c>
      <c r="B65" s="150" t="s">
        <v>732</v>
      </c>
      <c r="C65" s="34">
        <v>50</v>
      </c>
      <c r="D65" s="27" t="s">
        <v>24</v>
      </c>
    </row>
    <row r="66" spans="1:4" ht="12.75" customHeight="1" x14ac:dyDescent="0.25">
      <c r="A66" s="27"/>
      <c r="B66" s="150"/>
      <c r="C66" s="34"/>
      <c r="D66" s="27"/>
    </row>
    <row r="67" spans="1:4" x14ac:dyDescent="0.25">
      <c r="A67" s="65" t="s">
        <v>57</v>
      </c>
      <c r="B67" s="152" t="s">
        <v>58</v>
      </c>
      <c r="C67" s="34"/>
      <c r="D67" s="67"/>
    </row>
    <row r="68" spans="1:4" x14ac:dyDescent="0.25">
      <c r="A68" s="32"/>
      <c r="B68" s="152"/>
      <c r="C68" s="34"/>
      <c r="D68" s="27"/>
    </row>
    <row r="69" spans="1:4" x14ac:dyDescent="0.25">
      <c r="A69" s="32"/>
      <c r="B69" s="150" t="s">
        <v>733</v>
      </c>
      <c r="C69" s="34"/>
      <c r="D69" s="27"/>
    </row>
    <row r="70" spans="1:4" x14ac:dyDescent="0.25">
      <c r="A70" s="32"/>
      <c r="B70" s="150"/>
      <c r="C70" s="34"/>
      <c r="D70" s="27"/>
    </row>
    <row r="71" spans="1:4" ht="52.8" x14ac:dyDescent="0.25">
      <c r="A71" s="32"/>
      <c r="B71" s="150" t="s">
        <v>734</v>
      </c>
      <c r="C71" s="34"/>
      <c r="D71" s="27"/>
    </row>
    <row r="72" spans="1:4" x14ac:dyDescent="0.25">
      <c r="A72" s="32"/>
      <c r="B72" s="150" t="s">
        <v>735</v>
      </c>
      <c r="C72" s="34"/>
      <c r="D72" s="27"/>
    </row>
    <row r="73" spans="1:4" ht="26.25" customHeight="1" x14ac:dyDescent="0.25">
      <c r="A73" s="32"/>
      <c r="B73" s="150" t="s">
        <v>736</v>
      </c>
      <c r="C73" s="34"/>
      <c r="D73" s="27"/>
    </row>
    <row r="74" spans="1:4" ht="39.6" x14ac:dyDescent="0.25">
      <c r="A74" s="27"/>
      <c r="B74" s="150" t="s">
        <v>737</v>
      </c>
      <c r="C74" s="34"/>
      <c r="D74" s="27"/>
    </row>
    <row r="75" spans="1:4" ht="63.75" customHeight="1" x14ac:dyDescent="0.25">
      <c r="A75" s="32"/>
      <c r="B75" s="150" t="s">
        <v>738</v>
      </c>
      <c r="C75" s="34"/>
      <c r="D75" s="27"/>
    </row>
    <row r="76" spans="1:4" ht="12.75" customHeight="1" x14ac:dyDescent="0.25">
      <c r="A76" s="32"/>
      <c r="B76" s="150" t="s">
        <v>739</v>
      </c>
      <c r="C76" s="34"/>
      <c r="D76" s="27"/>
    </row>
    <row r="77" spans="1:4" ht="39" customHeight="1" x14ac:dyDescent="0.25">
      <c r="A77" s="32"/>
      <c r="B77" s="150" t="s">
        <v>740</v>
      </c>
      <c r="C77" s="34"/>
      <c r="D77" s="27"/>
    </row>
    <row r="78" spans="1:4" ht="12.75" customHeight="1" x14ac:dyDescent="0.25">
      <c r="A78" s="32"/>
      <c r="B78" s="150" t="s">
        <v>741</v>
      </c>
      <c r="C78" s="34"/>
      <c r="D78" s="27"/>
    </row>
    <row r="79" spans="1:4" ht="26.4" x14ac:dyDescent="0.25">
      <c r="A79" s="32"/>
      <c r="B79" s="150" t="s">
        <v>742</v>
      </c>
      <c r="C79" s="34"/>
      <c r="D79" s="27"/>
    </row>
    <row r="80" spans="1:4" x14ac:dyDescent="0.25">
      <c r="A80" s="32"/>
      <c r="B80" s="152"/>
      <c r="C80" s="34"/>
      <c r="D80" s="27"/>
    </row>
    <row r="81" spans="1:4" x14ac:dyDescent="0.25">
      <c r="A81" s="32"/>
      <c r="B81" s="152"/>
      <c r="C81" s="34"/>
      <c r="D81" s="27"/>
    </row>
    <row r="82" spans="1:4" x14ac:dyDescent="0.25">
      <c r="A82" s="27" t="s">
        <v>59</v>
      </c>
      <c r="B82" s="150" t="s">
        <v>743</v>
      </c>
      <c r="C82" s="34">
        <v>1000</v>
      </c>
      <c r="D82" s="27" t="s">
        <v>36</v>
      </c>
    </row>
    <row r="83" spans="1:4" x14ac:dyDescent="0.25">
      <c r="A83" s="27"/>
      <c r="B83" s="150"/>
      <c r="C83" s="34"/>
      <c r="D83" s="27"/>
    </row>
    <row r="84" spans="1:4" x14ac:dyDescent="0.25">
      <c r="A84" s="27" t="s">
        <v>61</v>
      </c>
      <c r="B84" s="150" t="s">
        <v>744</v>
      </c>
      <c r="C84" s="34">
        <v>200</v>
      </c>
      <c r="D84" s="27" t="s">
        <v>36</v>
      </c>
    </row>
    <row r="85" spans="1:4" x14ac:dyDescent="0.25">
      <c r="A85" s="27"/>
      <c r="B85" s="150"/>
      <c r="C85" s="34"/>
      <c r="D85" s="27"/>
    </row>
    <row r="86" spans="1:4" x14ac:dyDescent="0.25">
      <c r="A86" s="27" t="s">
        <v>63</v>
      </c>
      <c r="B86" s="150" t="s">
        <v>745</v>
      </c>
      <c r="C86" s="68">
        <v>100</v>
      </c>
      <c r="D86" s="33" t="s">
        <v>36</v>
      </c>
    </row>
    <row r="87" spans="1:4" x14ac:dyDescent="0.25">
      <c r="A87" s="27"/>
      <c r="B87" s="150"/>
      <c r="C87" s="68"/>
      <c r="D87" s="33"/>
    </row>
    <row r="88" spans="1:4" x14ac:dyDescent="0.25">
      <c r="A88" s="27" t="s">
        <v>65</v>
      </c>
      <c r="B88" s="150" t="s">
        <v>746</v>
      </c>
      <c r="C88" s="68">
        <v>100</v>
      </c>
      <c r="D88" s="33" t="s">
        <v>67</v>
      </c>
    </row>
    <row r="89" spans="1:4" x14ac:dyDescent="0.25">
      <c r="A89" s="27"/>
      <c r="B89" s="153"/>
      <c r="C89" s="69"/>
      <c r="D89" s="27"/>
    </row>
    <row r="90" spans="1:4" x14ac:dyDescent="0.25">
      <c r="A90" s="27" t="s">
        <v>68</v>
      </c>
      <c r="B90" s="150" t="s">
        <v>747</v>
      </c>
      <c r="C90" s="68">
        <v>250</v>
      </c>
      <c r="D90" s="33" t="s">
        <v>36</v>
      </c>
    </row>
    <row r="91" spans="1:4" x14ac:dyDescent="0.25">
      <c r="A91" s="27"/>
      <c r="B91" s="150" t="s">
        <v>748</v>
      </c>
      <c r="C91" s="69"/>
      <c r="D91" s="27"/>
    </row>
    <row r="92" spans="1:4" x14ac:dyDescent="0.25">
      <c r="A92" s="27" t="s">
        <v>70</v>
      </c>
      <c r="B92" s="150" t="s">
        <v>749</v>
      </c>
      <c r="C92" s="68">
        <v>250</v>
      </c>
      <c r="D92" s="33" t="s">
        <v>36</v>
      </c>
    </row>
    <row r="93" spans="1:4" x14ac:dyDescent="0.25">
      <c r="A93" s="27"/>
      <c r="B93" s="153"/>
      <c r="C93" s="69"/>
      <c r="D93" s="27"/>
    </row>
    <row r="94" spans="1:4" x14ac:dyDescent="0.25">
      <c r="A94" s="27" t="s">
        <v>72</v>
      </c>
      <c r="B94" s="150" t="s">
        <v>750</v>
      </c>
      <c r="C94" s="68">
        <v>250</v>
      </c>
      <c r="D94" s="33" t="s">
        <v>36</v>
      </c>
    </row>
    <row r="95" spans="1:4" x14ac:dyDescent="0.25">
      <c r="A95" s="27"/>
      <c r="B95" s="153"/>
      <c r="C95" s="69"/>
      <c r="D95" s="27"/>
    </row>
    <row r="96" spans="1:4" x14ac:dyDescent="0.25">
      <c r="A96" s="27" t="s">
        <v>74</v>
      </c>
      <c r="B96" s="150" t="s">
        <v>751</v>
      </c>
      <c r="C96" s="68">
        <v>250</v>
      </c>
      <c r="D96" s="33" t="s">
        <v>36</v>
      </c>
    </row>
    <row r="97" spans="1:4" x14ac:dyDescent="0.25">
      <c r="A97" s="27"/>
      <c r="B97" s="150"/>
      <c r="C97" s="68"/>
      <c r="D97" s="33"/>
    </row>
    <row r="98" spans="1:4" x14ac:dyDescent="0.25">
      <c r="A98" s="27" t="s">
        <v>76</v>
      </c>
      <c r="B98" s="150" t="s">
        <v>752</v>
      </c>
      <c r="C98" s="68">
        <v>1000</v>
      </c>
      <c r="D98" s="33" t="s">
        <v>78</v>
      </c>
    </row>
    <row r="99" spans="1:4" ht="12.75" customHeight="1" x14ac:dyDescent="0.25">
      <c r="A99" s="27"/>
      <c r="B99" s="153"/>
      <c r="C99" s="69"/>
      <c r="D99" s="27"/>
    </row>
    <row r="100" spans="1:4" x14ac:dyDescent="0.25">
      <c r="A100" s="27" t="s">
        <v>79</v>
      </c>
      <c r="B100" s="150" t="s">
        <v>753</v>
      </c>
      <c r="C100" s="68">
        <v>7260</v>
      </c>
      <c r="D100" s="33" t="s">
        <v>81</v>
      </c>
    </row>
    <row r="101" spans="1:4" x14ac:dyDescent="0.25">
      <c r="A101" s="27"/>
      <c r="B101" s="150"/>
      <c r="C101" s="34"/>
      <c r="D101" s="27"/>
    </row>
    <row r="102" spans="1:4" ht="12.75" customHeight="1" x14ac:dyDescent="0.25">
      <c r="A102" s="27"/>
      <c r="B102" s="150"/>
      <c r="C102" s="34"/>
      <c r="D102" s="27"/>
    </row>
    <row r="103" spans="1:4" x14ac:dyDescent="0.25">
      <c r="A103" s="65" t="s">
        <v>82</v>
      </c>
      <c r="B103" s="152" t="s">
        <v>83</v>
      </c>
      <c r="C103" s="34"/>
      <c r="D103" s="67"/>
    </row>
    <row r="104" spans="1:4" x14ac:dyDescent="0.25">
      <c r="A104" s="27"/>
      <c r="B104" s="152"/>
      <c r="C104" s="34"/>
      <c r="D104" s="27"/>
    </row>
    <row r="105" spans="1:4" ht="39.6" x14ac:dyDescent="0.25">
      <c r="A105" s="27"/>
      <c r="B105" s="61" t="s">
        <v>754</v>
      </c>
      <c r="C105" s="34"/>
      <c r="D105" s="27"/>
    </row>
    <row r="106" spans="1:4" ht="26.4" x14ac:dyDescent="0.25">
      <c r="A106" s="27"/>
      <c r="B106" s="61" t="s">
        <v>755</v>
      </c>
      <c r="C106" s="34"/>
      <c r="D106" s="27"/>
    </row>
    <row r="107" spans="1:4" ht="12.75" customHeight="1" x14ac:dyDescent="0.25">
      <c r="A107" s="27"/>
      <c r="B107" s="152"/>
      <c r="C107" s="34"/>
      <c r="D107" s="27"/>
    </row>
    <row r="108" spans="1:4" x14ac:dyDescent="0.25">
      <c r="A108" s="27" t="s">
        <v>84</v>
      </c>
      <c r="B108" s="150" t="s">
        <v>756</v>
      </c>
      <c r="C108" s="34">
        <v>1000</v>
      </c>
      <c r="D108" s="27" t="s">
        <v>81</v>
      </c>
    </row>
    <row r="109" spans="1:4" ht="12.75" customHeight="1" x14ac:dyDescent="0.25">
      <c r="A109" s="27"/>
      <c r="B109" s="152"/>
      <c r="C109" s="34"/>
      <c r="D109" s="27"/>
    </row>
    <row r="110" spans="1:4" ht="12.75" customHeight="1" x14ac:dyDescent="0.25">
      <c r="A110" s="27" t="s">
        <v>86</v>
      </c>
      <c r="B110" s="150" t="s">
        <v>757</v>
      </c>
      <c r="C110" s="34">
        <v>1000</v>
      </c>
      <c r="D110" s="27" t="s">
        <v>81</v>
      </c>
    </row>
    <row r="111" spans="1:4" ht="12.75" customHeight="1" x14ac:dyDescent="0.25">
      <c r="A111" s="27"/>
      <c r="B111" s="150"/>
      <c r="C111" s="34"/>
      <c r="D111" s="27"/>
    </row>
    <row r="112" spans="1:4" x14ac:dyDescent="0.25">
      <c r="A112" s="65" t="s">
        <v>88</v>
      </c>
      <c r="B112" s="152" t="s">
        <v>89</v>
      </c>
      <c r="C112" s="34"/>
      <c r="D112" s="67"/>
    </row>
    <row r="113" spans="1:4" x14ac:dyDescent="0.25">
      <c r="A113" s="27"/>
      <c r="B113" s="152"/>
      <c r="C113" s="34"/>
      <c r="D113" s="27"/>
    </row>
    <row r="114" spans="1:4" ht="52.8" x14ac:dyDescent="0.25">
      <c r="A114" s="27"/>
      <c r="B114" s="61" t="s">
        <v>758</v>
      </c>
      <c r="C114" s="34"/>
      <c r="D114" s="27"/>
    </row>
    <row r="115" spans="1:4" ht="26.4" x14ac:dyDescent="0.25">
      <c r="A115" s="27"/>
      <c r="B115" s="61" t="s">
        <v>755</v>
      </c>
      <c r="C115" s="34"/>
      <c r="D115" s="27"/>
    </row>
    <row r="116" spans="1:4" x14ac:dyDescent="0.25">
      <c r="A116" s="27"/>
      <c r="B116" s="61"/>
      <c r="C116" s="34"/>
      <c r="D116" s="27"/>
    </row>
    <row r="117" spans="1:4" x14ac:dyDescent="0.25">
      <c r="A117" s="27" t="s">
        <v>90</v>
      </c>
      <c r="B117" s="61" t="s">
        <v>759</v>
      </c>
      <c r="C117" s="34">
        <v>500</v>
      </c>
      <c r="D117" s="27" t="s">
        <v>92</v>
      </c>
    </row>
    <row r="118" spans="1:4" x14ac:dyDescent="0.25">
      <c r="A118" s="27"/>
      <c r="B118" s="152"/>
      <c r="C118" s="34"/>
      <c r="D118" s="27"/>
    </row>
    <row r="119" spans="1:4" ht="12.75" customHeight="1" x14ac:dyDescent="0.25">
      <c r="A119" s="27" t="s">
        <v>93</v>
      </c>
      <c r="B119" s="150" t="s">
        <v>760</v>
      </c>
      <c r="C119" s="34">
        <v>1000</v>
      </c>
      <c r="D119" s="27" t="s">
        <v>92</v>
      </c>
    </row>
    <row r="120" spans="1:4" ht="12.75" customHeight="1" x14ac:dyDescent="0.25">
      <c r="A120" s="27"/>
      <c r="B120" s="150"/>
      <c r="C120" s="34"/>
      <c r="D120" s="27"/>
    </row>
    <row r="121" spans="1:4" x14ac:dyDescent="0.25">
      <c r="A121" s="65" t="s">
        <v>95</v>
      </c>
      <c r="B121" s="152" t="s">
        <v>96</v>
      </c>
      <c r="C121" s="34"/>
      <c r="D121" s="67"/>
    </row>
    <row r="122" spans="1:4" x14ac:dyDescent="0.25">
      <c r="A122" s="27"/>
      <c r="B122" s="152"/>
      <c r="C122" s="34"/>
      <c r="D122" s="27"/>
    </row>
    <row r="123" spans="1:4" ht="39.6" x14ac:dyDescent="0.25">
      <c r="A123" s="27"/>
      <c r="B123" s="61" t="s">
        <v>761</v>
      </c>
      <c r="C123" s="34"/>
      <c r="D123" s="27"/>
    </row>
    <row r="124" spans="1:4" x14ac:dyDescent="0.25">
      <c r="A124" s="27"/>
      <c r="B124" s="61" t="s">
        <v>762</v>
      </c>
      <c r="C124" s="34"/>
      <c r="D124" s="27"/>
    </row>
    <row r="125" spans="1:4" ht="39.6" x14ac:dyDescent="0.25">
      <c r="A125" s="27"/>
      <c r="B125" s="61" t="s">
        <v>763</v>
      </c>
      <c r="C125" s="34"/>
      <c r="D125" s="27"/>
    </row>
    <row r="126" spans="1:4" ht="39.6" x14ac:dyDescent="0.25">
      <c r="A126" s="27"/>
      <c r="B126" s="61" t="s">
        <v>764</v>
      </c>
      <c r="C126" s="34"/>
      <c r="D126" s="27"/>
    </row>
    <row r="127" spans="1:4" ht="12.75" customHeight="1" x14ac:dyDescent="0.25">
      <c r="A127" s="27"/>
      <c r="B127" s="61" t="s">
        <v>765</v>
      </c>
      <c r="C127" s="34"/>
      <c r="D127" s="27"/>
    </row>
    <row r="128" spans="1:4" x14ac:dyDescent="0.25">
      <c r="A128" s="27"/>
      <c r="B128" s="152"/>
      <c r="C128" s="34"/>
      <c r="D128" s="27"/>
    </row>
    <row r="129" spans="1:4" ht="12.75" customHeight="1" x14ac:dyDescent="0.25">
      <c r="A129" s="27" t="s">
        <v>97</v>
      </c>
      <c r="B129" s="150" t="s">
        <v>766</v>
      </c>
      <c r="C129" s="34">
        <v>1000</v>
      </c>
      <c r="D129" s="27" t="s">
        <v>99</v>
      </c>
    </row>
    <row r="130" spans="1:4" ht="12.75" customHeight="1" x14ac:dyDescent="0.25">
      <c r="A130" s="27"/>
      <c r="B130" s="152"/>
      <c r="C130" s="34"/>
      <c r="D130" s="27"/>
    </row>
    <row r="131" spans="1:4" ht="12.75" customHeight="1" x14ac:dyDescent="0.25">
      <c r="A131" s="27" t="s">
        <v>100</v>
      </c>
      <c r="B131" s="150" t="s">
        <v>767</v>
      </c>
      <c r="C131" s="34">
        <v>100000</v>
      </c>
      <c r="D131" s="27" t="s">
        <v>102</v>
      </c>
    </row>
    <row r="132" spans="1:4" ht="12.75" customHeight="1" x14ac:dyDescent="0.25">
      <c r="A132" s="27"/>
      <c r="B132" s="150"/>
      <c r="C132" s="34"/>
      <c r="D132" s="27"/>
    </row>
    <row r="133" spans="1:4" ht="12.75" customHeight="1" x14ac:dyDescent="0.25">
      <c r="A133" s="27" t="s">
        <v>103</v>
      </c>
      <c r="B133" s="150" t="s">
        <v>768</v>
      </c>
      <c r="C133" s="34">
        <v>500</v>
      </c>
      <c r="D133" s="27" t="s">
        <v>102</v>
      </c>
    </row>
    <row r="134" spans="1:4" ht="12.75" customHeight="1" x14ac:dyDescent="0.25">
      <c r="A134" s="27"/>
      <c r="B134" s="150"/>
      <c r="C134" s="34"/>
      <c r="D134" s="27"/>
    </row>
    <row r="135" spans="1:4" ht="12.75" customHeight="1" x14ac:dyDescent="0.25">
      <c r="A135" s="27" t="s">
        <v>105</v>
      </c>
      <c r="B135" s="150" t="s">
        <v>769</v>
      </c>
      <c r="C135" s="34">
        <v>500</v>
      </c>
      <c r="D135" s="27" t="s">
        <v>102</v>
      </c>
    </row>
    <row r="136" spans="1:4" x14ac:dyDescent="0.25">
      <c r="A136" s="27"/>
      <c r="B136" s="152"/>
      <c r="C136" s="34"/>
      <c r="D136" s="27"/>
    </row>
    <row r="137" spans="1:4" x14ac:dyDescent="0.25">
      <c r="A137" s="27" t="s">
        <v>107</v>
      </c>
      <c r="B137" s="150" t="s">
        <v>770</v>
      </c>
      <c r="C137" s="34">
        <v>2500</v>
      </c>
      <c r="D137" s="27" t="s">
        <v>92</v>
      </c>
    </row>
    <row r="138" spans="1:4" ht="16.5" customHeight="1" x14ac:dyDescent="0.25">
      <c r="A138" s="27"/>
      <c r="B138" s="152"/>
      <c r="C138" s="34"/>
      <c r="D138" s="27"/>
    </row>
    <row r="139" spans="1:4" x14ac:dyDescent="0.25">
      <c r="A139" s="27" t="s">
        <v>109</v>
      </c>
      <c r="B139" s="150" t="s">
        <v>771</v>
      </c>
      <c r="C139" s="34">
        <v>2500</v>
      </c>
      <c r="D139" s="27" t="s">
        <v>92</v>
      </c>
    </row>
    <row r="140" spans="1:4" x14ac:dyDescent="0.25">
      <c r="A140" s="27"/>
      <c r="B140" s="152"/>
      <c r="C140" s="34"/>
      <c r="D140" s="27"/>
    </row>
    <row r="141" spans="1:4" x14ac:dyDescent="0.25">
      <c r="A141" s="27" t="s">
        <v>111</v>
      </c>
      <c r="B141" s="150" t="s">
        <v>772</v>
      </c>
      <c r="C141" s="34">
        <v>2500</v>
      </c>
      <c r="D141" s="27" t="s">
        <v>92</v>
      </c>
    </row>
    <row r="142" spans="1:4" x14ac:dyDescent="0.25">
      <c r="A142" s="27"/>
      <c r="B142" s="150"/>
      <c r="C142" s="34"/>
      <c r="D142" s="27"/>
    </row>
    <row r="143" spans="1:4" x14ac:dyDescent="0.25">
      <c r="A143" s="27" t="s">
        <v>113</v>
      </c>
      <c r="B143" s="150" t="s">
        <v>773</v>
      </c>
      <c r="C143" s="34">
        <v>2500</v>
      </c>
      <c r="D143" s="27" t="s">
        <v>92</v>
      </c>
    </row>
    <row r="144" spans="1:4" x14ac:dyDescent="0.25">
      <c r="A144" s="27"/>
      <c r="B144" s="150"/>
      <c r="C144" s="34"/>
      <c r="D144" s="27"/>
    </row>
    <row r="145" spans="1:5" x14ac:dyDescent="0.25">
      <c r="A145" s="27" t="s">
        <v>115</v>
      </c>
      <c r="B145" s="150" t="s">
        <v>116</v>
      </c>
      <c r="C145" s="34">
        <v>3000</v>
      </c>
      <c r="D145" s="27" t="s">
        <v>43</v>
      </c>
    </row>
    <row r="146" spans="1:5" s="47" customFormat="1" x14ac:dyDescent="0.25">
      <c r="A146" s="27"/>
      <c r="B146" s="152"/>
      <c r="C146" s="34"/>
      <c r="D146" s="27"/>
      <c r="E146" s="70"/>
    </row>
    <row r="147" spans="1:5" x14ac:dyDescent="0.25">
      <c r="A147" s="65" t="s">
        <v>117</v>
      </c>
      <c r="B147" s="152" t="s">
        <v>118</v>
      </c>
      <c r="C147" s="34"/>
      <c r="D147" s="67"/>
    </row>
    <row r="148" spans="1:5" x14ac:dyDescent="0.25">
      <c r="A148" s="27"/>
      <c r="B148" s="150"/>
      <c r="C148" s="34"/>
      <c r="D148" s="27"/>
    </row>
    <row r="149" spans="1:5" ht="52.8" x14ac:dyDescent="0.25">
      <c r="A149" s="27"/>
      <c r="B149" s="61" t="s">
        <v>774</v>
      </c>
      <c r="C149" s="34"/>
      <c r="D149" s="27"/>
    </row>
    <row r="150" spans="1:5" ht="26.4" x14ac:dyDescent="0.25">
      <c r="A150" s="27"/>
      <c r="B150" s="61" t="s">
        <v>775</v>
      </c>
      <c r="C150" s="34"/>
      <c r="D150" s="27"/>
    </row>
    <row r="151" spans="1:5" ht="26.4" x14ac:dyDescent="0.25">
      <c r="A151" s="27"/>
      <c r="B151" s="61" t="s">
        <v>776</v>
      </c>
      <c r="C151" s="34"/>
      <c r="D151" s="27"/>
    </row>
    <row r="152" spans="1:5" ht="26.4" x14ac:dyDescent="0.25">
      <c r="A152" s="27"/>
      <c r="B152" s="61" t="s">
        <v>777</v>
      </c>
      <c r="C152" s="34"/>
      <c r="D152" s="27"/>
    </row>
    <row r="153" spans="1:5" x14ac:dyDescent="0.25">
      <c r="A153" s="27"/>
      <c r="B153" s="61" t="s">
        <v>765</v>
      </c>
      <c r="C153" s="34"/>
      <c r="D153" s="27"/>
    </row>
    <row r="154" spans="1:5" x14ac:dyDescent="0.25">
      <c r="A154" s="27"/>
      <c r="B154" s="150"/>
      <c r="C154" s="34"/>
      <c r="D154" s="27"/>
    </row>
    <row r="155" spans="1:5" x14ac:dyDescent="0.25">
      <c r="A155" s="27" t="s">
        <v>119</v>
      </c>
      <c r="B155" s="150" t="s">
        <v>778</v>
      </c>
      <c r="C155" s="34">
        <v>200</v>
      </c>
      <c r="D155" s="27" t="s">
        <v>36</v>
      </c>
    </row>
    <row r="156" spans="1:5" x14ac:dyDescent="0.25">
      <c r="A156" s="27"/>
      <c r="B156" s="150"/>
      <c r="C156" s="34"/>
      <c r="D156" s="27"/>
    </row>
    <row r="157" spans="1:5" x14ac:dyDescent="0.25">
      <c r="A157" s="27" t="s">
        <v>121</v>
      </c>
      <c r="B157" s="150" t="s">
        <v>779</v>
      </c>
      <c r="C157" s="34">
        <v>200</v>
      </c>
      <c r="D157" s="27" t="s">
        <v>36</v>
      </c>
    </row>
    <row r="158" spans="1:5" x14ac:dyDescent="0.25">
      <c r="A158" s="27"/>
      <c r="B158" s="150"/>
      <c r="C158" s="34"/>
      <c r="D158" s="27"/>
    </row>
    <row r="159" spans="1:5" x14ac:dyDescent="0.25">
      <c r="A159" s="27" t="s">
        <v>123</v>
      </c>
      <c r="B159" s="150" t="s">
        <v>780</v>
      </c>
      <c r="C159" s="34">
        <v>200</v>
      </c>
      <c r="D159" s="27" t="s">
        <v>36</v>
      </c>
    </row>
    <row r="160" spans="1:5" x14ac:dyDescent="0.25">
      <c r="A160" s="27"/>
      <c r="B160" s="150"/>
      <c r="C160" s="34"/>
      <c r="D160" s="27"/>
    </row>
    <row r="161" spans="1:5" x14ac:dyDescent="0.25">
      <c r="A161" s="27" t="s">
        <v>125</v>
      </c>
      <c r="B161" s="150" t="s">
        <v>781</v>
      </c>
      <c r="C161" s="34">
        <v>200</v>
      </c>
      <c r="D161" s="27" t="s">
        <v>36</v>
      </c>
    </row>
    <row r="162" spans="1:5" x14ac:dyDescent="0.25">
      <c r="A162" s="27"/>
      <c r="B162" s="150"/>
      <c r="C162" s="34"/>
      <c r="D162" s="27"/>
    </row>
    <row r="163" spans="1:5" x14ac:dyDescent="0.25">
      <c r="A163" s="27" t="s">
        <v>127</v>
      </c>
      <c r="B163" s="150" t="s">
        <v>782</v>
      </c>
      <c r="C163" s="34">
        <v>200</v>
      </c>
      <c r="D163" s="27" t="s">
        <v>36</v>
      </c>
    </row>
    <row r="164" spans="1:5" x14ac:dyDescent="0.25">
      <c r="A164" s="27"/>
      <c r="B164" s="150"/>
      <c r="C164" s="34"/>
      <c r="D164" s="27"/>
    </row>
    <row r="165" spans="1:5" x14ac:dyDescent="0.25">
      <c r="A165" s="27" t="s">
        <v>129</v>
      </c>
      <c r="B165" s="150" t="s">
        <v>783</v>
      </c>
      <c r="C165" s="34">
        <v>200</v>
      </c>
      <c r="D165" s="27" t="s">
        <v>36</v>
      </c>
    </row>
    <row r="166" spans="1:5" x14ac:dyDescent="0.25">
      <c r="A166" s="27"/>
      <c r="B166" s="150"/>
      <c r="C166" s="34"/>
      <c r="D166" s="27"/>
    </row>
    <row r="167" spans="1:5" x14ac:dyDescent="0.25">
      <c r="A167" s="27" t="s">
        <v>131</v>
      </c>
      <c r="B167" s="150" t="s">
        <v>784</v>
      </c>
      <c r="C167" s="34">
        <v>200</v>
      </c>
      <c r="D167" s="27" t="s">
        <v>36</v>
      </c>
    </row>
    <row r="168" spans="1:5" s="47" customFormat="1" x14ac:dyDescent="0.25">
      <c r="A168" s="27"/>
      <c r="B168" s="150"/>
      <c r="C168" s="34"/>
      <c r="D168" s="27"/>
      <c r="E168" s="70"/>
    </row>
    <row r="169" spans="1:5" x14ac:dyDescent="0.25">
      <c r="A169" s="27" t="s">
        <v>133</v>
      </c>
      <c r="B169" s="150" t="s">
        <v>785</v>
      </c>
      <c r="C169" s="34">
        <v>200</v>
      </c>
      <c r="D169" s="27" t="s">
        <v>36</v>
      </c>
    </row>
    <row r="170" spans="1:5" ht="12.75" customHeight="1" x14ac:dyDescent="0.25">
      <c r="A170" s="27"/>
      <c r="B170" s="150"/>
      <c r="C170" s="34"/>
      <c r="D170" s="27"/>
    </row>
    <row r="171" spans="1:5" ht="12.75" customHeight="1" x14ac:dyDescent="0.25">
      <c r="A171" s="27" t="s">
        <v>135</v>
      </c>
      <c r="B171" s="150" t="s">
        <v>786</v>
      </c>
      <c r="C171" s="34">
        <v>200</v>
      </c>
      <c r="D171" s="27" t="s">
        <v>36</v>
      </c>
    </row>
    <row r="172" spans="1:5" ht="12.75" customHeight="1" x14ac:dyDescent="0.25">
      <c r="A172" s="27"/>
      <c r="B172" s="150"/>
      <c r="C172" s="34"/>
      <c r="D172" s="27"/>
    </row>
    <row r="173" spans="1:5" ht="12.75" customHeight="1" x14ac:dyDescent="0.25">
      <c r="A173" s="27" t="s">
        <v>137</v>
      </c>
      <c r="B173" s="150" t="s">
        <v>787</v>
      </c>
      <c r="C173" s="34">
        <v>64</v>
      </c>
      <c r="D173" s="27" t="s">
        <v>36</v>
      </c>
    </row>
    <row r="174" spans="1:5" ht="12.75" customHeight="1" x14ac:dyDescent="0.25">
      <c r="A174" s="27"/>
      <c r="B174" s="150"/>
      <c r="C174" s="34"/>
      <c r="D174" s="27"/>
    </row>
    <row r="175" spans="1:5" ht="12.75" customHeight="1" x14ac:dyDescent="0.25">
      <c r="A175" s="27" t="s">
        <v>139</v>
      </c>
      <c r="B175" s="150" t="s">
        <v>788</v>
      </c>
      <c r="C175" s="34">
        <v>30</v>
      </c>
      <c r="D175" s="27" t="s">
        <v>36</v>
      </c>
    </row>
    <row r="176" spans="1:5" ht="12.75" customHeight="1" x14ac:dyDescent="0.25">
      <c r="A176" s="27"/>
      <c r="B176" s="150"/>
      <c r="C176" s="34"/>
      <c r="D176" s="27"/>
    </row>
    <row r="177" spans="1:5" ht="12.75" customHeight="1" x14ac:dyDescent="0.25">
      <c r="A177" s="27" t="s">
        <v>141</v>
      </c>
      <c r="B177" s="150" t="s">
        <v>789</v>
      </c>
      <c r="C177" s="34">
        <v>90</v>
      </c>
      <c r="D177" s="27" t="s">
        <v>36</v>
      </c>
    </row>
    <row r="178" spans="1:5" ht="12.75" customHeight="1" x14ac:dyDescent="0.25">
      <c r="A178" s="27"/>
      <c r="B178" s="150"/>
      <c r="C178" s="34"/>
      <c r="D178" s="27"/>
    </row>
    <row r="179" spans="1:5" ht="12.75" customHeight="1" x14ac:dyDescent="0.25">
      <c r="A179" s="27" t="s">
        <v>143</v>
      </c>
      <c r="B179" s="150" t="s">
        <v>790</v>
      </c>
      <c r="C179" s="34">
        <v>400</v>
      </c>
      <c r="D179" s="27" t="s">
        <v>145</v>
      </c>
    </row>
    <row r="180" spans="1:5" ht="12.75" customHeight="1" x14ac:dyDescent="0.25">
      <c r="A180" s="27"/>
      <c r="B180" s="150"/>
      <c r="C180" s="34"/>
      <c r="D180" s="27"/>
    </row>
    <row r="181" spans="1:5" ht="12.75" customHeight="1" x14ac:dyDescent="0.25">
      <c r="A181" s="27" t="s">
        <v>146</v>
      </c>
      <c r="B181" s="150" t="s">
        <v>791</v>
      </c>
      <c r="C181" s="34">
        <v>100</v>
      </c>
      <c r="D181" s="27" t="s">
        <v>145</v>
      </c>
    </row>
    <row r="182" spans="1:5" ht="12.75" customHeight="1" x14ac:dyDescent="0.25">
      <c r="A182" s="27"/>
      <c r="B182" s="150"/>
      <c r="C182" s="34"/>
      <c r="D182" s="27"/>
    </row>
    <row r="183" spans="1:5" x14ac:dyDescent="0.25">
      <c r="A183" s="27" t="s">
        <v>148</v>
      </c>
      <c r="B183" s="150" t="s">
        <v>792</v>
      </c>
      <c r="C183" s="34">
        <v>1000</v>
      </c>
      <c r="D183" s="27" t="s">
        <v>102</v>
      </c>
    </row>
    <row r="184" spans="1:5" x14ac:dyDescent="0.25">
      <c r="A184" s="27"/>
      <c r="B184" s="150"/>
      <c r="C184" s="34"/>
      <c r="D184" s="27"/>
    </row>
    <row r="185" spans="1:5" x14ac:dyDescent="0.25">
      <c r="A185" s="27" t="s">
        <v>150</v>
      </c>
      <c r="B185" s="150" t="s">
        <v>793</v>
      </c>
      <c r="C185" s="34">
        <v>2000</v>
      </c>
      <c r="D185" s="27" t="s">
        <v>102</v>
      </c>
    </row>
    <row r="186" spans="1:5" x14ac:dyDescent="0.25">
      <c r="A186" s="27"/>
      <c r="B186" s="150"/>
      <c r="C186" s="34"/>
      <c r="D186" s="27"/>
    </row>
    <row r="187" spans="1:5" s="72" customFormat="1" x14ac:dyDescent="0.25">
      <c r="A187" s="27" t="s">
        <v>152</v>
      </c>
      <c r="B187" s="150" t="s">
        <v>794</v>
      </c>
      <c r="C187" s="34">
        <v>19000</v>
      </c>
      <c r="D187" s="27" t="s">
        <v>102</v>
      </c>
      <c r="E187" s="71"/>
    </row>
    <row r="188" spans="1:5" s="72" customFormat="1" x14ac:dyDescent="0.25">
      <c r="A188" s="27"/>
      <c r="B188" s="150"/>
      <c r="C188" s="34"/>
      <c r="D188" s="27"/>
      <c r="E188" s="71"/>
    </row>
    <row r="189" spans="1:5" s="72" customFormat="1" ht="12.75" customHeight="1" x14ac:dyDescent="0.25">
      <c r="A189" s="27" t="s">
        <v>154</v>
      </c>
      <c r="B189" s="150" t="s">
        <v>155</v>
      </c>
      <c r="C189" s="34">
        <v>500</v>
      </c>
      <c r="D189" s="27" t="s">
        <v>36</v>
      </c>
      <c r="E189" s="71"/>
    </row>
    <row r="190" spans="1:5" s="72" customFormat="1" ht="12.75" customHeight="1" x14ac:dyDescent="0.25">
      <c r="A190" s="27"/>
      <c r="B190" s="150"/>
      <c r="C190" s="34"/>
      <c r="D190" s="27"/>
      <c r="E190" s="71"/>
    </row>
    <row r="191" spans="1:5" s="72" customFormat="1" ht="12.75" customHeight="1" x14ac:dyDescent="0.25">
      <c r="A191" s="65" t="s">
        <v>156</v>
      </c>
      <c r="B191" s="152" t="s">
        <v>157</v>
      </c>
      <c r="C191" s="34"/>
      <c r="D191" s="67"/>
      <c r="E191" s="71"/>
    </row>
    <row r="192" spans="1:5" ht="12.75" customHeight="1" x14ac:dyDescent="0.25">
      <c r="A192" s="27"/>
      <c r="B192" s="150"/>
      <c r="C192" s="34"/>
      <c r="D192" s="27"/>
    </row>
    <row r="193" spans="1:5" ht="39.6" x14ac:dyDescent="0.25">
      <c r="A193" s="27"/>
      <c r="B193" s="61" t="s">
        <v>795</v>
      </c>
      <c r="C193" s="34"/>
      <c r="D193" s="27"/>
    </row>
    <row r="194" spans="1:5" s="47" customFormat="1" x14ac:dyDescent="0.25">
      <c r="A194" s="27"/>
      <c r="B194" s="61" t="s">
        <v>796</v>
      </c>
      <c r="C194" s="34"/>
      <c r="D194" s="27"/>
      <c r="E194" s="70"/>
    </row>
    <row r="195" spans="1:5" ht="12.75" customHeight="1" x14ac:dyDescent="0.25">
      <c r="A195" s="27"/>
      <c r="B195" s="61" t="s">
        <v>797</v>
      </c>
      <c r="C195" s="34"/>
      <c r="D195" s="27"/>
    </row>
    <row r="196" spans="1:5" x14ac:dyDescent="0.25">
      <c r="A196" s="27"/>
      <c r="B196" s="61" t="s">
        <v>798</v>
      </c>
      <c r="C196" s="34"/>
      <c r="D196" s="27"/>
    </row>
    <row r="197" spans="1:5" ht="39.6" x14ac:dyDescent="0.25">
      <c r="A197" s="27"/>
      <c r="B197" s="61" t="s">
        <v>799</v>
      </c>
      <c r="C197" s="34"/>
      <c r="D197" s="27"/>
    </row>
    <row r="198" spans="1:5" ht="26.4" x14ac:dyDescent="0.25">
      <c r="A198" s="27"/>
      <c r="B198" s="61" t="s">
        <v>800</v>
      </c>
      <c r="C198" s="34"/>
      <c r="D198" s="27"/>
    </row>
    <row r="199" spans="1:5" x14ac:dyDescent="0.25">
      <c r="A199" s="27"/>
      <c r="B199" s="61" t="s">
        <v>801</v>
      </c>
      <c r="C199" s="34"/>
      <c r="D199" s="27"/>
    </row>
    <row r="200" spans="1:5" x14ac:dyDescent="0.25">
      <c r="A200" s="27"/>
      <c r="B200" s="150"/>
      <c r="C200" s="34"/>
      <c r="D200" s="27"/>
    </row>
    <row r="201" spans="1:5" ht="12.75" customHeight="1" x14ac:dyDescent="0.25">
      <c r="A201" s="27" t="s">
        <v>158</v>
      </c>
      <c r="B201" s="150" t="s">
        <v>802</v>
      </c>
      <c r="C201" s="34">
        <v>50000</v>
      </c>
      <c r="D201" s="27" t="s">
        <v>46</v>
      </c>
    </row>
    <row r="202" spans="1:5" ht="12.75" customHeight="1" x14ac:dyDescent="0.25">
      <c r="A202" s="27"/>
      <c r="B202" s="150"/>
      <c r="C202" s="34"/>
      <c r="D202" s="27"/>
    </row>
    <row r="203" spans="1:5" s="47" customFormat="1" x14ac:dyDescent="0.25">
      <c r="A203" s="27" t="s">
        <v>160</v>
      </c>
      <c r="B203" s="150" t="s">
        <v>803</v>
      </c>
      <c r="C203" s="34">
        <v>2600</v>
      </c>
      <c r="D203" s="27" t="s">
        <v>162</v>
      </c>
      <c r="E203" s="70"/>
    </row>
    <row r="204" spans="1:5" x14ac:dyDescent="0.25">
      <c r="A204" s="27"/>
      <c r="B204" s="150"/>
      <c r="C204" s="34"/>
      <c r="D204" s="27"/>
    </row>
    <row r="205" spans="1:5" x14ac:dyDescent="0.25">
      <c r="A205" s="27" t="s">
        <v>163</v>
      </c>
      <c r="B205" s="150" t="s">
        <v>804</v>
      </c>
      <c r="C205" s="34">
        <v>2500</v>
      </c>
      <c r="D205" s="27" t="s">
        <v>46</v>
      </c>
    </row>
    <row r="206" spans="1:5" x14ac:dyDescent="0.25">
      <c r="A206" s="27"/>
      <c r="B206" s="150"/>
      <c r="C206" s="34"/>
      <c r="D206" s="27"/>
    </row>
    <row r="207" spans="1:5" x14ac:dyDescent="0.25">
      <c r="A207" s="27" t="s">
        <v>165</v>
      </c>
      <c r="B207" s="150" t="s">
        <v>805</v>
      </c>
      <c r="C207" s="34">
        <v>25500</v>
      </c>
      <c r="D207" s="27" t="s">
        <v>46</v>
      </c>
    </row>
    <row r="208" spans="1:5" x14ac:dyDescent="0.25">
      <c r="A208" s="27"/>
      <c r="B208" s="150"/>
      <c r="C208" s="34"/>
      <c r="D208" s="27"/>
    </row>
    <row r="209" spans="1:7" x14ac:dyDescent="0.25">
      <c r="A209" s="27" t="s">
        <v>167</v>
      </c>
      <c r="B209" s="150" t="s">
        <v>806</v>
      </c>
      <c r="C209" s="34">
        <v>76000</v>
      </c>
      <c r="D209" s="27" t="s">
        <v>46</v>
      </c>
    </row>
    <row r="210" spans="1:7" x14ac:dyDescent="0.25">
      <c r="A210" s="27"/>
      <c r="B210" s="150"/>
      <c r="C210" s="34"/>
      <c r="D210" s="27"/>
    </row>
    <row r="211" spans="1:7" x14ac:dyDescent="0.25">
      <c r="A211" s="27" t="s">
        <v>169</v>
      </c>
      <c r="B211" s="150" t="s">
        <v>807</v>
      </c>
      <c r="C211" s="34">
        <v>76000</v>
      </c>
      <c r="D211" s="27" t="s">
        <v>46</v>
      </c>
    </row>
    <row r="212" spans="1:7" x14ac:dyDescent="0.25">
      <c r="A212" s="27"/>
      <c r="B212" s="150"/>
      <c r="C212" s="34"/>
      <c r="D212" s="27"/>
    </row>
    <row r="213" spans="1:7" x14ac:dyDescent="0.25">
      <c r="A213" s="27" t="s">
        <v>171</v>
      </c>
      <c r="B213" s="150" t="s">
        <v>808</v>
      </c>
      <c r="C213" s="34">
        <v>135000</v>
      </c>
      <c r="D213" s="27" t="s">
        <v>46</v>
      </c>
    </row>
    <row r="214" spans="1:7" x14ac:dyDescent="0.25">
      <c r="A214" s="27"/>
      <c r="B214" s="150"/>
      <c r="C214" s="34"/>
      <c r="D214" s="27"/>
    </row>
    <row r="215" spans="1:7" x14ac:dyDescent="0.25">
      <c r="A215" s="27" t="s">
        <v>173</v>
      </c>
      <c r="B215" s="150" t="s">
        <v>809</v>
      </c>
      <c r="C215" s="34">
        <v>26000</v>
      </c>
      <c r="D215" s="27" t="s">
        <v>46</v>
      </c>
    </row>
    <row r="216" spans="1:7" x14ac:dyDescent="0.25">
      <c r="A216" s="27"/>
      <c r="B216" s="150"/>
      <c r="C216" s="34"/>
      <c r="D216" s="27"/>
      <c r="G216" s="73"/>
    </row>
    <row r="217" spans="1:7" x14ac:dyDescent="0.25">
      <c r="A217" s="27" t="s">
        <v>175</v>
      </c>
      <c r="B217" s="150" t="s">
        <v>810</v>
      </c>
      <c r="C217" s="34">
        <v>9000</v>
      </c>
      <c r="D217" s="27" t="s">
        <v>46</v>
      </c>
      <c r="G217" s="73"/>
    </row>
    <row r="218" spans="1:7" x14ac:dyDescent="0.25">
      <c r="A218" s="27"/>
      <c r="B218" s="150"/>
      <c r="C218" s="34"/>
      <c r="D218" s="27"/>
    </row>
    <row r="219" spans="1:7" x14ac:dyDescent="0.25">
      <c r="A219" s="65" t="s">
        <v>177</v>
      </c>
      <c r="B219" s="152" t="s">
        <v>178</v>
      </c>
      <c r="C219" s="34"/>
      <c r="D219" s="67"/>
    </row>
    <row r="220" spans="1:7" x14ac:dyDescent="0.25">
      <c r="A220" s="65"/>
      <c r="B220" s="152"/>
      <c r="C220" s="34"/>
      <c r="D220" s="67"/>
    </row>
    <row r="221" spans="1:7" x14ac:dyDescent="0.25">
      <c r="A221" s="27" t="s">
        <v>179</v>
      </c>
      <c r="B221" s="150" t="s">
        <v>180</v>
      </c>
      <c r="C221" s="34">
        <v>400</v>
      </c>
      <c r="D221" s="27" t="s">
        <v>24</v>
      </c>
    </row>
    <row r="222" spans="1:7" x14ac:dyDescent="0.25">
      <c r="A222" s="65"/>
      <c r="B222" s="74" t="s">
        <v>811</v>
      </c>
      <c r="C222" s="34"/>
      <c r="D222" s="67"/>
    </row>
    <row r="223" spans="1:7" x14ac:dyDescent="0.25">
      <c r="A223" s="65"/>
      <c r="B223" s="152"/>
      <c r="C223" s="34"/>
      <c r="D223" s="67"/>
    </row>
    <row r="224" spans="1:7" x14ac:dyDescent="0.25">
      <c r="A224" s="27" t="s">
        <v>181</v>
      </c>
      <c r="B224" s="150" t="s">
        <v>182</v>
      </c>
      <c r="C224" s="34">
        <v>400</v>
      </c>
      <c r="D224" s="27" t="s">
        <v>24</v>
      </c>
    </row>
    <row r="225" spans="1:4" x14ac:dyDescent="0.25">
      <c r="A225" s="65"/>
      <c r="B225" s="74" t="s">
        <v>811</v>
      </c>
      <c r="C225" s="34"/>
      <c r="D225" s="27"/>
    </row>
    <row r="226" spans="1:4" x14ac:dyDescent="0.25">
      <c r="A226" s="65"/>
      <c r="B226" s="74"/>
      <c r="C226" s="34"/>
      <c r="D226" s="27"/>
    </row>
    <row r="227" spans="1:4" x14ac:dyDescent="0.25">
      <c r="A227" s="27" t="s">
        <v>183</v>
      </c>
      <c r="B227" s="150" t="s">
        <v>184</v>
      </c>
      <c r="C227" s="34">
        <v>400</v>
      </c>
      <c r="D227" s="27" t="s">
        <v>24</v>
      </c>
    </row>
    <row r="228" spans="1:4" x14ac:dyDescent="0.25">
      <c r="A228" s="65"/>
      <c r="B228" s="61" t="s">
        <v>812</v>
      </c>
      <c r="C228" s="34"/>
      <c r="D228" s="27"/>
    </row>
    <row r="229" spans="1:4" x14ac:dyDescent="0.25">
      <c r="A229" s="65"/>
      <c r="B229" s="74"/>
      <c r="C229" s="34"/>
      <c r="D229" s="67"/>
    </row>
    <row r="230" spans="1:4" x14ac:dyDescent="0.25">
      <c r="A230" s="27" t="s">
        <v>185</v>
      </c>
      <c r="B230" s="150" t="s">
        <v>186</v>
      </c>
      <c r="C230" s="34">
        <v>400</v>
      </c>
      <c r="D230" s="27" t="s">
        <v>24</v>
      </c>
    </row>
    <row r="231" spans="1:4" x14ac:dyDescent="0.25">
      <c r="A231" s="65"/>
      <c r="B231" s="61" t="s">
        <v>812</v>
      </c>
      <c r="C231" s="34"/>
      <c r="D231" s="27"/>
    </row>
    <row r="232" spans="1:4" x14ac:dyDescent="0.25">
      <c r="A232" s="65"/>
      <c r="B232" s="152"/>
      <c r="C232" s="34"/>
      <c r="D232" s="27"/>
    </row>
    <row r="233" spans="1:4" x14ac:dyDescent="0.25">
      <c r="A233" s="27" t="s">
        <v>189</v>
      </c>
      <c r="B233" s="150" t="s">
        <v>813</v>
      </c>
      <c r="C233" s="34">
        <v>3000</v>
      </c>
      <c r="D233" s="27" t="s">
        <v>162</v>
      </c>
    </row>
    <row r="234" spans="1:4" x14ac:dyDescent="0.25">
      <c r="A234" s="27"/>
      <c r="B234" s="150"/>
      <c r="C234" s="34"/>
      <c r="D234" s="27"/>
    </row>
    <row r="235" spans="1:4" x14ac:dyDescent="0.25">
      <c r="A235" s="27"/>
      <c r="B235" s="74" t="s">
        <v>814</v>
      </c>
      <c r="C235" s="34"/>
      <c r="D235" s="27"/>
    </row>
    <row r="236" spans="1:4" x14ac:dyDescent="0.25">
      <c r="A236" s="27"/>
      <c r="B236" s="150"/>
      <c r="C236" s="34"/>
      <c r="D236" s="27"/>
    </row>
    <row r="237" spans="1:4" x14ac:dyDescent="0.25">
      <c r="A237" s="27" t="s">
        <v>191</v>
      </c>
      <c r="B237" s="150" t="s">
        <v>815</v>
      </c>
      <c r="C237" s="34">
        <v>60000</v>
      </c>
      <c r="D237" s="27" t="s">
        <v>162</v>
      </c>
    </row>
    <row r="238" spans="1:4" ht="28.5" customHeight="1" x14ac:dyDescent="0.25">
      <c r="A238" s="27"/>
      <c r="B238" s="150"/>
      <c r="C238" s="34"/>
      <c r="D238" s="27"/>
    </row>
    <row r="239" spans="1:4" x14ac:dyDescent="0.25">
      <c r="A239" s="27" t="s">
        <v>193</v>
      </c>
      <c r="B239" s="150" t="s">
        <v>816</v>
      </c>
      <c r="C239" s="34">
        <v>10</v>
      </c>
      <c r="D239" s="27" t="s">
        <v>24</v>
      </c>
    </row>
    <row r="240" spans="1:4" x14ac:dyDescent="0.25">
      <c r="A240" s="27"/>
      <c r="B240" s="150"/>
      <c r="C240" s="34"/>
      <c r="D240" s="27"/>
    </row>
    <row r="241" spans="1:4" x14ac:dyDescent="0.25">
      <c r="A241" s="27" t="s">
        <v>195</v>
      </c>
      <c r="B241" s="150" t="s">
        <v>817</v>
      </c>
      <c r="C241" s="34">
        <v>50</v>
      </c>
      <c r="D241" s="27" t="s">
        <v>24</v>
      </c>
    </row>
    <row r="242" spans="1:4" ht="24.75" customHeight="1" x14ac:dyDescent="0.25">
      <c r="A242" s="27"/>
      <c r="B242" s="152"/>
      <c r="C242" s="34"/>
      <c r="D242" s="27"/>
    </row>
    <row r="243" spans="1:4" ht="52.8" x14ac:dyDescent="0.25">
      <c r="A243" s="75"/>
      <c r="B243" s="76" t="s">
        <v>818</v>
      </c>
      <c r="C243" s="77"/>
      <c r="D243" s="75"/>
    </row>
    <row r="244" spans="1:4" x14ac:dyDescent="0.25">
      <c r="A244" s="27"/>
      <c r="B244" s="152"/>
      <c r="C244" s="34"/>
      <c r="D244" s="27"/>
    </row>
    <row r="245" spans="1:4" x14ac:dyDescent="0.25">
      <c r="A245" s="27" t="s">
        <v>197</v>
      </c>
      <c r="B245" s="150" t="s">
        <v>819</v>
      </c>
      <c r="C245" s="34">
        <v>60000</v>
      </c>
      <c r="D245" s="27" t="s">
        <v>46</v>
      </c>
    </row>
    <row r="246" spans="1:4" x14ac:dyDescent="0.25">
      <c r="A246" s="27"/>
      <c r="B246" s="152"/>
      <c r="C246" s="34"/>
      <c r="D246" s="27"/>
    </row>
    <row r="247" spans="1:4" x14ac:dyDescent="0.25">
      <c r="A247" s="27" t="s">
        <v>199</v>
      </c>
      <c r="B247" s="150" t="s">
        <v>820</v>
      </c>
      <c r="C247" s="34">
        <v>60000</v>
      </c>
      <c r="D247" s="27" t="s">
        <v>46</v>
      </c>
    </row>
    <row r="248" spans="1:4" x14ac:dyDescent="0.25">
      <c r="A248" s="27"/>
      <c r="B248" s="150"/>
      <c r="C248" s="34"/>
      <c r="D248" s="27"/>
    </row>
    <row r="249" spans="1:4" ht="118.8" x14ac:dyDescent="0.25">
      <c r="A249" s="27"/>
      <c r="B249" s="76" t="s">
        <v>821</v>
      </c>
      <c r="C249" s="34"/>
      <c r="D249" s="27"/>
    </row>
    <row r="250" spans="1:4" x14ac:dyDescent="0.25">
      <c r="A250" s="27"/>
      <c r="B250" s="150"/>
      <c r="C250" s="34"/>
      <c r="D250" s="53"/>
    </row>
    <row r="251" spans="1:4" x14ac:dyDescent="0.25">
      <c r="A251" s="27" t="s">
        <v>201</v>
      </c>
      <c r="B251" s="150" t="s">
        <v>198</v>
      </c>
      <c r="C251" s="34">
        <v>6</v>
      </c>
      <c r="D251" s="27" t="s">
        <v>24</v>
      </c>
    </row>
    <row r="252" spans="1:4" x14ac:dyDescent="0.25">
      <c r="A252" s="27"/>
      <c r="B252" s="150"/>
      <c r="C252" s="34"/>
      <c r="D252" s="27"/>
    </row>
    <row r="253" spans="1:4" ht="39.6" x14ac:dyDescent="0.25">
      <c r="A253" s="27"/>
      <c r="B253" s="76" t="s">
        <v>822</v>
      </c>
      <c r="C253" s="34"/>
      <c r="D253" s="27"/>
    </row>
    <row r="254" spans="1:4" x14ac:dyDescent="0.25">
      <c r="A254" s="27"/>
      <c r="B254" s="150"/>
      <c r="C254" s="34"/>
      <c r="D254" s="27"/>
    </row>
    <row r="255" spans="1:4" x14ac:dyDescent="0.25">
      <c r="A255" s="27" t="s">
        <v>203</v>
      </c>
      <c r="B255" s="150" t="s">
        <v>823</v>
      </c>
      <c r="C255" s="34">
        <v>5400</v>
      </c>
      <c r="D255" s="27" t="s">
        <v>81</v>
      </c>
    </row>
    <row r="256" spans="1:4" x14ac:dyDescent="0.25">
      <c r="A256" s="27"/>
      <c r="B256" s="150"/>
      <c r="C256" s="34"/>
      <c r="D256" s="27"/>
    </row>
    <row r="257" spans="1:4" ht="26.4" x14ac:dyDescent="0.25">
      <c r="A257" s="27" t="s">
        <v>205</v>
      </c>
      <c r="B257" s="150" t="s">
        <v>202</v>
      </c>
      <c r="C257" s="34">
        <v>50</v>
      </c>
      <c r="D257" s="27" t="s">
        <v>67</v>
      </c>
    </row>
    <row r="258" spans="1:4" x14ac:dyDescent="0.25">
      <c r="A258" s="27"/>
      <c r="B258" s="150"/>
      <c r="C258" s="34"/>
      <c r="D258" s="27"/>
    </row>
    <row r="259" spans="1:4" ht="12.75" customHeight="1" x14ac:dyDescent="0.25">
      <c r="A259" s="27" t="s">
        <v>824</v>
      </c>
      <c r="B259" s="150" t="s">
        <v>825</v>
      </c>
      <c r="C259" s="34">
        <v>10</v>
      </c>
      <c r="D259" s="27" t="s">
        <v>24</v>
      </c>
    </row>
    <row r="260" spans="1:4" ht="12.75" customHeight="1" x14ac:dyDescent="0.25">
      <c r="A260" s="27"/>
      <c r="B260" s="150"/>
      <c r="C260" s="34"/>
      <c r="D260" s="27"/>
    </row>
    <row r="261" spans="1:4" ht="12.75" customHeight="1" x14ac:dyDescent="0.25">
      <c r="A261" s="27" t="s">
        <v>826</v>
      </c>
      <c r="B261" s="150" t="s">
        <v>827</v>
      </c>
      <c r="C261" s="34">
        <v>50</v>
      </c>
      <c r="D261" s="27" t="s">
        <v>24</v>
      </c>
    </row>
    <row r="262" spans="1:4" ht="12.75" customHeight="1" x14ac:dyDescent="0.25">
      <c r="A262" s="27"/>
      <c r="B262" s="150"/>
      <c r="C262" s="34"/>
      <c r="D262" s="27"/>
    </row>
    <row r="263" spans="1:4" ht="12.75" customHeight="1" x14ac:dyDescent="0.25">
      <c r="A263" s="65" t="s">
        <v>207</v>
      </c>
      <c r="B263" s="152" t="s">
        <v>208</v>
      </c>
      <c r="C263" s="34"/>
      <c r="D263" s="67"/>
    </row>
    <row r="264" spans="1:4" ht="12.75" customHeight="1" x14ac:dyDescent="0.25">
      <c r="A264" s="27"/>
      <c r="B264" s="150"/>
      <c r="C264" s="34"/>
      <c r="D264" s="27"/>
    </row>
    <row r="265" spans="1:4" ht="12.75" customHeight="1" x14ac:dyDescent="0.25">
      <c r="A265" s="27"/>
      <c r="B265" s="61" t="s">
        <v>873</v>
      </c>
      <c r="C265" s="34"/>
      <c r="D265" s="27"/>
    </row>
    <row r="266" spans="1:4" ht="26.4" x14ac:dyDescent="0.25">
      <c r="A266" s="27"/>
      <c r="B266" s="150" t="s">
        <v>828</v>
      </c>
      <c r="C266" s="34"/>
      <c r="D266" s="27"/>
    </row>
    <row r="267" spans="1:4" ht="12.75" customHeight="1" x14ac:dyDescent="0.25">
      <c r="A267" s="27"/>
      <c r="B267" s="150"/>
      <c r="C267" s="34"/>
      <c r="D267" s="27"/>
    </row>
    <row r="268" spans="1:4" ht="12.75" customHeight="1" x14ac:dyDescent="0.25">
      <c r="A268" s="27" t="s">
        <v>209</v>
      </c>
      <c r="B268" s="150" t="s">
        <v>829</v>
      </c>
      <c r="C268" s="34">
        <v>5</v>
      </c>
      <c r="D268" s="27" t="s">
        <v>24</v>
      </c>
    </row>
    <row r="269" spans="1:4" ht="12.75" customHeight="1" x14ac:dyDescent="0.25">
      <c r="A269" s="27"/>
      <c r="B269" s="150" t="s">
        <v>830</v>
      </c>
      <c r="C269" s="34"/>
      <c r="D269" s="27"/>
    </row>
    <row r="270" spans="1:4" x14ac:dyDescent="0.25">
      <c r="A270" s="27"/>
      <c r="B270" s="150" t="s">
        <v>831</v>
      </c>
      <c r="C270" s="34"/>
      <c r="D270" s="27"/>
    </row>
    <row r="271" spans="1:4" x14ac:dyDescent="0.25">
      <c r="A271" s="27"/>
      <c r="B271" s="150"/>
      <c r="C271" s="34"/>
      <c r="D271" s="27"/>
    </row>
    <row r="272" spans="1:4" x14ac:dyDescent="0.25">
      <c r="A272" s="27" t="s">
        <v>211</v>
      </c>
      <c r="B272" s="150" t="s">
        <v>832</v>
      </c>
      <c r="C272" s="34">
        <v>20</v>
      </c>
      <c r="D272" s="27" t="s">
        <v>24</v>
      </c>
    </row>
    <row r="273" spans="1:4" x14ac:dyDescent="0.25">
      <c r="A273" s="27"/>
      <c r="B273" s="150" t="s">
        <v>830</v>
      </c>
      <c r="C273" s="34"/>
      <c r="D273" s="27"/>
    </row>
    <row r="274" spans="1:4" x14ac:dyDescent="0.25">
      <c r="A274" s="27"/>
      <c r="B274" s="150" t="s">
        <v>831</v>
      </c>
      <c r="C274" s="34"/>
      <c r="D274" s="27"/>
    </row>
    <row r="275" spans="1:4" ht="12.75" customHeight="1" x14ac:dyDescent="0.25">
      <c r="A275" s="27"/>
      <c r="B275" s="150"/>
      <c r="C275" s="34"/>
      <c r="D275" s="27"/>
    </row>
    <row r="276" spans="1:4" x14ac:dyDescent="0.25">
      <c r="A276" s="27" t="s">
        <v>213</v>
      </c>
      <c r="B276" s="150" t="s">
        <v>833</v>
      </c>
      <c r="C276" s="34">
        <v>5</v>
      </c>
      <c r="D276" s="27" t="s">
        <v>24</v>
      </c>
    </row>
    <row r="277" spans="1:4" ht="12.75" customHeight="1" x14ac:dyDescent="0.25">
      <c r="A277" s="27"/>
      <c r="B277" s="150" t="s">
        <v>830</v>
      </c>
      <c r="C277" s="34"/>
      <c r="D277" s="27"/>
    </row>
    <row r="278" spans="1:4" x14ac:dyDescent="0.25">
      <c r="A278" s="27"/>
      <c r="B278" s="150" t="s">
        <v>831</v>
      </c>
      <c r="C278" s="34"/>
      <c r="D278" s="27"/>
    </row>
    <row r="279" spans="1:4" x14ac:dyDescent="0.25">
      <c r="A279" s="27"/>
      <c r="B279" s="150"/>
      <c r="C279" s="34"/>
      <c r="D279" s="27"/>
    </row>
    <row r="280" spans="1:4" x14ac:dyDescent="0.25">
      <c r="A280" s="27" t="s">
        <v>215</v>
      </c>
      <c r="B280" s="150" t="s">
        <v>834</v>
      </c>
      <c r="C280" s="34">
        <v>20</v>
      </c>
      <c r="D280" s="27" t="s">
        <v>24</v>
      </c>
    </row>
    <row r="281" spans="1:4" x14ac:dyDescent="0.25">
      <c r="A281" s="27"/>
      <c r="B281" s="150" t="s">
        <v>830</v>
      </c>
      <c r="C281" s="34"/>
      <c r="D281" s="27"/>
    </row>
    <row r="282" spans="1:4" x14ac:dyDescent="0.25">
      <c r="A282" s="27"/>
      <c r="B282" s="150" t="s">
        <v>831</v>
      </c>
      <c r="C282" s="34"/>
      <c r="D282" s="27"/>
    </row>
    <row r="283" spans="1:4" ht="12.75" customHeight="1" x14ac:dyDescent="0.25">
      <c r="A283" s="27"/>
      <c r="B283" s="150"/>
      <c r="C283" s="34"/>
      <c r="D283" s="27"/>
    </row>
    <row r="284" spans="1:4" ht="12.75" customHeight="1" x14ac:dyDescent="0.25">
      <c r="A284" s="27" t="s">
        <v>217</v>
      </c>
      <c r="B284" s="150" t="s">
        <v>835</v>
      </c>
      <c r="C284" s="34">
        <v>5</v>
      </c>
      <c r="D284" s="27" t="s">
        <v>24</v>
      </c>
    </row>
    <row r="285" spans="1:4" ht="12.75" customHeight="1" x14ac:dyDescent="0.25">
      <c r="A285" s="27"/>
      <c r="B285" s="150" t="s">
        <v>830</v>
      </c>
      <c r="C285" s="34"/>
      <c r="D285" s="27"/>
    </row>
    <row r="286" spans="1:4" x14ac:dyDescent="0.25">
      <c r="A286" s="27"/>
      <c r="B286" s="150" t="s">
        <v>831</v>
      </c>
      <c r="C286" s="34"/>
      <c r="D286" s="27"/>
    </row>
    <row r="287" spans="1:4" x14ac:dyDescent="0.25">
      <c r="A287" s="27"/>
      <c r="B287" s="150"/>
      <c r="C287" s="34"/>
      <c r="D287" s="27"/>
    </row>
    <row r="288" spans="1:4" x14ac:dyDescent="0.25">
      <c r="A288" s="27" t="s">
        <v>219</v>
      </c>
      <c r="B288" s="150" t="s">
        <v>836</v>
      </c>
      <c r="C288" s="34">
        <v>20</v>
      </c>
      <c r="D288" s="27" t="s">
        <v>24</v>
      </c>
    </row>
    <row r="289" spans="1:5" x14ac:dyDescent="0.25">
      <c r="A289" s="27"/>
      <c r="B289" s="150" t="s">
        <v>830</v>
      </c>
      <c r="C289" s="34"/>
      <c r="D289" s="27"/>
    </row>
    <row r="290" spans="1:5" x14ac:dyDescent="0.25">
      <c r="A290" s="27"/>
      <c r="B290" s="150" t="s">
        <v>831</v>
      </c>
      <c r="C290" s="34"/>
      <c r="D290" s="27"/>
    </row>
    <row r="291" spans="1:5" ht="12.75" customHeight="1" x14ac:dyDescent="0.25">
      <c r="A291" s="27"/>
      <c r="B291" s="150"/>
      <c r="C291" s="34"/>
      <c r="D291" s="27"/>
    </row>
    <row r="292" spans="1:5" ht="12.75" customHeight="1" x14ac:dyDescent="0.25">
      <c r="A292" s="27" t="s">
        <v>221</v>
      </c>
      <c r="B292" s="150" t="s">
        <v>837</v>
      </c>
      <c r="C292" s="34">
        <v>5</v>
      </c>
      <c r="D292" s="27" t="s">
        <v>24</v>
      </c>
    </row>
    <row r="293" spans="1:5" x14ac:dyDescent="0.25">
      <c r="A293" s="27"/>
      <c r="B293" s="150" t="s">
        <v>830</v>
      </c>
      <c r="C293" s="34"/>
      <c r="D293" s="27"/>
    </row>
    <row r="294" spans="1:5" s="47" customFormat="1" x14ac:dyDescent="0.25">
      <c r="A294" s="27"/>
      <c r="B294" s="150" t="s">
        <v>831</v>
      </c>
      <c r="C294" s="34"/>
      <c r="D294" s="27"/>
      <c r="E294" s="70"/>
    </row>
    <row r="295" spans="1:5" s="47" customFormat="1" x14ac:dyDescent="0.25">
      <c r="A295" s="27"/>
      <c r="B295" s="150"/>
      <c r="C295" s="34"/>
      <c r="D295" s="27"/>
      <c r="E295" s="70"/>
    </row>
    <row r="296" spans="1:5" s="47" customFormat="1" x14ac:dyDescent="0.25">
      <c r="A296" s="27" t="s">
        <v>223</v>
      </c>
      <c r="B296" s="150" t="s">
        <v>838</v>
      </c>
      <c r="C296" s="34">
        <v>20</v>
      </c>
      <c r="D296" s="27" t="s">
        <v>24</v>
      </c>
      <c r="E296" s="70"/>
    </row>
    <row r="297" spans="1:5" s="47" customFormat="1" x14ac:dyDescent="0.25">
      <c r="A297" s="27"/>
      <c r="B297" s="150" t="s">
        <v>830</v>
      </c>
      <c r="C297" s="34"/>
      <c r="D297" s="27"/>
      <c r="E297" s="70"/>
    </row>
    <row r="298" spans="1:5" s="47" customFormat="1" x14ac:dyDescent="0.25">
      <c r="A298" s="27"/>
      <c r="B298" s="150" t="s">
        <v>831</v>
      </c>
      <c r="C298" s="34"/>
      <c r="D298" s="27"/>
      <c r="E298" s="70"/>
    </row>
    <row r="299" spans="1:5" ht="12.75" customHeight="1" x14ac:dyDescent="0.25">
      <c r="A299" s="27"/>
      <c r="B299" s="150"/>
      <c r="C299" s="34"/>
      <c r="D299" s="27"/>
    </row>
    <row r="300" spans="1:5" ht="12.75" customHeight="1" x14ac:dyDescent="0.25">
      <c r="A300" s="27" t="s">
        <v>225</v>
      </c>
      <c r="B300" s="150" t="s">
        <v>839</v>
      </c>
      <c r="C300" s="34">
        <v>20</v>
      </c>
      <c r="D300" s="27" t="s">
        <v>24</v>
      </c>
    </row>
    <row r="301" spans="1:5" ht="12.75" customHeight="1" x14ac:dyDescent="0.25">
      <c r="A301" s="27"/>
      <c r="B301" s="150" t="s">
        <v>830</v>
      </c>
      <c r="C301" s="34"/>
      <c r="D301" s="27"/>
    </row>
    <row r="302" spans="1:5" x14ac:dyDescent="0.25">
      <c r="A302" s="27"/>
      <c r="B302" s="150" t="s">
        <v>831</v>
      </c>
      <c r="C302" s="34"/>
      <c r="D302" s="27"/>
    </row>
    <row r="303" spans="1:5" ht="12.75" customHeight="1" x14ac:dyDescent="0.25">
      <c r="A303" s="27"/>
      <c r="B303" s="150"/>
      <c r="C303" s="34"/>
      <c r="D303" s="27"/>
    </row>
    <row r="304" spans="1:5" ht="12.75" customHeight="1" x14ac:dyDescent="0.25">
      <c r="A304" s="27" t="s">
        <v>227</v>
      </c>
      <c r="B304" s="150" t="s">
        <v>840</v>
      </c>
      <c r="C304" s="34">
        <v>20</v>
      </c>
      <c r="D304" s="27" t="s">
        <v>24</v>
      </c>
    </row>
    <row r="305" spans="1:5" ht="12.75" customHeight="1" x14ac:dyDescent="0.25">
      <c r="A305" s="27"/>
      <c r="B305" s="150" t="s">
        <v>830</v>
      </c>
      <c r="C305" s="34"/>
      <c r="D305" s="27"/>
    </row>
    <row r="306" spans="1:5" x14ac:dyDescent="0.25">
      <c r="A306" s="27"/>
      <c r="B306" s="150" t="s">
        <v>831</v>
      </c>
      <c r="C306" s="34"/>
      <c r="D306" s="27"/>
    </row>
    <row r="307" spans="1:5" ht="12.75" customHeight="1" x14ac:dyDescent="0.25">
      <c r="A307" s="27"/>
      <c r="B307" s="150"/>
      <c r="C307" s="34"/>
      <c r="D307" s="27"/>
    </row>
    <row r="308" spans="1:5" s="47" customFormat="1" ht="25.5" customHeight="1" x14ac:dyDescent="0.25">
      <c r="A308" s="27" t="s">
        <v>229</v>
      </c>
      <c r="B308" s="150" t="s">
        <v>841</v>
      </c>
      <c r="C308" s="34">
        <v>10</v>
      </c>
      <c r="D308" s="27" t="s">
        <v>24</v>
      </c>
      <c r="E308" s="70"/>
    </row>
    <row r="309" spans="1:5" ht="12.75" customHeight="1" x14ac:dyDescent="0.25">
      <c r="A309" s="27"/>
      <c r="B309" s="150" t="s">
        <v>830</v>
      </c>
      <c r="C309" s="34"/>
      <c r="D309" s="27"/>
    </row>
    <row r="310" spans="1:5" x14ac:dyDescent="0.25">
      <c r="A310" s="27"/>
      <c r="B310" s="150" t="s">
        <v>831</v>
      </c>
      <c r="C310" s="34"/>
      <c r="D310" s="27"/>
    </row>
    <row r="311" spans="1:5" ht="12.75" customHeight="1" x14ac:dyDescent="0.25">
      <c r="A311" s="27"/>
      <c r="B311" s="150"/>
      <c r="C311" s="34"/>
      <c r="D311" s="27"/>
    </row>
    <row r="312" spans="1:5" ht="12.75" customHeight="1" x14ac:dyDescent="0.25">
      <c r="A312" s="27" t="s">
        <v>231</v>
      </c>
      <c r="B312" s="150" t="s">
        <v>842</v>
      </c>
      <c r="C312" s="34">
        <v>10</v>
      </c>
      <c r="D312" s="27" t="s">
        <v>24</v>
      </c>
    </row>
    <row r="313" spans="1:5" ht="12.75" customHeight="1" x14ac:dyDescent="0.25">
      <c r="A313" s="27"/>
      <c r="B313" s="150" t="s">
        <v>830</v>
      </c>
      <c r="C313" s="34"/>
      <c r="D313" s="27"/>
    </row>
    <row r="314" spans="1:5" x14ac:dyDescent="0.25">
      <c r="A314" s="27"/>
      <c r="B314" s="150" t="s">
        <v>831</v>
      </c>
      <c r="C314" s="34"/>
      <c r="D314" s="27"/>
    </row>
    <row r="315" spans="1:5" ht="12.75" customHeight="1" x14ac:dyDescent="0.25">
      <c r="A315" s="27"/>
      <c r="B315" s="150"/>
      <c r="C315" s="34"/>
      <c r="D315" s="27"/>
    </row>
    <row r="316" spans="1:5" ht="12.75" customHeight="1" x14ac:dyDescent="0.25">
      <c r="A316" s="27" t="s">
        <v>233</v>
      </c>
      <c r="B316" s="150" t="s">
        <v>843</v>
      </c>
      <c r="C316" s="34">
        <v>10</v>
      </c>
      <c r="D316" s="27" t="s">
        <v>24</v>
      </c>
    </row>
    <row r="317" spans="1:5" ht="12.75" customHeight="1" x14ac:dyDescent="0.25">
      <c r="A317" s="27"/>
      <c r="B317" s="150" t="s">
        <v>830</v>
      </c>
      <c r="C317" s="34"/>
      <c r="D317" s="27"/>
    </row>
    <row r="318" spans="1:5" x14ac:dyDescent="0.25">
      <c r="A318" s="27"/>
      <c r="B318" s="150" t="s">
        <v>831</v>
      </c>
      <c r="C318" s="34"/>
      <c r="D318" s="27"/>
    </row>
    <row r="319" spans="1:5" ht="12.75" customHeight="1" x14ac:dyDescent="0.25">
      <c r="A319" s="27"/>
      <c r="B319" s="150"/>
      <c r="C319" s="34"/>
      <c r="D319" s="27"/>
    </row>
    <row r="320" spans="1:5" ht="12.75" customHeight="1" x14ac:dyDescent="0.25">
      <c r="A320" s="27" t="s">
        <v>235</v>
      </c>
      <c r="B320" s="150" t="s">
        <v>844</v>
      </c>
      <c r="C320" s="34">
        <v>10</v>
      </c>
      <c r="D320" s="27" t="s">
        <v>24</v>
      </c>
    </row>
    <row r="321" spans="1:5" ht="12.75" customHeight="1" x14ac:dyDescent="0.25">
      <c r="A321" s="27"/>
      <c r="B321" s="150" t="s">
        <v>830</v>
      </c>
      <c r="C321" s="34"/>
      <c r="D321" s="27"/>
    </row>
    <row r="322" spans="1:5" x14ac:dyDescent="0.25">
      <c r="A322" s="27"/>
      <c r="B322" s="150" t="s">
        <v>831</v>
      </c>
      <c r="C322" s="34"/>
      <c r="D322" s="27"/>
    </row>
    <row r="323" spans="1:5" x14ac:dyDescent="0.25">
      <c r="A323" s="27"/>
      <c r="B323" s="150"/>
      <c r="C323" s="34"/>
      <c r="D323" s="27"/>
    </row>
    <row r="324" spans="1:5" x14ac:dyDescent="0.25">
      <c r="A324" s="27" t="s">
        <v>237</v>
      </c>
      <c r="B324" s="150" t="s">
        <v>845</v>
      </c>
      <c r="C324" s="34">
        <v>50</v>
      </c>
      <c r="D324" s="27" t="s">
        <v>24</v>
      </c>
    </row>
    <row r="325" spans="1:5" x14ac:dyDescent="0.25">
      <c r="A325" s="27"/>
      <c r="B325" s="150" t="s">
        <v>846</v>
      </c>
      <c r="C325" s="34"/>
      <c r="D325" s="27"/>
    </row>
    <row r="326" spans="1:5" x14ac:dyDescent="0.25">
      <c r="A326" s="27"/>
      <c r="B326" s="150" t="s">
        <v>847</v>
      </c>
      <c r="C326" s="34"/>
      <c r="D326" s="27"/>
    </row>
    <row r="327" spans="1:5" x14ac:dyDescent="0.25">
      <c r="A327" s="27"/>
      <c r="B327" s="150"/>
      <c r="C327" s="34"/>
      <c r="D327" s="27"/>
    </row>
    <row r="328" spans="1:5" x14ac:dyDescent="0.25">
      <c r="A328" s="27" t="s">
        <v>239</v>
      </c>
      <c r="B328" s="150" t="s">
        <v>848</v>
      </c>
      <c r="C328" s="34">
        <v>20</v>
      </c>
      <c r="D328" s="27" t="s">
        <v>24</v>
      </c>
    </row>
    <row r="329" spans="1:5" x14ac:dyDescent="0.25">
      <c r="A329" s="27"/>
      <c r="B329" s="150" t="s">
        <v>849</v>
      </c>
      <c r="C329" s="34"/>
      <c r="D329" s="27"/>
    </row>
    <row r="330" spans="1:5" x14ac:dyDescent="0.25">
      <c r="A330" s="27"/>
      <c r="B330" s="150" t="s">
        <v>847</v>
      </c>
      <c r="C330" s="34"/>
      <c r="D330" s="27"/>
    </row>
    <row r="331" spans="1:5" x14ac:dyDescent="0.25">
      <c r="A331" s="27"/>
      <c r="B331" s="150"/>
      <c r="C331" s="34"/>
      <c r="D331" s="27"/>
    </row>
    <row r="332" spans="1:5" s="47" customFormat="1" x14ac:dyDescent="0.25">
      <c r="A332" s="27" t="s">
        <v>241</v>
      </c>
      <c r="B332" s="150" t="s">
        <v>850</v>
      </c>
      <c r="C332" s="34">
        <v>5</v>
      </c>
      <c r="D332" s="27" t="s">
        <v>24</v>
      </c>
      <c r="E332" s="70"/>
    </row>
    <row r="333" spans="1:5" x14ac:dyDescent="0.25">
      <c r="A333" s="27"/>
      <c r="B333" s="150" t="s">
        <v>851</v>
      </c>
      <c r="C333" s="34"/>
      <c r="D333" s="27"/>
    </row>
    <row r="334" spans="1:5" x14ac:dyDescent="0.25">
      <c r="A334" s="27"/>
      <c r="B334" s="150"/>
      <c r="C334" s="34"/>
      <c r="D334" s="27"/>
    </row>
    <row r="335" spans="1:5" x14ac:dyDescent="0.25">
      <c r="A335" s="27" t="s">
        <v>243</v>
      </c>
      <c r="B335" s="150" t="s">
        <v>852</v>
      </c>
      <c r="C335" s="34">
        <v>1000</v>
      </c>
      <c r="D335" s="27" t="s">
        <v>102</v>
      </c>
    </row>
    <row r="336" spans="1:5" ht="26.4" x14ac:dyDescent="0.25">
      <c r="A336" s="27"/>
      <c r="B336" s="150" t="s">
        <v>853</v>
      </c>
      <c r="C336" s="34"/>
      <c r="D336" s="27"/>
    </row>
    <row r="337" spans="1:5" ht="26.4" x14ac:dyDescent="0.25">
      <c r="A337" s="27"/>
      <c r="B337" s="150" t="s">
        <v>854</v>
      </c>
      <c r="C337" s="34"/>
      <c r="D337" s="27"/>
    </row>
    <row r="338" spans="1:5" x14ac:dyDescent="0.25">
      <c r="A338" s="27"/>
      <c r="B338" s="150"/>
      <c r="C338" s="34"/>
      <c r="D338" s="27"/>
    </row>
    <row r="339" spans="1:5" x14ac:dyDescent="0.25">
      <c r="A339" s="27" t="s">
        <v>245</v>
      </c>
      <c r="B339" s="150" t="s">
        <v>855</v>
      </c>
      <c r="C339" s="34">
        <v>75</v>
      </c>
      <c r="D339" s="27" t="s">
        <v>24</v>
      </c>
    </row>
    <row r="340" spans="1:5" s="47" customFormat="1" x14ac:dyDescent="0.25">
      <c r="A340" s="27"/>
      <c r="B340" s="150"/>
      <c r="C340" s="34"/>
      <c r="D340" s="27"/>
      <c r="E340" s="70"/>
    </row>
    <row r="341" spans="1:5" x14ac:dyDescent="0.25">
      <c r="A341" s="27" t="s">
        <v>247</v>
      </c>
      <c r="B341" s="150" t="s">
        <v>856</v>
      </c>
      <c r="C341" s="34">
        <v>1000</v>
      </c>
      <c r="D341" s="27" t="s">
        <v>102</v>
      </c>
    </row>
    <row r="342" spans="1:5" x14ac:dyDescent="0.25">
      <c r="A342" s="27"/>
      <c r="B342" s="150"/>
      <c r="C342" s="34"/>
      <c r="D342" s="27"/>
    </row>
    <row r="343" spans="1:5" x14ac:dyDescent="0.25">
      <c r="A343" s="27" t="s">
        <v>249</v>
      </c>
      <c r="B343" s="150" t="s">
        <v>857</v>
      </c>
      <c r="C343" s="34">
        <v>5</v>
      </c>
      <c r="D343" s="27" t="s">
        <v>24</v>
      </c>
    </row>
    <row r="344" spans="1:5" x14ac:dyDescent="0.25">
      <c r="A344" s="27"/>
      <c r="B344" s="150" t="s">
        <v>830</v>
      </c>
      <c r="C344" s="34"/>
      <c r="D344" s="27"/>
    </row>
    <row r="345" spans="1:5" x14ac:dyDescent="0.25">
      <c r="A345" s="27"/>
      <c r="B345" s="150" t="s">
        <v>831</v>
      </c>
      <c r="C345" s="34"/>
      <c r="D345" s="27"/>
    </row>
    <row r="346" spans="1:5" x14ac:dyDescent="0.25">
      <c r="A346" s="27"/>
      <c r="B346" s="150"/>
      <c r="C346" s="34"/>
      <c r="D346" s="27"/>
    </row>
    <row r="347" spans="1:5" x14ac:dyDescent="0.25">
      <c r="A347" s="65" t="s">
        <v>251</v>
      </c>
      <c r="B347" s="152" t="s">
        <v>252</v>
      </c>
      <c r="C347" s="31"/>
      <c r="D347" s="66"/>
    </row>
    <row r="348" spans="1:5" x14ac:dyDescent="0.25">
      <c r="A348" s="27"/>
      <c r="B348" s="150"/>
      <c r="C348" s="34"/>
      <c r="D348" s="27"/>
    </row>
    <row r="349" spans="1:5" ht="92.4" x14ac:dyDescent="0.25">
      <c r="A349" s="27"/>
      <c r="B349" s="150" t="s">
        <v>858</v>
      </c>
      <c r="C349" s="34"/>
      <c r="D349" s="27"/>
    </row>
    <row r="350" spans="1:5" x14ac:dyDescent="0.25">
      <c r="A350" s="27"/>
      <c r="B350" s="150"/>
      <c r="C350" s="34"/>
      <c r="D350" s="27"/>
    </row>
    <row r="351" spans="1:5" x14ac:dyDescent="0.25">
      <c r="A351" s="27" t="s">
        <v>253</v>
      </c>
      <c r="B351" s="150" t="s">
        <v>254</v>
      </c>
      <c r="C351" s="34">
        <v>10000</v>
      </c>
      <c r="D351" s="27" t="s">
        <v>46</v>
      </c>
    </row>
    <row r="352" spans="1:5" x14ac:dyDescent="0.25">
      <c r="A352" s="27"/>
      <c r="B352" s="150"/>
      <c r="C352" s="34"/>
      <c r="D352" s="27"/>
    </row>
    <row r="353" spans="1:6" x14ac:dyDescent="0.25">
      <c r="A353" s="65" t="s">
        <v>255</v>
      </c>
      <c r="B353" s="152" t="s">
        <v>256</v>
      </c>
      <c r="C353" s="31"/>
      <c r="D353" s="66"/>
    </row>
    <row r="354" spans="1:6" x14ac:dyDescent="0.25">
      <c r="A354" s="27"/>
      <c r="B354" s="150"/>
      <c r="C354" s="34"/>
      <c r="D354" s="27"/>
    </row>
    <row r="355" spans="1:6" ht="66" x14ac:dyDescent="0.25">
      <c r="A355" s="27"/>
      <c r="B355" s="59" t="s">
        <v>859</v>
      </c>
      <c r="C355" s="34"/>
      <c r="D355" s="27"/>
    </row>
    <row r="356" spans="1:6" s="47" customFormat="1" ht="39.6" x14ac:dyDescent="0.25">
      <c r="A356" s="27"/>
      <c r="B356" s="59" t="s">
        <v>860</v>
      </c>
      <c r="C356" s="34"/>
      <c r="D356" s="27"/>
      <c r="E356" s="38"/>
      <c r="F356" s="29"/>
    </row>
    <row r="357" spans="1:6" ht="26.4" x14ac:dyDescent="0.25">
      <c r="A357" s="27"/>
      <c r="B357" s="59" t="s">
        <v>861</v>
      </c>
      <c r="C357" s="34"/>
      <c r="D357" s="27"/>
    </row>
    <row r="358" spans="1:6" ht="79.2" x14ac:dyDescent="0.25">
      <c r="A358" s="27"/>
      <c r="B358" s="59" t="s">
        <v>862</v>
      </c>
      <c r="C358" s="34"/>
      <c r="D358" s="27"/>
    </row>
    <row r="359" spans="1:6" ht="39.6" x14ac:dyDescent="0.25">
      <c r="A359" s="27"/>
      <c r="B359" s="59" t="s">
        <v>863</v>
      </c>
      <c r="C359" s="34"/>
      <c r="D359" s="27"/>
    </row>
    <row r="360" spans="1:6" x14ac:dyDescent="0.25">
      <c r="A360" s="27"/>
      <c r="B360" s="153"/>
      <c r="C360" s="34"/>
      <c r="D360" s="27"/>
    </row>
    <row r="361" spans="1:6" x14ac:dyDescent="0.25">
      <c r="A361" s="27" t="s">
        <v>257</v>
      </c>
      <c r="B361" s="150" t="s">
        <v>258</v>
      </c>
      <c r="C361" s="34">
        <v>2000</v>
      </c>
      <c r="D361" s="27" t="s">
        <v>864</v>
      </c>
    </row>
    <row r="362" spans="1:6" x14ac:dyDescent="0.25">
      <c r="A362" s="27"/>
      <c r="B362" s="150"/>
      <c r="C362" s="34"/>
      <c r="D362" s="53"/>
    </row>
    <row r="363" spans="1:6" x14ac:dyDescent="0.25">
      <c r="A363" s="27" t="s">
        <v>259</v>
      </c>
      <c r="B363" s="150" t="s">
        <v>260</v>
      </c>
      <c r="C363" s="34">
        <v>1</v>
      </c>
      <c r="D363" s="27" t="s">
        <v>932</v>
      </c>
    </row>
    <row r="364" spans="1:6" x14ac:dyDescent="0.25">
      <c r="A364" s="27"/>
      <c r="B364" s="150"/>
      <c r="C364" s="34"/>
      <c r="D364" s="53"/>
    </row>
    <row r="365" spans="1:6" x14ac:dyDescent="0.25">
      <c r="A365" s="27"/>
      <c r="B365" s="150"/>
      <c r="C365" s="34"/>
      <c r="D365" s="53"/>
    </row>
    <row r="368" spans="1:6" ht="12.75" customHeight="1" x14ac:dyDescent="0.25"/>
    <row r="382" spans="5:6" x14ac:dyDescent="0.25">
      <c r="E382" s="70"/>
      <c r="F382" s="47"/>
    </row>
    <row r="399" spans="1:6" s="47" customFormat="1" ht="25.5" customHeight="1" x14ac:dyDescent="0.25">
      <c r="A399" s="78"/>
      <c r="B399" s="79"/>
      <c r="C399" s="80"/>
      <c r="D399" s="29"/>
      <c r="E399" s="38"/>
      <c r="F399" s="29"/>
    </row>
    <row r="408" ht="51" customHeight="1" x14ac:dyDescent="0.25"/>
    <row r="421" spans="5:6" x14ac:dyDescent="0.25">
      <c r="E421" s="81"/>
      <c r="F421" s="47"/>
    </row>
    <row r="427" spans="5:6" x14ac:dyDescent="0.25">
      <c r="E427" s="81"/>
      <c r="F427" s="47"/>
    </row>
    <row r="435" spans="1:6" x14ac:dyDescent="0.25">
      <c r="E435" s="70"/>
      <c r="F435" s="47"/>
    </row>
    <row r="438" spans="1:6" s="47" customFormat="1" ht="25.5" customHeight="1" x14ac:dyDescent="0.25">
      <c r="A438" s="78"/>
      <c r="B438" s="79"/>
      <c r="C438" s="80"/>
      <c r="D438" s="29"/>
      <c r="E438" s="38"/>
      <c r="F438" s="29"/>
    </row>
    <row r="439" spans="1:6" ht="12.75" customHeight="1" x14ac:dyDescent="0.25"/>
    <row r="440" spans="1:6" ht="12.75" customHeight="1" x14ac:dyDescent="0.25"/>
    <row r="441" spans="1:6" ht="12.75" customHeight="1" x14ac:dyDescent="0.25"/>
    <row r="442" spans="1:6" ht="12.75" customHeight="1" x14ac:dyDescent="0.25"/>
    <row r="444" spans="1:6" s="47" customFormat="1" ht="25.5" customHeight="1" x14ac:dyDescent="0.25">
      <c r="A444" s="78"/>
      <c r="B444" s="79"/>
      <c r="C444" s="80"/>
      <c r="D444" s="29"/>
      <c r="E444" s="38"/>
      <c r="F444" s="29"/>
    </row>
    <row r="445" spans="1:6" ht="12.75" customHeight="1" x14ac:dyDescent="0.25"/>
    <row r="446" spans="1:6" ht="12.75" customHeight="1" x14ac:dyDescent="0.25"/>
    <row r="447" spans="1:6" ht="12.75" customHeight="1" x14ac:dyDescent="0.25">
      <c r="E447" s="70"/>
      <c r="F447" s="47"/>
    </row>
    <row r="448" spans="1:6" ht="12.75" customHeight="1" x14ac:dyDescent="0.25"/>
    <row r="449" spans="1:6" ht="12.75" customHeight="1" x14ac:dyDescent="0.25"/>
    <row r="450" spans="1:6" ht="12.75" customHeight="1" x14ac:dyDescent="0.25"/>
    <row r="451" spans="1:6" ht="12.75" customHeight="1" x14ac:dyDescent="0.25"/>
    <row r="452" spans="1:6" s="47" customFormat="1" ht="25.5" customHeight="1" x14ac:dyDescent="0.25">
      <c r="A452" s="78"/>
      <c r="B452" s="79"/>
      <c r="C452" s="80"/>
      <c r="D452" s="29"/>
      <c r="E452" s="38"/>
      <c r="F452" s="29"/>
    </row>
    <row r="453" spans="1:6" ht="12.75" customHeight="1" x14ac:dyDescent="0.25"/>
    <row r="454" spans="1:6" ht="12.75" customHeight="1" x14ac:dyDescent="0.25"/>
    <row r="455" spans="1:6" ht="12.75" customHeight="1" x14ac:dyDescent="0.25">
      <c r="E455" s="70"/>
      <c r="F455" s="47"/>
    </row>
    <row r="456" spans="1:6" ht="12.75" customHeight="1" x14ac:dyDescent="0.25"/>
    <row r="457" spans="1:6" ht="12.75" customHeight="1" x14ac:dyDescent="0.25"/>
    <row r="458" spans="1:6" ht="12.75" customHeight="1" x14ac:dyDescent="0.25"/>
    <row r="459" spans="1:6" ht="12.75" customHeight="1" x14ac:dyDescent="0.25"/>
    <row r="460" spans="1:6" ht="12.75" customHeight="1" x14ac:dyDescent="0.25"/>
    <row r="461" spans="1:6" ht="12.75" customHeight="1" x14ac:dyDescent="0.25">
      <c r="E461" s="70"/>
      <c r="F461" s="47"/>
    </row>
    <row r="462" spans="1:6" ht="12.75" customHeight="1" x14ac:dyDescent="0.25"/>
    <row r="463" spans="1:6" ht="12.75" customHeight="1" x14ac:dyDescent="0.25"/>
    <row r="464" spans="1:6" s="47" customFormat="1" ht="25.5" customHeight="1" x14ac:dyDescent="0.25">
      <c r="A464" s="78"/>
      <c r="B464" s="79"/>
      <c r="C464" s="80"/>
      <c r="D464" s="29"/>
      <c r="E464" s="38"/>
      <c r="F464" s="29"/>
    </row>
    <row r="465" spans="1:6" x14ac:dyDescent="0.25">
      <c r="E465" s="70"/>
      <c r="F465" s="47"/>
    </row>
    <row r="471" spans="1:6" x14ac:dyDescent="0.25">
      <c r="E471" s="70"/>
      <c r="F471" s="47"/>
    </row>
    <row r="472" spans="1:6" s="47" customFormat="1" ht="25.5" customHeight="1" x14ac:dyDescent="0.25">
      <c r="A472" s="78"/>
      <c r="B472" s="79"/>
      <c r="C472" s="80"/>
      <c r="D472" s="29"/>
      <c r="E472" s="38"/>
      <c r="F472" s="29"/>
    </row>
    <row r="475" spans="1:6" x14ac:dyDescent="0.25">
      <c r="E475" s="70"/>
      <c r="F475" s="47"/>
    </row>
    <row r="478" spans="1:6" s="47" customFormat="1" ht="25.5" customHeight="1" x14ac:dyDescent="0.25">
      <c r="A478" s="78"/>
      <c r="B478" s="79"/>
      <c r="C478" s="80"/>
      <c r="D478" s="29"/>
      <c r="E478" s="38"/>
      <c r="F478" s="29"/>
    </row>
    <row r="481" spans="1:6" x14ac:dyDescent="0.25">
      <c r="E481" s="70"/>
      <c r="F481" s="47"/>
    </row>
    <row r="482" spans="1:6" s="47" customFormat="1" ht="25.5" customHeight="1" x14ac:dyDescent="0.25">
      <c r="A482" s="78"/>
      <c r="B482" s="79"/>
      <c r="C482" s="80"/>
      <c r="D482" s="29"/>
      <c r="E482" s="38"/>
      <c r="F482" s="29"/>
    </row>
    <row r="483" spans="1:6" ht="12.75" customHeight="1" x14ac:dyDescent="0.25">
      <c r="E483" s="82"/>
      <c r="F483" s="82"/>
    </row>
    <row r="484" spans="1:6" ht="12.75" customHeight="1" x14ac:dyDescent="0.25">
      <c r="E484" s="82"/>
      <c r="F484" s="82"/>
    </row>
    <row r="485" spans="1:6" ht="12.75" customHeight="1" x14ac:dyDescent="0.25">
      <c r="E485" s="82"/>
      <c r="F485" s="82"/>
    </row>
    <row r="486" spans="1:6" ht="12.75" customHeight="1" x14ac:dyDescent="0.25">
      <c r="E486" s="82"/>
      <c r="F486" s="82"/>
    </row>
    <row r="487" spans="1:6" ht="12.75" customHeight="1" x14ac:dyDescent="0.25">
      <c r="E487" s="82"/>
      <c r="F487" s="82"/>
    </row>
    <row r="488" spans="1:6" s="47" customFormat="1" ht="25.5" customHeight="1" x14ac:dyDescent="0.25">
      <c r="A488" s="78"/>
      <c r="B488" s="79"/>
      <c r="C488" s="80"/>
      <c r="D488" s="29"/>
      <c r="E488" s="82"/>
      <c r="F488" s="82"/>
    </row>
    <row r="489" spans="1:6" x14ac:dyDescent="0.25">
      <c r="E489" s="82"/>
      <c r="F489" s="82"/>
    </row>
    <row r="490" spans="1:6" x14ac:dyDescent="0.25">
      <c r="E490" s="82"/>
      <c r="F490" s="82"/>
    </row>
    <row r="491" spans="1:6" x14ac:dyDescent="0.25">
      <c r="E491" s="82"/>
      <c r="F491" s="82"/>
    </row>
    <row r="492" spans="1:6" s="47" customFormat="1" ht="25.5" customHeight="1" x14ac:dyDescent="0.25">
      <c r="A492" s="78"/>
      <c r="B492" s="79"/>
      <c r="C492" s="80"/>
      <c r="D492" s="29"/>
      <c r="E492" s="82"/>
      <c r="F492" s="82"/>
    </row>
    <row r="493" spans="1:6" x14ac:dyDescent="0.25">
      <c r="E493" s="82"/>
      <c r="F493" s="82"/>
    </row>
    <row r="494" spans="1:6" x14ac:dyDescent="0.25">
      <c r="E494" s="82"/>
      <c r="F494" s="82"/>
    </row>
    <row r="495" spans="1:6" x14ac:dyDescent="0.25">
      <c r="E495" s="82"/>
      <c r="F495" s="82"/>
    </row>
    <row r="498" spans="1:6" s="47" customFormat="1" ht="25.5" customHeight="1" x14ac:dyDescent="0.25">
      <c r="A498" s="78"/>
      <c r="B498" s="79"/>
      <c r="C498" s="80"/>
      <c r="D498" s="29"/>
      <c r="E498" s="38"/>
      <c r="F498" s="29"/>
    </row>
    <row r="499" spans="1:6" ht="12.75" customHeight="1" x14ac:dyDescent="0.25"/>
    <row r="500" spans="1:6" s="82" customFormat="1" ht="90" customHeight="1" x14ac:dyDescent="0.25">
      <c r="A500" s="78"/>
      <c r="B500" s="79"/>
      <c r="C500" s="80"/>
      <c r="D500" s="29"/>
      <c r="E500" s="38"/>
      <c r="F500" s="29"/>
    </row>
    <row r="501" spans="1:6" s="82" customFormat="1" ht="51" customHeight="1" x14ac:dyDescent="0.25">
      <c r="A501" s="78"/>
      <c r="B501" s="79"/>
      <c r="C501" s="80"/>
      <c r="D501" s="29"/>
      <c r="E501" s="38"/>
      <c r="F501" s="29"/>
    </row>
    <row r="502" spans="1:6" s="82" customFormat="1" x14ac:dyDescent="0.25">
      <c r="A502" s="78"/>
      <c r="B502" s="79"/>
      <c r="C502" s="80"/>
      <c r="D502" s="29"/>
      <c r="E502" s="38"/>
      <c r="F502" s="29"/>
    </row>
    <row r="503" spans="1:6" s="82" customFormat="1" x14ac:dyDescent="0.25">
      <c r="A503" s="78"/>
      <c r="B503" s="79"/>
      <c r="C503" s="80"/>
      <c r="D503" s="29"/>
      <c r="E503" s="38"/>
      <c r="F503" s="29"/>
    </row>
    <row r="504" spans="1:6" s="82" customFormat="1" ht="51" customHeight="1" x14ac:dyDescent="0.25">
      <c r="A504" s="78"/>
      <c r="B504" s="79"/>
      <c r="C504" s="80"/>
      <c r="D504" s="29"/>
      <c r="E504" s="38"/>
      <c r="F504" s="29"/>
    </row>
    <row r="505" spans="1:6" s="82" customFormat="1" x14ac:dyDescent="0.25">
      <c r="A505" s="78"/>
      <c r="B505" s="79"/>
      <c r="C505" s="80"/>
      <c r="D505" s="29"/>
      <c r="E505" s="38"/>
      <c r="F505" s="29"/>
    </row>
    <row r="506" spans="1:6" s="82" customFormat="1" x14ac:dyDescent="0.25">
      <c r="A506" s="78"/>
      <c r="B506" s="79"/>
      <c r="C506" s="80"/>
      <c r="D506" s="29"/>
      <c r="E506" s="38"/>
      <c r="F506" s="29"/>
    </row>
    <row r="507" spans="1:6" s="82" customFormat="1" x14ac:dyDescent="0.25">
      <c r="A507" s="78"/>
      <c r="B507" s="79"/>
      <c r="C507" s="80"/>
      <c r="D507" s="29"/>
      <c r="E507" s="38"/>
      <c r="F507" s="29"/>
    </row>
    <row r="508" spans="1:6" s="82" customFormat="1" ht="50.25" customHeight="1" x14ac:dyDescent="0.25">
      <c r="A508" s="78"/>
      <c r="B508" s="79"/>
      <c r="C508" s="80"/>
      <c r="D508" s="29"/>
      <c r="E508" s="38"/>
      <c r="F508" s="29"/>
    </row>
    <row r="509" spans="1:6" s="82" customFormat="1" x14ac:dyDescent="0.25">
      <c r="A509" s="78"/>
      <c r="B509" s="79"/>
      <c r="C509" s="80"/>
      <c r="D509" s="29"/>
      <c r="E509" s="38"/>
      <c r="F509" s="29"/>
    </row>
    <row r="510" spans="1:6" s="82" customFormat="1" x14ac:dyDescent="0.25">
      <c r="A510" s="78"/>
      <c r="B510" s="79"/>
      <c r="C510" s="80"/>
      <c r="D510" s="29"/>
      <c r="E510" s="38"/>
      <c r="F510" s="29"/>
    </row>
    <row r="511" spans="1:6" s="82" customFormat="1" ht="38.25" customHeight="1" x14ac:dyDescent="0.25">
      <c r="A511" s="78"/>
      <c r="B511" s="79"/>
      <c r="C511" s="80"/>
      <c r="D511" s="29"/>
      <c r="E511" s="38"/>
      <c r="F511" s="29"/>
    </row>
    <row r="512" spans="1:6" s="82" customFormat="1" x14ac:dyDescent="0.25">
      <c r="A512" s="78"/>
      <c r="B512" s="79"/>
      <c r="C512" s="80"/>
      <c r="D512" s="29"/>
      <c r="E512" s="38"/>
      <c r="F512" s="29"/>
    </row>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spans="5:6" ht="12.75" customHeight="1" x14ac:dyDescent="0.25"/>
    <row r="530" spans="5:6" ht="12.75" customHeight="1" x14ac:dyDescent="0.25"/>
    <row r="531" spans="5:6" ht="12.75" customHeight="1" x14ac:dyDescent="0.25"/>
    <row r="532" spans="5:6" ht="12.75" customHeight="1" x14ac:dyDescent="0.25"/>
    <row r="533" spans="5:6" ht="12.75" customHeight="1" x14ac:dyDescent="0.25"/>
    <row r="535" spans="5:6" ht="12.75" customHeight="1" x14ac:dyDescent="0.25"/>
    <row r="536" spans="5:6" ht="12.75" customHeight="1" x14ac:dyDescent="0.25"/>
    <row r="538" spans="5:6" ht="12.75" customHeight="1" x14ac:dyDescent="0.25"/>
    <row r="539" spans="5:6" x14ac:dyDescent="0.25">
      <c r="E539" s="81"/>
      <c r="F539" s="47"/>
    </row>
    <row r="549" spans="1:6" x14ac:dyDescent="0.25">
      <c r="E549" s="81"/>
      <c r="F549" s="47"/>
    </row>
    <row r="554" spans="1:6" ht="25.5" customHeight="1" x14ac:dyDescent="0.25"/>
    <row r="556" spans="1:6" s="47" customFormat="1" ht="25.5" customHeight="1" x14ac:dyDescent="0.25">
      <c r="A556" s="78"/>
      <c r="B556" s="79"/>
      <c r="C556" s="80"/>
      <c r="D556" s="29"/>
      <c r="E556" s="38"/>
      <c r="F556" s="29"/>
    </row>
    <row r="558" spans="1:6" ht="103.5" customHeight="1" x14ac:dyDescent="0.25"/>
    <row r="561" spans="1:6" ht="114.75" customHeight="1" x14ac:dyDescent="0.25"/>
    <row r="562" spans="1:6" ht="116.25" customHeight="1" x14ac:dyDescent="0.25"/>
    <row r="565" spans="1:6" ht="12.75" customHeight="1" x14ac:dyDescent="0.25"/>
    <row r="566" spans="1:6" s="47" customFormat="1" ht="12.75" customHeight="1" x14ac:dyDescent="0.25">
      <c r="A566" s="78"/>
      <c r="B566" s="79"/>
      <c r="C566" s="80"/>
      <c r="D566" s="29"/>
      <c r="E566" s="38"/>
      <c r="F566" s="29"/>
    </row>
    <row r="567" spans="1:6" ht="12.75" customHeight="1" x14ac:dyDescent="0.25"/>
  </sheetData>
  <mergeCells count="4">
    <mergeCell ref="B13:D13"/>
    <mergeCell ref="B25:D25"/>
    <mergeCell ref="B1:C1"/>
    <mergeCell ref="B4:C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19"/>
  <sheetViews>
    <sheetView zoomScale="85" zoomScaleNormal="85" workbookViewId="0">
      <selection activeCell="D26" sqref="D26"/>
    </sheetView>
  </sheetViews>
  <sheetFormatPr defaultColWidth="9.109375" defaultRowHeight="13.8" x14ac:dyDescent="0.3"/>
  <cols>
    <col min="1" max="2" width="9.109375" style="141"/>
    <col min="3" max="3" width="18.88671875" style="141" customWidth="1"/>
    <col min="4" max="4" width="11.44140625" style="141" customWidth="1"/>
    <col min="5" max="5" width="17" style="141" customWidth="1"/>
    <col min="6" max="258" width="9.109375" style="141"/>
    <col min="259" max="259" width="18.88671875" style="141" customWidth="1"/>
    <col min="260" max="260" width="11.44140625" style="141" customWidth="1"/>
    <col min="261" max="261" width="17" style="141" customWidth="1"/>
    <col min="262" max="514" width="9.109375" style="141"/>
    <col min="515" max="515" width="18.88671875" style="141" customWidth="1"/>
    <col min="516" max="516" width="11.44140625" style="141" customWidth="1"/>
    <col min="517" max="517" width="17" style="141" customWidth="1"/>
    <col min="518" max="770" width="9.109375" style="141"/>
    <col min="771" max="771" width="18.88671875" style="141" customWidth="1"/>
    <col min="772" max="772" width="11.44140625" style="141" customWidth="1"/>
    <col min="773" max="773" width="17" style="141" customWidth="1"/>
    <col min="774" max="1026" width="9.109375" style="141"/>
    <col min="1027" max="1027" width="18.88671875" style="141" customWidth="1"/>
    <col min="1028" max="1028" width="11.44140625" style="141" customWidth="1"/>
    <col min="1029" max="1029" width="17" style="141" customWidth="1"/>
    <col min="1030" max="1282" width="9.109375" style="141"/>
    <col min="1283" max="1283" width="18.88671875" style="141" customWidth="1"/>
    <col min="1284" max="1284" width="11.44140625" style="141" customWidth="1"/>
    <col min="1285" max="1285" width="17" style="141" customWidth="1"/>
    <col min="1286" max="1538" width="9.109375" style="141"/>
    <col min="1539" max="1539" width="18.88671875" style="141" customWidth="1"/>
    <col min="1540" max="1540" width="11.44140625" style="141" customWidth="1"/>
    <col min="1541" max="1541" width="17" style="141" customWidth="1"/>
    <col min="1542" max="1794" width="9.109375" style="141"/>
    <col min="1795" max="1795" width="18.88671875" style="141" customWidth="1"/>
    <col min="1796" max="1796" width="11.44140625" style="141" customWidth="1"/>
    <col min="1797" max="1797" width="17" style="141" customWidth="1"/>
    <col min="1798" max="2050" width="9.109375" style="141"/>
    <col min="2051" max="2051" width="18.88671875" style="141" customWidth="1"/>
    <col min="2052" max="2052" width="11.44140625" style="141" customWidth="1"/>
    <col min="2053" max="2053" width="17" style="141" customWidth="1"/>
    <col min="2054" max="2306" width="9.109375" style="141"/>
    <col min="2307" max="2307" width="18.88671875" style="141" customWidth="1"/>
    <col min="2308" max="2308" width="11.44140625" style="141" customWidth="1"/>
    <col min="2309" max="2309" width="17" style="141" customWidth="1"/>
    <col min="2310" max="2562" width="9.109375" style="141"/>
    <col min="2563" max="2563" width="18.88671875" style="141" customWidth="1"/>
    <col min="2564" max="2564" width="11.44140625" style="141" customWidth="1"/>
    <col min="2565" max="2565" width="17" style="141" customWidth="1"/>
    <col min="2566" max="2818" width="9.109375" style="141"/>
    <col min="2819" max="2819" width="18.88671875" style="141" customWidth="1"/>
    <col min="2820" max="2820" width="11.44140625" style="141" customWidth="1"/>
    <col min="2821" max="2821" width="17" style="141" customWidth="1"/>
    <col min="2822" max="3074" width="9.109375" style="141"/>
    <col min="3075" max="3075" width="18.88671875" style="141" customWidth="1"/>
    <col min="3076" max="3076" width="11.44140625" style="141" customWidth="1"/>
    <col min="3077" max="3077" width="17" style="141" customWidth="1"/>
    <col min="3078" max="3330" width="9.109375" style="141"/>
    <col min="3331" max="3331" width="18.88671875" style="141" customWidth="1"/>
    <col min="3332" max="3332" width="11.44140625" style="141" customWidth="1"/>
    <col min="3333" max="3333" width="17" style="141" customWidth="1"/>
    <col min="3334" max="3586" width="9.109375" style="141"/>
    <col min="3587" max="3587" width="18.88671875" style="141" customWidth="1"/>
    <col min="3588" max="3588" width="11.44140625" style="141" customWidth="1"/>
    <col min="3589" max="3589" width="17" style="141" customWidth="1"/>
    <col min="3590" max="3842" width="9.109375" style="141"/>
    <col min="3843" max="3843" width="18.88671875" style="141" customWidth="1"/>
    <col min="3844" max="3844" width="11.44140625" style="141" customWidth="1"/>
    <col min="3845" max="3845" width="17" style="141" customWidth="1"/>
    <col min="3846" max="4098" width="9.109375" style="141"/>
    <col min="4099" max="4099" width="18.88671875" style="141" customWidth="1"/>
    <col min="4100" max="4100" width="11.44140625" style="141" customWidth="1"/>
    <col min="4101" max="4101" width="17" style="141" customWidth="1"/>
    <col min="4102" max="4354" width="9.109375" style="141"/>
    <col min="4355" max="4355" width="18.88671875" style="141" customWidth="1"/>
    <col min="4356" max="4356" width="11.44140625" style="141" customWidth="1"/>
    <col min="4357" max="4357" width="17" style="141" customWidth="1"/>
    <col min="4358" max="4610" width="9.109375" style="141"/>
    <col min="4611" max="4611" width="18.88671875" style="141" customWidth="1"/>
    <col min="4612" max="4612" width="11.44140625" style="141" customWidth="1"/>
    <col min="4613" max="4613" width="17" style="141" customWidth="1"/>
    <col min="4614" max="4866" width="9.109375" style="141"/>
    <col min="4867" max="4867" width="18.88671875" style="141" customWidth="1"/>
    <col min="4868" max="4868" width="11.44140625" style="141" customWidth="1"/>
    <col min="4869" max="4869" width="17" style="141" customWidth="1"/>
    <col min="4870" max="5122" width="9.109375" style="141"/>
    <col min="5123" max="5123" width="18.88671875" style="141" customWidth="1"/>
    <col min="5124" max="5124" width="11.44140625" style="141" customWidth="1"/>
    <col min="5125" max="5125" width="17" style="141" customWidth="1"/>
    <col min="5126" max="5378" width="9.109375" style="141"/>
    <col min="5379" max="5379" width="18.88671875" style="141" customWidth="1"/>
    <col min="5380" max="5380" width="11.44140625" style="141" customWidth="1"/>
    <col min="5381" max="5381" width="17" style="141" customWidth="1"/>
    <col min="5382" max="5634" width="9.109375" style="141"/>
    <col min="5635" max="5635" width="18.88671875" style="141" customWidth="1"/>
    <col min="5636" max="5636" width="11.44140625" style="141" customWidth="1"/>
    <col min="5637" max="5637" width="17" style="141" customWidth="1"/>
    <col min="5638" max="5890" width="9.109375" style="141"/>
    <col min="5891" max="5891" width="18.88671875" style="141" customWidth="1"/>
    <col min="5892" max="5892" width="11.44140625" style="141" customWidth="1"/>
    <col min="5893" max="5893" width="17" style="141" customWidth="1"/>
    <col min="5894" max="6146" width="9.109375" style="141"/>
    <col min="6147" max="6147" width="18.88671875" style="141" customWidth="1"/>
    <col min="6148" max="6148" width="11.44140625" style="141" customWidth="1"/>
    <col min="6149" max="6149" width="17" style="141" customWidth="1"/>
    <col min="6150" max="6402" width="9.109375" style="141"/>
    <col min="6403" max="6403" width="18.88671875" style="141" customWidth="1"/>
    <col min="6404" max="6404" width="11.44140625" style="141" customWidth="1"/>
    <col min="6405" max="6405" width="17" style="141" customWidth="1"/>
    <col min="6406" max="6658" width="9.109375" style="141"/>
    <col min="6659" max="6659" width="18.88671875" style="141" customWidth="1"/>
    <col min="6660" max="6660" width="11.44140625" style="141" customWidth="1"/>
    <col min="6661" max="6661" width="17" style="141" customWidth="1"/>
    <col min="6662" max="6914" width="9.109375" style="141"/>
    <col min="6915" max="6915" width="18.88671875" style="141" customWidth="1"/>
    <col min="6916" max="6916" width="11.44140625" style="141" customWidth="1"/>
    <col min="6917" max="6917" width="17" style="141" customWidth="1"/>
    <col min="6918" max="7170" width="9.109375" style="141"/>
    <col min="7171" max="7171" width="18.88671875" style="141" customWidth="1"/>
    <col min="7172" max="7172" width="11.44140625" style="141" customWidth="1"/>
    <col min="7173" max="7173" width="17" style="141" customWidth="1"/>
    <col min="7174" max="7426" width="9.109375" style="141"/>
    <col min="7427" max="7427" width="18.88671875" style="141" customWidth="1"/>
    <col min="7428" max="7428" width="11.44140625" style="141" customWidth="1"/>
    <col min="7429" max="7429" width="17" style="141" customWidth="1"/>
    <col min="7430" max="7682" width="9.109375" style="141"/>
    <col min="7683" max="7683" width="18.88671875" style="141" customWidth="1"/>
    <col min="7684" max="7684" width="11.44140625" style="141" customWidth="1"/>
    <col min="7685" max="7685" width="17" style="141" customWidth="1"/>
    <col min="7686" max="7938" width="9.109375" style="141"/>
    <col min="7939" max="7939" width="18.88671875" style="141" customWidth="1"/>
    <col min="7940" max="7940" width="11.44140625" style="141" customWidth="1"/>
    <col min="7941" max="7941" width="17" style="141" customWidth="1"/>
    <col min="7942" max="8194" width="9.109375" style="141"/>
    <col min="8195" max="8195" width="18.88671875" style="141" customWidth="1"/>
    <col min="8196" max="8196" width="11.44140625" style="141" customWidth="1"/>
    <col min="8197" max="8197" width="17" style="141" customWidth="1"/>
    <col min="8198" max="8450" width="9.109375" style="141"/>
    <col min="8451" max="8451" width="18.88671875" style="141" customWidth="1"/>
    <col min="8452" max="8452" width="11.44140625" style="141" customWidth="1"/>
    <col min="8453" max="8453" width="17" style="141" customWidth="1"/>
    <col min="8454" max="8706" width="9.109375" style="141"/>
    <col min="8707" max="8707" width="18.88671875" style="141" customWidth="1"/>
    <col min="8708" max="8708" width="11.44140625" style="141" customWidth="1"/>
    <col min="8709" max="8709" width="17" style="141" customWidth="1"/>
    <col min="8710" max="8962" width="9.109375" style="141"/>
    <col min="8963" max="8963" width="18.88671875" style="141" customWidth="1"/>
    <col min="8964" max="8964" width="11.44140625" style="141" customWidth="1"/>
    <col min="8965" max="8965" width="17" style="141" customWidth="1"/>
    <col min="8966" max="9218" width="9.109375" style="141"/>
    <col min="9219" max="9219" width="18.88671875" style="141" customWidth="1"/>
    <col min="9220" max="9220" width="11.44140625" style="141" customWidth="1"/>
    <col min="9221" max="9221" width="17" style="141" customWidth="1"/>
    <col min="9222" max="9474" width="9.109375" style="141"/>
    <col min="9475" max="9475" width="18.88671875" style="141" customWidth="1"/>
    <col min="9476" max="9476" width="11.44140625" style="141" customWidth="1"/>
    <col min="9477" max="9477" width="17" style="141" customWidth="1"/>
    <col min="9478" max="9730" width="9.109375" style="141"/>
    <col min="9731" max="9731" width="18.88671875" style="141" customWidth="1"/>
    <col min="9732" max="9732" width="11.44140625" style="141" customWidth="1"/>
    <col min="9733" max="9733" width="17" style="141" customWidth="1"/>
    <col min="9734" max="9986" width="9.109375" style="141"/>
    <col min="9987" max="9987" width="18.88671875" style="141" customWidth="1"/>
    <col min="9988" max="9988" width="11.44140625" style="141" customWidth="1"/>
    <col min="9989" max="9989" width="17" style="141" customWidth="1"/>
    <col min="9990" max="10242" width="9.109375" style="141"/>
    <col min="10243" max="10243" width="18.88671875" style="141" customWidth="1"/>
    <col min="10244" max="10244" width="11.44140625" style="141" customWidth="1"/>
    <col min="10245" max="10245" width="17" style="141" customWidth="1"/>
    <col min="10246" max="10498" width="9.109375" style="141"/>
    <col min="10499" max="10499" width="18.88671875" style="141" customWidth="1"/>
    <col min="10500" max="10500" width="11.44140625" style="141" customWidth="1"/>
    <col min="10501" max="10501" width="17" style="141" customWidth="1"/>
    <col min="10502" max="10754" width="9.109375" style="141"/>
    <col min="10755" max="10755" width="18.88671875" style="141" customWidth="1"/>
    <col min="10756" max="10756" width="11.44140625" style="141" customWidth="1"/>
    <col min="10757" max="10757" width="17" style="141" customWidth="1"/>
    <col min="10758" max="11010" width="9.109375" style="141"/>
    <col min="11011" max="11011" width="18.88671875" style="141" customWidth="1"/>
    <col min="11012" max="11012" width="11.44140625" style="141" customWidth="1"/>
    <col min="11013" max="11013" width="17" style="141" customWidth="1"/>
    <col min="11014" max="11266" width="9.109375" style="141"/>
    <col min="11267" max="11267" width="18.88671875" style="141" customWidth="1"/>
    <col min="11268" max="11268" width="11.44140625" style="141" customWidth="1"/>
    <col min="11269" max="11269" width="17" style="141" customWidth="1"/>
    <col min="11270" max="11522" width="9.109375" style="141"/>
    <col min="11523" max="11523" width="18.88671875" style="141" customWidth="1"/>
    <col min="11524" max="11524" width="11.44140625" style="141" customWidth="1"/>
    <col min="11525" max="11525" width="17" style="141" customWidth="1"/>
    <col min="11526" max="11778" width="9.109375" style="141"/>
    <col min="11779" max="11779" width="18.88671875" style="141" customWidth="1"/>
    <col min="11780" max="11780" width="11.44140625" style="141" customWidth="1"/>
    <col min="11781" max="11781" width="17" style="141" customWidth="1"/>
    <col min="11782" max="12034" width="9.109375" style="141"/>
    <col min="12035" max="12035" width="18.88671875" style="141" customWidth="1"/>
    <col min="12036" max="12036" width="11.44140625" style="141" customWidth="1"/>
    <col min="12037" max="12037" width="17" style="141" customWidth="1"/>
    <col min="12038" max="12290" width="9.109375" style="141"/>
    <col min="12291" max="12291" width="18.88671875" style="141" customWidth="1"/>
    <col min="12292" max="12292" width="11.44140625" style="141" customWidth="1"/>
    <col min="12293" max="12293" width="17" style="141" customWidth="1"/>
    <col min="12294" max="12546" width="9.109375" style="141"/>
    <col min="12547" max="12547" width="18.88671875" style="141" customWidth="1"/>
    <col min="12548" max="12548" width="11.44140625" style="141" customWidth="1"/>
    <col min="12549" max="12549" width="17" style="141" customWidth="1"/>
    <col min="12550" max="12802" width="9.109375" style="141"/>
    <col min="12803" max="12803" width="18.88671875" style="141" customWidth="1"/>
    <col min="12804" max="12804" width="11.44140625" style="141" customWidth="1"/>
    <col min="12805" max="12805" width="17" style="141" customWidth="1"/>
    <col min="12806" max="13058" width="9.109375" style="141"/>
    <col min="13059" max="13059" width="18.88671875" style="141" customWidth="1"/>
    <col min="13060" max="13060" width="11.44140625" style="141" customWidth="1"/>
    <col min="13061" max="13061" width="17" style="141" customWidth="1"/>
    <col min="13062" max="13314" width="9.109375" style="141"/>
    <col min="13315" max="13315" width="18.88671875" style="141" customWidth="1"/>
    <col min="13316" max="13316" width="11.44140625" style="141" customWidth="1"/>
    <col min="13317" max="13317" width="17" style="141" customWidth="1"/>
    <col min="13318" max="13570" width="9.109375" style="141"/>
    <col min="13571" max="13571" width="18.88671875" style="141" customWidth="1"/>
    <col min="13572" max="13572" width="11.44140625" style="141" customWidth="1"/>
    <col min="13573" max="13573" width="17" style="141" customWidth="1"/>
    <col min="13574" max="13826" width="9.109375" style="141"/>
    <col min="13827" max="13827" width="18.88671875" style="141" customWidth="1"/>
    <col min="13828" max="13828" width="11.44140625" style="141" customWidth="1"/>
    <col min="13829" max="13829" width="17" style="141" customWidth="1"/>
    <col min="13830" max="14082" width="9.109375" style="141"/>
    <col min="14083" max="14083" width="18.88671875" style="141" customWidth="1"/>
    <col min="14084" max="14084" width="11.44140625" style="141" customWidth="1"/>
    <col min="14085" max="14085" width="17" style="141" customWidth="1"/>
    <col min="14086" max="14338" width="9.109375" style="141"/>
    <col min="14339" max="14339" width="18.88671875" style="141" customWidth="1"/>
    <col min="14340" max="14340" width="11.44140625" style="141" customWidth="1"/>
    <col min="14341" max="14341" width="17" style="141" customWidth="1"/>
    <col min="14342" max="14594" width="9.109375" style="141"/>
    <col min="14595" max="14595" width="18.88671875" style="141" customWidth="1"/>
    <col min="14596" max="14596" width="11.44140625" style="141" customWidth="1"/>
    <col min="14597" max="14597" width="17" style="141" customWidth="1"/>
    <col min="14598" max="14850" width="9.109375" style="141"/>
    <col min="14851" max="14851" width="18.88671875" style="141" customWidth="1"/>
    <col min="14852" max="14852" width="11.44140625" style="141" customWidth="1"/>
    <col min="14853" max="14853" width="17" style="141" customWidth="1"/>
    <col min="14854" max="15106" width="9.109375" style="141"/>
    <col min="15107" max="15107" width="18.88671875" style="141" customWidth="1"/>
    <col min="15108" max="15108" width="11.44140625" style="141" customWidth="1"/>
    <col min="15109" max="15109" width="17" style="141" customWidth="1"/>
    <col min="15110" max="15362" width="9.109375" style="141"/>
    <col min="15363" max="15363" width="18.88671875" style="141" customWidth="1"/>
    <col min="15364" max="15364" width="11.44140625" style="141" customWidth="1"/>
    <col min="15365" max="15365" width="17" style="141" customWidth="1"/>
    <col min="15366" max="15618" width="9.109375" style="141"/>
    <col min="15619" max="15619" width="18.88671875" style="141" customWidth="1"/>
    <col min="15620" max="15620" width="11.44140625" style="141" customWidth="1"/>
    <col min="15621" max="15621" width="17" style="141" customWidth="1"/>
    <col min="15622" max="15874" width="9.109375" style="141"/>
    <col min="15875" max="15875" width="18.88671875" style="141" customWidth="1"/>
    <col min="15876" max="15876" width="11.44140625" style="141" customWidth="1"/>
    <col min="15877" max="15877" width="17" style="141" customWidth="1"/>
    <col min="15878" max="16130" width="9.109375" style="141"/>
    <col min="16131" max="16131" width="18.88671875" style="141" customWidth="1"/>
    <col min="16132" max="16132" width="11.44140625" style="141" customWidth="1"/>
    <col min="16133" max="16133" width="17" style="141" customWidth="1"/>
    <col min="16134" max="16384" width="9.109375" style="141"/>
  </cols>
  <sheetData>
    <row r="3" spans="2:10" s="142" customFormat="1" ht="24.6" x14ac:dyDescent="0.3">
      <c r="B3" s="143"/>
      <c r="C3" s="186" t="s">
        <v>865</v>
      </c>
      <c r="D3" s="186"/>
      <c r="E3" s="186"/>
      <c r="F3" s="143"/>
      <c r="G3" s="143"/>
      <c r="H3" s="143"/>
      <c r="I3" s="143"/>
      <c r="J3" s="143"/>
    </row>
    <row r="6" spans="2:10" ht="15.6" x14ac:dyDescent="0.3">
      <c r="C6" s="144" t="s">
        <v>931</v>
      </c>
      <c r="D6" s="144"/>
      <c r="E6" s="144" t="s">
        <v>262</v>
      </c>
    </row>
    <row r="7" spans="2:10" x14ac:dyDescent="0.3">
      <c r="C7" s="145"/>
      <c r="D7" s="145"/>
      <c r="E7" s="145"/>
    </row>
    <row r="8" spans="2:10" ht="15.6" x14ac:dyDescent="0.3">
      <c r="C8" s="146" t="s">
        <v>866</v>
      </c>
      <c r="D8" s="145"/>
      <c r="E8" s="147">
        <f>SUM('Base Year '!G249:G250)</f>
        <v>250000</v>
      </c>
      <c r="F8" s="1"/>
      <c r="G8" s="2"/>
    </row>
    <row r="9" spans="2:10" ht="15.6" x14ac:dyDescent="0.3">
      <c r="C9" s="145"/>
      <c r="D9" s="145"/>
      <c r="E9" s="147"/>
      <c r="F9" s="1"/>
      <c r="G9" s="2"/>
    </row>
    <row r="10" spans="2:10" ht="15.6" x14ac:dyDescent="0.3">
      <c r="C10" s="146" t="s">
        <v>867</v>
      </c>
      <c r="D10" s="145"/>
      <c r="E10" s="147">
        <f>SUM('Option One '!G248:G249)</f>
        <v>250000</v>
      </c>
      <c r="F10" s="1"/>
      <c r="G10" s="2"/>
    </row>
    <row r="11" spans="2:10" ht="15.6" x14ac:dyDescent="0.3">
      <c r="C11" s="145"/>
      <c r="D11" s="145"/>
      <c r="E11" s="147"/>
      <c r="F11" s="1"/>
      <c r="G11" s="2"/>
    </row>
    <row r="12" spans="2:10" x14ac:dyDescent="0.3">
      <c r="C12" s="146" t="s">
        <v>868</v>
      </c>
      <c r="D12" s="145"/>
      <c r="E12" s="147">
        <f>SUM('Option Two '!G248:G249)</f>
        <v>250000</v>
      </c>
    </row>
    <row r="13" spans="2:10" x14ac:dyDescent="0.3">
      <c r="C13" s="145"/>
      <c r="D13" s="145"/>
      <c r="E13" s="147"/>
    </row>
    <row r="14" spans="2:10" x14ac:dyDescent="0.3">
      <c r="C14" s="145" t="s">
        <v>869</v>
      </c>
      <c r="D14" s="145"/>
      <c r="E14" s="147">
        <f>SUM('Option Three'!G248:G249)</f>
        <v>250000</v>
      </c>
    </row>
    <row r="15" spans="2:10" x14ac:dyDescent="0.3">
      <c r="C15" s="145"/>
      <c r="D15" s="145"/>
      <c r="E15" s="145"/>
    </row>
    <row r="16" spans="2:10" x14ac:dyDescent="0.3">
      <c r="C16" s="146" t="s">
        <v>870</v>
      </c>
      <c r="D16" s="145"/>
      <c r="E16" s="148">
        <f>SUM('Option Four'!G248:G249)</f>
        <v>250000</v>
      </c>
    </row>
    <row r="17" spans="3:5" x14ac:dyDescent="0.3">
      <c r="C17" s="145"/>
      <c r="D17" s="145"/>
      <c r="E17" s="147"/>
    </row>
    <row r="18" spans="3:5" x14ac:dyDescent="0.3">
      <c r="C18" s="145"/>
      <c r="D18" s="145"/>
      <c r="E18" s="147"/>
    </row>
    <row r="19" spans="3:5" x14ac:dyDescent="0.3">
      <c r="C19" s="146" t="s">
        <v>871</v>
      </c>
      <c r="D19" s="145"/>
      <c r="E19" s="147">
        <f>SUM(E8:E16)</f>
        <v>1250000</v>
      </c>
    </row>
  </sheetData>
  <mergeCells count="1">
    <mergeCell ref="C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69"/>
  <sheetViews>
    <sheetView topLeftCell="A222" zoomScale="85" zoomScaleNormal="85" workbookViewId="0">
      <selection activeCell="B246" sqref="B246"/>
    </sheetView>
  </sheetViews>
  <sheetFormatPr defaultColWidth="9.109375" defaultRowHeight="13.2" x14ac:dyDescent="0.25"/>
  <cols>
    <col min="1" max="1" width="8.33203125" style="167" bestFit="1" customWidth="1"/>
    <col min="2" max="2" width="54.88671875" style="6" customWidth="1"/>
    <col min="3" max="3" width="8.88671875" style="6" bestFit="1" customWidth="1"/>
    <col min="4" max="4" width="7.88671875" style="167" bestFit="1" customWidth="1"/>
    <col min="5" max="5" width="2.44140625" style="6" customWidth="1"/>
    <col min="6" max="6" width="11.6640625" style="168" bestFit="1" customWidth="1"/>
    <col min="7" max="7" width="14.109375" style="168" bestFit="1" customWidth="1"/>
    <col min="8" max="8" width="9.109375" style="6"/>
    <col min="9" max="9" width="19.109375" style="6" customWidth="1"/>
    <col min="10" max="11" width="9.109375" style="6" customWidth="1"/>
    <col min="12" max="12" width="2" style="6" bestFit="1" customWidth="1"/>
    <col min="13" max="13" width="6.88671875" style="6" bestFit="1" customWidth="1"/>
    <col min="14" max="14" width="9.109375" style="6"/>
    <col min="15" max="15" width="5.5546875" style="6" bestFit="1" customWidth="1"/>
    <col min="16" max="16384" width="9.109375" style="6"/>
  </cols>
  <sheetData>
    <row r="1" spans="1:16" ht="12.75" customHeight="1" x14ac:dyDescent="0.25">
      <c r="A1" s="198" t="s">
        <v>879</v>
      </c>
      <c r="B1" s="199"/>
      <c r="C1" s="199"/>
      <c r="D1" s="199"/>
      <c r="E1" s="199"/>
      <c r="F1" s="199"/>
      <c r="G1" s="200"/>
      <c r="L1" s="8"/>
      <c r="M1" s="187"/>
      <c r="N1" s="188"/>
      <c r="O1" s="83"/>
      <c r="P1" s="84"/>
    </row>
    <row r="2" spans="1:16" ht="46.95" customHeight="1" x14ac:dyDescent="0.25">
      <c r="A2" s="198" t="s">
        <v>882</v>
      </c>
      <c r="B2" s="199"/>
      <c r="C2" s="199"/>
      <c r="D2" s="199"/>
      <c r="E2" s="199"/>
      <c r="F2" s="199"/>
      <c r="G2" s="200"/>
      <c r="L2" s="139"/>
      <c r="M2" s="189"/>
      <c r="N2" s="189"/>
      <c r="O2" s="139"/>
      <c r="P2" s="84"/>
    </row>
    <row r="3" spans="1:16" x14ac:dyDescent="0.25">
      <c r="A3" s="191" t="s">
        <v>2</v>
      </c>
      <c r="B3" s="192"/>
      <c r="C3" s="192"/>
      <c r="D3" s="192"/>
      <c r="E3" s="192"/>
      <c r="F3" s="192"/>
      <c r="G3" s="193"/>
      <c r="L3" s="85"/>
      <c r="M3" s="86"/>
      <c r="N3" s="87"/>
      <c r="O3" s="88"/>
      <c r="P3" s="11"/>
    </row>
    <row r="4" spans="1:16" x14ac:dyDescent="0.25">
      <c r="A4" s="191" t="s">
        <v>3</v>
      </c>
      <c r="B4" s="192"/>
      <c r="C4" s="192"/>
      <c r="D4" s="192"/>
      <c r="E4" s="192"/>
      <c r="F4" s="192"/>
      <c r="G4" s="193"/>
      <c r="L4" s="89"/>
      <c r="M4" s="196"/>
      <c r="N4" s="196"/>
      <c r="O4" s="196"/>
      <c r="P4" s="136"/>
    </row>
    <row r="5" spans="1:16" x14ac:dyDescent="0.25">
      <c r="A5" s="135"/>
      <c r="B5" s="135"/>
      <c r="C5" s="135"/>
      <c r="D5" s="135"/>
      <c r="E5" s="135"/>
      <c r="F5" s="154"/>
      <c r="G5" s="154"/>
      <c r="L5" s="89"/>
      <c r="M5" s="136"/>
      <c r="N5" s="136"/>
      <c r="O5" s="136"/>
      <c r="P5" s="136"/>
    </row>
    <row r="6" spans="1:16" x14ac:dyDescent="0.25">
      <c r="A6" s="191" t="s">
        <v>4</v>
      </c>
      <c r="B6" s="193"/>
      <c r="C6" s="90"/>
      <c r="D6" s="135"/>
      <c r="E6" s="90"/>
      <c r="F6" s="155"/>
      <c r="G6" s="155"/>
      <c r="L6" s="8"/>
      <c r="M6" s="91"/>
      <c r="N6" s="92"/>
      <c r="O6" s="91"/>
      <c r="P6" s="86"/>
    </row>
    <row r="7" spans="1:16" x14ac:dyDescent="0.25">
      <c r="A7" s="135"/>
      <c r="B7" s="134"/>
      <c r="C7" s="90"/>
      <c r="D7" s="135"/>
      <c r="E7" s="90"/>
      <c r="F7" s="155"/>
      <c r="G7" s="155"/>
      <c r="L7" s="8"/>
      <c r="M7" s="93"/>
      <c r="N7" s="10"/>
      <c r="O7" s="8"/>
      <c r="P7" s="11"/>
    </row>
    <row r="8" spans="1:16" ht="31.5" customHeight="1" x14ac:dyDescent="0.25">
      <c r="A8" s="94" t="s">
        <v>5</v>
      </c>
      <c r="B8" s="138" t="s">
        <v>6</v>
      </c>
      <c r="C8" s="95" t="s">
        <v>7</v>
      </c>
      <c r="D8" s="135" t="s">
        <v>8</v>
      </c>
      <c r="E8" s="96"/>
      <c r="F8" s="156" t="s">
        <v>9</v>
      </c>
      <c r="G8" s="156" t="s">
        <v>872</v>
      </c>
      <c r="I8" s="97"/>
      <c r="L8" s="8"/>
      <c r="M8" s="9"/>
      <c r="N8" s="10"/>
      <c r="O8" s="8"/>
      <c r="P8" s="11"/>
    </row>
    <row r="9" spans="1:16" x14ac:dyDescent="0.25">
      <c r="A9" s="135"/>
      <c r="B9" s="98"/>
      <c r="C9" s="135"/>
      <c r="D9" s="135"/>
      <c r="E9" s="99"/>
      <c r="F9" s="155"/>
      <c r="G9" s="157"/>
      <c r="I9" s="7"/>
      <c r="L9" s="8"/>
      <c r="M9" s="9"/>
      <c r="N9" s="10"/>
      <c r="O9" s="8"/>
      <c r="P9" s="11"/>
    </row>
    <row r="10" spans="1:16" ht="26.1" customHeight="1" x14ac:dyDescent="0.25">
      <c r="A10" s="135" t="s">
        <v>10</v>
      </c>
      <c r="B10" s="100" t="s">
        <v>11</v>
      </c>
      <c r="C10" s="135"/>
      <c r="D10" s="101"/>
      <c r="E10" s="99"/>
      <c r="F10" s="155"/>
      <c r="G10" s="157"/>
      <c r="L10" s="8"/>
      <c r="M10" s="9"/>
      <c r="N10" s="10"/>
      <c r="O10" s="8"/>
      <c r="P10" s="11"/>
    </row>
    <row r="11" spans="1:16" x14ac:dyDescent="0.25">
      <c r="A11" s="135"/>
      <c r="B11" s="98"/>
      <c r="C11" s="135"/>
      <c r="D11" s="135"/>
      <c r="E11" s="99"/>
      <c r="F11" s="155"/>
      <c r="G11" s="157"/>
      <c r="L11" s="8"/>
      <c r="M11" s="9"/>
      <c r="N11" s="10"/>
      <c r="O11" s="8"/>
      <c r="P11" s="11"/>
    </row>
    <row r="12" spans="1:16" x14ac:dyDescent="0.25">
      <c r="A12" s="3" t="s">
        <v>12</v>
      </c>
      <c r="B12" s="4" t="s">
        <v>13</v>
      </c>
      <c r="C12" s="5">
        <v>500</v>
      </c>
      <c r="D12" s="3" t="s">
        <v>14</v>
      </c>
      <c r="E12" s="3"/>
      <c r="F12" s="158"/>
      <c r="G12" s="157">
        <f>C12*F12</f>
        <v>0</v>
      </c>
      <c r="I12" s="7"/>
      <c r="L12" s="8"/>
      <c r="M12" s="9"/>
      <c r="N12" s="10"/>
      <c r="O12" s="8"/>
      <c r="P12" s="11"/>
    </row>
    <row r="13" spans="1:16" x14ac:dyDescent="0.25">
      <c r="A13" s="3"/>
      <c r="B13" s="4"/>
      <c r="C13" s="5"/>
      <c r="D13" s="3"/>
      <c r="E13" s="99"/>
      <c r="F13" s="158"/>
      <c r="G13" s="157"/>
      <c r="L13" s="8"/>
      <c r="M13" s="9"/>
      <c r="N13" s="10"/>
      <c r="O13" s="8"/>
      <c r="P13" s="11"/>
    </row>
    <row r="14" spans="1:16" x14ac:dyDescent="0.25">
      <c r="A14" s="3" t="s">
        <v>15</v>
      </c>
      <c r="B14" s="4" t="s">
        <v>16</v>
      </c>
      <c r="C14" s="5">
        <v>500</v>
      </c>
      <c r="D14" s="3" t="s">
        <v>17</v>
      </c>
      <c r="E14" s="3"/>
      <c r="F14" s="158"/>
      <c r="G14" s="157">
        <f>C14*F14</f>
        <v>0</v>
      </c>
      <c r="I14" s="7"/>
      <c r="L14" s="8"/>
      <c r="M14" s="9"/>
      <c r="N14" s="10"/>
      <c r="O14" s="8"/>
      <c r="P14" s="11"/>
    </row>
    <row r="15" spans="1:16" x14ac:dyDescent="0.25">
      <c r="A15" s="3"/>
      <c r="B15" s="4"/>
      <c r="C15" s="5"/>
      <c r="D15" s="3"/>
      <c r="E15" s="99"/>
      <c r="F15" s="158"/>
      <c r="G15" s="157"/>
      <c r="L15" s="8"/>
      <c r="M15" s="9"/>
      <c r="N15" s="10"/>
      <c r="O15" s="8"/>
      <c r="P15" s="11"/>
    </row>
    <row r="16" spans="1:16" x14ac:dyDescent="0.25">
      <c r="A16" s="3" t="s">
        <v>18</v>
      </c>
      <c r="B16" s="4" t="s">
        <v>19</v>
      </c>
      <c r="C16" s="5">
        <v>300</v>
      </c>
      <c r="D16" s="3" t="s">
        <v>14</v>
      </c>
      <c r="E16" s="3"/>
      <c r="F16" s="158"/>
      <c r="G16" s="157">
        <f>C16*F16</f>
        <v>0</v>
      </c>
      <c r="I16" s="7"/>
      <c r="L16" s="8"/>
      <c r="M16" s="9"/>
      <c r="N16" s="10"/>
      <c r="O16" s="8"/>
      <c r="P16" s="11"/>
    </row>
    <row r="17" spans="1:16" x14ac:dyDescent="0.25">
      <c r="A17" s="3"/>
      <c r="B17" s="4"/>
      <c r="C17" s="5"/>
      <c r="D17" s="3"/>
      <c r="E17" s="99"/>
      <c r="F17" s="158"/>
      <c r="G17" s="157"/>
      <c r="L17" s="8"/>
      <c r="M17" s="9"/>
      <c r="N17" s="10"/>
      <c r="O17" s="8"/>
      <c r="P17" s="11"/>
    </row>
    <row r="18" spans="1:16" x14ac:dyDescent="0.25">
      <c r="A18" s="3" t="s">
        <v>20</v>
      </c>
      <c r="B18" s="4" t="s">
        <v>21</v>
      </c>
      <c r="C18" s="5">
        <v>10000</v>
      </c>
      <c r="D18" s="3" t="s">
        <v>14</v>
      </c>
      <c r="E18" s="3"/>
      <c r="F18" s="158"/>
      <c r="G18" s="157">
        <f>C18*F18</f>
        <v>0</v>
      </c>
      <c r="I18" s="7"/>
      <c r="L18" s="8"/>
      <c r="M18" s="9"/>
      <c r="N18" s="10"/>
      <c r="O18" s="8"/>
      <c r="P18" s="11"/>
    </row>
    <row r="19" spans="1:16" x14ac:dyDescent="0.25">
      <c r="A19" s="3"/>
      <c r="B19" s="4"/>
      <c r="C19" s="5"/>
      <c r="D19" s="3"/>
      <c r="E19" s="99"/>
      <c r="F19" s="158"/>
      <c r="G19" s="157"/>
      <c r="L19" s="8"/>
      <c r="M19" s="9"/>
      <c r="N19" s="10"/>
      <c r="O19" s="8"/>
      <c r="P19" s="11"/>
    </row>
    <row r="20" spans="1:16" x14ac:dyDescent="0.25">
      <c r="A20" s="3" t="s">
        <v>22</v>
      </c>
      <c r="B20" s="4" t="s">
        <v>23</v>
      </c>
      <c r="C20" s="5">
        <v>300</v>
      </c>
      <c r="D20" s="3" t="s">
        <v>24</v>
      </c>
      <c r="E20" s="3"/>
      <c r="F20" s="158"/>
      <c r="G20" s="157">
        <f>C20*F20</f>
        <v>0</v>
      </c>
      <c r="I20" s="7"/>
      <c r="L20" s="8"/>
      <c r="M20" s="9"/>
      <c r="N20" s="10"/>
      <c r="O20" s="8"/>
      <c r="P20" s="11"/>
    </row>
    <row r="21" spans="1:16" x14ac:dyDescent="0.25">
      <c r="A21" s="3"/>
      <c r="B21" s="4"/>
      <c r="C21" s="5"/>
      <c r="D21" s="3"/>
      <c r="E21" s="99"/>
      <c r="F21" s="158"/>
      <c r="G21" s="157"/>
      <c r="L21" s="8"/>
      <c r="M21" s="9"/>
      <c r="N21" s="10"/>
      <c r="O21" s="8"/>
      <c r="P21" s="11"/>
    </row>
    <row r="22" spans="1:16" ht="26.4" x14ac:dyDescent="0.25">
      <c r="A22" s="3" t="s">
        <v>25</v>
      </c>
      <c r="B22" s="4" t="s">
        <v>26</v>
      </c>
      <c r="C22" s="5">
        <v>3000</v>
      </c>
      <c r="D22" s="3" t="s">
        <v>14</v>
      </c>
      <c r="E22" s="3"/>
      <c r="F22" s="158"/>
      <c r="G22" s="157">
        <f>C22*F22</f>
        <v>0</v>
      </c>
      <c r="I22" s="7"/>
      <c r="L22" s="8"/>
      <c r="M22" s="9"/>
      <c r="N22" s="10"/>
      <c r="O22" s="8"/>
      <c r="P22" s="11"/>
    </row>
    <row r="23" spans="1:16" x14ac:dyDescent="0.25">
      <c r="A23" s="3"/>
      <c r="B23" s="4"/>
      <c r="C23" s="5"/>
      <c r="D23" s="3"/>
      <c r="E23" s="99"/>
      <c r="F23" s="158"/>
      <c r="G23" s="157"/>
      <c r="L23" s="8"/>
      <c r="M23" s="9"/>
      <c r="N23" s="10"/>
      <c r="O23" s="8"/>
      <c r="P23" s="11"/>
    </row>
    <row r="24" spans="1:16" ht="26.4" x14ac:dyDescent="0.25">
      <c r="A24" s="3" t="s">
        <v>27</v>
      </c>
      <c r="B24" s="4" t="s">
        <v>28</v>
      </c>
      <c r="C24" s="5">
        <v>25</v>
      </c>
      <c r="D24" s="3" t="s">
        <v>24</v>
      </c>
      <c r="E24" s="3"/>
      <c r="F24" s="158"/>
      <c r="G24" s="157">
        <f>C24*F24</f>
        <v>0</v>
      </c>
      <c r="I24" s="7"/>
      <c r="L24" s="8"/>
      <c r="M24" s="9"/>
      <c r="N24" s="10"/>
      <c r="O24" s="8"/>
      <c r="P24" s="11"/>
    </row>
    <row r="25" spans="1:16" x14ac:dyDescent="0.25">
      <c r="A25" s="3"/>
      <c r="B25" s="4"/>
      <c r="C25" s="5"/>
      <c r="D25" s="3"/>
      <c r="E25" s="99"/>
      <c r="F25" s="158"/>
      <c r="G25" s="157"/>
      <c r="L25" s="8"/>
      <c r="M25" s="9"/>
      <c r="N25" s="10"/>
      <c r="O25" s="8"/>
      <c r="P25" s="11"/>
    </row>
    <row r="26" spans="1:16" x14ac:dyDescent="0.25">
      <c r="A26" s="135" t="s">
        <v>29</v>
      </c>
      <c r="B26" s="102" t="s">
        <v>30</v>
      </c>
      <c r="C26" s="102"/>
      <c r="D26" s="138"/>
      <c r="E26" s="102"/>
      <c r="F26" s="159"/>
      <c r="G26" s="160"/>
      <c r="L26" s="8"/>
      <c r="M26" s="9"/>
      <c r="N26" s="10"/>
      <c r="O26" s="8"/>
      <c r="P26" s="11"/>
    </row>
    <row r="27" spans="1:16" x14ac:dyDescent="0.25">
      <c r="A27" s="22"/>
      <c r="B27" s="13"/>
      <c r="C27" s="13"/>
      <c r="D27" s="14"/>
      <c r="E27" s="103"/>
      <c r="F27" s="161"/>
      <c r="G27" s="162"/>
      <c r="L27" s="8"/>
      <c r="M27" s="9"/>
      <c r="N27" s="10"/>
      <c r="O27" s="8"/>
      <c r="P27" s="11"/>
    </row>
    <row r="28" spans="1:16" x14ac:dyDescent="0.25">
      <c r="A28" s="3" t="s">
        <v>31</v>
      </c>
      <c r="B28" s="12" t="s">
        <v>32</v>
      </c>
      <c r="C28" s="13">
        <v>55000</v>
      </c>
      <c r="D28" s="14" t="s">
        <v>33</v>
      </c>
      <c r="E28" s="3"/>
      <c r="F28" s="158"/>
      <c r="G28" s="157">
        <f>C28*F28</f>
        <v>0</v>
      </c>
      <c r="I28" s="7"/>
      <c r="L28" s="8"/>
      <c r="M28" s="15"/>
      <c r="N28" s="10"/>
      <c r="O28" s="8"/>
      <c r="P28" s="11"/>
    </row>
    <row r="29" spans="1:16" x14ac:dyDescent="0.25">
      <c r="A29" s="22"/>
      <c r="B29" s="13"/>
      <c r="C29" s="13"/>
      <c r="D29" s="14"/>
      <c r="E29" s="103"/>
      <c r="F29" s="161"/>
      <c r="G29" s="162"/>
      <c r="L29" s="8"/>
      <c r="M29" s="15"/>
      <c r="N29" s="10"/>
      <c r="O29" s="8"/>
      <c r="P29" s="11"/>
    </row>
    <row r="30" spans="1:16" x14ac:dyDescent="0.25">
      <c r="A30" s="3" t="s">
        <v>34</v>
      </c>
      <c r="B30" s="16" t="s">
        <v>35</v>
      </c>
      <c r="C30" s="13">
        <v>2500</v>
      </c>
      <c r="D30" s="18" t="s">
        <v>36</v>
      </c>
      <c r="E30" s="3"/>
      <c r="F30" s="158"/>
      <c r="G30" s="157">
        <f>C30*F30</f>
        <v>0</v>
      </c>
      <c r="I30" s="7"/>
      <c r="L30" s="8"/>
      <c r="M30" s="9"/>
      <c r="N30" s="10"/>
      <c r="O30" s="8"/>
      <c r="P30" s="11"/>
    </row>
    <row r="31" spans="1:16" x14ac:dyDescent="0.25">
      <c r="A31" s="22"/>
      <c r="B31" s="16"/>
      <c r="C31" s="17"/>
      <c r="D31" s="18"/>
      <c r="E31" s="103"/>
      <c r="F31" s="161"/>
      <c r="G31" s="162"/>
      <c r="L31" s="8"/>
      <c r="M31" s="9"/>
      <c r="N31" s="10"/>
      <c r="O31" s="8"/>
      <c r="P31" s="11"/>
    </row>
    <row r="32" spans="1:16" x14ac:dyDescent="0.25">
      <c r="A32" s="3" t="s">
        <v>37</v>
      </c>
      <c r="B32" s="16" t="s">
        <v>38</v>
      </c>
      <c r="C32" s="13">
        <v>2500</v>
      </c>
      <c r="D32" s="18" t="s">
        <v>36</v>
      </c>
      <c r="E32" s="3"/>
      <c r="F32" s="158"/>
      <c r="G32" s="157">
        <f>C32*F32</f>
        <v>0</v>
      </c>
      <c r="I32" s="7"/>
      <c r="L32" s="8"/>
      <c r="M32" s="9"/>
      <c r="N32" s="10"/>
      <c r="O32" s="8"/>
      <c r="P32" s="11"/>
    </row>
    <row r="33" spans="1:16" x14ac:dyDescent="0.25">
      <c r="A33" s="22"/>
      <c r="B33" s="16"/>
      <c r="C33" s="17"/>
      <c r="D33" s="18"/>
      <c r="E33" s="103"/>
      <c r="F33" s="161"/>
      <c r="G33" s="162"/>
      <c r="L33" s="8"/>
      <c r="M33" s="15"/>
      <c r="N33" s="10"/>
      <c r="O33" s="8"/>
      <c r="P33" s="11"/>
    </row>
    <row r="34" spans="1:16" x14ac:dyDescent="0.25">
      <c r="A34" s="3" t="s">
        <v>39</v>
      </c>
      <c r="B34" s="16" t="s">
        <v>40</v>
      </c>
      <c r="C34" s="17">
        <v>10000</v>
      </c>
      <c r="D34" s="18" t="s">
        <v>36</v>
      </c>
      <c r="E34" s="3"/>
      <c r="F34" s="158"/>
      <c r="G34" s="157">
        <f>C34*F34</f>
        <v>0</v>
      </c>
      <c r="I34" s="7"/>
      <c r="L34" s="8"/>
      <c r="M34" s="15"/>
      <c r="N34" s="10"/>
      <c r="O34" s="8"/>
      <c r="P34" s="11"/>
    </row>
    <row r="35" spans="1:16" x14ac:dyDescent="0.25">
      <c r="A35" s="22"/>
      <c r="B35" s="13"/>
      <c r="C35" s="17"/>
      <c r="D35" s="18"/>
      <c r="E35" s="103"/>
      <c r="F35" s="161"/>
      <c r="G35" s="162"/>
      <c r="L35" s="8"/>
      <c r="M35" s="9"/>
      <c r="N35" s="10"/>
      <c r="O35" s="8"/>
      <c r="P35" s="11"/>
    </row>
    <row r="36" spans="1:16" x14ac:dyDescent="0.25">
      <c r="A36" s="3" t="s">
        <v>41</v>
      </c>
      <c r="B36" s="16" t="s">
        <v>42</v>
      </c>
      <c r="C36" s="17">
        <v>200000</v>
      </c>
      <c r="D36" s="18" t="s">
        <v>43</v>
      </c>
      <c r="E36" s="3"/>
      <c r="F36" s="158"/>
      <c r="G36" s="157">
        <f>C36*F36</f>
        <v>0</v>
      </c>
      <c r="I36" s="7"/>
      <c r="L36" s="8"/>
      <c r="M36" s="9"/>
      <c r="N36" s="10"/>
      <c r="O36" s="8"/>
      <c r="P36" s="11"/>
    </row>
    <row r="37" spans="1:16" x14ac:dyDescent="0.25">
      <c r="A37" s="22"/>
      <c r="B37" s="13"/>
      <c r="C37" s="17"/>
      <c r="D37" s="18"/>
      <c r="E37" s="103"/>
      <c r="F37" s="161"/>
      <c r="G37" s="162"/>
      <c r="L37" s="8"/>
      <c r="M37" s="9"/>
      <c r="N37" s="10"/>
      <c r="O37" s="8"/>
      <c r="P37" s="11"/>
    </row>
    <row r="38" spans="1:16" x14ac:dyDescent="0.25">
      <c r="A38" s="3" t="s">
        <v>44</v>
      </c>
      <c r="B38" s="16" t="s">
        <v>45</v>
      </c>
      <c r="C38" s="17">
        <v>100000</v>
      </c>
      <c r="D38" s="18" t="s">
        <v>46</v>
      </c>
      <c r="E38" s="3"/>
      <c r="F38" s="158"/>
      <c r="G38" s="157">
        <f>C38*F38</f>
        <v>0</v>
      </c>
      <c r="I38" s="7"/>
      <c r="L38" s="8"/>
      <c r="M38" s="9"/>
      <c r="N38" s="10"/>
      <c r="O38" s="8"/>
      <c r="P38" s="11"/>
    </row>
    <row r="39" spans="1:16" x14ac:dyDescent="0.25">
      <c r="A39" s="22"/>
      <c r="B39" s="16"/>
      <c r="C39" s="17"/>
      <c r="D39" s="18"/>
      <c r="E39" s="103"/>
      <c r="F39" s="161"/>
      <c r="G39" s="162"/>
      <c r="L39" s="8"/>
      <c r="M39" s="9"/>
      <c r="N39" s="10"/>
      <c r="O39" s="8"/>
      <c r="P39" s="11"/>
    </row>
    <row r="40" spans="1:16" x14ac:dyDescent="0.25">
      <c r="A40" s="3" t="s">
        <v>47</v>
      </c>
      <c r="B40" s="16" t="s">
        <v>48</v>
      </c>
      <c r="C40" s="17">
        <v>200000</v>
      </c>
      <c r="D40" s="18" t="s">
        <v>46</v>
      </c>
      <c r="E40" s="3"/>
      <c r="F40" s="158"/>
      <c r="G40" s="157">
        <f>C40*F40</f>
        <v>0</v>
      </c>
      <c r="I40" s="7"/>
      <c r="L40" s="8"/>
      <c r="M40" s="9"/>
      <c r="N40" s="10"/>
      <c r="O40" s="8"/>
      <c r="P40" s="11"/>
    </row>
    <row r="41" spans="1:16" x14ac:dyDescent="0.25">
      <c r="A41" s="22"/>
      <c r="B41" s="16"/>
      <c r="C41" s="17"/>
      <c r="D41" s="18"/>
      <c r="E41" s="103"/>
      <c r="F41" s="161"/>
      <c r="G41" s="162"/>
      <c r="L41" s="8"/>
      <c r="M41" s="9"/>
      <c r="N41" s="10"/>
      <c r="O41" s="8"/>
      <c r="P41" s="11"/>
    </row>
    <row r="42" spans="1:16" x14ac:dyDescent="0.25">
      <c r="A42" s="3" t="s">
        <v>49</v>
      </c>
      <c r="B42" s="16" t="s">
        <v>50</v>
      </c>
      <c r="C42" s="17">
        <v>1402000</v>
      </c>
      <c r="D42" s="18" t="s">
        <v>46</v>
      </c>
      <c r="E42" s="3"/>
      <c r="F42" s="158"/>
      <c r="G42" s="157">
        <f>C42*F42</f>
        <v>0</v>
      </c>
      <c r="I42" s="7"/>
      <c r="L42" s="8"/>
      <c r="M42" s="9"/>
      <c r="N42" s="10"/>
      <c r="O42" s="8"/>
      <c r="P42" s="11"/>
    </row>
    <row r="43" spans="1:16" x14ac:dyDescent="0.25">
      <c r="A43" s="22"/>
      <c r="B43" s="16"/>
      <c r="C43" s="17"/>
      <c r="D43" s="18"/>
      <c r="E43" s="103"/>
      <c r="F43" s="161"/>
      <c r="G43" s="162"/>
      <c r="L43" s="171"/>
      <c r="M43" s="9"/>
      <c r="N43" s="10"/>
      <c r="O43" s="8"/>
      <c r="P43" s="11"/>
    </row>
    <row r="44" spans="1:16" x14ac:dyDescent="0.25">
      <c r="A44" s="3" t="s">
        <v>51</v>
      </c>
      <c r="B44" s="16" t="s">
        <v>52</v>
      </c>
      <c r="C44" s="17">
        <v>82000</v>
      </c>
      <c r="D44" s="18" t="s">
        <v>46</v>
      </c>
      <c r="E44" s="3"/>
      <c r="F44" s="158"/>
      <c r="G44" s="157">
        <f>C44*F44</f>
        <v>0</v>
      </c>
      <c r="I44" s="7"/>
      <c r="L44" s="19"/>
      <c r="M44" s="172"/>
      <c r="N44" s="171"/>
      <c r="O44" s="167"/>
      <c r="P44" s="11"/>
    </row>
    <row r="45" spans="1:16" x14ac:dyDescent="0.25">
      <c r="A45" s="22"/>
      <c r="B45" s="16"/>
      <c r="C45" s="17"/>
      <c r="D45" s="18"/>
      <c r="E45" s="3"/>
      <c r="F45" s="158"/>
      <c r="G45" s="163"/>
      <c r="L45" s="19"/>
      <c r="M45" s="172"/>
      <c r="N45" s="171"/>
      <c r="O45" s="167"/>
      <c r="P45" s="11"/>
    </row>
    <row r="46" spans="1:16" x14ac:dyDescent="0.25">
      <c r="A46" s="3" t="s">
        <v>53</v>
      </c>
      <c r="B46" s="16" t="s">
        <v>54</v>
      </c>
      <c r="C46" s="17">
        <v>20000</v>
      </c>
      <c r="D46" s="18" t="s">
        <v>46</v>
      </c>
      <c r="E46" s="3"/>
      <c r="F46" s="158"/>
      <c r="G46" s="157">
        <f>C46*F46</f>
        <v>0</v>
      </c>
      <c r="I46" s="7"/>
      <c r="L46" s="19"/>
      <c r="M46" s="172"/>
      <c r="N46" s="171"/>
      <c r="O46" s="167"/>
      <c r="P46" s="11"/>
    </row>
    <row r="47" spans="1:16" x14ac:dyDescent="0.25">
      <c r="A47" s="22"/>
      <c r="B47" s="16"/>
      <c r="C47" s="17"/>
      <c r="D47" s="18"/>
      <c r="E47" s="103"/>
      <c r="F47" s="161"/>
      <c r="G47" s="162"/>
      <c r="L47" s="171"/>
      <c r="M47" s="88"/>
      <c r="N47" s="19"/>
      <c r="O47" s="8"/>
      <c r="P47" s="11"/>
    </row>
    <row r="48" spans="1:16" x14ac:dyDescent="0.25">
      <c r="A48" s="3" t="s">
        <v>55</v>
      </c>
      <c r="B48" s="4" t="s">
        <v>56</v>
      </c>
      <c r="C48" s="17">
        <v>50</v>
      </c>
      <c r="D48" s="18" t="s">
        <v>24</v>
      </c>
      <c r="E48" s="3"/>
      <c r="F48" s="158"/>
      <c r="G48" s="157">
        <f>C48*F48</f>
        <v>0</v>
      </c>
      <c r="I48" s="7"/>
      <c r="L48" s="19"/>
      <c r="M48" s="172"/>
      <c r="N48" s="171"/>
      <c r="O48" s="167"/>
      <c r="P48" s="11"/>
    </row>
    <row r="49" spans="1:16" x14ac:dyDescent="0.25">
      <c r="A49" s="22"/>
      <c r="B49" s="13"/>
      <c r="C49" s="17"/>
      <c r="D49" s="14"/>
      <c r="E49" s="103"/>
      <c r="F49" s="161"/>
      <c r="G49" s="162"/>
      <c r="L49" s="171"/>
      <c r="M49" s="88"/>
      <c r="N49" s="19"/>
      <c r="O49" s="8"/>
      <c r="P49" s="11"/>
    </row>
    <row r="50" spans="1:16" x14ac:dyDescent="0.25">
      <c r="A50" s="135" t="s">
        <v>57</v>
      </c>
      <c r="B50" s="137" t="s">
        <v>58</v>
      </c>
      <c r="C50" s="17"/>
      <c r="D50" s="14"/>
      <c r="E50" s="103"/>
      <c r="F50" s="161"/>
      <c r="G50" s="162"/>
      <c r="L50" s="19"/>
      <c r="M50" s="172"/>
      <c r="N50" s="171"/>
      <c r="O50" s="167"/>
      <c r="P50" s="11"/>
    </row>
    <row r="51" spans="1:16" x14ac:dyDescent="0.25">
      <c r="A51" s="22"/>
      <c r="B51" s="13"/>
      <c r="C51" s="17"/>
      <c r="D51" s="14"/>
      <c r="E51" s="103"/>
      <c r="F51" s="161"/>
      <c r="G51" s="162"/>
      <c r="L51" s="171"/>
      <c r="M51" s="88"/>
      <c r="N51" s="19"/>
      <c r="O51" s="8"/>
      <c r="P51" s="11"/>
    </row>
    <row r="52" spans="1:16" ht="12.75" customHeight="1" x14ac:dyDescent="0.25">
      <c r="A52" s="22" t="s">
        <v>59</v>
      </c>
      <c r="B52" s="16" t="s">
        <v>60</v>
      </c>
      <c r="C52" s="17">
        <v>1000</v>
      </c>
      <c r="D52" s="22" t="s">
        <v>36</v>
      </c>
      <c r="E52" s="3"/>
      <c r="F52" s="158"/>
      <c r="G52" s="157">
        <f>C52*F52</f>
        <v>0</v>
      </c>
      <c r="I52" s="7"/>
      <c r="J52" s="8"/>
      <c r="K52" s="9"/>
      <c r="L52" s="10"/>
      <c r="M52" s="8"/>
      <c r="N52" s="11"/>
      <c r="O52" s="88"/>
      <c r="P52" s="11"/>
    </row>
    <row r="53" spans="1:16" x14ac:dyDescent="0.25">
      <c r="A53" s="3"/>
      <c r="B53" s="16"/>
      <c r="C53" s="17"/>
      <c r="D53" s="18"/>
      <c r="E53" s="103"/>
      <c r="F53" s="161"/>
      <c r="G53" s="162"/>
      <c r="J53" s="8"/>
      <c r="K53" s="9"/>
      <c r="L53" s="10"/>
      <c r="M53" s="8"/>
      <c r="N53" s="11"/>
      <c r="O53" s="88"/>
      <c r="P53" s="11"/>
    </row>
    <row r="54" spans="1:16" ht="12.75" customHeight="1" x14ac:dyDescent="0.25">
      <c r="A54" s="22" t="s">
        <v>61</v>
      </c>
      <c r="B54" s="16" t="s">
        <v>62</v>
      </c>
      <c r="C54" s="17">
        <v>200</v>
      </c>
      <c r="D54" s="22" t="s">
        <v>36</v>
      </c>
      <c r="E54" s="3"/>
      <c r="F54" s="158"/>
      <c r="G54" s="157">
        <f>C54*F54</f>
        <v>0</v>
      </c>
      <c r="I54" s="7"/>
      <c r="J54" s="8"/>
      <c r="K54" s="9"/>
      <c r="L54" s="10"/>
      <c r="M54" s="8"/>
      <c r="N54" s="11"/>
      <c r="O54" s="88"/>
      <c r="P54" s="11"/>
    </row>
    <row r="55" spans="1:16" x14ac:dyDescent="0.25">
      <c r="A55" s="3"/>
      <c r="B55" s="16"/>
      <c r="C55" s="17"/>
      <c r="D55" s="18"/>
      <c r="E55" s="3"/>
      <c r="F55" s="158"/>
      <c r="G55" s="163"/>
      <c r="J55" s="8"/>
      <c r="K55" s="9"/>
      <c r="L55" s="10"/>
      <c r="M55" s="8"/>
      <c r="N55" s="11"/>
      <c r="O55" s="88"/>
      <c r="P55" s="11"/>
    </row>
    <row r="56" spans="1:16" ht="12.9" customHeight="1" x14ac:dyDescent="0.25">
      <c r="A56" s="22" t="s">
        <v>63</v>
      </c>
      <c r="B56" s="4" t="s">
        <v>64</v>
      </c>
      <c r="C56" s="173">
        <v>100</v>
      </c>
      <c r="D56" s="22" t="s">
        <v>36</v>
      </c>
      <c r="E56" s="3"/>
      <c r="F56" s="158"/>
      <c r="G56" s="157">
        <f>C56*F56</f>
        <v>0</v>
      </c>
      <c r="I56" s="7"/>
      <c r="J56" s="172"/>
      <c r="K56" s="172"/>
      <c r="L56" s="171"/>
      <c r="M56" s="167"/>
      <c r="N56" s="11"/>
      <c r="O56" s="88"/>
      <c r="P56" s="11"/>
    </row>
    <row r="57" spans="1:16" ht="12.9" customHeight="1" x14ac:dyDescent="0.25">
      <c r="A57" s="3"/>
      <c r="B57" s="104"/>
      <c r="C57" s="105"/>
      <c r="D57" s="3"/>
      <c r="E57" s="3"/>
      <c r="F57" s="158"/>
      <c r="G57" s="163"/>
      <c r="J57" s="172"/>
      <c r="K57" s="172"/>
      <c r="L57" s="171"/>
      <c r="M57" s="167"/>
      <c r="N57" s="11"/>
      <c r="O57" s="88"/>
      <c r="P57" s="11"/>
    </row>
    <row r="58" spans="1:16" ht="12.9" customHeight="1" x14ac:dyDescent="0.25">
      <c r="A58" s="22" t="s">
        <v>65</v>
      </c>
      <c r="B58" s="4" t="s">
        <v>66</v>
      </c>
      <c r="C58" s="173">
        <v>100</v>
      </c>
      <c r="D58" s="22" t="s">
        <v>67</v>
      </c>
      <c r="E58" s="3"/>
      <c r="F58" s="158"/>
      <c r="G58" s="157">
        <f>C58*F58</f>
        <v>0</v>
      </c>
      <c r="I58" s="7"/>
      <c r="J58" s="172"/>
      <c r="K58" s="172"/>
      <c r="L58" s="171"/>
      <c r="M58" s="167"/>
      <c r="N58" s="11"/>
      <c r="O58" s="88"/>
      <c r="P58" s="11"/>
    </row>
    <row r="59" spans="1:16" ht="12.9" customHeight="1" x14ac:dyDescent="0.25">
      <c r="A59" s="3"/>
      <c r="B59" s="104"/>
      <c r="C59" s="106"/>
      <c r="D59" s="3"/>
      <c r="E59" s="3"/>
      <c r="F59" s="158"/>
      <c r="G59" s="163"/>
      <c r="J59" s="19"/>
      <c r="K59" s="88"/>
      <c r="L59" s="19"/>
      <c r="M59" s="8"/>
      <c r="N59" s="11"/>
      <c r="O59" s="88"/>
      <c r="P59" s="11"/>
    </row>
    <row r="60" spans="1:16" ht="12.9" customHeight="1" x14ac:dyDescent="0.25">
      <c r="A60" s="22" t="s">
        <v>68</v>
      </c>
      <c r="B60" s="4" t="s">
        <v>69</v>
      </c>
      <c r="C60" s="174">
        <v>250</v>
      </c>
      <c r="D60" s="22" t="s">
        <v>36</v>
      </c>
      <c r="E60" s="3"/>
      <c r="F60" s="158"/>
      <c r="G60" s="157">
        <f>C60*F60</f>
        <v>0</v>
      </c>
      <c r="I60" s="7"/>
      <c r="J60" s="175"/>
      <c r="K60" s="172"/>
      <c r="L60" s="171"/>
      <c r="M60" s="167"/>
      <c r="N60" s="11"/>
      <c r="O60" s="88"/>
      <c r="P60" s="11"/>
    </row>
    <row r="61" spans="1:16" ht="12.9" customHeight="1" x14ac:dyDescent="0.25">
      <c r="A61" s="3"/>
      <c r="B61" s="104"/>
      <c r="C61" s="106"/>
      <c r="D61" s="3"/>
      <c r="E61" s="3"/>
      <c r="F61" s="158"/>
      <c r="G61" s="163"/>
      <c r="J61" s="107"/>
      <c r="K61" s="88"/>
      <c r="L61" s="19"/>
      <c r="M61" s="8"/>
      <c r="N61" s="11"/>
      <c r="O61" s="88"/>
      <c r="P61" s="11"/>
    </row>
    <row r="62" spans="1:16" ht="12.9" customHeight="1" x14ac:dyDescent="0.25">
      <c r="A62" s="22" t="s">
        <v>70</v>
      </c>
      <c r="B62" s="4" t="s">
        <v>71</v>
      </c>
      <c r="C62" s="174">
        <v>250</v>
      </c>
      <c r="D62" s="22" t="s">
        <v>36</v>
      </c>
      <c r="E62" s="3"/>
      <c r="F62" s="158"/>
      <c r="G62" s="157">
        <f>C62*F62</f>
        <v>0</v>
      </c>
      <c r="I62" s="7"/>
      <c r="J62" s="175"/>
      <c r="K62" s="172"/>
      <c r="L62" s="171"/>
      <c r="M62" s="167"/>
      <c r="N62" s="11"/>
      <c r="O62" s="88"/>
      <c r="P62" s="11"/>
    </row>
    <row r="63" spans="1:16" x14ac:dyDescent="0.25">
      <c r="A63" s="22"/>
      <c r="B63" s="104"/>
      <c r="C63" s="106"/>
      <c r="D63" s="3"/>
      <c r="E63" s="3"/>
      <c r="F63" s="158"/>
      <c r="G63" s="163"/>
      <c r="J63" s="107"/>
      <c r="K63" s="88"/>
      <c r="L63" s="19"/>
      <c r="M63" s="8"/>
      <c r="N63" s="11"/>
      <c r="O63" s="88"/>
      <c r="P63" s="11"/>
    </row>
    <row r="64" spans="1:16" ht="12.75" customHeight="1" x14ac:dyDescent="0.25">
      <c r="A64" s="22" t="s">
        <v>72</v>
      </c>
      <c r="B64" s="4" t="s">
        <v>73</v>
      </c>
      <c r="C64" s="174">
        <v>250</v>
      </c>
      <c r="D64" s="22" t="s">
        <v>36</v>
      </c>
      <c r="E64" s="3"/>
      <c r="F64" s="158"/>
      <c r="G64" s="157">
        <f>C64*F64</f>
        <v>0</v>
      </c>
      <c r="I64" s="7"/>
      <c r="J64" s="175"/>
      <c r="K64" s="172"/>
      <c r="L64" s="171"/>
      <c r="M64" s="167"/>
      <c r="N64" s="11"/>
      <c r="O64" s="88"/>
      <c r="P64" s="11"/>
    </row>
    <row r="65" spans="1:16" x14ac:dyDescent="0.25">
      <c r="A65" s="22"/>
      <c r="B65" s="104"/>
      <c r="C65" s="106"/>
      <c r="D65" s="3"/>
      <c r="E65" s="3"/>
      <c r="F65" s="158"/>
      <c r="G65" s="163"/>
      <c r="J65" s="107"/>
      <c r="K65" s="88"/>
      <c r="L65" s="19"/>
      <c r="M65" s="8"/>
      <c r="N65" s="11"/>
      <c r="O65" s="88"/>
      <c r="P65" s="11"/>
    </row>
    <row r="66" spans="1:16" ht="12.75" customHeight="1" x14ac:dyDescent="0.25">
      <c r="A66" s="22" t="s">
        <v>74</v>
      </c>
      <c r="B66" s="4" t="s">
        <v>75</v>
      </c>
      <c r="C66" s="174">
        <v>250</v>
      </c>
      <c r="D66" s="22" t="s">
        <v>36</v>
      </c>
      <c r="E66" s="3"/>
      <c r="F66" s="158"/>
      <c r="G66" s="157">
        <f>C66*F66</f>
        <v>0</v>
      </c>
      <c r="I66" s="7"/>
      <c r="J66" s="175"/>
      <c r="K66" s="172"/>
      <c r="L66" s="171"/>
      <c r="M66" s="167"/>
      <c r="N66" s="11"/>
      <c r="O66" s="88"/>
      <c r="P66" s="11"/>
    </row>
    <row r="67" spans="1:16" ht="12.75" customHeight="1" x14ac:dyDescent="0.25">
      <c r="A67" s="22"/>
      <c r="B67" s="4"/>
      <c r="C67" s="174"/>
      <c r="D67" s="22"/>
      <c r="E67" s="3"/>
      <c r="F67" s="158"/>
      <c r="G67" s="163"/>
      <c r="J67" s="175"/>
      <c r="K67" s="172"/>
      <c r="L67" s="171"/>
      <c r="M67" s="167"/>
      <c r="N67" s="11"/>
      <c r="O67" s="88"/>
      <c r="P67" s="11"/>
    </row>
    <row r="68" spans="1:16" ht="12.75" customHeight="1" x14ac:dyDescent="0.25">
      <c r="A68" s="22" t="s">
        <v>76</v>
      </c>
      <c r="B68" s="4" t="s">
        <v>77</v>
      </c>
      <c r="C68" s="174">
        <v>1000</v>
      </c>
      <c r="D68" s="22" t="s">
        <v>78</v>
      </c>
      <c r="E68" s="3"/>
      <c r="F68" s="158"/>
      <c r="G68" s="157">
        <f>C68*F68</f>
        <v>0</v>
      </c>
      <c r="I68" s="7"/>
      <c r="J68" s="175"/>
      <c r="K68" s="172"/>
      <c r="L68" s="171"/>
      <c r="M68" s="167"/>
      <c r="N68" s="11"/>
      <c r="O68" s="88"/>
      <c r="P68" s="11"/>
    </row>
    <row r="69" spans="1:16" ht="12.75" customHeight="1" x14ac:dyDescent="0.25">
      <c r="A69" s="22"/>
      <c r="B69" s="104"/>
      <c r="C69" s="104"/>
      <c r="D69" s="3"/>
      <c r="E69" s="3"/>
      <c r="F69" s="158"/>
      <c r="G69" s="163"/>
      <c r="J69" s="175"/>
      <c r="K69" s="172"/>
      <c r="L69" s="171"/>
      <c r="M69" s="167"/>
      <c r="N69" s="11"/>
      <c r="O69" s="88"/>
      <c r="P69" s="11"/>
    </row>
    <row r="70" spans="1:16" ht="12.75" customHeight="1" x14ac:dyDescent="0.25">
      <c r="A70" s="22" t="s">
        <v>79</v>
      </c>
      <c r="B70" s="4" t="s">
        <v>80</v>
      </c>
      <c r="C70" s="174">
        <v>7260</v>
      </c>
      <c r="D70" s="22" t="s">
        <v>81</v>
      </c>
      <c r="E70" s="3"/>
      <c r="F70" s="158"/>
      <c r="G70" s="157">
        <f>C70*F70</f>
        <v>0</v>
      </c>
      <c r="I70" s="7"/>
      <c r="J70" s="175"/>
      <c r="K70" s="172"/>
      <c r="L70" s="171"/>
      <c r="M70" s="167"/>
      <c r="N70" s="11"/>
      <c r="O70" s="88"/>
      <c r="P70" s="11"/>
    </row>
    <row r="71" spans="1:16" x14ac:dyDescent="0.25">
      <c r="A71" s="22"/>
      <c r="B71" s="13"/>
      <c r="C71" s="17"/>
      <c r="D71" s="14"/>
      <c r="E71" s="103"/>
      <c r="F71" s="161"/>
      <c r="G71" s="162"/>
      <c r="J71" s="171"/>
      <c r="K71" s="172"/>
      <c r="L71" s="171"/>
      <c r="M71" s="167"/>
      <c r="N71" s="11"/>
      <c r="O71" s="88"/>
      <c r="P71" s="11"/>
    </row>
    <row r="72" spans="1:16" ht="12.9" customHeight="1" x14ac:dyDescent="0.25">
      <c r="A72" s="138" t="s">
        <v>82</v>
      </c>
      <c r="B72" s="137" t="s">
        <v>83</v>
      </c>
      <c r="C72" s="17"/>
      <c r="D72" s="14"/>
      <c r="E72" s="103"/>
      <c r="F72" s="161"/>
      <c r="G72" s="162"/>
      <c r="N72" s="11"/>
      <c r="O72" s="88"/>
      <c r="P72" s="11"/>
    </row>
    <row r="73" spans="1:16" x14ac:dyDescent="0.25">
      <c r="A73" s="22"/>
      <c r="B73" s="13"/>
      <c r="C73" s="17"/>
      <c r="D73" s="14"/>
      <c r="E73" s="103"/>
      <c r="F73" s="161"/>
      <c r="G73" s="162"/>
      <c r="N73" s="11"/>
      <c r="O73" s="88"/>
      <c r="P73" s="11"/>
    </row>
    <row r="74" spans="1:16" ht="12.75" customHeight="1" x14ac:dyDescent="0.25">
      <c r="A74" s="22" t="s">
        <v>84</v>
      </c>
      <c r="B74" s="16" t="s">
        <v>85</v>
      </c>
      <c r="C74" s="17">
        <v>1000</v>
      </c>
      <c r="D74" s="18" t="s">
        <v>81</v>
      </c>
      <c r="E74" s="3"/>
      <c r="F74" s="158"/>
      <c r="G74" s="157">
        <f>C74*F74</f>
        <v>0</v>
      </c>
      <c r="I74" s="7"/>
      <c r="N74" s="11"/>
      <c r="O74" s="88"/>
      <c r="P74" s="11"/>
    </row>
    <row r="75" spans="1:16" x14ac:dyDescent="0.25">
      <c r="A75" s="22"/>
      <c r="B75" s="108"/>
      <c r="C75" s="13"/>
      <c r="D75" s="14"/>
      <c r="E75" s="103"/>
      <c r="F75" s="158"/>
      <c r="G75" s="162"/>
      <c r="J75" s="8"/>
      <c r="K75" s="9"/>
      <c r="L75" s="10"/>
      <c r="M75" s="8"/>
      <c r="N75" s="11"/>
      <c r="O75" s="88"/>
      <c r="P75" s="11"/>
    </row>
    <row r="76" spans="1:16" ht="12.75" customHeight="1" x14ac:dyDescent="0.25">
      <c r="A76" s="22" t="s">
        <v>86</v>
      </c>
      <c r="B76" s="16" t="s">
        <v>87</v>
      </c>
      <c r="C76" s="17">
        <v>1000</v>
      </c>
      <c r="D76" s="18" t="s">
        <v>81</v>
      </c>
      <c r="E76" s="3"/>
      <c r="F76" s="158"/>
      <c r="G76" s="157">
        <f>C76*F76</f>
        <v>0</v>
      </c>
      <c r="I76" s="7"/>
      <c r="L76" s="8"/>
      <c r="M76" s="86"/>
      <c r="N76" s="10"/>
      <c r="O76" s="8"/>
      <c r="P76" s="11"/>
    </row>
    <row r="77" spans="1:16" x14ac:dyDescent="0.25">
      <c r="A77" s="22"/>
      <c r="B77" s="13"/>
      <c r="C77" s="13"/>
      <c r="D77" s="14"/>
      <c r="E77" s="103"/>
      <c r="F77" s="161"/>
      <c r="G77" s="162"/>
      <c r="L77" s="8"/>
      <c r="M77" s="9"/>
      <c r="N77" s="10"/>
      <c r="O77" s="8"/>
      <c r="P77" s="11"/>
    </row>
    <row r="78" spans="1:16" ht="12.75" customHeight="1" x14ac:dyDescent="0.25">
      <c r="A78" s="138" t="s">
        <v>88</v>
      </c>
      <c r="B78" s="137" t="s">
        <v>89</v>
      </c>
      <c r="C78" s="13"/>
      <c r="D78" s="14"/>
      <c r="E78" s="103"/>
      <c r="F78" s="161"/>
      <c r="G78" s="162"/>
      <c r="L78" s="8"/>
      <c r="M78" s="86"/>
      <c r="N78" s="10"/>
      <c r="O78" s="8"/>
      <c r="P78" s="11"/>
    </row>
    <row r="79" spans="1:16" x14ac:dyDescent="0.25">
      <c r="A79" s="22"/>
      <c r="B79" s="13"/>
      <c r="C79" s="13"/>
      <c r="D79" s="14"/>
      <c r="E79" s="103"/>
      <c r="F79" s="161"/>
      <c r="G79" s="162"/>
      <c r="L79" s="8"/>
      <c r="M79" s="9"/>
      <c r="N79" s="10"/>
      <c r="O79" s="8"/>
      <c r="P79" s="11"/>
    </row>
    <row r="80" spans="1:16" ht="12.75" customHeight="1" x14ac:dyDescent="0.25">
      <c r="A80" s="22" t="s">
        <v>90</v>
      </c>
      <c r="B80" s="16" t="s">
        <v>91</v>
      </c>
      <c r="C80" s="17">
        <v>500</v>
      </c>
      <c r="D80" s="18" t="s">
        <v>92</v>
      </c>
      <c r="E80" s="3"/>
      <c r="F80" s="158"/>
      <c r="G80" s="157">
        <f>C80*F80</f>
        <v>0</v>
      </c>
      <c r="I80" s="7"/>
      <c r="L80" s="8"/>
      <c r="M80" s="86"/>
      <c r="N80" s="10"/>
      <c r="O80" s="8"/>
      <c r="P80" s="11"/>
    </row>
    <row r="81" spans="1:16" ht="12.75" customHeight="1" x14ac:dyDescent="0.25">
      <c r="A81" s="22"/>
      <c r="B81" s="16"/>
      <c r="C81" s="17"/>
      <c r="D81" s="18"/>
      <c r="E81" s="3"/>
      <c r="F81" s="158"/>
      <c r="G81" s="163"/>
      <c r="L81" s="8"/>
      <c r="M81" s="86"/>
      <c r="N81" s="10"/>
      <c r="O81" s="8"/>
      <c r="P81" s="11"/>
    </row>
    <row r="82" spans="1:16" ht="12.75" customHeight="1" x14ac:dyDescent="0.25">
      <c r="A82" s="22" t="s">
        <v>93</v>
      </c>
      <c r="B82" s="16" t="s">
        <v>94</v>
      </c>
      <c r="C82" s="17">
        <v>1000</v>
      </c>
      <c r="D82" s="18" t="s">
        <v>92</v>
      </c>
      <c r="E82" s="3"/>
      <c r="F82" s="158"/>
      <c r="G82" s="157">
        <f>C82*F82</f>
        <v>0</v>
      </c>
      <c r="I82" s="7"/>
      <c r="L82" s="8"/>
      <c r="M82" s="86"/>
      <c r="N82" s="10"/>
      <c r="O82" s="8"/>
      <c r="P82" s="11"/>
    </row>
    <row r="83" spans="1:16" x14ac:dyDescent="0.25">
      <c r="A83" s="22"/>
      <c r="B83" s="13"/>
      <c r="C83" s="13"/>
      <c r="D83" s="14"/>
      <c r="E83" s="103"/>
      <c r="F83" s="161"/>
      <c r="G83" s="162"/>
      <c r="L83" s="8"/>
      <c r="M83" s="9"/>
      <c r="N83" s="10"/>
      <c r="O83" s="8"/>
      <c r="P83" s="11"/>
    </row>
    <row r="84" spans="1:16" ht="12.75" customHeight="1" x14ac:dyDescent="0.25">
      <c r="A84" s="138" t="s">
        <v>95</v>
      </c>
      <c r="B84" s="109" t="s">
        <v>96</v>
      </c>
      <c r="C84" s="13"/>
      <c r="D84" s="14"/>
      <c r="E84" s="103"/>
      <c r="F84" s="161"/>
      <c r="G84" s="162"/>
      <c r="L84" s="8"/>
      <c r="M84" s="9"/>
      <c r="N84" s="10"/>
      <c r="O84" s="8"/>
      <c r="P84" s="11"/>
    </row>
    <row r="85" spans="1:16" x14ac:dyDescent="0.25">
      <c r="A85" s="22"/>
      <c r="B85" s="13"/>
      <c r="C85" s="13"/>
      <c r="D85" s="14"/>
      <c r="E85" s="103"/>
      <c r="F85" s="161"/>
      <c r="G85" s="162"/>
      <c r="L85" s="8"/>
      <c r="M85" s="9"/>
      <c r="N85" s="10"/>
      <c r="O85" s="8"/>
      <c r="P85" s="11"/>
    </row>
    <row r="86" spans="1:16" ht="12.75" customHeight="1" x14ac:dyDescent="0.25">
      <c r="A86" s="22" t="s">
        <v>97</v>
      </c>
      <c r="B86" s="16" t="s">
        <v>98</v>
      </c>
      <c r="C86" s="17">
        <v>1000</v>
      </c>
      <c r="D86" s="18" t="s">
        <v>99</v>
      </c>
      <c r="E86" s="3"/>
      <c r="F86" s="158"/>
      <c r="G86" s="157">
        <f>C86*F86</f>
        <v>0</v>
      </c>
      <c r="I86" s="7"/>
      <c r="L86" s="8"/>
      <c r="M86" s="86"/>
      <c r="N86" s="10"/>
      <c r="O86" s="8"/>
      <c r="P86" s="11"/>
    </row>
    <row r="87" spans="1:16" x14ac:dyDescent="0.25">
      <c r="A87" s="22"/>
      <c r="B87" s="108"/>
      <c r="C87" s="13"/>
      <c r="D87" s="14"/>
      <c r="E87" s="103"/>
      <c r="F87" s="161"/>
      <c r="G87" s="162"/>
      <c r="L87" s="8"/>
      <c r="M87" s="9"/>
      <c r="N87" s="10"/>
      <c r="O87" s="8"/>
      <c r="P87" s="11"/>
    </row>
    <row r="88" spans="1:16" ht="12.75" customHeight="1" x14ac:dyDescent="0.25">
      <c r="A88" s="22" t="s">
        <v>100</v>
      </c>
      <c r="B88" s="16" t="s">
        <v>101</v>
      </c>
      <c r="C88" s="17">
        <v>100000</v>
      </c>
      <c r="D88" s="18" t="s">
        <v>102</v>
      </c>
      <c r="E88" s="3"/>
      <c r="F88" s="158"/>
      <c r="G88" s="157">
        <f>C88*F88</f>
        <v>0</v>
      </c>
      <c r="I88" s="7"/>
      <c r="L88" s="8"/>
      <c r="M88" s="86"/>
      <c r="N88" s="10"/>
      <c r="O88" s="8"/>
      <c r="P88" s="11"/>
    </row>
    <row r="89" spans="1:16" x14ac:dyDescent="0.25">
      <c r="A89" s="22"/>
      <c r="B89" s="108"/>
      <c r="C89" s="13"/>
      <c r="D89" s="14"/>
      <c r="E89" s="103"/>
      <c r="F89" s="161"/>
      <c r="G89" s="162"/>
      <c r="L89" s="8"/>
      <c r="M89" s="9"/>
      <c r="N89" s="10"/>
      <c r="O89" s="8"/>
      <c r="P89" s="11"/>
    </row>
    <row r="90" spans="1:16" ht="12.75" customHeight="1" x14ac:dyDescent="0.25">
      <c r="A90" s="22" t="s">
        <v>103</v>
      </c>
      <c r="B90" s="16" t="s">
        <v>104</v>
      </c>
      <c r="C90" s="17">
        <v>500</v>
      </c>
      <c r="D90" s="18" t="s">
        <v>102</v>
      </c>
      <c r="E90" s="3"/>
      <c r="F90" s="158"/>
      <c r="G90" s="157">
        <f>C90*F90</f>
        <v>0</v>
      </c>
      <c r="I90" s="7"/>
      <c r="L90" s="8"/>
      <c r="M90" s="86"/>
      <c r="N90" s="10"/>
      <c r="O90" s="8"/>
      <c r="P90" s="11"/>
    </row>
    <row r="91" spans="1:16" ht="12.9" customHeight="1" x14ac:dyDescent="0.25">
      <c r="A91" s="22"/>
      <c r="B91" s="108"/>
      <c r="C91" s="13"/>
      <c r="D91" s="14"/>
      <c r="E91" s="103"/>
      <c r="F91" s="161"/>
      <c r="G91" s="162"/>
      <c r="I91" s="7"/>
      <c r="L91" s="8"/>
      <c r="M91" s="9"/>
      <c r="N91" s="10"/>
      <c r="O91" s="8"/>
      <c r="P91" s="11"/>
    </row>
    <row r="92" spans="1:16" ht="12.9" customHeight="1" x14ac:dyDescent="0.25">
      <c r="A92" s="22" t="s">
        <v>105</v>
      </c>
      <c r="B92" s="16" t="s">
        <v>106</v>
      </c>
      <c r="C92" s="17">
        <v>500</v>
      </c>
      <c r="D92" s="18" t="s">
        <v>102</v>
      </c>
      <c r="E92" s="3"/>
      <c r="F92" s="158"/>
      <c r="G92" s="157">
        <f>C92*F92</f>
        <v>0</v>
      </c>
      <c r="I92" s="7"/>
      <c r="L92" s="8"/>
      <c r="M92" s="9"/>
      <c r="N92" s="10"/>
      <c r="O92" s="8"/>
      <c r="P92" s="11"/>
    </row>
    <row r="93" spans="1:16" ht="12.9" customHeight="1" x14ac:dyDescent="0.25">
      <c r="A93" s="22"/>
      <c r="B93" s="16"/>
      <c r="C93" s="17"/>
      <c r="D93" s="18"/>
      <c r="E93" s="3"/>
      <c r="F93" s="161"/>
      <c r="G93" s="162"/>
      <c r="L93" s="8"/>
      <c r="M93" s="9"/>
      <c r="N93" s="10"/>
      <c r="O93" s="8"/>
      <c r="P93" s="11"/>
    </row>
    <row r="94" spans="1:16" ht="12.9" customHeight="1" x14ac:dyDescent="0.25">
      <c r="A94" s="22" t="s">
        <v>107</v>
      </c>
      <c r="B94" s="16" t="s">
        <v>108</v>
      </c>
      <c r="C94" s="17">
        <v>2500</v>
      </c>
      <c r="D94" s="18" t="s">
        <v>92</v>
      </c>
      <c r="E94" s="3"/>
      <c r="F94" s="158"/>
      <c r="G94" s="157">
        <f>C94*F94</f>
        <v>0</v>
      </c>
      <c r="I94" s="7"/>
      <c r="L94" s="8"/>
      <c r="M94" s="9"/>
      <c r="N94" s="10"/>
      <c r="O94" s="8"/>
      <c r="P94" s="11"/>
    </row>
    <row r="95" spans="1:16" ht="12.9" customHeight="1" x14ac:dyDescent="0.25">
      <c r="A95" s="22"/>
      <c r="B95" s="108"/>
      <c r="C95" s="13"/>
      <c r="D95" s="14"/>
      <c r="E95" s="103"/>
      <c r="F95" s="161"/>
      <c r="G95" s="162"/>
      <c r="I95" s="7"/>
      <c r="L95" s="8"/>
      <c r="M95" s="9"/>
      <c r="N95" s="10"/>
      <c r="O95" s="8"/>
      <c r="P95" s="11"/>
    </row>
    <row r="96" spans="1:16" ht="12.9" customHeight="1" x14ac:dyDescent="0.25">
      <c r="A96" s="22" t="s">
        <v>109</v>
      </c>
      <c r="B96" s="16" t="s">
        <v>110</v>
      </c>
      <c r="C96" s="17">
        <v>2500</v>
      </c>
      <c r="D96" s="18" t="s">
        <v>92</v>
      </c>
      <c r="E96" s="3"/>
      <c r="F96" s="158"/>
      <c r="G96" s="157">
        <f>C96*F96</f>
        <v>0</v>
      </c>
      <c r="I96" s="7"/>
      <c r="L96" s="8"/>
      <c r="M96" s="9"/>
      <c r="N96" s="10"/>
      <c r="O96" s="8"/>
      <c r="P96" s="11"/>
    </row>
    <row r="97" spans="1:16" ht="12.9" customHeight="1" x14ac:dyDescent="0.25">
      <c r="A97" s="22"/>
      <c r="B97" s="108"/>
      <c r="C97" s="13"/>
      <c r="D97" s="14"/>
      <c r="E97" s="103"/>
      <c r="F97" s="161"/>
      <c r="G97" s="162"/>
      <c r="I97" s="7"/>
      <c r="L97" s="23"/>
      <c r="M97" s="86"/>
      <c r="N97" s="10"/>
      <c r="O97" s="8"/>
      <c r="P97" s="11"/>
    </row>
    <row r="98" spans="1:16" ht="12.9" customHeight="1" x14ac:dyDescent="0.25">
      <c r="A98" s="22" t="s">
        <v>111</v>
      </c>
      <c r="B98" s="16" t="s">
        <v>112</v>
      </c>
      <c r="C98" s="17">
        <v>2500</v>
      </c>
      <c r="D98" s="18" t="s">
        <v>92</v>
      </c>
      <c r="E98" s="3"/>
      <c r="F98" s="158"/>
      <c r="G98" s="157">
        <f>C98*F98</f>
        <v>0</v>
      </c>
      <c r="I98" s="7"/>
      <c r="L98" s="8"/>
      <c r="M98" s="136"/>
      <c r="N98" s="20"/>
      <c r="O98" s="21"/>
      <c r="P98" s="11"/>
    </row>
    <row r="99" spans="1:16" ht="12.9" customHeight="1" x14ac:dyDescent="0.25">
      <c r="A99" s="22"/>
      <c r="B99" s="16"/>
      <c r="C99" s="17"/>
      <c r="D99" s="14"/>
      <c r="E99" s="3"/>
      <c r="F99" s="158"/>
      <c r="G99" s="163"/>
      <c r="I99" s="7"/>
      <c r="L99" s="8"/>
      <c r="M99" s="9"/>
      <c r="N99" s="24"/>
      <c r="O99" s="8"/>
      <c r="P99" s="11"/>
    </row>
    <row r="100" spans="1:16" ht="12.9" customHeight="1" x14ac:dyDescent="0.25">
      <c r="A100" s="22" t="s">
        <v>113</v>
      </c>
      <c r="B100" s="4" t="s">
        <v>114</v>
      </c>
      <c r="C100" s="17">
        <v>2500</v>
      </c>
      <c r="D100" s="18" t="s">
        <v>92</v>
      </c>
      <c r="E100" s="3"/>
      <c r="F100" s="158"/>
      <c r="G100" s="157">
        <f>C100*F100</f>
        <v>0</v>
      </c>
      <c r="I100" s="7"/>
      <c r="L100" s="8"/>
      <c r="M100" s="9"/>
      <c r="N100" s="24"/>
      <c r="O100" s="8"/>
      <c r="P100" s="11"/>
    </row>
    <row r="101" spans="1:16" ht="12.9" customHeight="1" x14ac:dyDescent="0.25">
      <c r="A101" s="22"/>
      <c r="B101" s="16"/>
      <c r="C101" s="17"/>
      <c r="D101" s="18"/>
      <c r="E101" s="3"/>
      <c r="F101" s="158"/>
      <c r="G101" s="163"/>
      <c r="I101" s="7"/>
      <c r="L101" s="8"/>
      <c r="M101" s="9"/>
      <c r="N101" s="24"/>
      <c r="O101" s="8"/>
      <c r="P101" s="11"/>
    </row>
    <row r="102" spans="1:16" ht="12.9" customHeight="1" x14ac:dyDescent="0.25">
      <c r="A102" s="22" t="s">
        <v>115</v>
      </c>
      <c r="B102" s="4" t="s">
        <v>116</v>
      </c>
      <c r="C102" s="17">
        <v>3000</v>
      </c>
      <c r="D102" s="18" t="s">
        <v>43</v>
      </c>
      <c r="E102" s="3"/>
      <c r="F102" s="158"/>
      <c r="G102" s="157">
        <f>C102*F102</f>
        <v>0</v>
      </c>
      <c r="I102" s="7"/>
      <c r="L102" s="8"/>
      <c r="M102" s="9"/>
      <c r="N102" s="24"/>
      <c r="O102" s="8"/>
      <c r="P102" s="11"/>
    </row>
    <row r="103" spans="1:16" ht="12.9" customHeight="1" x14ac:dyDescent="0.25">
      <c r="A103" s="22"/>
      <c r="B103" s="13"/>
      <c r="C103" s="13"/>
      <c r="D103" s="14"/>
      <c r="E103" s="103"/>
      <c r="F103" s="161"/>
      <c r="G103" s="162"/>
      <c r="I103" s="7"/>
      <c r="L103" s="8"/>
      <c r="M103" s="9"/>
      <c r="N103" s="24"/>
      <c r="O103" s="8"/>
      <c r="P103" s="11"/>
    </row>
    <row r="104" spans="1:16" ht="12.9" customHeight="1" x14ac:dyDescent="0.25">
      <c r="A104" s="140" t="s">
        <v>117</v>
      </c>
      <c r="B104" s="137" t="s">
        <v>118</v>
      </c>
      <c r="C104" s="13"/>
      <c r="D104" s="14"/>
      <c r="E104" s="103"/>
      <c r="F104" s="161"/>
      <c r="G104" s="162"/>
      <c r="I104" s="7"/>
      <c r="L104" s="8"/>
      <c r="M104" s="9"/>
      <c r="N104" s="24"/>
      <c r="O104" s="8"/>
      <c r="P104" s="11"/>
    </row>
    <row r="105" spans="1:16" ht="12.9" customHeight="1" x14ac:dyDescent="0.25">
      <c r="A105" s="22"/>
      <c r="B105" s="13"/>
      <c r="C105" s="13"/>
      <c r="D105" s="14"/>
      <c r="E105" s="103"/>
      <c r="F105" s="161"/>
      <c r="G105" s="162"/>
      <c r="I105" s="7"/>
      <c r="L105" s="8"/>
      <c r="M105" s="9"/>
      <c r="N105" s="24"/>
      <c r="O105" s="8"/>
      <c r="P105" s="11"/>
    </row>
    <row r="106" spans="1:16" ht="12.9" customHeight="1" x14ac:dyDescent="0.25">
      <c r="A106" s="22" t="s">
        <v>119</v>
      </c>
      <c r="B106" s="16" t="s">
        <v>120</v>
      </c>
      <c r="C106" s="17">
        <v>200</v>
      </c>
      <c r="D106" s="18" t="s">
        <v>36</v>
      </c>
      <c r="E106" s="3"/>
      <c r="F106" s="158"/>
      <c r="G106" s="157">
        <f>C106*F106</f>
        <v>0</v>
      </c>
      <c r="I106" s="7"/>
      <c r="L106" s="8"/>
      <c r="M106" s="9"/>
      <c r="N106" s="24"/>
      <c r="O106" s="8"/>
      <c r="P106" s="11"/>
    </row>
    <row r="107" spans="1:16" ht="12.9" customHeight="1" x14ac:dyDescent="0.25">
      <c r="A107" s="22"/>
      <c r="B107" s="16"/>
      <c r="C107" s="13"/>
      <c r="D107" s="14"/>
      <c r="E107" s="103"/>
      <c r="F107" s="161"/>
      <c r="G107" s="162"/>
      <c r="I107" s="7"/>
      <c r="L107" s="8"/>
      <c r="M107" s="9"/>
      <c r="N107" s="24"/>
      <c r="O107" s="8"/>
      <c r="P107" s="11"/>
    </row>
    <row r="108" spans="1:16" ht="12.9" customHeight="1" x14ac:dyDescent="0.25">
      <c r="A108" s="22" t="s">
        <v>121</v>
      </c>
      <c r="B108" s="16" t="s">
        <v>122</v>
      </c>
      <c r="C108" s="17">
        <v>200</v>
      </c>
      <c r="D108" s="18" t="s">
        <v>36</v>
      </c>
      <c r="E108" s="3"/>
      <c r="F108" s="158"/>
      <c r="G108" s="157">
        <f>C108*F108</f>
        <v>0</v>
      </c>
      <c r="I108" s="7"/>
      <c r="L108" s="8"/>
      <c r="M108" s="9"/>
      <c r="N108" s="24"/>
      <c r="O108" s="8"/>
      <c r="P108" s="11"/>
    </row>
    <row r="109" spans="1:16" ht="12.9" customHeight="1" x14ac:dyDescent="0.25">
      <c r="A109" s="22"/>
      <c r="B109" s="16"/>
      <c r="C109" s="13"/>
      <c r="D109" s="14"/>
      <c r="E109" s="103"/>
      <c r="F109" s="161"/>
      <c r="G109" s="162"/>
      <c r="I109" s="7"/>
      <c r="L109" s="8"/>
      <c r="M109" s="9"/>
      <c r="N109" s="24"/>
      <c r="O109" s="8"/>
      <c r="P109" s="11"/>
    </row>
    <row r="110" spans="1:16" ht="12.9" customHeight="1" x14ac:dyDescent="0.25">
      <c r="A110" s="22" t="s">
        <v>123</v>
      </c>
      <c r="B110" s="16" t="s">
        <v>124</v>
      </c>
      <c r="C110" s="17">
        <v>200</v>
      </c>
      <c r="D110" s="18" t="s">
        <v>36</v>
      </c>
      <c r="E110" s="3"/>
      <c r="F110" s="158"/>
      <c r="G110" s="157">
        <f>C110*F110</f>
        <v>0</v>
      </c>
      <c r="I110" s="7"/>
      <c r="L110" s="8"/>
      <c r="M110" s="9"/>
      <c r="N110" s="24"/>
      <c r="O110" s="8"/>
      <c r="P110" s="11"/>
    </row>
    <row r="111" spans="1:16" ht="12.9" customHeight="1" x14ac:dyDescent="0.25">
      <c r="A111" s="22"/>
      <c r="B111" s="16"/>
      <c r="C111" s="13"/>
      <c r="D111" s="14"/>
      <c r="E111" s="103"/>
      <c r="F111" s="161"/>
      <c r="G111" s="162"/>
      <c r="I111" s="7"/>
      <c r="L111" s="8"/>
      <c r="M111" s="9"/>
      <c r="N111" s="24"/>
      <c r="O111" s="8"/>
      <c r="P111" s="11"/>
    </row>
    <row r="112" spans="1:16" ht="12.9" customHeight="1" x14ac:dyDescent="0.25">
      <c r="A112" s="22" t="s">
        <v>125</v>
      </c>
      <c r="B112" s="16" t="s">
        <v>126</v>
      </c>
      <c r="C112" s="17">
        <v>200</v>
      </c>
      <c r="D112" s="18" t="s">
        <v>36</v>
      </c>
      <c r="E112" s="3"/>
      <c r="F112" s="158"/>
      <c r="G112" s="157">
        <f>C112*F112</f>
        <v>0</v>
      </c>
      <c r="I112" s="7"/>
      <c r="L112" s="8"/>
      <c r="M112" s="9"/>
      <c r="N112" s="24"/>
      <c r="O112" s="8"/>
      <c r="P112" s="11"/>
    </row>
    <row r="113" spans="1:16" ht="12.9" customHeight="1" x14ac:dyDescent="0.25">
      <c r="A113" s="22"/>
      <c r="B113" s="16"/>
      <c r="C113" s="13"/>
      <c r="D113" s="14"/>
      <c r="E113" s="103"/>
      <c r="F113" s="161"/>
      <c r="G113" s="162"/>
      <c r="I113" s="7"/>
      <c r="L113" s="8"/>
      <c r="M113" s="9"/>
      <c r="N113" s="24"/>
      <c r="O113" s="8"/>
      <c r="P113" s="11"/>
    </row>
    <row r="114" spans="1:16" ht="12.9" customHeight="1" x14ac:dyDescent="0.25">
      <c r="A114" s="22" t="s">
        <v>127</v>
      </c>
      <c r="B114" s="16" t="s">
        <v>128</v>
      </c>
      <c r="C114" s="17">
        <v>200</v>
      </c>
      <c r="D114" s="18" t="s">
        <v>36</v>
      </c>
      <c r="E114" s="3"/>
      <c r="F114" s="158"/>
      <c r="G114" s="157">
        <f>C114*F114</f>
        <v>0</v>
      </c>
      <c r="I114" s="7"/>
      <c r="L114" s="8"/>
      <c r="M114" s="9"/>
      <c r="N114" s="24"/>
      <c r="O114" s="8"/>
      <c r="P114" s="11"/>
    </row>
    <row r="115" spans="1:16" ht="12.9" customHeight="1" x14ac:dyDescent="0.25">
      <c r="A115" s="22"/>
      <c r="B115" s="16"/>
      <c r="C115" s="13"/>
      <c r="D115" s="14"/>
      <c r="E115" s="103"/>
      <c r="F115" s="161"/>
      <c r="G115" s="162"/>
      <c r="I115" s="7"/>
      <c r="L115" s="8"/>
      <c r="M115" s="9"/>
      <c r="N115" s="24"/>
      <c r="O115" s="8"/>
      <c r="P115" s="11"/>
    </row>
    <row r="116" spans="1:16" ht="12.9" customHeight="1" x14ac:dyDescent="0.25">
      <c r="A116" s="22" t="s">
        <v>129</v>
      </c>
      <c r="B116" s="16" t="s">
        <v>130</v>
      </c>
      <c r="C116" s="17">
        <v>200</v>
      </c>
      <c r="D116" s="18" t="s">
        <v>36</v>
      </c>
      <c r="E116" s="3"/>
      <c r="F116" s="158"/>
      <c r="G116" s="157">
        <f>C116*F116</f>
        <v>0</v>
      </c>
      <c r="I116" s="7"/>
      <c r="L116" s="8"/>
      <c r="M116" s="9"/>
      <c r="N116" s="24"/>
      <c r="O116" s="8"/>
      <c r="P116" s="11"/>
    </row>
    <row r="117" spans="1:16" ht="12.9" customHeight="1" x14ac:dyDescent="0.25">
      <c r="A117" s="22"/>
      <c r="B117" s="16"/>
      <c r="C117" s="13"/>
      <c r="D117" s="14"/>
      <c r="E117" s="103"/>
      <c r="F117" s="161"/>
      <c r="G117" s="162"/>
      <c r="I117" s="7"/>
      <c r="L117" s="8"/>
      <c r="M117" s="9"/>
      <c r="N117" s="24"/>
      <c r="O117" s="8"/>
      <c r="P117" s="110"/>
    </row>
    <row r="118" spans="1:16" ht="12.9" customHeight="1" x14ac:dyDescent="0.25">
      <c r="A118" s="22" t="s">
        <v>131</v>
      </c>
      <c r="B118" s="16" t="s">
        <v>132</v>
      </c>
      <c r="C118" s="17">
        <v>200</v>
      </c>
      <c r="D118" s="18" t="s">
        <v>36</v>
      </c>
      <c r="E118" s="3"/>
      <c r="F118" s="158"/>
      <c r="G118" s="157">
        <f>C118*F118</f>
        <v>0</v>
      </c>
      <c r="I118" s="7"/>
      <c r="L118" s="8"/>
      <c r="M118" s="9"/>
      <c r="N118" s="24"/>
      <c r="O118" s="8"/>
      <c r="P118" s="11"/>
    </row>
    <row r="119" spans="1:16" ht="12.9" customHeight="1" x14ac:dyDescent="0.25">
      <c r="A119" s="22"/>
      <c r="B119" s="16"/>
      <c r="C119" s="13"/>
      <c r="D119" s="14"/>
      <c r="E119" s="103"/>
      <c r="F119" s="161"/>
      <c r="G119" s="162"/>
      <c r="I119" s="7"/>
      <c r="L119" s="8"/>
      <c r="M119" s="9"/>
      <c r="N119" s="24"/>
      <c r="O119" s="8"/>
      <c r="P119" s="11"/>
    </row>
    <row r="120" spans="1:16" ht="12.9" customHeight="1" x14ac:dyDescent="0.25">
      <c r="A120" s="22" t="s">
        <v>133</v>
      </c>
      <c r="B120" s="16" t="s">
        <v>134</v>
      </c>
      <c r="C120" s="17">
        <v>200</v>
      </c>
      <c r="D120" s="18" t="s">
        <v>36</v>
      </c>
      <c r="E120" s="3"/>
      <c r="F120" s="158"/>
      <c r="G120" s="157">
        <f>C120*F120</f>
        <v>0</v>
      </c>
      <c r="I120" s="7"/>
      <c r="L120" s="8"/>
      <c r="M120" s="9"/>
      <c r="N120" s="24"/>
      <c r="O120" s="8"/>
      <c r="P120" s="11"/>
    </row>
    <row r="121" spans="1:16" ht="12.9" customHeight="1" x14ac:dyDescent="0.25">
      <c r="A121" s="22"/>
      <c r="B121" s="16"/>
      <c r="C121" s="13"/>
      <c r="D121" s="14"/>
      <c r="E121" s="103"/>
      <c r="F121" s="161"/>
      <c r="G121" s="162"/>
      <c r="I121" s="7"/>
      <c r="L121" s="8"/>
      <c r="M121" s="9"/>
      <c r="N121" s="24"/>
      <c r="O121" s="8"/>
      <c r="P121" s="11"/>
    </row>
    <row r="122" spans="1:16" ht="12.9" customHeight="1" x14ac:dyDescent="0.25">
      <c r="A122" s="22" t="s">
        <v>135</v>
      </c>
      <c r="B122" s="16" t="s">
        <v>136</v>
      </c>
      <c r="C122" s="17">
        <v>200</v>
      </c>
      <c r="D122" s="18" t="s">
        <v>36</v>
      </c>
      <c r="E122" s="3"/>
      <c r="F122" s="158"/>
      <c r="G122" s="157">
        <f>C122*F122</f>
        <v>0</v>
      </c>
      <c r="I122" s="7"/>
      <c r="L122" s="8"/>
      <c r="M122" s="9"/>
      <c r="N122" s="24"/>
      <c r="O122" s="8"/>
      <c r="P122" s="11"/>
    </row>
    <row r="123" spans="1:16" ht="12.9" customHeight="1" x14ac:dyDescent="0.25">
      <c r="A123" s="22"/>
      <c r="B123" s="16"/>
      <c r="C123" s="13"/>
      <c r="D123" s="14"/>
      <c r="E123" s="103"/>
      <c r="F123" s="161"/>
      <c r="G123" s="162"/>
      <c r="I123" s="7"/>
      <c r="L123" s="8"/>
      <c r="M123" s="9"/>
      <c r="N123" s="24"/>
      <c r="O123" s="8"/>
      <c r="P123" s="11"/>
    </row>
    <row r="124" spans="1:16" ht="12.9" customHeight="1" x14ac:dyDescent="0.25">
      <c r="A124" s="22" t="s">
        <v>137</v>
      </c>
      <c r="B124" s="16" t="s">
        <v>138</v>
      </c>
      <c r="C124" s="17">
        <v>64</v>
      </c>
      <c r="D124" s="18" t="s">
        <v>36</v>
      </c>
      <c r="E124" s="3"/>
      <c r="F124" s="158"/>
      <c r="G124" s="157">
        <f>C124*F124</f>
        <v>0</v>
      </c>
      <c r="I124" s="7"/>
      <c r="L124" s="8"/>
      <c r="M124" s="9"/>
      <c r="N124" s="24"/>
      <c r="O124" s="8"/>
      <c r="P124" s="11"/>
    </row>
    <row r="125" spans="1:16" ht="12.9" customHeight="1" x14ac:dyDescent="0.25">
      <c r="A125" s="22"/>
      <c r="B125" s="16"/>
      <c r="C125" s="13"/>
      <c r="D125" s="14"/>
      <c r="E125" s="103"/>
      <c r="F125" s="161"/>
      <c r="G125" s="162"/>
      <c r="I125" s="7"/>
      <c r="L125" s="8"/>
      <c r="M125" s="9"/>
      <c r="N125" s="24"/>
      <c r="O125" s="8"/>
      <c r="P125" s="11"/>
    </row>
    <row r="126" spans="1:16" ht="12.9" customHeight="1" x14ac:dyDescent="0.25">
      <c r="A126" s="22" t="s">
        <v>139</v>
      </c>
      <c r="B126" s="16" t="s">
        <v>140</v>
      </c>
      <c r="C126" s="17">
        <v>30</v>
      </c>
      <c r="D126" s="18" t="s">
        <v>36</v>
      </c>
      <c r="E126" s="3"/>
      <c r="F126" s="158"/>
      <c r="G126" s="157">
        <f>C126*F126</f>
        <v>0</v>
      </c>
      <c r="I126" s="7"/>
      <c r="L126" s="8"/>
      <c r="M126" s="9"/>
      <c r="N126" s="24"/>
      <c r="O126" s="8"/>
      <c r="P126" s="11"/>
    </row>
    <row r="127" spans="1:16" ht="12.9" customHeight="1" x14ac:dyDescent="0.25">
      <c r="A127" s="22"/>
      <c r="B127" s="16"/>
      <c r="C127" s="13"/>
      <c r="D127" s="14"/>
      <c r="E127" s="103"/>
      <c r="F127" s="161"/>
      <c r="G127" s="162"/>
      <c r="I127" s="7"/>
      <c r="L127" s="8"/>
      <c r="M127" s="9"/>
      <c r="N127" s="24"/>
      <c r="O127" s="8"/>
      <c r="P127" s="11"/>
    </row>
    <row r="128" spans="1:16" ht="12.9" customHeight="1" x14ac:dyDescent="0.25">
      <c r="A128" s="22" t="s">
        <v>141</v>
      </c>
      <c r="B128" s="16" t="s">
        <v>142</v>
      </c>
      <c r="C128" s="17">
        <v>90</v>
      </c>
      <c r="D128" s="18" t="s">
        <v>36</v>
      </c>
      <c r="E128" s="3"/>
      <c r="F128" s="158"/>
      <c r="G128" s="157">
        <f>C128*F128</f>
        <v>0</v>
      </c>
      <c r="I128" s="7"/>
      <c r="L128" s="8"/>
      <c r="M128" s="9"/>
      <c r="N128" s="24"/>
      <c r="O128" s="8"/>
      <c r="P128" s="11"/>
    </row>
    <row r="129" spans="1:16" ht="12.9" customHeight="1" x14ac:dyDescent="0.25">
      <c r="A129" s="22"/>
      <c r="B129" s="16"/>
      <c r="C129" s="13"/>
      <c r="D129" s="14"/>
      <c r="E129" s="103"/>
      <c r="F129" s="161"/>
      <c r="G129" s="162"/>
      <c r="I129" s="7"/>
      <c r="L129" s="8"/>
      <c r="M129" s="9"/>
      <c r="N129" s="24"/>
      <c r="O129" s="8"/>
      <c r="P129" s="11"/>
    </row>
    <row r="130" spans="1:16" ht="12.9" customHeight="1" x14ac:dyDescent="0.25">
      <c r="A130" s="22" t="s">
        <v>143</v>
      </c>
      <c r="B130" s="16" t="s">
        <v>144</v>
      </c>
      <c r="C130" s="17">
        <v>400</v>
      </c>
      <c r="D130" s="18" t="s">
        <v>145</v>
      </c>
      <c r="E130" s="3"/>
      <c r="F130" s="158"/>
      <c r="G130" s="157">
        <f>C130*F130</f>
        <v>0</v>
      </c>
      <c r="I130" s="7"/>
      <c r="L130" s="8"/>
      <c r="M130" s="9"/>
      <c r="N130" s="24"/>
      <c r="O130" s="8"/>
      <c r="P130" s="11"/>
    </row>
    <row r="131" spans="1:16" ht="12.9" customHeight="1" x14ac:dyDescent="0.25">
      <c r="A131" s="22"/>
      <c r="B131" s="16"/>
      <c r="C131" s="13"/>
      <c r="D131" s="14"/>
      <c r="E131" s="103"/>
      <c r="F131" s="161"/>
      <c r="G131" s="162"/>
      <c r="I131" s="7"/>
      <c r="L131" s="8"/>
      <c r="M131" s="9"/>
      <c r="N131" s="24"/>
      <c r="O131" s="8"/>
      <c r="P131" s="11"/>
    </row>
    <row r="132" spans="1:16" ht="12.9" customHeight="1" x14ac:dyDescent="0.25">
      <c r="A132" s="22" t="s">
        <v>146</v>
      </c>
      <c r="B132" s="16" t="s">
        <v>147</v>
      </c>
      <c r="C132" s="17">
        <v>100</v>
      </c>
      <c r="D132" s="18" t="s">
        <v>145</v>
      </c>
      <c r="E132" s="3"/>
      <c r="F132" s="158"/>
      <c r="G132" s="157">
        <f>C132*F132</f>
        <v>0</v>
      </c>
      <c r="I132" s="7"/>
      <c r="L132" s="8"/>
      <c r="M132" s="9"/>
      <c r="N132" s="24"/>
      <c r="O132" s="8"/>
      <c r="P132" s="11"/>
    </row>
    <row r="133" spans="1:16" ht="12.9" customHeight="1" x14ac:dyDescent="0.25">
      <c r="A133" s="22"/>
      <c r="B133" s="16"/>
      <c r="C133" s="13"/>
      <c r="D133" s="14"/>
      <c r="E133" s="103"/>
      <c r="F133" s="161"/>
      <c r="G133" s="162"/>
      <c r="I133" s="7"/>
      <c r="L133" s="8"/>
      <c r="M133" s="9"/>
      <c r="N133" s="24"/>
      <c r="O133" s="8"/>
      <c r="P133" s="11"/>
    </row>
    <row r="134" spans="1:16" ht="12.9" customHeight="1" x14ac:dyDescent="0.25">
      <c r="A134" s="22" t="s">
        <v>148</v>
      </c>
      <c r="B134" s="16" t="s">
        <v>149</v>
      </c>
      <c r="C134" s="17">
        <v>1000</v>
      </c>
      <c r="D134" s="18" t="s">
        <v>102</v>
      </c>
      <c r="E134" s="3"/>
      <c r="F134" s="158"/>
      <c r="G134" s="157">
        <f>C134*F134</f>
        <v>0</v>
      </c>
      <c r="I134" s="7"/>
      <c r="L134" s="23"/>
      <c r="M134" s="9"/>
      <c r="N134" s="24"/>
      <c r="O134" s="8"/>
      <c r="P134" s="11"/>
    </row>
    <row r="135" spans="1:16" ht="12.9" customHeight="1" x14ac:dyDescent="0.25">
      <c r="A135" s="22"/>
      <c r="B135" s="16"/>
      <c r="C135" s="13"/>
      <c r="D135" s="14"/>
      <c r="E135" s="103"/>
      <c r="F135" s="161"/>
      <c r="G135" s="162"/>
      <c r="I135" s="7"/>
      <c r="L135" s="8"/>
      <c r="M135" s="136"/>
      <c r="N135" s="20"/>
      <c r="O135" s="21"/>
      <c r="P135" s="111"/>
    </row>
    <row r="136" spans="1:16" ht="12.9" customHeight="1" x14ac:dyDescent="0.25">
      <c r="A136" s="22" t="s">
        <v>150</v>
      </c>
      <c r="B136" s="16" t="s">
        <v>151</v>
      </c>
      <c r="C136" s="17">
        <v>2000</v>
      </c>
      <c r="D136" s="18" t="s">
        <v>102</v>
      </c>
      <c r="E136" s="3"/>
      <c r="F136" s="158"/>
      <c r="G136" s="157">
        <f>C136*F136</f>
        <v>0</v>
      </c>
      <c r="I136" s="7"/>
      <c r="L136" s="8"/>
      <c r="M136" s="9"/>
      <c r="N136" s="24"/>
      <c r="O136" s="8"/>
      <c r="P136" s="111"/>
    </row>
    <row r="137" spans="1:16" x14ac:dyDescent="0.25">
      <c r="A137" s="22"/>
      <c r="B137" s="16"/>
      <c r="C137" s="13"/>
      <c r="D137" s="14"/>
      <c r="E137" s="103"/>
      <c r="F137" s="161"/>
      <c r="G137" s="162"/>
      <c r="I137" s="7"/>
      <c r="L137" s="8"/>
      <c r="M137" s="9"/>
      <c r="N137" s="24"/>
      <c r="O137" s="8"/>
      <c r="P137" s="11"/>
    </row>
    <row r="138" spans="1:16" ht="12.75" customHeight="1" x14ac:dyDescent="0.25">
      <c r="A138" s="22" t="s">
        <v>152</v>
      </c>
      <c r="B138" s="16" t="s">
        <v>153</v>
      </c>
      <c r="C138" s="17">
        <v>19000</v>
      </c>
      <c r="D138" s="18" t="s">
        <v>102</v>
      </c>
      <c r="E138" s="3"/>
      <c r="F138" s="158"/>
      <c r="G138" s="157">
        <f>C138*F138</f>
        <v>0</v>
      </c>
      <c r="I138" s="7"/>
      <c r="L138" s="8"/>
      <c r="M138" s="9"/>
      <c r="N138" s="24"/>
      <c r="O138" s="8"/>
      <c r="P138" s="11"/>
    </row>
    <row r="139" spans="1:16" x14ac:dyDescent="0.25">
      <c r="A139" s="22"/>
      <c r="B139" s="16"/>
      <c r="C139" s="17"/>
      <c r="D139" s="18"/>
      <c r="E139" s="3"/>
      <c r="F139" s="161"/>
      <c r="G139" s="163"/>
      <c r="I139" s="7"/>
      <c r="L139" s="8"/>
      <c r="M139" s="9"/>
      <c r="N139" s="24"/>
      <c r="O139" s="8"/>
      <c r="P139" s="11"/>
    </row>
    <row r="140" spans="1:16" ht="12.75" customHeight="1" x14ac:dyDescent="0.25">
      <c r="A140" s="22" t="s">
        <v>154</v>
      </c>
      <c r="B140" s="4" t="s">
        <v>155</v>
      </c>
      <c r="C140" s="26">
        <v>500</v>
      </c>
      <c r="D140" s="18" t="s">
        <v>36</v>
      </c>
      <c r="E140" s="3"/>
      <c r="F140" s="158"/>
      <c r="G140" s="157">
        <f>C140*F140</f>
        <v>0</v>
      </c>
      <c r="I140" s="7"/>
      <c r="L140" s="8"/>
      <c r="M140" s="9"/>
      <c r="N140" s="24"/>
      <c r="O140" s="8"/>
      <c r="P140" s="11"/>
    </row>
    <row r="141" spans="1:16" x14ac:dyDescent="0.25">
      <c r="A141" s="22"/>
      <c r="B141" s="13"/>
      <c r="C141" s="13"/>
      <c r="D141" s="14"/>
      <c r="E141" s="103"/>
      <c r="F141" s="161"/>
      <c r="G141" s="162"/>
      <c r="I141" s="7"/>
      <c r="L141" s="8"/>
      <c r="M141" s="9"/>
      <c r="N141" s="24"/>
      <c r="O141" s="8"/>
      <c r="P141" s="11"/>
    </row>
    <row r="142" spans="1:16" ht="12.75" customHeight="1" x14ac:dyDescent="0.25">
      <c r="A142" s="135" t="s">
        <v>156</v>
      </c>
      <c r="B142" s="137" t="s">
        <v>157</v>
      </c>
      <c r="C142" s="13"/>
      <c r="D142" s="14"/>
      <c r="E142" s="103"/>
      <c r="F142" s="161"/>
      <c r="G142" s="162"/>
      <c r="I142" s="7"/>
      <c r="L142" s="8"/>
      <c r="M142" s="9"/>
      <c r="N142" s="24"/>
      <c r="O142" s="8"/>
      <c r="P142" s="11"/>
    </row>
    <row r="143" spans="1:16" x14ac:dyDescent="0.25">
      <c r="A143" s="22"/>
      <c r="B143" s="13"/>
      <c r="C143" s="13"/>
      <c r="D143" s="14"/>
      <c r="E143" s="103"/>
      <c r="F143" s="161"/>
      <c r="G143" s="162"/>
      <c r="I143" s="7"/>
      <c r="L143" s="8"/>
      <c r="M143" s="9"/>
      <c r="N143" s="24"/>
      <c r="O143" s="8"/>
      <c r="P143" s="110"/>
    </row>
    <row r="144" spans="1:16" ht="12.75" customHeight="1" x14ac:dyDescent="0.25">
      <c r="A144" s="22" t="s">
        <v>158</v>
      </c>
      <c r="B144" s="16" t="s">
        <v>159</v>
      </c>
      <c r="C144" s="17">
        <v>50000</v>
      </c>
      <c r="D144" s="18" t="s">
        <v>46</v>
      </c>
      <c r="E144" s="3"/>
      <c r="F144" s="158"/>
      <c r="G144" s="157">
        <f>C144*F144</f>
        <v>0</v>
      </c>
      <c r="I144" s="7"/>
      <c r="L144" s="8"/>
      <c r="M144" s="9"/>
      <c r="N144" s="24"/>
      <c r="O144" s="8"/>
      <c r="P144" s="11"/>
    </row>
    <row r="145" spans="1:16" x14ac:dyDescent="0.25">
      <c r="A145" s="22"/>
      <c r="B145" s="16"/>
      <c r="C145" s="13"/>
      <c r="D145" s="14"/>
      <c r="E145" s="103"/>
      <c r="F145" s="161"/>
      <c r="G145" s="162"/>
      <c r="I145" s="7"/>
      <c r="L145" s="8"/>
      <c r="M145" s="9"/>
      <c r="N145" s="24"/>
      <c r="O145" s="8"/>
      <c r="P145" s="11"/>
    </row>
    <row r="146" spans="1:16" ht="12.75" customHeight="1" x14ac:dyDescent="0.25">
      <c r="A146" s="22" t="s">
        <v>160</v>
      </c>
      <c r="B146" s="16" t="s">
        <v>161</v>
      </c>
      <c r="C146" s="17">
        <v>2600</v>
      </c>
      <c r="D146" s="18" t="s">
        <v>162</v>
      </c>
      <c r="E146" s="3"/>
      <c r="F146" s="158"/>
      <c r="G146" s="157">
        <f>C146*F146</f>
        <v>0</v>
      </c>
      <c r="I146" s="7"/>
      <c r="L146" s="8"/>
      <c r="M146" s="9"/>
      <c r="N146" s="24"/>
      <c r="O146" s="8"/>
      <c r="P146" s="11"/>
    </row>
    <row r="147" spans="1:16" x14ac:dyDescent="0.25">
      <c r="A147" s="22"/>
      <c r="B147" s="16"/>
      <c r="C147" s="13"/>
      <c r="D147" s="14"/>
      <c r="E147" s="103"/>
      <c r="F147" s="161"/>
      <c r="G147" s="162"/>
      <c r="I147" s="7"/>
      <c r="L147" s="8"/>
      <c r="M147" s="9"/>
      <c r="N147" s="24"/>
      <c r="O147" s="8"/>
      <c r="P147" s="11"/>
    </row>
    <row r="148" spans="1:16" ht="12.75" customHeight="1" x14ac:dyDescent="0.25">
      <c r="A148" s="22" t="s">
        <v>163</v>
      </c>
      <c r="B148" s="16" t="s">
        <v>164</v>
      </c>
      <c r="C148" s="17">
        <v>2500</v>
      </c>
      <c r="D148" s="14" t="s">
        <v>46</v>
      </c>
      <c r="E148" s="3"/>
      <c r="F148" s="158"/>
      <c r="G148" s="157">
        <f>C148*F148</f>
        <v>0</v>
      </c>
      <c r="I148" s="7"/>
      <c r="L148" s="8"/>
      <c r="M148" s="9"/>
      <c r="N148" s="24"/>
      <c r="O148" s="8"/>
      <c r="P148" s="11"/>
    </row>
    <row r="149" spans="1:16" x14ac:dyDescent="0.25">
      <c r="A149" s="22"/>
      <c r="B149" s="16"/>
      <c r="C149" s="13"/>
      <c r="D149" s="18"/>
      <c r="E149" s="103"/>
      <c r="F149" s="161"/>
      <c r="G149" s="162"/>
      <c r="I149" s="7"/>
      <c r="L149" s="8"/>
      <c r="M149" s="9"/>
      <c r="N149" s="24"/>
      <c r="O149" s="8"/>
      <c r="P149" s="11"/>
    </row>
    <row r="150" spans="1:16" ht="12.9" customHeight="1" x14ac:dyDescent="0.25">
      <c r="A150" s="22" t="s">
        <v>165</v>
      </c>
      <c r="B150" s="16" t="s">
        <v>166</v>
      </c>
      <c r="C150" s="17">
        <v>25500</v>
      </c>
      <c r="D150" s="18" t="s">
        <v>46</v>
      </c>
      <c r="E150" s="3"/>
      <c r="F150" s="158"/>
      <c r="G150" s="157">
        <f>C150*F150</f>
        <v>0</v>
      </c>
      <c r="I150" s="7"/>
      <c r="L150" s="8"/>
      <c r="M150" s="9"/>
      <c r="N150" s="24"/>
      <c r="O150" s="8"/>
      <c r="P150" s="11"/>
    </row>
    <row r="151" spans="1:16" x14ac:dyDescent="0.25">
      <c r="A151" s="22"/>
      <c r="B151" s="16"/>
      <c r="C151" s="13"/>
      <c r="D151" s="14"/>
      <c r="E151" s="103"/>
      <c r="F151" s="161"/>
      <c r="G151" s="162"/>
      <c r="I151" s="7"/>
      <c r="L151" s="8"/>
      <c r="M151" s="9"/>
      <c r="N151" s="24"/>
      <c r="O151" s="8"/>
      <c r="P151" s="11"/>
    </row>
    <row r="152" spans="1:16" ht="12.75" customHeight="1" x14ac:dyDescent="0.25">
      <c r="A152" s="22" t="s">
        <v>167</v>
      </c>
      <c r="B152" s="16" t="s">
        <v>168</v>
      </c>
      <c r="C152" s="17">
        <v>76000</v>
      </c>
      <c r="D152" s="18" t="s">
        <v>46</v>
      </c>
      <c r="E152" s="3"/>
      <c r="F152" s="158"/>
      <c r="G152" s="157">
        <f>C152*F152</f>
        <v>0</v>
      </c>
      <c r="I152" s="7"/>
      <c r="L152" s="8"/>
      <c r="M152" s="9"/>
      <c r="N152" s="24"/>
      <c r="O152" s="8"/>
      <c r="P152" s="11"/>
    </row>
    <row r="153" spans="1:16" x14ac:dyDescent="0.25">
      <c r="A153" s="22"/>
      <c r="B153" s="16"/>
      <c r="C153" s="13"/>
      <c r="D153" s="14"/>
      <c r="E153" s="103"/>
      <c r="F153" s="161"/>
      <c r="G153" s="162"/>
      <c r="I153" s="7"/>
      <c r="L153" s="8"/>
      <c r="M153" s="9"/>
      <c r="N153" s="24"/>
      <c r="O153" s="8"/>
      <c r="P153" s="11"/>
    </row>
    <row r="154" spans="1:16" ht="12.75" customHeight="1" x14ac:dyDescent="0.25">
      <c r="A154" s="22" t="s">
        <v>169</v>
      </c>
      <c r="B154" s="16" t="s">
        <v>170</v>
      </c>
      <c r="C154" s="17">
        <v>76000</v>
      </c>
      <c r="D154" s="18" t="s">
        <v>46</v>
      </c>
      <c r="E154" s="3"/>
      <c r="F154" s="158"/>
      <c r="G154" s="157">
        <f>C154*F154</f>
        <v>0</v>
      </c>
      <c r="I154" s="7"/>
      <c r="L154" s="23"/>
      <c r="M154" s="9"/>
      <c r="N154" s="24"/>
      <c r="O154" s="8"/>
      <c r="P154" s="11"/>
    </row>
    <row r="155" spans="1:16" x14ac:dyDescent="0.25">
      <c r="A155" s="22"/>
      <c r="B155" s="16"/>
      <c r="C155" s="13"/>
      <c r="D155" s="164"/>
      <c r="E155" s="103"/>
      <c r="F155" s="161"/>
      <c r="G155" s="162"/>
      <c r="I155" s="7"/>
      <c r="L155" s="23"/>
      <c r="M155" s="136"/>
      <c r="N155" s="20"/>
      <c r="O155" s="21"/>
      <c r="P155" s="11"/>
    </row>
    <row r="156" spans="1:16" ht="12.75" customHeight="1" x14ac:dyDescent="0.25">
      <c r="A156" s="22" t="s">
        <v>171</v>
      </c>
      <c r="B156" s="16" t="s">
        <v>172</v>
      </c>
      <c r="C156" s="17">
        <v>135000</v>
      </c>
      <c r="D156" s="18" t="s">
        <v>46</v>
      </c>
      <c r="E156" s="3"/>
      <c r="F156" s="158"/>
      <c r="G156" s="157">
        <f>C156*F156</f>
        <v>0</v>
      </c>
      <c r="I156" s="7"/>
      <c r="L156" s="8"/>
      <c r="M156" s="136"/>
      <c r="N156" s="20"/>
      <c r="O156" s="21"/>
      <c r="P156" s="11"/>
    </row>
    <row r="157" spans="1:16" x14ac:dyDescent="0.25">
      <c r="A157" s="22"/>
      <c r="B157" s="16"/>
      <c r="C157" s="13"/>
      <c r="D157" s="14"/>
      <c r="E157" s="103"/>
      <c r="F157" s="161"/>
      <c r="G157" s="162"/>
      <c r="I157" s="7"/>
      <c r="L157" s="8"/>
      <c r="M157" s="9"/>
      <c r="N157" s="24"/>
      <c r="O157" s="8"/>
      <c r="P157" s="11"/>
    </row>
    <row r="158" spans="1:16" ht="12.75" customHeight="1" x14ac:dyDescent="0.25">
      <c r="A158" s="22" t="s">
        <v>173</v>
      </c>
      <c r="B158" s="16" t="s">
        <v>174</v>
      </c>
      <c r="C158" s="17">
        <v>26000</v>
      </c>
      <c r="D158" s="18" t="s">
        <v>46</v>
      </c>
      <c r="E158" s="3"/>
      <c r="F158" s="158"/>
      <c r="G158" s="157">
        <f>C158*F158</f>
        <v>0</v>
      </c>
      <c r="I158" s="7"/>
      <c r="L158" s="23"/>
      <c r="M158" s="9"/>
      <c r="N158" s="24"/>
      <c r="O158" s="8"/>
      <c r="P158" s="11"/>
    </row>
    <row r="159" spans="1:16" x14ac:dyDescent="0.25">
      <c r="A159" s="22"/>
      <c r="B159" s="16"/>
      <c r="C159" s="13"/>
      <c r="D159" s="14"/>
      <c r="E159" s="103"/>
      <c r="F159" s="161"/>
      <c r="G159" s="157"/>
      <c r="I159" s="7"/>
      <c r="L159" s="23"/>
      <c r="M159" s="112"/>
      <c r="N159" s="20"/>
      <c r="O159" s="21"/>
      <c r="P159" s="11"/>
    </row>
    <row r="160" spans="1:16" ht="12.75" customHeight="1" x14ac:dyDescent="0.25">
      <c r="A160" s="22" t="s">
        <v>175</v>
      </c>
      <c r="B160" s="16" t="s">
        <v>176</v>
      </c>
      <c r="C160" s="17">
        <v>9000</v>
      </c>
      <c r="D160" s="18" t="s">
        <v>46</v>
      </c>
      <c r="E160" s="3"/>
      <c r="F160" s="158"/>
      <c r="G160" s="157">
        <f>C160*F160</f>
        <v>0</v>
      </c>
      <c r="I160" s="7"/>
      <c r="L160" s="8"/>
      <c r="M160" s="15"/>
      <c r="N160" s="20"/>
      <c r="O160" s="21"/>
      <c r="P160" s="11"/>
    </row>
    <row r="161" spans="1:16" x14ac:dyDescent="0.25">
      <c r="A161" s="22"/>
      <c r="B161" s="13"/>
      <c r="C161" s="13"/>
      <c r="D161" s="14"/>
      <c r="E161" s="103"/>
      <c r="F161" s="161"/>
      <c r="G161" s="162"/>
      <c r="I161" s="7"/>
      <c r="L161" s="8"/>
      <c r="M161" s="9"/>
      <c r="N161" s="24"/>
      <c r="O161" s="8"/>
      <c r="P161" s="11"/>
    </row>
    <row r="162" spans="1:16" ht="12.75" customHeight="1" x14ac:dyDescent="0.25">
      <c r="A162" s="135" t="s">
        <v>177</v>
      </c>
      <c r="B162" s="137" t="s">
        <v>178</v>
      </c>
      <c r="C162" s="13"/>
      <c r="D162" s="14"/>
      <c r="E162" s="103"/>
      <c r="F162" s="161"/>
      <c r="G162" s="162"/>
      <c r="I162" s="7"/>
      <c r="L162" s="8"/>
      <c r="M162" s="86"/>
      <c r="N162" s="24"/>
      <c r="O162" s="8"/>
      <c r="P162" s="11"/>
    </row>
    <row r="163" spans="1:16" x14ac:dyDescent="0.25">
      <c r="A163" s="22"/>
      <c r="B163" s="13"/>
      <c r="C163" s="13"/>
      <c r="D163" s="14"/>
      <c r="E163" s="103"/>
      <c r="F163" s="161"/>
      <c r="G163" s="162"/>
      <c r="I163" s="7"/>
      <c r="L163" s="8"/>
      <c r="M163" s="15"/>
      <c r="N163" s="24"/>
      <c r="O163" s="8"/>
      <c r="P163" s="11"/>
    </row>
    <row r="164" spans="1:16" ht="12.75" customHeight="1" x14ac:dyDescent="0.25">
      <c r="A164" s="22" t="s">
        <v>179</v>
      </c>
      <c r="B164" s="4" t="s">
        <v>180</v>
      </c>
      <c r="C164" s="17">
        <v>400</v>
      </c>
      <c r="D164" s="18" t="s">
        <v>24</v>
      </c>
      <c r="E164" s="3"/>
      <c r="F164" s="158"/>
      <c r="G164" s="157">
        <f>C164*F164</f>
        <v>0</v>
      </c>
      <c r="I164" s="7"/>
      <c r="L164" s="8"/>
      <c r="M164" s="86"/>
      <c r="N164" s="24"/>
      <c r="O164" s="8"/>
      <c r="P164" s="11"/>
    </row>
    <row r="165" spans="1:16" x14ac:dyDescent="0.25">
      <c r="A165" s="22"/>
      <c r="B165" s="137"/>
      <c r="C165" s="13"/>
      <c r="D165" s="14"/>
      <c r="E165" s="103"/>
      <c r="F165" s="161"/>
      <c r="G165" s="162"/>
      <c r="I165" s="7"/>
      <c r="L165" s="8"/>
      <c r="M165" s="9"/>
      <c r="N165" s="24"/>
      <c r="O165" s="8"/>
      <c r="P165" s="11"/>
    </row>
    <row r="166" spans="1:16" ht="12.75" customHeight="1" x14ac:dyDescent="0.25">
      <c r="A166" s="22" t="s">
        <v>181</v>
      </c>
      <c r="B166" s="4" t="s">
        <v>182</v>
      </c>
      <c r="C166" s="17">
        <v>400</v>
      </c>
      <c r="D166" s="18" t="s">
        <v>24</v>
      </c>
      <c r="E166" s="3"/>
      <c r="F166" s="158"/>
      <c r="G166" s="157">
        <f>C166*F166</f>
        <v>0</v>
      </c>
      <c r="I166" s="7"/>
      <c r="L166" s="8"/>
      <c r="M166" s="9"/>
      <c r="N166" s="24"/>
      <c r="O166" s="8"/>
      <c r="P166" s="11"/>
    </row>
    <row r="167" spans="1:16" x14ac:dyDescent="0.25">
      <c r="A167" s="22"/>
      <c r="B167" s="108"/>
      <c r="C167" s="13"/>
      <c r="D167" s="14"/>
      <c r="E167" s="103"/>
      <c r="F167" s="161"/>
      <c r="G167" s="162"/>
      <c r="I167" s="7"/>
      <c r="L167" s="8"/>
      <c r="M167" s="112"/>
      <c r="N167" s="24"/>
      <c r="O167" s="8"/>
      <c r="P167" s="11"/>
    </row>
    <row r="168" spans="1:16" x14ac:dyDescent="0.25">
      <c r="A168" s="3" t="s">
        <v>183</v>
      </c>
      <c r="B168" s="4" t="s">
        <v>184</v>
      </c>
      <c r="C168" s="17">
        <v>400</v>
      </c>
      <c r="D168" s="18" t="s">
        <v>24</v>
      </c>
      <c r="E168" s="3"/>
      <c r="F168" s="158"/>
      <c r="G168" s="157">
        <f>C168*F168</f>
        <v>0</v>
      </c>
      <c r="I168" s="7"/>
      <c r="L168" s="8"/>
      <c r="M168" s="112"/>
      <c r="N168" s="24"/>
      <c r="O168" s="8"/>
      <c r="P168" s="11"/>
    </row>
    <row r="169" spans="1:16" x14ac:dyDescent="0.25">
      <c r="A169" s="22"/>
      <c r="B169" s="108"/>
      <c r="C169" s="13"/>
      <c r="D169" s="14"/>
      <c r="E169" s="103"/>
      <c r="F169" s="161"/>
      <c r="G169" s="162"/>
      <c r="I169" s="7"/>
      <c r="L169" s="8"/>
      <c r="M169" s="112"/>
      <c r="N169" s="24"/>
      <c r="O169" s="8"/>
      <c r="P169" s="11"/>
    </row>
    <row r="170" spans="1:16" ht="26.4" x14ac:dyDescent="0.25">
      <c r="A170" s="3" t="s">
        <v>185</v>
      </c>
      <c r="B170" s="4" t="s">
        <v>186</v>
      </c>
      <c r="C170" s="25">
        <v>400</v>
      </c>
      <c r="D170" s="3" t="s">
        <v>24</v>
      </c>
      <c r="E170" s="103"/>
      <c r="F170" s="161"/>
      <c r="G170" s="157">
        <f>C170*F170</f>
        <v>0</v>
      </c>
      <c r="I170" s="7"/>
      <c r="L170" s="8"/>
      <c r="M170" s="112"/>
      <c r="N170" s="24"/>
      <c r="O170" s="8"/>
      <c r="P170" s="11"/>
    </row>
    <row r="171" spans="1:16" x14ac:dyDescent="0.25">
      <c r="A171" s="22"/>
      <c r="B171" s="108"/>
      <c r="C171" s="13"/>
      <c r="D171" s="14"/>
      <c r="E171" s="103"/>
      <c r="F171" s="161"/>
      <c r="G171" s="162"/>
      <c r="I171" s="7"/>
      <c r="L171" s="8"/>
      <c r="M171" s="112"/>
      <c r="N171" s="24"/>
      <c r="O171" s="8"/>
      <c r="P171" s="11"/>
    </row>
    <row r="172" spans="1:16" ht="12.75" customHeight="1" x14ac:dyDescent="0.25">
      <c r="A172" s="22" t="s">
        <v>189</v>
      </c>
      <c r="B172" s="16" t="s">
        <v>187</v>
      </c>
      <c r="C172" s="17">
        <v>3000</v>
      </c>
      <c r="D172" s="18" t="s">
        <v>162</v>
      </c>
      <c r="E172" s="3"/>
      <c r="F172" s="158"/>
      <c r="G172" s="157">
        <f>C172*F172</f>
        <v>0</v>
      </c>
      <c r="I172" s="7"/>
      <c r="L172" s="8"/>
      <c r="M172" s="9"/>
      <c r="N172" s="24"/>
      <c r="O172" s="8"/>
      <c r="P172" s="11"/>
    </row>
    <row r="173" spans="1:16" x14ac:dyDescent="0.25">
      <c r="A173" s="22"/>
      <c r="B173" s="16"/>
      <c r="C173" s="13"/>
      <c r="D173" s="14"/>
      <c r="E173" s="103"/>
      <c r="F173" s="161"/>
      <c r="G173" s="162"/>
      <c r="I173" s="7"/>
      <c r="L173" s="8"/>
      <c r="M173" s="9"/>
      <c r="N173" s="24"/>
      <c r="O173" s="8"/>
      <c r="P173" s="11"/>
    </row>
    <row r="174" spans="1:16" ht="12.75" customHeight="1" x14ac:dyDescent="0.25">
      <c r="A174" s="22" t="s">
        <v>191</v>
      </c>
      <c r="B174" s="16" t="s">
        <v>188</v>
      </c>
      <c r="C174" s="17">
        <v>60000</v>
      </c>
      <c r="D174" s="18" t="s">
        <v>162</v>
      </c>
      <c r="E174" s="3"/>
      <c r="F174" s="158"/>
      <c r="G174" s="157">
        <f>C174*F174</f>
        <v>0</v>
      </c>
      <c r="I174" s="7"/>
      <c r="L174" s="8"/>
      <c r="M174" s="9"/>
      <c r="N174" s="24"/>
      <c r="O174" s="8"/>
      <c r="P174" s="11"/>
    </row>
    <row r="175" spans="1:16" x14ac:dyDescent="0.25">
      <c r="A175" s="22"/>
      <c r="B175" s="16"/>
      <c r="C175" s="13"/>
      <c r="D175" s="14"/>
      <c r="E175" s="103"/>
      <c r="F175" s="161"/>
      <c r="G175" s="162"/>
      <c r="I175" s="7"/>
      <c r="L175" s="8"/>
      <c r="M175" s="9"/>
      <c r="N175" s="24"/>
      <c r="O175" s="8"/>
      <c r="P175" s="11"/>
    </row>
    <row r="176" spans="1:16" ht="12.75" customHeight="1" x14ac:dyDescent="0.25">
      <c r="A176" s="22" t="s">
        <v>193</v>
      </c>
      <c r="B176" s="16" t="s">
        <v>190</v>
      </c>
      <c r="C176" s="17">
        <v>10</v>
      </c>
      <c r="D176" s="18" t="s">
        <v>24</v>
      </c>
      <c r="E176" s="3"/>
      <c r="F176" s="158"/>
      <c r="G176" s="157">
        <f>C176*F176</f>
        <v>0</v>
      </c>
      <c r="I176" s="7"/>
      <c r="L176" s="8"/>
      <c r="M176" s="9"/>
      <c r="N176" s="24"/>
      <c r="O176" s="8"/>
      <c r="P176" s="11"/>
    </row>
    <row r="177" spans="1:16" x14ac:dyDescent="0.25">
      <c r="A177" s="22"/>
      <c r="B177" s="13"/>
      <c r="C177" s="13"/>
      <c r="D177" s="14"/>
      <c r="E177" s="103"/>
      <c r="F177" s="161"/>
      <c r="G177" s="162"/>
      <c r="I177" s="7"/>
      <c r="L177" s="8"/>
      <c r="M177" s="9"/>
      <c r="N177" s="24"/>
      <c r="O177" s="8"/>
      <c r="P177" s="11"/>
    </row>
    <row r="178" spans="1:16" ht="12.9" customHeight="1" x14ac:dyDescent="0.25">
      <c r="A178" s="22" t="s">
        <v>195</v>
      </c>
      <c r="B178" s="4" t="s">
        <v>192</v>
      </c>
      <c r="C178" s="113">
        <v>50</v>
      </c>
      <c r="D178" s="114" t="s">
        <v>24</v>
      </c>
      <c r="E178" s="3"/>
      <c r="F178" s="158"/>
      <c r="G178" s="157">
        <f>C178*F178</f>
        <v>0</v>
      </c>
      <c r="I178" s="7"/>
      <c r="L178" s="115"/>
      <c r="M178" s="86"/>
      <c r="N178" s="24"/>
      <c r="O178" s="8"/>
      <c r="P178" s="11"/>
    </row>
    <row r="179" spans="1:16" x14ac:dyDescent="0.25">
      <c r="A179" s="22"/>
      <c r="B179" s="13"/>
      <c r="C179" s="13"/>
      <c r="D179" s="14"/>
      <c r="E179" s="103"/>
      <c r="F179" s="161"/>
      <c r="G179" s="162"/>
      <c r="I179" s="7"/>
      <c r="L179" s="8"/>
      <c r="M179" s="116"/>
      <c r="N179" s="115"/>
      <c r="O179" s="115"/>
      <c r="P179" s="11"/>
    </row>
    <row r="180" spans="1:16" ht="12.75" customHeight="1" x14ac:dyDescent="0.25">
      <c r="A180" s="22" t="s">
        <v>197</v>
      </c>
      <c r="B180" s="16" t="s">
        <v>194</v>
      </c>
      <c r="C180" s="17">
        <v>60000</v>
      </c>
      <c r="D180" s="18" t="s">
        <v>46</v>
      </c>
      <c r="E180" s="3"/>
      <c r="F180" s="158"/>
      <c r="G180" s="157">
        <f>C180*F180</f>
        <v>0</v>
      </c>
      <c r="I180" s="7"/>
      <c r="M180" s="86"/>
      <c r="N180" s="24"/>
      <c r="O180" s="8"/>
      <c r="P180" s="11"/>
    </row>
    <row r="181" spans="1:16" x14ac:dyDescent="0.25">
      <c r="A181" s="22"/>
      <c r="B181" s="108"/>
      <c r="C181" s="13"/>
      <c r="D181" s="14"/>
      <c r="E181" s="103"/>
      <c r="F181" s="161"/>
      <c r="G181" s="162"/>
      <c r="I181" s="7"/>
      <c r="P181" s="11"/>
    </row>
    <row r="182" spans="1:16" ht="12.75" customHeight="1" x14ac:dyDescent="0.25">
      <c r="A182" s="22" t="s">
        <v>875</v>
      </c>
      <c r="B182" s="16" t="s">
        <v>196</v>
      </c>
      <c r="C182" s="17">
        <v>60000</v>
      </c>
      <c r="D182" s="18" t="s">
        <v>46</v>
      </c>
      <c r="E182" s="3"/>
      <c r="F182" s="158"/>
      <c r="G182" s="157">
        <f>C182*F182</f>
        <v>0</v>
      </c>
      <c r="I182" s="7"/>
      <c r="P182" s="11"/>
    </row>
    <row r="183" spans="1:16" x14ac:dyDescent="0.25">
      <c r="A183" s="22"/>
      <c r="B183" s="13"/>
      <c r="C183" s="13"/>
      <c r="D183" s="14"/>
      <c r="E183" s="103"/>
      <c r="F183" s="161"/>
      <c r="G183" s="162"/>
      <c r="I183" s="7"/>
      <c r="L183" s="8"/>
      <c r="P183" s="11"/>
    </row>
    <row r="184" spans="1:16" x14ac:dyDescent="0.25">
      <c r="A184" s="22" t="s">
        <v>876</v>
      </c>
      <c r="B184" s="13" t="s">
        <v>198</v>
      </c>
      <c r="C184" s="13">
        <v>6</v>
      </c>
      <c r="D184" s="14" t="s">
        <v>24</v>
      </c>
      <c r="E184" s="103"/>
      <c r="F184" s="161"/>
      <c r="G184" s="157">
        <f>C184*F184</f>
        <v>0</v>
      </c>
      <c r="I184" s="7"/>
      <c r="L184" s="115"/>
      <c r="M184" s="86"/>
      <c r="N184" s="24"/>
      <c r="O184" s="8"/>
      <c r="P184" s="11"/>
    </row>
    <row r="185" spans="1:16" x14ac:dyDescent="0.25">
      <c r="A185" s="22"/>
      <c r="B185" s="13"/>
      <c r="C185" s="13"/>
      <c r="D185" s="14"/>
      <c r="E185" s="103"/>
      <c r="F185" s="161"/>
      <c r="G185" s="162"/>
      <c r="I185" s="7"/>
      <c r="L185" s="8"/>
      <c r="M185" s="116"/>
      <c r="N185" s="115"/>
      <c r="O185" s="115"/>
      <c r="P185" s="11"/>
    </row>
    <row r="186" spans="1:16" ht="12.9" customHeight="1" x14ac:dyDescent="0.25">
      <c r="A186" s="22" t="s">
        <v>203</v>
      </c>
      <c r="B186" s="16" t="s">
        <v>200</v>
      </c>
      <c r="C186" s="17">
        <v>5400</v>
      </c>
      <c r="D186" s="18" t="s">
        <v>81</v>
      </c>
      <c r="E186" s="3"/>
      <c r="F186" s="158"/>
      <c r="G186" s="157">
        <f>C186*F186</f>
        <v>0</v>
      </c>
      <c r="I186" s="7"/>
      <c r="M186" s="9"/>
      <c r="N186" s="24"/>
      <c r="O186" s="8"/>
      <c r="P186" s="11"/>
    </row>
    <row r="187" spans="1:16" x14ac:dyDescent="0.25">
      <c r="A187" s="22"/>
      <c r="B187" s="16"/>
      <c r="C187" s="13"/>
      <c r="D187" s="14"/>
      <c r="E187" s="103"/>
      <c r="F187" s="161"/>
      <c r="G187" s="162"/>
      <c r="I187" s="7"/>
      <c r="L187" s="8"/>
      <c r="N187" s="20"/>
      <c r="O187" s="21"/>
      <c r="P187" s="11"/>
    </row>
    <row r="188" spans="1:16" ht="39.6" x14ac:dyDescent="0.25">
      <c r="A188" s="22" t="s">
        <v>205</v>
      </c>
      <c r="B188" s="16" t="s">
        <v>202</v>
      </c>
      <c r="C188" s="130">
        <v>50</v>
      </c>
      <c r="D188" s="18" t="s">
        <v>67</v>
      </c>
      <c r="E188" s="3"/>
      <c r="F188" s="158"/>
      <c r="G188" s="157">
        <f>C188*F188</f>
        <v>0</v>
      </c>
      <c r="I188" s="7"/>
      <c r="L188" s="8"/>
      <c r="M188" s="9"/>
      <c r="N188" s="24"/>
      <c r="O188" s="8"/>
      <c r="P188" s="11"/>
    </row>
    <row r="189" spans="1:16" x14ac:dyDescent="0.25">
      <c r="A189" s="22"/>
      <c r="B189" s="13"/>
      <c r="C189" s="117"/>
      <c r="D189" s="14"/>
      <c r="E189" s="103"/>
      <c r="F189" s="161"/>
      <c r="G189" s="162"/>
      <c r="I189" s="7"/>
      <c r="L189" s="8"/>
      <c r="M189" s="15"/>
      <c r="N189" s="24"/>
      <c r="O189" s="8"/>
      <c r="P189" s="11"/>
    </row>
    <row r="190" spans="1:16" ht="12.9" customHeight="1" x14ac:dyDescent="0.25">
      <c r="A190" s="22" t="s">
        <v>824</v>
      </c>
      <c r="B190" s="4" t="s">
        <v>204</v>
      </c>
      <c r="C190" s="118">
        <v>10</v>
      </c>
      <c r="D190" s="3" t="s">
        <v>24</v>
      </c>
      <c r="E190" s="3"/>
      <c r="F190" s="158"/>
      <c r="G190" s="157">
        <f>C190*F190</f>
        <v>0</v>
      </c>
      <c r="I190" s="7"/>
      <c r="L190" s="8"/>
      <c r="M190" s="9"/>
      <c r="N190" s="24"/>
      <c r="O190" s="8"/>
      <c r="P190" s="11"/>
    </row>
    <row r="191" spans="1:16" x14ac:dyDescent="0.25">
      <c r="A191" s="22"/>
      <c r="B191" s="4"/>
      <c r="C191" s="118"/>
      <c r="D191" s="3"/>
      <c r="E191" s="103"/>
      <c r="F191" s="161"/>
      <c r="G191" s="162"/>
      <c r="I191" s="7"/>
      <c r="M191" s="9"/>
      <c r="N191" s="24"/>
      <c r="O191" s="8"/>
      <c r="P191" s="11"/>
    </row>
    <row r="192" spans="1:16" ht="15.6" customHeight="1" x14ac:dyDescent="0.25">
      <c r="A192" s="22" t="s">
        <v>826</v>
      </c>
      <c r="B192" s="4" t="s">
        <v>206</v>
      </c>
      <c r="C192" s="119">
        <v>50</v>
      </c>
      <c r="D192" s="22" t="s">
        <v>24</v>
      </c>
      <c r="E192" s="22"/>
      <c r="F192" s="165"/>
      <c r="G192" s="157">
        <f>C192*F192</f>
        <v>0</v>
      </c>
      <c r="I192" s="7"/>
      <c r="L192" s="8"/>
      <c r="P192" s="11"/>
    </row>
    <row r="193" spans="1:16" ht="15.6" customHeight="1" x14ac:dyDescent="0.25">
      <c r="A193" s="22"/>
      <c r="B193" s="4"/>
      <c r="C193" s="119"/>
      <c r="D193" s="22"/>
      <c r="E193" s="22"/>
      <c r="F193" s="165"/>
      <c r="G193" s="157"/>
      <c r="I193" s="7"/>
      <c r="L193" s="8"/>
      <c r="P193" s="11"/>
    </row>
    <row r="194" spans="1:16" x14ac:dyDescent="0.25">
      <c r="A194" s="135" t="s">
        <v>207</v>
      </c>
      <c r="B194" s="109" t="s">
        <v>208</v>
      </c>
      <c r="C194" s="118"/>
      <c r="D194" s="3"/>
      <c r="E194" s="3"/>
      <c r="F194" s="158"/>
      <c r="G194" s="163"/>
      <c r="I194" s="7"/>
      <c r="L194" s="8"/>
      <c r="M194" s="9"/>
      <c r="N194" s="24"/>
      <c r="O194" s="8"/>
      <c r="P194" s="11"/>
    </row>
    <row r="195" spans="1:16" x14ac:dyDescent="0.25">
      <c r="A195" s="3"/>
      <c r="B195" s="4"/>
      <c r="C195" s="118"/>
      <c r="D195" s="3"/>
      <c r="E195" s="3"/>
      <c r="F195" s="158"/>
      <c r="G195" s="163"/>
      <c r="I195" s="7"/>
      <c r="M195" s="9"/>
      <c r="N195" s="24"/>
      <c r="O195" s="8"/>
      <c r="P195" s="11"/>
    </row>
    <row r="196" spans="1:16" x14ac:dyDescent="0.25">
      <c r="A196" s="3" t="s">
        <v>209</v>
      </c>
      <c r="B196" s="4" t="s">
        <v>210</v>
      </c>
      <c r="C196" s="118">
        <v>5</v>
      </c>
      <c r="D196" s="3" t="s">
        <v>24</v>
      </c>
      <c r="E196" s="3"/>
      <c r="F196" s="158"/>
      <c r="G196" s="157">
        <f>C196*F196</f>
        <v>0</v>
      </c>
      <c r="I196" s="7"/>
      <c r="L196" s="8"/>
      <c r="P196" s="11"/>
    </row>
    <row r="197" spans="1:16" x14ac:dyDescent="0.25">
      <c r="A197" s="3"/>
      <c r="B197" s="4"/>
      <c r="C197" s="118"/>
      <c r="D197" s="3"/>
      <c r="E197" s="3"/>
      <c r="F197" s="158"/>
      <c r="G197" s="163"/>
      <c r="I197" s="7"/>
      <c r="L197" s="8"/>
      <c r="P197" s="11"/>
    </row>
    <row r="198" spans="1:16" x14ac:dyDescent="0.25">
      <c r="A198" s="3" t="s">
        <v>211</v>
      </c>
      <c r="B198" s="4" t="s">
        <v>212</v>
      </c>
      <c r="C198" s="118">
        <v>20</v>
      </c>
      <c r="D198" s="3" t="s">
        <v>24</v>
      </c>
      <c r="E198" s="3"/>
      <c r="F198" s="158"/>
      <c r="G198" s="157">
        <f>C198*F198</f>
        <v>0</v>
      </c>
      <c r="I198" s="7"/>
      <c r="L198" s="8"/>
      <c r="P198" s="11"/>
    </row>
    <row r="199" spans="1:16" x14ac:dyDescent="0.25">
      <c r="A199" s="3"/>
      <c r="B199" s="4"/>
      <c r="C199" s="118"/>
      <c r="D199" s="3"/>
      <c r="E199" s="3"/>
      <c r="F199" s="158"/>
      <c r="G199" s="163"/>
      <c r="I199" s="7"/>
      <c r="L199" s="8"/>
      <c r="M199" s="9"/>
      <c r="N199" s="24"/>
      <c r="O199" s="8"/>
      <c r="P199" s="11"/>
    </row>
    <row r="200" spans="1:16" x14ac:dyDescent="0.25">
      <c r="A200" s="3" t="s">
        <v>213</v>
      </c>
      <c r="B200" s="4" t="s">
        <v>214</v>
      </c>
      <c r="C200" s="118">
        <v>5</v>
      </c>
      <c r="D200" s="3" t="s">
        <v>24</v>
      </c>
      <c r="E200" s="3"/>
      <c r="F200" s="158"/>
      <c r="G200" s="157">
        <f>C200*F200</f>
        <v>0</v>
      </c>
      <c r="I200" s="7"/>
      <c r="L200" s="8"/>
      <c r="M200" s="9"/>
      <c r="N200" s="24"/>
      <c r="O200" s="8"/>
      <c r="P200" s="11"/>
    </row>
    <row r="201" spans="1:16" x14ac:dyDescent="0.25">
      <c r="A201" s="3"/>
      <c r="B201" s="4"/>
      <c r="C201" s="118"/>
      <c r="D201" s="3"/>
      <c r="E201" s="3"/>
      <c r="F201" s="158"/>
      <c r="G201" s="163"/>
      <c r="I201" s="7"/>
      <c r="L201" s="8"/>
      <c r="M201" s="9"/>
      <c r="N201" s="24"/>
      <c r="O201" s="8"/>
      <c r="P201" s="11"/>
    </row>
    <row r="202" spans="1:16" x14ac:dyDescent="0.25">
      <c r="A202" s="3" t="s">
        <v>215</v>
      </c>
      <c r="B202" s="4" t="s">
        <v>216</v>
      </c>
      <c r="C202" s="118">
        <v>20</v>
      </c>
      <c r="D202" s="3" t="s">
        <v>24</v>
      </c>
      <c r="E202" s="3"/>
      <c r="F202" s="158"/>
      <c r="G202" s="157">
        <f>C202*F202</f>
        <v>0</v>
      </c>
      <c r="I202" s="7"/>
      <c r="L202" s="8"/>
      <c r="M202" s="9"/>
      <c r="N202" s="24"/>
      <c r="O202" s="8"/>
      <c r="P202" s="11"/>
    </row>
    <row r="203" spans="1:16" x14ac:dyDescent="0.25">
      <c r="A203" s="3"/>
      <c r="B203" s="4"/>
      <c r="C203" s="118"/>
      <c r="D203" s="3"/>
      <c r="E203" s="3"/>
      <c r="F203" s="158"/>
      <c r="G203" s="163"/>
      <c r="I203" s="7"/>
      <c r="M203" s="9"/>
      <c r="N203" s="24"/>
      <c r="O203" s="8"/>
      <c r="P203" s="11"/>
    </row>
    <row r="204" spans="1:16" x14ac:dyDescent="0.25">
      <c r="A204" s="3" t="s">
        <v>217</v>
      </c>
      <c r="B204" s="4" t="s">
        <v>218</v>
      </c>
      <c r="C204" s="118">
        <v>5</v>
      </c>
      <c r="D204" s="3" t="s">
        <v>24</v>
      </c>
      <c r="E204" s="3"/>
      <c r="F204" s="158"/>
      <c r="G204" s="157">
        <f>C204*F204</f>
        <v>0</v>
      </c>
      <c r="I204" s="7"/>
      <c r="L204" s="8"/>
      <c r="P204" s="11"/>
    </row>
    <row r="205" spans="1:16" x14ac:dyDescent="0.25">
      <c r="A205" s="3"/>
      <c r="B205" s="4"/>
      <c r="C205" s="118"/>
      <c r="D205" s="3"/>
      <c r="E205" s="3"/>
      <c r="F205" s="158"/>
      <c r="G205" s="163"/>
      <c r="I205" s="7"/>
      <c r="L205" s="8"/>
      <c r="P205" s="11"/>
    </row>
    <row r="206" spans="1:16" x14ac:dyDescent="0.25">
      <c r="A206" s="3" t="s">
        <v>219</v>
      </c>
      <c r="B206" s="4" t="s">
        <v>220</v>
      </c>
      <c r="C206" s="118">
        <v>20</v>
      </c>
      <c r="D206" s="3" t="s">
        <v>24</v>
      </c>
      <c r="E206" s="3"/>
      <c r="F206" s="158"/>
      <c r="G206" s="157">
        <f>C206*F206</f>
        <v>0</v>
      </c>
      <c r="I206" s="7"/>
      <c r="L206" s="8"/>
      <c r="P206" s="11"/>
    </row>
    <row r="207" spans="1:16" x14ac:dyDescent="0.25">
      <c r="A207" s="3"/>
      <c r="B207" s="4"/>
      <c r="C207" s="118"/>
      <c r="D207" s="3"/>
      <c r="E207" s="3"/>
      <c r="F207" s="158"/>
      <c r="G207" s="163"/>
      <c r="I207" s="7"/>
      <c r="L207" s="8"/>
      <c r="M207" s="9"/>
      <c r="N207" s="24"/>
      <c r="O207" s="8"/>
      <c r="P207" s="11"/>
    </row>
    <row r="208" spans="1:16" x14ac:dyDescent="0.25">
      <c r="A208" s="3" t="s">
        <v>221</v>
      </c>
      <c r="B208" s="4" t="s">
        <v>222</v>
      </c>
      <c r="C208" s="118">
        <v>5</v>
      </c>
      <c r="D208" s="3" t="s">
        <v>24</v>
      </c>
      <c r="E208" s="3"/>
      <c r="F208" s="158"/>
      <c r="G208" s="157">
        <f>C208*F208</f>
        <v>0</v>
      </c>
      <c r="I208" s="7"/>
      <c r="L208" s="8"/>
      <c r="M208" s="9"/>
      <c r="N208" s="24"/>
      <c r="O208" s="8"/>
      <c r="P208" s="11"/>
    </row>
    <row r="209" spans="1:16" x14ac:dyDescent="0.25">
      <c r="A209" s="3"/>
      <c r="B209" s="4"/>
      <c r="C209" s="120"/>
      <c r="D209" s="3"/>
      <c r="E209" s="3"/>
      <c r="F209" s="158"/>
      <c r="G209" s="163"/>
      <c r="I209" s="7"/>
      <c r="L209" s="8"/>
      <c r="M209" s="9"/>
      <c r="N209" s="24"/>
      <c r="O209" s="8"/>
      <c r="P209" s="11"/>
    </row>
    <row r="210" spans="1:16" x14ac:dyDescent="0.25">
      <c r="A210" s="3" t="s">
        <v>223</v>
      </c>
      <c r="B210" s="4" t="s">
        <v>224</v>
      </c>
      <c r="C210" s="118">
        <v>20</v>
      </c>
      <c r="D210" s="3" t="s">
        <v>24</v>
      </c>
      <c r="E210" s="3"/>
      <c r="F210" s="158"/>
      <c r="G210" s="157">
        <f>C210*F210</f>
        <v>0</v>
      </c>
      <c r="I210" s="7"/>
      <c r="L210" s="8"/>
      <c r="M210" s="9"/>
      <c r="N210" s="24"/>
      <c r="O210" s="8"/>
      <c r="P210" s="11"/>
    </row>
    <row r="211" spans="1:16" x14ac:dyDescent="0.25">
      <c r="A211" s="3"/>
      <c r="B211" s="4"/>
      <c r="C211" s="118"/>
      <c r="D211" s="3"/>
      <c r="E211" s="3"/>
      <c r="F211" s="158"/>
      <c r="G211" s="163"/>
      <c r="I211" s="7"/>
      <c r="M211" s="9"/>
      <c r="N211" s="24"/>
      <c r="O211" s="8"/>
      <c r="P211" s="11"/>
    </row>
    <row r="212" spans="1:16" x14ac:dyDescent="0.25">
      <c r="A212" s="3" t="s">
        <v>225</v>
      </c>
      <c r="B212" s="4" t="s">
        <v>226</v>
      </c>
      <c r="C212" s="118">
        <v>20</v>
      </c>
      <c r="D212" s="3" t="s">
        <v>24</v>
      </c>
      <c r="E212" s="3"/>
      <c r="F212" s="158"/>
      <c r="G212" s="157">
        <f>C212*F212</f>
        <v>0</v>
      </c>
      <c r="I212" s="7"/>
      <c r="L212" s="8"/>
      <c r="P212" s="11"/>
    </row>
    <row r="213" spans="1:16" x14ac:dyDescent="0.25">
      <c r="A213" s="3"/>
      <c r="B213" s="4"/>
      <c r="C213" s="118"/>
      <c r="D213" s="3"/>
      <c r="E213" s="3"/>
      <c r="F213" s="158"/>
      <c r="G213" s="163"/>
      <c r="I213" s="7"/>
      <c r="L213" s="8"/>
      <c r="M213" s="9"/>
      <c r="N213" s="24"/>
      <c r="O213" s="8"/>
      <c r="P213" s="11"/>
    </row>
    <row r="214" spans="1:16" x14ac:dyDescent="0.25">
      <c r="A214" s="3" t="s">
        <v>227</v>
      </c>
      <c r="B214" s="4" t="s">
        <v>228</v>
      </c>
      <c r="C214" s="118">
        <v>20</v>
      </c>
      <c r="D214" s="3" t="s">
        <v>24</v>
      </c>
      <c r="E214" s="3"/>
      <c r="F214" s="158"/>
      <c r="G214" s="157">
        <f>C214*F214</f>
        <v>0</v>
      </c>
      <c r="I214" s="7"/>
      <c r="L214" s="8"/>
      <c r="M214" s="9"/>
      <c r="N214" s="24"/>
      <c r="O214" s="8"/>
      <c r="P214" s="11"/>
    </row>
    <row r="215" spans="1:16" x14ac:dyDescent="0.25">
      <c r="A215" s="3"/>
      <c r="B215" s="4"/>
      <c r="C215" s="118"/>
      <c r="D215" s="3"/>
      <c r="E215" s="3"/>
      <c r="F215" s="158"/>
      <c r="G215" s="163"/>
      <c r="I215" s="7"/>
      <c r="M215" s="9"/>
      <c r="N215" s="24"/>
      <c r="O215" s="8"/>
      <c r="P215" s="11"/>
    </row>
    <row r="216" spans="1:16" x14ac:dyDescent="0.25">
      <c r="A216" s="3" t="s">
        <v>229</v>
      </c>
      <c r="B216" s="4" t="s">
        <v>230</v>
      </c>
      <c r="C216" s="118">
        <v>10</v>
      </c>
      <c r="D216" s="3" t="s">
        <v>24</v>
      </c>
      <c r="E216" s="3"/>
      <c r="F216" s="158"/>
      <c r="G216" s="157">
        <f>C216*F216</f>
        <v>0</v>
      </c>
      <c r="I216" s="7"/>
      <c r="L216" s="8"/>
      <c r="P216" s="11"/>
    </row>
    <row r="217" spans="1:16" x14ac:dyDescent="0.25">
      <c r="A217" s="3"/>
      <c r="B217" s="4"/>
      <c r="C217" s="118"/>
      <c r="D217" s="3"/>
      <c r="E217" s="3"/>
      <c r="F217" s="158"/>
      <c r="G217" s="163"/>
      <c r="I217" s="7"/>
      <c r="L217" s="8"/>
      <c r="P217" s="11"/>
    </row>
    <row r="218" spans="1:16" x14ac:dyDescent="0.25">
      <c r="A218" s="3" t="s">
        <v>231</v>
      </c>
      <c r="B218" s="4" t="s">
        <v>232</v>
      </c>
      <c r="C218" s="118">
        <v>10</v>
      </c>
      <c r="D218" s="3" t="s">
        <v>24</v>
      </c>
      <c r="E218" s="3"/>
      <c r="F218" s="158"/>
      <c r="G218" s="157">
        <f>C218*F218</f>
        <v>0</v>
      </c>
      <c r="I218" s="7"/>
      <c r="L218" s="8"/>
      <c r="P218" s="11"/>
    </row>
    <row r="219" spans="1:16" x14ac:dyDescent="0.25">
      <c r="A219" s="3"/>
      <c r="B219" s="4"/>
      <c r="C219" s="118"/>
      <c r="D219" s="3"/>
      <c r="E219" s="3"/>
      <c r="F219" s="158"/>
      <c r="G219" s="163"/>
      <c r="I219" s="7"/>
      <c r="L219" s="8"/>
      <c r="M219" s="9"/>
      <c r="N219" s="24"/>
      <c r="O219" s="8"/>
      <c r="P219" s="11"/>
    </row>
    <row r="220" spans="1:16" x14ac:dyDescent="0.25">
      <c r="A220" s="3" t="s">
        <v>233</v>
      </c>
      <c r="B220" s="4" t="s">
        <v>234</v>
      </c>
      <c r="C220" s="118">
        <v>10</v>
      </c>
      <c r="D220" s="3" t="s">
        <v>24</v>
      </c>
      <c r="E220" s="3"/>
      <c r="F220" s="158"/>
      <c r="G220" s="157">
        <f>C220*F220</f>
        <v>0</v>
      </c>
      <c r="I220" s="7"/>
      <c r="L220" s="8"/>
      <c r="M220" s="9"/>
      <c r="N220" s="24"/>
      <c r="O220" s="8"/>
      <c r="P220" s="110"/>
    </row>
    <row r="221" spans="1:16" x14ac:dyDescent="0.25">
      <c r="A221" s="3"/>
      <c r="B221" s="4"/>
      <c r="C221" s="118"/>
      <c r="D221" s="3"/>
      <c r="E221" s="3"/>
      <c r="F221" s="158"/>
      <c r="G221" s="163"/>
      <c r="I221" s="7"/>
      <c r="L221" s="8"/>
      <c r="M221" s="9"/>
      <c r="N221" s="24"/>
      <c r="O221" s="8"/>
      <c r="P221" s="110"/>
    </row>
    <row r="222" spans="1:16" x14ac:dyDescent="0.25">
      <c r="A222" s="3" t="s">
        <v>235</v>
      </c>
      <c r="B222" s="4" t="s">
        <v>236</v>
      </c>
      <c r="C222" s="118">
        <v>10</v>
      </c>
      <c r="D222" s="3" t="s">
        <v>24</v>
      </c>
      <c r="E222" s="3"/>
      <c r="F222" s="158"/>
      <c r="G222" s="157">
        <f>C222*F222</f>
        <v>0</v>
      </c>
      <c r="I222" s="7"/>
      <c r="L222" s="8"/>
      <c r="M222" s="9"/>
      <c r="N222" s="24"/>
      <c r="O222" s="8"/>
      <c r="P222" s="110"/>
    </row>
    <row r="223" spans="1:16" x14ac:dyDescent="0.25">
      <c r="A223" s="3"/>
      <c r="B223" s="4"/>
      <c r="C223" s="118"/>
      <c r="D223" s="3"/>
      <c r="E223" s="3"/>
      <c r="F223" s="158"/>
      <c r="G223" s="163"/>
      <c r="I223" s="7"/>
      <c r="M223" s="9"/>
      <c r="N223" s="24"/>
      <c r="O223" s="8"/>
      <c r="P223" s="11"/>
    </row>
    <row r="224" spans="1:16" x14ac:dyDescent="0.25">
      <c r="A224" s="3" t="s">
        <v>237</v>
      </c>
      <c r="B224" s="4" t="s">
        <v>238</v>
      </c>
      <c r="C224" s="118">
        <v>50</v>
      </c>
      <c r="D224" s="3" t="s">
        <v>24</v>
      </c>
      <c r="E224" s="3"/>
      <c r="F224" s="158"/>
      <c r="G224" s="157">
        <f>C224*F224</f>
        <v>0</v>
      </c>
      <c r="I224" s="7"/>
      <c r="L224" s="8"/>
      <c r="P224" s="11"/>
    </row>
    <row r="225" spans="1:16" x14ac:dyDescent="0.25">
      <c r="A225" s="3"/>
      <c r="B225" s="4"/>
      <c r="C225" s="118"/>
      <c r="D225" s="3"/>
      <c r="E225" s="3"/>
      <c r="F225" s="158"/>
      <c r="G225" s="163"/>
      <c r="I225" s="7"/>
      <c r="M225" s="9"/>
      <c r="N225" s="24"/>
      <c r="O225" s="8"/>
      <c r="P225" s="11"/>
    </row>
    <row r="226" spans="1:16" x14ac:dyDescent="0.25">
      <c r="A226" s="3" t="s">
        <v>239</v>
      </c>
      <c r="B226" s="4" t="s">
        <v>240</v>
      </c>
      <c r="C226" s="118">
        <v>20</v>
      </c>
      <c r="D226" s="3" t="s">
        <v>24</v>
      </c>
      <c r="E226" s="3"/>
      <c r="F226" s="158"/>
      <c r="G226" s="157">
        <f>C226*F226</f>
        <v>0</v>
      </c>
      <c r="I226" s="7"/>
      <c r="L226" s="8"/>
      <c r="P226" s="11"/>
    </row>
    <row r="227" spans="1:16" x14ac:dyDescent="0.25">
      <c r="A227" s="3"/>
      <c r="B227" s="4" t="s">
        <v>1</v>
      </c>
      <c r="C227" s="118"/>
      <c r="D227" s="3"/>
      <c r="E227" s="3"/>
      <c r="F227" s="158"/>
      <c r="G227" s="163"/>
      <c r="I227" s="7"/>
      <c r="M227" s="9"/>
      <c r="N227" s="24"/>
      <c r="O227" s="8"/>
      <c r="P227" s="11"/>
    </row>
    <row r="228" spans="1:16" x14ac:dyDescent="0.25">
      <c r="A228" s="3" t="s">
        <v>241</v>
      </c>
      <c r="B228" s="4" t="s">
        <v>242</v>
      </c>
      <c r="C228" s="118">
        <v>5</v>
      </c>
      <c r="D228" s="3" t="s">
        <v>24</v>
      </c>
      <c r="E228" s="3"/>
      <c r="F228" s="158"/>
      <c r="G228" s="157">
        <f>C228*F228</f>
        <v>0</v>
      </c>
      <c r="I228" s="7"/>
      <c r="L228" s="8"/>
      <c r="P228" s="110"/>
    </row>
    <row r="229" spans="1:16" x14ac:dyDescent="0.25">
      <c r="A229" s="3"/>
      <c r="B229" s="4"/>
      <c r="C229" s="118"/>
      <c r="D229" s="3"/>
      <c r="E229" s="103"/>
      <c r="F229" s="161"/>
      <c r="G229" s="162"/>
      <c r="I229" s="7"/>
      <c r="L229" s="8"/>
      <c r="M229" s="9"/>
      <c r="N229" s="24"/>
      <c r="O229" s="8"/>
      <c r="P229" s="11"/>
    </row>
    <row r="230" spans="1:16" x14ac:dyDescent="0.25">
      <c r="A230" s="3" t="s">
        <v>243</v>
      </c>
      <c r="B230" s="4" t="s">
        <v>244</v>
      </c>
      <c r="C230" s="118">
        <v>1000</v>
      </c>
      <c r="D230" s="3" t="s">
        <v>102</v>
      </c>
      <c r="E230" s="3"/>
      <c r="F230" s="158"/>
      <c r="G230" s="157">
        <f>C230*F230</f>
        <v>0</v>
      </c>
      <c r="I230" s="7"/>
      <c r="M230" s="9"/>
      <c r="N230" s="24"/>
      <c r="O230" s="8"/>
      <c r="P230" s="11"/>
    </row>
    <row r="231" spans="1:16" x14ac:dyDescent="0.25">
      <c r="A231" s="3"/>
      <c r="B231" s="4"/>
      <c r="C231" s="118"/>
      <c r="D231" s="3"/>
      <c r="E231" s="103"/>
      <c r="F231" s="161"/>
      <c r="G231" s="162"/>
      <c r="I231" s="7"/>
      <c r="P231" s="11"/>
    </row>
    <row r="232" spans="1:16" x14ac:dyDescent="0.25">
      <c r="A232" s="3" t="s">
        <v>245</v>
      </c>
      <c r="B232" s="4" t="s">
        <v>246</v>
      </c>
      <c r="C232" s="118">
        <v>75</v>
      </c>
      <c r="D232" s="3" t="s">
        <v>24</v>
      </c>
      <c r="E232" s="3"/>
      <c r="F232" s="158"/>
      <c r="G232" s="157">
        <f>C232*F232</f>
        <v>0</v>
      </c>
      <c r="I232" s="7"/>
      <c r="P232" s="11"/>
    </row>
    <row r="233" spans="1:16" ht="12.75" customHeight="1" x14ac:dyDescent="0.25">
      <c r="A233" s="3"/>
      <c r="B233" s="4"/>
      <c r="C233" s="118"/>
      <c r="D233" s="3"/>
      <c r="E233" s="103"/>
      <c r="F233" s="161"/>
      <c r="G233" s="162"/>
      <c r="I233" s="7"/>
      <c r="P233" s="110"/>
    </row>
    <row r="234" spans="1:16" ht="13.5" customHeight="1" x14ac:dyDescent="0.25">
      <c r="A234" s="3" t="s">
        <v>247</v>
      </c>
      <c r="B234" s="4" t="s">
        <v>248</v>
      </c>
      <c r="C234" s="118">
        <v>1000</v>
      </c>
      <c r="D234" s="3" t="s">
        <v>102</v>
      </c>
      <c r="E234" s="3"/>
      <c r="F234" s="158"/>
      <c r="G234" s="157">
        <f>C234*F234</f>
        <v>0</v>
      </c>
      <c r="I234" s="7"/>
      <c r="P234" s="11"/>
    </row>
    <row r="235" spans="1:16" ht="13.5" customHeight="1" x14ac:dyDescent="0.25">
      <c r="A235" s="3"/>
      <c r="B235" s="4"/>
      <c r="C235" s="118"/>
      <c r="D235" s="3"/>
      <c r="E235" s="3"/>
      <c r="F235" s="158"/>
      <c r="G235" s="163"/>
      <c r="I235" s="7"/>
      <c r="P235" s="11"/>
    </row>
    <row r="236" spans="1:16" ht="13.5" customHeight="1" x14ac:dyDescent="0.25">
      <c r="A236" s="3" t="s">
        <v>249</v>
      </c>
      <c r="B236" s="4" t="s">
        <v>250</v>
      </c>
      <c r="C236" s="118">
        <v>5</v>
      </c>
      <c r="D236" s="3" t="s">
        <v>24</v>
      </c>
      <c r="E236" s="3"/>
      <c r="F236" s="158"/>
      <c r="G236" s="157">
        <f>C236*F236</f>
        <v>0</v>
      </c>
      <c r="I236" s="7"/>
      <c r="P236" s="11"/>
    </row>
    <row r="237" spans="1:16" ht="13.5" customHeight="1" x14ac:dyDescent="0.25">
      <c r="A237" s="3"/>
      <c r="B237" s="4"/>
      <c r="C237" s="118"/>
      <c r="D237" s="3"/>
      <c r="E237" s="3"/>
      <c r="F237" s="158"/>
      <c r="G237" s="163"/>
      <c r="I237" s="7"/>
      <c r="P237" s="11"/>
    </row>
    <row r="238" spans="1:16" ht="13.5" customHeight="1" x14ac:dyDescent="0.25">
      <c r="A238" s="121" t="s">
        <v>251</v>
      </c>
      <c r="B238" s="109" t="s">
        <v>252</v>
      </c>
      <c r="C238" s="118"/>
      <c r="D238" s="3"/>
      <c r="E238" s="3"/>
      <c r="F238" s="158"/>
      <c r="G238" s="163"/>
      <c r="I238" s="7"/>
      <c r="P238" s="11"/>
    </row>
    <row r="239" spans="1:16" ht="13.5" customHeight="1" x14ac:dyDescent="0.25">
      <c r="A239" s="3"/>
      <c r="B239" s="4"/>
      <c r="C239" s="118"/>
      <c r="D239" s="3"/>
      <c r="E239" s="3"/>
      <c r="F239" s="158"/>
      <c r="G239" s="163"/>
      <c r="I239" s="7"/>
      <c r="P239" s="11"/>
    </row>
    <row r="240" spans="1:16" ht="26.4" customHeight="1" x14ac:dyDescent="0.25">
      <c r="A240" s="3" t="s">
        <v>253</v>
      </c>
      <c r="B240" s="4" t="s">
        <v>254</v>
      </c>
      <c r="C240" s="118">
        <v>10000</v>
      </c>
      <c r="D240" s="3" t="s">
        <v>46</v>
      </c>
      <c r="E240" s="3"/>
      <c r="F240" s="158"/>
      <c r="G240" s="157">
        <f>C240*F240</f>
        <v>0</v>
      </c>
      <c r="I240" s="7"/>
      <c r="P240" s="11"/>
    </row>
    <row r="241" spans="1:16" x14ac:dyDescent="0.25">
      <c r="A241" s="3"/>
      <c r="B241" s="4"/>
      <c r="C241" s="120"/>
      <c r="D241" s="3"/>
      <c r="E241" s="103"/>
      <c r="F241" s="161"/>
      <c r="G241" s="162"/>
      <c r="I241" s="7"/>
      <c r="P241" s="11"/>
    </row>
    <row r="242" spans="1:16" x14ac:dyDescent="0.25">
      <c r="A242" s="135" t="s">
        <v>255</v>
      </c>
      <c r="B242" s="197" t="s">
        <v>256</v>
      </c>
      <c r="C242" s="197"/>
      <c r="D242" s="197"/>
      <c r="E242" s="103"/>
      <c r="F242" s="161"/>
      <c r="G242" s="162"/>
      <c r="I242" s="7"/>
      <c r="P242" s="11"/>
    </row>
    <row r="243" spans="1:16" x14ac:dyDescent="0.25">
      <c r="A243" s="22"/>
      <c r="B243" s="13"/>
      <c r="C243" s="13"/>
      <c r="D243" s="14"/>
      <c r="E243" s="103"/>
      <c r="F243" s="161"/>
      <c r="G243" s="162"/>
      <c r="I243" s="7"/>
      <c r="P243" s="11"/>
    </row>
    <row r="244" spans="1:16" ht="12.9" customHeight="1" x14ac:dyDescent="0.25">
      <c r="A244" s="22" t="s">
        <v>257</v>
      </c>
      <c r="B244" s="16" t="s">
        <v>258</v>
      </c>
      <c r="C244" s="25">
        <v>2000</v>
      </c>
      <c r="D244" s="18" t="str">
        <f>'[1]Synopsis of Line Items'!D363</f>
        <v>HR</v>
      </c>
      <c r="E244" s="3"/>
      <c r="F244" s="158"/>
      <c r="G244" s="157">
        <f>C244*F244</f>
        <v>0</v>
      </c>
      <c r="I244" s="7"/>
      <c r="L244" s="23"/>
      <c r="P244" s="11"/>
    </row>
    <row r="245" spans="1:16" x14ac:dyDescent="0.25">
      <c r="A245" s="22"/>
      <c r="B245" s="16"/>
      <c r="C245" s="13"/>
      <c r="D245" s="14"/>
      <c r="E245" s="103"/>
      <c r="F245" s="166"/>
      <c r="G245" s="162"/>
      <c r="I245" s="7"/>
      <c r="L245" s="8"/>
      <c r="M245" s="196"/>
      <c r="N245" s="196"/>
      <c r="O245" s="196"/>
      <c r="P245" s="11"/>
    </row>
    <row r="246" spans="1:16" ht="12.9" customHeight="1" x14ac:dyDescent="0.25">
      <c r="A246" s="22" t="s">
        <v>259</v>
      </c>
      <c r="B246" s="16" t="s">
        <v>933</v>
      </c>
      <c r="C246" s="26">
        <v>1</v>
      </c>
      <c r="D246" s="18" t="s">
        <v>932</v>
      </c>
      <c r="E246" s="3"/>
      <c r="F246" s="155">
        <v>250000</v>
      </c>
      <c r="G246" s="157">
        <f>C246*F246</f>
        <v>250000</v>
      </c>
      <c r="I246" s="7"/>
      <c r="L246" s="8"/>
      <c r="M246" s="9"/>
      <c r="N246" s="24"/>
      <c r="O246" s="8"/>
      <c r="P246" s="11"/>
    </row>
    <row r="247" spans="1:16" x14ac:dyDescent="0.25">
      <c r="A247" s="22"/>
      <c r="B247" s="13"/>
      <c r="C247" s="13"/>
      <c r="D247" s="14"/>
      <c r="E247" s="103"/>
      <c r="F247" s="166"/>
      <c r="G247" s="162"/>
      <c r="L247" s="8"/>
      <c r="M247" s="122"/>
      <c r="N247" s="24"/>
      <c r="O247" s="8"/>
      <c r="P247" s="11"/>
    </row>
    <row r="248" spans="1:16" x14ac:dyDescent="0.25">
      <c r="A248" s="22"/>
      <c r="B248" s="13"/>
      <c r="C248" s="123"/>
      <c r="D248" s="14"/>
      <c r="E248" s="103"/>
      <c r="F248" s="166"/>
      <c r="G248" s="166"/>
      <c r="L248" s="8"/>
      <c r="M248" s="122"/>
      <c r="N248" s="24"/>
      <c r="O248" s="8"/>
      <c r="P248" s="11"/>
    </row>
    <row r="249" spans="1:16" ht="12.75" customHeight="1" x14ac:dyDescent="0.25">
      <c r="A249" s="190" t="s">
        <v>261</v>
      </c>
      <c r="B249" s="190"/>
      <c r="C249" s="191" t="s">
        <v>262</v>
      </c>
      <c r="D249" s="192"/>
      <c r="E249" s="192"/>
      <c r="F249" s="193"/>
      <c r="G249" s="194">
        <f>SUM(G13:G248)</f>
        <v>250000</v>
      </c>
      <c r="L249" s="8"/>
      <c r="M249" s="122"/>
      <c r="N249" s="24"/>
      <c r="O249" s="8"/>
      <c r="P249" s="11"/>
    </row>
    <row r="250" spans="1:16" ht="12.75" customHeight="1" x14ac:dyDescent="0.25">
      <c r="A250" s="190" t="s">
        <v>263</v>
      </c>
      <c r="B250" s="190"/>
      <c r="C250" s="131"/>
      <c r="D250" s="132"/>
      <c r="E250" s="132"/>
      <c r="F250" s="132"/>
      <c r="G250" s="195"/>
      <c r="L250" s="8"/>
      <c r="M250" s="124"/>
      <c r="N250" s="24"/>
      <c r="O250" s="8"/>
      <c r="P250" s="11"/>
    </row>
    <row r="251" spans="1:16" x14ac:dyDescent="0.25">
      <c r="L251" s="8"/>
      <c r="M251" s="124"/>
      <c r="N251" s="24"/>
      <c r="O251" s="8"/>
      <c r="P251" s="11"/>
    </row>
    <row r="252" spans="1:16" x14ac:dyDescent="0.25">
      <c r="B252" s="169"/>
      <c r="C252" s="169"/>
      <c r="D252" s="170"/>
      <c r="L252" s="8"/>
      <c r="M252" s="122"/>
      <c r="N252" s="24"/>
      <c r="O252" s="8"/>
      <c r="P252" s="11"/>
    </row>
    <row r="253" spans="1:16" x14ac:dyDescent="0.25">
      <c r="B253" s="169"/>
      <c r="C253" s="169"/>
      <c r="D253" s="170"/>
      <c r="L253" s="8"/>
      <c r="M253" s="88"/>
      <c r="N253" s="24"/>
      <c r="O253" s="8"/>
      <c r="P253" s="11"/>
    </row>
    <row r="254" spans="1:16" x14ac:dyDescent="0.25">
      <c r="B254" s="169"/>
      <c r="C254" s="169"/>
      <c r="D254" s="170"/>
      <c r="L254" s="8"/>
      <c r="M254" s="88"/>
      <c r="N254" s="24"/>
      <c r="O254" s="8"/>
      <c r="P254" s="11"/>
    </row>
    <row r="255" spans="1:16" x14ac:dyDescent="0.25">
      <c r="B255" s="169"/>
      <c r="C255" s="169"/>
      <c r="D255" s="170"/>
      <c r="L255" s="8"/>
      <c r="M255" s="9"/>
      <c r="N255" s="24"/>
      <c r="O255" s="8"/>
      <c r="P255" s="11"/>
    </row>
    <row r="256" spans="1:16" x14ac:dyDescent="0.25">
      <c r="B256" s="169"/>
      <c r="C256" s="169"/>
      <c r="D256" s="170"/>
      <c r="L256" s="8"/>
      <c r="M256" s="9"/>
      <c r="N256" s="24"/>
      <c r="O256" s="8"/>
      <c r="P256" s="11"/>
    </row>
    <row r="257" spans="2:16" x14ac:dyDescent="0.25">
      <c r="B257" s="169"/>
      <c r="C257" s="169"/>
      <c r="D257" s="170"/>
      <c r="L257" s="8"/>
      <c r="M257" s="9"/>
      <c r="N257" s="87"/>
      <c r="O257" s="88"/>
      <c r="P257" s="11"/>
    </row>
    <row r="258" spans="2:16" x14ac:dyDescent="0.25">
      <c r="B258" s="169"/>
      <c r="C258" s="169"/>
      <c r="D258" s="170"/>
      <c r="M258" s="9"/>
      <c r="N258" s="24"/>
      <c r="O258" s="8"/>
      <c r="P258" s="11"/>
    </row>
    <row r="259" spans="2:16" x14ac:dyDescent="0.25">
      <c r="B259" s="169"/>
      <c r="C259" s="169"/>
      <c r="D259" s="170"/>
    </row>
    <row r="260" spans="2:16" x14ac:dyDescent="0.25">
      <c r="B260" s="169"/>
      <c r="C260" s="169"/>
      <c r="D260" s="170"/>
    </row>
    <row r="261" spans="2:16" x14ac:dyDescent="0.25">
      <c r="B261" s="169"/>
      <c r="C261" s="169"/>
      <c r="D261" s="170"/>
    </row>
    <row r="262" spans="2:16" x14ac:dyDescent="0.25">
      <c r="B262" s="169"/>
      <c r="C262" s="169"/>
      <c r="D262" s="170"/>
    </row>
    <row r="263" spans="2:16" x14ac:dyDescent="0.25">
      <c r="B263" s="169"/>
      <c r="C263" s="169"/>
      <c r="D263" s="170"/>
    </row>
    <row r="264" spans="2:16" x14ac:dyDescent="0.25">
      <c r="B264" s="169"/>
      <c r="C264" s="169"/>
      <c r="D264" s="170"/>
    </row>
    <row r="265" spans="2:16" x14ac:dyDescent="0.25">
      <c r="B265" s="169"/>
      <c r="C265" s="169"/>
      <c r="D265" s="170"/>
    </row>
    <row r="266" spans="2:16" x14ac:dyDescent="0.25">
      <c r="B266" s="169"/>
      <c r="C266" s="169"/>
      <c r="D266" s="170"/>
    </row>
    <row r="267" spans="2:16" x14ac:dyDescent="0.25">
      <c r="B267" s="169"/>
      <c r="C267" s="169"/>
      <c r="D267" s="170"/>
    </row>
    <row r="268" spans="2:16" x14ac:dyDescent="0.25">
      <c r="B268" s="169"/>
      <c r="C268" s="169"/>
      <c r="D268" s="170"/>
    </row>
    <row r="269" spans="2:16" x14ac:dyDescent="0.25">
      <c r="B269" s="169"/>
      <c r="C269" s="169"/>
      <c r="D269" s="170"/>
    </row>
  </sheetData>
  <mergeCells count="14">
    <mergeCell ref="M1:N1"/>
    <mergeCell ref="M2:N2"/>
    <mergeCell ref="A250:B250"/>
    <mergeCell ref="C249:F249"/>
    <mergeCell ref="G249:G250"/>
    <mergeCell ref="M4:O4"/>
    <mergeCell ref="A6:B6"/>
    <mergeCell ref="B242:D242"/>
    <mergeCell ref="M245:O245"/>
    <mergeCell ref="A1:G1"/>
    <mergeCell ref="A2:G2"/>
    <mergeCell ref="A3:G3"/>
    <mergeCell ref="A4:G4"/>
    <mergeCell ref="A249:B24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68"/>
  <sheetViews>
    <sheetView topLeftCell="A235" zoomScale="85" zoomScaleNormal="85" workbookViewId="0">
      <selection activeCell="B247" sqref="B247"/>
    </sheetView>
  </sheetViews>
  <sheetFormatPr defaultColWidth="9.109375" defaultRowHeight="13.2" x14ac:dyDescent="0.25"/>
  <cols>
    <col min="1" max="1" width="8.33203125" style="167" bestFit="1" customWidth="1"/>
    <col min="2" max="2" width="54.88671875" style="6" customWidth="1"/>
    <col min="3" max="3" width="8.88671875" style="6" bestFit="1" customWidth="1"/>
    <col min="4" max="4" width="7.88671875" style="167" bestFit="1" customWidth="1"/>
    <col min="5" max="5" width="2.44140625" style="6" customWidth="1"/>
    <col min="6" max="6" width="14" style="168" customWidth="1"/>
    <col min="7" max="7" width="18" style="176" customWidth="1"/>
    <col min="8" max="9" width="9.109375" style="6"/>
    <col min="10" max="10" width="19.109375" style="6" customWidth="1"/>
    <col min="11" max="12" width="9.109375" style="6" customWidth="1"/>
    <col min="13" max="13" width="6.5546875" style="6" bestFit="1" customWidth="1"/>
    <col min="14" max="14" width="9.109375" style="6"/>
    <col min="15" max="15" width="5.5546875" style="6" bestFit="1" customWidth="1"/>
    <col min="16" max="16384" width="9.109375" style="6"/>
  </cols>
  <sheetData>
    <row r="1" spans="1:16" x14ac:dyDescent="0.25">
      <c r="A1" s="201" t="s">
        <v>879</v>
      </c>
      <c r="B1" s="201"/>
      <c r="C1" s="201"/>
      <c r="D1" s="201"/>
      <c r="E1" s="201"/>
      <c r="F1" s="201"/>
      <c r="G1" s="201"/>
      <c r="L1" s="8"/>
      <c r="M1" s="187" t="s">
        <v>0</v>
      </c>
      <c r="N1" s="188"/>
      <c r="O1" s="83"/>
      <c r="P1" s="84"/>
    </row>
    <row r="2" spans="1:16" ht="46.95" customHeight="1" x14ac:dyDescent="0.25">
      <c r="A2" s="201" t="s">
        <v>882</v>
      </c>
      <c r="B2" s="201"/>
      <c r="C2" s="201"/>
      <c r="D2" s="201"/>
      <c r="E2" s="201"/>
      <c r="F2" s="201"/>
      <c r="G2" s="201"/>
      <c r="L2" s="139"/>
      <c r="M2" s="189" t="s">
        <v>1</v>
      </c>
      <c r="N2" s="189"/>
      <c r="O2" s="139"/>
      <c r="P2" s="84"/>
    </row>
    <row r="3" spans="1:16" x14ac:dyDescent="0.25">
      <c r="A3" s="206" t="s">
        <v>264</v>
      </c>
      <c r="B3" s="206"/>
      <c r="C3" s="206"/>
      <c r="D3" s="206"/>
      <c r="E3" s="206"/>
      <c r="F3" s="206"/>
      <c r="G3" s="206"/>
      <c r="L3" s="85" t="s">
        <v>1</v>
      </c>
      <c r="M3" s="86"/>
      <c r="N3" s="87"/>
      <c r="O3" s="88"/>
      <c r="P3" s="11"/>
    </row>
    <row r="4" spans="1:16" x14ac:dyDescent="0.25">
      <c r="A4" s="206" t="s">
        <v>3</v>
      </c>
      <c r="B4" s="206"/>
      <c r="C4" s="206"/>
      <c r="D4" s="206"/>
      <c r="E4" s="206"/>
      <c r="F4" s="206"/>
      <c r="G4" s="206"/>
      <c r="L4" s="89"/>
      <c r="M4" s="196" t="s">
        <v>1</v>
      </c>
      <c r="N4" s="196"/>
      <c r="O4" s="196"/>
      <c r="P4" s="136"/>
    </row>
    <row r="5" spans="1:16" x14ac:dyDescent="0.25">
      <c r="A5" s="135"/>
      <c r="B5" s="135"/>
      <c r="C5" s="135"/>
      <c r="D5" s="135"/>
      <c r="E5" s="135"/>
      <c r="F5" s="154"/>
      <c r="G5" s="157"/>
      <c r="L5" s="89"/>
      <c r="M5" s="136"/>
      <c r="N5" s="136"/>
      <c r="O5" s="136"/>
      <c r="P5" s="136"/>
    </row>
    <row r="6" spans="1:16" x14ac:dyDescent="0.25">
      <c r="A6" s="191" t="s">
        <v>265</v>
      </c>
      <c r="B6" s="193"/>
      <c r="C6" s="90"/>
      <c r="D6" s="135"/>
      <c r="E6" s="90"/>
      <c r="F6" s="155"/>
      <c r="G6" s="163"/>
      <c r="L6" s="8"/>
      <c r="M6" s="91"/>
      <c r="N6" s="92"/>
      <c r="O6" s="91"/>
      <c r="P6" s="86"/>
    </row>
    <row r="7" spans="1:16" x14ac:dyDescent="0.25">
      <c r="A7" s="135"/>
      <c r="B7" s="134"/>
      <c r="C7" s="90"/>
      <c r="D7" s="135"/>
      <c r="E7" s="90"/>
      <c r="F7" s="155"/>
      <c r="G7" s="163"/>
      <c r="L7" s="8" t="s">
        <v>1</v>
      </c>
      <c r="M7" s="93"/>
      <c r="N7" s="10"/>
      <c r="O7" s="8"/>
      <c r="P7" s="11"/>
    </row>
    <row r="8" spans="1:16" ht="37.5" customHeight="1" x14ac:dyDescent="0.25">
      <c r="A8" s="94" t="s">
        <v>5</v>
      </c>
      <c r="B8" s="138" t="s">
        <v>6</v>
      </c>
      <c r="C8" s="95" t="s">
        <v>7</v>
      </c>
      <c r="D8" s="135" t="s">
        <v>8</v>
      </c>
      <c r="E8" s="96"/>
      <c r="F8" s="156" t="s">
        <v>9</v>
      </c>
      <c r="G8" s="156" t="s">
        <v>872</v>
      </c>
      <c r="J8" s="97"/>
      <c r="L8" s="8"/>
      <c r="M8" s="9" t="s">
        <v>1</v>
      </c>
      <c r="N8" s="10" t="s">
        <v>1</v>
      </c>
      <c r="O8" s="8" t="s">
        <v>1</v>
      </c>
      <c r="P8" s="11"/>
    </row>
    <row r="9" spans="1:16" x14ac:dyDescent="0.25">
      <c r="A9" s="135"/>
      <c r="B9" s="98"/>
      <c r="C9" s="135"/>
      <c r="D9" s="135"/>
      <c r="E9" s="99"/>
      <c r="F9" s="155"/>
      <c r="G9" s="157"/>
      <c r="J9" s="7"/>
      <c r="L9" s="8" t="s">
        <v>1</v>
      </c>
      <c r="M9" s="9"/>
      <c r="N9" s="10"/>
      <c r="O9" s="8"/>
      <c r="P9" s="11"/>
    </row>
    <row r="10" spans="1:16" ht="26.1" customHeight="1" x14ac:dyDescent="0.25">
      <c r="A10" s="135" t="s">
        <v>266</v>
      </c>
      <c r="B10" s="100" t="s">
        <v>11</v>
      </c>
      <c r="C10" s="135"/>
      <c r="D10" s="101"/>
      <c r="E10" s="99"/>
      <c r="F10" s="155"/>
      <c r="G10" s="157"/>
      <c r="L10" s="8"/>
      <c r="M10" s="9"/>
      <c r="N10" s="10"/>
      <c r="O10" s="8"/>
      <c r="P10" s="11"/>
    </row>
    <row r="11" spans="1:16" x14ac:dyDescent="0.25">
      <c r="A11" s="135"/>
      <c r="B11" s="98"/>
      <c r="C11" s="135"/>
      <c r="D11" s="135"/>
      <c r="E11" s="99"/>
      <c r="F11" s="155"/>
      <c r="G11" s="157"/>
      <c r="L11" s="8"/>
      <c r="M11" s="9"/>
      <c r="N11" s="10"/>
      <c r="O11" s="8"/>
      <c r="P11" s="11"/>
    </row>
    <row r="12" spans="1:16" x14ac:dyDescent="0.25">
      <c r="A12" s="3" t="s">
        <v>267</v>
      </c>
      <c r="B12" s="4" t="s">
        <v>13</v>
      </c>
      <c r="C12" s="5">
        <v>500</v>
      </c>
      <c r="D12" s="3" t="s">
        <v>14</v>
      </c>
      <c r="E12" s="3"/>
      <c r="F12" s="158"/>
      <c r="G12" s="157">
        <f>C12*F12</f>
        <v>0</v>
      </c>
      <c r="J12" s="7"/>
      <c r="L12" s="8"/>
      <c r="M12" s="9"/>
      <c r="N12" s="10"/>
      <c r="O12" s="8"/>
      <c r="P12" s="11"/>
    </row>
    <row r="13" spans="1:16" x14ac:dyDescent="0.25">
      <c r="A13" s="3"/>
      <c r="B13" s="4"/>
      <c r="C13" s="5"/>
      <c r="D13" s="3"/>
      <c r="E13" s="99"/>
      <c r="F13" s="158"/>
      <c r="G13" s="157"/>
      <c r="L13" s="8"/>
      <c r="M13" s="9"/>
      <c r="N13" s="10"/>
      <c r="O13" s="8"/>
      <c r="P13" s="11"/>
    </row>
    <row r="14" spans="1:16" x14ac:dyDescent="0.25">
      <c r="A14" s="3" t="s">
        <v>268</v>
      </c>
      <c r="B14" s="4" t="s">
        <v>16</v>
      </c>
      <c r="C14" s="5">
        <v>500</v>
      </c>
      <c r="D14" s="3" t="s">
        <v>17</v>
      </c>
      <c r="E14" s="3"/>
      <c r="F14" s="158"/>
      <c r="G14" s="157">
        <f>C14*F14</f>
        <v>0</v>
      </c>
      <c r="J14" s="7"/>
      <c r="L14" s="8"/>
      <c r="M14" s="9"/>
      <c r="N14" s="10"/>
      <c r="O14" s="8"/>
      <c r="P14" s="11"/>
    </row>
    <row r="15" spans="1:16" x14ac:dyDescent="0.25">
      <c r="A15" s="3"/>
      <c r="B15" s="4"/>
      <c r="C15" s="5"/>
      <c r="D15" s="3"/>
      <c r="E15" s="99"/>
      <c r="F15" s="158"/>
      <c r="G15" s="157"/>
      <c r="L15" s="8"/>
      <c r="M15" s="9"/>
      <c r="N15" s="10"/>
      <c r="O15" s="8"/>
      <c r="P15" s="11"/>
    </row>
    <row r="16" spans="1:16" x14ac:dyDescent="0.25">
      <c r="A16" s="3" t="s">
        <v>269</v>
      </c>
      <c r="B16" s="4" t="s">
        <v>19</v>
      </c>
      <c r="C16" s="5">
        <v>300</v>
      </c>
      <c r="D16" s="3" t="s">
        <v>14</v>
      </c>
      <c r="E16" s="3"/>
      <c r="F16" s="158"/>
      <c r="G16" s="157">
        <f>C16*F16</f>
        <v>0</v>
      </c>
      <c r="J16" s="7"/>
      <c r="L16" s="8"/>
      <c r="M16" s="9"/>
      <c r="N16" s="10"/>
      <c r="O16" s="8"/>
      <c r="P16" s="11"/>
    </row>
    <row r="17" spans="1:16" x14ac:dyDescent="0.25">
      <c r="A17" s="3"/>
      <c r="B17" s="4"/>
      <c r="C17" s="5"/>
      <c r="D17" s="3"/>
      <c r="E17" s="99"/>
      <c r="F17" s="158"/>
      <c r="G17" s="157"/>
      <c r="L17" s="8"/>
      <c r="M17" s="9"/>
      <c r="N17" s="10"/>
      <c r="O17" s="8"/>
      <c r="P17" s="11"/>
    </row>
    <row r="18" spans="1:16" x14ac:dyDescent="0.25">
      <c r="A18" s="3" t="s">
        <v>270</v>
      </c>
      <c r="B18" s="4" t="s">
        <v>21</v>
      </c>
      <c r="C18" s="5">
        <v>10000</v>
      </c>
      <c r="D18" s="3" t="s">
        <v>14</v>
      </c>
      <c r="E18" s="3"/>
      <c r="F18" s="158"/>
      <c r="G18" s="157">
        <f>C18*F18</f>
        <v>0</v>
      </c>
      <c r="J18" s="7"/>
      <c r="L18" s="8"/>
      <c r="M18" s="9"/>
      <c r="N18" s="10"/>
      <c r="O18" s="8"/>
      <c r="P18" s="11"/>
    </row>
    <row r="19" spans="1:16" x14ac:dyDescent="0.25">
      <c r="A19" s="3"/>
      <c r="B19" s="4"/>
      <c r="C19" s="5"/>
      <c r="D19" s="3"/>
      <c r="E19" s="99"/>
      <c r="F19" s="158"/>
      <c r="G19" s="157"/>
      <c r="L19" s="8"/>
      <c r="M19" s="9"/>
      <c r="N19" s="10"/>
      <c r="O19" s="8"/>
      <c r="P19" s="11"/>
    </row>
    <row r="20" spans="1:16" x14ac:dyDescent="0.25">
      <c r="A20" s="3" t="s">
        <v>271</v>
      </c>
      <c r="B20" s="4" t="s">
        <v>23</v>
      </c>
      <c r="C20" s="5">
        <v>300</v>
      </c>
      <c r="D20" s="3" t="s">
        <v>24</v>
      </c>
      <c r="E20" s="3"/>
      <c r="F20" s="158"/>
      <c r="G20" s="157">
        <f>C20*F20</f>
        <v>0</v>
      </c>
      <c r="J20" s="7"/>
      <c r="L20" s="8"/>
      <c r="M20" s="9"/>
      <c r="N20" s="10"/>
      <c r="O20" s="8"/>
      <c r="P20" s="11"/>
    </row>
    <row r="21" spans="1:16" x14ac:dyDescent="0.25">
      <c r="A21" s="3"/>
      <c r="B21" s="4"/>
      <c r="C21" s="5"/>
      <c r="D21" s="3"/>
      <c r="E21" s="99"/>
      <c r="F21" s="158"/>
      <c r="G21" s="157"/>
      <c r="L21" s="8"/>
      <c r="M21" s="9"/>
      <c r="N21" s="10"/>
      <c r="O21" s="8"/>
      <c r="P21" s="11"/>
    </row>
    <row r="22" spans="1:16" ht="26.4" x14ac:dyDescent="0.25">
      <c r="A22" s="3" t="s">
        <v>272</v>
      </c>
      <c r="B22" s="4" t="s">
        <v>26</v>
      </c>
      <c r="C22" s="5">
        <v>3000</v>
      </c>
      <c r="D22" s="3" t="s">
        <v>14</v>
      </c>
      <c r="E22" s="3"/>
      <c r="F22" s="158"/>
      <c r="G22" s="157">
        <f>C22*F22</f>
        <v>0</v>
      </c>
      <c r="J22" s="7"/>
      <c r="L22" s="8"/>
      <c r="M22" s="9"/>
      <c r="N22" s="10"/>
      <c r="O22" s="8"/>
      <c r="P22" s="11"/>
    </row>
    <row r="23" spans="1:16" x14ac:dyDescent="0.25">
      <c r="A23" s="3"/>
      <c r="B23" s="4"/>
      <c r="C23" s="5"/>
      <c r="D23" s="3"/>
      <c r="E23" s="99"/>
      <c r="F23" s="158"/>
      <c r="G23" s="157"/>
      <c r="L23" s="8"/>
      <c r="M23" s="9"/>
      <c r="N23" s="10"/>
      <c r="O23" s="8"/>
      <c r="P23" s="11"/>
    </row>
    <row r="24" spans="1:16" ht="26.4" x14ac:dyDescent="0.25">
      <c r="A24" s="3" t="s">
        <v>273</v>
      </c>
      <c r="B24" s="4" t="s">
        <v>28</v>
      </c>
      <c r="C24" s="5">
        <v>25</v>
      </c>
      <c r="D24" s="3" t="s">
        <v>24</v>
      </c>
      <c r="E24" s="3"/>
      <c r="F24" s="158"/>
      <c r="G24" s="157">
        <f>C24*F24</f>
        <v>0</v>
      </c>
      <c r="J24" s="7"/>
      <c r="L24" s="8"/>
      <c r="M24" s="9"/>
      <c r="N24" s="10"/>
      <c r="O24" s="8"/>
      <c r="P24" s="11"/>
    </row>
    <row r="25" spans="1:16" x14ac:dyDescent="0.25">
      <c r="A25" s="3"/>
      <c r="B25" s="4"/>
      <c r="C25" s="5"/>
      <c r="D25" s="3"/>
      <c r="E25" s="99"/>
      <c r="F25" s="158"/>
      <c r="G25" s="157"/>
      <c r="L25" s="8"/>
      <c r="M25" s="9"/>
      <c r="N25" s="10"/>
      <c r="O25" s="8"/>
      <c r="P25" s="11"/>
    </row>
    <row r="26" spans="1:16" x14ac:dyDescent="0.25">
      <c r="A26" s="135" t="s">
        <v>274</v>
      </c>
      <c r="B26" s="102" t="s">
        <v>30</v>
      </c>
      <c r="C26" s="102"/>
      <c r="D26" s="138"/>
      <c r="E26" s="102"/>
      <c r="F26" s="158"/>
      <c r="G26" s="160"/>
      <c r="L26" s="8"/>
      <c r="M26" s="9" t="s">
        <v>1</v>
      </c>
      <c r="N26" s="10" t="s">
        <v>1</v>
      </c>
      <c r="O26" s="8" t="s">
        <v>1</v>
      </c>
      <c r="P26" s="11"/>
    </row>
    <row r="27" spans="1:16" x14ac:dyDescent="0.25">
      <c r="A27" s="22"/>
      <c r="B27" s="13"/>
      <c r="C27" s="13"/>
      <c r="D27" s="14"/>
      <c r="E27" s="103"/>
      <c r="F27" s="158"/>
      <c r="G27" s="162"/>
      <c r="L27" s="8"/>
      <c r="M27" s="9"/>
      <c r="N27" s="10"/>
      <c r="O27" s="8"/>
      <c r="P27" s="11"/>
    </row>
    <row r="28" spans="1:16" x14ac:dyDescent="0.25">
      <c r="A28" s="3" t="s">
        <v>275</v>
      </c>
      <c r="B28" s="12" t="s">
        <v>32</v>
      </c>
      <c r="C28" s="13">
        <v>55000</v>
      </c>
      <c r="D28" s="14" t="s">
        <v>33</v>
      </c>
      <c r="E28" s="3"/>
      <c r="F28" s="158"/>
      <c r="G28" s="157">
        <f>C28*F28</f>
        <v>0</v>
      </c>
      <c r="J28" s="7"/>
      <c r="L28" s="8"/>
      <c r="M28" s="15"/>
      <c r="N28" s="10"/>
      <c r="O28" s="8"/>
      <c r="P28" s="11"/>
    </row>
    <row r="29" spans="1:16" x14ac:dyDescent="0.25">
      <c r="A29" s="22"/>
      <c r="B29" s="13"/>
      <c r="C29" s="13"/>
      <c r="D29" s="14"/>
      <c r="E29" s="103"/>
      <c r="F29" s="158"/>
      <c r="G29" s="162"/>
      <c r="L29" s="8"/>
      <c r="M29" s="15" t="s">
        <v>1</v>
      </c>
      <c r="N29" s="10"/>
      <c r="O29" s="8"/>
      <c r="P29" s="11"/>
    </row>
    <row r="30" spans="1:16" x14ac:dyDescent="0.25">
      <c r="A30" s="3" t="s">
        <v>276</v>
      </c>
      <c r="B30" s="16" t="s">
        <v>35</v>
      </c>
      <c r="C30" s="13">
        <v>2500</v>
      </c>
      <c r="D30" s="18" t="s">
        <v>36</v>
      </c>
      <c r="E30" s="3"/>
      <c r="F30" s="158"/>
      <c r="G30" s="157">
        <f>C30*F30</f>
        <v>0</v>
      </c>
      <c r="J30" s="7"/>
      <c r="L30" s="8" t="s">
        <v>1</v>
      </c>
      <c r="M30" s="9"/>
      <c r="N30" s="10"/>
      <c r="O30" s="8"/>
      <c r="P30" s="11"/>
    </row>
    <row r="31" spans="1:16" x14ac:dyDescent="0.25">
      <c r="A31" s="22"/>
      <c r="B31" s="16"/>
      <c r="C31" s="17"/>
      <c r="D31" s="18"/>
      <c r="E31" s="103"/>
      <c r="F31" s="158"/>
      <c r="G31" s="162"/>
      <c r="L31" s="8"/>
      <c r="M31" s="9" t="s">
        <v>1</v>
      </c>
      <c r="N31" s="10" t="s">
        <v>1</v>
      </c>
      <c r="O31" s="8" t="s">
        <v>1</v>
      </c>
      <c r="P31" s="11"/>
    </row>
    <row r="32" spans="1:16" x14ac:dyDescent="0.25">
      <c r="A32" s="3" t="s">
        <v>277</v>
      </c>
      <c r="B32" s="16" t="s">
        <v>38</v>
      </c>
      <c r="C32" s="13">
        <v>2500</v>
      </c>
      <c r="D32" s="18" t="s">
        <v>36</v>
      </c>
      <c r="E32" s="3"/>
      <c r="F32" s="158"/>
      <c r="G32" s="157">
        <f>C32*F32</f>
        <v>0</v>
      </c>
      <c r="J32" s="7"/>
      <c r="L32" s="8"/>
      <c r="M32" s="9"/>
      <c r="N32" s="10"/>
      <c r="O32" s="8"/>
      <c r="P32" s="11"/>
    </row>
    <row r="33" spans="1:16" x14ac:dyDescent="0.25">
      <c r="A33" s="22"/>
      <c r="B33" s="16"/>
      <c r="C33" s="17"/>
      <c r="D33" s="18"/>
      <c r="E33" s="103"/>
      <c r="F33" s="158"/>
      <c r="G33" s="162"/>
      <c r="L33" s="8"/>
      <c r="M33" s="15"/>
      <c r="N33" s="10"/>
      <c r="O33" s="8"/>
      <c r="P33" s="11"/>
    </row>
    <row r="34" spans="1:16" x14ac:dyDescent="0.25">
      <c r="A34" s="3" t="s">
        <v>278</v>
      </c>
      <c r="B34" s="16" t="s">
        <v>40</v>
      </c>
      <c r="C34" s="17">
        <v>10000</v>
      </c>
      <c r="D34" s="18" t="s">
        <v>36</v>
      </c>
      <c r="E34" s="3"/>
      <c r="F34" s="158"/>
      <c r="G34" s="157">
        <f>C34*F34</f>
        <v>0</v>
      </c>
      <c r="J34" s="7"/>
      <c r="L34" s="8"/>
      <c r="M34" s="15" t="s">
        <v>1</v>
      </c>
      <c r="N34" s="10"/>
      <c r="O34" s="8"/>
      <c r="P34" s="11"/>
    </row>
    <row r="35" spans="1:16" x14ac:dyDescent="0.25">
      <c r="A35" s="22"/>
      <c r="B35" s="13"/>
      <c r="C35" s="17"/>
      <c r="D35" s="18"/>
      <c r="E35" s="103"/>
      <c r="F35" s="158"/>
      <c r="G35" s="162"/>
      <c r="L35" s="8" t="s">
        <v>1</v>
      </c>
      <c r="M35" s="9"/>
      <c r="N35" s="10"/>
      <c r="O35" s="8"/>
      <c r="P35" s="11"/>
    </row>
    <row r="36" spans="1:16" x14ac:dyDescent="0.25">
      <c r="A36" s="3" t="s">
        <v>279</v>
      </c>
      <c r="B36" s="16" t="s">
        <v>42</v>
      </c>
      <c r="C36" s="17">
        <v>200000</v>
      </c>
      <c r="D36" s="18" t="s">
        <v>43</v>
      </c>
      <c r="E36" s="3"/>
      <c r="F36" s="158"/>
      <c r="G36" s="157">
        <f>C36*F36</f>
        <v>0</v>
      </c>
      <c r="J36" s="7"/>
      <c r="L36" s="8"/>
      <c r="M36" s="9" t="s">
        <v>1</v>
      </c>
      <c r="N36" s="10" t="s">
        <v>1</v>
      </c>
      <c r="O36" s="8" t="s">
        <v>1</v>
      </c>
      <c r="P36" s="11"/>
    </row>
    <row r="37" spans="1:16" x14ac:dyDescent="0.25">
      <c r="A37" s="22"/>
      <c r="B37" s="13"/>
      <c r="C37" s="17"/>
      <c r="D37" s="18"/>
      <c r="E37" s="103"/>
      <c r="F37" s="158"/>
      <c r="G37" s="162"/>
      <c r="L37" s="8" t="s">
        <v>1</v>
      </c>
      <c r="M37" s="9"/>
      <c r="N37" s="10"/>
      <c r="O37" s="8"/>
      <c r="P37" s="11"/>
    </row>
    <row r="38" spans="1:16" x14ac:dyDescent="0.25">
      <c r="A38" s="3" t="s">
        <v>280</v>
      </c>
      <c r="B38" s="16" t="s">
        <v>45</v>
      </c>
      <c r="C38" s="17">
        <v>100000</v>
      </c>
      <c r="D38" s="18" t="s">
        <v>46</v>
      </c>
      <c r="E38" s="3"/>
      <c r="F38" s="158"/>
      <c r="G38" s="157">
        <f>C38*F38</f>
        <v>0</v>
      </c>
      <c r="J38" s="7"/>
      <c r="L38" s="8"/>
      <c r="M38" s="9" t="s">
        <v>1</v>
      </c>
      <c r="N38" s="10" t="s">
        <v>0</v>
      </c>
      <c r="O38" s="8" t="s">
        <v>1</v>
      </c>
      <c r="P38" s="11"/>
    </row>
    <row r="39" spans="1:16" x14ac:dyDescent="0.25">
      <c r="A39" s="22"/>
      <c r="B39" s="16"/>
      <c r="C39" s="17"/>
      <c r="D39" s="18"/>
      <c r="E39" s="103"/>
      <c r="F39" s="158"/>
      <c r="G39" s="162"/>
      <c r="L39" s="8" t="s">
        <v>1</v>
      </c>
      <c r="M39" s="9"/>
      <c r="N39" s="10"/>
      <c r="O39" s="8"/>
      <c r="P39" s="11"/>
    </row>
    <row r="40" spans="1:16" x14ac:dyDescent="0.25">
      <c r="A40" s="3" t="s">
        <v>281</v>
      </c>
      <c r="B40" s="16" t="s">
        <v>48</v>
      </c>
      <c r="C40" s="17">
        <v>200000</v>
      </c>
      <c r="D40" s="18" t="s">
        <v>46</v>
      </c>
      <c r="E40" s="3"/>
      <c r="F40" s="158"/>
      <c r="G40" s="157">
        <f>C40*F40</f>
        <v>0</v>
      </c>
      <c r="J40" s="7"/>
      <c r="L40" s="8"/>
      <c r="M40" s="9" t="s">
        <v>1</v>
      </c>
      <c r="N40" s="10" t="s">
        <v>1</v>
      </c>
      <c r="O40" s="8" t="s">
        <v>1</v>
      </c>
      <c r="P40" s="11"/>
    </row>
    <row r="41" spans="1:16" x14ac:dyDescent="0.25">
      <c r="A41" s="22"/>
      <c r="B41" s="16"/>
      <c r="C41" s="17"/>
      <c r="D41" s="18"/>
      <c r="E41" s="103"/>
      <c r="F41" s="158"/>
      <c r="G41" s="162"/>
      <c r="L41" s="8" t="s">
        <v>1</v>
      </c>
      <c r="M41" s="9"/>
      <c r="N41" s="10"/>
      <c r="O41" s="8"/>
      <c r="P41" s="11"/>
    </row>
    <row r="42" spans="1:16" x14ac:dyDescent="0.25">
      <c r="A42" s="3" t="s">
        <v>282</v>
      </c>
      <c r="B42" s="16" t="s">
        <v>50</v>
      </c>
      <c r="C42" s="17">
        <v>1402000</v>
      </c>
      <c r="D42" s="18" t="s">
        <v>46</v>
      </c>
      <c r="E42" s="3"/>
      <c r="F42" s="158"/>
      <c r="G42" s="157">
        <f>C42*F42</f>
        <v>0</v>
      </c>
      <c r="J42" s="7"/>
      <c r="L42" s="8"/>
      <c r="M42" s="9" t="s">
        <v>1</v>
      </c>
      <c r="N42" s="10" t="s">
        <v>1</v>
      </c>
      <c r="O42" s="8" t="s">
        <v>1</v>
      </c>
      <c r="P42" s="11"/>
    </row>
    <row r="43" spans="1:16" x14ac:dyDescent="0.25">
      <c r="A43" s="22"/>
      <c r="B43" s="16"/>
      <c r="C43" s="17"/>
      <c r="D43" s="18"/>
      <c r="E43" s="103"/>
      <c r="F43" s="158"/>
      <c r="G43" s="162"/>
      <c r="L43" s="171" t="s">
        <v>1</v>
      </c>
      <c r="M43" s="9"/>
      <c r="N43" s="10"/>
      <c r="O43" s="8"/>
      <c r="P43" s="11"/>
    </row>
    <row r="44" spans="1:16" x14ac:dyDescent="0.25">
      <c r="A44" s="3" t="s">
        <v>283</v>
      </c>
      <c r="B44" s="16" t="s">
        <v>52</v>
      </c>
      <c r="C44" s="17">
        <v>82000</v>
      </c>
      <c r="D44" s="18" t="s">
        <v>46</v>
      </c>
      <c r="E44" s="3"/>
      <c r="F44" s="158"/>
      <c r="G44" s="157">
        <f>C44*F44</f>
        <v>0</v>
      </c>
      <c r="J44" s="7"/>
      <c r="L44" s="19"/>
      <c r="M44" s="172" t="s">
        <v>1</v>
      </c>
      <c r="N44" s="171" t="s">
        <v>1</v>
      </c>
      <c r="O44" s="167" t="s">
        <v>1</v>
      </c>
      <c r="P44" s="11"/>
    </row>
    <row r="45" spans="1:16" x14ac:dyDescent="0.25">
      <c r="A45" s="22"/>
      <c r="B45" s="16"/>
      <c r="C45" s="17"/>
      <c r="D45" s="18"/>
      <c r="E45" s="3"/>
      <c r="F45" s="158"/>
      <c r="G45" s="163"/>
      <c r="L45" s="19"/>
      <c r="M45" s="172"/>
      <c r="N45" s="171"/>
      <c r="O45" s="167"/>
      <c r="P45" s="11"/>
    </row>
    <row r="46" spans="1:16" x14ac:dyDescent="0.25">
      <c r="A46" s="3" t="s">
        <v>284</v>
      </c>
      <c r="B46" s="16" t="s">
        <v>54</v>
      </c>
      <c r="C46" s="17">
        <v>20000</v>
      </c>
      <c r="D46" s="18" t="s">
        <v>46</v>
      </c>
      <c r="E46" s="3"/>
      <c r="F46" s="158"/>
      <c r="G46" s="157">
        <f>C46*F46</f>
        <v>0</v>
      </c>
      <c r="J46" s="7"/>
      <c r="L46" s="19"/>
      <c r="M46" s="172"/>
      <c r="N46" s="171"/>
      <c r="O46" s="167"/>
      <c r="P46" s="11"/>
    </row>
    <row r="47" spans="1:16" x14ac:dyDescent="0.25">
      <c r="A47" s="22"/>
      <c r="B47" s="16"/>
      <c r="C47" s="17"/>
      <c r="D47" s="18"/>
      <c r="E47" s="103"/>
      <c r="F47" s="158"/>
      <c r="G47" s="162"/>
      <c r="L47" s="171" t="s">
        <v>1</v>
      </c>
      <c r="M47" s="88"/>
      <c r="N47" s="19"/>
      <c r="O47" s="8"/>
      <c r="P47" s="11"/>
    </row>
    <row r="48" spans="1:16" x14ac:dyDescent="0.25">
      <c r="A48" s="3" t="s">
        <v>285</v>
      </c>
      <c r="B48" s="4" t="s">
        <v>56</v>
      </c>
      <c r="C48" s="17">
        <v>50</v>
      </c>
      <c r="D48" s="18" t="s">
        <v>24</v>
      </c>
      <c r="E48" s="3"/>
      <c r="F48" s="158"/>
      <c r="G48" s="157">
        <f>C48*F48</f>
        <v>0</v>
      </c>
      <c r="J48" s="7"/>
      <c r="L48" s="19"/>
      <c r="M48" s="172" t="s">
        <v>1</v>
      </c>
      <c r="N48" s="171" t="s">
        <v>1</v>
      </c>
      <c r="O48" s="167" t="s">
        <v>1</v>
      </c>
      <c r="P48" s="11"/>
    </row>
    <row r="49" spans="1:16" x14ac:dyDescent="0.25">
      <c r="A49" s="22"/>
      <c r="B49" s="13"/>
      <c r="C49" s="17"/>
      <c r="D49" s="14"/>
      <c r="E49" s="103"/>
      <c r="F49" s="158"/>
      <c r="G49" s="162"/>
      <c r="L49" s="171" t="s">
        <v>1</v>
      </c>
      <c r="M49" s="88"/>
      <c r="N49" s="19"/>
      <c r="O49" s="8"/>
      <c r="P49" s="11"/>
    </row>
    <row r="50" spans="1:16" x14ac:dyDescent="0.25">
      <c r="A50" s="135" t="s">
        <v>286</v>
      </c>
      <c r="B50" s="137" t="s">
        <v>58</v>
      </c>
      <c r="C50" s="17"/>
      <c r="D50" s="14"/>
      <c r="E50" s="103"/>
      <c r="F50" s="158"/>
      <c r="G50" s="162"/>
      <c r="L50" s="19"/>
      <c r="M50" s="172" t="s">
        <v>1</v>
      </c>
      <c r="N50" s="171" t="s">
        <v>1</v>
      </c>
      <c r="O50" s="167" t="s">
        <v>1</v>
      </c>
      <c r="P50" s="11"/>
    </row>
    <row r="51" spans="1:16" x14ac:dyDescent="0.25">
      <c r="A51" s="22"/>
      <c r="B51" s="13"/>
      <c r="C51" s="17"/>
      <c r="D51" s="14"/>
      <c r="E51" s="103"/>
      <c r="F51" s="158"/>
      <c r="G51" s="162"/>
      <c r="L51" s="171" t="s">
        <v>1</v>
      </c>
      <c r="M51" s="88"/>
      <c r="N51" s="19"/>
      <c r="O51" s="8"/>
      <c r="P51" s="11"/>
    </row>
    <row r="52" spans="1:16" ht="12.75" customHeight="1" x14ac:dyDescent="0.25">
      <c r="A52" s="22" t="s">
        <v>287</v>
      </c>
      <c r="B52" s="16" t="s">
        <v>60</v>
      </c>
      <c r="C52" s="17">
        <v>1000</v>
      </c>
      <c r="D52" s="22" t="s">
        <v>36</v>
      </c>
      <c r="E52" s="3"/>
      <c r="F52" s="158"/>
      <c r="G52" s="157">
        <f>C52*F52</f>
        <v>0</v>
      </c>
      <c r="J52" s="7"/>
      <c r="K52" s="9" t="s">
        <v>1</v>
      </c>
      <c r="L52" s="10" t="s">
        <v>1</v>
      </c>
      <c r="M52" s="8" t="s">
        <v>1</v>
      </c>
      <c r="N52" s="11"/>
      <c r="O52" s="88"/>
      <c r="P52" s="11"/>
    </row>
    <row r="53" spans="1:16" x14ac:dyDescent="0.25">
      <c r="A53" s="3"/>
      <c r="B53" s="16"/>
      <c r="C53" s="17"/>
      <c r="D53" s="18"/>
      <c r="E53" s="103"/>
      <c r="F53" s="158"/>
      <c r="G53" s="162"/>
      <c r="K53" s="9"/>
      <c r="L53" s="10"/>
      <c r="M53" s="8"/>
      <c r="N53" s="11"/>
      <c r="O53" s="88"/>
      <c r="P53" s="11"/>
    </row>
    <row r="54" spans="1:16" ht="12.75" customHeight="1" x14ac:dyDescent="0.25">
      <c r="A54" s="22" t="s">
        <v>288</v>
      </c>
      <c r="B54" s="16" t="s">
        <v>62</v>
      </c>
      <c r="C54" s="17">
        <v>200</v>
      </c>
      <c r="D54" s="22" t="s">
        <v>36</v>
      </c>
      <c r="E54" s="3"/>
      <c r="F54" s="158"/>
      <c r="G54" s="157">
        <f>C54*F54</f>
        <v>0</v>
      </c>
      <c r="J54" s="7"/>
      <c r="K54" s="9" t="s">
        <v>1</v>
      </c>
      <c r="L54" s="10" t="s">
        <v>1</v>
      </c>
      <c r="M54" s="8" t="s">
        <v>1</v>
      </c>
      <c r="N54" s="11"/>
      <c r="O54" s="88"/>
      <c r="P54" s="11"/>
    </row>
    <row r="55" spans="1:16" x14ac:dyDescent="0.25">
      <c r="A55" s="3"/>
      <c r="B55" s="16"/>
      <c r="C55" s="17"/>
      <c r="D55" s="18"/>
      <c r="E55" s="3"/>
      <c r="F55" s="158"/>
      <c r="G55" s="163"/>
      <c r="K55" s="9"/>
      <c r="L55" s="10"/>
      <c r="M55" s="8"/>
      <c r="N55" s="11"/>
      <c r="O55" s="88"/>
      <c r="P55" s="11"/>
    </row>
    <row r="56" spans="1:16" ht="12.9" customHeight="1" x14ac:dyDescent="0.25">
      <c r="A56" s="22" t="s">
        <v>289</v>
      </c>
      <c r="B56" s="4" t="s">
        <v>64</v>
      </c>
      <c r="C56" s="173">
        <v>100</v>
      </c>
      <c r="D56" s="22" t="s">
        <v>36</v>
      </c>
      <c r="E56" s="3"/>
      <c r="F56" s="158"/>
      <c r="G56" s="157">
        <f>C56*F56</f>
        <v>0</v>
      </c>
      <c r="J56" s="7"/>
      <c r="K56" s="172" t="s">
        <v>1</v>
      </c>
      <c r="L56" s="171" t="s">
        <v>1</v>
      </c>
      <c r="M56" s="167" t="s">
        <v>1</v>
      </c>
      <c r="N56" s="11"/>
      <c r="O56" s="88"/>
      <c r="P56" s="11"/>
    </row>
    <row r="57" spans="1:16" ht="12.9" customHeight="1" x14ac:dyDescent="0.25">
      <c r="A57" s="3"/>
      <c r="B57" s="104"/>
      <c r="C57" s="105"/>
      <c r="D57" s="3"/>
      <c r="E57" s="3"/>
      <c r="F57" s="158"/>
      <c r="G57" s="163"/>
      <c r="K57" s="172"/>
      <c r="L57" s="171"/>
      <c r="M57" s="167"/>
      <c r="N57" s="11"/>
      <c r="O57" s="88"/>
      <c r="P57" s="11"/>
    </row>
    <row r="58" spans="1:16" ht="12.9" customHeight="1" x14ac:dyDescent="0.25">
      <c r="A58" s="22" t="s">
        <v>290</v>
      </c>
      <c r="B58" s="4" t="s">
        <v>66</v>
      </c>
      <c r="C58" s="173">
        <v>100</v>
      </c>
      <c r="D58" s="22" t="s">
        <v>67</v>
      </c>
      <c r="E58" s="3"/>
      <c r="F58" s="158"/>
      <c r="G58" s="157">
        <f>C58*F58</f>
        <v>0</v>
      </c>
      <c r="J58" s="7"/>
      <c r="K58" s="172" t="s">
        <v>1</v>
      </c>
      <c r="L58" s="171" t="s">
        <v>1</v>
      </c>
      <c r="M58" s="167" t="s">
        <v>1</v>
      </c>
      <c r="N58" s="11"/>
      <c r="O58" s="88"/>
      <c r="P58" s="11"/>
    </row>
    <row r="59" spans="1:16" ht="12.9" customHeight="1" x14ac:dyDescent="0.25">
      <c r="A59" s="3"/>
      <c r="B59" s="104"/>
      <c r="C59" s="106"/>
      <c r="D59" s="3"/>
      <c r="E59" s="3"/>
      <c r="F59" s="158"/>
      <c r="G59" s="163"/>
      <c r="K59" s="88"/>
      <c r="L59" s="19"/>
      <c r="M59" s="8"/>
      <c r="N59" s="11"/>
      <c r="O59" s="88"/>
      <c r="P59" s="11"/>
    </row>
    <row r="60" spans="1:16" ht="12.9" customHeight="1" x14ac:dyDescent="0.25">
      <c r="A60" s="22" t="s">
        <v>291</v>
      </c>
      <c r="B60" s="4" t="s">
        <v>69</v>
      </c>
      <c r="C60" s="174">
        <v>250</v>
      </c>
      <c r="D60" s="22" t="s">
        <v>36</v>
      </c>
      <c r="E60" s="3"/>
      <c r="F60" s="158"/>
      <c r="G60" s="157">
        <f>C60*F60</f>
        <v>0</v>
      </c>
      <c r="J60" s="7"/>
      <c r="K60" s="172" t="s">
        <v>1</v>
      </c>
      <c r="L60" s="171" t="s">
        <v>1</v>
      </c>
      <c r="M60" s="167" t="s">
        <v>1</v>
      </c>
      <c r="N60" s="11"/>
      <c r="O60" s="88"/>
      <c r="P60" s="11"/>
    </row>
    <row r="61" spans="1:16" ht="12.9" customHeight="1" x14ac:dyDescent="0.25">
      <c r="A61" s="3"/>
      <c r="B61" s="104"/>
      <c r="C61" s="106"/>
      <c r="D61" s="3"/>
      <c r="E61" s="3"/>
      <c r="F61" s="158"/>
      <c r="G61" s="163"/>
      <c r="K61" s="88"/>
      <c r="L61" s="19"/>
      <c r="M61" s="8"/>
      <c r="N61" s="11"/>
      <c r="O61" s="88"/>
      <c r="P61" s="11"/>
    </row>
    <row r="62" spans="1:16" ht="12.9" customHeight="1" x14ac:dyDescent="0.25">
      <c r="A62" s="22" t="s">
        <v>292</v>
      </c>
      <c r="B62" s="4" t="s">
        <v>71</v>
      </c>
      <c r="C62" s="174">
        <v>250</v>
      </c>
      <c r="D62" s="22" t="s">
        <v>36</v>
      </c>
      <c r="E62" s="3"/>
      <c r="F62" s="158"/>
      <c r="G62" s="157">
        <f>C62*F62</f>
        <v>0</v>
      </c>
      <c r="J62" s="7"/>
      <c r="K62" s="172" t="s">
        <v>1</v>
      </c>
      <c r="L62" s="171" t="s">
        <v>1</v>
      </c>
      <c r="M62" s="167" t="s">
        <v>1</v>
      </c>
      <c r="N62" s="11"/>
      <c r="O62" s="88"/>
      <c r="P62" s="11"/>
    </row>
    <row r="63" spans="1:16" x14ac:dyDescent="0.25">
      <c r="A63" s="22"/>
      <c r="B63" s="104"/>
      <c r="C63" s="106"/>
      <c r="D63" s="3"/>
      <c r="E63" s="3"/>
      <c r="F63" s="158"/>
      <c r="G63" s="163"/>
      <c r="K63" s="88"/>
      <c r="L63" s="19"/>
      <c r="M63" s="8"/>
      <c r="N63" s="11"/>
      <c r="O63" s="88"/>
      <c r="P63" s="11"/>
    </row>
    <row r="64" spans="1:16" ht="12.75" customHeight="1" x14ac:dyDescent="0.25">
      <c r="A64" s="22" t="s">
        <v>293</v>
      </c>
      <c r="B64" s="4" t="s">
        <v>73</v>
      </c>
      <c r="C64" s="174">
        <v>250</v>
      </c>
      <c r="D64" s="22" t="s">
        <v>36</v>
      </c>
      <c r="E64" s="3"/>
      <c r="F64" s="158"/>
      <c r="G64" s="157">
        <f>C64*F64</f>
        <v>0</v>
      </c>
      <c r="J64" s="7"/>
      <c r="K64" s="172" t="s">
        <v>1</v>
      </c>
      <c r="L64" s="171" t="s">
        <v>1</v>
      </c>
      <c r="M64" s="167" t="s">
        <v>1</v>
      </c>
      <c r="N64" s="11"/>
      <c r="O64" s="88"/>
      <c r="P64" s="11"/>
    </row>
    <row r="65" spans="1:16" x14ac:dyDescent="0.25">
      <c r="A65" s="22"/>
      <c r="B65" s="104"/>
      <c r="C65" s="106"/>
      <c r="D65" s="3"/>
      <c r="E65" s="3"/>
      <c r="F65" s="158"/>
      <c r="G65" s="163"/>
      <c r="K65" s="88"/>
      <c r="L65" s="19"/>
      <c r="M65" s="8"/>
      <c r="N65" s="11"/>
      <c r="O65" s="88"/>
      <c r="P65" s="11"/>
    </row>
    <row r="66" spans="1:16" ht="12.75" customHeight="1" x14ac:dyDescent="0.25">
      <c r="A66" s="22" t="s">
        <v>294</v>
      </c>
      <c r="B66" s="4" t="s">
        <v>75</v>
      </c>
      <c r="C66" s="174">
        <v>250</v>
      </c>
      <c r="D66" s="22" t="s">
        <v>36</v>
      </c>
      <c r="E66" s="3"/>
      <c r="F66" s="158"/>
      <c r="G66" s="157">
        <f>C66*F66</f>
        <v>0</v>
      </c>
      <c r="J66" s="7"/>
      <c r="K66" s="172" t="s">
        <v>1</v>
      </c>
      <c r="L66" s="171" t="s">
        <v>1</v>
      </c>
      <c r="M66" s="167" t="s">
        <v>1</v>
      </c>
      <c r="N66" s="11"/>
      <c r="O66" s="88"/>
      <c r="P66" s="11"/>
    </row>
    <row r="67" spans="1:16" ht="12.75" customHeight="1" x14ac:dyDescent="0.25">
      <c r="A67" s="22"/>
      <c r="B67" s="4"/>
      <c r="C67" s="174"/>
      <c r="D67" s="22"/>
      <c r="E67" s="3"/>
      <c r="F67" s="158"/>
      <c r="G67" s="163"/>
      <c r="K67" s="172"/>
      <c r="L67" s="171"/>
      <c r="M67" s="167"/>
      <c r="N67" s="11"/>
      <c r="O67" s="88"/>
      <c r="P67" s="11"/>
    </row>
    <row r="68" spans="1:16" ht="12.75" customHeight="1" x14ac:dyDescent="0.25">
      <c r="A68" s="22" t="s">
        <v>295</v>
      </c>
      <c r="B68" s="4" t="s">
        <v>77</v>
      </c>
      <c r="C68" s="174">
        <v>1000</v>
      </c>
      <c r="D68" s="22" t="s">
        <v>78</v>
      </c>
      <c r="E68" s="3"/>
      <c r="F68" s="158"/>
      <c r="G68" s="157">
        <f>C68*F68</f>
        <v>0</v>
      </c>
      <c r="J68" s="7"/>
      <c r="K68" s="172"/>
      <c r="L68" s="171"/>
      <c r="M68" s="167"/>
      <c r="N68" s="11"/>
      <c r="O68" s="88"/>
      <c r="P68" s="11"/>
    </row>
    <row r="69" spans="1:16" ht="12.75" customHeight="1" x14ac:dyDescent="0.25">
      <c r="A69" s="22"/>
      <c r="B69" s="104"/>
      <c r="C69" s="104"/>
      <c r="D69" s="3"/>
      <c r="E69" s="3"/>
      <c r="F69" s="158"/>
      <c r="G69" s="163"/>
      <c r="K69" s="172"/>
      <c r="L69" s="171"/>
      <c r="M69" s="167"/>
      <c r="N69" s="11"/>
      <c r="O69" s="88"/>
      <c r="P69" s="11"/>
    </row>
    <row r="70" spans="1:16" ht="12.75" customHeight="1" x14ac:dyDescent="0.25">
      <c r="A70" s="22" t="s">
        <v>296</v>
      </c>
      <c r="B70" s="4" t="s">
        <v>80</v>
      </c>
      <c r="C70" s="174">
        <v>7260</v>
      </c>
      <c r="D70" s="22" t="s">
        <v>81</v>
      </c>
      <c r="E70" s="3"/>
      <c r="F70" s="158"/>
      <c r="G70" s="157">
        <f>C70*F70</f>
        <v>0</v>
      </c>
      <c r="J70" s="7"/>
      <c r="K70" s="172"/>
      <c r="L70" s="171"/>
      <c r="M70" s="167"/>
      <c r="N70" s="11"/>
      <c r="O70" s="88"/>
      <c r="P70" s="11"/>
    </row>
    <row r="71" spans="1:16" x14ac:dyDescent="0.25">
      <c r="A71" s="22"/>
      <c r="B71" s="13"/>
      <c r="C71" s="17"/>
      <c r="D71" s="14"/>
      <c r="E71" s="103"/>
      <c r="F71" s="158"/>
      <c r="G71" s="162"/>
      <c r="K71" s="172"/>
      <c r="L71" s="171"/>
      <c r="M71" s="167"/>
      <c r="N71" s="11"/>
      <c r="O71" s="88"/>
      <c r="P71" s="11"/>
    </row>
    <row r="72" spans="1:16" ht="12.9" customHeight="1" x14ac:dyDescent="0.25">
      <c r="A72" s="138" t="s">
        <v>297</v>
      </c>
      <c r="B72" s="137" t="s">
        <v>83</v>
      </c>
      <c r="C72" s="17"/>
      <c r="D72" s="14"/>
      <c r="E72" s="103"/>
      <c r="F72" s="158"/>
      <c r="G72" s="162"/>
      <c r="N72" s="11"/>
      <c r="O72" s="88"/>
      <c r="P72" s="11"/>
    </row>
    <row r="73" spans="1:16" x14ac:dyDescent="0.25">
      <c r="A73" s="22"/>
      <c r="B73" s="13"/>
      <c r="C73" s="17"/>
      <c r="D73" s="14"/>
      <c r="E73" s="103"/>
      <c r="F73" s="158"/>
      <c r="G73" s="162"/>
      <c r="N73" s="11"/>
      <c r="O73" s="88"/>
      <c r="P73" s="11"/>
    </row>
    <row r="74" spans="1:16" ht="12.75" customHeight="1" x14ac:dyDescent="0.25">
      <c r="A74" s="22" t="s">
        <v>298</v>
      </c>
      <c r="B74" s="16" t="s">
        <v>85</v>
      </c>
      <c r="C74" s="17">
        <v>1000</v>
      </c>
      <c r="D74" s="18" t="s">
        <v>81</v>
      </c>
      <c r="E74" s="3"/>
      <c r="F74" s="158"/>
      <c r="G74" s="157">
        <f>C74*F74</f>
        <v>0</v>
      </c>
      <c r="J74" s="7"/>
      <c r="N74" s="11"/>
      <c r="O74" s="88"/>
      <c r="P74" s="11"/>
    </row>
    <row r="75" spans="1:16" x14ac:dyDescent="0.25">
      <c r="A75" s="22"/>
      <c r="B75" s="108"/>
      <c r="C75" s="13"/>
      <c r="D75" s="14"/>
      <c r="E75" s="103"/>
      <c r="F75" s="158"/>
      <c r="G75" s="162"/>
      <c r="K75" s="9"/>
      <c r="L75" s="10"/>
      <c r="M75" s="8"/>
      <c r="N75" s="11"/>
      <c r="O75" s="88"/>
      <c r="P75" s="11"/>
    </row>
    <row r="76" spans="1:16" ht="12.75" customHeight="1" x14ac:dyDescent="0.25">
      <c r="A76" s="22" t="s">
        <v>299</v>
      </c>
      <c r="B76" s="16" t="s">
        <v>87</v>
      </c>
      <c r="C76" s="17">
        <v>1000</v>
      </c>
      <c r="D76" s="18" t="s">
        <v>81</v>
      </c>
      <c r="E76" s="3"/>
      <c r="F76" s="158"/>
      <c r="G76" s="157">
        <f>C76*F76</f>
        <v>0</v>
      </c>
      <c r="J76" s="7"/>
      <c r="L76" s="8" t="s">
        <v>1</v>
      </c>
      <c r="M76" s="86"/>
      <c r="N76" s="10"/>
      <c r="O76" s="8"/>
      <c r="P76" s="11"/>
    </row>
    <row r="77" spans="1:16" x14ac:dyDescent="0.25">
      <c r="A77" s="22"/>
      <c r="B77" s="13"/>
      <c r="C77" s="13"/>
      <c r="D77" s="14"/>
      <c r="E77" s="103"/>
      <c r="F77" s="158"/>
      <c r="G77" s="162"/>
      <c r="L77" s="8"/>
      <c r="M77" s="9" t="s">
        <v>1</v>
      </c>
      <c r="N77" s="10" t="s">
        <v>1</v>
      </c>
      <c r="O77" s="8" t="s">
        <v>1</v>
      </c>
      <c r="P77" s="11"/>
    </row>
    <row r="78" spans="1:16" ht="12.75" customHeight="1" x14ac:dyDescent="0.25">
      <c r="A78" s="138" t="s">
        <v>300</v>
      </c>
      <c r="B78" s="137" t="s">
        <v>89</v>
      </c>
      <c r="C78" s="13"/>
      <c r="D78" s="14"/>
      <c r="E78" s="103"/>
      <c r="F78" s="158"/>
      <c r="G78" s="162"/>
      <c r="L78" s="8" t="s">
        <v>1</v>
      </c>
      <c r="M78" s="86"/>
      <c r="N78" s="10"/>
      <c r="O78" s="8"/>
      <c r="P78" s="11"/>
    </row>
    <row r="79" spans="1:16" x14ac:dyDescent="0.25">
      <c r="A79" s="22"/>
      <c r="B79" s="13"/>
      <c r="C79" s="13"/>
      <c r="D79" s="14"/>
      <c r="E79" s="103"/>
      <c r="F79" s="158"/>
      <c r="G79" s="162"/>
      <c r="L79" s="8"/>
      <c r="M79" s="9" t="s">
        <v>1</v>
      </c>
      <c r="N79" s="10" t="s">
        <v>1</v>
      </c>
      <c r="O79" s="8" t="s">
        <v>1</v>
      </c>
      <c r="P79" s="11"/>
    </row>
    <row r="80" spans="1:16" ht="12.75" customHeight="1" x14ac:dyDescent="0.25">
      <c r="A80" s="22" t="s">
        <v>301</v>
      </c>
      <c r="B80" s="16" t="s">
        <v>91</v>
      </c>
      <c r="C80" s="17">
        <v>500</v>
      </c>
      <c r="D80" s="18" t="s">
        <v>92</v>
      </c>
      <c r="E80" s="3"/>
      <c r="F80" s="158"/>
      <c r="G80" s="157">
        <f>C80*F80</f>
        <v>0</v>
      </c>
      <c r="J80" s="7"/>
      <c r="L80" s="8" t="s">
        <v>1</v>
      </c>
      <c r="M80" s="86"/>
      <c r="N80" s="10"/>
      <c r="O80" s="8"/>
      <c r="P80" s="11"/>
    </row>
    <row r="81" spans="1:16" ht="12.75" customHeight="1" x14ac:dyDescent="0.25">
      <c r="A81" s="22"/>
      <c r="B81" s="16"/>
      <c r="C81" s="17"/>
      <c r="D81" s="18"/>
      <c r="E81" s="3"/>
      <c r="F81" s="158"/>
      <c r="G81" s="163"/>
      <c r="L81" s="8"/>
      <c r="M81" s="86"/>
      <c r="N81" s="10"/>
      <c r="O81" s="8"/>
      <c r="P81" s="11"/>
    </row>
    <row r="82" spans="1:16" ht="12.75" customHeight="1" x14ac:dyDescent="0.25">
      <c r="A82" s="22" t="s">
        <v>302</v>
      </c>
      <c r="B82" s="16" t="s">
        <v>94</v>
      </c>
      <c r="C82" s="17">
        <v>1000</v>
      </c>
      <c r="D82" s="18" t="s">
        <v>92</v>
      </c>
      <c r="E82" s="3"/>
      <c r="F82" s="158"/>
      <c r="G82" s="157">
        <f>C82*F82</f>
        <v>0</v>
      </c>
      <c r="J82" s="7"/>
      <c r="L82" s="8"/>
      <c r="M82" s="86"/>
      <c r="N82" s="10"/>
      <c r="O82" s="8"/>
      <c r="P82" s="11"/>
    </row>
    <row r="83" spans="1:16" x14ac:dyDescent="0.25">
      <c r="A83" s="22"/>
      <c r="B83" s="13"/>
      <c r="C83" s="13"/>
      <c r="D83" s="14"/>
      <c r="E83" s="103"/>
      <c r="F83" s="158"/>
      <c r="G83" s="162"/>
      <c r="L83" s="8"/>
      <c r="M83" s="9" t="s">
        <v>1</v>
      </c>
      <c r="N83" s="10" t="s">
        <v>1</v>
      </c>
      <c r="O83" s="8" t="s">
        <v>1</v>
      </c>
      <c r="P83" s="11"/>
    </row>
    <row r="84" spans="1:16" ht="12.75" customHeight="1" x14ac:dyDescent="0.25">
      <c r="A84" s="138" t="s">
        <v>303</v>
      </c>
      <c r="B84" s="109" t="s">
        <v>96</v>
      </c>
      <c r="C84" s="13"/>
      <c r="D84" s="14"/>
      <c r="E84" s="103"/>
      <c r="F84" s="158"/>
      <c r="G84" s="162"/>
      <c r="L84" s="8" t="s">
        <v>1</v>
      </c>
      <c r="M84" s="9"/>
      <c r="N84" s="10"/>
      <c r="O84" s="8"/>
      <c r="P84" s="11"/>
    </row>
    <row r="85" spans="1:16" x14ac:dyDescent="0.25">
      <c r="A85" s="22"/>
      <c r="B85" s="13"/>
      <c r="C85" s="13"/>
      <c r="D85" s="14"/>
      <c r="E85" s="103"/>
      <c r="F85" s="158"/>
      <c r="G85" s="162"/>
      <c r="L85" s="8"/>
      <c r="M85" s="9" t="s">
        <v>1</v>
      </c>
      <c r="N85" s="10" t="s">
        <v>1</v>
      </c>
      <c r="O85" s="8" t="s">
        <v>1</v>
      </c>
      <c r="P85" s="11"/>
    </row>
    <row r="86" spans="1:16" ht="12.75" customHeight="1" x14ac:dyDescent="0.25">
      <c r="A86" s="22" t="s">
        <v>304</v>
      </c>
      <c r="B86" s="16" t="s">
        <v>98</v>
      </c>
      <c r="C86" s="17">
        <v>1000</v>
      </c>
      <c r="D86" s="18" t="s">
        <v>99</v>
      </c>
      <c r="E86" s="3"/>
      <c r="F86" s="158"/>
      <c r="G86" s="157">
        <f>C86*F86</f>
        <v>0</v>
      </c>
      <c r="J86" s="7"/>
      <c r="L86" s="8" t="s">
        <v>1</v>
      </c>
      <c r="M86" s="86"/>
      <c r="N86" s="10"/>
      <c r="O86" s="8"/>
      <c r="P86" s="11"/>
    </row>
    <row r="87" spans="1:16" x14ac:dyDescent="0.25">
      <c r="A87" s="22"/>
      <c r="B87" s="108"/>
      <c r="C87" s="13"/>
      <c r="D87" s="14"/>
      <c r="E87" s="103"/>
      <c r="F87" s="158"/>
      <c r="G87" s="162"/>
      <c r="L87" s="8"/>
      <c r="M87" s="9" t="s">
        <v>1</v>
      </c>
      <c r="N87" s="10" t="s">
        <v>1</v>
      </c>
      <c r="O87" s="8" t="s">
        <v>1</v>
      </c>
      <c r="P87" s="11"/>
    </row>
    <row r="88" spans="1:16" ht="12.75" customHeight="1" x14ac:dyDescent="0.25">
      <c r="A88" s="22" t="s">
        <v>305</v>
      </c>
      <c r="B88" s="16" t="s">
        <v>101</v>
      </c>
      <c r="C88" s="17">
        <v>100000</v>
      </c>
      <c r="D88" s="18" t="s">
        <v>102</v>
      </c>
      <c r="E88" s="3"/>
      <c r="F88" s="158"/>
      <c r="G88" s="157">
        <f>C88*F88</f>
        <v>0</v>
      </c>
      <c r="J88" s="7"/>
      <c r="L88" s="8" t="s">
        <v>1</v>
      </c>
      <c r="M88" s="86"/>
      <c r="N88" s="10"/>
      <c r="O88" s="8"/>
      <c r="P88" s="11"/>
    </row>
    <row r="89" spans="1:16" x14ac:dyDescent="0.25">
      <c r="A89" s="22"/>
      <c r="B89" s="108"/>
      <c r="C89" s="13"/>
      <c r="D89" s="14"/>
      <c r="E89" s="103"/>
      <c r="F89" s="158"/>
      <c r="G89" s="162"/>
      <c r="L89" s="8"/>
      <c r="M89" s="9" t="s">
        <v>1</v>
      </c>
      <c r="N89" s="10" t="s">
        <v>1</v>
      </c>
      <c r="O89" s="8" t="s">
        <v>1</v>
      </c>
      <c r="P89" s="11"/>
    </row>
    <row r="90" spans="1:16" ht="12.75" customHeight="1" x14ac:dyDescent="0.25">
      <c r="A90" s="22" t="s">
        <v>306</v>
      </c>
      <c r="B90" s="16" t="s">
        <v>104</v>
      </c>
      <c r="C90" s="17">
        <v>500</v>
      </c>
      <c r="D90" s="18" t="s">
        <v>102</v>
      </c>
      <c r="E90" s="3"/>
      <c r="F90" s="158"/>
      <c r="G90" s="157">
        <f>C90*F90</f>
        <v>0</v>
      </c>
      <c r="J90" s="7"/>
      <c r="L90" s="8" t="s">
        <v>1</v>
      </c>
      <c r="M90" s="86"/>
      <c r="N90" s="10"/>
      <c r="O90" s="8"/>
      <c r="P90" s="11"/>
    </row>
    <row r="91" spans="1:16" ht="12.9" customHeight="1" x14ac:dyDescent="0.25">
      <c r="A91" s="22"/>
      <c r="B91" s="108"/>
      <c r="C91" s="13"/>
      <c r="D91" s="14"/>
      <c r="E91" s="103"/>
      <c r="F91" s="158"/>
      <c r="G91" s="162"/>
      <c r="J91" s="7"/>
      <c r="L91" s="8"/>
      <c r="M91" s="9" t="s">
        <v>1</v>
      </c>
      <c r="N91" s="10" t="s">
        <v>1</v>
      </c>
      <c r="O91" s="8" t="s">
        <v>1</v>
      </c>
      <c r="P91" s="11"/>
    </row>
    <row r="92" spans="1:16" ht="12.9" customHeight="1" x14ac:dyDescent="0.25">
      <c r="A92" s="22" t="s">
        <v>307</v>
      </c>
      <c r="B92" s="16" t="s">
        <v>106</v>
      </c>
      <c r="C92" s="17">
        <v>500</v>
      </c>
      <c r="D92" s="18" t="s">
        <v>102</v>
      </c>
      <c r="E92" s="3"/>
      <c r="F92" s="158"/>
      <c r="G92" s="157">
        <f>C92*F92</f>
        <v>0</v>
      </c>
      <c r="J92" s="7"/>
      <c r="L92" s="8" t="s">
        <v>1</v>
      </c>
      <c r="M92" s="9"/>
      <c r="N92" s="10"/>
      <c r="O92" s="8"/>
      <c r="P92" s="11"/>
    </row>
    <row r="93" spans="1:16" ht="12.9" customHeight="1" x14ac:dyDescent="0.25">
      <c r="A93" s="22"/>
      <c r="B93" s="16"/>
      <c r="C93" s="17"/>
      <c r="D93" s="18"/>
      <c r="E93" s="3"/>
      <c r="F93" s="158"/>
      <c r="G93" s="162"/>
      <c r="L93" s="8"/>
      <c r="M93" s="9"/>
      <c r="N93" s="10"/>
      <c r="O93" s="8"/>
      <c r="P93" s="11"/>
    </row>
    <row r="94" spans="1:16" ht="12.9" customHeight="1" x14ac:dyDescent="0.25">
      <c r="A94" s="22" t="s">
        <v>308</v>
      </c>
      <c r="B94" s="16" t="s">
        <v>108</v>
      </c>
      <c r="C94" s="17">
        <v>2500</v>
      </c>
      <c r="D94" s="18" t="s">
        <v>92</v>
      </c>
      <c r="E94" s="3"/>
      <c r="F94" s="158"/>
      <c r="G94" s="157">
        <f>C94*F94</f>
        <v>0</v>
      </c>
      <c r="J94" s="7"/>
      <c r="L94" s="8"/>
      <c r="M94" s="9" t="s">
        <v>1</v>
      </c>
      <c r="N94" s="10" t="s">
        <v>1</v>
      </c>
      <c r="O94" s="8" t="s">
        <v>1</v>
      </c>
      <c r="P94" s="11" t="s">
        <v>1</v>
      </c>
    </row>
    <row r="95" spans="1:16" ht="12.9" customHeight="1" x14ac:dyDescent="0.25">
      <c r="A95" s="22"/>
      <c r="B95" s="108"/>
      <c r="C95" s="13"/>
      <c r="D95" s="14"/>
      <c r="E95" s="103"/>
      <c r="F95" s="158"/>
      <c r="G95" s="162"/>
      <c r="J95" s="7"/>
      <c r="L95" s="8" t="s">
        <v>1</v>
      </c>
      <c r="M95" s="9"/>
      <c r="N95" s="10"/>
      <c r="O95" s="8"/>
      <c r="P95" s="11"/>
    </row>
    <row r="96" spans="1:16" ht="12.9" customHeight="1" x14ac:dyDescent="0.25">
      <c r="A96" s="22" t="s">
        <v>309</v>
      </c>
      <c r="B96" s="16" t="s">
        <v>110</v>
      </c>
      <c r="C96" s="17">
        <v>2500</v>
      </c>
      <c r="D96" s="18" t="s">
        <v>92</v>
      </c>
      <c r="E96" s="3"/>
      <c r="F96" s="158"/>
      <c r="G96" s="157">
        <f>C96*F96</f>
        <v>0</v>
      </c>
      <c r="J96" s="7"/>
      <c r="L96" s="8"/>
      <c r="M96" s="9" t="s">
        <v>1</v>
      </c>
      <c r="N96" s="10" t="s">
        <v>1</v>
      </c>
      <c r="O96" s="8" t="s">
        <v>1</v>
      </c>
      <c r="P96" s="11"/>
    </row>
    <row r="97" spans="1:16" ht="12.9" customHeight="1" x14ac:dyDescent="0.25">
      <c r="A97" s="22"/>
      <c r="B97" s="108"/>
      <c r="C97" s="13"/>
      <c r="D97" s="14"/>
      <c r="E97" s="103"/>
      <c r="F97" s="158"/>
      <c r="G97" s="162"/>
      <c r="J97" s="7"/>
      <c r="L97" s="23" t="s">
        <v>1</v>
      </c>
      <c r="M97" s="86"/>
      <c r="N97" s="10"/>
      <c r="O97" s="8"/>
      <c r="P97" s="11"/>
    </row>
    <row r="98" spans="1:16" ht="12.9" customHeight="1" x14ac:dyDescent="0.25">
      <c r="A98" s="22" t="s">
        <v>310</v>
      </c>
      <c r="B98" s="16" t="s">
        <v>112</v>
      </c>
      <c r="C98" s="17">
        <v>2500</v>
      </c>
      <c r="D98" s="18" t="s">
        <v>92</v>
      </c>
      <c r="E98" s="3"/>
      <c r="F98" s="158"/>
      <c r="G98" s="157">
        <f>C98*F98</f>
        <v>0</v>
      </c>
      <c r="J98" s="7"/>
      <c r="L98" s="8"/>
      <c r="M98" s="136" t="s">
        <v>1</v>
      </c>
      <c r="N98" s="20"/>
      <c r="O98" s="21"/>
      <c r="P98" s="11"/>
    </row>
    <row r="99" spans="1:16" ht="12.9" customHeight="1" x14ac:dyDescent="0.25">
      <c r="A99" s="22"/>
      <c r="B99" s="16"/>
      <c r="C99" s="17"/>
      <c r="D99" s="14"/>
      <c r="E99" s="3"/>
      <c r="F99" s="158"/>
      <c r="G99" s="163"/>
      <c r="J99" s="7"/>
      <c r="L99" s="8" t="s">
        <v>1</v>
      </c>
      <c r="M99" s="9"/>
      <c r="N99" s="24"/>
      <c r="O99" s="8"/>
      <c r="P99" s="11"/>
    </row>
    <row r="100" spans="1:16" ht="12.9" customHeight="1" x14ac:dyDescent="0.25">
      <c r="A100" s="22" t="s">
        <v>311</v>
      </c>
      <c r="B100" s="4" t="s">
        <v>114</v>
      </c>
      <c r="C100" s="17">
        <v>2500</v>
      </c>
      <c r="D100" s="18" t="s">
        <v>92</v>
      </c>
      <c r="E100" s="3"/>
      <c r="F100" s="158"/>
      <c r="G100" s="157">
        <f>C100*F100</f>
        <v>0</v>
      </c>
      <c r="J100" s="7"/>
      <c r="L100" s="8"/>
      <c r="M100" s="9" t="s">
        <v>1</v>
      </c>
      <c r="N100" s="24" t="s">
        <v>1</v>
      </c>
      <c r="O100" s="8" t="s">
        <v>1</v>
      </c>
      <c r="P100" s="11"/>
    </row>
    <row r="101" spans="1:16" ht="12.9" customHeight="1" x14ac:dyDescent="0.25">
      <c r="A101" s="22"/>
      <c r="B101" s="16"/>
      <c r="C101" s="17"/>
      <c r="D101" s="18"/>
      <c r="E101" s="3"/>
      <c r="F101" s="158"/>
      <c r="G101" s="163"/>
      <c r="J101" s="7"/>
      <c r="L101" s="8" t="s">
        <v>1</v>
      </c>
      <c r="M101" s="9"/>
      <c r="N101" s="24"/>
      <c r="O101" s="8"/>
      <c r="P101" s="11"/>
    </row>
    <row r="102" spans="1:16" ht="12.9" customHeight="1" x14ac:dyDescent="0.25">
      <c r="A102" s="22" t="s">
        <v>312</v>
      </c>
      <c r="B102" s="4" t="s">
        <v>116</v>
      </c>
      <c r="C102" s="17">
        <v>3000</v>
      </c>
      <c r="D102" s="18" t="s">
        <v>43</v>
      </c>
      <c r="E102" s="3"/>
      <c r="F102" s="158"/>
      <c r="G102" s="157">
        <f>C102*F102</f>
        <v>0</v>
      </c>
      <c r="J102" s="7"/>
      <c r="L102" s="8"/>
      <c r="M102" s="9" t="s">
        <v>1</v>
      </c>
      <c r="N102" s="24" t="s">
        <v>1</v>
      </c>
      <c r="O102" s="8" t="s">
        <v>1</v>
      </c>
      <c r="P102" s="11"/>
    </row>
    <row r="103" spans="1:16" ht="12.9" customHeight="1" x14ac:dyDescent="0.25">
      <c r="A103" s="22"/>
      <c r="B103" s="13"/>
      <c r="C103" s="13"/>
      <c r="D103" s="14"/>
      <c r="E103" s="103"/>
      <c r="F103" s="158"/>
      <c r="G103" s="162"/>
      <c r="J103" s="7"/>
      <c r="L103" s="8" t="s">
        <v>1</v>
      </c>
      <c r="M103" s="9"/>
      <c r="N103" s="24"/>
      <c r="O103" s="8"/>
      <c r="P103" s="11"/>
    </row>
    <row r="104" spans="1:16" ht="12.9" customHeight="1" x14ac:dyDescent="0.25">
      <c r="A104" s="140" t="s">
        <v>313</v>
      </c>
      <c r="B104" s="137" t="s">
        <v>118</v>
      </c>
      <c r="C104" s="13"/>
      <c r="D104" s="14"/>
      <c r="E104" s="103"/>
      <c r="F104" s="158"/>
      <c r="G104" s="162"/>
      <c r="J104" s="7"/>
      <c r="L104" s="8"/>
      <c r="M104" s="9" t="s">
        <v>1</v>
      </c>
      <c r="N104" s="24" t="s">
        <v>1</v>
      </c>
      <c r="O104" s="8" t="s">
        <v>1</v>
      </c>
      <c r="P104" s="11"/>
    </row>
    <row r="105" spans="1:16" ht="12.9" customHeight="1" x14ac:dyDescent="0.25">
      <c r="A105" s="22"/>
      <c r="B105" s="13"/>
      <c r="C105" s="13"/>
      <c r="D105" s="14"/>
      <c r="E105" s="103"/>
      <c r="F105" s="158"/>
      <c r="G105" s="162"/>
      <c r="J105" s="7"/>
      <c r="L105" s="8" t="s">
        <v>1</v>
      </c>
      <c r="M105" s="9"/>
      <c r="N105" s="24"/>
      <c r="O105" s="8"/>
      <c r="P105" s="11"/>
    </row>
    <row r="106" spans="1:16" ht="12.9" customHeight="1" x14ac:dyDescent="0.25">
      <c r="A106" s="22" t="s">
        <v>314</v>
      </c>
      <c r="B106" s="16" t="s">
        <v>120</v>
      </c>
      <c r="C106" s="17">
        <v>200</v>
      </c>
      <c r="D106" s="18" t="s">
        <v>36</v>
      </c>
      <c r="E106" s="3"/>
      <c r="F106" s="158"/>
      <c r="G106" s="157">
        <f>C106*F106</f>
        <v>0</v>
      </c>
      <c r="J106" s="7"/>
      <c r="L106" s="8"/>
      <c r="M106" s="9" t="s">
        <v>1</v>
      </c>
      <c r="N106" s="24" t="s">
        <v>1</v>
      </c>
      <c r="O106" s="8" t="s">
        <v>1</v>
      </c>
      <c r="P106" s="11"/>
    </row>
    <row r="107" spans="1:16" ht="12.9" customHeight="1" x14ac:dyDescent="0.25">
      <c r="A107" s="22"/>
      <c r="B107" s="16"/>
      <c r="C107" s="13"/>
      <c r="D107" s="14"/>
      <c r="E107" s="103"/>
      <c r="F107" s="158"/>
      <c r="G107" s="162"/>
      <c r="J107" s="7"/>
      <c r="L107" s="8" t="s">
        <v>1</v>
      </c>
      <c r="M107" s="9"/>
      <c r="N107" s="24"/>
      <c r="O107" s="8"/>
      <c r="P107" s="11"/>
    </row>
    <row r="108" spans="1:16" ht="12.9" customHeight="1" x14ac:dyDescent="0.25">
      <c r="A108" s="22" t="s">
        <v>315</v>
      </c>
      <c r="B108" s="16" t="s">
        <v>122</v>
      </c>
      <c r="C108" s="17">
        <v>200</v>
      </c>
      <c r="D108" s="18" t="s">
        <v>36</v>
      </c>
      <c r="E108" s="3"/>
      <c r="F108" s="158"/>
      <c r="G108" s="157">
        <f>C108*F108</f>
        <v>0</v>
      </c>
      <c r="J108" s="7"/>
      <c r="L108" s="8"/>
      <c r="M108" s="9" t="s">
        <v>1</v>
      </c>
      <c r="N108" s="24" t="s">
        <v>1</v>
      </c>
      <c r="O108" s="8" t="s">
        <v>1</v>
      </c>
      <c r="P108" s="11"/>
    </row>
    <row r="109" spans="1:16" ht="12.9" customHeight="1" x14ac:dyDescent="0.25">
      <c r="A109" s="22"/>
      <c r="B109" s="16"/>
      <c r="C109" s="13"/>
      <c r="D109" s="14"/>
      <c r="E109" s="103"/>
      <c r="F109" s="158"/>
      <c r="G109" s="162"/>
      <c r="J109" s="7"/>
      <c r="L109" s="8" t="s">
        <v>1</v>
      </c>
      <c r="M109" s="9"/>
      <c r="N109" s="24"/>
      <c r="O109" s="8"/>
      <c r="P109" s="11"/>
    </row>
    <row r="110" spans="1:16" ht="12.9" customHeight="1" x14ac:dyDescent="0.25">
      <c r="A110" s="22" t="s">
        <v>316</v>
      </c>
      <c r="B110" s="16" t="s">
        <v>124</v>
      </c>
      <c r="C110" s="17">
        <v>200</v>
      </c>
      <c r="D110" s="18" t="s">
        <v>36</v>
      </c>
      <c r="E110" s="3"/>
      <c r="F110" s="158"/>
      <c r="G110" s="157">
        <f>C110*F110</f>
        <v>0</v>
      </c>
      <c r="J110" s="7"/>
      <c r="L110" s="8"/>
      <c r="M110" s="9" t="s">
        <v>1</v>
      </c>
      <c r="N110" s="24" t="s">
        <v>1</v>
      </c>
      <c r="O110" s="8" t="s">
        <v>1</v>
      </c>
      <c r="P110" s="11" t="s">
        <v>1</v>
      </c>
    </row>
    <row r="111" spans="1:16" ht="12.9" customHeight="1" x14ac:dyDescent="0.25">
      <c r="A111" s="22"/>
      <c r="B111" s="16"/>
      <c r="C111" s="13"/>
      <c r="D111" s="14"/>
      <c r="E111" s="103"/>
      <c r="F111" s="158"/>
      <c r="G111" s="162"/>
      <c r="J111" s="7"/>
      <c r="L111" s="8" t="s">
        <v>1</v>
      </c>
      <c r="M111" s="9"/>
      <c r="N111" s="24"/>
      <c r="O111" s="8"/>
      <c r="P111" s="11"/>
    </row>
    <row r="112" spans="1:16" ht="12.9" customHeight="1" x14ac:dyDescent="0.25">
      <c r="A112" s="22" t="s">
        <v>317</v>
      </c>
      <c r="B112" s="16" t="s">
        <v>126</v>
      </c>
      <c r="C112" s="17">
        <v>200</v>
      </c>
      <c r="D112" s="18" t="s">
        <v>36</v>
      </c>
      <c r="E112" s="3"/>
      <c r="F112" s="158"/>
      <c r="G112" s="157">
        <f>C112*F112</f>
        <v>0</v>
      </c>
      <c r="J112" s="7"/>
      <c r="L112" s="8"/>
      <c r="M112" s="9" t="s">
        <v>1</v>
      </c>
      <c r="N112" s="24" t="s">
        <v>1</v>
      </c>
      <c r="O112" s="8" t="s">
        <v>1</v>
      </c>
      <c r="P112" s="11"/>
    </row>
    <row r="113" spans="1:16" ht="12.9" customHeight="1" x14ac:dyDescent="0.25">
      <c r="A113" s="22"/>
      <c r="B113" s="16"/>
      <c r="C113" s="13"/>
      <c r="D113" s="14"/>
      <c r="E113" s="103"/>
      <c r="F113" s="158"/>
      <c r="G113" s="162"/>
      <c r="J113" s="7"/>
      <c r="L113" s="8" t="s">
        <v>1</v>
      </c>
      <c r="M113" s="9"/>
      <c r="N113" s="24"/>
      <c r="O113" s="8"/>
      <c r="P113" s="11"/>
    </row>
    <row r="114" spans="1:16" ht="12.9" customHeight="1" x14ac:dyDescent="0.25">
      <c r="A114" s="22" t="s">
        <v>318</v>
      </c>
      <c r="B114" s="16" t="s">
        <v>128</v>
      </c>
      <c r="C114" s="17">
        <v>200</v>
      </c>
      <c r="D114" s="18" t="s">
        <v>36</v>
      </c>
      <c r="E114" s="3"/>
      <c r="F114" s="158"/>
      <c r="G114" s="157">
        <f>C114*F114</f>
        <v>0</v>
      </c>
      <c r="J114" s="7"/>
      <c r="L114" s="8"/>
      <c r="M114" s="9" t="s">
        <v>1</v>
      </c>
      <c r="N114" s="24" t="s">
        <v>1</v>
      </c>
      <c r="O114" s="8" t="s">
        <v>1</v>
      </c>
      <c r="P114" s="11"/>
    </row>
    <row r="115" spans="1:16" ht="12.9" customHeight="1" x14ac:dyDescent="0.25">
      <c r="A115" s="22"/>
      <c r="B115" s="16"/>
      <c r="C115" s="13"/>
      <c r="D115" s="14"/>
      <c r="E115" s="103"/>
      <c r="F115" s="158"/>
      <c r="G115" s="162"/>
      <c r="J115" s="7"/>
      <c r="L115" s="8" t="s">
        <v>1</v>
      </c>
      <c r="M115" s="9"/>
      <c r="N115" s="24"/>
      <c r="O115" s="8"/>
      <c r="P115" s="11"/>
    </row>
    <row r="116" spans="1:16" ht="12.9" customHeight="1" x14ac:dyDescent="0.25">
      <c r="A116" s="22" t="s">
        <v>319</v>
      </c>
      <c r="B116" s="16" t="s">
        <v>130</v>
      </c>
      <c r="C116" s="17">
        <v>200</v>
      </c>
      <c r="D116" s="18" t="s">
        <v>36</v>
      </c>
      <c r="E116" s="3"/>
      <c r="F116" s="158"/>
      <c r="G116" s="157">
        <f>C116*F116</f>
        <v>0</v>
      </c>
      <c r="J116" s="7"/>
      <c r="L116" s="8"/>
      <c r="M116" s="9" t="s">
        <v>1</v>
      </c>
      <c r="N116" s="24" t="s">
        <v>1</v>
      </c>
      <c r="O116" s="8" t="s">
        <v>1</v>
      </c>
      <c r="P116" s="11"/>
    </row>
    <row r="117" spans="1:16" ht="12.9" customHeight="1" x14ac:dyDescent="0.25">
      <c r="A117" s="22"/>
      <c r="B117" s="16"/>
      <c r="C117" s="13"/>
      <c r="D117" s="14"/>
      <c r="E117" s="103"/>
      <c r="F117" s="158"/>
      <c r="G117" s="162"/>
      <c r="J117" s="7"/>
      <c r="L117" s="8" t="s">
        <v>1</v>
      </c>
      <c r="M117" s="9"/>
      <c r="N117" s="24"/>
      <c r="O117" s="8"/>
      <c r="P117" s="110"/>
    </row>
    <row r="118" spans="1:16" ht="12.9" customHeight="1" x14ac:dyDescent="0.25">
      <c r="A118" s="22" t="s">
        <v>320</v>
      </c>
      <c r="B118" s="16" t="s">
        <v>132</v>
      </c>
      <c r="C118" s="17">
        <v>200</v>
      </c>
      <c r="D118" s="18" t="s">
        <v>36</v>
      </c>
      <c r="E118" s="3"/>
      <c r="F118" s="158"/>
      <c r="G118" s="157">
        <f>C118*F118</f>
        <v>0</v>
      </c>
      <c r="J118" s="7"/>
      <c r="L118" s="8"/>
      <c r="M118" s="9" t="s">
        <v>1</v>
      </c>
      <c r="N118" s="24" t="s">
        <v>1</v>
      </c>
      <c r="O118" s="8" t="s">
        <v>1</v>
      </c>
      <c r="P118" s="11"/>
    </row>
    <row r="119" spans="1:16" ht="12.9" customHeight="1" x14ac:dyDescent="0.25">
      <c r="A119" s="22"/>
      <c r="B119" s="16"/>
      <c r="C119" s="13"/>
      <c r="D119" s="14"/>
      <c r="E119" s="103"/>
      <c r="F119" s="158"/>
      <c r="G119" s="162"/>
      <c r="J119" s="7"/>
      <c r="L119" s="8" t="s">
        <v>1</v>
      </c>
      <c r="M119" s="9"/>
      <c r="N119" s="24"/>
      <c r="O119" s="8"/>
      <c r="P119" s="11"/>
    </row>
    <row r="120" spans="1:16" ht="12.9" customHeight="1" x14ac:dyDescent="0.25">
      <c r="A120" s="22" t="s">
        <v>321</v>
      </c>
      <c r="B120" s="16" t="s">
        <v>134</v>
      </c>
      <c r="C120" s="17">
        <v>200</v>
      </c>
      <c r="D120" s="18" t="s">
        <v>36</v>
      </c>
      <c r="E120" s="3"/>
      <c r="F120" s="158"/>
      <c r="G120" s="157">
        <f>C120*F120</f>
        <v>0</v>
      </c>
      <c r="J120" s="7"/>
      <c r="L120" s="8"/>
      <c r="M120" s="9" t="s">
        <v>1</v>
      </c>
      <c r="N120" s="24" t="s">
        <v>1</v>
      </c>
      <c r="O120" s="8" t="s">
        <v>1</v>
      </c>
      <c r="P120" s="11"/>
    </row>
    <row r="121" spans="1:16" ht="12.9" customHeight="1" x14ac:dyDescent="0.25">
      <c r="A121" s="22"/>
      <c r="B121" s="16"/>
      <c r="C121" s="13"/>
      <c r="D121" s="14"/>
      <c r="E121" s="103"/>
      <c r="F121" s="158"/>
      <c r="G121" s="162"/>
      <c r="J121" s="7"/>
      <c r="L121" s="8" t="s">
        <v>1</v>
      </c>
      <c r="M121" s="9"/>
      <c r="N121" s="24"/>
      <c r="O121" s="8"/>
      <c r="P121" s="11"/>
    </row>
    <row r="122" spans="1:16" ht="12.9" customHeight="1" x14ac:dyDescent="0.25">
      <c r="A122" s="22" t="s">
        <v>322</v>
      </c>
      <c r="B122" s="16" t="s">
        <v>136</v>
      </c>
      <c r="C122" s="17">
        <v>200</v>
      </c>
      <c r="D122" s="18" t="s">
        <v>36</v>
      </c>
      <c r="E122" s="3"/>
      <c r="F122" s="158"/>
      <c r="G122" s="157">
        <f>C122*F122</f>
        <v>0</v>
      </c>
      <c r="J122" s="7"/>
      <c r="L122" s="8"/>
      <c r="M122" s="9" t="s">
        <v>1</v>
      </c>
      <c r="N122" s="24" t="s">
        <v>0</v>
      </c>
      <c r="O122" s="8" t="s">
        <v>1</v>
      </c>
      <c r="P122" s="11"/>
    </row>
    <row r="123" spans="1:16" ht="12.9" customHeight="1" x14ac:dyDescent="0.25">
      <c r="A123" s="22"/>
      <c r="B123" s="16"/>
      <c r="C123" s="13"/>
      <c r="D123" s="14"/>
      <c r="E123" s="103"/>
      <c r="F123" s="158"/>
      <c r="G123" s="162"/>
      <c r="J123" s="7"/>
      <c r="L123" s="8" t="s">
        <v>1</v>
      </c>
      <c r="M123" s="9"/>
      <c r="N123" s="24"/>
      <c r="O123" s="8"/>
      <c r="P123" s="11"/>
    </row>
    <row r="124" spans="1:16" ht="12.9" customHeight="1" x14ac:dyDescent="0.25">
      <c r="A124" s="22" t="s">
        <v>323</v>
      </c>
      <c r="B124" s="16" t="s">
        <v>138</v>
      </c>
      <c r="C124" s="17">
        <v>64</v>
      </c>
      <c r="D124" s="18" t="s">
        <v>36</v>
      </c>
      <c r="E124" s="3"/>
      <c r="F124" s="158"/>
      <c r="G124" s="157">
        <f>C124*F124</f>
        <v>0</v>
      </c>
      <c r="J124" s="7"/>
      <c r="L124" s="8"/>
      <c r="M124" s="9" t="s">
        <v>1</v>
      </c>
      <c r="N124" s="24" t="s">
        <v>1</v>
      </c>
      <c r="O124" s="8" t="s">
        <v>1</v>
      </c>
      <c r="P124" s="11"/>
    </row>
    <row r="125" spans="1:16" ht="12.9" customHeight="1" x14ac:dyDescent="0.25">
      <c r="A125" s="22"/>
      <c r="B125" s="16"/>
      <c r="C125" s="13"/>
      <c r="D125" s="14"/>
      <c r="E125" s="103"/>
      <c r="F125" s="158"/>
      <c r="G125" s="162"/>
      <c r="J125" s="7"/>
      <c r="L125" s="8" t="s">
        <v>1</v>
      </c>
      <c r="M125" s="9"/>
      <c r="N125" s="24"/>
      <c r="O125" s="8"/>
      <c r="P125" s="11"/>
    </row>
    <row r="126" spans="1:16" ht="12.9" customHeight="1" x14ac:dyDescent="0.25">
      <c r="A126" s="22" t="s">
        <v>324</v>
      </c>
      <c r="B126" s="16" t="s">
        <v>140</v>
      </c>
      <c r="C126" s="17">
        <v>30</v>
      </c>
      <c r="D126" s="18" t="s">
        <v>36</v>
      </c>
      <c r="E126" s="3"/>
      <c r="F126" s="158"/>
      <c r="G126" s="157">
        <f>C126*F126</f>
        <v>0</v>
      </c>
      <c r="J126" s="7"/>
      <c r="L126" s="8"/>
      <c r="M126" s="9" t="s">
        <v>1</v>
      </c>
      <c r="N126" s="24" t="s">
        <v>1</v>
      </c>
      <c r="O126" s="8" t="s">
        <v>1</v>
      </c>
      <c r="P126" s="11"/>
    </row>
    <row r="127" spans="1:16" ht="12.9" customHeight="1" x14ac:dyDescent="0.25">
      <c r="A127" s="22"/>
      <c r="B127" s="16"/>
      <c r="C127" s="13"/>
      <c r="D127" s="14"/>
      <c r="E127" s="103"/>
      <c r="F127" s="158"/>
      <c r="G127" s="162"/>
      <c r="J127" s="7"/>
      <c r="L127" s="8" t="s">
        <v>1</v>
      </c>
      <c r="M127" s="9"/>
      <c r="N127" s="24"/>
      <c r="O127" s="8"/>
      <c r="P127" s="11"/>
    </row>
    <row r="128" spans="1:16" ht="12.9" customHeight="1" x14ac:dyDescent="0.25">
      <c r="A128" s="22" t="s">
        <v>325</v>
      </c>
      <c r="B128" s="16" t="s">
        <v>142</v>
      </c>
      <c r="C128" s="17">
        <v>90</v>
      </c>
      <c r="D128" s="18" t="s">
        <v>36</v>
      </c>
      <c r="E128" s="3"/>
      <c r="F128" s="158"/>
      <c r="G128" s="157">
        <f>C128*F128</f>
        <v>0</v>
      </c>
      <c r="J128" s="7"/>
      <c r="L128" s="8"/>
      <c r="M128" s="9" t="s">
        <v>1</v>
      </c>
      <c r="N128" s="24" t="s">
        <v>1</v>
      </c>
      <c r="O128" s="8" t="s">
        <v>1</v>
      </c>
      <c r="P128" s="11"/>
    </row>
    <row r="129" spans="1:16" ht="12.9" customHeight="1" x14ac:dyDescent="0.25">
      <c r="A129" s="22"/>
      <c r="B129" s="16"/>
      <c r="C129" s="13"/>
      <c r="D129" s="14"/>
      <c r="E129" s="103"/>
      <c r="F129" s="158"/>
      <c r="G129" s="162"/>
      <c r="J129" s="7"/>
      <c r="L129" s="8" t="s">
        <v>1</v>
      </c>
      <c r="M129" s="9"/>
      <c r="N129" s="24"/>
      <c r="O129" s="8"/>
      <c r="P129" s="11"/>
    </row>
    <row r="130" spans="1:16" ht="12.9" customHeight="1" x14ac:dyDescent="0.25">
      <c r="A130" s="22" t="s">
        <v>326</v>
      </c>
      <c r="B130" s="16" t="s">
        <v>144</v>
      </c>
      <c r="C130" s="17">
        <v>400</v>
      </c>
      <c r="D130" s="18" t="s">
        <v>145</v>
      </c>
      <c r="E130" s="3"/>
      <c r="F130" s="158"/>
      <c r="G130" s="157">
        <f>C130*F130</f>
        <v>0</v>
      </c>
      <c r="J130" s="7"/>
      <c r="L130" s="8"/>
      <c r="M130" s="9" t="s">
        <v>1</v>
      </c>
      <c r="N130" s="24" t="s">
        <v>1</v>
      </c>
      <c r="O130" s="8" t="s">
        <v>1</v>
      </c>
      <c r="P130" s="11"/>
    </row>
    <row r="131" spans="1:16" ht="12.9" customHeight="1" x14ac:dyDescent="0.25">
      <c r="A131" s="22"/>
      <c r="B131" s="16"/>
      <c r="C131" s="13"/>
      <c r="D131" s="14"/>
      <c r="E131" s="103"/>
      <c r="F131" s="158"/>
      <c r="G131" s="162"/>
      <c r="J131" s="7"/>
      <c r="L131" s="8" t="s">
        <v>1</v>
      </c>
      <c r="M131" s="9"/>
      <c r="N131" s="24"/>
      <c r="O131" s="8"/>
      <c r="P131" s="11"/>
    </row>
    <row r="132" spans="1:16" ht="12.9" customHeight="1" x14ac:dyDescent="0.25">
      <c r="A132" s="22" t="s">
        <v>327</v>
      </c>
      <c r="B132" s="16" t="s">
        <v>147</v>
      </c>
      <c r="C132" s="17">
        <v>100</v>
      </c>
      <c r="D132" s="18" t="s">
        <v>145</v>
      </c>
      <c r="E132" s="3"/>
      <c r="F132" s="158"/>
      <c r="G132" s="157">
        <f>C132*F132</f>
        <v>0</v>
      </c>
      <c r="J132" s="7"/>
      <c r="L132" s="8"/>
      <c r="M132" s="9" t="s">
        <v>1</v>
      </c>
      <c r="N132" s="24" t="s">
        <v>1</v>
      </c>
      <c r="O132" s="8" t="s">
        <v>1</v>
      </c>
      <c r="P132" s="11"/>
    </row>
    <row r="133" spans="1:16" ht="12.9" customHeight="1" x14ac:dyDescent="0.25">
      <c r="A133" s="22"/>
      <c r="B133" s="16"/>
      <c r="C133" s="13"/>
      <c r="D133" s="14"/>
      <c r="E133" s="103"/>
      <c r="F133" s="158"/>
      <c r="G133" s="162"/>
      <c r="J133" s="7"/>
      <c r="L133" s="8"/>
      <c r="M133" s="9" t="s">
        <v>1</v>
      </c>
      <c r="N133" s="24" t="s">
        <v>1</v>
      </c>
      <c r="O133" s="8" t="s">
        <v>1</v>
      </c>
      <c r="P133" s="11"/>
    </row>
    <row r="134" spans="1:16" ht="12.9" customHeight="1" x14ac:dyDescent="0.25">
      <c r="A134" s="22" t="s">
        <v>328</v>
      </c>
      <c r="B134" s="16" t="s">
        <v>149</v>
      </c>
      <c r="C134" s="17">
        <v>1000</v>
      </c>
      <c r="D134" s="18" t="s">
        <v>102</v>
      </c>
      <c r="E134" s="3"/>
      <c r="F134" s="158"/>
      <c r="G134" s="157">
        <f>C134*F134</f>
        <v>0</v>
      </c>
      <c r="J134" s="7"/>
      <c r="L134" s="23" t="s">
        <v>1</v>
      </c>
      <c r="M134" s="9"/>
      <c r="N134" s="24"/>
      <c r="O134" s="8"/>
      <c r="P134" s="11"/>
    </row>
    <row r="135" spans="1:16" ht="12.9" customHeight="1" x14ac:dyDescent="0.25">
      <c r="A135" s="22"/>
      <c r="B135" s="16"/>
      <c r="C135" s="13"/>
      <c r="D135" s="14"/>
      <c r="E135" s="103"/>
      <c r="F135" s="158"/>
      <c r="G135" s="162"/>
      <c r="J135" s="7"/>
      <c r="L135" s="8"/>
      <c r="M135" s="136" t="s">
        <v>1</v>
      </c>
      <c r="N135" s="20"/>
      <c r="O135" s="21"/>
      <c r="P135" s="111"/>
    </row>
    <row r="136" spans="1:16" ht="12.9" customHeight="1" x14ac:dyDescent="0.25">
      <c r="A136" s="22" t="s">
        <v>329</v>
      </c>
      <c r="B136" s="16" t="s">
        <v>151</v>
      </c>
      <c r="C136" s="17">
        <v>2000</v>
      </c>
      <c r="D136" s="18" t="s">
        <v>102</v>
      </c>
      <c r="E136" s="3"/>
      <c r="F136" s="158"/>
      <c r="G136" s="157">
        <f>C136*F136</f>
        <v>0</v>
      </c>
      <c r="J136" s="7"/>
      <c r="L136" s="8" t="s">
        <v>1</v>
      </c>
      <c r="M136" s="9"/>
      <c r="N136" s="24"/>
      <c r="O136" s="8"/>
      <c r="P136" s="111"/>
    </row>
    <row r="137" spans="1:16" x14ac:dyDescent="0.25">
      <c r="A137" s="22"/>
      <c r="B137" s="16"/>
      <c r="C137" s="13"/>
      <c r="D137" s="14"/>
      <c r="E137" s="103"/>
      <c r="F137" s="158"/>
      <c r="G137" s="162"/>
      <c r="J137" s="7"/>
      <c r="L137" s="8"/>
      <c r="M137" s="9" t="s">
        <v>1</v>
      </c>
      <c r="N137" s="24" t="s">
        <v>1</v>
      </c>
      <c r="O137" s="8" t="s">
        <v>1</v>
      </c>
      <c r="P137" s="11"/>
    </row>
    <row r="138" spans="1:16" ht="12.75" customHeight="1" x14ac:dyDescent="0.25">
      <c r="A138" s="22" t="s">
        <v>330</v>
      </c>
      <c r="B138" s="16" t="s">
        <v>153</v>
      </c>
      <c r="C138" s="17">
        <v>19000</v>
      </c>
      <c r="D138" s="18" t="s">
        <v>102</v>
      </c>
      <c r="E138" s="3"/>
      <c r="F138" s="158"/>
      <c r="G138" s="157">
        <f>C138*F138</f>
        <v>0</v>
      </c>
      <c r="J138" s="7"/>
      <c r="L138" s="8" t="s">
        <v>1</v>
      </c>
      <c r="M138" s="9"/>
      <c r="N138" s="24"/>
      <c r="O138" s="8"/>
      <c r="P138" s="11"/>
    </row>
    <row r="139" spans="1:16" x14ac:dyDescent="0.25">
      <c r="A139" s="22"/>
      <c r="B139" s="16"/>
      <c r="C139" s="17"/>
      <c r="D139" s="18"/>
      <c r="E139" s="3"/>
      <c r="F139" s="158"/>
      <c r="G139" s="163"/>
      <c r="J139" s="7"/>
      <c r="L139" s="8"/>
      <c r="M139" s="9" t="s">
        <v>1</v>
      </c>
      <c r="N139" s="24" t="s">
        <v>1</v>
      </c>
      <c r="O139" s="8" t="s">
        <v>1</v>
      </c>
      <c r="P139" s="11"/>
    </row>
    <row r="140" spans="1:16" ht="12.75" customHeight="1" x14ac:dyDescent="0.25">
      <c r="A140" s="22" t="s">
        <v>331</v>
      </c>
      <c r="B140" s="4" t="s">
        <v>155</v>
      </c>
      <c r="C140" s="26">
        <v>500</v>
      </c>
      <c r="D140" s="18" t="s">
        <v>36</v>
      </c>
      <c r="E140" s="3"/>
      <c r="F140" s="158"/>
      <c r="G140" s="157">
        <f>C140*F140</f>
        <v>0</v>
      </c>
      <c r="J140" s="7"/>
      <c r="L140" s="8" t="s">
        <v>1</v>
      </c>
      <c r="M140" s="9"/>
      <c r="N140" s="24"/>
      <c r="O140" s="8"/>
      <c r="P140" s="11"/>
    </row>
    <row r="141" spans="1:16" x14ac:dyDescent="0.25">
      <c r="A141" s="22"/>
      <c r="B141" s="13"/>
      <c r="C141" s="13"/>
      <c r="D141" s="14"/>
      <c r="E141" s="103"/>
      <c r="F141" s="158"/>
      <c r="G141" s="162"/>
      <c r="J141" s="7"/>
      <c r="L141" s="8"/>
      <c r="M141" s="9" t="s">
        <v>1</v>
      </c>
      <c r="N141" s="24" t="s">
        <v>1</v>
      </c>
      <c r="O141" s="8" t="s">
        <v>1</v>
      </c>
      <c r="P141" s="11"/>
    </row>
    <row r="142" spans="1:16" ht="12.75" customHeight="1" x14ac:dyDescent="0.25">
      <c r="A142" s="135" t="s">
        <v>332</v>
      </c>
      <c r="B142" s="137" t="s">
        <v>157</v>
      </c>
      <c r="C142" s="13"/>
      <c r="D142" s="14"/>
      <c r="E142" s="103"/>
      <c r="F142" s="158"/>
      <c r="G142" s="162"/>
      <c r="J142" s="7"/>
      <c r="L142" s="8" t="s">
        <v>0</v>
      </c>
      <c r="M142" s="9"/>
      <c r="N142" s="24"/>
      <c r="O142" s="8"/>
      <c r="P142" s="11"/>
    </row>
    <row r="143" spans="1:16" x14ac:dyDescent="0.25">
      <c r="A143" s="22"/>
      <c r="B143" s="13"/>
      <c r="C143" s="13"/>
      <c r="D143" s="14"/>
      <c r="E143" s="103"/>
      <c r="F143" s="158"/>
      <c r="G143" s="162"/>
      <c r="J143" s="7"/>
      <c r="L143" s="8"/>
      <c r="M143" s="9" t="s">
        <v>1</v>
      </c>
      <c r="N143" s="24" t="s">
        <v>1</v>
      </c>
      <c r="O143" s="8" t="s">
        <v>1</v>
      </c>
      <c r="P143" s="110"/>
    </row>
    <row r="144" spans="1:16" ht="12.75" customHeight="1" x14ac:dyDescent="0.25">
      <c r="A144" s="22" t="s">
        <v>333</v>
      </c>
      <c r="B144" s="16" t="s">
        <v>159</v>
      </c>
      <c r="C144" s="17">
        <v>50000</v>
      </c>
      <c r="D144" s="18" t="s">
        <v>46</v>
      </c>
      <c r="E144" s="3"/>
      <c r="F144" s="158"/>
      <c r="G144" s="157">
        <f>C144*F144</f>
        <v>0</v>
      </c>
      <c r="J144" s="7"/>
      <c r="L144" s="8" t="s">
        <v>1</v>
      </c>
      <c r="M144" s="9"/>
      <c r="N144" s="24"/>
      <c r="O144" s="8"/>
      <c r="P144" s="11"/>
    </row>
    <row r="145" spans="1:16" x14ac:dyDescent="0.25">
      <c r="A145" s="22"/>
      <c r="B145" s="16"/>
      <c r="C145" s="13"/>
      <c r="D145" s="14"/>
      <c r="E145" s="103"/>
      <c r="F145" s="158"/>
      <c r="G145" s="162"/>
      <c r="J145" s="7"/>
      <c r="L145" s="8"/>
      <c r="M145" s="9" t="s">
        <v>1</v>
      </c>
      <c r="N145" s="24" t="s">
        <v>1</v>
      </c>
      <c r="O145" s="8" t="s">
        <v>1</v>
      </c>
      <c r="P145" s="11"/>
    </row>
    <row r="146" spans="1:16" ht="12.75" customHeight="1" x14ac:dyDescent="0.25">
      <c r="A146" s="22" t="s">
        <v>334</v>
      </c>
      <c r="B146" s="16" t="s">
        <v>161</v>
      </c>
      <c r="C146" s="17">
        <v>2600</v>
      </c>
      <c r="D146" s="18" t="s">
        <v>162</v>
      </c>
      <c r="E146" s="3"/>
      <c r="F146" s="158"/>
      <c r="G146" s="157">
        <f>C146*F146</f>
        <v>0</v>
      </c>
      <c r="J146" s="7"/>
      <c r="L146" s="8" t="s">
        <v>1</v>
      </c>
      <c r="M146" s="9"/>
      <c r="N146" s="24"/>
      <c r="O146" s="8"/>
      <c r="P146" s="11"/>
    </row>
    <row r="147" spans="1:16" x14ac:dyDescent="0.25">
      <c r="A147" s="22"/>
      <c r="B147" s="16"/>
      <c r="C147" s="13"/>
      <c r="D147" s="14"/>
      <c r="E147" s="103"/>
      <c r="F147" s="158"/>
      <c r="G147" s="162"/>
      <c r="J147" s="7"/>
      <c r="L147" s="8"/>
      <c r="M147" s="9" t="s">
        <v>1</v>
      </c>
      <c r="N147" s="24" t="s">
        <v>1</v>
      </c>
      <c r="O147" s="8" t="s">
        <v>1</v>
      </c>
      <c r="P147" s="11"/>
    </row>
    <row r="148" spans="1:16" ht="12.75" customHeight="1" x14ac:dyDescent="0.25">
      <c r="A148" s="22" t="s">
        <v>335</v>
      </c>
      <c r="B148" s="16" t="s">
        <v>164</v>
      </c>
      <c r="C148" s="17">
        <v>2500</v>
      </c>
      <c r="D148" s="14" t="s">
        <v>46</v>
      </c>
      <c r="E148" s="3"/>
      <c r="F148" s="158"/>
      <c r="G148" s="157">
        <f>C148*F148</f>
        <v>0</v>
      </c>
      <c r="J148" s="7"/>
      <c r="L148" s="8" t="s">
        <v>1</v>
      </c>
      <c r="M148" s="9"/>
      <c r="N148" s="24"/>
      <c r="O148" s="8"/>
      <c r="P148" s="11"/>
    </row>
    <row r="149" spans="1:16" x14ac:dyDescent="0.25">
      <c r="A149" s="22"/>
      <c r="B149" s="16"/>
      <c r="C149" s="13"/>
      <c r="D149" s="18"/>
      <c r="E149" s="103"/>
      <c r="F149" s="158"/>
      <c r="G149" s="162"/>
      <c r="J149" s="7"/>
      <c r="L149" s="8"/>
      <c r="M149" s="9" t="s">
        <v>1</v>
      </c>
      <c r="N149" s="24" t="s">
        <v>1</v>
      </c>
      <c r="O149" s="8" t="s">
        <v>1</v>
      </c>
      <c r="P149" s="11"/>
    </row>
    <row r="150" spans="1:16" ht="12.9" customHeight="1" x14ac:dyDescent="0.25">
      <c r="A150" s="22" t="s">
        <v>336</v>
      </c>
      <c r="B150" s="16" t="s">
        <v>166</v>
      </c>
      <c r="C150" s="17">
        <v>25500</v>
      </c>
      <c r="D150" s="18" t="s">
        <v>46</v>
      </c>
      <c r="E150" s="3"/>
      <c r="F150" s="158"/>
      <c r="G150" s="157">
        <f>C150*F150</f>
        <v>0</v>
      </c>
      <c r="J150" s="7"/>
      <c r="L150" s="8" t="s">
        <v>1</v>
      </c>
      <c r="M150" s="9"/>
      <c r="N150" s="24"/>
      <c r="O150" s="8"/>
      <c r="P150" s="11"/>
    </row>
    <row r="151" spans="1:16" x14ac:dyDescent="0.25">
      <c r="A151" s="22"/>
      <c r="B151" s="16"/>
      <c r="C151" s="13"/>
      <c r="D151" s="14"/>
      <c r="E151" s="103"/>
      <c r="F151" s="158"/>
      <c r="G151" s="162"/>
      <c r="J151" s="7"/>
      <c r="L151" s="8"/>
      <c r="M151" s="9" t="s">
        <v>1</v>
      </c>
      <c r="N151" s="24" t="s">
        <v>1</v>
      </c>
      <c r="O151" s="8" t="s">
        <v>1</v>
      </c>
      <c r="P151" s="11"/>
    </row>
    <row r="152" spans="1:16" ht="12.75" customHeight="1" x14ac:dyDescent="0.25">
      <c r="A152" s="22" t="s">
        <v>337</v>
      </c>
      <c r="B152" s="16" t="s">
        <v>168</v>
      </c>
      <c r="C152" s="17">
        <v>76000</v>
      </c>
      <c r="D152" s="18" t="s">
        <v>46</v>
      </c>
      <c r="E152" s="3"/>
      <c r="F152" s="158"/>
      <c r="G152" s="157">
        <f>C152*F152</f>
        <v>0</v>
      </c>
      <c r="J152" s="7"/>
      <c r="L152" s="8" t="s">
        <v>1</v>
      </c>
      <c r="M152" s="9"/>
      <c r="N152" s="24"/>
      <c r="O152" s="8"/>
      <c r="P152" s="11"/>
    </row>
    <row r="153" spans="1:16" x14ac:dyDescent="0.25">
      <c r="A153" s="22"/>
      <c r="B153" s="16"/>
      <c r="C153" s="13"/>
      <c r="D153" s="14"/>
      <c r="E153" s="103"/>
      <c r="F153" s="158"/>
      <c r="G153" s="162"/>
      <c r="J153" s="7"/>
      <c r="L153" s="8"/>
      <c r="M153" s="9" t="s">
        <v>1</v>
      </c>
      <c r="N153" s="24" t="s">
        <v>1</v>
      </c>
      <c r="O153" s="8" t="s">
        <v>1</v>
      </c>
      <c r="P153" s="11"/>
    </row>
    <row r="154" spans="1:16" ht="12.75" customHeight="1" x14ac:dyDescent="0.25">
      <c r="A154" s="22" t="s">
        <v>338</v>
      </c>
      <c r="B154" s="16" t="s">
        <v>170</v>
      </c>
      <c r="C154" s="17">
        <v>76000</v>
      </c>
      <c r="D154" s="18" t="s">
        <v>46</v>
      </c>
      <c r="E154" s="3"/>
      <c r="F154" s="158"/>
      <c r="G154" s="157">
        <f>C154*F154</f>
        <v>0</v>
      </c>
      <c r="J154" s="7"/>
      <c r="L154" s="23"/>
      <c r="M154" s="9"/>
      <c r="N154" s="24"/>
      <c r="O154" s="8"/>
      <c r="P154" s="11"/>
    </row>
    <row r="155" spans="1:16" x14ac:dyDescent="0.25">
      <c r="A155" s="22"/>
      <c r="B155" s="16"/>
      <c r="C155" s="13"/>
      <c r="D155" s="164"/>
      <c r="E155" s="103"/>
      <c r="F155" s="158"/>
      <c r="G155" s="162"/>
      <c r="J155" s="7"/>
      <c r="L155" s="23"/>
      <c r="M155" s="136"/>
      <c r="N155" s="20"/>
      <c r="O155" s="21"/>
      <c r="P155" s="11"/>
    </row>
    <row r="156" spans="1:16" ht="12.75" customHeight="1" x14ac:dyDescent="0.25">
      <c r="A156" s="22" t="s">
        <v>339</v>
      </c>
      <c r="B156" s="16" t="s">
        <v>172</v>
      </c>
      <c r="C156" s="17">
        <v>135000</v>
      </c>
      <c r="D156" s="18" t="s">
        <v>46</v>
      </c>
      <c r="E156" s="3"/>
      <c r="F156" s="158"/>
      <c r="G156" s="157">
        <f>C156*F156</f>
        <v>0</v>
      </c>
      <c r="J156" s="7"/>
      <c r="L156" s="8"/>
      <c r="M156" s="136"/>
      <c r="N156" s="20"/>
      <c r="O156" s="21"/>
      <c r="P156" s="11"/>
    </row>
    <row r="157" spans="1:16" x14ac:dyDescent="0.25">
      <c r="A157" s="22"/>
      <c r="B157" s="16"/>
      <c r="C157" s="13"/>
      <c r="D157" s="14"/>
      <c r="E157" s="103"/>
      <c r="F157" s="158"/>
      <c r="G157" s="162"/>
      <c r="J157" s="7"/>
      <c r="L157" s="8"/>
      <c r="M157" s="9"/>
      <c r="N157" s="24"/>
      <c r="O157" s="8"/>
      <c r="P157" s="11"/>
    </row>
    <row r="158" spans="1:16" ht="12.75" customHeight="1" x14ac:dyDescent="0.25">
      <c r="A158" s="22" t="s">
        <v>340</v>
      </c>
      <c r="B158" s="16" t="s">
        <v>174</v>
      </c>
      <c r="C158" s="17">
        <v>26000</v>
      </c>
      <c r="D158" s="18" t="s">
        <v>46</v>
      </c>
      <c r="E158" s="3"/>
      <c r="F158" s="158"/>
      <c r="G158" s="157">
        <f>C158*F158</f>
        <v>0</v>
      </c>
      <c r="J158" s="7"/>
      <c r="L158" s="23"/>
      <c r="M158" s="9"/>
      <c r="N158" s="24"/>
      <c r="O158" s="8"/>
      <c r="P158" s="11"/>
    </row>
    <row r="159" spans="1:16" x14ac:dyDescent="0.25">
      <c r="A159" s="22"/>
      <c r="B159" s="16"/>
      <c r="C159" s="13"/>
      <c r="D159" s="14"/>
      <c r="E159" s="103"/>
      <c r="F159" s="158"/>
      <c r="G159" s="157"/>
      <c r="J159" s="7"/>
      <c r="L159" s="23"/>
      <c r="M159" s="112"/>
      <c r="N159" s="20"/>
      <c r="O159" s="21"/>
      <c r="P159" s="11"/>
    </row>
    <row r="160" spans="1:16" ht="12.75" customHeight="1" x14ac:dyDescent="0.25">
      <c r="A160" s="22" t="s">
        <v>341</v>
      </c>
      <c r="B160" s="16" t="s">
        <v>176</v>
      </c>
      <c r="C160" s="17">
        <v>9000</v>
      </c>
      <c r="D160" s="18" t="s">
        <v>46</v>
      </c>
      <c r="E160" s="3"/>
      <c r="F160" s="158"/>
      <c r="G160" s="157">
        <f>C160*F160</f>
        <v>0</v>
      </c>
      <c r="J160" s="7"/>
      <c r="L160" s="8"/>
      <c r="M160" s="15"/>
      <c r="N160" s="20"/>
      <c r="O160" s="21"/>
      <c r="P160" s="11"/>
    </row>
    <row r="161" spans="1:16" x14ac:dyDescent="0.25">
      <c r="A161" s="22"/>
      <c r="B161" s="13"/>
      <c r="C161" s="13"/>
      <c r="D161" s="14"/>
      <c r="E161" s="103"/>
      <c r="F161" s="158"/>
      <c r="G161" s="162"/>
      <c r="J161" s="7"/>
      <c r="L161" s="8"/>
      <c r="M161" s="9"/>
      <c r="N161" s="24"/>
      <c r="O161" s="8"/>
      <c r="P161" s="11"/>
    </row>
    <row r="162" spans="1:16" ht="12.75" customHeight="1" x14ac:dyDescent="0.25">
      <c r="A162" s="135" t="s">
        <v>342</v>
      </c>
      <c r="B162" s="137" t="s">
        <v>178</v>
      </c>
      <c r="C162" s="13"/>
      <c r="D162" s="14"/>
      <c r="E162" s="103"/>
      <c r="F162" s="158"/>
      <c r="G162" s="162"/>
      <c r="J162" s="7"/>
      <c r="L162" s="8"/>
      <c r="M162" s="86"/>
      <c r="N162" s="24"/>
      <c r="O162" s="8"/>
      <c r="P162" s="11"/>
    </row>
    <row r="163" spans="1:16" x14ac:dyDescent="0.25">
      <c r="A163" s="22"/>
      <c r="B163" s="13"/>
      <c r="C163" s="13"/>
      <c r="D163" s="14"/>
      <c r="E163" s="103"/>
      <c r="F163" s="158"/>
      <c r="G163" s="162"/>
      <c r="J163" s="7"/>
      <c r="L163" s="8"/>
      <c r="M163" s="15"/>
      <c r="N163" s="24"/>
      <c r="O163" s="8"/>
      <c r="P163" s="11"/>
    </row>
    <row r="164" spans="1:16" ht="12.75" customHeight="1" x14ac:dyDescent="0.25">
      <c r="A164" s="22" t="s">
        <v>343</v>
      </c>
      <c r="B164" s="4" t="s">
        <v>180</v>
      </c>
      <c r="C164" s="17">
        <v>400</v>
      </c>
      <c r="D164" s="18" t="s">
        <v>24</v>
      </c>
      <c r="E164" s="3"/>
      <c r="F164" s="158"/>
      <c r="G164" s="157">
        <f>C164*F164</f>
        <v>0</v>
      </c>
      <c r="J164" s="7"/>
      <c r="L164" s="8"/>
      <c r="M164" s="86"/>
      <c r="N164" s="24"/>
      <c r="O164" s="8"/>
      <c r="P164" s="11"/>
    </row>
    <row r="165" spans="1:16" x14ac:dyDescent="0.25">
      <c r="A165" s="22"/>
      <c r="B165" s="137"/>
      <c r="C165" s="13"/>
      <c r="D165" s="14"/>
      <c r="E165" s="103"/>
      <c r="F165" s="158"/>
      <c r="G165" s="162"/>
      <c r="J165" s="7"/>
      <c r="L165" s="8"/>
      <c r="M165" s="9"/>
      <c r="N165" s="24"/>
      <c r="O165" s="8"/>
      <c r="P165" s="11"/>
    </row>
    <row r="166" spans="1:16" ht="12.75" customHeight="1" x14ac:dyDescent="0.25">
      <c r="A166" s="22" t="s">
        <v>344</v>
      </c>
      <c r="B166" s="4" t="s">
        <v>182</v>
      </c>
      <c r="C166" s="17">
        <v>400</v>
      </c>
      <c r="D166" s="18" t="s">
        <v>24</v>
      </c>
      <c r="E166" s="3"/>
      <c r="F166" s="158"/>
      <c r="G166" s="157">
        <f>C166*F166</f>
        <v>0</v>
      </c>
      <c r="J166" s="7"/>
      <c r="L166" s="8"/>
      <c r="M166" s="9"/>
      <c r="N166" s="24"/>
      <c r="O166" s="8"/>
      <c r="P166" s="11"/>
    </row>
    <row r="167" spans="1:16" x14ac:dyDescent="0.25">
      <c r="A167" s="22"/>
      <c r="B167" s="108"/>
      <c r="C167" s="13"/>
      <c r="D167" s="14"/>
      <c r="E167" s="103"/>
      <c r="F167" s="158"/>
      <c r="G167" s="162"/>
      <c r="J167" s="7"/>
      <c r="L167" s="8"/>
      <c r="M167" s="112"/>
      <c r="N167" s="24"/>
      <c r="O167" s="8"/>
      <c r="P167" s="11"/>
    </row>
    <row r="168" spans="1:16" x14ac:dyDescent="0.25">
      <c r="A168" s="3" t="s">
        <v>345</v>
      </c>
      <c r="B168" s="4" t="s">
        <v>184</v>
      </c>
      <c r="C168" s="17">
        <v>400</v>
      </c>
      <c r="D168" s="18" t="s">
        <v>24</v>
      </c>
      <c r="E168" s="3"/>
      <c r="F168" s="158"/>
      <c r="G168" s="157">
        <f>C168*F168</f>
        <v>0</v>
      </c>
      <c r="J168" s="7"/>
      <c r="L168" s="8"/>
      <c r="M168" s="112"/>
      <c r="N168" s="24"/>
      <c r="O168" s="8"/>
      <c r="P168" s="11"/>
    </row>
    <row r="169" spans="1:16" x14ac:dyDescent="0.25">
      <c r="A169" s="22"/>
      <c r="B169" s="108"/>
      <c r="C169" s="13"/>
      <c r="D169" s="14"/>
      <c r="E169" s="103"/>
      <c r="F169" s="158"/>
      <c r="G169" s="162"/>
      <c r="J169" s="7"/>
      <c r="L169" s="8"/>
      <c r="M169" s="112"/>
      <c r="N169" s="24"/>
      <c r="O169" s="8"/>
      <c r="P169" s="11"/>
    </row>
    <row r="170" spans="1:16" ht="26.4" x14ac:dyDescent="0.25">
      <c r="A170" s="3" t="s">
        <v>883</v>
      </c>
      <c r="B170" s="4" t="s">
        <v>186</v>
      </c>
      <c r="C170" s="25">
        <v>400</v>
      </c>
      <c r="D170" s="3" t="s">
        <v>24</v>
      </c>
      <c r="E170" s="129"/>
      <c r="F170" s="158"/>
      <c r="G170" s="157">
        <f>C170*F170</f>
        <v>0</v>
      </c>
      <c r="J170" s="7"/>
      <c r="L170" s="8"/>
      <c r="M170" s="112"/>
      <c r="N170" s="24"/>
      <c r="O170" s="8"/>
      <c r="P170" s="11"/>
    </row>
    <row r="171" spans="1:16" x14ac:dyDescent="0.25">
      <c r="A171" s="22"/>
      <c r="B171" s="108"/>
      <c r="C171" s="13"/>
      <c r="D171" s="14"/>
      <c r="E171" s="103"/>
      <c r="F171" s="158"/>
      <c r="G171" s="162"/>
      <c r="J171" s="7"/>
      <c r="L171" s="8"/>
      <c r="M171" s="112"/>
      <c r="N171" s="24"/>
      <c r="O171" s="8"/>
      <c r="P171" s="11"/>
    </row>
    <row r="172" spans="1:16" ht="12.75" customHeight="1" x14ac:dyDescent="0.25">
      <c r="A172" s="22" t="s">
        <v>884</v>
      </c>
      <c r="B172" s="16" t="s">
        <v>187</v>
      </c>
      <c r="C172" s="17">
        <v>3000</v>
      </c>
      <c r="D172" s="18" t="s">
        <v>162</v>
      </c>
      <c r="E172" s="3"/>
      <c r="F172" s="158"/>
      <c r="G172" s="157">
        <f>C172*F172</f>
        <v>0</v>
      </c>
      <c r="J172" s="7"/>
      <c r="L172" s="8"/>
      <c r="M172" s="9"/>
      <c r="N172" s="24"/>
      <c r="O172" s="8"/>
      <c r="P172" s="11"/>
    </row>
    <row r="173" spans="1:16" x14ac:dyDescent="0.25">
      <c r="A173" s="22"/>
      <c r="B173" s="16"/>
      <c r="C173" s="13"/>
      <c r="D173" s="14"/>
      <c r="E173" s="103"/>
      <c r="F173" s="158"/>
      <c r="G173" s="162"/>
      <c r="J173" s="7"/>
      <c r="L173" s="8"/>
      <c r="M173" s="9"/>
      <c r="N173" s="24"/>
      <c r="O173" s="8"/>
      <c r="P173" s="11"/>
    </row>
    <row r="174" spans="1:16" ht="12.75" customHeight="1" x14ac:dyDescent="0.25">
      <c r="A174" s="22" t="s">
        <v>885</v>
      </c>
      <c r="B174" s="16" t="s">
        <v>188</v>
      </c>
      <c r="C174" s="17">
        <v>60000</v>
      </c>
      <c r="D174" s="18" t="s">
        <v>162</v>
      </c>
      <c r="E174" s="3"/>
      <c r="F174" s="158"/>
      <c r="G174" s="157">
        <f>C174*F174</f>
        <v>0</v>
      </c>
      <c r="J174" s="7"/>
      <c r="L174" s="8"/>
      <c r="M174" s="9"/>
      <c r="N174" s="24"/>
      <c r="O174" s="8"/>
      <c r="P174" s="11"/>
    </row>
    <row r="175" spans="1:16" x14ac:dyDescent="0.25">
      <c r="A175" s="22"/>
      <c r="B175" s="16"/>
      <c r="C175" s="13"/>
      <c r="D175" s="14"/>
      <c r="E175" s="103"/>
      <c r="F175" s="158"/>
      <c r="G175" s="162"/>
      <c r="J175" s="7"/>
      <c r="L175" s="8"/>
      <c r="M175" s="9"/>
      <c r="N175" s="24"/>
      <c r="O175" s="8"/>
      <c r="P175" s="11"/>
    </row>
    <row r="176" spans="1:16" ht="12.75" customHeight="1" x14ac:dyDescent="0.25">
      <c r="A176" s="22" t="s">
        <v>886</v>
      </c>
      <c r="B176" s="16" t="s">
        <v>190</v>
      </c>
      <c r="C176" s="17">
        <v>10</v>
      </c>
      <c r="D176" s="18" t="s">
        <v>24</v>
      </c>
      <c r="E176" s="3"/>
      <c r="F176" s="158"/>
      <c r="G176" s="157">
        <f>C176*F176</f>
        <v>0</v>
      </c>
      <c r="J176" s="7"/>
      <c r="L176" s="8"/>
      <c r="M176" s="9"/>
      <c r="N176" s="24"/>
      <c r="O176" s="8"/>
      <c r="P176" s="11"/>
    </row>
    <row r="177" spans="1:16" x14ac:dyDescent="0.25">
      <c r="A177" s="22"/>
      <c r="B177" s="13"/>
      <c r="C177" s="13"/>
      <c r="D177" s="14"/>
      <c r="E177" s="103"/>
      <c r="F177" s="158"/>
      <c r="G177" s="162"/>
      <c r="J177" s="7"/>
      <c r="L177" s="8"/>
      <c r="M177" s="9"/>
      <c r="N177" s="24"/>
      <c r="O177" s="8"/>
      <c r="P177" s="11"/>
    </row>
    <row r="178" spans="1:16" ht="12.9" customHeight="1" x14ac:dyDescent="0.25">
      <c r="A178" s="22" t="s">
        <v>887</v>
      </c>
      <c r="B178" s="4" t="s">
        <v>192</v>
      </c>
      <c r="C178" s="113">
        <v>50</v>
      </c>
      <c r="D178" s="114" t="s">
        <v>24</v>
      </c>
      <c r="E178" s="3"/>
      <c r="F178" s="158"/>
      <c r="G178" s="157">
        <f>C178*F178</f>
        <v>0</v>
      </c>
      <c r="J178" s="7"/>
      <c r="L178" s="115"/>
      <c r="M178" s="86"/>
      <c r="N178" s="24"/>
      <c r="O178" s="8"/>
      <c r="P178" s="11"/>
    </row>
    <row r="179" spans="1:16" x14ac:dyDescent="0.25">
      <c r="A179" s="22"/>
      <c r="B179" s="13"/>
      <c r="C179" s="13"/>
      <c r="D179" s="14"/>
      <c r="E179" s="103"/>
      <c r="F179" s="158"/>
      <c r="G179" s="162"/>
      <c r="J179" s="7"/>
      <c r="L179" s="8"/>
      <c r="M179" s="116"/>
      <c r="N179" s="115"/>
      <c r="O179" s="115"/>
      <c r="P179" s="11"/>
    </row>
    <row r="180" spans="1:16" ht="12.75" customHeight="1" x14ac:dyDescent="0.25">
      <c r="A180" s="22" t="s">
        <v>888</v>
      </c>
      <c r="B180" s="16" t="s">
        <v>194</v>
      </c>
      <c r="C180" s="17">
        <v>60000</v>
      </c>
      <c r="D180" s="18" t="s">
        <v>46</v>
      </c>
      <c r="E180" s="3"/>
      <c r="F180" s="158"/>
      <c r="G180" s="157">
        <f>C180*F180</f>
        <v>0</v>
      </c>
      <c r="J180" s="7"/>
      <c r="M180" s="86"/>
      <c r="N180" s="24"/>
      <c r="O180" s="8"/>
      <c r="P180" s="11"/>
    </row>
    <row r="181" spans="1:16" x14ac:dyDescent="0.25">
      <c r="A181" s="22"/>
      <c r="B181" s="108"/>
      <c r="C181" s="13"/>
      <c r="D181" s="14"/>
      <c r="E181" s="103"/>
      <c r="F181" s="158"/>
      <c r="G181" s="162"/>
      <c r="J181" s="7"/>
      <c r="P181" s="11"/>
    </row>
    <row r="182" spans="1:16" ht="12.75" customHeight="1" x14ac:dyDescent="0.25">
      <c r="A182" s="22" t="s">
        <v>889</v>
      </c>
      <c r="B182" s="16" t="s">
        <v>196</v>
      </c>
      <c r="C182" s="17">
        <v>60000</v>
      </c>
      <c r="D182" s="18" t="s">
        <v>46</v>
      </c>
      <c r="E182" s="3"/>
      <c r="F182" s="158"/>
      <c r="G182" s="157">
        <f>C182*F182</f>
        <v>0</v>
      </c>
      <c r="J182" s="7"/>
      <c r="P182" s="11"/>
    </row>
    <row r="183" spans="1:16" x14ac:dyDescent="0.25">
      <c r="A183" s="22"/>
      <c r="B183" s="13"/>
      <c r="C183" s="13"/>
      <c r="D183" s="14"/>
      <c r="E183" s="103"/>
      <c r="F183" s="158"/>
      <c r="G183" s="162"/>
      <c r="J183" s="7"/>
      <c r="L183" s="8"/>
      <c r="P183" s="11"/>
    </row>
    <row r="184" spans="1:16" ht="15.6" customHeight="1" x14ac:dyDescent="0.25">
      <c r="A184" s="22" t="s">
        <v>890</v>
      </c>
      <c r="B184" s="13" t="s">
        <v>198</v>
      </c>
      <c r="C184" s="13">
        <v>6</v>
      </c>
      <c r="D184" s="14" t="s">
        <v>24</v>
      </c>
      <c r="E184" s="103"/>
      <c r="F184" s="158"/>
      <c r="G184" s="157">
        <f>C184*F184</f>
        <v>0</v>
      </c>
      <c r="J184" s="7"/>
      <c r="L184" s="115"/>
      <c r="M184" s="86"/>
      <c r="N184" s="24"/>
      <c r="O184" s="8"/>
      <c r="P184" s="11"/>
    </row>
    <row r="185" spans="1:16" x14ac:dyDescent="0.25">
      <c r="A185" s="22"/>
      <c r="B185" s="13"/>
      <c r="C185" s="13"/>
      <c r="D185" s="14"/>
      <c r="E185" s="103"/>
      <c r="F185" s="158"/>
      <c r="G185" s="162"/>
      <c r="J185" s="7"/>
      <c r="L185" s="8"/>
      <c r="M185" s="116" t="s">
        <v>1</v>
      </c>
      <c r="N185" s="115"/>
      <c r="O185" s="115"/>
      <c r="P185" s="11"/>
    </row>
    <row r="186" spans="1:16" ht="12.9" customHeight="1" x14ac:dyDescent="0.25">
      <c r="A186" s="22" t="s">
        <v>891</v>
      </c>
      <c r="B186" s="16" t="s">
        <v>200</v>
      </c>
      <c r="C186" s="17">
        <v>5400</v>
      </c>
      <c r="D186" s="18" t="s">
        <v>81</v>
      </c>
      <c r="E186" s="3"/>
      <c r="F186" s="158"/>
      <c r="G186" s="157">
        <f>C186*F186</f>
        <v>0</v>
      </c>
      <c r="J186" s="7"/>
      <c r="M186" s="9"/>
      <c r="N186" s="24"/>
      <c r="O186" s="8"/>
      <c r="P186" s="11"/>
    </row>
    <row r="187" spans="1:16" x14ac:dyDescent="0.25">
      <c r="A187" s="22"/>
      <c r="B187" s="16"/>
      <c r="C187" s="13"/>
      <c r="D187" s="14"/>
      <c r="E187" s="103"/>
      <c r="F187" s="158"/>
      <c r="G187" s="162"/>
      <c r="J187" s="7"/>
      <c r="L187" s="8"/>
      <c r="N187" s="20"/>
      <c r="O187" s="21"/>
      <c r="P187" s="11"/>
    </row>
    <row r="188" spans="1:16" ht="39.6" x14ac:dyDescent="0.25">
      <c r="A188" s="22" t="s">
        <v>892</v>
      </c>
      <c r="B188" s="16" t="s">
        <v>202</v>
      </c>
      <c r="C188" s="130">
        <v>50</v>
      </c>
      <c r="D188" s="18" t="s">
        <v>67</v>
      </c>
      <c r="E188" s="3"/>
      <c r="F188" s="158"/>
      <c r="G188" s="157">
        <f>C188*F188</f>
        <v>0</v>
      </c>
      <c r="J188" s="7"/>
      <c r="L188" s="8"/>
      <c r="M188" s="9"/>
      <c r="N188" s="24"/>
      <c r="O188" s="8"/>
      <c r="P188" s="11"/>
    </row>
    <row r="189" spans="1:16" x14ac:dyDescent="0.25">
      <c r="A189" s="22"/>
      <c r="B189" s="13"/>
      <c r="C189" s="117"/>
      <c r="D189" s="14"/>
      <c r="E189" s="103"/>
      <c r="F189" s="158"/>
      <c r="G189" s="162"/>
      <c r="J189" s="7"/>
      <c r="L189" s="8"/>
      <c r="M189" s="15" t="s">
        <v>1</v>
      </c>
      <c r="N189" s="24"/>
      <c r="O189" s="8"/>
      <c r="P189" s="11"/>
    </row>
    <row r="190" spans="1:16" ht="12.9" customHeight="1" x14ac:dyDescent="0.25">
      <c r="A190" s="22" t="s">
        <v>893</v>
      </c>
      <c r="B190" s="4" t="s">
        <v>204</v>
      </c>
      <c r="C190" s="118">
        <v>10</v>
      </c>
      <c r="D190" s="3" t="s">
        <v>24</v>
      </c>
      <c r="E190" s="3"/>
      <c r="F190" s="158"/>
      <c r="G190" s="157">
        <f>C190*F190</f>
        <v>0</v>
      </c>
      <c r="J190" s="7"/>
      <c r="L190" s="8"/>
      <c r="M190" s="9" t="s">
        <v>1</v>
      </c>
      <c r="N190" s="24"/>
      <c r="O190" s="8"/>
      <c r="P190" s="11"/>
    </row>
    <row r="191" spans="1:16" x14ac:dyDescent="0.25">
      <c r="A191" s="22"/>
      <c r="B191" s="4"/>
      <c r="C191" s="118"/>
      <c r="D191" s="3"/>
      <c r="E191" s="103"/>
      <c r="F191" s="158"/>
      <c r="G191" s="162"/>
      <c r="J191" s="7"/>
      <c r="M191" s="9"/>
      <c r="N191" s="24"/>
      <c r="O191" s="8"/>
      <c r="P191" s="11"/>
    </row>
    <row r="192" spans="1:16" ht="15.6" customHeight="1" x14ac:dyDescent="0.25">
      <c r="A192" s="22" t="s">
        <v>894</v>
      </c>
      <c r="B192" s="4" t="s">
        <v>206</v>
      </c>
      <c r="C192" s="119">
        <v>50</v>
      </c>
      <c r="D192" s="22" t="s">
        <v>24</v>
      </c>
      <c r="E192" s="22"/>
      <c r="F192" s="158"/>
      <c r="G192" s="157">
        <f>C192*F192</f>
        <v>0</v>
      </c>
      <c r="J192" s="7"/>
      <c r="L192" s="8"/>
      <c r="P192" s="11"/>
    </row>
    <row r="193" spans="1:16" ht="15.6" customHeight="1" x14ac:dyDescent="0.25">
      <c r="A193" s="22"/>
      <c r="B193" s="4"/>
      <c r="C193" s="119"/>
      <c r="D193" s="22"/>
      <c r="E193" s="22"/>
      <c r="F193" s="158"/>
      <c r="G193" s="157"/>
      <c r="J193" s="7"/>
      <c r="L193" s="8"/>
      <c r="P193" s="11"/>
    </row>
    <row r="194" spans="1:16" x14ac:dyDescent="0.25">
      <c r="A194" s="135" t="s">
        <v>346</v>
      </c>
      <c r="B194" s="109" t="s">
        <v>208</v>
      </c>
      <c r="C194" s="118"/>
      <c r="D194" s="3"/>
      <c r="E194" s="3"/>
      <c r="F194" s="158"/>
      <c r="G194" s="163"/>
      <c r="J194" s="7"/>
      <c r="L194" s="8"/>
      <c r="M194" s="9" t="s">
        <v>1</v>
      </c>
      <c r="N194" s="24"/>
      <c r="O194" s="8"/>
      <c r="P194" s="11"/>
    </row>
    <row r="195" spans="1:16" x14ac:dyDescent="0.25">
      <c r="A195" s="3"/>
      <c r="B195" s="4"/>
      <c r="C195" s="118"/>
      <c r="D195" s="3"/>
      <c r="E195" s="3"/>
      <c r="F195" s="158"/>
      <c r="G195" s="163"/>
      <c r="J195" s="7"/>
      <c r="M195" s="9"/>
      <c r="N195" s="24"/>
      <c r="O195" s="8"/>
      <c r="P195" s="11"/>
    </row>
    <row r="196" spans="1:16" x14ac:dyDescent="0.25">
      <c r="A196" s="3" t="s">
        <v>347</v>
      </c>
      <c r="B196" s="4" t="s">
        <v>210</v>
      </c>
      <c r="C196" s="118">
        <v>5</v>
      </c>
      <c r="D196" s="3" t="s">
        <v>24</v>
      </c>
      <c r="E196" s="3"/>
      <c r="F196" s="158"/>
      <c r="G196" s="157">
        <f>C196*F196</f>
        <v>0</v>
      </c>
      <c r="J196" s="7"/>
      <c r="L196" s="8"/>
      <c r="P196" s="11"/>
    </row>
    <row r="197" spans="1:16" x14ac:dyDescent="0.25">
      <c r="A197" s="3"/>
      <c r="B197" s="4"/>
      <c r="C197" s="118"/>
      <c r="D197" s="3"/>
      <c r="E197" s="3"/>
      <c r="F197" s="158"/>
      <c r="G197" s="163"/>
      <c r="J197" s="7"/>
      <c r="L197" s="8"/>
      <c r="P197" s="11"/>
    </row>
    <row r="198" spans="1:16" x14ac:dyDescent="0.25">
      <c r="A198" s="3" t="s">
        <v>348</v>
      </c>
      <c r="B198" s="4" t="s">
        <v>212</v>
      </c>
      <c r="C198" s="118">
        <v>20</v>
      </c>
      <c r="D198" s="3" t="s">
        <v>24</v>
      </c>
      <c r="E198" s="3"/>
      <c r="F198" s="158"/>
      <c r="G198" s="157">
        <f>C198*F198</f>
        <v>0</v>
      </c>
      <c r="J198" s="7"/>
      <c r="L198" s="8"/>
      <c r="P198" s="11"/>
    </row>
    <row r="199" spans="1:16" x14ac:dyDescent="0.25">
      <c r="A199" s="3"/>
      <c r="B199" s="4"/>
      <c r="C199" s="118"/>
      <c r="D199" s="3"/>
      <c r="E199" s="3"/>
      <c r="F199" s="158"/>
      <c r="G199" s="163"/>
      <c r="J199" s="7"/>
      <c r="L199" s="8"/>
      <c r="M199" s="9" t="s">
        <v>1</v>
      </c>
      <c r="N199" s="24"/>
      <c r="O199" s="8"/>
      <c r="P199" s="11"/>
    </row>
    <row r="200" spans="1:16" x14ac:dyDescent="0.25">
      <c r="A200" s="3" t="s">
        <v>349</v>
      </c>
      <c r="B200" s="4" t="s">
        <v>214</v>
      </c>
      <c r="C200" s="118">
        <v>5</v>
      </c>
      <c r="D200" s="3" t="s">
        <v>24</v>
      </c>
      <c r="E200" s="3"/>
      <c r="F200" s="158"/>
      <c r="G200" s="157">
        <f>C200*F200</f>
        <v>0</v>
      </c>
      <c r="J200" s="7"/>
      <c r="L200" s="8"/>
      <c r="M200" s="9" t="s">
        <v>1</v>
      </c>
      <c r="N200" s="24"/>
      <c r="O200" s="8"/>
      <c r="P200" s="11"/>
    </row>
    <row r="201" spans="1:16" x14ac:dyDescent="0.25">
      <c r="A201" s="3"/>
      <c r="B201" s="4"/>
      <c r="C201" s="118"/>
      <c r="D201" s="3"/>
      <c r="E201" s="3"/>
      <c r="F201" s="158"/>
      <c r="G201" s="163"/>
      <c r="J201" s="7"/>
      <c r="L201" s="8"/>
      <c r="M201" s="9"/>
      <c r="N201" s="24"/>
      <c r="O201" s="8"/>
      <c r="P201" s="11"/>
    </row>
    <row r="202" spans="1:16" x14ac:dyDescent="0.25">
      <c r="A202" s="3" t="s">
        <v>350</v>
      </c>
      <c r="B202" s="4" t="s">
        <v>216</v>
      </c>
      <c r="C202" s="118">
        <v>20</v>
      </c>
      <c r="D202" s="3" t="s">
        <v>24</v>
      </c>
      <c r="E202" s="3"/>
      <c r="F202" s="158"/>
      <c r="G202" s="157">
        <f>C202*F202</f>
        <v>0</v>
      </c>
      <c r="J202" s="7"/>
      <c r="L202" s="8"/>
      <c r="M202" s="9"/>
      <c r="N202" s="24"/>
      <c r="O202" s="8"/>
      <c r="P202" s="11"/>
    </row>
    <row r="203" spans="1:16" x14ac:dyDescent="0.25">
      <c r="A203" s="3"/>
      <c r="B203" s="4"/>
      <c r="C203" s="118"/>
      <c r="D203" s="3"/>
      <c r="E203" s="3"/>
      <c r="F203" s="158"/>
      <c r="G203" s="163"/>
      <c r="J203" s="7"/>
      <c r="M203" s="9" t="s">
        <v>1</v>
      </c>
      <c r="N203" s="24"/>
      <c r="O203" s="8"/>
      <c r="P203" s="11"/>
    </row>
    <row r="204" spans="1:16" x14ac:dyDescent="0.25">
      <c r="A204" s="3" t="s">
        <v>351</v>
      </c>
      <c r="B204" s="4" t="s">
        <v>218</v>
      </c>
      <c r="C204" s="118">
        <v>5</v>
      </c>
      <c r="D204" s="3" t="s">
        <v>24</v>
      </c>
      <c r="E204" s="3"/>
      <c r="F204" s="158"/>
      <c r="G204" s="157">
        <f>C204*F204</f>
        <v>0</v>
      </c>
      <c r="J204" s="7"/>
      <c r="L204" s="8"/>
      <c r="P204" s="11"/>
    </row>
    <row r="205" spans="1:16" x14ac:dyDescent="0.25">
      <c r="A205" s="3"/>
      <c r="B205" s="4"/>
      <c r="C205" s="118"/>
      <c r="D205" s="3"/>
      <c r="E205" s="3"/>
      <c r="F205" s="158"/>
      <c r="G205" s="163"/>
      <c r="J205" s="7"/>
      <c r="L205" s="8"/>
      <c r="P205" s="11"/>
    </row>
    <row r="206" spans="1:16" x14ac:dyDescent="0.25">
      <c r="A206" s="3" t="s">
        <v>352</v>
      </c>
      <c r="B206" s="4" t="s">
        <v>220</v>
      </c>
      <c r="C206" s="118">
        <v>20</v>
      </c>
      <c r="D206" s="3" t="s">
        <v>24</v>
      </c>
      <c r="E206" s="3"/>
      <c r="F206" s="158"/>
      <c r="G206" s="157">
        <f>C206*F206</f>
        <v>0</v>
      </c>
      <c r="J206" s="7"/>
      <c r="L206" s="8"/>
      <c r="P206" s="11"/>
    </row>
    <row r="207" spans="1:16" x14ac:dyDescent="0.25">
      <c r="A207" s="3"/>
      <c r="B207" s="4"/>
      <c r="C207" s="118"/>
      <c r="D207" s="3"/>
      <c r="E207" s="3"/>
      <c r="F207" s="158"/>
      <c r="G207" s="163"/>
      <c r="J207" s="7"/>
      <c r="L207" s="8"/>
      <c r="M207" s="9" t="s">
        <v>1</v>
      </c>
      <c r="N207" s="24"/>
      <c r="O207" s="8"/>
      <c r="P207" s="11"/>
    </row>
    <row r="208" spans="1:16" x14ac:dyDescent="0.25">
      <c r="A208" s="3" t="s">
        <v>353</v>
      </c>
      <c r="B208" s="4" t="s">
        <v>222</v>
      </c>
      <c r="C208" s="118">
        <v>5</v>
      </c>
      <c r="D208" s="3" t="s">
        <v>24</v>
      </c>
      <c r="E208" s="3"/>
      <c r="F208" s="158"/>
      <c r="G208" s="157">
        <f>C208*F208</f>
        <v>0</v>
      </c>
      <c r="J208" s="7"/>
      <c r="L208" s="8"/>
      <c r="M208" s="9" t="s">
        <v>1</v>
      </c>
      <c r="N208" s="24"/>
      <c r="O208" s="8"/>
      <c r="P208" s="11"/>
    </row>
    <row r="209" spans="1:16" x14ac:dyDescent="0.25">
      <c r="A209" s="3"/>
      <c r="B209" s="4"/>
      <c r="C209" s="120"/>
      <c r="D209" s="3"/>
      <c r="E209" s="3"/>
      <c r="F209" s="158"/>
      <c r="G209" s="163"/>
      <c r="J209" s="7"/>
      <c r="L209" s="8"/>
      <c r="M209" s="9"/>
      <c r="N209" s="24"/>
      <c r="O209" s="8"/>
      <c r="P209" s="11"/>
    </row>
    <row r="210" spans="1:16" x14ac:dyDescent="0.25">
      <c r="A210" s="3" t="s">
        <v>354</v>
      </c>
      <c r="B210" s="4" t="s">
        <v>224</v>
      </c>
      <c r="C210" s="118">
        <v>20</v>
      </c>
      <c r="D210" s="3" t="s">
        <v>24</v>
      </c>
      <c r="E210" s="3"/>
      <c r="F210" s="158"/>
      <c r="G210" s="157">
        <f>C210*F210</f>
        <v>0</v>
      </c>
      <c r="J210" s="7"/>
      <c r="L210" s="8"/>
      <c r="M210" s="9"/>
      <c r="N210" s="24"/>
      <c r="O210" s="8"/>
      <c r="P210" s="11"/>
    </row>
    <row r="211" spans="1:16" x14ac:dyDescent="0.25">
      <c r="A211" s="3"/>
      <c r="B211" s="4"/>
      <c r="C211" s="118"/>
      <c r="D211" s="3"/>
      <c r="E211" s="3"/>
      <c r="F211" s="158"/>
      <c r="G211" s="163"/>
      <c r="J211" s="7"/>
      <c r="M211" s="9" t="s">
        <v>1</v>
      </c>
      <c r="N211" s="24"/>
      <c r="O211" s="8"/>
      <c r="P211" s="11"/>
    </row>
    <row r="212" spans="1:16" x14ac:dyDescent="0.25">
      <c r="A212" s="3" t="s">
        <v>355</v>
      </c>
      <c r="B212" s="4" t="s">
        <v>226</v>
      </c>
      <c r="C212" s="118">
        <v>20</v>
      </c>
      <c r="D212" s="3" t="s">
        <v>24</v>
      </c>
      <c r="E212" s="3"/>
      <c r="F212" s="158"/>
      <c r="G212" s="157">
        <f>C212*F212</f>
        <v>0</v>
      </c>
      <c r="J212" s="7"/>
      <c r="L212" s="8"/>
      <c r="P212" s="11"/>
    </row>
    <row r="213" spans="1:16" x14ac:dyDescent="0.25">
      <c r="A213" s="3"/>
      <c r="B213" s="4"/>
      <c r="C213" s="118"/>
      <c r="D213" s="3"/>
      <c r="E213" s="3"/>
      <c r="F213" s="158"/>
      <c r="G213" s="163"/>
      <c r="J213" s="7"/>
      <c r="L213" s="8"/>
      <c r="M213" s="9" t="s">
        <v>1</v>
      </c>
      <c r="N213" s="24"/>
      <c r="O213" s="8"/>
      <c r="P213" s="11"/>
    </row>
    <row r="214" spans="1:16" x14ac:dyDescent="0.25">
      <c r="A214" s="3" t="s">
        <v>356</v>
      </c>
      <c r="B214" s="4" t="s">
        <v>228</v>
      </c>
      <c r="C214" s="118">
        <v>20</v>
      </c>
      <c r="D214" s="3" t="s">
        <v>24</v>
      </c>
      <c r="E214" s="3"/>
      <c r="F214" s="158"/>
      <c r="G214" s="157">
        <f>C214*F214</f>
        <v>0</v>
      </c>
      <c r="J214" s="7"/>
      <c r="L214" s="8"/>
      <c r="M214" s="9" t="s">
        <v>1</v>
      </c>
      <c r="N214" s="24"/>
      <c r="O214" s="8"/>
      <c r="P214" s="11"/>
    </row>
    <row r="215" spans="1:16" x14ac:dyDescent="0.25">
      <c r="A215" s="3"/>
      <c r="B215" s="4"/>
      <c r="C215" s="118"/>
      <c r="D215" s="3"/>
      <c r="E215" s="3"/>
      <c r="F215" s="158"/>
      <c r="G215" s="163"/>
      <c r="J215" s="7"/>
      <c r="M215" s="9" t="s">
        <v>1</v>
      </c>
      <c r="N215" s="24"/>
      <c r="O215" s="8"/>
      <c r="P215" s="11"/>
    </row>
    <row r="216" spans="1:16" x14ac:dyDescent="0.25">
      <c r="A216" s="3" t="s">
        <v>357</v>
      </c>
      <c r="B216" s="4" t="s">
        <v>230</v>
      </c>
      <c r="C216" s="118">
        <v>10</v>
      </c>
      <c r="D216" s="3" t="s">
        <v>24</v>
      </c>
      <c r="E216" s="3"/>
      <c r="F216" s="158"/>
      <c r="G216" s="157">
        <f>C216*F216</f>
        <v>0</v>
      </c>
      <c r="J216" s="7"/>
      <c r="L216" s="8"/>
      <c r="P216" s="11"/>
    </row>
    <row r="217" spans="1:16" x14ac:dyDescent="0.25">
      <c r="A217" s="3"/>
      <c r="B217" s="4"/>
      <c r="C217" s="118"/>
      <c r="D217" s="3"/>
      <c r="E217" s="3"/>
      <c r="F217" s="158"/>
      <c r="G217" s="163"/>
      <c r="J217" s="7"/>
      <c r="L217" s="8"/>
      <c r="P217" s="11"/>
    </row>
    <row r="218" spans="1:16" x14ac:dyDescent="0.25">
      <c r="A218" s="3" t="s">
        <v>358</v>
      </c>
      <c r="B218" s="4" t="s">
        <v>232</v>
      </c>
      <c r="C218" s="118">
        <v>10</v>
      </c>
      <c r="D218" s="3" t="s">
        <v>24</v>
      </c>
      <c r="E218" s="3"/>
      <c r="F218" s="158"/>
      <c r="G218" s="157">
        <f>C218*F218</f>
        <v>0</v>
      </c>
      <c r="J218" s="7"/>
      <c r="L218" s="8"/>
      <c r="P218" s="11"/>
    </row>
    <row r="219" spans="1:16" x14ac:dyDescent="0.25">
      <c r="A219" s="3"/>
      <c r="B219" s="4"/>
      <c r="C219" s="118"/>
      <c r="D219" s="3"/>
      <c r="E219" s="3"/>
      <c r="F219" s="158"/>
      <c r="G219" s="163"/>
      <c r="J219" s="7"/>
      <c r="L219" s="8"/>
      <c r="M219" s="9" t="s">
        <v>1</v>
      </c>
      <c r="N219" s="24"/>
      <c r="O219" s="8"/>
      <c r="P219" s="11"/>
    </row>
    <row r="220" spans="1:16" x14ac:dyDescent="0.25">
      <c r="A220" s="3" t="s">
        <v>359</v>
      </c>
      <c r="B220" s="4" t="s">
        <v>234</v>
      </c>
      <c r="C220" s="118">
        <v>10</v>
      </c>
      <c r="D220" s="3" t="s">
        <v>24</v>
      </c>
      <c r="E220" s="3"/>
      <c r="F220" s="158"/>
      <c r="G220" s="157">
        <f>C220*F220</f>
        <v>0</v>
      </c>
      <c r="J220" s="7"/>
      <c r="L220" s="8"/>
      <c r="M220" s="9" t="s">
        <v>1</v>
      </c>
      <c r="N220" s="24"/>
      <c r="O220" s="8"/>
      <c r="P220" s="110"/>
    </row>
    <row r="221" spans="1:16" x14ac:dyDescent="0.25">
      <c r="A221" s="3"/>
      <c r="B221" s="4"/>
      <c r="C221" s="118"/>
      <c r="D221" s="3"/>
      <c r="E221" s="3"/>
      <c r="F221" s="158"/>
      <c r="G221" s="163"/>
      <c r="J221" s="7"/>
      <c r="L221" s="8"/>
      <c r="M221" s="9"/>
      <c r="N221" s="24"/>
      <c r="O221" s="8"/>
      <c r="P221" s="110"/>
    </row>
    <row r="222" spans="1:16" x14ac:dyDescent="0.25">
      <c r="A222" s="3" t="s">
        <v>360</v>
      </c>
      <c r="B222" s="4" t="s">
        <v>236</v>
      </c>
      <c r="C222" s="118">
        <v>10</v>
      </c>
      <c r="D222" s="3" t="s">
        <v>24</v>
      </c>
      <c r="E222" s="3"/>
      <c r="F222" s="158"/>
      <c r="G222" s="157">
        <f>C222*F222</f>
        <v>0</v>
      </c>
      <c r="J222" s="7"/>
      <c r="L222" s="8"/>
      <c r="M222" s="9"/>
      <c r="N222" s="24"/>
      <c r="O222" s="8"/>
      <c r="P222" s="110"/>
    </row>
    <row r="223" spans="1:16" x14ac:dyDescent="0.25">
      <c r="A223" s="3"/>
      <c r="B223" s="4"/>
      <c r="C223" s="118"/>
      <c r="D223" s="3"/>
      <c r="E223" s="3"/>
      <c r="F223" s="158"/>
      <c r="G223" s="163"/>
      <c r="J223" s="7"/>
      <c r="M223" s="9"/>
      <c r="N223" s="24"/>
      <c r="O223" s="8"/>
      <c r="P223" s="11"/>
    </row>
    <row r="224" spans="1:16" x14ac:dyDescent="0.25">
      <c r="A224" s="3" t="s">
        <v>361</v>
      </c>
      <c r="B224" s="4" t="s">
        <v>238</v>
      </c>
      <c r="C224" s="118">
        <v>50</v>
      </c>
      <c r="D224" s="3" t="s">
        <v>24</v>
      </c>
      <c r="E224" s="3"/>
      <c r="F224" s="158"/>
      <c r="G224" s="157">
        <f>C224*F224</f>
        <v>0</v>
      </c>
      <c r="J224" s="7"/>
      <c r="L224" s="8"/>
      <c r="P224" s="11"/>
    </row>
    <row r="225" spans="1:16" x14ac:dyDescent="0.25">
      <c r="A225" s="3"/>
      <c r="B225" s="4"/>
      <c r="C225" s="118"/>
      <c r="D225" s="3"/>
      <c r="E225" s="3"/>
      <c r="F225" s="158"/>
      <c r="G225" s="163"/>
      <c r="J225" s="7"/>
      <c r="M225" s="9"/>
      <c r="N225" s="24"/>
      <c r="O225" s="8"/>
      <c r="P225" s="11"/>
    </row>
    <row r="226" spans="1:16" x14ac:dyDescent="0.25">
      <c r="A226" s="3" t="s">
        <v>362</v>
      </c>
      <c r="B226" s="4" t="s">
        <v>240</v>
      </c>
      <c r="C226" s="118">
        <v>20</v>
      </c>
      <c r="D226" s="3" t="s">
        <v>24</v>
      </c>
      <c r="E226" s="3"/>
      <c r="F226" s="158"/>
      <c r="G226" s="157">
        <f>C226*F226</f>
        <v>0</v>
      </c>
      <c r="J226" s="7"/>
      <c r="L226" s="8"/>
      <c r="P226" s="11"/>
    </row>
    <row r="227" spans="1:16" x14ac:dyDescent="0.25">
      <c r="A227" s="3"/>
      <c r="B227" s="4" t="s">
        <v>1</v>
      </c>
      <c r="C227" s="118"/>
      <c r="D227" s="3"/>
      <c r="E227" s="3"/>
      <c r="F227" s="158"/>
      <c r="G227" s="163"/>
      <c r="J227" s="7"/>
      <c r="M227" s="9"/>
      <c r="N227" s="24"/>
      <c r="O227" s="8"/>
      <c r="P227" s="11"/>
    </row>
    <row r="228" spans="1:16" x14ac:dyDescent="0.25">
      <c r="A228" s="3" t="s">
        <v>363</v>
      </c>
      <c r="B228" s="4" t="s">
        <v>242</v>
      </c>
      <c r="C228" s="118">
        <v>5</v>
      </c>
      <c r="D228" s="3" t="s">
        <v>24</v>
      </c>
      <c r="E228" s="3"/>
      <c r="F228" s="158"/>
      <c r="G228" s="157">
        <f>C228*F228</f>
        <v>0</v>
      </c>
      <c r="J228" s="7"/>
      <c r="L228" s="8"/>
      <c r="P228" s="110"/>
    </row>
    <row r="229" spans="1:16" x14ac:dyDescent="0.25">
      <c r="A229" s="3"/>
      <c r="B229" s="4"/>
      <c r="C229" s="118"/>
      <c r="D229" s="3"/>
      <c r="E229" s="103"/>
      <c r="F229" s="158"/>
      <c r="G229" s="162"/>
      <c r="J229" s="7"/>
      <c r="L229" s="8"/>
      <c r="M229" s="9" t="s">
        <v>1</v>
      </c>
      <c r="N229" s="24"/>
      <c r="O229" s="8"/>
      <c r="P229" s="11"/>
    </row>
    <row r="230" spans="1:16" x14ac:dyDescent="0.25">
      <c r="A230" s="3" t="s">
        <v>364</v>
      </c>
      <c r="B230" s="4" t="s">
        <v>244</v>
      </c>
      <c r="C230" s="118">
        <v>1000</v>
      </c>
      <c r="D230" s="3" t="s">
        <v>102</v>
      </c>
      <c r="E230" s="3"/>
      <c r="F230" s="158"/>
      <c r="G230" s="157">
        <f>C230*F230</f>
        <v>0</v>
      </c>
      <c r="J230" s="7"/>
      <c r="M230" s="9"/>
      <c r="N230" s="24"/>
      <c r="O230" s="8"/>
      <c r="P230" s="11"/>
    </row>
    <row r="231" spans="1:16" x14ac:dyDescent="0.25">
      <c r="A231" s="3"/>
      <c r="B231" s="4"/>
      <c r="C231" s="118"/>
      <c r="D231" s="3"/>
      <c r="E231" s="103"/>
      <c r="F231" s="158"/>
      <c r="G231" s="162"/>
      <c r="J231" s="7"/>
      <c r="P231" s="11"/>
    </row>
    <row r="232" spans="1:16" x14ac:dyDescent="0.25">
      <c r="A232" s="3" t="s">
        <v>365</v>
      </c>
      <c r="B232" s="4" t="s">
        <v>246</v>
      </c>
      <c r="C232" s="118">
        <v>75</v>
      </c>
      <c r="D232" s="3" t="s">
        <v>24</v>
      </c>
      <c r="E232" s="3"/>
      <c r="F232" s="158"/>
      <c r="G232" s="157">
        <f>C232*F232</f>
        <v>0</v>
      </c>
      <c r="J232" s="7"/>
      <c r="P232" s="11"/>
    </row>
    <row r="233" spans="1:16" ht="12.75" customHeight="1" x14ac:dyDescent="0.25">
      <c r="A233" s="3"/>
      <c r="B233" s="4"/>
      <c r="C233" s="118"/>
      <c r="D233" s="3"/>
      <c r="E233" s="103"/>
      <c r="F233" s="158"/>
      <c r="G233" s="162"/>
      <c r="J233" s="7"/>
      <c r="P233" s="110"/>
    </row>
    <row r="234" spans="1:16" ht="13.5" customHeight="1" x14ac:dyDescent="0.25">
      <c r="A234" s="3" t="s">
        <v>366</v>
      </c>
      <c r="B234" s="4" t="s">
        <v>248</v>
      </c>
      <c r="C234" s="118">
        <v>1000</v>
      </c>
      <c r="D234" s="3" t="s">
        <v>102</v>
      </c>
      <c r="E234" s="3"/>
      <c r="F234" s="158"/>
      <c r="G234" s="157">
        <f>C234*F234</f>
        <v>0</v>
      </c>
      <c r="J234" s="7"/>
      <c r="P234" s="11"/>
    </row>
    <row r="235" spans="1:16" ht="13.5" customHeight="1" x14ac:dyDescent="0.25">
      <c r="A235" s="3"/>
      <c r="B235" s="4"/>
      <c r="C235" s="118"/>
      <c r="D235" s="3"/>
      <c r="E235" s="3"/>
      <c r="F235" s="158"/>
      <c r="G235" s="163"/>
      <c r="J235" s="7"/>
      <c r="P235" s="11"/>
    </row>
    <row r="236" spans="1:16" ht="13.5" customHeight="1" x14ac:dyDescent="0.25">
      <c r="A236" s="3" t="s">
        <v>367</v>
      </c>
      <c r="B236" s="4" t="s">
        <v>250</v>
      </c>
      <c r="C236" s="118">
        <v>5</v>
      </c>
      <c r="D236" s="3" t="s">
        <v>24</v>
      </c>
      <c r="E236" s="3"/>
      <c r="F236" s="158"/>
      <c r="G236" s="157">
        <f>C236*F236</f>
        <v>0</v>
      </c>
      <c r="J236" s="7"/>
      <c r="P236" s="11"/>
    </row>
    <row r="237" spans="1:16" ht="13.5" customHeight="1" x14ac:dyDescent="0.25">
      <c r="A237" s="3"/>
      <c r="B237" s="4"/>
      <c r="C237" s="118"/>
      <c r="D237" s="3"/>
      <c r="E237" s="3"/>
      <c r="F237" s="158"/>
      <c r="G237" s="163"/>
      <c r="J237" s="7"/>
      <c r="P237" s="11"/>
    </row>
    <row r="238" spans="1:16" ht="13.5" customHeight="1" x14ac:dyDescent="0.25">
      <c r="A238" s="121" t="s">
        <v>368</v>
      </c>
      <c r="B238" s="109" t="s">
        <v>252</v>
      </c>
      <c r="C238" s="118"/>
      <c r="D238" s="3"/>
      <c r="E238" s="3"/>
      <c r="F238" s="158"/>
      <c r="G238" s="163"/>
      <c r="J238" s="7"/>
      <c r="P238" s="11"/>
    </row>
    <row r="239" spans="1:16" ht="13.5" customHeight="1" x14ac:dyDescent="0.25">
      <c r="A239" s="3"/>
      <c r="B239" s="4"/>
      <c r="C239" s="118"/>
      <c r="D239" s="3"/>
      <c r="E239" s="3"/>
      <c r="F239" s="158"/>
      <c r="G239" s="163"/>
      <c r="J239" s="7"/>
      <c r="P239" s="11"/>
    </row>
    <row r="240" spans="1:16" ht="26.4" customHeight="1" x14ac:dyDescent="0.25">
      <c r="A240" s="3" t="s">
        <v>369</v>
      </c>
      <c r="B240" s="4" t="s">
        <v>254</v>
      </c>
      <c r="C240" s="177">
        <v>10000</v>
      </c>
      <c r="D240" s="3" t="s">
        <v>46</v>
      </c>
      <c r="E240" s="3"/>
      <c r="F240" s="158">
        <v>67</v>
      </c>
      <c r="G240" s="157">
        <v>0</v>
      </c>
      <c r="J240" s="7"/>
      <c r="P240" s="11"/>
    </row>
    <row r="241" spans="1:16" x14ac:dyDescent="0.25">
      <c r="A241" s="3"/>
      <c r="B241" s="4"/>
      <c r="C241" s="120"/>
      <c r="D241" s="3"/>
      <c r="E241" s="103"/>
      <c r="F241" s="158"/>
      <c r="G241" s="162"/>
      <c r="J241" s="7"/>
      <c r="P241" s="11"/>
    </row>
    <row r="242" spans="1:16" x14ac:dyDescent="0.25">
      <c r="A242" s="135" t="s">
        <v>370</v>
      </c>
      <c r="B242" s="197" t="s">
        <v>256</v>
      </c>
      <c r="C242" s="197"/>
      <c r="D242" s="197"/>
      <c r="E242" s="103"/>
      <c r="F242" s="158"/>
      <c r="G242" s="162"/>
      <c r="J242" s="7"/>
      <c r="P242" s="11"/>
    </row>
    <row r="243" spans="1:16" x14ac:dyDescent="0.25">
      <c r="A243" s="22"/>
      <c r="B243" s="13"/>
      <c r="C243" s="13"/>
      <c r="D243" s="14"/>
      <c r="E243" s="103"/>
      <c r="F243" s="158"/>
      <c r="G243" s="162"/>
      <c r="J243" s="7"/>
      <c r="P243" s="11"/>
    </row>
    <row r="244" spans="1:16" ht="12.9" customHeight="1" x14ac:dyDescent="0.25">
      <c r="A244" s="22" t="s">
        <v>371</v>
      </c>
      <c r="B244" s="16" t="s">
        <v>258</v>
      </c>
      <c r="C244" s="25">
        <v>2000</v>
      </c>
      <c r="D244" s="18" t="str">
        <f>'[1]Synopsis of Line Items'!D363</f>
        <v>HR</v>
      </c>
      <c r="E244" s="3"/>
      <c r="F244" s="158">
        <v>14</v>
      </c>
      <c r="G244" s="157">
        <v>0</v>
      </c>
      <c r="J244" s="7"/>
      <c r="L244" s="23" t="s">
        <v>1</v>
      </c>
      <c r="P244" s="11"/>
    </row>
    <row r="245" spans="1:16" x14ac:dyDescent="0.25">
      <c r="A245" s="22"/>
      <c r="B245" s="16"/>
      <c r="C245" s="13"/>
      <c r="D245" s="14"/>
      <c r="E245" s="103"/>
      <c r="F245" s="161"/>
      <c r="G245" s="162"/>
      <c r="J245" s="7"/>
      <c r="L245" s="8"/>
      <c r="M245" s="196" t="s">
        <v>1</v>
      </c>
      <c r="N245" s="196"/>
      <c r="O245" s="196"/>
      <c r="P245" s="11"/>
    </row>
    <row r="246" spans="1:16" ht="12.9" customHeight="1" x14ac:dyDescent="0.25">
      <c r="A246" s="22" t="s">
        <v>372</v>
      </c>
      <c r="B246" s="16" t="s">
        <v>933</v>
      </c>
      <c r="C246" s="26">
        <v>1</v>
      </c>
      <c r="D246" s="18" t="s">
        <v>932</v>
      </c>
      <c r="E246" s="3"/>
      <c r="F246" s="155">
        <v>250000</v>
      </c>
      <c r="G246" s="157">
        <f>C246*F246</f>
        <v>250000</v>
      </c>
      <c r="J246" s="7"/>
      <c r="L246" s="8"/>
      <c r="M246" s="9"/>
      <c r="N246" s="24"/>
      <c r="O246" s="8"/>
      <c r="P246" s="11"/>
    </row>
    <row r="247" spans="1:16" x14ac:dyDescent="0.25">
      <c r="A247" s="22"/>
      <c r="B247" s="13"/>
      <c r="C247" s="13"/>
      <c r="D247" s="14"/>
      <c r="E247" s="103"/>
      <c r="F247" s="166"/>
      <c r="G247" s="162"/>
      <c r="L247" s="8"/>
      <c r="M247" s="122" t="s">
        <v>1</v>
      </c>
      <c r="N247" s="24"/>
      <c r="O247" s="8"/>
      <c r="P247" s="11"/>
    </row>
    <row r="248" spans="1:16" ht="12.75" customHeight="1" x14ac:dyDescent="0.25">
      <c r="A248" s="190" t="s">
        <v>373</v>
      </c>
      <c r="B248" s="190"/>
      <c r="C248" s="202" t="s">
        <v>262</v>
      </c>
      <c r="D248" s="203"/>
      <c r="E248" s="203"/>
      <c r="F248" s="203"/>
      <c r="G248" s="194">
        <f>SUM(G12:G247)</f>
        <v>250000</v>
      </c>
      <c r="L248" s="8"/>
      <c r="M248" s="122" t="s">
        <v>1</v>
      </c>
      <c r="N248" s="24"/>
      <c r="O248" s="8"/>
      <c r="P248" s="11"/>
    </row>
    <row r="249" spans="1:16" ht="12.75" customHeight="1" x14ac:dyDescent="0.25">
      <c r="A249" s="190" t="s">
        <v>374</v>
      </c>
      <c r="B249" s="190"/>
      <c r="C249" s="204"/>
      <c r="D249" s="205"/>
      <c r="E249" s="205"/>
      <c r="F249" s="205"/>
      <c r="G249" s="195"/>
      <c r="L249" s="8"/>
      <c r="M249" s="124" t="s">
        <v>1</v>
      </c>
      <c r="N249" s="24"/>
      <c r="O249" s="8"/>
      <c r="P249" s="11"/>
    </row>
    <row r="250" spans="1:16" x14ac:dyDescent="0.25">
      <c r="L250" s="8"/>
      <c r="M250" s="124" t="s">
        <v>1</v>
      </c>
      <c r="N250" s="24"/>
      <c r="O250" s="8"/>
      <c r="P250" s="11"/>
    </row>
    <row r="251" spans="1:16" x14ac:dyDescent="0.25">
      <c r="B251" s="169"/>
      <c r="C251" s="169"/>
      <c r="D251" s="170"/>
      <c r="L251" s="8"/>
      <c r="M251" s="122" t="s">
        <v>1</v>
      </c>
      <c r="N251" s="24"/>
      <c r="O251" s="8"/>
      <c r="P251" s="11"/>
    </row>
    <row r="252" spans="1:16" x14ac:dyDescent="0.25">
      <c r="B252" s="169"/>
      <c r="C252" s="169"/>
      <c r="D252" s="170"/>
      <c r="L252" s="8"/>
      <c r="M252" s="88"/>
      <c r="N252" s="24"/>
      <c r="O252" s="8"/>
      <c r="P252" s="11"/>
    </row>
    <row r="253" spans="1:16" x14ac:dyDescent="0.25">
      <c r="B253" s="169"/>
      <c r="C253" s="169"/>
      <c r="D253" s="170"/>
      <c r="L253" s="8"/>
      <c r="M253" s="88"/>
      <c r="N253" s="24"/>
      <c r="O253" s="8"/>
      <c r="P253" s="11"/>
    </row>
    <row r="254" spans="1:16" x14ac:dyDescent="0.25">
      <c r="B254" s="169"/>
      <c r="C254" s="169"/>
      <c r="D254" s="170"/>
      <c r="L254" s="8" t="s">
        <v>1</v>
      </c>
      <c r="M254" s="9"/>
      <c r="N254" s="24"/>
      <c r="O254" s="8"/>
      <c r="P254" s="11"/>
    </row>
    <row r="255" spans="1:16" x14ac:dyDescent="0.25">
      <c r="B255" s="169"/>
      <c r="C255" s="169"/>
      <c r="D255" s="170"/>
      <c r="L255" s="8"/>
      <c r="M255" s="9" t="s">
        <v>1</v>
      </c>
      <c r="N255" s="24" t="s">
        <v>1</v>
      </c>
      <c r="O255" s="8" t="s">
        <v>1</v>
      </c>
      <c r="P255" s="11"/>
    </row>
    <row r="256" spans="1:16" x14ac:dyDescent="0.25">
      <c r="B256" s="169"/>
      <c r="C256" s="169"/>
      <c r="D256" s="170"/>
      <c r="L256" s="8" t="s">
        <v>1</v>
      </c>
      <c r="M256" s="9"/>
      <c r="N256" s="87"/>
      <c r="O256" s="88"/>
      <c r="P256" s="11"/>
    </row>
    <row r="257" spans="2:16" x14ac:dyDescent="0.25">
      <c r="B257" s="169"/>
      <c r="C257" s="169"/>
      <c r="D257" s="170"/>
      <c r="M257" s="9" t="s">
        <v>1</v>
      </c>
      <c r="N257" s="24" t="s">
        <v>0</v>
      </c>
      <c r="O257" s="8" t="s">
        <v>1</v>
      </c>
      <c r="P257" s="11"/>
    </row>
    <row r="258" spans="2:16" x14ac:dyDescent="0.25">
      <c r="B258" s="169"/>
      <c r="C258" s="169"/>
      <c r="D258" s="170"/>
    </row>
    <row r="259" spans="2:16" x14ac:dyDescent="0.25">
      <c r="B259" s="169"/>
      <c r="C259" s="169"/>
      <c r="D259" s="170"/>
    </row>
    <row r="260" spans="2:16" x14ac:dyDescent="0.25">
      <c r="B260" s="169"/>
      <c r="C260" s="169"/>
      <c r="D260" s="170"/>
    </row>
    <row r="261" spans="2:16" x14ac:dyDescent="0.25">
      <c r="B261" s="169"/>
      <c r="C261" s="169"/>
      <c r="D261" s="170"/>
    </row>
    <row r="262" spans="2:16" x14ac:dyDescent="0.25">
      <c r="B262" s="169"/>
      <c r="C262" s="169"/>
      <c r="D262" s="170"/>
    </row>
    <row r="263" spans="2:16" x14ac:dyDescent="0.25">
      <c r="B263" s="169"/>
      <c r="C263" s="169"/>
      <c r="D263" s="170"/>
    </row>
    <row r="264" spans="2:16" x14ac:dyDescent="0.25">
      <c r="B264" s="169"/>
      <c r="C264" s="169"/>
      <c r="D264" s="170"/>
    </row>
    <row r="265" spans="2:16" x14ac:dyDescent="0.25">
      <c r="B265" s="169"/>
      <c r="C265" s="169"/>
      <c r="D265" s="170"/>
    </row>
    <row r="266" spans="2:16" x14ac:dyDescent="0.25">
      <c r="B266" s="169"/>
      <c r="C266" s="169"/>
      <c r="D266" s="170"/>
    </row>
    <row r="267" spans="2:16" x14ac:dyDescent="0.25">
      <c r="B267" s="169"/>
      <c r="C267" s="169"/>
      <c r="D267" s="170"/>
    </row>
    <row r="268" spans="2:16" x14ac:dyDescent="0.25">
      <c r="B268" s="169"/>
      <c r="C268" s="169"/>
      <c r="D268" s="170"/>
    </row>
  </sheetData>
  <mergeCells count="14">
    <mergeCell ref="A248:B248"/>
    <mergeCell ref="C248:F249"/>
    <mergeCell ref="G248:G249"/>
    <mergeCell ref="A249:B249"/>
    <mergeCell ref="A3:G3"/>
    <mergeCell ref="A4:G4"/>
    <mergeCell ref="M4:O4"/>
    <mergeCell ref="A6:B6"/>
    <mergeCell ref="B242:D242"/>
    <mergeCell ref="M245:O245"/>
    <mergeCell ref="A1:G1"/>
    <mergeCell ref="M1:N1"/>
    <mergeCell ref="A2:G2"/>
    <mergeCell ref="M2:N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68"/>
  <sheetViews>
    <sheetView topLeftCell="A231" zoomScale="85" zoomScaleNormal="85" workbookViewId="0">
      <selection activeCell="B247" sqref="B247"/>
    </sheetView>
  </sheetViews>
  <sheetFormatPr defaultColWidth="9.109375" defaultRowHeight="13.2" x14ac:dyDescent="0.25"/>
  <cols>
    <col min="1" max="1" width="8.33203125" style="167" bestFit="1" customWidth="1"/>
    <col min="2" max="2" width="54.88671875" style="6" customWidth="1"/>
    <col min="3" max="3" width="8.88671875" style="6" bestFit="1" customWidth="1"/>
    <col min="4" max="4" width="8.5546875" style="167" customWidth="1"/>
    <col min="5" max="5" width="2.44140625" style="6" customWidth="1"/>
    <col min="6" max="6" width="13.6640625" style="168" customWidth="1"/>
    <col min="7" max="7" width="14.33203125" style="176" bestFit="1" customWidth="1"/>
    <col min="8" max="9" width="9.109375" style="6"/>
    <col min="10" max="10" width="19.109375" style="6" customWidth="1"/>
    <col min="11" max="12" width="9.109375" style="6" customWidth="1"/>
    <col min="13" max="13" width="6.5546875" style="6" bestFit="1" customWidth="1"/>
    <col min="14" max="14" width="9.109375" style="6"/>
    <col min="15" max="15" width="5.5546875" style="6" bestFit="1" customWidth="1"/>
    <col min="16" max="16384" width="9.109375" style="6"/>
  </cols>
  <sheetData>
    <row r="1" spans="1:16" x14ac:dyDescent="0.25">
      <c r="A1" s="201" t="s">
        <v>879</v>
      </c>
      <c r="B1" s="201"/>
      <c r="C1" s="201"/>
      <c r="D1" s="201"/>
      <c r="E1" s="201"/>
      <c r="F1" s="201"/>
      <c r="G1" s="201"/>
      <c r="L1" s="8"/>
      <c r="M1" s="187" t="s">
        <v>0</v>
      </c>
      <c r="N1" s="188"/>
      <c r="O1" s="83"/>
      <c r="P1" s="84"/>
    </row>
    <row r="2" spans="1:16" ht="46.95" customHeight="1" x14ac:dyDescent="0.25">
      <c r="A2" s="201" t="s">
        <v>882</v>
      </c>
      <c r="B2" s="201"/>
      <c r="C2" s="201"/>
      <c r="D2" s="201"/>
      <c r="E2" s="201"/>
      <c r="F2" s="201"/>
      <c r="G2" s="201"/>
      <c r="L2" s="139"/>
      <c r="M2" s="189" t="s">
        <v>1</v>
      </c>
      <c r="N2" s="189"/>
      <c r="O2" s="139"/>
      <c r="P2" s="84"/>
    </row>
    <row r="3" spans="1:16" x14ac:dyDescent="0.25">
      <c r="A3" s="206" t="s">
        <v>375</v>
      </c>
      <c r="B3" s="206"/>
      <c r="C3" s="206"/>
      <c r="D3" s="206"/>
      <c r="E3" s="206"/>
      <c r="F3" s="206"/>
      <c r="G3" s="206"/>
      <c r="L3" s="85" t="s">
        <v>1</v>
      </c>
      <c r="M3" s="86"/>
      <c r="N3" s="87"/>
      <c r="O3" s="88"/>
      <c r="P3" s="11"/>
    </row>
    <row r="4" spans="1:16" x14ac:dyDescent="0.25">
      <c r="A4" s="206" t="s">
        <v>3</v>
      </c>
      <c r="B4" s="206"/>
      <c r="C4" s="206"/>
      <c r="D4" s="206"/>
      <c r="E4" s="206"/>
      <c r="F4" s="206"/>
      <c r="G4" s="206"/>
      <c r="L4" s="89"/>
      <c r="M4" s="196" t="s">
        <v>1</v>
      </c>
      <c r="N4" s="196"/>
      <c r="O4" s="196"/>
      <c r="P4" s="136"/>
    </row>
    <row r="5" spans="1:16" x14ac:dyDescent="0.25">
      <c r="A5" s="135"/>
      <c r="B5" s="135"/>
      <c r="C5" s="135"/>
      <c r="D5" s="135"/>
      <c r="E5" s="135"/>
      <c r="F5" s="154"/>
      <c r="G5" s="157"/>
      <c r="L5" s="89"/>
      <c r="M5" s="136"/>
      <c r="N5" s="136"/>
      <c r="O5" s="136"/>
      <c r="P5" s="136"/>
    </row>
    <row r="6" spans="1:16" x14ac:dyDescent="0.25">
      <c r="A6" s="191" t="s">
        <v>376</v>
      </c>
      <c r="B6" s="193"/>
      <c r="C6" s="90"/>
      <c r="D6" s="135"/>
      <c r="E6" s="90"/>
      <c r="F6" s="155"/>
      <c r="G6" s="163"/>
      <c r="L6" s="8"/>
      <c r="M6" s="91"/>
      <c r="N6" s="92"/>
      <c r="O6" s="91"/>
      <c r="P6" s="86"/>
    </row>
    <row r="7" spans="1:16" x14ac:dyDescent="0.25">
      <c r="A7" s="135"/>
      <c r="B7" s="134"/>
      <c r="C7" s="90"/>
      <c r="D7" s="135"/>
      <c r="E7" s="90"/>
      <c r="F7" s="155"/>
      <c r="G7" s="163"/>
      <c r="L7" s="8" t="s">
        <v>1</v>
      </c>
      <c r="M7" s="93"/>
      <c r="N7" s="10"/>
      <c r="O7" s="8"/>
      <c r="P7" s="11"/>
    </row>
    <row r="8" spans="1:16" ht="37.5" customHeight="1" x14ac:dyDescent="0.25">
      <c r="A8" s="94" t="s">
        <v>5</v>
      </c>
      <c r="B8" s="138" t="s">
        <v>6</v>
      </c>
      <c r="C8" s="95" t="s">
        <v>7</v>
      </c>
      <c r="D8" s="135" t="s">
        <v>8</v>
      </c>
      <c r="E8" s="96"/>
      <c r="F8" s="156" t="s">
        <v>9</v>
      </c>
      <c r="G8" s="156" t="s">
        <v>872</v>
      </c>
      <c r="J8" s="97"/>
      <c r="L8" s="8"/>
      <c r="M8" s="9" t="s">
        <v>1</v>
      </c>
      <c r="N8" s="10" t="s">
        <v>1</v>
      </c>
      <c r="O8" s="8" t="s">
        <v>1</v>
      </c>
      <c r="P8" s="11"/>
    </row>
    <row r="9" spans="1:16" x14ac:dyDescent="0.25">
      <c r="A9" s="135"/>
      <c r="B9" s="98"/>
      <c r="C9" s="135"/>
      <c r="D9" s="135"/>
      <c r="E9" s="99"/>
      <c r="F9" s="155"/>
      <c r="G9" s="157"/>
      <c r="J9" s="7"/>
      <c r="L9" s="8" t="s">
        <v>1</v>
      </c>
      <c r="M9" s="9"/>
      <c r="N9" s="10"/>
      <c r="O9" s="8"/>
      <c r="P9" s="11"/>
    </row>
    <row r="10" spans="1:16" ht="26.1" customHeight="1" x14ac:dyDescent="0.25">
      <c r="A10" s="135" t="s">
        <v>377</v>
      </c>
      <c r="B10" s="100" t="s">
        <v>11</v>
      </c>
      <c r="C10" s="135"/>
      <c r="D10" s="101"/>
      <c r="E10" s="99"/>
      <c r="F10" s="155"/>
      <c r="G10" s="157"/>
      <c r="L10" s="8"/>
      <c r="M10" s="9"/>
      <c r="N10" s="10"/>
      <c r="O10" s="8"/>
      <c r="P10" s="11"/>
    </row>
    <row r="11" spans="1:16" x14ac:dyDescent="0.25">
      <c r="A11" s="135"/>
      <c r="B11" s="98"/>
      <c r="C11" s="135"/>
      <c r="D11" s="135"/>
      <c r="E11" s="99"/>
      <c r="F11" s="158"/>
      <c r="G11" s="157"/>
      <c r="L11" s="8"/>
      <c r="M11" s="9"/>
      <c r="N11" s="10"/>
      <c r="O11" s="8"/>
      <c r="P11" s="11"/>
    </row>
    <row r="12" spans="1:16" x14ac:dyDescent="0.25">
      <c r="A12" s="3" t="s">
        <v>378</v>
      </c>
      <c r="B12" s="4" t="s">
        <v>13</v>
      </c>
      <c r="C12" s="5">
        <v>500</v>
      </c>
      <c r="D12" s="3" t="s">
        <v>14</v>
      </c>
      <c r="E12" s="3"/>
      <c r="F12" s="158"/>
      <c r="G12" s="157">
        <f>C12*F12</f>
        <v>0</v>
      </c>
      <c r="J12" s="7"/>
      <c r="L12" s="8"/>
      <c r="M12" s="9"/>
      <c r="N12" s="10"/>
      <c r="O12" s="8"/>
      <c r="P12" s="11"/>
    </row>
    <row r="13" spans="1:16" x14ac:dyDescent="0.25">
      <c r="A13" s="3"/>
      <c r="B13" s="4"/>
      <c r="C13" s="5"/>
      <c r="D13" s="3"/>
      <c r="E13" s="99"/>
      <c r="F13" s="158"/>
      <c r="G13" s="157"/>
      <c r="L13" s="8"/>
      <c r="M13" s="9"/>
      <c r="N13" s="10"/>
      <c r="O13" s="8"/>
      <c r="P13" s="11"/>
    </row>
    <row r="14" spans="1:16" x14ac:dyDescent="0.25">
      <c r="A14" s="3" t="s">
        <v>379</v>
      </c>
      <c r="B14" s="4" t="s">
        <v>16</v>
      </c>
      <c r="C14" s="5">
        <v>500</v>
      </c>
      <c r="D14" s="3" t="s">
        <v>17</v>
      </c>
      <c r="E14" s="3"/>
      <c r="F14" s="158"/>
      <c r="G14" s="157">
        <f>C14*F14</f>
        <v>0</v>
      </c>
      <c r="J14" s="7"/>
      <c r="L14" s="8"/>
      <c r="M14" s="9"/>
      <c r="N14" s="10"/>
      <c r="O14" s="8"/>
      <c r="P14" s="11"/>
    </row>
    <row r="15" spans="1:16" x14ac:dyDescent="0.25">
      <c r="A15" s="3"/>
      <c r="B15" s="4"/>
      <c r="C15" s="5"/>
      <c r="D15" s="3"/>
      <c r="E15" s="99"/>
      <c r="F15" s="158"/>
      <c r="G15" s="157"/>
      <c r="L15" s="8"/>
      <c r="M15" s="9"/>
      <c r="N15" s="10"/>
      <c r="O15" s="8"/>
      <c r="P15" s="11"/>
    </row>
    <row r="16" spans="1:16" x14ac:dyDescent="0.25">
      <c r="A16" s="3" t="s">
        <v>380</v>
      </c>
      <c r="B16" s="4" t="s">
        <v>19</v>
      </c>
      <c r="C16" s="5">
        <v>300</v>
      </c>
      <c r="D16" s="3" t="s">
        <v>14</v>
      </c>
      <c r="E16" s="3"/>
      <c r="F16" s="158"/>
      <c r="G16" s="157">
        <f>C16*F16</f>
        <v>0</v>
      </c>
      <c r="J16" s="7"/>
      <c r="L16" s="8"/>
      <c r="M16" s="9"/>
      <c r="N16" s="10"/>
      <c r="O16" s="8"/>
      <c r="P16" s="11"/>
    </row>
    <row r="17" spans="1:16" x14ac:dyDescent="0.25">
      <c r="A17" s="3"/>
      <c r="B17" s="4"/>
      <c r="C17" s="5"/>
      <c r="D17" s="3"/>
      <c r="E17" s="99"/>
      <c r="F17" s="158"/>
      <c r="G17" s="157"/>
      <c r="L17" s="8"/>
      <c r="M17" s="9"/>
      <c r="N17" s="10"/>
      <c r="O17" s="8"/>
      <c r="P17" s="11"/>
    </row>
    <row r="18" spans="1:16" x14ac:dyDescent="0.25">
      <c r="A18" s="3" t="s">
        <v>381</v>
      </c>
      <c r="B18" s="4" t="s">
        <v>21</v>
      </c>
      <c r="C18" s="5">
        <v>10000</v>
      </c>
      <c r="D18" s="3" t="s">
        <v>14</v>
      </c>
      <c r="E18" s="3"/>
      <c r="F18" s="158"/>
      <c r="G18" s="157">
        <f>C18*F18</f>
        <v>0</v>
      </c>
      <c r="J18" s="7"/>
      <c r="L18" s="8"/>
      <c r="M18" s="9"/>
      <c r="N18" s="10"/>
      <c r="O18" s="8"/>
      <c r="P18" s="11"/>
    </row>
    <row r="19" spans="1:16" x14ac:dyDescent="0.25">
      <c r="A19" s="3"/>
      <c r="B19" s="4"/>
      <c r="C19" s="5"/>
      <c r="D19" s="3"/>
      <c r="E19" s="99"/>
      <c r="F19" s="158"/>
      <c r="G19" s="157"/>
      <c r="L19" s="8"/>
      <c r="M19" s="9"/>
      <c r="N19" s="10"/>
      <c r="O19" s="8"/>
      <c r="P19" s="11"/>
    </row>
    <row r="20" spans="1:16" x14ac:dyDescent="0.25">
      <c r="A20" s="3" t="s">
        <v>382</v>
      </c>
      <c r="B20" s="4" t="s">
        <v>23</v>
      </c>
      <c r="C20" s="5">
        <v>300</v>
      </c>
      <c r="D20" s="3" t="s">
        <v>24</v>
      </c>
      <c r="E20" s="3"/>
      <c r="F20" s="158"/>
      <c r="G20" s="157">
        <f>C20*F20</f>
        <v>0</v>
      </c>
      <c r="J20" s="7"/>
      <c r="L20" s="8"/>
      <c r="M20" s="9"/>
      <c r="N20" s="10"/>
      <c r="O20" s="8"/>
      <c r="P20" s="11"/>
    </row>
    <row r="21" spans="1:16" x14ac:dyDescent="0.25">
      <c r="A21" s="3"/>
      <c r="B21" s="4"/>
      <c r="C21" s="5"/>
      <c r="D21" s="3"/>
      <c r="E21" s="99"/>
      <c r="F21" s="158"/>
      <c r="G21" s="157"/>
      <c r="L21" s="8"/>
      <c r="M21" s="9"/>
      <c r="N21" s="10"/>
      <c r="O21" s="8"/>
      <c r="P21" s="11"/>
    </row>
    <row r="22" spans="1:16" ht="26.4" x14ac:dyDescent="0.25">
      <c r="A22" s="3" t="s">
        <v>383</v>
      </c>
      <c r="B22" s="4" t="s">
        <v>26</v>
      </c>
      <c r="C22" s="5">
        <v>3000</v>
      </c>
      <c r="D22" s="3" t="s">
        <v>14</v>
      </c>
      <c r="E22" s="3"/>
      <c r="F22" s="158"/>
      <c r="G22" s="157">
        <f>C22*F22</f>
        <v>0</v>
      </c>
      <c r="J22" s="7"/>
      <c r="L22" s="8"/>
      <c r="M22" s="9"/>
      <c r="N22" s="10"/>
      <c r="O22" s="8"/>
      <c r="P22" s="11"/>
    </row>
    <row r="23" spans="1:16" x14ac:dyDescent="0.25">
      <c r="A23" s="3"/>
      <c r="B23" s="4"/>
      <c r="C23" s="5"/>
      <c r="D23" s="3"/>
      <c r="E23" s="99"/>
      <c r="F23" s="158"/>
      <c r="G23" s="157"/>
      <c r="L23" s="8"/>
      <c r="M23" s="9"/>
      <c r="N23" s="10"/>
      <c r="O23" s="8"/>
      <c r="P23" s="11"/>
    </row>
    <row r="24" spans="1:16" ht="26.4" x14ac:dyDescent="0.25">
      <c r="A24" s="3" t="s">
        <v>384</v>
      </c>
      <c r="B24" s="4" t="s">
        <v>28</v>
      </c>
      <c r="C24" s="5">
        <v>25</v>
      </c>
      <c r="D24" s="3" t="s">
        <v>24</v>
      </c>
      <c r="E24" s="3"/>
      <c r="F24" s="158"/>
      <c r="G24" s="157">
        <f>C24*F24</f>
        <v>0</v>
      </c>
      <c r="J24" s="7"/>
      <c r="L24" s="8"/>
      <c r="M24" s="9"/>
      <c r="N24" s="10"/>
      <c r="O24" s="8"/>
      <c r="P24" s="11"/>
    </row>
    <row r="25" spans="1:16" x14ac:dyDescent="0.25">
      <c r="A25" s="3"/>
      <c r="B25" s="4"/>
      <c r="C25" s="5"/>
      <c r="D25" s="3"/>
      <c r="E25" s="99"/>
      <c r="F25" s="158"/>
      <c r="G25" s="157"/>
      <c r="L25" s="8"/>
      <c r="M25" s="9"/>
      <c r="N25" s="10"/>
      <c r="O25" s="8"/>
      <c r="P25" s="11"/>
    </row>
    <row r="26" spans="1:16" x14ac:dyDescent="0.25">
      <c r="A26" s="135" t="s">
        <v>385</v>
      </c>
      <c r="B26" s="102" t="s">
        <v>30</v>
      </c>
      <c r="C26" s="102"/>
      <c r="D26" s="138"/>
      <c r="E26" s="102"/>
      <c r="F26" s="158"/>
      <c r="G26" s="160"/>
      <c r="L26" s="8"/>
      <c r="M26" s="9" t="s">
        <v>1</v>
      </c>
      <c r="N26" s="10" t="s">
        <v>1</v>
      </c>
      <c r="O26" s="8" t="s">
        <v>1</v>
      </c>
      <c r="P26" s="11"/>
    </row>
    <row r="27" spans="1:16" x14ac:dyDescent="0.25">
      <c r="A27" s="22"/>
      <c r="B27" s="13"/>
      <c r="C27" s="13"/>
      <c r="D27" s="14"/>
      <c r="E27" s="103"/>
      <c r="F27" s="158"/>
      <c r="G27" s="162"/>
      <c r="L27" s="8"/>
      <c r="M27" s="9"/>
      <c r="N27" s="10"/>
      <c r="O27" s="8"/>
      <c r="P27" s="11"/>
    </row>
    <row r="28" spans="1:16" x14ac:dyDescent="0.25">
      <c r="A28" s="3" t="s">
        <v>386</v>
      </c>
      <c r="B28" s="12" t="s">
        <v>32</v>
      </c>
      <c r="C28" s="13">
        <v>55000</v>
      </c>
      <c r="D28" s="14" t="s">
        <v>33</v>
      </c>
      <c r="E28" s="3"/>
      <c r="F28" s="158"/>
      <c r="G28" s="157">
        <f>C28*F28</f>
        <v>0</v>
      </c>
      <c r="J28" s="7"/>
      <c r="L28" s="8"/>
      <c r="M28" s="15"/>
      <c r="N28" s="10"/>
      <c r="O28" s="8"/>
      <c r="P28" s="11"/>
    </row>
    <row r="29" spans="1:16" x14ac:dyDescent="0.25">
      <c r="A29" s="22"/>
      <c r="B29" s="13"/>
      <c r="C29" s="13"/>
      <c r="D29" s="14"/>
      <c r="E29" s="103"/>
      <c r="F29" s="158"/>
      <c r="G29" s="162"/>
      <c r="L29" s="8"/>
      <c r="M29" s="15" t="s">
        <v>1</v>
      </c>
      <c r="N29" s="10"/>
      <c r="O29" s="8"/>
      <c r="P29" s="11"/>
    </row>
    <row r="30" spans="1:16" x14ac:dyDescent="0.25">
      <c r="A30" s="3" t="s">
        <v>387</v>
      </c>
      <c r="B30" s="16" t="s">
        <v>35</v>
      </c>
      <c r="C30" s="13">
        <v>2500</v>
      </c>
      <c r="D30" s="18" t="s">
        <v>36</v>
      </c>
      <c r="E30" s="3"/>
      <c r="F30" s="158"/>
      <c r="G30" s="157">
        <f>C30*F30</f>
        <v>0</v>
      </c>
      <c r="J30" s="7"/>
      <c r="L30" s="8" t="s">
        <v>1</v>
      </c>
      <c r="M30" s="9"/>
      <c r="N30" s="10"/>
      <c r="O30" s="8"/>
      <c r="P30" s="11"/>
    </row>
    <row r="31" spans="1:16" x14ac:dyDescent="0.25">
      <c r="A31" s="22"/>
      <c r="B31" s="16"/>
      <c r="C31" s="17"/>
      <c r="D31" s="18"/>
      <c r="E31" s="103"/>
      <c r="F31" s="158"/>
      <c r="G31" s="162"/>
      <c r="L31" s="8"/>
      <c r="M31" s="9" t="s">
        <v>1</v>
      </c>
      <c r="N31" s="10" t="s">
        <v>1</v>
      </c>
      <c r="O31" s="8" t="s">
        <v>1</v>
      </c>
      <c r="P31" s="11"/>
    </row>
    <row r="32" spans="1:16" x14ac:dyDescent="0.25">
      <c r="A32" s="3" t="s">
        <v>388</v>
      </c>
      <c r="B32" s="16" t="s">
        <v>38</v>
      </c>
      <c r="C32" s="13">
        <v>2500</v>
      </c>
      <c r="D32" s="18" t="s">
        <v>36</v>
      </c>
      <c r="E32" s="3"/>
      <c r="F32" s="158"/>
      <c r="G32" s="157">
        <f>C32*F32</f>
        <v>0</v>
      </c>
      <c r="J32" s="7"/>
      <c r="L32" s="8"/>
      <c r="M32" s="9"/>
      <c r="N32" s="10"/>
      <c r="O32" s="8"/>
      <c r="P32" s="11"/>
    </row>
    <row r="33" spans="1:16" x14ac:dyDescent="0.25">
      <c r="A33" s="22"/>
      <c r="B33" s="16"/>
      <c r="C33" s="17"/>
      <c r="D33" s="18"/>
      <c r="E33" s="103"/>
      <c r="F33" s="158"/>
      <c r="G33" s="162"/>
      <c r="L33" s="8"/>
      <c r="M33" s="15"/>
      <c r="N33" s="10"/>
      <c r="O33" s="8"/>
      <c r="P33" s="11"/>
    </row>
    <row r="34" spans="1:16" x14ac:dyDescent="0.25">
      <c r="A34" s="3" t="s">
        <v>389</v>
      </c>
      <c r="B34" s="16" t="s">
        <v>40</v>
      </c>
      <c r="C34" s="17">
        <v>10000</v>
      </c>
      <c r="D34" s="18" t="s">
        <v>36</v>
      </c>
      <c r="E34" s="3"/>
      <c r="F34" s="158"/>
      <c r="G34" s="157">
        <f>C34*F34</f>
        <v>0</v>
      </c>
      <c r="J34" s="7"/>
      <c r="L34" s="8"/>
      <c r="M34" s="15" t="s">
        <v>1</v>
      </c>
      <c r="N34" s="10"/>
      <c r="O34" s="8"/>
      <c r="P34" s="11"/>
    </row>
    <row r="35" spans="1:16" x14ac:dyDescent="0.25">
      <c r="A35" s="22"/>
      <c r="B35" s="13"/>
      <c r="C35" s="17"/>
      <c r="D35" s="18"/>
      <c r="E35" s="103"/>
      <c r="F35" s="158"/>
      <c r="G35" s="162"/>
      <c r="L35" s="8" t="s">
        <v>1</v>
      </c>
      <c r="M35" s="9"/>
      <c r="N35" s="10"/>
      <c r="O35" s="8"/>
      <c r="P35" s="11"/>
    </row>
    <row r="36" spans="1:16" x14ac:dyDescent="0.25">
      <c r="A36" s="3" t="s">
        <v>390</v>
      </c>
      <c r="B36" s="16" t="s">
        <v>42</v>
      </c>
      <c r="C36" s="17">
        <v>200000</v>
      </c>
      <c r="D36" s="18" t="s">
        <v>43</v>
      </c>
      <c r="E36" s="3"/>
      <c r="F36" s="158"/>
      <c r="G36" s="157">
        <f>C36*F36</f>
        <v>0</v>
      </c>
      <c r="J36" s="7"/>
      <c r="L36" s="8"/>
      <c r="M36" s="9" t="s">
        <v>1</v>
      </c>
      <c r="N36" s="10" t="s">
        <v>1</v>
      </c>
      <c r="O36" s="8" t="s">
        <v>1</v>
      </c>
      <c r="P36" s="11"/>
    </row>
    <row r="37" spans="1:16" x14ac:dyDescent="0.25">
      <c r="A37" s="22"/>
      <c r="B37" s="13"/>
      <c r="C37" s="17"/>
      <c r="D37" s="18"/>
      <c r="E37" s="103"/>
      <c r="F37" s="158"/>
      <c r="G37" s="162"/>
      <c r="L37" s="8" t="s">
        <v>1</v>
      </c>
      <c r="M37" s="9"/>
      <c r="N37" s="10"/>
      <c r="O37" s="8"/>
      <c r="P37" s="11"/>
    </row>
    <row r="38" spans="1:16" x14ac:dyDescent="0.25">
      <c r="A38" s="3" t="s">
        <v>391</v>
      </c>
      <c r="B38" s="16" t="s">
        <v>45</v>
      </c>
      <c r="C38" s="17">
        <v>100000</v>
      </c>
      <c r="D38" s="18" t="s">
        <v>46</v>
      </c>
      <c r="E38" s="3"/>
      <c r="F38" s="158"/>
      <c r="G38" s="157">
        <f>C38*F38</f>
        <v>0</v>
      </c>
      <c r="J38" s="7"/>
      <c r="L38" s="8"/>
      <c r="M38" s="9" t="s">
        <v>1</v>
      </c>
      <c r="N38" s="10" t="s">
        <v>0</v>
      </c>
      <c r="O38" s="8" t="s">
        <v>1</v>
      </c>
      <c r="P38" s="11"/>
    </row>
    <row r="39" spans="1:16" x14ac:dyDescent="0.25">
      <c r="A39" s="22"/>
      <c r="B39" s="16"/>
      <c r="C39" s="17"/>
      <c r="D39" s="18"/>
      <c r="E39" s="103"/>
      <c r="F39" s="158"/>
      <c r="G39" s="162"/>
      <c r="L39" s="8" t="s">
        <v>1</v>
      </c>
      <c r="M39" s="9"/>
      <c r="N39" s="10"/>
      <c r="O39" s="8"/>
      <c r="P39" s="11"/>
    </row>
    <row r="40" spans="1:16" x14ac:dyDescent="0.25">
      <c r="A40" s="3" t="s">
        <v>392</v>
      </c>
      <c r="B40" s="16" t="s">
        <v>48</v>
      </c>
      <c r="C40" s="17">
        <v>200000</v>
      </c>
      <c r="D40" s="18" t="s">
        <v>46</v>
      </c>
      <c r="E40" s="3"/>
      <c r="F40" s="158"/>
      <c r="G40" s="157">
        <f>C40*F40</f>
        <v>0</v>
      </c>
      <c r="J40" s="7"/>
      <c r="L40" s="8"/>
      <c r="M40" s="9" t="s">
        <v>1</v>
      </c>
      <c r="N40" s="10" t="s">
        <v>1</v>
      </c>
      <c r="O40" s="8" t="s">
        <v>1</v>
      </c>
      <c r="P40" s="11"/>
    </row>
    <row r="41" spans="1:16" x14ac:dyDescent="0.25">
      <c r="A41" s="22"/>
      <c r="B41" s="16"/>
      <c r="C41" s="17"/>
      <c r="D41" s="18"/>
      <c r="E41" s="103"/>
      <c r="F41" s="158"/>
      <c r="G41" s="162"/>
      <c r="L41" s="8" t="s">
        <v>1</v>
      </c>
      <c r="M41" s="9"/>
      <c r="N41" s="10"/>
      <c r="O41" s="8"/>
      <c r="P41" s="11"/>
    </row>
    <row r="42" spans="1:16" x14ac:dyDescent="0.25">
      <c r="A42" s="3" t="s">
        <v>393</v>
      </c>
      <c r="B42" s="16" t="s">
        <v>50</v>
      </c>
      <c r="C42" s="17">
        <v>1402000</v>
      </c>
      <c r="D42" s="18" t="s">
        <v>46</v>
      </c>
      <c r="E42" s="3"/>
      <c r="F42" s="158"/>
      <c r="G42" s="157">
        <f>C42*F42</f>
        <v>0</v>
      </c>
      <c r="J42" s="7"/>
      <c r="L42" s="8"/>
      <c r="M42" s="9" t="s">
        <v>1</v>
      </c>
      <c r="N42" s="10" t="s">
        <v>1</v>
      </c>
      <c r="O42" s="8" t="s">
        <v>1</v>
      </c>
      <c r="P42" s="11"/>
    </row>
    <row r="43" spans="1:16" x14ac:dyDescent="0.25">
      <c r="A43" s="22"/>
      <c r="B43" s="16"/>
      <c r="C43" s="17"/>
      <c r="D43" s="18"/>
      <c r="E43" s="103"/>
      <c r="F43" s="158"/>
      <c r="G43" s="162"/>
      <c r="L43" s="171" t="s">
        <v>1</v>
      </c>
      <c r="M43" s="9"/>
      <c r="N43" s="10"/>
      <c r="O43" s="8"/>
      <c r="P43" s="11"/>
    </row>
    <row r="44" spans="1:16" x14ac:dyDescent="0.25">
      <c r="A44" s="3" t="s">
        <v>394</v>
      </c>
      <c r="B44" s="16" t="s">
        <v>52</v>
      </c>
      <c r="C44" s="17">
        <v>82000</v>
      </c>
      <c r="D44" s="18" t="s">
        <v>46</v>
      </c>
      <c r="E44" s="3"/>
      <c r="F44" s="158"/>
      <c r="G44" s="157">
        <f>C44*F44</f>
        <v>0</v>
      </c>
      <c r="J44" s="7"/>
      <c r="L44" s="19"/>
      <c r="M44" s="172" t="s">
        <v>1</v>
      </c>
      <c r="N44" s="171" t="s">
        <v>1</v>
      </c>
      <c r="O44" s="167" t="s">
        <v>1</v>
      </c>
      <c r="P44" s="11"/>
    </row>
    <row r="45" spans="1:16" x14ac:dyDescent="0.25">
      <c r="A45" s="22"/>
      <c r="B45" s="16"/>
      <c r="C45" s="17"/>
      <c r="D45" s="18"/>
      <c r="E45" s="3"/>
      <c r="F45" s="158"/>
      <c r="G45" s="163"/>
      <c r="L45" s="19"/>
      <c r="M45" s="172"/>
      <c r="N45" s="171"/>
      <c r="O45" s="167"/>
      <c r="P45" s="11"/>
    </row>
    <row r="46" spans="1:16" x14ac:dyDescent="0.25">
      <c r="A46" s="3" t="s">
        <v>395</v>
      </c>
      <c r="B46" s="16" t="s">
        <v>54</v>
      </c>
      <c r="C46" s="17">
        <v>20000</v>
      </c>
      <c r="D46" s="18" t="s">
        <v>46</v>
      </c>
      <c r="E46" s="3"/>
      <c r="F46" s="158"/>
      <c r="G46" s="157">
        <f>C46*F46</f>
        <v>0</v>
      </c>
      <c r="J46" s="7"/>
      <c r="L46" s="19"/>
      <c r="M46" s="172"/>
      <c r="N46" s="171"/>
      <c r="O46" s="167"/>
      <c r="P46" s="11"/>
    </row>
    <row r="47" spans="1:16" x14ac:dyDescent="0.25">
      <c r="A47" s="22"/>
      <c r="B47" s="16"/>
      <c r="C47" s="17"/>
      <c r="D47" s="18"/>
      <c r="E47" s="103"/>
      <c r="F47" s="158"/>
      <c r="G47" s="162"/>
      <c r="L47" s="171" t="s">
        <v>1</v>
      </c>
      <c r="M47" s="88"/>
      <c r="N47" s="19"/>
      <c r="O47" s="8"/>
      <c r="P47" s="11"/>
    </row>
    <row r="48" spans="1:16" x14ac:dyDescent="0.25">
      <c r="A48" s="3" t="s">
        <v>396</v>
      </c>
      <c r="B48" s="4" t="s">
        <v>56</v>
      </c>
      <c r="C48" s="17">
        <v>50</v>
      </c>
      <c r="D48" s="18" t="s">
        <v>24</v>
      </c>
      <c r="E48" s="3"/>
      <c r="F48" s="158"/>
      <c r="G48" s="157">
        <f>C48*F48</f>
        <v>0</v>
      </c>
      <c r="J48" s="7"/>
      <c r="L48" s="19"/>
      <c r="M48" s="172" t="s">
        <v>1</v>
      </c>
      <c r="N48" s="171" t="s">
        <v>1</v>
      </c>
      <c r="O48" s="167" t="s">
        <v>1</v>
      </c>
      <c r="P48" s="11"/>
    </row>
    <row r="49" spans="1:16" x14ac:dyDescent="0.25">
      <c r="A49" s="22"/>
      <c r="B49" s="13"/>
      <c r="C49" s="17"/>
      <c r="D49" s="14"/>
      <c r="E49" s="103"/>
      <c r="F49" s="158"/>
      <c r="G49" s="162"/>
      <c r="L49" s="171" t="s">
        <v>1</v>
      </c>
      <c r="M49" s="88"/>
      <c r="N49" s="19"/>
      <c r="O49" s="8"/>
      <c r="P49" s="11"/>
    </row>
    <row r="50" spans="1:16" x14ac:dyDescent="0.25">
      <c r="A50" s="135" t="s">
        <v>397</v>
      </c>
      <c r="B50" s="137" t="s">
        <v>58</v>
      </c>
      <c r="C50" s="17"/>
      <c r="D50" s="14"/>
      <c r="E50" s="103"/>
      <c r="F50" s="158"/>
      <c r="G50" s="162"/>
      <c r="L50" s="19"/>
      <c r="M50" s="172" t="s">
        <v>1</v>
      </c>
      <c r="N50" s="171" t="s">
        <v>1</v>
      </c>
      <c r="O50" s="167" t="s">
        <v>1</v>
      </c>
      <c r="P50" s="11"/>
    </row>
    <row r="51" spans="1:16" x14ac:dyDescent="0.25">
      <c r="A51" s="22"/>
      <c r="B51" s="13"/>
      <c r="C51" s="17"/>
      <c r="D51" s="14"/>
      <c r="E51" s="103"/>
      <c r="F51" s="158"/>
      <c r="G51" s="162"/>
      <c r="L51" s="171" t="s">
        <v>1</v>
      </c>
      <c r="M51" s="88"/>
      <c r="N51" s="19"/>
      <c r="O51" s="8"/>
      <c r="P51" s="11"/>
    </row>
    <row r="52" spans="1:16" ht="12.75" customHeight="1" x14ac:dyDescent="0.25">
      <c r="A52" s="22" t="s">
        <v>398</v>
      </c>
      <c r="B52" s="16" t="s">
        <v>60</v>
      </c>
      <c r="C52" s="17">
        <v>1000</v>
      </c>
      <c r="D52" s="22" t="s">
        <v>36</v>
      </c>
      <c r="E52" s="3"/>
      <c r="F52" s="158"/>
      <c r="G52" s="157">
        <f>C52*F52</f>
        <v>0</v>
      </c>
      <c r="J52" s="7"/>
      <c r="K52" s="9" t="s">
        <v>1</v>
      </c>
      <c r="L52" s="10" t="s">
        <v>1</v>
      </c>
      <c r="M52" s="8" t="s">
        <v>1</v>
      </c>
      <c r="N52" s="11"/>
      <c r="O52" s="88"/>
      <c r="P52" s="11"/>
    </row>
    <row r="53" spans="1:16" x14ac:dyDescent="0.25">
      <c r="A53" s="3"/>
      <c r="B53" s="16"/>
      <c r="C53" s="17"/>
      <c r="D53" s="18"/>
      <c r="E53" s="103"/>
      <c r="F53" s="158"/>
      <c r="G53" s="162"/>
      <c r="K53" s="9"/>
      <c r="L53" s="10"/>
      <c r="M53" s="8"/>
      <c r="N53" s="11"/>
      <c r="O53" s="88"/>
      <c r="P53" s="11"/>
    </row>
    <row r="54" spans="1:16" ht="12.75" customHeight="1" x14ac:dyDescent="0.25">
      <c r="A54" s="22" t="s">
        <v>399</v>
      </c>
      <c r="B54" s="16" t="s">
        <v>62</v>
      </c>
      <c r="C54" s="17">
        <v>200</v>
      </c>
      <c r="D54" s="22" t="s">
        <v>36</v>
      </c>
      <c r="E54" s="3"/>
      <c r="F54" s="158"/>
      <c r="G54" s="157">
        <f>C54*F54</f>
        <v>0</v>
      </c>
      <c r="J54" s="7"/>
      <c r="K54" s="9" t="s">
        <v>1</v>
      </c>
      <c r="L54" s="10" t="s">
        <v>1</v>
      </c>
      <c r="M54" s="8" t="s">
        <v>1</v>
      </c>
      <c r="N54" s="11"/>
      <c r="O54" s="88"/>
      <c r="P54" s="11"/>
    </row>
    <row r="55" spans="1:16" x14ac:dyDescent="0.25">
      <c r="A55" s="3"/>
      <c r="B55" s="16"/>
      <c r="C55" s="17"/>
      <c r="D55" s="18"/>
      <c r="E55" s="3"/>
      <c r="F55" s="158"/>
      <c r="G55" s="163"/>
      <c r="K55" s="9"/>
      <c r="L55" s="10"/>
      <c r="M55" s="8"/>
      <c r="N55" s="11"/>
      <c r="O55" s="88"/>
      <c r="P55" s="11"/>
    </row>
    <row r="56" spans="1:16" ht="12.9" customHeight="1" x14ac:dyDescent="0.25">
      <c r="A56" s="22" t="s">
        <v>400</v>
      </c>
      <c r="B56" s="4" t="s">
        <v>64</v>
      </c>
      <c r="C56" s="173">
        <v>100</v>
      </c>
      <c r="D56" s="22" t="s">
        <v>36</v>
      </c>
      <c r="E56" s="3"/>
      <c r="F56" s="158"/>
      <c r="G56" s="157">
        <f>C56*F56</f>
        <v>0</v>
      </c>
      <c r="J56" s="7"/>
      <c r="K56" s="172" t="s">
        <v>1</v>
      </c>
      <c r="L56" s="171" t="s">
        <v>1</v>
      </c>
      <c r="M56" s="167" t="s">
        <v>1</v>
      </c>
      <c r="N56" s="11"/>
      <c r="O56" s="88"/>
      <c r="P56" s="11"/>
    </row>
    <row r="57" spans="1:16" ht="12.9" customHeight="1" x14ac:dyDescent="0.25">
      <c r="A57" s="3"/>
      <c r="B57" s="104"/>
      <c r="C57" s="105"/>
      <c r="D57" s="3"/>
      <c r="E57" s="3"/>
      <c r="F57" s="158"/>
      <c r="G57" s="163"/>
      <c r="K57" s="172"/>
      <c r="L57" s="171"/>
      <c r="M57" s="167"/>
      <c r="N57" s="11"/>
      <c r="O57" s="88"/>
      <c r="P57" s="11"/>
    </row>
    <row r="58" spans="1:16" ht="12.9" customHeight="1" x14ac:dyDescent="0.25">
      <c r="A58" s="22" t="s">
        <v>401</v>
      </c>
      <c r="B58" s="4" t="s">
        <v>66</v>
      </c>
      <c r="C58" s="173">
        <v>100</v>
      </c>
      <c r="D58" s="22" t="s">
        <v>67</v>
      </c>
      <c r="E58" s="3"/>
      <c r="F58" s="158"/>
      <c r="G58" s="157">
        <f>C58*F58</f>
        <v>0</v>
      </c>
      <c r="J58" s="7"/>
      <c r="K58" s="172" t="s">
        <v>1</v>
      </c>
      <c r="L58" s="171" t="s">
        <v>1</v>
      </c>
      <c r="M58" s="167" t="s">
        <v>1</v>
      </c>
      <c r="N58" s="11"/>
      <c r="O58" s="88"/>
      <c r="P58" s="11"/>
    </row>
    <row r="59" spans="1:16" ht="12.9" customHeight="1" x14ac:dyDescent="0.25">
      <c r="A59" s="3"/>
      <c r="B59" s="104"/>
      <c r="C59" s="106"/>
      <c r="D59" s="3"/>
      <c r="E59" s="3"/>
      <c r="F59" s="158"/>
      <c r="G59" s="163"/>
      <c r="K59" s="88"/>
      <c r="L59" s="19"/>
      <c r="M59" s="8"/>
      <c r="N59" s="11"/>
      <c r="O59" s="88"/>
      <c r="P59" s="11"/>
    </row>
    <row r="60" spans="1:16" ht="12.9" customHeight="1" x14ac:dyDescent="0.25">
      <c r="A60" s="22" t="s">
        <v>402</v>
      </c>
      <c r="B60" s="4" t="s">
        <v>69</v>
      </c>
      <c r="C60" s="174">
        <v>250</v>
      </c>
      <c r="D60" s="22" t="s">
        <v>36</v>
      </c>
      <c r="E60" s="3"/>
      <c r="F60" s="158"/>
      <c r="G60" s="157">
        <f>C60*F60</f>
        <v>0</v>
      </c>
      <c r="J60" s="7"/>
      <c r="K60" s="172" t="s">
        <v>1</v>
      </c>
      <c r="L60" s="171" t="s">
        <v>1</v>
      </c>
      <c r="M60" s="167" t="s">
        <v>1</v>
      </c>
      <c r="N60" s="11"/>
      <c r="O60" s="88"/>
      <c r="P60" s="11"/>
    </row>
    <row r="61" spans="1:16" ht="12.9" customHeight="1" x14ac:dyDescent="0.25">
      <c r="A61" s="3"/>
      <c r="B61" s="104"/>
      <c r="C61" s="106"/>
      <c r="D61" s="3"/>
      <c r="E61" s="3"/>
      <c r="F61" s="158"/>
      <c r="G61" s="163"/>
      <c r="K61" s="88"/>
      <c r="L61" s="19"/>
      <c r="M61" s="8"/>
      <c r="N61" s="11"/>
      <c r="O61" s="88"/>
      <c r="P61" s="11"/>
    </row>
    <row r="62" spans="1:16" ht="12.9" customHeight="1" x14ac:dyDescent="0.25">
      <c r="A62" s="22" t="s">
        <v>403</v>
      </c>
      <c r="B62" s="4" t="s">
        <v>71</v>
      </c>
      <c r="C62" s="174">
        <v>250</v>
      </c>
      <c r="D62" s="22" t="s">
        <v>36</v>
      </c>
      <c r="E62" s="3"/>
      <c r="F62" s="158"/>
      <c r="G62" s="157">
        <f>C62*F62</f>
        <v>0</v>
      </c>
      <c r="J62" s="7"/>
      <c r="K62" s="172" t="s">
        <v>1</v>
      </c>
      <c r="L62" s="171" t="s">
        <v>1</v>
      </c>
      <c r="M62" s="167" t="s">
        <v>1</v>
      </c>
      <c r="N62" s="11"/>
      <c r="O62" s="88"/>
      <c r="P62" s="11"/>
    </row>
    <row r="63" spans="1:16" x14ac:dyDescent="0.25">
      <c r="A63" s="22"/>
      <c r="B63" s="104"/>
      <c r="C63" s="106"/>
      <c r="D63" s="3"/>
      <c r="E63" s="3"/>
      <c r="F63" s="158"/>
      <c r="G63" s="163"/>
      <c r="K63" s="88"/>
      <c r="L63" s="19"/>
      <c r="M63" s="8"/>
      <c r="N63" s="11"/>
      <c r="O63" s="88"/>
      <c r="P63" s="11"/>
    </row>
    <row r="64" spans="1:16" ht="12.75" customHeight="1" x14ac:dyDescent="0.25">
      <c r="A64" s="22" t="s">
        <v>404</v>
      </c>
      <c r="B64" s="4" t="s">
        <v>73</v>
      </c>
      <c r="C64" s="174">
        <v>250</v>
      </c>
      <c r="D64" s="22" t="s">
        <v>36</v>
      </c>
      <c r="E64" s="3"/>
      <c r="F64" s="158"/>
      <c r="G64" s="157">
        <f>C64*F64</f>
        <v>0</v>
      </c>
      <c r="J64" s="7"/>
      <c r="K64" s="172" t="s">
        <v>1</v>
      </c>
      <c r="L64" s="171" t="s">
        <v>1</v>
      </c>
      <c r="M64" s="167" t="s">
        <v>1</v>
      </c>
      <c r="N64" s="11"/>
      <c r="O64" s="88"/>
      <c r="P64" s="11"/>
    </row>
    <row r="65" spans="1:16" x14ac:dyDescent="0.25">
      <c r="A65" s="22"/>
      <c r="B65" s="104"/>
      <c r="C65" s="106"/>
      <c r="D65" s="3"/>
      <c r="E65" s="3"/>
      <c r="F65" s="158"/>
      <c r="G65" s="163"/>
      <c r="K65" s="88"/>
      <c r="L65" s="19"/>
      <c r="M65" s="8"/>
      <c r="N65" s="11"/>
      <c r="O65" s="88"/>
      <c r="P65" s="11"/>
    </row>
    <row r="66" spans="1:16" ht="12.75" customHeight="1" x14ac:dyDescent="0.25">
      <c r="A66" s="22" t="s">
        <v>405</v>
      </c>
      <c r="B66" s="4" t="s">
        <v>75</v>
      </c>
      <c r="C66" s="174">
        <v>250</v>
      </c>
      <c r="D66" s="22" t="s">
        <v>36</v>
      </c>
      <c r="E66" s="3"/>
      <c r="F66" s="158"/>
      <c r="G66" s="157">
        <f>C66*F66</f>
        <v>0</v>
      </c>
      <c r="J66" s="7"/>
      <c r="K66" s="172" t="s">
        <v>1</v>
      </c>
      <c r="L66" s="171" t="s">
        <v>1</v>
      </c>
      <c r="M66" s="167" t="s">
        <v>1</v>
      </c>
      <c r="N66" s="11"/>
      <c r="O66" s="88"/>
      <c r="P66" s="11"/>
    </row>
    <row r="67" spans="1:16" ht="12.75" customHeight="1" x14ac:dyDescent="0.25">
      <c r="A67" s="22"/>
      <c r="B67" s="4"/>
      <c r="C67" s="174"/>
      <c r="D67" s="22"/>
      <c r="E67" s="3"/>
      <c r="F67" s="158"/>
      <c r="G67" s="163"/>
      <c r="K67" s="172"/>
      <c r="L67" s="171"/>
      <c r="M67" s="167"/>
      <c r="N67" s="11"/>
      <c r="O67" s="88"/>
      <c r="P67" s="11"/>
    </row>
    <row r="68" spans="1:16" ht="12.75" customHeight="1" x14ac:dyDescent="0.25">
      <c r="A68" s="22" t="s">
        <v>406</v>
      </c>
      <c r="B68" s="4" t="s">
        <v>77</v>
      </c>
      <c r="C68" s="174">
        <v>1000</v>
      </c>
      <c r="D68" s="22" t="s">
        <v>78</v>
      </c>
      <c r="E68" s="3"/>
      <c r="F68" s="158"/>
      <c r="G68" s="157">
        <f>C68*F68</f>
        <v>0</v>
      </c>
      <c r="J68" s="7"/>
      <c r="K68" s="172"/>
      <c r="L68" s="171"/>
      <c r="M68" s="167"/>
      <c r="N68" s="11"/>
      <c r="O68" s="88"/>
      <c r="P68" s="11"/>
    </row>
    <row r="69" spans="1:16" ht="12.75" customHeight="1" x14ac:dyDescent="0.25">
      <c r="A69" s="22"/>
      <c r="B69" s="104"/>
      <c r="C69" s="104"/>
      <c r="D69" s="3"/>
      <c r="E69" s="3"/>
      <c r="F69" s="158"/>
      <c r="G69" s="163"/>
      <c r="K69" s="172"/>
      <c r="L69" s="171"/>
      <c r="M69" s="167"/>
      <c r="N69" s="11"/>
      <c r="O69" s="88"/>
      <c r="P69" s="11"/>
    </row>
    <row r="70" spans="1:16" ht="12.75" customHeight="1" x14ac:dyDescent="0.25">
      <c r="A70" s="22" t="s">
        <v>407</v>
      </c>
      <c r="B70" s="4" t="s">
        <v>80</v>
      </c>
      <c r="C70" s="174">
        <v>7260</v>
      </c>
      <c r="D70" s="22" t="s">
        <v>81</v>
      </c>
      <c r="E70" s="3"/>
      <c r="F70" s="158"/>
      <c r="G70" s="157">
        <f>C70*F70</f>
        <v>0</v>
      </c>
      <c r="J70" s="7"/>
      <c r="K70" s="172"/>
      <c r="L70" s="171"/>
      <c r="M70" s="167"/>
      <c r="N70" s="11"/>
      <c r="O70" s="88"/>
      <c r="P70" s="11"/>
    </row>
    <row r="71" spans="1:16" x14ac:dyDescent="0.25">
      <c r="A71" s="22"/>
      <c r="B71" s="13"/>
      <c r="C71" s="17"/>
      <c r="D71" s="14"/>
      <c r="E71" s="103"/>
      <c r="F71" s="158"/>
      <c r="G71" s="162"/>
      <c r="K71" s="172"/>
      <c r="L71" s="171"/>
      <c r="M71" s="167"/>
      <c r="N71" s="11"/>
      <c r="O71" s="88"/>
      <c r="P71" s="11"/>
    </row>
    <row r="72" spans="1:16" ht="12.9" customHeight="1" x14ac:dyDescent="0.25">
      <c r="A72" s="138" t="s">
        <v>408</v>
      </c>
      <c r="B72" s="137" t="s">
        <v>83</v>
      </c>
      <c r="C72" s="17"/>
      <c r="D72" s="14"/>
      <c r="E72" s="103"/>
      <c r="F72" s="158"/>
      <c r="G72" s="162"/>
      <c r="N72" s="11"/>
      <c r="O72" s="88"/>
      <c r="P72" s="11"/>
    </row>
    <row r="73" spans="1:16" x14ac:dyDescent="0.25">
      <c r="A73" s="22"/>
      <c r="B73" s="13"/>
      <c r="C73" s="17"/>
      <c r="D73" s="14"/>
      <c r="E73" s="103"/>
      <c r="F73" s="158"/>
      <c r="G73" s="162"/>
      <c r="N73" s="11"/>
      <c r="O73" s="88"/>
      <c r="P73" s="11"/>
    </row>
    <row r="74" spans="1:16" ht="12.75" customHeight="1" x14ac:dyDescent="0.25">
      <c r="A74" s="22" t="s">
        <v>409</v>
      </c>
      <c r="B74" s="16" t="s">
        <v>85</v>
      </c>
      <c r="C74" s="17">
        <v>1000</v>
      </c>
      <c r="D74" s="18" t="s">
        <v>81</v>
      </c>
      <c r="E74" s="3"/>
      <c r="F74" s="158"/>
      <c r="G74" s="157">
        <f>C74*F74</f>
        <v>0</v>
      </c>
      <c r="J74" s="7"/>
      <c r="N74" s="11"/>
      <c r="O74" s="88"/>
      <c r="P74" s="11"/>
    </row>
    <row r="75" spans="1:16" x14ac:dyDescent="0.25">
      <c r="A75" s="22"/>
      <c r="B75" s="108"/>
      <c r="C75" s="13"/>
      <c r="D75" s="14"/>
      <c r="E75" s="103"/>
      <c r="F75" s="158"/>
      <c r="G75" s="162"/>
      <c r="K75" s="9"/>
      <c r="L75" s="10"/>
      <c r="M75" s="8"/>
      <c r="N75" s="11"/>
      <c r="O75" s="88"/>
      <c r="P75" s="11"/>
    </row>
    <row r="76" spans="1:16" ht="12.75" customHeight="1" x14ac:dyDescent="0.25">
      <c r="A76" s="22" t="s">
        <v>410</v>
      </c>
      <c r="B76" s="16" t="s">
        <v>87</v>
      </c>
      <c r="C76" s="17">
        <v>1000</v>
      </c>
      <c r="D76" s="18" t="s">
        <v>81</v>
      </c>
      <c r="E76" s="3"/>
      <c r="F76" s="158"/>
      <c r="G76" s="157">
        <f>C76*F76</f>
        <v>0</v>
      </c>
      <c r="J76" s="7"/>
      <c r="L76" s="8" t="s">
        <v>1</v>
      </c>
      <c r="M76" s="86"/>
      <c r="N76" s="10"/>
      <c r="O76" s="8"/>
      <c r="P76" s="11"/>
    </row>
    <row r="77" spans="1:16" x14ac:dyDescent="0.25">
      <c r="A77" s="22"/>
      <c r="B77" s="13"/>
      <c r="C77" s="13"/>
      <c r="D77" s="14"/>
      <c r="E77" s="103"/>
      <c r="F77" s="158"/>
      <c r="G77" s="162"/>
      <c r="L77" s="8"/>
      <c r="M77" s="9" t="s">
        <v>1</v>
      </c>
      <c r="N77" s="10" t="s">
        <v>1</v>
      </c>
      <c r="O77" s="8" t="s">
        <v>1</v>
      </c>
      <c r="P77" s="11"/>
    </row>
    <row r="78" spans="1:16" ht="12.75" customHeight="1" x14ac:dyDescent="0.25">
      <c r="A78" s="138" t="s">
        <v>411</v>
      </c>
      <c r="B78" s="137" t="s">
        <v>89</v>
      </c>
      <c r="C78" s="13"/>
      <c r="D78" s="14"/>
      <c r="E78" s="103"/>
      <c r="F78" s="158"/>
      <c r="G78" s="162"/>
      <c r="L78" s="8" t="s">
        <v>1</v>
      </c>
      <c r="M78" s="86"/>
      <c r="N78" s="10"/>
      <c r="O78" s="8"/>
      <c r="P78" s="11"/>
    </row>
    <row r="79" spans="1:16" x14ac:dyDescent="0.25">
      <c r="A79" s="22"/>
      <c r="B79" s="13"/>
      <c r="C79" s="13"/>
      <c r="D79" s="14"/>
      <c r="E79" s="103"/>
      <c r="F79" s="158"/>
      <c r="G79" s="162"/>
      <c r="L79" s="8"/>
      <c r="M79" s="9" t="s">
        <v>1</v>
      </c>
      <c r="N79" s="10" t="s">
        <v>1</v>
      </c>
      <c r="O79" s="8" t="s">
        <v>1</v>
      </c>
      <c r="P79" s="11"/>
    </row>
    <row r="80" spans="1:16" ht="12.75" customHeight="1" x14ac:dyDescent="0.25">
      <c r="A80" s="22" t="s">
        <v>412</v>
      </c>
      <c r="B80" s="16" t="s">
        <v>91</v>
      </c>
      <c r="C80" s="17">
        <v>500</v>
      </c>
      <c r="D80" s="18" t="s">
        <v>92</v>
      </c>
      <c r="E80" s="3"/>
      <c r="F80" s="158"/>
      <c r="G80" s="157">
        <f>C80*F80</f>
        <v>0</v>
      </c>
      <c r="J80" s="7"/>
      <c r="L80" s="8" t="s">
        <v>1</v>
      </c>
      <c r="M80" s="86"/>
      <c r="N80" s="10"/>
      <c r="O80" s="8"/>
      <c r="P80" s="11"/>
    </row>
    <row r="81" spans="1:16" ht="12.75" customHeight="1" x14ac:dyDescent="0.25">
      <c r="A81" s="22"/>
      <c r="B81" s="16"/>
      <c r="C81" s="17"/>
      <c r="D81" s="18"/>
      <c r="E81" s="3"/>
      <c r="F81" s="158"/>
      <c r="G81" s="163"/>
      <c r="L81" s="8"/>
      <c r="M81" s="86"/>
      <c r="N81" s="10"/>
      <c r="O81" s="8"/>
      <c r="P81" s="11"/>
    </row>
    <row r="82" spans="1:16" ht="12.75" customHeight="1" x14ac:dyDescent="0.25">
      <c r="A82" s="22" t="s">
        <v>413</v>
      </c>
      <c r="B82" s="16" t="s">
        <v>94</v>
      </c>
      <c r="C82" s="17">
        <v>1000</v>
      </c>
      <c r="D82" s="18" t="s">
        <v>92</v>
      </c>
      <c r="E82" s="3"/>
      <c r="F82" s="158"/>
      <c r="G82" s="157">
        <f>C82*F82</f>
        <v>0</v>
      </c>
      <c r="J82" s="7"/>
      <c r="L82" s="8"/>
      <c r="M82" s="86"/>
      <c r="N82" s="10"/>
      <c r="O82" s="8"/>
      <c r="P82" s="11"/>
    </row>
    <row r="83" spans="1:16" x14ac:dyDescent="0.25">
      <c r="A83" s="22"/>
      <c r="B83" s="13"/>
      <c r="C83" s="13"/>
      <c r="D83" s="14"/>
      <c r="E83" s="103"/>
      <c r="F83" s="158"/>
      <c r="G83" s="162"/>
      <c r="L83" s="8"/>
      <c r="M83" s="9" t="s">
        <v>1</v>
      </c>
      <c r="N83" s="10" t="s">
        <v>1</v>
      </c>
      <c r="O83" s="8" t="s">
        <v>1</v>
      </c>
      <c r="P83" s="11"/>
    </row>
    <row r="84" spans="1:16" ht="12.75" customHeight="1" x14ac:dyDescent="0.25">
      <c r="A84" s="138" t="s">
        <v>414</v>
      </c>
      <c r="B84" s="109" t="s">
        <v>96</v>
      </c>
      <c r="C84" s="13"/>
      <c r="D84" s="14"/>
      <c r="E84" s="103"/>
      <c r="F84" s="158"/>
      <c r="G84" s="162"/>
      <c r="L84" s="8" t="s">
        <v>1</v>
      </c>
      <c r="M84" s="9"/>
      <c r="N84" s="10"/>
      <c r="O84" s="8"/>
      <c r="P84" s="11"/>
    </row>
    <row r="85" spans="1:16" x14ac:dyDescent="0.25">
      <c r="A85" s="22"/>
      <c r="B85" s="13"/>
      <c r="C85" s="13"/>
      <c r="D85" s="14"/>
      <c r="E85" s="103"/>
      <c r="F85" s="158"/>
      <c r="G85" s="162"/>
      <c r="L85" s="8"/>
      <c r="M85" s="9" t="s">
        <v>1</v>
      </c>
      <c r="N85" s="10" t="s">
        <v>1</v>
      </c>
      <c r="O85" s="8" t="s">
        <v>1</v>
      </c>
      <c r="P85" s="11"/>
    </row>
    <row r="86" spans="1:16" ht="12.75" customHeight="1" x14ac:dyDescent="0.25">
      <c r="A86" s="22" t="s">
        <v>415</v>
      </c>
      <c r="B86" s="16" t="s">
        <v>98</v>
      </c>
      <c r="C86" s="17">
        <v>1000</v>
      </c>
      <c r="D86" s="18" t="s">
        <v>99</v>
      </c>
      <c r="E86" s="3"/>
      <c r="F86" s="158"/>
      <c r="G86" s="157">
        <f>C86*F86</f>
        <v>0</v>
      </c>
      <c r="J86" s="7"/>
      <c r="L86" s="8" t="s">
        <v>1</v>
      </c>
      <c r="M86" s="86"/>
      <c r="N86" s="10"/>
      <c r="O86" s="8"/>
      <c r="P86" s="11"/>
    </row>
    <row r="87" spans="1:16" x14ac:dyDescent="0.25">
      <c r="A87" s="22"/>
      <c r="B87" s="108"/>
      <c r="C87" s="13"/>
      <c r="D87" s="14"/>
      <c r="E87" s="103"/>
      <c r="F87" s="158"/>
      <c r="G87" s="162"/>
      <c r="L87" s="8"/>
      <c r="M87" s="9" t="s">
        <v>1</v>
      </c>
      <c r="N87" s="10" t="s">
        <v>1</v>
      </c>
      <c r="O87" s="8" t="s">
        <v>1</v>
      </c>
      <c r="P87" s="11"/>
    </row>
    <row r="88" spans="1:16" ht="12.75" customHeight="1" x14ac:dyDescent="0.25">
      <c r="A88" s="22" t="s">
        <v>416</v>
      </c>
      <c r="B88" s="16" t="s">
        <v>101</v>
      </c>
      <c r="C88" s="17">
        <v>100000</v>
      </c>
      <c r="D88" s="18" t="s">
        <v>102</v>
      </c>
      <c r="E88" s="3"/>
      <c r="F88" s="158"/>
      <c r="G88" s="157">
        <f>C88*F88</f>
        <v>0</v>
      </c>
      <c r="J88" s="7"/>
      <c r="L88" s="8" t="s">
        <v>1</v>
      </c>
      <c r="M88" s="86"/>
      <c r="N88" s="10"/>
      <c r="O88" s="8"/>
      <c r="P88" s="11"/>
    </row>
    <row r="89" spans="1:16" x14ac:dyDescent="0.25">
      <c r="A89" s="22"/>
      <c r="B89" s="108"/>
      <c r="C89" s="13"/>
      <c r="D89" s="14"/>
      <c r="E89" s="103"/>
      <c r="F89" s="158"/>
      <c r="G89" s="162"/>
      <c r="L89" s="8"/>
      <c r="M89" s="9" t="s">
        <v>1</v>
      </c>
      <c r="N89" s="10" t="s">
        <v>1</v>
      </c>
      <c r="O89" s="8" t="s">
        <v>1</v>
      </c>
      <c r="P89" s="11"/>
    </row>
    <row r="90" spans="1:16" ht="12.75" customHeight="1" x14ac:dyDescent="0.25">
      <c r="A90" s="22" t="s">
        <v>417</v>
      </c>
      <c r="B90" s="16" t="s">
        <v>104</v>
      </c>
      <c r="C90" s="17">
        <v>500</v>
      </c>
      <c r="D90" s="18" t="s">
        <v>102</v>
      </c>
      <c r="E90" s="3"/>
      <c r="F90" s="158"/>
      <c r="G90" s="157">
        <f>C90*F90</f>
        <v>0</v>
      </c>
      <c r="J90" s="7"/>
      <c r="L90" s="8" t="s">
        <v>1</v>
      </c>
      <c r="M90" s="86"/>
      <c r="N90" s="10"/>
      <c r="O90" s="8"/>
      <c r="P90" s="11"/>
    </row>
    <row r="91" spans="1:16" ht="12.9" customHeight="1" x14ac:dyDescent="0.25">
      <c r="A91" s="22"/>
      <c r="B91" s="108"/>
      <c r="C91" s="13"/>
      <c r="D91" s="14"/>
      <c r="E91" s="103"/>
      <c r="F91" s="158"/>
      <c r="G91" s="162"/>
      <c r="J91" s="7"/>
      <c r="L91" s="8"/>
      <c r="M91" s="9" t="s">
        <v>1</v>
      </c>
      <c r="N91" s="10" t="s">
        <v>1</v>
      </c>
      <c r="O91" s="8" t="s">
        <v>1</v>
      </c>
      <c r="P91" s="11"/>
    </row>
    <row r="92" spans="1:16" ht="12.9" customHeight="1" x14ac:dyDescent="0.25">
      <c r="A92" s="22" t="s">
        <v>418</v>
      </c>
      <c r="B92" s="16" t="s">
        <v>106</v>
      </c>
      <c r="C92" s="17">
        <v>500</v>
      </c>
      <c r="D92" s="18" t="s">
        <v>102</v>
      </c>
      <c r="E92" s="3"/>
      <c r="F92" s="158"/>
      <c r="G92" s="157">
        <f>C92*F92</f>
        <v>0</v>
      </c>
      <c r="J92" s="7"/>
      <c r="L92" s="8" t="s">
        <v>1</v>
      </c>
      <c r="M92" s="9"/>
      <c r="N92" s="10"/>
      <c r="O92" s="8"/>
      <c r="P92" s="11"/>
    </row>
    <row r="93" spans="1:16" ht="12.9" customHeight="1" x14ac:dyDescent="0.25">
      <c r="A93" s="22"/>
      <c r="B93" s="16"/>
      <c r="C93" s="17"/>
      <c r="D93" s="18"/>
      <c r="E93" s="3"/>
      <c r="F93" s="158"/>
      <c r="G93" s="162"/>
      <c r="L93" s="8"/>
      <c r="M93" s="9"/>
      <c r="N93" s="10"/>
      <c r="O93" s="8"/>
      <c r="P93" s="11"/>
    </row>
    <row r="94" spans="1:16" ht="12.9" customHeight="1" x14ac:dyDescent="0.25">
      <c r="A94" s="22" t="s">
        <v>419</v>
      </c>
      <c r="B94" s="16" t="s">
        <v>108</v>
      </c>
      <c r="C94" s="17">
        <v>2500</v>
      </c>
      <c r="D94" s="18" t="s">
        <v>92</v>
      </c>
      <c r="E94" s="3"/>
      <c r="F94" s="158"/>
      <c r="G94" s="157">
        <f>C94*F94</f>
        <v>0</v>
      </c>
      <c r="J94" s="7"/>
      <c r="L94" s="8"/>
      <c r="M94" s="9" t="s">
        <v>1</v>
      </c>
      <c r="N94" s="10" t="s">
        <v>1</v>
      </c>
      <c r="O94" s="8" t="s">
        <v>1</v>
      </c>
      <c r="P94" s="11" t="s">
        <v>1</v>
      </c>
    </row>
    <row r="95" spans="1:16" ht="12.9" customHeight="1" x14ac:dyDescent="0.25">
      <c r="A95" s="22"/>
      <c r="B95" s="108"/>
      <c r="C95" s="13"/>
      <c r="D95" s="14"/>
      <c r="E95" s="103"/>
      <c r="F95" s="158"/>
      <c r="G95" s="162"/>
      <c r="J95" s="7"/>
      <c r="L95" s="8" t="s">
        <v>1</v>
      </c>
      <c r="M95" s="9"/>
      <c r="N95" s="10"/>
      <c r="O95" s="8"/>
      <c r="P95" s="11"/>
    </row>
    <row r="96" spans="1:16" ht="12.9" customHeight="1" x14ac:dyDescent="0.25">
      <c r="A96" s="22" t="s">
        <v>420</v>
      </c>
      <c r="B96" s="16" t="s">
        <v>110</v>
      </c>
      <c r="C96" s="17">
        <v>2500</v>
      </c>
      <c r="D96" s="18" t="s">
        <v>92</v>
      </c>
      <c r="E96" s="3"/>
      <c r="F96" s="158"/>
      <c r="G96" s="157">
        <f>C96*F96</f>
        <v>0</v>
      </c>
      <c r="J96" s="7"/>
      <c r="L96" s="8"/>
      <c r="M96" s="9" t="s">
        <v>1</v>
      </c>
      <c r="N96" s="10" t="s">
        <v>1</v>
      </c>
      <c r="O96" s="8" t="s">
        <v>1</v>
      </c>
      <c r="P96" s="11"/>
    </row>
    <row r="97" spans="1:16" ht="12.9" customHeight="1" x14ac:dyDescent="0.25">
      <c r="A97" s="22"/>
      <c r="B97" s="108"/>
      <c r="C97" s="13"/>
      <c r="D97" s="14"/>
      <c r="E97" s="103"/>
      <c r="F97" s="158"/>
      <c r="G97" s="162"/>
      <c r="J97" s="7"/>
      <c r="L97" s="23" t="s">
        <v>1</v>
      </c>
      <c r="M97" s="86"/>
      <c r="N97" s="10"/>
      <c r="O97" s="8"/>
      <c r="P97" s="11"/>
    </row>
    <row r="98" spans="1:16" ht="12.9" customHeight="1" x14ac:dyDescent="0.25">
      <c r="A98" s="22" t="s">
        <v>421</v>
      </c>
      <c r="B98" s="16" t="s">
        <v>112</v>
      </c>
      <c r="C98" s="17">
        <v>2500</v>
      </c>
      <c r="D98" s="18" t="s">
        <v>92</v>
      </c>
      <c r="E98" s="3"/>
      <c r="F98" s="158"/>
      <c r="G98" s="157">
        <f>C98*F98</f>
        <v>0</v>
      </c>
      <c r="J98" s="7"/>
      <c r="L98" s="8"/>
      <c r="M98" s="136" t="s">
        <v>1</v>
      </c>
      <c r="N98" s="20"/>
      <c r="O98" s="21"/>
      <c r="P98" s="11"/>
    </row>
    <row r="99" spans="1:16" ht="12.9" customHeight="1" x14ac:dyDescent="0.25">
      <c r="A99" s="22"/>
      <c r="B99" s="16"/>
      <c r="C99" s="17"/>
      <c r="D99" s="14"/>
      <c r="E99" s="3"/>
      <c r="F99" s="158"/>
      <c r="G99" s="163"/>
      <c r="J99" s="7"/>
      <c r="L99" s="8" t="s">
        <v>1</v>
      </c>
      <c r="M99" s="9"/>
      <c r="N99" s="24"/>
      <c r="O99" s="8"/>
      <c r="P99" s="11"/>
    </row>
    <row r="100" spans="1:16" ht="12.9" customHeight="1" x14ac:dyDescent="0.25">
      <c r="A100" s="22" t="s">
        <v>422</v>
      </c>
      <c r="B100" s="4" t="s">
        <v>114</v>
      </c>
      <c r="C100" s="17">
        <v>2500</v>
      </c>
      <c r="D100" s="18" t="s">
        <v>92</v>
      </c>
      <c r="E100" s="3"/>
      <c r="F100" s="158"/>
      <c r="G100" s="157">
        <f>C100*F100</f>
        <v>0</v>
      </c>
      <c r="J100" s="7"/>
      <c r="L100" s="8"/>
      <c r="M100" s="9" t="s">
        <v>1</v>
      </c>
      <c r="N100" s="24" t="s">
        <v>1</v>
      </c>
      <c r="O100" s="8" t="s">
        <v>1</v>
      </c>
      <c r="P100" s="11"/>
    </row>
    <row r="101" spans="1:16" ht="12.9" customHeight="1" x14ac:dyDescent="0.25">
      <c r="A101" s="22"/>
      <c r="B101" s="16"/>
      <c r="C101" s="17"/>
      <c r="D101" s="18"/>
      <c r="E101" s="3"/>
      <c r="F101" s="158"/>
      <c r="G101" s="163"/>
      <c r="J101" s="7"/>
      <c r="L101" s="8" t="s">
        <v>1</v>
      </c>
      <c r="M101" s="9"/>
      <c r="N101" s="24"/>
      <c r="O101" s="8"/>
      <c r="P101" s="11"/>
    </row>
    <row r="102" spans="1:16" ht="12.9" customHeight="1" x14ac:dyDescent="0.25">
      <c r="A102" s="22" t="s">
        <v>423</v>
      </c>
      <c r="B102" s="4" t="s">
        <v>116</v>
      </c>
      <c r="C102" s="17">
        <v>3000</v>
      </c>
      <c r="D102" s="18" t="s">
        <v>43</v>
      </c>
      <c r="E102" s="3"/>
      <c r="F102" s="158"/>
      <c r="G102" s="157">
        <f>C102*F102</f>
        <v>0</v>
      </c>
      <c r="J102" s="7"/>
      <c r="L102" s="8"/>
      <c r="M102" s="9" t="s">
        <v>1</v>
      </c>
      <c r="N102" s="24" t="s">
        <v>1</v>
      </c>
      <c r="O102" s="8" t="s">
        <v>1</v>
      </c>
      <c r="P102" s="11"/>
    </row>
    <row r="103" spans="1:16" ht="12.9" customHeight="1" x14ac:dyDescent="0.25">
      <c r="A103" s="22"/>
      <c r="B103" s="13"/>
      <c r="C103" s="13"/>
      <c r="D103" s="14"/>
      <c r="E103" s="103"/>
      <c r="F103" s="158"/>
      <c r="G103" s="162"/>
      <c r="J103" s="7"/>
      <c r="L103" s="8" t="s">
        <v>1</v>
      </c>
      <c r="M103" s="9"/>
      <c r="N103" s="24"/>
      <c r="O103" s="8"/>
      <c r="P103" s="11"/>
    </row>
    <row r="104" spans="1:16" ht="12.9" customHeight="1" x14ac:dyDescent="0.25">
      <c r="A104" s="140" t="s">
        <v>424</v>
      </c>
      <c r="B104" s="137" t="s">
        <v>118</v>
      </c>
      <c r="C104" s="13"/>
      <c r="D104" s="14"/>
      <c r="E104" s="103"/>
      <c r="F104" s="158"/>
      <c r="G104" s="162"/>
      <c r="J104" s="7"/>
      <c r="L104" s="8"/>
      <c r="M104" s="9" t="s">
        <v>1</v>
      </c>
      <c r="N104" s="24" t="s">
        <v>1</v>
      </c>
      <c r="O104" s="8" t="s">
        <v>1</v>
      </c>
      <c r="P104" s="11"/>
    </row>
    <row r="105" spans="1:16" ht="12.9" customHeight="1" x14ac:dyDescent="0.25">
      <c r="A105" s="22"/>
      <c r="B105" s="13"/>
      <c r="C105" s="13"/>
      <c r="D105" s="14"/>
      <c r="E105" s="103"/>
      <c r="F105" s="158"/>
      <c r="G105" s="162"/>
      <c r="J105" s="7"/>
      <c r="L105" s="8" t="s">
        <v>1</v>
      </c>
      <c r="M105" s="9"/>
      <c r="N105" s="24"/>
      <c r="O105" s="8"/>
      <c r="P105" s="11"/>
    </row>
    <row r="106" spans="1:16" ht="12.9" customHeight="1" x14ac:dyDescent="0.25">
      <c r="A106" s="22" t="s">
        <v>425</v>
      </c>
      <c r="B106" s="16" t="s">
        <v>120</v>
      </c>
      <c r="C106" s="17">
        <v>200</v>
      </c>
      <c r="D106" s="18" t="s">
        <v>36</v>
      </c>
      <c r="E106" s="3"/>
      <c r="F106" s="158"/>
      <c r="G106" s="157">
        <f>C106*F106</f>
        <v>0</v>
      </c>
      <c r="J106" s="7"/>
      <c r="L106" s="8"/>
      <c r="M106" s="9" t="s">
        <v>1</v>
      </c>
      <c r="N106" s="24" t="s">
        <v>1</v>
      </c>
      <c r="O106" s="8" t="s">
        <v>1</v>
      </c>
      <c r="P106" s="11"/>
    </row>
    <row r="107" spans="1:16" ht="12.9" customHeight="1" x14ac:dyDescent="0.25">
      <c r="A107" s="22"/>
      <c r="B107" s="16"/>
      <c r="C107" s="13"/>
      <c r="D107" s="14"/>
      <c r="E107" s="103"/>
      <c r="F107" s="158"/>
      <c r="G107" s="162"/>
      <c r="J107" s="7"/>
      <c r="L107" s="8" t="s">
        <v>1</v>
      </c>
      <c r="M107" s="9"/>
      <c r="N107" s="24"/>
      <c r="O107" s="8"/>
      <c r="P107" s="11"/>
    </row>
    <row r="108" spans="1:16" ht="12.9" customHeight="1" x14ac:dyDescent="0.25">
      <c r="A108" s="22" t="s">
        <v>426</v>
      </c>
      <c r="B108" s="16" t="s">
        <v>122</v>
      </c>
      <c r="C108" s="17">
        <v>200</v>
      </c>
      <c r="D108" s="18" t="s">
        <v>36</v>
      </c>
      <c r="E108" s="3"/>
      <c r="F108" s="158"/>
      <c r="G108" s="157">
        <f>C108*F108</f>
        <v>0</v>
      </c>
      <c r="J108" s="7"/>
      <c r="L108" s="8"/>
      <c r="M108" s="9" t="s">
        <v>1</v>
      </c>
      <c r="N108" s="24" t="s">
        <v>1</v>
      </c>
      <c r="O108" s="8" t="s">
        <v>1</v>
      </c>
      <c r="P108" s="11"/>
    </row>
    <row r="109" spans="1:16" ht="12.9" customHeight="1" x14ac:dyDescent="0.25">
      <c r="A109" s="22"/>
      <c r="B109" s="16"/>
      <c r="C109" s="13"/>
      <c r="D109" s="14"/>
      <c r="E109" s="103"/>
      <c r="F109" s="158"/>
      <c r="G109" s="162"/>
      <c r="J109" s="7"/>
      <c r="L109" s="8" t="s">
        <v>1</v>
      </c>
      <c r="M109" s="9"/>
      <c r="N109" s="24"/>
      <c r="O109" s="8"/>
      <c r="P109" s="11"/>
    </row>
    <row r="110" spans="1:16" ht="12.9" customHeight="1" x14ac:dyDescent="0.25">
      <c r="A110" s="22" t="s">
        <v>427</v>
      </c>
      <c r="B110" s="16" t="s">
        <v>124</v>
      </c>
      <c r="C110" s="17">
        <v>200</v>
      </c>
      <c r="D110" s="18" t="s">
        <v>36</v>
      </c>
      <c r="E110" s="3"/>
      <c r="F110" s="158"/>
      <c r="G110" s="157">
        <f>C110*F110</f>
        <v>0</v>
      </c>
      <c r="J110" s="7"/>
      <c r="L110" s="8"/>
      <c r="M110" s="9" t="s">
        <v>1</v>
      </c>
      <c r="N110" s="24" t="s">
        <v>1</v>
      </c>
      <c r="O110" s="8" t="s">
        <v>1</v>
      </c>
      <c r="P110" s="11" t="s">
        <v>1</v>
      </c>
    </row>
    <row r="111" spans="1:16" ht="12.9" customHeight="1" x14ac:dyDescent="0.25">
      <c r="A111" s="22"/>
      <c r="B111" s="16"/>
      <c r="C111" s="13"/>
      <c r="D111" s="14"/>
      <c r="E111" s="103"/>
      <c r="F111" s="158"/>
      <c r="G111" s="162"/>
      <c r="J111" s="7"/>
      <c r="L111" s="8" t="s">
        <v>1</v>
      </c>
      <c r="M111" s="9"/>
      <c r="N111" s="24"/>
      <c r="O111" s="8"/>
      <c r="P111" s="11"/>
    </row>
    <row r="112" spans="1:16" ht="12.9" customHeight="1" x14ac:dyDescent="0.25">
      <c r="A112" s="22" t="s">
        <v>428</v>
      </c>
      <c r="B112" s="16" t="s">
        <v>126</v>
      </c>
      <c r="C112" s="17">
        <v>200</v>
      </c>
      <c r="D112" s="18" t="s">
        <v>36</v>
      </c>
      <c r="E112" s="3"/>
      <c r="F112" s="158"/>
      <c r="G112" s="157">
        <f>C112*F112</f>
        <v>0</v>
      </c>
      <c r="J112" s="7"/>
      <c r="L112" s="8"/>
      <c r="M112" s="9" t="s">
        <v>1</v>
      </c>
      <c r="N112" s="24" t="s">
        <v>1</v>
      </c>
      <c r="O112" s="8" t="s">
        <v>1</v>
      </c>
      <c r="P112" s="11"/>
    </row>
    <row r="113" spans="1:16" ht="12.9" customHeight="1" x14ac:dyDescent="0.25">
      <c r="A113" s="22"/>
      <c r="B113" s="16"/>
      <c r="C113" s="13"/>
      <c r="D113" s="14"/>
      <c r="E113" s="103"/>
      <c r="F113" s="158"/>
      <c r="G113" s="162"/>
      <c r="J113" s="7"/>
      <c r="L113" s="8" t="s">
        <v>1</v>
      </c>
      <c r="M113" s="9"/>
      <c r="N113" s="24"/>
      <c r="O113" s="8"/>
      <c r="P113" s="11"/>
    </row>
    <row r="114" spans="1:16" ht="12.9" customHeight="1" x14ac:dyDescent="0.25">
      <c r="A114" s="22" t="s">
        <v>429</v>
      </c>
      <c r="B114" s="16" t="s">
        <v>128</v>
      </c>
      <c r="C114" s="17">
        <v>200</v>
      </c>
      <c r="D114" s="18" t="s">
        <v>36</v>
      </c>
      <c r="E114" s="3"/>
      <c r="F114" s="158"/>
      <c r="G114" s="157">
        <f>C114*F114</f>
        <v>0</v>
      </c>
      <c r="J114" s="7"/>
      <c r="L114" s="8"/>
      <c r="M114" s="9" t="s">
        <v>1</v>
      </c>
      <c r="N114" s="24" t="s">
        <v>1</v>
      </c>
      <c r="O114" s="8" t="s">
        <v>1</v>
      </c>
      <c r="P114" s="11"/>
    </row>
    <row r="115" spans="1:16" ht="12.9" customHeight="1" x14ac:dyDescent="0.25">
      <c r="A115" s="22"/>
      <c r="B115" s="16"/>
      <c r="C115" s="13"/>
      <c r="D115" s="14"/>
      <c r="E115" s="103"/>
      <c r="F115" s="158"/>
      <c r="G115" s="162"/>
      <c r="J115" s="7"/>
      <c r="L115" s="8" t="s">
        <v>1</v>
      </c>
      <c r="M115" s="9"/>
      <c r="N115" s="24"/>
      <c r="O115" s="8"/>
      <c r="P115" s="11"/>
    </row>
    <row r="116" spans="1:16" ht="12.9" customHeight="1" x14ac:dyDescent="0.25">
      <c r="A116" s="22" t="s">
        <v>430</v>
      </c>
      <c r="B116" s="16" t="s">
        <v>130</v>
      </c>
      <c r="C116" s="17">
        <v>200</v>
      </c>
      <c r="D116" s="18" t="s">
        <v>36</v>
      </c>
      <c r="E116" s="3"/>
      <c r="F116" s="158"/>
      <c r="G116" s="157">
        <f>C116*F116</f>
        <v>0</v>
      </c>
      <c r="J116" s="7"/>
      <c r="L116" s="8"/>
      <c r="M116" s="9" t="s">
        <v>1</v>
      </c>
      <c r="N116" s="24" t="s">
        <v>1</v>
      </c>
      <c r="O116" s="8" t="s">
        <v>1</v>
      </c>
      <c r="P116" s="11"/>
    </row>
    <row r="117" spans="1:16" ht="12.9" customHeight="1" x14ac:dyDescent="0.25">
      <c r="A117" s="22"/>
      <c r="B117" s="16"/>
      <c r="C117" s="13"/>
      <c r="D117" s="14"/>
      <c r="E117" s="103"/>
      <c r="F117" s="158"/>
      <c r="G117" s="162"/>
      <c r="J117" s="7"/>
      <c r="L117" s="8" t="s">
        <v>1</v>
      </c>
      <c r="M117" s="9"/>
      <c r="N117" s="24"/>
      <c r="O117" s="8"/>
      <c r="P117" s="110"/>
    </row>
    <row r="118" spans="1:16" ht="12.9" customHeight="1" x14ac:dyDescent="0.25">
      <c r="A118" s="22" t="s">
        <v>431</v>
      </c>
      <c r="B118" s="16" t="s">
        <v>132</v>
      </c>
      <c r="C118" s="17">
        <v>200</v>
      </c>
      <c r="D118" s="18" t="s">
        <v>36</v>
      </c>
      <c r="E118" s="3"/>
      <c r="F118" s="158"/>
      <c r="G118" s="157">
        <f>C118*F118</f>
        <v>0</v>
      </c>
      <c r="J118" s="7"/>
      <c r="L118" s="8"/>
      <c r="M118" s="9" t="s">
        <v>1</v>
      </c>
      <c r="N118" s="24" t="s">
        <v>1</v>
      </c>
      <c r="O118" s="8" t="s">
        <v>1</v>
      </c>
      <c r="P118" s="11"/>
    </row>
    <row r="119" spans="1:16" ht="12.9" customHeight="1" x14ac:dyDescent="0.25">
      <c r="A119" s="22"/>
      <c r="B119" s="16"/>
      <c r="C119" s="13"/>
      <c r="D119" s="14"/>
      <c r="E119" s="103"/>
      <c r="F119" s="158"/>
      <c r="G119" s="162"/>
      <c r="J119" s="7"/>
      <c r="L119" s="8" t="s">
        <v>1</v>
      </c>
      <c r="M119" s="9"/>
      <c r="N119" s="24"/>
      <c r="O119" s="8"/>
      <c r="P119" s="11"/>
    </row>
    <row r="120" spans="1:16" ht="12.9" customHeight="1" x14ac:dyDescent="0.25">
      <c r="A120" s="22" t="s">
        <v>432</v>
      </c>
      <c r="B120" s="16" t="s">
        <v>134</v>
      </c>
      <c r="C120" s="17">
        <v>200</v>
      </c>
      <c r="D120" s="18" t="s">
        <v>36</v>
      </c>
      <c r="E120" s="3"/>
      <c r="F120" s="158"/>
      <c r="G120" s="157">
        <f>C120*F120</f>
        <v>0</v>
      </c>
      <c r="J120" s="7"/>
      <c r="L120" s="8"/>
      <c r="M120" s="9" t="s">
        <v>1</v>
      </c>
      <c r="N120" s="24" t="s">
        <v>1</v>
      </c>
      <c r="O120" s="8" t="s">
        <v>1</v>
      </c>
      <c r="P120" s="11"/>
    </row>
    <row r="121" spans="1:16" ht="12.9" customHeight="1" x14ac:dyDescent="0.25">
      <c r="A121" s="22"/>
      <c r="B121" s="16"/>
      <c r="C121" s="13"/>
      <c r="D121" s="14"/>
      <c r="E121" s="103"/>
      <c r="F121" s="158"/>
      <c r="G121" s="162"/>
      <c r="J121" s="7"/>
      <c r="L121" s="8" t="s">
        <v>1</v>
      </c>
      <c r="M121" s="9"/>
      <c r="N121" s="24"/>
      <c r="O121" s="8"/>
      <c r="P121" s="11"/>
    </row>
    <row r="122" spans="1:16" ht="12.9" customHeight="1" x14ac:dyDescent="0.25">
      <c r="A122" s="22" t="s">
        <v>433</v>
      </c>
      <c r="B122" s="16" t="s">
        <v>136</v>
      </c>
      <c r="C122" s="17">
        <v>200</v>
      </c>
      <c r="D122" s="18" t="s">
        <v>36</v>
      </c>
      <c r="E122" s="3"/>
      <c r="F122" s="158"/>
      <c r="G122" s="157">
        <f>C122*F122</f>
        <v>0</v>
      </c>
      <c r="J122" s="7"/>
      <c r="L122" s="8"/>
      <c r="M122" s="9" t="s">
        <v>1</v>
      </c>
      <c r="N122" s="24" t="s">
        <v>0</v>
      </c>
      <c r="O122" s="8" t="s">
        <v>1</v>
      </c>
      <c r="P122" s="11"/>
    </row>
    <row r="123" spans="1:16" ht="12.9" customHeight="1" x14ac:dyDescent="0.25">
      <c r="A123" s="22"/>
      <c r="B123" s="16"/>
      <c r="C123" s="13"/>
      <c r="D123" s="14"/>
      <c r="E123" s="103"/>
      <c r="F123" s="158"/>
      <c r="G123" s="162"/>
      <c r="J123" s="7"/>
      <c r="L123" s="8" t="s">
        <v>1</v>
      </c>
      <c r="M123" s="9"/>
      <c r="N123" s="24"/>
      <c r="O123" s="8"/>
      <c r="P123" s="11"/>
    </row>
    <row r="124" spans="1:16" ht="12.9" customHeight="1" x14ac:dyDescent="0.25">
      <c r="A124" s="22" t="s">
        <v>434</v>
      </c>
      <c r="B124" s="16" t="s">
        <v>138</v>
      </c>
      <c r="C124" s="17">
        <v>64</v>
      </c>
      <c r="D124" s="18" t="s">
        <v>36</v>
      </c>
      <c r="E124" s="3"/>
      <c r="F124" s="158"/>
      <c r="G124" s="157">
        <f>C124*F124</f>
        <v>0</v>
      </c>
      <c r="J124" s="7"/>
      <c r="L124" s="8"/>
      <c r="M124" s="9" t="s">
        <v>1</v>
      </c>
      <c r="N124" s="24" t="s">
        <v>1</v>
      </c>
      <c r="O124" s="8" t="s">
        <v>1</v>
      </c>
      <c r="P124" s="11"/>
    </row>
    <row r="125" spans="1:16" ht="12.9" customHeight="1" x14ac:dyDescent="0.25">
      <c r="A125" s="22"/>
      <c r="B125" s="16"/>
      <c r="C125" s="13"/>
      <c r="D125" s="14"/>
      <c r="E125" s="103"/>
      <c r="F125" s="158"/>
      <c r="G125" s="162"/>
      <c r="J125" s="7"/>
      <c r="L125" s="8" t="s">
        <v>1</v>
      </c>
      <c r="M125" s="9"/>
      <c r="N125" s="24"/>
      <c r="O125" s="8"/>
      <c r="P125" s="11"/>
    </row>
    <row r="126" spans="1:16" ht="12.9" customHeight="1" x14ac:dyDescent="0.25">
      <c r="A126" s="22" t="s">
        <v>435</v>
      </c>
      <c r="B126" s="16" t="s">
        <v>140</v>
      </c>
      <c r="C126" s="17">
        <v>30</v>
      </c>
      <c r="D126" s="18" t="s">
        <v>36</v>
      </c>
      <c r="E126" s="3"/>
      <c r="F126" s="158"/>
      <c r="G126" s="157">
        <f>C126*F126</f>
        <v>0</v>
      </c>
      <c r="J126" s="7"/>
      <c r="L126" s="8"/>
      <c r="M126" s="9" t="s">
        <v>1</v>
      </c>
      <c r="N126" s="24" t="s">
        <v>1</v>
      </c>
      <c r="O126" s="8" t="s">
        <v>1</v>
      </c>
      <c r="P126" s="11"/>
    </row>
    <row r="127" spans="1:16" ht="12.9" customHeight="1" x14ac:dyDescent="0.25">
      <c r="A127" s="22"/>
      <c r="B127" s="16"/>
      <c r="C127" s="13"/>
      <c r="D127" s="14"/>
      <c r="E127" s="103"/>
      <c r="F127" s="158"/>
      <c r="G127" s="162"/>
      <c r="J127" s="7"/>
      <c r="L127" s="8" t="s">
        <v>1</v>
      </c>
      <c r="M127" s="9"/>
      <c r="N127" s="24"/>
      <c r="O127" s="8"/>
      <c r="P127" s="11"/>
    </row>
    <row r="128" spans="1:16" ht="12.9" customHeight="1" x14ac:dyDescent="0.25">
      <c r="A128" s="22" t="s">
        <v>436</v>
      </c>
      <c r="B128" s="16" t="s">
        <v>142</v>
      </c>
      <c r="C128" s="17">
        <v>90</v>
      </c>
      <c r="D128" s="18" t="s">
        <v>36</v>
      </c>
      <c r="E128" s="3"/>
      <c r="F128" s="158"/>
      <c r="G128" s="157">
        <f>C128*F128</f>
        <v>0</v>
      </c>
      <c r="J128" s="7"/>
      <c r="L128" s="8"/>
      <c r="M128" s="9" t="s">
        <v>1</v>
      </c>
      <c r="N128" s="24" t="s">
        <v>1</v>
      </c>
      <c r="O128" s="8" t="s">
        <v>1</v>
      </c>
      <c r="P128" s="11"/>
    </row>
    <row r="129" spans="1:16" ht="12.9" customHeight="1" x14ac:dyDescent="0.25">
      <c r="A129" s="22"/>
      <c r="B129" s="16"/>
      <c r="C129" s="13"/>
      <c r="D129" s="14"/>
      <c r="E129" s="103"/>
      <c r="F129" s="158"/>
      <c r="G129" s="162"/>
      <c r="J129" s="7"/>
      <c r="L129" s="8" t="s">
        <v>1</v>
      </c>
      <c r="M129" s="9"/>
      <c r="N129" s="24"/>
      <c r="O129" s="8"/>
      <c r="P129" s="11"/>
    </row>
    <row r="130" spans="1:16" ht="12.9" customHeight="1" x14ac:dyDescent="0.25">
      <c r="A130" s="22" t="s">
        <v>437</v>
      </c>
      <c r="B130" s="16" t="s">
        <v>144</v>
      </c>
      <c r="C130" s="17">
        <v>400</v>
      </c>
      <c r="D130" s="18" t="s">
        <v>145</v>
      </c>
      <c r="E130" s="3"/>
      <c r="F130" s="158"/>
      <c r="G130" s="157">
        <f>C130*F130</f>
        <v>0</v>
      </c>
      <c r="J130" s="7"/>
      <c r="L130" s="8"/>
      <c r="M130" s="9" t="s">
        <v>1</v>
      </c>
      <c r="N130" s="24" t="s">
        <v>1</v>
      </c>
      <c r="O130" s="8" t="s">
        <v>1</v>
      </c>
      <c r="P130" s="11"/>
    </row>
    <row r="131" spans="1:16" ht="12.9" customHeight="1" x14ac:dyDescent="0.25">
      <c r="A131" s="22"/>
      <c r="B131" s="16"/>
      <c r="C131" s="13"/>
      <c r="D131" s="14"/>
      <c r="E131" s="103"/>
      <c r="F131" s="158"/>
      <c r="G131" s="162"/>
      <c r="J131" s="7"/>
      <c r="L131" s="8" t="s">
        <v>1</v>
      </c>
      <c r="M131" s="9"/>
      <c r="N131" s="24"/>
      <c r="O131" s="8"/>
      <c r="P131" s="11"/>
    </row>
    <row r="132" spans="1:16" ht="12.9" customHeight="1" x14ac:dyDescent="0.25">
      <c r="A132" s="22" t="s">
        <v>438</v>
      </c>
      <c r="B132" s="16" t="s">
        <v>147</v>
      </c>
      <c r="C132" s="17">
        <v>100</v>
      </c>
      <c r="D132" s="18" t="s">
        <v>145</v>
      </c>
      <c r="E132" s="3"/>
      <c r="F132" s="158"/>
      <c r="G132" s="157">
        <f>C132*F132</f>
        <v>0</v>
      </c>
      <c r="J132" s="7"/>
      <c r="L132" s="8"/>
      <c r="M132" s="9" t="s">
        <v>1</v>
      </c>
      <c r="N132" s="24" t="s">
        <v>1</v>
      </c>
      <c r="O132" s="8" t="s">
        <v>1</v>
      </c>
      <c r="P132" s="11"/>
    </row>
    <row r="133" spans="1:16" ht="12.9" customHeight="1" x14ac:dyDescent="0.25">
      <c r="A133" s="22"/>
      <c r="B133" s="16"/>
      <c r="C133" s="13"/>
      <c r="D133" s="14"/>
      <c r="E133" s="103"/>
      <c r="F133" s="158"/>
      <c r="G133" s="162"/>
      <c r="J133" s="7"/>
      <c r="L133" s="8"/>
      <c r="M133" s="9" t="s">
        <v>1</v>
      </c>
      <c r="N133" s="24" t="s">
        <v>1</v>
      </c>
      <c r="O133" s="8" t="s">
        <v>1</v>
      </c>
      <c r="P133" s="11"/>
    </row>
    <row r="134" spans="1:16" ht="12.9" customHeight="1" x14ac:dyDescent="0.25">
      <c r="A134" s="22" t="s">
        <v>439</v>
      </c>
      <c r="B134" s="16" t="s">
        <v>149</v>
      </c>
      <c r="C134" s="17">
        <v>1000</v>
      </c>
      <c r="D134" s="18" t="s">
        <v>102</v>
      </c>
      <c r="E134" s="3"/>
      <c r="F134" s="158"/>
      <c r="G134" s="157">
        <f>C134*F134</f>
        <v>0</v>
      </c>
      <c r="J134" s="7"/>
      <c r="L134" s="23" t="s">
        <v>1</v>
      </c>
      <c r="M134" s="9"/>
      <c r="N134" s="24"/>
      <c r="O134" s="8"/>
      <c r="P134" s="11"/>
    </row>
    <row r="135" spans="1:16" ht="12.9" customHeight="1" x14ac:dyDescent="0.25">
      <c r="A135" s="22"/>
      <c r="B135" s="16"/>
      <c r="C135" s="13"/>
      <c r="D135" s="14"/>
      <c r="E135" s="103"/>
      <c r="F135" s="158"/>
      <c r="G135" s="162"/>
      <c r="J135" s="7"/>
      <c r="L135" s="8"/>
      <c r="M135" s="136" t="s">
        <v>1</v>
      </c>
      <c r="N135" s="20"/>
      <c r="O135" s="21"/>
      <c r="P135" s="111"/>
    </row>
    <row r="136" spans="1:16" ht="12.9" customHeight="1" x14ac:dyDescent="0.25">
      <c r="A136" s="22" t="s">
        <v>440</v>
      </c>
      <c r="B136" s="16" t="s">
        <v>151</v>
      </c>
      <c r="C136" s="17">
        <v>2000</v>
      </c>
      <c r="D136" s="18" t="s">
        <v>102</v>
      </c>
      <c r="E136" s="3"/>
      <c r="F136" s="158"/>
      <c r="G136" s="157">
        <f>C136*F136</f>
        <v>0</v>
      </c>
      <c r="J136" s="7"/>
      <c r="L136" s="8" t="s">
        <v>1</v>
      </c>
      <c r="M136" s="9"/>
      <c r="N136" s="24"/>
      <c r="O136" s="8"/>
      <c r="P136" s="111"/>
    </row>
    <row r="137" spans="1:16" x14ac:dyDescent="0.25">
      <c r="A137" s="22"/>
      <c r="B137" s="16"/>
      <c r="C137" s="13"/>
      <c r="D137" s="14"/>
      <c r="E137" s="103"/>
      <c r="F137" s="158"/>
      <c r="G137" s="162"/>
      <c r="J137" s="7"/>
      <c r="L137" s="8"/>
      <c r="M137" s="9" t="s">
        <v>1</v>
      </c>
      <c r="N137" s="24" t="s">
        <v>1</v>
      </c>
      <c r="O137" s="8" t="s">
        <v>1</v>
      </c>
      <c r="P137" s="11"/>
    </row>
    <row r="138" spans="1:16" ht="12.75" customHeight="1" x14ac:dyDescent="0.25">
      <c r="A138" s="22" t="s">
        <v>441</v>
      </c>
      <c r="B138" s="16" t="s">
        <v>153</v>
      </c>
      <c r="C138" s="17">
        <v>19000</v>
      </c>
      <c r="D138" s="18" t="s">
        <v>102</v>
      </c>
      <c r="E138" s="3"/>
      <c r="F138" s="158"/>
      <c r="G138" s="157">
        <f>C138*F138</f>
        <v>0</v>
      </c>
      <c r="J138" s="7"/>
      <c r="L138" s="8" t="s">
        <v>1</v>
      </c>
      <c r="M138" s="9"/>
      <c r="N138" s="24"/>
      <c r="O138" s="8"/>
      <c r="P138" s="11"/>
    </row>
    <row r="139" spans="1:16" x14ac:dyDescent="0.25">
      <c r="A139" s="22"/>
      <c r="B139" s="16"/>
      <c r="C139" s="17"/>
      <c r="D139" s="18"/>
      <c r="E139" s="3"/>
      <c r="F139" s="158"/>
      <c r="G139" s="163"/>
      <c r="J139" s="7"/>
      <c r="L139" s="8"/>
      <c r="M139" s="9" t="s">
        <v>1</v>
      </c>
      <c r="N139" s="24" t="s">
        <v>1</v>
      </c>
      <c r="O139" s="8" t="s">
        <v>1</v>
      </c>
      <c r="P139" s="11"/>
    </row>
    <row r="140" spans="1:16" ht="12.75" customHeight="1" x14ac:dyDescent="0.25">
      <c r="A140" s="22" t="s">
        <v>442</v>
      </c>
      <c r="B140" s="4" t="s">
        <v>155</v>
      </c>
      <c r="C140" s="26">
        <v>500</v>
      </c>
      <c r="D140" s="18" t="s">
        <v>36</v>
      </c>
      <c r="E140" s="3"/>
      <c r="F140" s="158"/>
      <c r="G140" s="157">
        <f>C140*F140</f>
        <v>0</v>
      </c>
      <c r="J140" s="7"/>
      <c r="L140" s="8" t="s">
        <v>1</v>
      </c>
      <c r="M140" s="9"/>
      <c r="N140" s="24"/>
      <c r="O140" s="8"/>
      <c r="P140" s="11"/>
    </row>
    <row r="141" spans="1:16" x14ac:dyDescent="0.25">
      <c r="A141" s="22"/>
      <c r="B141" s="13"/>
      <c r="C141" s="13"/>
      <c r="D141" s="14"/>
      <c r="E141" s="103"/>
      <c r="F141" s="158"/>
      <c r="G141" s="162"/>
      <c r="J141" s="7"/>
      <c r="L141" s="8"/>
      <c r="M141" s="9" t="s">
        <v>1</v>
      </c>
      <c r="N141" s="24" t="s">
        <v>1</v>
      </c>
      <c r="O141" s="8" t="s">
        <v>1</v>
      </c>
      <c r="P141" s="11"/>
    </row>
    <row r="142" spans="1:16" ht="12.75" customHeight="1" x14ac:dyDescent="0.25">
      <c r="A142" s="135" t="s">
        <v>443</v>
      </c>
      <c r="B142" s="137" t="s">
        <v>157</v>
      </c>
      <c r="C142" s="13"/>
      <c r="D142" s="14"/>
      <c r="E142" s="103"/>
      <c r="F142" s="158"/>
      <c r="G142" s="162"/>
      <c r="J142" s="7"/>
      <c r="L142" s="8" t="s">
        <v>0</v>
      </c>
      <c r="M142" s="9"/>
      <c r="N142" s="24"/>
      <c r="O142" s="8"/>
      <c r="P142" s="11"/>
    </row>
    <row r="143" spans="1:16" x14ac:dyDescent="0.25">
      <c r="A143" s="22"/>
      <c r="B143" s="13"/>
      <c r="C143" s="13"/>
      <c r="D143" s="14"/>
      <c r="E143" s="103"/>
      <c r="F143" s="158"/>
      <c r="G143" s="162"/>
      <c r="J143" s="7"/>
      <c r="L143" s="8"/>
      <c r="M143" s="9" t="s">
        <v>1</v>
      </c>
      <c r="N143" s="24" t="s">
        <v>1</v>
      </c>
      <c r="O143" s="8" t="s">
        <v>1</v>
      </c>
      <c r="P143" s="110"/>
    </row>
    <row r="144" spans="1:16" ht="12.75" customHeight="1" x14ac:dyDescent="0.25">
      <c r="A144" s="22" t="s">
        <v>444</v>
      </c>
      <c r="B144" s="16" t="s">
        <v>159</v>
      </c>
      <c r="C144" s="17">
        <v>50000</v>
      </c>
      <c r="D144" s="18" t="s">
        <v>46</v>
      </c>
      <c r="E144" s="3"/>
      <c r="F144" s="158"/>
      <c r="G144" s="157">
        <f>C144*F144</f>
        <v>0</v>
      </c>
      <c r="J144" s="7"/>
      <c r="L144" s="8" t="s">
        <v>1</v>
      </c>
      <c r="M144" s="9"/>
      <c r="N144" s="24"/>
      <c r="O144" s="8"/>
      <c r="P144" s="11"/>
    </row>
    <row r="145" spans="1:16" x14ac:dyDescent="0.25">
      <c r="A145" s="22"/>
      <c r="B145" s="16"/>
      <c r="C145" s="13"/>
      <c r="D145" s="14"/>
      <c r="E145" s="103"/>
      <c r="F145" s="158"/>
      <c r="G145" s="162"/>
      <c r="J145" s="7"/>
      <c r="L145" s="8"/>
      <c r="M145" s="9" t="s">
        <v>1</v>
      </c>
      <c r="N145" s="24" t="s">
        <v>1</v>
      </c>
      <c r="O145" s="8" t="s">
        <v>1</v>
      </c>
      <c r="P145" s="11"/>
    </row>
    <row r="146" spans="1:16" ht="12.75" customHeight="1" x14ac:dyDescent="0.25">
      <c r="A146" s="22" t="s">
        <v>445</v>
      </c>
      <c r="B146" s="16" t="s">
        <v>161</v>
      </c>
      <c r="C146" s="17">
        <v>2600</v>
      </c>
      <c r="D146" s="18" t="s">
        <v>162</v>
      </c>
      <c r="E146" s="3"/>
      <c r="F146" s="158"/>
      <c r="G146" s="157">
        <f>C146*F146</f>
        <v>0</v>
      </c>
      <c r="J146" s="7"/>
      <c r="L146" s="8" t="s">
        <v>1</v>
      </c>
      <c r="M146" s="9"/>
      <c r="N146" s="24"/>
      <c r="O146" s="8"/>
      <c r="P146" s="11"/>
    </row>
    <row r="147" spans="1:16" x14ac:dyDescent="0.25">
      <c r="A147" s="22"/>
      <c r="B147" s="16"/>
      <c r="C147" s="13"/>
      <c r="D147" s="14"/>
      <c r="E147" s="103"/>
      <c r="F147" s="158"/>
      <c r="G147" s="162"/>
      <c r="J147" s="7"/>
      <c r="L147" s="8"/>
      <c r="M147" s="9" t="s">
        <v>1</v>
      </c>
      <c r="N147" s="24" t="s">
        <v>1</v>
      </c>
      <c r="O147" s="8" t="s">
        <v>1</v>
      </c>
      <c r="P147" s="11"/>
    </row>
    <row r="148" spans="1:16" ht="12.75" customHeight="1" x14ac:dyDescent="0.25">
      <c r="A148" s="22" t="s">
        <v>446</v>
      </c>
      <c r="B148" s="16" t="s">
        <v>164</v>
      </c>
      <c r="C148" s="17">
        <v>2500</v>
      </c>
      <c r="D148" s="14" t="s">
        <v>46</v>
      </c>
      <c r="E148" s="3"/>
      <c r="F148" s="158"/>
      <c r="G148" s="157">
        <f>C148*F148</f>
        <v>0</v>
      </c>
      <c r="J148" s="7"/>
      <c r="L148" s="8" t="s">
        <v>1</v>
      </c>
      <c r="M148" s="9"/>
      <c r="N148" s="24"/>
      <c r="O148" s="8"/>
      <c r="P148" s="11"/>
    </row>
    <row r="149" spans="1:16" x14ac:dyDescent="0.25">
      <c r="A149" s="22"/>
      <c r="B149" s="16"/>
      <c r="C149" s="13"/>
      <c r="D149" s="18"/>
      <c r="E149" s="103"/>
      <c r="F149" s="158"/>
      <c r="G149" s="162"/>
      <c r="J149" s="7"/>
      <c r="L149" s="8"/>
      <c r="M149" s="9" t="s">
        <v>1</v>
      </c>
      <c r="N149" s="24" t="s">
        <v>1</v>
      </c>
      <c r="O149" s="8" t="s">
        <v>1</v>
      </c>
      <c r="P149" s="11"/>
    </row>
    <row r="150" spans="1:16" ht="12.9" customHeight="1" x14ac:dyDescent="0.25">
      <c r="A150" s="22" t="s">
        <v>447</v>
      </c>
      <c r="B150" s="16" t="s">
        <v>166</v>
      </c>
      <c r="C150" s="17">
        <v>25500</v>
      </c>
      <c r="D150" s="18" t="s">
        <v>46</v>
      </c>
      <c r="E150" s="3"/>
      <c r="F150" s="158"/>
      <c r="G150" s="157">
        <f>C150*F150</f>
        <v>0</v>
      </c>
      <c r="J150" s="7"/>
      <c r="L150" s="8" t="s">
        <v>1</v>
      </c>
      <c r="M150" s="9"/>
      <c r="N150" s="24"/>
      <c r="O150" s="8"/>
      <c r="P150" s="11"/>
    </row>
    <row r="151" spans="1:16" x14ac:dyDescent="0.25">
      <c r="A151" s="22"/>
      <c r="B151" s="16"/>
      <c r="C151" s="13"/>
      <c r="D151" s="14"/>
      <c r="E151" s="103"/>
      <c r="F151" s="158"/>
      <c r="G151" s="162"/>
      <c r="J151" s="7"/>
      <c r="L151" s="8"/>
      <c r="M151" s="9" t="s">
        <v>1</v>
      </c>
      <c r="N151" s="24" t="s">
        <v>1</v>
      </c>
      <c r="O151" s="8" t="s">
        <v>1</v>
      </c>
      <c r="P151" s="11"/>
    </row>
    <row r="152" spans="1:16" ht="12.75" customHeight="1" x14ac:dyDescent="0.25">
      <c r="A152" s="22" t="s">
        <v>448</v>
      </c>
      <c r="B152" s="16" t="s">
        <v>168</v>
      </c>
      <c r="C152" s="17">
        <v>76000</v>
      </c>
      <c r="D152" s="18" t="s">
        <v>46</v>
      </c>
      <c r="E152" s="3"/>
      <c r="F152" s="158"/>
      <c r="G152" s="157">
        <f>C152*F152</f>
        <v>0</v>
      </c>
      <c r="J152" s="7"/>
      <c r="L152" s="8" t="s">
        <v>1</v>
      </c>
      <c r="M152" s="9"/>
      <c r="N152" s="24"/>
      <c r="O152" s="8"/>
      <c r="P152" s="11"/>
    </row>
    <row r="153" spans="1:16" x14ac:dyDescent="0.25">
      <c r="A153" s="22"/>
      <c r="B153" s="16"/>
      <c r="C153" s="13"/>
      <c r="D153" s="14"/>
      <c r="E153" s="103"/>
      <c r="F153" s="158"/>
      <c r="G153" s="162"/>
      <c r="J153" s="7"/>
      <c r="L153" s="8"/>
      <c r="M153" s="9" t="s">
        <v>1</v>
      </c>
      <c r="N153" s="24" t="s">
        <v>1</v>
      </c>
      <c r="O153" s="8" t="s">
        <v>1</v>
      </c>
      <c r="P153" s="11"/>
    </row>
    <row r="154" spans="1:16" ht="12.75" customHeight="1" x14ac:dyDescent="0.25">
      <c r="A154" s="22" t="s">
        <v>449</v>
      </c>
      <c r="B154" s="16" t="s">
        <v>170</v>
      </c>
      <c r="C154" s="17">
        <v>76000</v>
      </c>
      <c r="D154" s="18" t="s">
        <v>46</v>
      </c>
      <c r="E154" s="3"/>
      <c r="F154" s="158"/>
      <c r="G154" s="157">
        <f>C154*F154</f>
        <v>0</v>
      </c>
      <c r="J154" s="7"/>
      <c r="L154" s="23"/>
      <c r="M154" s="9"/>
      <c r="N154" s="24"/>
      <c r="O154" s="8"/>
      <c r="P154" s="11"/>
    </row>
    <row r="155" spans="1:16" x14ac:dyDescent="0.25">
      <c r="A155" s="22"/>
      <c r="B155" s="16"/>
      <c r="C155" s="13"/>
      <c r="D155" s="164"/>
      <c r="E155" s="103"/>
      <c r="F155" s="158"/>
      <c r="G155" s="162"/>
      <c r="J155" s="7"/>
      <c r="L155" s="23"/>
      <c r="M155" s="136"/>
      <c r="N155" s="20"/>
      <c r="O155" s="21"/>
      <c r="P155" s="11"/>
    </row>
    <row r="156" spans="1:16" ht="12.75" customHeight="1" x14ac:dyDescent="0.25">
      <c r="A156" s="22" t="s">
        <v>450</v>
      </c>
      <c r="B156" s="16" t="s">
        <v>172</v>
      </c>
      <c r="C156" s="17">
        <v>135000</v>
      </c>
      <c r="D156" s="18" t="s">
        <v>46</v>
      </c>
      <c r="E156" s="3"/>
      <c r="F156" s="158"/>
      <c r="G156" s="157">
        <f>C156*F156</f>
        <v>0</v>
      </c>
      <c r="J156" s="7"/>
      <c r="L156" s="8"/>
      <c r="M156" s="136"/>
      <c r="N156" s="20"/>
      <c r="O156" s="21"/>
      <c r="P156" s="11"/>
    </row>
    <row r="157" spans="1:16" x14ac:dyDescent="0.25">
      <c r="A157" s="22"/>
      <c r="B157" s="16"/>
      <c r="C157" s="13"/>
      <c r="D157" s="14"/>
      <c r="E157" s="103"/>
      <c r="F157" s="158"/>
      <c r="G157" s="162"/>
      <c r="J157" s="7"/>
      <c r="L157" s="8"/>
      <c r="M157" s="9"/>
      <c r="N157" s="24"/>
      <c r="O157" s="8"/>
      <c r="P157" s="11"/>
    </row>
    <row r="158" spans="1:16" ht="12.75" customHeight="1" x14ac:dyDescent="0.25">
      <c r="A158" s="22" t="s">
        <v>451</v>
      </c>
      <c r="B158" s="16" t="s">
        <v>174</v>
      </c>
      <c r="C158" s="17">
        <v>26000</v>
      </c>
      <c r="D158" s="18" t="s">
        <v>46</v>
      </c>
      <c r="E158" s="3"/>
      <c r="F158" s="158"/>
      <c r="G158" s="157">
        <f>C158*F158</f>
        <v>0</v>
      </c>
      <c r="J158" s="7"/>
      <c r="L158" s="23"/>
      <c r="M158" s="9"/>
      <c r="N158" s="24"/>
      <c r="O158" s="8"/>
      <c r="P158" s="11"/>
    </row>
    <row r="159" spans="1:16" x14ac:dyDescent="0.25">
      <c r="A159" s="22"/>
      <c r="B159" s="16"/>
      <c r="C159" s="13"/>
      <c r="D159" s="14"/>
      <c r="E159" s="103"/>
      <c r="F159" s="158"/>
      <c r="G159" s="157"/>
      <c r="J159" s="7"/>
      <c r="L159" s="23"/>
      <c r="M159" s="112"/>
      <c r="N159" s="20"/>
      <c r="O159" s="21"/>
      <c r="P159" s="11"/>
    </row>
    <row r="160" spans="1:16" ht="12.75" customHeight="1" x14ac:dyDescent="0.25">
      <c r="A160" s="22" t="s">
        <v>452</v>
      </c>
      <c r="B160" s="16" t="s">
        <v>176</v>
      </c>
      <c r="C160" s="17">
        <v>9000</v>
      </c>
      <c r="D160" s="18" t="s">
        <v>46</v>
      </c>
      <c r="E160" s="3"/>
      <c r="F160" s="158"/>
      <c r="G160" s="157">
        <f>C160*F160</f>
        <v>0</v>
      </c>
      <c r="J160" s="7"/>
      <c r="L160" s="8"/>
      <c r="M160" s="15"/>
      <c r="N160" s="20"/>
      <c r="O160" s="21"/>
      <c r="P160" s="11"/>
    </row>
    <row r="161" spans="1:16" x14ac:dyDescent="0.25">
      <c r="A161" s="22"/>
      <c r="B161" s="13"/>
      <c r="C161" s="13"/>
      <c r="D161" s="14"/>
      <c r="E161" s="103"/>
      <c r="F161" s="158"/>
      <c r="G161" s="162"/>
      <c r="J161" s="7"/>
      <c r="L161" s="8"/>
      <c r="M161" s="9"/>
      <c r="N161" s="24"/>
      <c r="O161" s="8"/>
      <c r="P161" s="11"/>
    </row>
    <row r="162" spans="1:16" ht="12.75" customHeight="1" x14ac:dyDescent="0.25">
      <c r="A162" s="135" t="s">
        <v>453</v>
      </c>
      <c r="B162" s="137" t="s">
        <v>178</v>
      </c>
      <c r="C162" s="13"/>
      <c r="D162" s="14"/>
      <c r="E162" s="103"/>
      <c r="F162" s="158"/>
      <c r="G162" s="162"/>
      <c r="J162" s="7"/>
      <c r="L162" s="8"/>
      <c r="M162" s="86"/>
      <c r="N162" s="24"/>
      <c r="O162" s="8"/>
      <c r="P162" s="11"/>
    </row>
    <row r="163" spans="1:16" x14ac:dyDescent="0.25">
      <c r="A163" s="22"/>
      <c r="B163" s="13"/>
      <c r="C163" s="13"/>
      <c r="D163" s="14"/>
      <c r="E163" s="103"/>
      <c r="F163" s="158"/>
      <c r="G163" s="162"/>
      <c r="J163" s="7"/>
      <c r="L163" s="8"/>
      <c r="M163" s="15"/>
      <c r="N163" s="24"/>
      <c r="O163" s="8"/>
      <c r="P163" s="11"/>
    </row>
    <row r="164" spans="1:16" ht="12.75" customHeight="1" x14ac:dyDescent="0.25">
      <c r="A164" s="22" t="s">
        <v>454</v>
      </c>
      <c r="B164" s="4" t="s">
        <v>180</v>
      </c>
      <c r="C164" s="17">
        <v>400</v>
      </c>
      <c r="D164" s="18" t="s">
        <v>24</v>
      </c>
      <c r="E164" s="3"/>
      <c r="F164" s="158"/>
      <c r="G164" s="157">
        <f>C164*F164</f>
        <v>0</v>
      </c>
      <c r="J164" s="7"/>
      <c r="L164" s="8"/>
      <c r="M164" s="86"/>
      <c r="N164" s="24"/>
      <c r="O164" s="8"/>
      <c r="P164" s="11"/>
    </row>
    <row r="165" spans="1:16" x14ac:dyDescent="0.25">
      <c r="A165" s="22"/>
      <c r="B165" s="137"/>
      <c r="C165" s="13"/>
      <c r="D165" s="14"/>
      <c r="E165" s="103"/>
      <c r="F165" s="158"/>
      <c r="G165" s="162"/>
      <c r="J165" s="7"/>
      <c r="L165" s="8"/>
      <c r="M165" s="9"/>
      <c r="N165" s="24"/>
      <c r="O165" s="8"/>
      <c r="P165" s="11"/>
    </row>
    <row r="166" spans="1:16" ht="12.75" customHeight="1" x14ac:dyDescent="0.25">
      <c r="A166" s="22" t="s">
        <v>455</v>
      </c>
      <c r="B166" s="4" t="s">
        <v>182</v>
      </c>
      <c r="C166" s="17">
        <v>400</v>
      </c>
      <c r="D166" s="18" t="s">
        <v>24</v>
      </c>
      <c r="E166" s="3"/>
      <c r="F166" s="158"/>
      <c r="G166" s="157">
        <f>C166*F166</f>
        <v>0</v>
      </c>
      <c r="J166" s="7"/>
      <c r="L166" s="8"/>
      <c r="M166" s="9"/>
      <c r="N166" s="24"/>
      <c r="O166" s="8"/>
      <c r="P166" s="11"/>
    </row>
    <row r="167" spans="1:16" x14ac:dyDescent="0.25">
      <c r="A167" s="22"/>
      <c r="B167" s="108"/>
      <c r="C167" s="13"/>
      <c r="D167" s="14"/>
      <c r="E167" s="103"/>
      <c r="F167" s="158"/>
      <c r="G167" s="162"/>
      <c r="J167" s="7"/>
      <c r="L167" s="8"/>
      <c r="M167" s="112"/>
      <c r="N167" s="24"/>
      <c r="O167" s="8"/>
      <c r="P167" s="11"/>
    </row>
    <row r="168" spans="1:16" x14ac:dyDescent="0.25">
      <c r="A168" s="3" t="s">
        <v>456</v>
      </c>
      <c r="B168" s="4" t="s">
        <v>184</v>
      </c>
      <c r="C168" s="17">
        <v>400</v>
      </c>
      <c r="D168" s="18" t="s">
        <v>24</v>
      </c>
      <c r="E168" s="3"/>
      <c r="F168" s="158"/>
      <c r="G168" s="157">
        <f>C168*F168</f>
        <v>0</v>
      </c>
      <c r="J168" s="7"/>
      <c r="L168" s="8"/>
      <c r="M168" s="112"/>
      <c r="N168" s="24"/>
      <c r="O168" s="8"/>
      <c r="P168" s="11"/>
    </row>
    <row r="169" spans="1:16" x14ac:dyDescent="0.25">
      <c r="A169" s="22"/>
      <c r="B169" s="108"/>
      <c r="C169" s="13"/>
      <c r="D169" s="14"/>
      <c r="E169" s="103"/>
      <c r="F169" s="158"/>
      <c r="G169" s="162"/>
      <c r="J169" s="7"/>
      <c r="L169" s="8"/>
      <c r="M169" s="112"/>
      <c r="N169" s="24"/>
      <c r="O169" s="8"/>
      <c r="P169" s="11"/>
    </row>
    <row r="170" spans="1:16" ht="26.4" x14ac:dyDescent="0.25">
      <c r="A170" s="3" t="s">
        <v>895</v>
      </c>
      <c r="B170" s="4" t="s">
        <v>186</v>
      </c>
      <c r="C170" s="17">
        <v>400</v>
      </c>
      <c r="D170" s="3" t="s">
        <v>24</v>
      </c>
      <c r="E170" s="103"/>
      <c r="F170" s="158"/>
      <c r="G170" s="157">
        <f>C170*F170</f>
        <v>0</v>
      </c>
      <c r="J170" s="7"/>
      <c r="L170" s="8"/>
      <c r="M170" s="112"/>
      <c r="N170" s="24"/>
      <c r="O170" s="8"/>
      <c r="P170" s="11"/>
    </row>
    <row r="171" spans="1:16" x14ac:dyDescent="0.25">
      <c r="A171" s="22"/>
      <c r="B171" s="108"/>
      <c r="C171" s="13"/>
      <c r="D171" s="14"/>
      <c r="E171" s="103"/>
      <c r="F171" s="158"/>
      <c r="G171" s="162"/>
      <c r="J171" s="7"/>
      <c r="L171" s="8"/>
      <c r="M171" s="112"/>
      <c r="N171" s="24"/>
      <c r="O171" s="8"/>
      <c r="P171" s="11"/>
    </row>
    <row r="172" spans="1:16" ht="12.75" customHeight="1" x14ac:dyDescent="0.25">
      <c r="A172" s="22" t="s">
        <v>896</v>
      </c>
      <c r="B172" s="16" t="s">
        <v>187</v>
      </c>
      <c r="C172" s="17">
        <v>3000</v>
      </c>
      <c r="D172" s="18" t="s">
        <v>162</v>
      </c>
      <c r="E172" s="3"/>
      <c r="F172" s="158"/>
      <c r="G172" s="157">
        <f>C172*F172</f>
        <v>0</v>
      </c>
      <c r="J172" s="7"/>
      <c r="L172" s="8"/>
      <c r="M172" s="9"/>
      <c r="N172" s="24"/>
      <c r="O172" s="8"/>
      <c r="P172" s="11"/>
    </row>
    <row r="173" spans="1:16" x14ac:dyDescent="0.25">
      <c r="A173" s="22"/>
      <c r="B173" s="16"/>
      <c r="C173" s="13"/>
      <c r="D173" s="14"/>
      <c r="E173" s="103"/>
      <c r="F173" s="158"/>
      <c r="G173" s="162"/>
      <c r="J173" s="7"/>
      <c r="L173" s="8"/>
      <c r="M173" s="9"/>
      <c r="N173" s="24"/>
      <c r="O173" s="8"/>
      <c r="P173" s="11"/>
    </row>
    <row r="174" spans="1:16" ht="12.75" customHeight="1" x14ac:dyDescent="0.25">
      <c r="A174" s="22" t="s">
        <v>897</v>
      </c>
      <c r="B174" s="16" t="s">
        <v>188</v>
      </c>
      <c r="C174" s="17">
        <v>60000</v>
      </c>
      <c r="D174" s="18" t="s">
        <v>162</v>
      </c>
      <c r="E174" s="3"/>
      <c r="F174" s="158"/>
      <c r="G174" s="157">
        <f>C174*F174</f>
        <v>0</v>
      </c>
      <c r="J174" s="7"/>
      <c r="L174" s="8"/>
      <c r="M174" s="9"/>
      <c r="N174" s="24"/>
      <c r="O174" s="8"/>
      <c r="P174" s="11"/>
    </row>
    <row r="175" spans="1:16" x14ac:dyDescent="0.25">
      <c r="A175" s="22"/>
      <c r="B175" s="16"/>
      <c r="C175" s="13"/>
      <c r="D175" s="14"/>
      <c r="E175" s="103"/>
      <c r="F175" s="158"/>
      <c r="G175" s="162"/>
      <c r="J175" s="7"/>
      <c r="L175" s="8"/>
      <c r="M175" s="9"/>
      <c r="N175" s="24"/>
      <c r="O175" s="8"/>
      <c r="P175" s="11"/>
    </row>
    <row r="176" spans="1:16" ht="12.75" customHeight="1" x14ac:dyDescent="0.25">
      <c r="A176" s="22" t="s">
        <v>898</v>
      </c>
      <c r="B176" s="16" t="s">
        <v>190</v>
      </c>
      <c r="C176" s="17">
        <v>10</v>
      </c>
      <c r="D176" s="18" t="s">
        <v>24</v>
      </c>
      <c r="E176" s="3"/>
      <c r="F176" s="158"/>
      <c r="G176" s="157">
        <f>C176*F176</f>
        <v>0</v>
      </c>
      <c r="J176" s="7"/>
      <c r="L176" s="8"/>
      <c r="M176" s="9"/>
      <c r="N176" s="24"/>
      <c r="O176" s="8"/>
      <c r="P176" s="11"/>
    </row>
    <row r="177" spans="1:16" x14ac:dyDescent="0.25">
      <c r="A177" s="22"/>
      <c r="B177" s="13"/>
      <c r="C177" s="13"/>
      <c r="D177" s="14"/>
      <c r="E177" s="103"/>
      <c r="F177" s="158"/>
      <c r="G177" s="162"/>
      <c r="J177" s="7"/>
      <c r="L177" s="8"/>
      <c r="M177" s="9"/>
      <c r="N177" s="24"/>
      <c r="O177" s="8"/>
      <c r="P177" s="11"/>
    </row>
    <row r="178" spans="1:16" ht="12.9" customHeight="1" x14ac:dyDescent="0.25">
      <c r="A178" s="22" t="s">
        <v>899</v>
      </c>
      <c r="B178" s="4" t="s">
        <v>192</v>
      </c>
      <c r="C178" s="113">
        <v>50</v>
      </c>
      <c r="D178" s="114" t="s">
        <v>24</v>
      </c>
      <c r="E178" s="3"/>
      <c r="F178" s="158"/>
      <c r="G178" s="157">
        <f>C178*F178</f>
        <v>0</v>
      </c>
      <c r="J178" s="7"/>
      <c r="L178" s="115"/>
      <c r="M178" s="86"/>
      <c r="N178" s="24"/>
      <c r="O178" s="8"/>
      <c r="P178" s="11"/>
    </row>
    <row r="179" spans="1:16" x14ac:dyDescent="0.25">
      <c r="A179" s="22"/>
      <c r="B179" s="13"/>
      <c r="C179" s="13"/>
      <c r="D179" s="14"/>
      <c r="E179" s="103"/>
      <c r="F179" s="158"/>
      <c r="G179" s="162"/>
      <c r="J179" s="7"/>
      <c r="L179" s="8"/>
      <c r="M179" s="116"/>
      <c r="N179" s="115"/>
      <c r="O179" s="115"/>
      <c r="P179" s="11"/>
    </row>
    <row r="180" spans="1:16" ht="12.75" customHeight="1" x14ac:dyDescent="0.25">
      <c r="A180" s="22" t="s">
        <v>900</v>
      </c>
      <c r="B180" s="16" t="s">
        <v>194</v>
      </c>
      <c r="C180" s="17">
        <v>60000</v>
      </c>
      <c r="D180" s="18" t="s">
        <v>46</v>
      </c>
      <c r="E180" s="3"/>
      <c r="F180" s="158"/>
      <c r="G180" s="157">
        <f>C180*F180</f>
        <v>0</v>
      </c>
      <c r="J180" s="7"/>
      <c r="M180" s="86"/>
      <c r="N180" s="24"/>
      <c r="O180" s="8"/>
      <c r="P180" s="11"/>
    </row>
    <row r="181" spans="1:16" x14ac:dyDescent="0.25">
      <c r="A181" s="22"/>
      <c r="B181" s="108"/>
      <c r="C181" s="13"/>
      <c r="D181" s="14"/>
      <c r="E181" s="103"/>
      <c r="F181" s="158"/>
      <c r="G181" s="162"/>
      <c r="J181" s="7"/>
      <c r="P181" s="11"/>
    </row>
    <row r="182" spans="1:16" ht="12.75" customHeight="1" x14ac:dyDescent="0.25">
      <c r="A182" s="22" t="s">
        <v>901</v>
      </c>
      <c r="B182" s="16" t="s">
        <v>196</v>
      </c>
      <c r="C182" s="17">
        <v>60000</v>
      </c>
      <c r="D182" s="18" t="s">
        <v>46</v>
      </c>
      <c r="E182" s="3"/>
      <c r="F182" s="158"/>
      <c r="G182" s="157">
        <f>C182*F182</f>
        <v>0</v>
      </c>
      <c r="J182" s="7"/>
      <c r="P182" s="11"/>
    </row>
    <row r="183" spans="1:16" x14ac:dyDescent="0.25">
      <c r="A183" s="22"/>
      <c r="B183" s="13"/>
      <c r="C183" s="13"/>
      <c r="D183" s="14"/>
      <c r="E183" s="103"/>
      <c r="F183" s="158"/>
      <c r="G183" s="162"/>
      <c r="J183" s="7"/>
      <c r="L183" s="8"/>
      <c r="P183" s="11"/>
    </row>
    <row r="184" spans="1:16" ht="15.6" customHeight="1" x14ac:dyDescent="0.25">
      <c r="A184" s="22" t="s">
        <v>902</v>
      </c>
      <c r="B184" s="13" t="s">
        <v>198</v>
      </c>
      <c r="C184" s="13">
        <v>6</v>
      </c>
      <c r="D184" s="14" t="s">
        <v>24</v>
      </c>
      <c r="E184" s="103"/>
      <c r="F184" s="158"/>
      <c r="G184" s="157">
        <f>C184*F184</f>
        <v>0</v>
      </c>
      <c r="J184" s="7"/>
      <c r="L184" s="115"/>
      <c r="M184" s="86"/>
      <c r="N184" s="24"/>
      <c r="O184" s="8"/>
      <c r="P184" s="11"/>
    </row>
    <row r="185" spans="1:16" x14ac:dyDescent="0.25">
      <c r="A185" s="22"/>
      <c r="B185" s="13"/>
      <c r="C185" s="13"/>
      <c r="D185" s="14"/>
      <c r="E185" s="103"/>
      <c r="F185" s="158"/>
      <c r="G185" s="162"/>
      <c r="J185" s="7"/>
      <c r="L185" s="8"/>
      <c r="M185" s="116" t="s">
        <v>1</v>
      </c>
      <c r="N185" s="115"/>
      <c r="O185" s="115"/>
      <c r="P185" s="11"/>
    </row>
    <row r="186" spans="1:16" ht="12.9" customHeight="1" x14ac:dyDescent="0.25">
      <c r="A186" s="22" t="s">
        <v>903</v>
      </c>
      <c r="B186" s="16" t="s">
        <v>200</v>
      </c>
      <c r="C186" s="17">
        <v>5400</v>
      </c>
      <c r="D186" s="18" t="s">
        <v>81</v>
      </c>
      <c r="E186" s="3"/>
      <c r="F186" s="158"/>
      <c r="G186" s="157">
        <f>C186*F186</f>
        <v>0</v>
      </c>
      <c r="J186" s="7"/>
      <c r="M186" s="9"/>
      <c r="N186" s="24"/>
      <c r="O186" s="8"/>
      <c r="P186" s="11"/>
    </row>
    <row r="187" spans="1:16" x14ac:dyDescent="0.25">
      <c r="A187" s="22"/>
      <c r="B187" s="16"/>
      <c r="C187" s="13"/>
      <c r="D187" s="14"/>
      <c r="E187" s="103"/>
      <c r="F187" s="158"/>
      <c r="G187" s="162"/>
      <c r="J187" s="7"/>
      <c r="L187" s="8"/>
      <c r="N187" s="20"/>
      <c r="O187" s="21"/>
      <c r="P187" s="11"/>
    </row>
    <row r="188" spans="1:16" ht="39.6" x14ac:dyDescent="0.25">
      <c r="A188" s="22" t="s">
        <v>904</v>
      </c>
      <c r="B188" s="16" t="s">
        <v>202</v>
      </c>
      <c r="C188" s="130">
        <v>50</v>
      </c>
      <c r="D188" s="18" t="s">
        <v>67</v>
      </c>
      <c r="E188" s="3"/>
      <c r="F188" s="158"/>
      <c r="G188" s="157">
        <f>C188*F188</f>
        <v>0</v>
      </c>
      <c r="J188" s="7"/>
      <c r="L188" s="8"/>
      <c r="M188" s="9"/>
      <c r="N188" s="24"/>
      <c r="O188" s="8"/>
      <c r="P188" s="11"/>
    </row>
    <row r="189" spans="1:16" x14ac:dyDescent="0.25">
      <c r="A189" s="22"/>
      <c r="B189" s="13"/>
      <c r="C189" s="117"/>
      <c r="D189" s="14"/>
      <c r="E189" s="103"/>
      <c r="F189" s="158"/>
      <c r="G189" s="162"/>
      <c r="J189" s="7"/>
      <c r="L189" s="8"/>
      <c r="M189" s="15" t="s">
        <v>1</v>
      </c>
      <c r="N189" s="24"/>
      <c r="O189" s="8"/>
      <c r="P189" s="11"/>
    </row>
    <row r="190" spans="1:16" ht="12.9" customHeight="1" x14ac:dyDescent="0.25">
      <c r="A190" s="22" t="s">
        <v>905</v>
      </c>
      <c r="B190" s="4" t="s">
        <v>204</v>
      </c>
      <c r="C190" s="118">
        <v>10</v>
      </c>
      <c r="D190" s="3" t="s">
        <v>24</v>
      </c>
      <c r="E190" s="3"/>
      <c r="F190" s="158"/>
      <c r="G190" s="157">
        <f>C190*F190</f>
        <v>0</v>
      </c>
      <c r="J190" s="7"/>
      <c r="L190" s="8"/>
      <c r="M190" s="9" t="s">
        <v>1</v>
      </c>
      <c r="N190" s="24"/>
      <c r="O190" s="8"/>
      <c r="P190" s="11"/>
    </row>
    <row r="191" spans="1:16" x14ac:dyDescent="0.25">
      <c r="A191" s="22"/>
      <c r="B191" s="4"/>
      <c r="C191" s="118"/>
      <c r="D191" s="3"/>
      <c r="E191" s="103"/>
      <c r="F191" s="158"/>
      <c r="G191" s="162"/>
      <c r="J191" s="7"/>
      <c r="M191" s="9"/>
      <c r="N191" s="24"/>
      <c r="O191" s="8"/>
      <c r="P191" s="11"/>
    </row>
    <row r="192" spans="1:16" ht="15.6" customHeight="1" x14ac:dyDescent="0.25">
      <c r="A192" s="22" t="s">
        <v>906</v>
      </c>
      <c r="B192" s="4" t="s">
        <v>206</v>
      </c>
      <c r="C192" s="119">
        <v>50</v>
      </c>
      <c r="D192" s="22" t="s">
        <v>24</v>
      </c>
      <c r="E192" s="22"/>
      <c r="F192" s="158"/>
      <c r="G192" s="157">
        <f>C192*F192</f>
        <v>0</v>
      </c>
      <c r="J192" s="7"/>
      <c r="L192" s="8"/>
      <c r="P192" s="11"/>
    </row>
    <row r="193" spans="1:16" ht="15.6" customHeight="1" x14ac:dyDescent="0.25">
      <c r="A193" s="22"/>
      <c r="B193" s="4"/>
      <c r="C193" s="119"/>
      <c r="D193" s="22"/>
      <c r="E193" s="22"/>
      <c r="F193" s="158"/>
      <c r="G193" s="157"/>
      <c r="J193" s="7"/>
      <c r="L193" s="8"/>
      <c r="P193" s="11"/>
    </row>
    <row r="194" spans="1:16" x14ac:dyDescent="0.25">
      <c r="A194" s="135" t="s">
        <v>457</v>
      </c>
      <c r="B194" s="109" t="s">
        <v>208</v>
      </c>
      <c r="C194" s="118"/>
      <c r="D194" s="3"/>
      <c r="E194" s="3"/>
      <c r="F194" s="158"/>
      <c r="G194" s="163"/>
      <c r="J194" s="7"/>
      <c r="L194" s="8"/>
      <c r="M194" s="9" t="s">
        <v>1</v>
      </c>
      <c r="N194" s="24"/>
      <c r="O194" s="8"/>
      <c r="P194" s="11"/>
    </row>
    <row r="195" spans="1:16" x14ac:dyDescent="0.25">
      <c r="A195" s="3"/>
      <c r="B195" s="4"/>
      <c r="C195" s="118"/>
      <c r="D195" s="3"/>
      <c r="E195" s="3"/>
      <c r="F195" s="158"/>
      <c r="G195" s="163"/>
      <c r="J195" s="7"/>
      <c r="M195" s="9"/>
      <c r="N195" s="24"/>
      <c r="O195" s="8"/>
      <c r="P195" s="11"/>
    </row>
    <row r="196" spans="1:16" x14ac:dyDescent="0.25">
      <c r="A196" s="3" t="s">
        <v>458</v>
      </c>
      <c r="B196" s="4" t="s">
        <v>210</v>
      </c>
      <c r="C196" s="118">
        <v>5</v>
      </c>
      <c r="D196" s="3" t="s">
        <v>24</v>
      </c>
      <c r="E196" s="3"/>
      <c r="F196" s="158"/>
      <c r="G196" s="157">
        <f>C196*F196</f>
        <v>0</v>
      </c>
      <c r="J196" s="7"/>
      <c r="L196" s="8"/>
      <c r="P196" s="11"/>
    </row>
    <row r="197" spans="1:16" x14ac:dyDescent="0.25">
      <c r="A197" s="3"/>
      <c r="B197" s="4"/>
      <c r="C197" s="118"/>
      <c r="D197" s="3"/>
      <c r="E197" s="3"/>
      <c r="F197" s="158"/>
      <c r="G197" s="163"/>
      <c r="J197" s="7"/>
      <c r="L197" s="8"/>
      <c r="P197" s="11"/>
    </row>
    <row r="198" spans="1:16" x14ac:dyDescent="0.25">
      <c r="A198" s="3" t="s">
        <v>459</v>
      </c>
      <c r="B198" s="4" t="s">
        <v>212</v>
      </c>
      <c r="C198" s="118">
        <v>20</v>
      </c>
      <c r="D198" s="3" t="s">
        <v>24</v>
      </c>
      <c r="E198" s="3"/>
      <c r="F198" s="158"/>
      <c r="G198" s="157">
        <f>C198*F198</f>
        <v>0</v>
      </c>
      <c r="J198" s="7"/>
      <c r="L198" s="8"/>
      <c r="P198" s="11"/>
    </row>
    <row r="199" spans="1:16" x14ac:dyDescent="0.25">
      <c r="A199" s="3"/>
      <c r="B199" s="4"/>
      <c r="C199" s="118"/>
      <c r="D199" s="3"/>
      <c r="E199" s="3"/>
      <c r="F199" s="158"/>
      <c r="G199" s="163"/>
      <c r="J199" s="7"/>
      <c r="L199" s="8"/>
      <c r="M199" s="9" t="s">
        <v>1</v>
      </c>
      <c r="N199" s="24"/>
      <c r="O199" s="8"/>
      <c r="P199" s="11"/>
    </row>
    <row r="200" spans="1:16" x14ac:dyDescent="0.25">
      <c r="A200" s="3" t="s">
        <v>460</v>
      </c>
      <c r="B200" s="4" t="s">
        <v>214</v>
      </c>
      <c r="C200" s="118">
        <v>5</v>
      </c>
      <c r="D200" s="3" t="s">
        <v>24</v>
      </c>
      <c r="E200" s="3"/>
      <c r="F200" s="158"/>
      <c r="G200" s="157">
        <f>C200*F200</f>
        <v>0</v>
      </c>
      <c r="J200" s="7"/>
      <c r="L200" s="8"/>
      <c r="M200" s="9" t="s">
        <v>1</v>
      </c>
      <c r="N200" s="24"/>
      <c r="O200" s="8"/>
      <c r="P200" s="11"/>
    </row>
    <row r="201" spans="1:16" x14ac:dyDescent="0.25">
      <c r="A201" s="3"/>
      <c r="B201" s="4"/>
      <c r="C201" s="118"/>
      <c r="D201" s="3"/>
      <c r="E201" s="3"/>
      <c r="F201" s="158"/>
      <c r="G201" s="163"/>
      <c r="J201" s="7"/>
      <c r="L201" s="8"/>
      <c r="M201" s="9"/>
      <c r="N201" s="24"/>
      <c r="O201" s="8"/>
      <c r="P201" s="11"/>
    </row>
    <row r="202" spans="1:16" x14ac:dyDescent="0.25">
      <c r="A202" s="3" t="s">
        <v>461</v>
      </c>
      <c r="B202" s="4" t="s">
        <v>216</v>
      </c>
      <c r="C202" s="118">
        <v>20</v>
      </c>
      <c r="D202" s="3" t="s">
        <v>24</v>
      </c>
      <c r="E202" s="3"/>
      <c r="F202" s="158"/>
      <c r="G202" s="157">
        <f>C202*F202</f>
        <v>0</v>
      </c>
      <c r="J202" s="7"/>
      <c r="L202" s="8"/>
      <c r="M202" s="9"/>
      <c r="N202" s="24"/>
      <c r="O202" s="8"/>
      <c r="P202" s="11"/>
    </row>
    <row r="203" spans="1:16" x14ac:dyDescent="0.25">
      <c r="A203" s="3"/>
      <c r="B203" s="4"/>
      <c r="C203" s="118"/>
      <c r="D203" s="3"/>
      <c r="E203" s="3"/>
      <c r="F203" s="158"/>
      <c r="G203" s="163"/>
      <c r="J203" s="7"/>
      <c r="M203" s="9" t="s">
        <v>1</v>
      </c>
      <c r="N203" s="24"/>
      <c r="O203" s="8"/>
      <c r="P203" s="11"/>
    </row>
    <row r="204" spans="1:16" x14ac:dyDescent="0.25">
      <c r="A204" s="3" t="s">
        <v>462</v>
      </c>
      <c r="B204" s="4" t="s">
        <v>218</v>
      </c>
      <c r="C204" s="118">
        <v>5</v>
      </c>
      <c r="D204" s="3" t="s">
        <v>24</v>
      </c>
      <c r="E204" s="3"/>
      <c r="F204" s="158"/>
      <c r="G204" s="157">
        <f>C204*F204</f>
        <v>0</v>
      </c>
      <c r="J204" s="7"/>
      <c r="L204" s="8"/>
      <c r="P204" s="11"/>
    </row>
    <row r="205" spans="1:16" x14ac:dyDescent="0.25">
      <c r="A205" s="3"/>
      <c r="B205" s="4"/>
      <c r="C205" s="118"/>
      <c r="D205" s="3"/>
      <c r="E205" s="3"/>
      <c r="F205" s="158"/>
      <c r="G205" s="163"/>
      <c r="J205" s="7"/>
      <c r="L205" s="8"/>
      <c r="P205" s="11"/>
    </row>
    <row r="206" spans="1:16" x14ac:dyDescent="0.25">
      <c r="A206" s="3" t="s">
        <v>463</v>
      </c>
      <c r="B206" s="4" t="s">
        <v>220</v>
      </c>
      <c r="C206" s="118">
        <v>20</v>
      </c>
      <c r="D206" s="3" t="s">
        <v>24</v>
      </c>
      <c r="E206" s="3"/>
      <c r="F206" s="158"/>
      <c r="G206" s="157">
        <f>C206*F206</f>
        <v>0</v>
      </c>
      <c r="J206" s="7"/>
      <c r="L206" s="8"/>
      <c r="P206" s="11"/>
    </row>
    <row r="207" spans="1:16" x14ac:dyDescent="0.25">
      <c r="A207" s="3"/>
      <c r="B207" s="4"/>
      <c r="C207" s="118"/>
      <c r="D207" s="3"/>
      <c r="E207" s="3"/>
      <c r="F207" s="158"/>
      <c r="G207" s="163"/>
      <c r="J207" s="7"/>
      <c r="L207" s="8"/>
      <c r="M207" s="9" t="s">
        <v>1</v>
      </c>
      <c r="N207" s="24"/>
      <c r="O207" s="8"/>
      <c r="P207" s="11"/>
    </row>
    <row r="208" spans="1:16" x14ac:dyDescent="0.25">
      <c r="A208" s="3" t="s">
        <v>464</v>
      </c>
      <c r="B208" s="4" t="s">
        <v>222</v>
      </c>
      <c r="C208" s="118">
        <v>5</v>
      </c>
      <c r="D208" s="3" t="s">
        <v>24</v>
      </c>
      <c r="E208" s="3"/>
      <c r="F208" s="158"/>
      <c r="G208" s="157">
        <f>C208*F208</f>
        <v>0</v>
      </c>
      <c r="J208" s="7"/>
      <c r="L208" s="8"/>
      <c r="M208" s="9" t="s">
        <v>1</v>
      </c>
      <c r="N208" s="24"/>
      <c r="O208" s="8"/>
      <c r="P208" s="11"/>
    </row>
    <row r="209" spans="1:16" x14ac:dyDescent="0.25">
      <c r="A209" s="3"/>
      <c r="B209" s="4"/>
      <c r="C209" s="120"/>
      <c r="D209" s="3"/>
      <c r="E209" s="3"/>
      <c r="F209" s="158"/>
      <c r="G209" s="163"/>
      <c r="J209" s="7"/>
      <c r="L209" s="8"/>
      <c r="M209" s="9"/>
      <c r="N209" s="24"/>
      <c r="O209" s="8"/>
      <c r="P209" s="11"/>
    </row>
    <row r="210" spans="1:16" x14ac:dyDescent="0.25">
      <c r="A210" s="3" t="s">
        <v>465</v>
      </c>
      <c r="B210" s="4" t="s">
        <v>224</v>
      </c>
      <c r="C210" s="118">
        <v>20</v>
      </c>
      <c r="D210" s="3" t="s">
        <v>24</v>
      </c>
      <c r="E210" s="3"/>
      <c r="F210" s="158"/>
      <c r="G210" s="157">
        <f>C210*F210</f>
        <v>0</v>
      </c>
      <c r="J210" s="7"/>
      <c r="L210" s="8"/>
      <c r="M210" s="9"/>
      <c r="N210" s="24"/>
      <c r="O210" s="8"/>
      <c r="P210" s="11"/>
    </row>
    <row r="211" spans="1:16" x14ac:dyDescent="0.25">
      <c r="A211" s="3"/>
      <c r="B211" s="4"/>
      <c r="C211" s="118"/>
      <c r="D211" s="3"/>
      <c r="E211" s="3"/>
      <c r="F211" s="158"/>
      <c r="G211" s="163"/>
      <c r="J211" s="7"/>
      <c r="M211" s="9" t="s">
        <v>1</v>
      </c>
      <c r="N211" s="24"/>
      <c r="O211" s="8"/>
      <c r="P211" s="11"/>
    </row>
    <row r="212" spans="1:16" x14ac:dyDescent="0.25">
      <c r="A212" s="3" t="s">
        <v>466</v>
      </c>
      <c r="B212" s="4" t="s">
        <v>226</v>
      </c>
      <c r="C212" s="118">
        <v>20</v>
      </c>
      <c r="D212" s="3" t="s">
        <v>24</v>
      </c>
      <c r="E212" s="3"/>
      <c r="F212" s="158"/>
      <c r="G212" s="157">
        <f>C212*F212</f>
        <v>0</v>
      </c>
      <c r="J212" s="7"/>
      <c r="L212" s="8"/>
      <c r="P212" s="11"/>
    </row>
    <row r="213" spans="1:16" x14ac:dyDescent="0.25">
      <c r="A213" s="3"/>
      <c r="B213" s="4"/>
      <c r="C213" s="118"/>
      <c r="D213" s="3"/>
      <c r="E213" s="3"/>
      <c r="F213" s="158"/>
      <c r="G213" s="163"/>
      <c r="J213" s="7"/>
      <c r="L213" s="8"/>
      <c r="M213" s="9" t="s">
        <v>1</v>
      </c>
      <c r="N213" s="24"/>
      <c r="O213" s="8"/>
      <c r="P213" s="11"/>
    </row>
    <row r="214" spans="1:16" x14ac:dyDescent="0.25">
      <c r="A214" s="3" t="s">
        <v>467</v>
      </c>
      <c r="B214" s="4" t="s">
        <v>228</v>
      </c>
      <c r="C214" s="118">
        <v>20</v>
      </c>
      <c r="D214" s="3" t="s">
        <v>24</v>
      </c>
      <c r="E214" s="3"/>
      <c r="F214" s="158"/>
      <c r="G214" s="157">
        <f>C214*F214</f>
        <v>0</v>
      </c>
      <c r="J214" s="7"/>
      <c r="L214" s="8"/>
      <c r="M214" s="9" t="s">
        <v>1</v>
      </c>
      <c r="N214" s="24"/>
      <c r="O214" s="8"/>
      <c r="P214" s="11"/>
    </row>
    <row r="215" spans="1:16" x14ac:dyDescent="0.25">
      <c r="A215" s="3"/>
      <c r="B215" s="4"/>
      <c r="C215" s="118"/>
      <c r="D215" s="3"/>
      <c r="E215" s="3"/>
      <c r="F215" s="158"/>
      <c r="G215" s="163"/>
      <c r="J215" s="7"/>
      <c r="M215" s="9" t="s">
        <v>1</v>
      </c>
      <c r="N215" s="24"/>
      <c r="O215" s="8"/>
      <c r="P215" s="11"/>
    </row>
    <row r="216" spans="1:16" x14ac:dyDescent="0.25">
      <c r="A216" s="3" t="s">
        <v>468</v>
      </c>
      <c r="B216" s="4" t="s">
        <v>230</v>
      </c>
      <c r="C216" s="118">
        <v>10</v>
      </c>
      <c r="D216" s="3" t="s">
        <v>24</v>
      </c>
      <c r="E216" s="3"/>
      <c r="F216" s="158"/>
      <c r="G216" s="157">
        <f>C216*F216</f>
        <v>0</v>
      </c>
      <c r="J216" s="7"/>
      <c r="L216" s="8"/>
      <c r="P216" s="11"/>
    </row>
    <row r="217" spans="1:16" x14ac:dyDescent="0.25">
      <c r="A217" s="3"/>
      <c r="B217" s="4"/>
      <c r="C217" s="118"/>
      <c r="D217" s="3"/>
      <c r="E217" s="3"/>
      <c r="F217" s="158"/>
      <c r="G217" s="163"/>
      <c r="J217" s="7"/>
      <c r="L217" s="8"/>
      <c r="P217" s="11"/>
    </row>
    <row r="218" spans="1:16" x14ac:dyDescent="0.25">
      <c r="A218" s="3" t="s">
        <v>469</v>
      </c>
      <c r="B218" s="4" t="s">
        <v>232</v>
      </c>
      <c r="C218" s="118">
        <v>10</v>
      </c>
      <c r="D218" s="3" t="s">
        <v>24</v>
      </c>
      <c r="E218" s="3"/>
      <c r="F218" s="158"/>
      <c r="G218" s="157">
        <f>C218*F218</f>
        <v>0</v>
      </c>
      <c r="J218" s="7"/>
      <c r="L218" s="8"/>
      <c r="P218" s="11"/>
    </row>
    <row r="219" spans="1:16" x14ac:dyDescent="0.25">
      <c r="A219" s="3"/>
      <c r="B219" s="4"/>
      <c r="C219" s="118"/>
      <c r="D219" s="3"/>
      <c r="E219" s="3"/>
      <c r="F219" s="158"/>
      <c r="G219" s="163"/>
      <c r="J219" s="7"/>
      <c r="L219" s="8"/>
      <c r="M219" s="9" t="s">
        <v>1</v>
      </c>
      <c r="N219" s="24"/>
      <c r="O219" s="8"/>
      <c r="P219" s="11"/>
    </row>
    <row r="220" spans="1:16" x14ac:dyDescent="0.25">
      <c r="A220" s="3" t="s">
        <v>470</v>
      </c>
      <c r="B220" s="4" t="s">
        <v>234</v>
      </c>
      <c r="C220" s="118">
        <v>10</v>
      </c>
      <c r="D220" s="3" t="s">
        <v>24</v>
      </c>
      <c r="E220" s="3"/>
      <c r="F220" s="158"/>
      <c r="G220" s="157">
        <f>C220*F220</f>
        <v>0</v>
      </c>
      <c r="J220" s="7"/>
      <c r="L220" s="8"/>
      <c r="M220" s="9" t="s">
        <v>1</v>
      </c>
      <c r="N220" s="24"/>
      <c r="O220" s="8"/>
      <c r="P220" s="110"/>
    </row>
    <row r="221" spans="1:16" x14ac:dyDescent="0.25">
      <c r="A221" s="3"/>
      <c r="B221" s="4"/>
      <c r="C221" s="118"/>
      <c r="D221" s="3"/>
      <c r="E221" s="3"/>
      <c r="F221" s="158"/>
      <c r="G221" s="163"/>
      <c r="J221" s="7"/>
      <c r="L221" s="8"/>
      <c r="M221" s="9"/>
      <c r="N221" s="24"/>
      <c r="O221" s="8"/>
      <c r="P221" s="110"/>
    </row>
    <row r="222" spans="1:16" x14ac:dyDescent="0.25">
      <c r="A222" s="3" t="s">
        <v>471</v>
      </c>
      <c r="B222" s="4" t="s">
        <v>236</v>
      </c>
      <c r="C222" s="118">
        <v>10</v>
      </c>
      <c r="D222" s="3" t="s">
        <v>24</v>
      </c>
      <c r="E222" s="3"/>
      <c r="F222" s="158"/>
      <c r="G222" s="157">
        <f>C222*F222</f>
        <v>0</v>
      </c>
      <c r="J222" s="7"/>
      <c r="L222" s="8"/>
      <c r="M222" s="9"/>
      <c r="N222" s="24"/>
      <c r="O222" s="8"/>
      <c r="P222" s="110"/>
    </row>
    <row r="223" spans="1:16" x14ac:dyDescent="0.25">
      <c r="A223" s="3"/>
      <c r="B223" s="4"/>
      <c r="C223" s="118"/>
      <c r="D223" s="3"/>
      <c r="E223" s="3"/>
      <c r="F223" s="158"/>
      <c r="G223" s="163"/>
      <c r="J223" s="7"/>
      <c r="M223" s="9"/>
      <c r="N223" s="24"/>
      <c r="O223" s="8"/>
      <c r="P223" s="11"/>
    </row>
    <row r="224" spans="1:16" x14ac:dyDescent="0.25">
      <c r="A224" s="3" t="s">
        <v>472</v>
      </c>
      <c r="B224" s="4" t="s">
        <v>238</v>
      </c>
      <c r="C224" s="118">
        <v>50</v>
      </c>
      <c r="D224" s="3" t="s">
        <v>24</v>
      </c>
      <c r="E224" s="3"/>
      <c r="F224" s="158"/>
      <c r="G224" s="157">
        <f>C224*F224</f>
        <v>0</v>
      </c>
      <c r="J224" s="7"/>
      <c r="L224" s="8"/>
      <c r="P224" s="11"/>
    </row>
    <row r="225" spans="1:16" x14ac:dyDescent="0.25">
      <c r="A225" s="3"/>
      <c r="B225" s="4"/>
      <c r="C225" s="118"/>
      <c r="D225" s="3"/>
      <c r="E225" s="3"/>
      <c r="F225" s="158"/>
      <c r="G225" s="163"/>
      <c r="J225" s="7"/>
      <c r="M225" s="9"/>
      <c r="N225" s="24"/>
      <c r="O225" s="8"/>
      <c r="P225" s="11"/>
    </row>
    <row r="226" spans="1:16" x14ac:dyDescent="0.25">
      <c r="A226" s="3" t="s">
        <v>473</v>
      </c>
      <c r="B226" s="4" t="s">
        <v>240</v>
      </c>
      <c r="C226" s="118">
        <v>20</v>
      </c>
      <c r="D226" s="3" t="s">
        <v>24</v>
      </c>
      <c r="E226" s="3"/>
      <c r="F226" s="158"/>
      <c r="G226" s="157">
        <f>C226*F226</f>
        <v>0</v>
      </c>
      <c r="J226" s="7"/>
      <c r="L226" s="8"/>
      <c r="P226" s="11"/>
    </row>
    <row r="227" spans="1:16" x14ac:dyDescent="0.25">
      <c r="A227" s="3"/>
      <c r="B227" s="4" t="s">
        <v>1</v>
      </c>
      <c r="C227" s="118"/>
      <c r="D227" s="3"/>
      <c r="E227" s="3"/>
      <c r="F227" s="158"/>
      <c r="G227" s="163"/>
      <c r="J227" s="7"/>
      <c r="M227" s="9"/>
      <c r="N227" s="24"/>
      <c r="O227" s="8"/>
      <c r="P227" s="11"/>
    </row>
    <row r="228" spans="1:16" x14ac:dyDescent="0.25">
      <c r="A228" s="3" t="s">
        <v>474</v>
      </c>
      <c r="B228" s="4" t="s">
        <v>242</v>
      </c>
      <c r="C228" s="118">
        <v>5</v>
      </c>
      <c r="D228" s="3" t="s">
        <v>24</v>
      </c>
      <c r="E228" s="3"/>
      <c r="F228" s="158"/>
      <c r="G228" s="157">
        <f>C228*F228</f>
        <v>0</v>
      </c>
      <c r="J228" s="7"/>
      <c r="L228" s="8"/>
      <c r="P228" s="110"/>
    </row>
    <row r="229" spans="1:16" x14ac:dyDescent="0.25">
      <c r="A229" s="3"/>
      <c r="B229" s="4"/>
      <c r="C229" s="118"/>
      <c r="D229" s="3"/>
      <c r="E229" s="103"/>
      <c r="F229" s="158"/>
      <c r="G229" s="162"/>
      <c r="J229" s="7"/>
      <c r="L229" s="8"/>
      <c r="M229" s="9" t="s">
        <v>1</v>
      </c>
      <c r="N229" s="24"/>
      <c r="O229" s="8"/>
      <c r="P229" s="11"/>
    </row>
    <row r="230" spans="1:16" x14ac:dyDescent="0.25">
      <c r="A230" s="3" t="s">
        <v>475</v>
      </c>
      <c r="B230" s="4" t="s">
        <v>244</v>
      </c>
      <c r="C230" s="118">
        <v>1000</v>
      </c>
      <c r="D230" s="3" t="s">
        <v>102</v>
      </c>
      <c r="E230" s="3"/>
      <c r="F230" s="158"/>
      <c r="G230" s="157">
        <f>C230*F230</f>
        <v>0</v>
      </c>
      <c r="J230" s="7"/>
      <c r="M230" s="9"/>
      <c r="N230" s="24"/>
      <c r="O230" s="8"/>
      <c r="P230" s="11"/>
    </row>
    <row r="231" spans="1:16" x14ac:dyDescent="0.25">
      <c r="A231" s="3"/>
      <c r="B231" s="4"/>
      <c r="C231" s="118"/>
      <c r="D231" s="3"/>
      <c r="E231" s="103"/>
      <c r="F231" s="158"/>
      <c r="G231" s="162"/>
      <c r="J231" s="7"/>
      <c r="P231" s="11"/>
    </row>
    <row r="232" spans="1:16" x14ac:dyDescent="0.25">
      <c r="A232" s="3" t="s">
        <v>476</v>
      </c>
      <c r="B232" s="4" t="s">
        <v>246</v>
      </c>
      <c r="C232" s="118">
        <v>75</v>
      </c>
      <c r="D232" s="3" t="s">
        <v>24</v>
      </c>
      <c r="E232" s="3"/>
      <c r="F232" s="158"/>
      <c r="G232" s="157">
        <f>C232*F232</f>
        <v>0</v>
      </c>
      <c r="J232" s="7"/>
      <c r="P232" s="11"/>
    </row>
    <row r="233" spans="1:16" ht="12.75" customHeight="1" x14ac:dyDescent="0.25">
      <c r="A233" s="3"/>
      <c r="B233" s="4"/>
      <c r="C233" s="118"/>
      <c r="D233" s="3"/>
      <c r="E233" s="103"/>
      <c r="F233" s="158"/>
      <c r="G233" s="162"/>
      <c r="J233" s="7"/>
      <c r="P233" s="110"/>
    </row>
    <row r="234" spans="1:16" ht="13.5" customHeight="1" x14ac:dyDescent="0.25">
      <c r="A234" s="3" t="s">
        <v>477</v>
      </c>
      <c r="B234" s="4" t="s">
        <v>248</v>
      </c>
      <c r="C234" s="118">
        <v>1000</v>
      </c>
      <c r="D234" s="3" t="s">
        <v>102</v>
      </c>
      <c r="E234" s="3"/>
      <c r="F234" s="158"/>
      <c r="G234" s="157">
        <f>C234*F234</f>
        <v>0</v>
      </c>
      <c r="J234" s="7"/>
      <c r="P234" s="11"/>
    </row>
    <row r="235" spans="1:16" ht="13.5" customHeight="1" x14ac:dyDescent="0.25">
      <c r="A235" s="3"/>
      <c r="B235" s="4"/>
      <c r="C235" s="118"/>
      <c r="D235" s="3"/>
      <c r="E235" s="3"/>
      <c r="F235" s="158"/>
      <c r="G235" s="163"/>
      <c r="J235" s="7"/>
      <c r="P235" s="11"/>
    </row>
    <row r="236" spans="1:16" ht="13.5" customHeight="1" x14ac:dyDescent="0.25">
      <c r="A236" s="3" t="s">
        <v>478</v>
      </c>
      <c r="B236" s="4" t="s">
        <v>250</v>
      </c>
      <c r="C236" s="118">
        <v>5</v>
      </c>
      <c r="D236" s="3" t="s">
        <v>24</v>
      </c>
      <c r="E236" s="3"/>
      <c r="F236" s="158"/>
      <c r="G236" s="157">
        <f>C236*F236</f>
        <v>0</v>
      </c>
      <c r="J236" s="7"/>
      <c r="P236" s="11"/>
    </row>
    <row r="237" spans="1:16" ht="13.5" customHeight="1" x14ac:dyDescent="0.25">
      <c r="A237" s="3"/>
      <c r="B237" s="4"/>
      <c r="C237" s="118"/>
      <c r="D237" s="3"/>
      <c r="E237" s="3"/>
      <c r="F237" s="158"/>
      <c r="G237" s="163"/>
      <c r="J237" s="7"/>
      <c r="P237" s="11"/>
    </row>
    <row r="238" spans="1:16" ht="13.5" customHeight="1" x14ac:dyDescent="0.25">
      <c r="A238" s="121" t="s">
        <v>479</v>
      </c>
      <c r="B238" s="109" t="s">
        <v>252</v>
      </c>
      <c r="C238" s="118"/>
      <c r="D238" s="3"/>
      <c r="E238" s="3"/>
      <c r="F238" s="158"/>
      <c r="G238" s="163"/>
      <c r="J238" s="7"/>
      <c r="P238" s="11"/>
    </row>
    <row r="239" spans="1:16" ht="13.5" customHeight="1" x14ac:dyDescent="0.25">
      <c r="A239" s="3"/>
      <c r="B239" s="4"/>
      <c r="C239" s="118"/>
      <c r="D239" s="3"/>
      <c r="E239" s="3"/>
      <c r="F239" s="158"/>
      <c r="G239" s="163"/>
      <c r="J239" s="7"/>
      <c r="P239" s="11"/>
    </row>
    <row r="240" spans="1:16" ht="26.4" customHeight="1" x14ac:dyDescent="0.25">
      <c r="A240" s="3" t="s">
        <v>480</v>
      </c>
      <c r="B240" s="4" t="s">
        <v>254</v>
      </c>
      <c r="C240" s="177">
        <v>10000</v>
      </c>
      <c r="D240" s="3" t="s">
        <v>46</v>
      </c>
      <c r="E240" s="3"/>
      <c r="F240" s="158"/>
      <c r="G240" s="157">
        <f>C240*F240</f>
        <v>0</v>
      </c>
      <c r="J240" s="7"/>
      <c r="P240" s="11"/>
    </row>
    <row r="241" spans="1:16" x14ac:dyDescent="0.25">
      <c r="A241" s="3"/>
      <c r="B241" s="4"/>
      <c r="C241" s="120"/>
      <c r="D241" s="3"/>
      <c r="E241" s="103"/>
      <c r="F241" s="158"/>
      <c r="G241" s="162"/>
      <c r="J241" s="7"/>
      <c r="P241" s="11"/>
    </row>
    <row r="242" spans="1:16" x14ac:dyDescent="0.25">
      <c r="A242" s="135" t="s">
        <v>481</v>
      </c>
      <c r="B242" s="197" t="s">
        <v>256</v>
      </c>
      <c r="C242" s="197"/>
      <c r="D242" s="197"/>
      <c r="E242" s="103"/>
      <c r="F242" s="158"/>
      <c r="G242" s="162"/>
      <c r="J242" s="7"/>
      <c r="P242" s="11"/>
    </row>
    <row r="243" spans="1:16" x14ac:dyDescent="0.25">
      <c r="A243" s="22"/>
      <c r="B243" s="13"/>
      <c r="C243" s="13"/>
      <c r="D243" s="14"/>
      <c r="E243" s="103"/>
      <c r="F243" s="158"/>
      <c r="G243" s="162"/>
      <c r="J243" s="7"/>
      <c r="P243" s="11"/>
    </row>
    <row r="244" spans="1:16" ht="12.9" customHeight="1" x14ac:dyDescent="0.25">
      <c r="A244" s="22" t="s">
        <v>482</v>
      </c>
      <c r="B244" s="16" t="s">
        <v>258</v>
      </c>
      <c r="C244" s="25">
        <v>2000</v>
      </c>
      <c r="D244" s="18" t="str">
        <f>'[1]Synopsis of Line Items'!D363</f>
        <v>HR</v>
      </c>
      <c r="E244" s="3"/>
      <c r="F244" s="158"/>
      <c r="G244" s="157">
        <f>C244*F244</f>
        <v>0</v>
      </c>
      <c r="J244" s="7"/>
      <c r="L244" s="23" t="s">
        <v>1</v>
      </c>
      <c r="P244" s="11"/>
    </row>
    <row r="245" spans="1:16" x14ac:dyDescent="0.25">
      <c r="A245" s="22"/>
      <c r="B245" s="16"/>
      <c r="C245" s="13"/>
      <c r="D245" s="14"/>
      <c r="E245" s="103"/>
      <c r="F245" s="161"/>
      <c r="G245" s="162"/>
      <c r="J245" s="7"/>
      <c r="L245" s="8"/>
      <c r="M245" s="196" t="s">
        <v>1</v>
      </c>
      <c r="N245" s="196"/>
      <c r="O245" s="196"/>
      <c r="P245" s="11"/>
    </row>
    <row r="246" spans="1:16" ht="12.9" customHeight="1" x14ac:dyDescent="0.25">
      <c r="A246" s="22" t="s">
        <v>483</v>
      </c>
      <c r="B246" s="16" t="s">
        <v>933</v>
      </c>
      <c r="C246" s="26">
        <v>1</v>
      </c>
      <c r="D246" s="18" t="s">
        <v>932</v>
      </c>
      <c r="E246" s="3"/>
      <c r="F246" s="155">
        <v>250000</v>
      </c>
      <c r="G246" s="157">
        <f>C246*F246</f>
        <v>250000</v>
      </c>
      <c r="J246" s="7"/>
      <c r="L246" s="8"/>
      <c r="M246" s="9"/>
      <c r="N246" s="24"/>
      <c r="O246" s="8"/>
      <c r="P246" s="11"/>
    </row>
    <row r="247" spans="1:16" x14ac:dyDescent="0.25">
      <c r="A247" s="22"/>
      <c r="B247" s="13"/>
      <c r="C247" s="13"/>
      <c r="D247" s="14"/>
      <c r="E247" s="103"/>
      <c r="F247" s="166"/>
      <c r="G247" s="162"/>
      <c r="L247" s="8"/>
      <c r="M247" s="122" t="s">
        <v>1</v>
      </c>
      <c r="N247" s="24"/>
      <c r="O247" s="8"/>
      <c r="P247" s="11"/>
    </row>
    <row r="248" spans="1:16" ht="12.75" customHeight="1" x14ac:dyDescent="0.25">
      <c r="A248" s="190" t="s">
        <v>484</v>
      </c>
      <c r="B248" s="190"/>
      <c r="C248" s="202" t="s">
        <v>262</v>
      </c>
      <c r="D248" s="203"/>
      <c r="E248" s="203"/>
      <c r="F248" s="203"/>
      <c r="G248" s="194">
        <f>SUM(G12:G247)</f>
        <v>250000</v>
      </c>
      <c r="L248" s="8"/>
      <c r="M248" s="122" t="s">
        <v>1</v>
      </c>
      <c r="N248" s="24"/>
      <c r="O248" s="8"/>
      <c r="P248" s="11"/>
    </row>
    <row r="249" spans="1:16" ht="12.75" customHeight="1" x14ac:dyDescent="0.25">
      <c r="A249" s="190" t="s">
        <v>485</v>
      </c>
      <c r="B249" s="190"/>
      <c r="C249" s="204"/>
      <c r="D249" s="205"/>
      <c r="E249" s="205"/>
      <c r="F249" s="205"/>
      <c r="G249" s="195"/>
      <c r="L249" s="8"/>
      <c r="M249" s="124" t="s">
        <v>1</v>
      </c>
      <c r="N249" s="24"/>
      <c r="O249" s="8"/>
      <c r="P249" s="11"/>
    </row>
    <row r="250" spans="1:16" x14ac:dyDescent="0.25">
      <c r="L250" s="8"/>
      <c r="M250" s="124" t="s">
        <v>1</v>
      </c>
      <c r="N250" s="24"/>
      <c r="O250" s="8"/>
      <c r="P250" s="11"/>
    </row>
    <row r="251" spans="1:16" x14ac:dyDescent="0.25">
      <c r="B251" s="169"/>
      <c r="C251" s="169"/>
      <c r="D251" s="170"/>
      <c r="L251" s="8"/>
      <c r="M251" s="122" t="s">
        <v>1</v>
      </c>
      <c r="N251" s="24"/>
      <c r="O251" s="8"/>
      <c r="P251" s="11"/>
    </row>
    <row r="252" spans="1:16" x14ac:dyDescent="0.25">
      <c r="B252" s="169"/>
      <c r="C252" s="169"/>
      <c r="D252" s="170"/>
      <c r="L252" s="8"/>
      <c r="M252" s="88"/>
      <c r="N252" s="24"/>
      <c r="O252" s="8"/>
      <c r="P252" s="11"/>
    </row>
    <row r="253" spans="1:16" x14ac:dyDescent="0.25">
      <c r="B253" s="169"/>
      <c r="C253" s="169"/>
      <c r="D253" s="170"/>
      <c r="L253" s="8"/>
      <c r="M253" s="88"/>
      <c r="N253" s="24"/>
      <c r="O253" s="8"/>
      <c r="P253" s="11"/>
    </row>
    <row r="254" spans="1:16" x14ac:dyDescent="0.25">
      <c r="B254" s="169"/>
      <c r="C254" s="169"/>
      <c r="D254" s="170"/>
      <c r="L254" s="8" t="s">
        <v>1</v>
      </c>
      <c r="M254" s="9"/>
      <c r="N254" s="24"/>
      <c r="O254" s="8"/>
      <c r="P254" s="11"/>
    </row>
    <row r="255" spans="1:16" x14ac:dyDescent="0.25">
      <c r="B255" s="169"/>
      <c r="C255" s="169"/>
      <c r="D255" s="170"/>
      <c r="L255" s="8"/>
      <c r="M255" s="9" t="s">
        <v>1</v>
      </c>
      <c r="N255" s="24" t="s">
        <v>1</v>
      </c>
      <c r="O255" s="8" t="s">
        <v>1</v>
      </c>
      <c r="P255" s="11"/>
    </row>
    <row r="256" spans="1:16" x14ac:dyDescent="0.25">
      <c r="B256" s="169"/>
      <c r="C256" s="169"/>
      <c r="D256" s="170"/>
      <c r="L256" s="8" t="s">
        <v>1</v>
      </c>
      <c r="M256" s="9"/>
      <c r="N256" s="87"/>
      <c r="O256" s="88"/>
      <c r="P256" s="11"/>
    </row>
    <row r="257" spans="2:16" x14ac:dyDescent="0.25">
      <c r="B257" s="169"/>
      <c r="C257" s="169"/>
      <c r="D257" s="170"/>
      <c r="M257" s="9" t="s">
        <v>1</v>
      </c>
      <c r="N257" s="24" t="s">
        <v>0</v>
      </c>
      <c r="O257" s="8" t="s">
        <v>1</v>
      </c>
      <c r="P257" s="11"/>
    </row>
    <row r="258" spans="2:16" x14ac:dyDescent="0.25">
      <c r="B258" s="169"/>
      <c r="C258" s="169"/>
      <c r="D258" s="170"/>
    </row>
    <row r="259" spans="2:16" x14ac:dyDescent="0.25">
      <c r="B259" s="169"/>
      <c r="C259" s="169"/>
      <c r="D259" s="170"/>
    </row>
    <row r="260" spans="2:16" x14ac:dyDescent="0.25">
      <c r="B260" s="169"/>
      <c r="C260" s="169"/>
      <c r="D260" s="170"/>
    </row>
    <row r="261" spans="2:16" x14ac:dyDescent="0.25">
      <c r="B261" s="169"/>
      <c r="C261" s="169"/>
      <c r="D261" s="170"/>
    </row>
    <row r="262" spans="2:16" x14ac:dyDescent="0.25">
      <c r="B262" s="169"/>
      <c r="C262" s="169"/>
      <c r="D262" s="170"/>
    </row>
    <row r="263" spans="2:16" x14ac:dyDescent="0.25">
      <c r="B263" s="169"/>
      <c r="C263" s="169"/>
      <c r="D263" s="170"/>
    </row>
    <row r="264" spans="2:16" x14ac:dyDescent="0.25">
      <c r="B264" s="169"/>
      <c r="C264" s="169"/>
      <c r="D264" s="170"/>
    </row>
    <row r="265" spans="2:16" x14ac:dyDescent="0.25">
      <c r="B265" s="169"/>
      <c r="C265" s="169"/>
      <c r="D265" s="170"/>
    </row>
    <row r="266" spans="2:16" x14ac:dyDescent="0.25">
      <c r="B266" s="169"/>
      <c r="C266" s="169"/>
      <c r="D266" s="170"/>
    </row>
    <row r="267" spans="2:16" x14ac:dyDescent="0.25">
      <c r="B267" s="169"/>
      <c r="C267" s="169"/>
      <c r="D267" s="170"/>
    </row>
    <row r="268" spans="2:16" x14ac:dyDescent="0.25">
      <c r="B268" s="169"/>
      <c r="C268" s="169"/>
      <c r="D268" s="170"/>
    </row>
  </sheetData>
  <mergeCells count="14">
    <mergeCell ref="A248:B248"/>
    <mergeCell ref="C248:F249"/>
    <mergeCell ref="G248:G249"/>
    <mergeCell ref="A249:B249"/>
    <mergeCell ref="A3:G3"/>
    <mergeCell ref="A4:G4"/>
    <mergeCell ref="M4:O4"/>
    <mergeCell ref="A6:B6"/>
    <mergeCell ref="B242:D242"/>
    <mergeCell ref="M245:O245"/>
    <mergeCell ref="A1:G1"/>
    <mergeCell ref="M1:N1"/>
    <mergeCell ref="A2:G2"/>
    <mergeCell ref="M2:N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68"/>
  <sheetViews>
    <sheetView topLeftCell="A226" zoomScale="85" zoomScaleNormal="85" workbookViewId="0">
      <selection activeCell="B247" sqref="B247"/>
    </sheetView>
  </sheetViews>
  <sheetFormatPr defaultColWidth="9.109375" defaultRowHeight="13.2" x14ac:dyDescent="0.25"/>
  <cols>
    <col min="1" max="1" width="8.33203125" style="167" bestFit="1" customWidth="1"/>
    <col min="2" max="2" width="54.88671875" style="6" customWidth="1"/>
    <col min="3" max="3" width="8.88671875" style="6" bestFit="1" customWidth="1"/>
    <col min="4" max="4" width="7.88671875" style="167" bestFit="1" customWidth="1"/>
    <col min="5" max="5" width="2.44140625" style="6" customWidth="1"/>
    <col min="6" max="6" width="14.5546875" style="168" customWidth="1"/>
    <col min="7" max="7" width="15.44140625" style="176" bestFit="1" customWidth="1"/>
    <col min="8" max="9" width="9.109375" style="6"/>
    <col min="10" max="10" width="19.109375" style="6" customWidth="1"/>
    <col min="11" max="12" width="9.109375" style="6" customWidth="1"/>
    <col min="13" max="13" width="6.5546875" style="6" bestFit="1" customWidth="1"/>
    <col min="14" max="14" width="9.109375" style="6"/>
    <col min="15" max="15" width="5.5546875" style="6" bestFit="1" customWidth="1"/>
    <col min="16" max="16384" width="9.109375" style="6"/>
  </cols>
  <sheetData>
    <row r="1" spans="1:16" x14ac:dyDescent="0.25">
      <c r="A1" s="201" t="s">
        <v>879</v>
      </c>
      <c r="B1" s="201"/>
      <c r="C1" s="201"/>
      <c r="D1" s="201"/>
      <c r="E1" s="201"/>
      <c r="F1" s="201"/>
      <c r="G1" s="201"/>
      <c r="L1" s="8"/>
      <c r="M1" s="187" t="s">
        <v>0</v>
      </c>
      <c r="N1" s="188"/>
      <c r="O1" s="83"/>
      <c r="P1" s="84"/>
    </row>
    <row r="2" spans="1:16" ht="46.95" customHeight="1" x14ac:dyDescent="0.25">
      <c r="A2" s="201" t="s">
        <v>882</v>
      </c>
      <c r="B2" s="201"/>
      <c r="C2" s="201"/>
      <c r="D2" s="201"/>
      <c r="E2" s="201"/>
      <c r="F2" s="201"/>
      <c r="G2" s="201"/>
      <c r="L2" s="139"/>
      <c r="M2" s="189" t="s">
        <v>1</v>
      </c>
      <c r="N2" s="189"/>
      <c r="O2" s="139"/>
      <c r="P2" s="84"/>
    </row>
    <row r="3" spans="1:16" x14ac:dyDescent="0.25">
      <c r="A3" s="206" t="s">
        <v>597</v>
      </c>
      <c r="B3" s="206"/>
      <c r="C3" s="206"/>
      <c r="D3" s="206"/>
      <c r="E3" s="206"/>
      <c r="F3" s="206"/>
      <c r="G3" s="206"/>
      <c r="L3" s="85" t="s">
        <v>1</v>
      </c>
      <c r="M3" s="86"/>
      <c r="N3" s="87"/>
      <c r="O3" s="88"/>
      <c r="P3" s="11"/>
    </row>
    <row r="4" spans="1:16" x14ac:dyDescent="0.25">
      <c r="A4" s="206" t="s">
        <v>3</v>
      </c>
      <c r="B4" s="206"/>
      <c r="C4" s="206"/>
      <c r="D4" s="206"/>
      <c r="E4" s="206"/>
      <c r="F4" s="206"/>
      <c r="G4" s="206"/>
      <c r="L4" s="89"/>
      <c r="M4" s="196" t="s">
        <v>1</v>
      </c>
      <c r="N4" s="196"/>
      <c r="O4" s="196"/>
      <c r="P4" s="136"/>
    </row>
    <row r="5" spans="1:16" x14ac:dyDescent="0.25">
      <c r="A5" s="135"/>
      <c r="B5" s="135"/>
      <c r="C5" s="135"/>
      <c r="D5" s="135"/>
      <c r="E5" s="135"/>
      <c r="F5" s="154"/>
      <c r="G5" s="157"/>
      <c r="L5" s="89"/>
      <c r="M5" s="136"/>
      <c r="N5" s="136"/>
      <c r="O5" s="136"/>
      <c r="P5" s="136"/>
    </row>
    <row r="6" spans="1:16" x14ac:dyDescent="0.25">
      <c r="A6" s="191" t="s">
        <v>598</v>
      </c>
      <c r="B6" s="193"/>
      <c r="C6" s="90"/>
      <c r="D6" s="135"/>
      <c r="E6" s="90"/>
      <c r="F6" s="155"/>
      <c r="G6" s="163"/>
      <c r="L6" s="8"/>
      <c r="M6" s="91"/>
      <c r="N6" s="92"/>
      <c r="O6" s="91"/>
      <c r="P6" s="86"/>
    </row>
    <row r="7" spans="1:16" x14ac:dyDescent="0.25">
      <c r="A7" s="135"/>
      <c r="B7" s="134"/>
      <c r="C7" s="90"/>
      <c r="D7" s="135"/>
      <c r="E7" s="90"/>
      <c r="F7" s="155"/>
      <c r="G7" s="163"/>
      <c r="L7" s="8" t="s">
        <v>1</v>
      </c>
      <c r="M7" s="93"/>
      <c r="N7" s="10"/>
      <c r="O7" s="8"/>
      <c r="P7" s="11"/>
    </row>
    <row r="8" spans="1:16" ht="37.5" customHeight="1" x14ac:dyDescent="0.25">
      <c r="A8" s="94" t="s">
        <v>5</v>
      </c>
      <c r="B8" s="138" t="s">
        <v>6</v>
      </c>
      <c r="C8" s="95" t="s">
        <v>7</v>
      </c>
      <c r="D8" s="135" t="s">
        <v>8</v>
      </c>
      <c r="E8" s="96"/>
      <c r="F8" s="156" t="s">
        <v>9</v>
      </c>
      <c r="G8" s="156" t="s">
        <v>872</v>
      </c>
      <c r="J8" s="97"/>
      <c r="L8" s="8"/>
      <c r="M8" s="9" t="s">
        <v>1</v>
      </c>
      <c r="N8" s="10" t="s">
        <v>1</v>
      </c>
      <c r="O8" s="8" t="s">
        <v>1</v>
      </c>
      <c r="P8" s="11"/>
    </row>
    <row r="9" spans="1:16" x14ac:dyDescent="0.25">
      <c r="A9" s="135"/>
      <c r="B9" s="98"/>
      <c r="C9" s="135"/>
      <c r="D9" s="135"/>
      <c r="E9" s="99"/>
      <c r="F9" s="155"/>
      <c r="G9" s="157"/>
      <c r="J9" s="7"/>
      <c r="L9" s="8" t="s">
        <v>1</v>
      </c>
      <c r="M9" s="9"/>
      <c r="N9" s="10"/>
      <c r="O9" s="8"/>
      <c r="P9" s="11"/>
    </row>
    <row r="10" spans="1:16" ht="26.1" customHeight="1" x14ac:dyDescent="0.25">
      <c r="A10" s="135" t="s">
        <v>599</v>
      </c>
      <c r="B10" s="100" t="s">
        <v>11</v>
      </c>
      <c r="C10" s="135"/>
      <c r="D10" s="101"/>
      <c r="E10" s="99"/>
      <c r="F10" s="155"/>
      <c r="G10" s="157"/>
      <c r="L10" s="8"/>
      <c r="M10" s="9"/>
      <c r="N10" s="10"/>
      <c r="O10" s="8"/>
      <c r="P10" s="11"/>
    </row>
    <row r="11" spans="1:16" x14ac:dyDescent="0.25">
      <c r="A11" s="135"/>
      <c r="B11" s="98"/>
      <c r="C11" s="135"/>
      <c r="D11" s="135"/>
      <c r="E11" s="99"/>
      <c r="F11" s="155"/>
      <c r="G11" s="157"/>
      <c r="L11" s="8"/>
      <c r="M11" s="9"/>
      <c r="N11" s="10"/>
      <c r="O11" s="8"/>
      <c r="P11" s="11"/>
    </row>
    <row r="12" spans="1:16" x14ac:dyDescent="0.25">
      <c r="A12" s="3" t="s">
        <v>600</v>
      </c>
      <c r="B12" s="4" t="s">
        <v>13</v>
      </c>
      <c r="C12" s="5">
        <v>500</v>
      </c>
      <c r="D12" s="3" t="s">
        <v>14</v>
      </c>
      <c r="E12" s="3"/>
      <c r="F12" s="158"/>
      <c r="G12" s="157">
        <f>C12*F12</f>
        <v>0</v>
      </c>
      <c r="J12" s="7"/>
      <c r="L12" s="8"/>
      <c r="M12" s="9"/>
      <c r="N12" s="10"/>
      <c r="O12" s="8"/>
      <c r="P12" s="11"/>
    </row>
    <row r="13" spans="1:16" x14ac:dyDescent="0.25">
      <c r="A13" s="3"/>
      <c r="B13" s="4"/>
      <c r="C13" s="5"/>
      <c r="D13" s="3"/>
      <c r="E13" s="99"/>
      <c r="F13" s="158"/>
      <c r="G13" s="157"/>
      <c r="L13" s="8"/>
      <c r="M13" s="9"/>
      <c r="N13" s="10"/>
      <c r="O13" s="8"/>
      <c r="P13" s="11"/>
    </row>
    <row r="14" spans="1:16" x14ac:dyDescent="0.25">
      <c r="A14" s="3" t="s">
        <v>601</v>
      </c>
      <c r="B14" s="4" t="s">
        <v>16</v>
      </c>
      <c r="C14" s="5">
        <v>500</v>
      </c>
      <c r="D14" s="3" t="s">
        <v>17</v>
      </c>
      <c r="E14" s="3"/>
      <c r="F14" s="158"/>
      <c r="G14" s="157">
        <f>C14*F14</f>
        <v>0</v>
      </c>
      <c r="J14" s="7"/>
      <c r="L14" s="8"/>
      <c r="M14" s="9"/>
      <c r="N14" s="10"/>
      <c r="O14" s="8"/>
      <c r="P14" s="11"/>
    </row>
    <row r="15" spans="1:16" x14ac:dyDescent="0.25">
      <c r="A15" s="3"/>
      <c r="B15" s="4"/>
      <c r="C15" s="5"/>
      <c r="D15" s="3"/>
      <c r="E15" s="99"/>
      <c r="F15" s="158"/>
      <c r="G15" s="157"/>
      <c r="L15" s="8"/>
      <c r="M15" s="9"/>
      <c r="N15" s="10"/>
      <c r="O15" s="8"/>
      <c r="P15" s="11"/>
    </row>
    <row r="16" spans="1:16" x14ac:dyDescent="0.25">
      <c r="A16" s="3" t="s">
        <v>602</v>
      </c>
      <c r="B16" s="4" t="s">
        <v>19</v>
      </c>
      <c r="C16" s="5">
        <v>300</v>
      </c>
      <c r="D16" s="3" t="s">
        <v>14</v>
      </c>
      <c r="E16" s="3"/>
      <c r="F16" s="158"/>
      <c r="G16" s="157">
        <f>C16*F16</f>
        <v>0</v>
      </c>
      <c r="J16" s="7"/>
      <c r="L16" s="8"/>
      <c r="M16" s="9"/>
      <c r="N16" s="10"/>
      <c r="O16" s="8"/>
      <c r="P16" s="11"/>
    </row>
    <row r="17" spans="1:16" x14ac:dyDescent="0.25">
      <c r="A17" s="3"/>
      <c r="B17" s="4"/>
      <c r="C17" s="5"/>
      <c r="D17" s="3"/>
      <c r="E17" s="99"/>
      <c r="F17" s="158"/>
      <c r="G17" s="157"/>
      <c r="L17" s="8"/>
      <c r="M17" s="9"/>
      <c r="N17" s="10"/>
      <c r="O17" s="8"/>
      <c r="P17" s="11"/>
    </row>
    <row r="18" spans="1:16" x14ac:dyDescent="0.25">
      <c r="A18" s="3" t="s">
        <v>603</v>
      </c>
      <c r="B18" s="4" t="s">
        <v>21</v>
      </c>
      <c r="C18" s="5">
        <v>10000</v>
      </c>
      <c r="D18" s="3" t="s">
        <v>14</v>
      </c>
      <c r="E18" s="3"/>
      <c r="F18" s="158"/>
      <c r="G18" s="157">
        <f>C18*F18</f>
        <v>0</v>
      </c>
      <c r="J18" s="7"/>
      <c r="L18" s="8"/>
      <c r="M18" s="9"/>
      <c r="N18" s="10"/>
      <c r="O18" s="8"/>
      <c r="P18" s="11"/>
    </row>
    <row r="19" spans="1:16" x14ac:dyDescent="0.25">
      <c r="A19" s="3"/>
      <c r="B19" s="4"/>
      <c r="C19" s="5"/>
      <c r="D19" s="3"/>
      <c r="E19" s="99"/>
      <c r="F19" s="158"/>
      <c r="G19" s="157"/>
      <c r="L19" s="8"/>
      <c r="M19" s="9"/>
      <c r="N19" s="10"/>
      <c r="O19" s="8"/>
      <c r="P19" s="11"/>
    </row>
    <row r="20" spans="1:16" x14ac:dyDescent="0.25">
      <c r="A20" s="3" t="s">
        <v>604</v>
      </c>
      <c r="B20" s="4" t="s">
        <v>23</v>
      </c>
      <c r="C20" s="5">
        <v>300</v>
      </c>
      <c r="D20" s="3" t="s">
        <v>24</v>
      </c>
      <c r="E20" s="3"/>
      <c r="F20" s="158"/>
      <c r="G20" s="157">
        <f>C20*F20</f>
        <v>0</v>
      </c>
      <c r="J20" s="7"/>
      <c r="L20" s="8"/>
      <c r="M20" s="9"/>
      <c r="N20" s="10"/>
      <c r="O20" s="8"/>
      <c r="P20" s="11"/>
    </row>
    <row r="21" spans="1:16" x14ac:dyDescent="0.25">
      <c r="A21" s="3"/>
      <c r="B21" s="4"/>
      <c r="C21" s="5"/>
      <c r="D21" s="3"/>
      <c r="E21" s="99"/>
      <c r="F21" s="158"/>
      <c r="G21" s="157"/>
      <c r="L21" s="8"/>
      <c r="M21" s="9"/>
      <c r="N21" s="10"/>
      <c r="O21" s="8"/>
      <c r="P21" s="11"/>
    </row>
    <row r="22" spans="1:16" ht="26.4" x14ac:dyDescent="0.25">
      <c r="A22" s="3" t="s">
        <v>605</v>
      </c>
      <c r="B22" s="4" t="s">
        <v>26</v>
      </c>
      <c r="C22" s="5">
        <v>3000</v>
      </c>
      <c r="D22" s="3" t="s">
        <v>14</v>
      </c>
      <c r="E22" s="3"/>
      <c r="F22" s="158"/>
      <c r="G22" s="157">
        <f>C22*F22</f>
        <v>0</v>
      </c>
      <c r="J22" s="7"/>
      <c r="L22" s="8"/>
      <c r="M22" s="9"/>
      <c r="N22" s="10"/>
      <c r="O22" s="8"/>
      <c r="P22" s="11"/>
    </row>
    <row r="23" spans="1:16" x14ac:dyDescent="0.25">
      <c r="A23" s="3"/>
      <c r="B23" s="4"/>
      <c r="C23" s="5"/>
      <c r="D23" s="3"/>
      <c r="E23" s="99"/>
      <c r="F23" s="158"/>
      <c r="G23" s="157"/>
      <c r="L23" s="8"/>
      <c r="M23" s="9"/>
      <c r="N23" s="10"/>
      <c r="O23" s="8"/>
      <c r="P23" s="11"/>
    </row>
    <row r="24" spans="1:16" ht="26.4" x14ac:dyDescent="0.25">
      <c r="A24" s="3" t="s">
        <v>606</v>
      </c>
      <c r="B24" s="4" t="s">
        <v>28</v>
      </c>
      <c r="C24" s="5">
        <v>25</v>
      </c>
      <c r="D24" s="3" t="s">
        <v>24</v>
      </c>
      <c r="E24" s="3"/>
      <c r="F24" s="158"/>
      <c r="G24" s="157">
        <f>C24*F24</f>
        <v>0</v>
      </c>
      <c r="J24" s="7"/>
      <c r="L24" s="8"/>
      <c r="M24" s="9"/>
      <c r="N24" s="10"/>
      <c r="O24" s="8"/>
      <c r="P24" s="11"/>
    </row>
    <row r="25" spans="1:16" x14ac:dyDescent="0.25">
      <c r="A25" s="3"/>
      <c r="B25" s="4"/>
      <c r="C25" s="5"/>
      <c r="D25" s="3"/>
      <c r="E25" s="99"/>
      <c r="F25" s="158"/>
      <c r="G25" s="157"/>
      <c r="L25" s="8"/>
      <c r="M25" s="9"/>
      <c r="N25" s="10"/>
      <c r="O25" s="8"/>
      <c r="P25" s="11"/>
    </row>
    <row r="26" spans="1:16" x14ac:dyDescent="0.25">
      <c r="A26" s="135" t="s">
        <v>607</v>
      </c>
      <c r="B26" s="102" t="s">
        <v>30</v>
      </c>
      <c r="C26" s="102"/>
      <c r="D26" s="138"/>
      <c r="E26" s="102"/>
      <c r="F26" s="158"/>
      <c r="G26" s="160"/>
      <c r="L26" s="8"/>
      <c r="M26" s="9" t="s">
        <v>1</v>
      </c>
      <c r="N26" s="10" t="s">
        <v>1</v>
      </c>
      <c r="O26" s="8" t="s">
        <v>1</v>
      </c>
      <c r="P26" s="11"/>
    </row>
    <row r="27" spans="1:16" x14ac:dyDescent="0.25">
      <c r="A27" s="22"/>
      <c r="B27" s="13"/>
      <c r="C27" s="13"/>
      <c r="D27" s="14"/>
      <c r="E27" s="103"/>
      <c r="F27" s="158"/>
      <c r="G27" s="162"/>
      <c r="L27" s="8"/>
      <c r="M27" s="9"/>
      <c r="N27" s="10"/>
      <c r="O27" s="8"/>
      <c r="P27" s="11"/>
    </row>
    <row r="28" spans="1:16" x14ac:dyDescent="0.25">
      <c r="A28" s="3" t="s">
        <v>608</v>
      </c>
      <c r="B28" s="12" t="s">
        <v>32</v>
      </c>
      <c r="C28" s="13">
        <v>55000</v>
      </c>
      <c r="D28" s="14" t="s">
        <v>33</v>
      </c>
      <c r="E28" s="3"/>
      <c r="F28" s="158"/>
      <c r="G28" s="157">
        <f>C28*F28</f>
        <v>0</v>
      </c>
      <c r="J28" s="7"/>
      <c r="L28" s="8"/>
      <c r="M28" s="15"/>
      <c r="N28" s="10"/>
      <c r="O28" s="8"/>
      <c r="P28" s="11"/>
    </row>
    <row r="29" spans="1:16" x14ac:dyDescent="0.25">
      <c r="A29" s="22"/>
      <c r="B29" s="13"/>
      <c r="C29" s="13"/>
      <c r="D29" s="14"/>
      <c r="E29" s="103"/>
      <c r="F29" s="158"/>
      <c r="G29" s="162"/>
      <c r="L29" s="8"/>
      <c r="M29" s="15" t="s">
        <v>1</v>
      </c>
      <c r="N29" s="10"/>
      <c r="O29" s="8"/>
      <c r="P29" s="11"/>
    </row>
    <row r="30" spans="1:16" x14ac:dyDescent="0.25">
      <c r="A30" s="3" t="s">
        <v>609</v>
      </c>
      <c r="B30" s="16" t="s">
        <v>35</v>
      </c>
      <c r="C30" s="13">
        <v>2500</v>
      </c>
      <c r="D30" s="18" t="s">
        <v>36</v>
      </c>
      <c r="E30" s="3"/>
      <c r="F30" s="158"/>
      <c r="G30" s="157">
        <f>C30*F30</f>
        <v>0</v>
      </c>
      <c r="J30" s="7"/>
      <c r="L30" s="8" t="s">
        <v>1</v>
      </c>
      <c r="M30" s="9"/>
      <c r="N30" s="10"/>
      <c r="O30" s="8"/>
      <c r="P30" s="11"/>
    </row>
    <row r="31" spans="1:16" x14ac:dyDescent="0.25">
      <c r="A31" s="22"/>
      <c r="B31" s="16"/>
      <c r="C31" s="17"/>
      <c r="D31" s="18"/>
      <c r="E31" s="103"/>
      <c r="F31" s="158"/>
      <c r="G31" s="162"/>
      <c r="L31" s="8"/>
      <c r="M31" s="9" t="s">
        <v>1</v>
      </c>
      <c r="N31" s="10" t="s">
        <v>1</v>
      </c>
      <c r="O31" s="8" t="s">
        <v>1</v>
      </c>
      <c r="P31" s="11"/>
    </row>
    <row r="32" spans="1:16" x14ac:dyDescent="0.25">
      <c r="A32" s="3" t="s">
        <v>610</v>
      </c>
      <c r="B32" s="16" t="s">
        <v>38</v>
      </c>
      <c r="C32" s="13">
        <v>2500</v>
      </c>
      <c r="D32" s="18" t="s">
        <v>36</v>
      </c>
      <c r="E32" s="3"/>
      <c r="F32" s="158"/>
      <c r="G32" s="157">
        <f>C32*F32</f>
        <v>0</v>
      </c>
      <c r="J32" s="7"/>
      <c r="L32" s="8"/>
      <c r="M32" s="9"/>
      <c r="N32" s="10"/>
      <c r="O32" s="8"/>
      <c r="P32" s="11"/>
    </row>
    <row r="33" spans="1:16" x14ac:dyDescent="0.25">
      <c r="A33" s="22"/>
      <c r="B33" s="16"/>
      <c r="C33" s="17"/>
      <c r="D33" s="18"/>
      <c r="E33" s="103"/>
      <c r="F33" s="158"/>
      <c r="G33" s="162"/>
      <c r="L33" s="8"/>
      <c r="M33" s="15"/>
      <c r="N33" s="10"/>
      <c r="O33" s="8"/>
      <c r="P33" s="11"/>
    </row>
    <row r="34" spans="1:16" x14ac:dyDescent="0.25">
      <c r="A34" s="3" t="s">
        <v>611</v>
      </c>
      <c r="B34" s="16" t="s">
        <v>40</v>
      </c>
      <c r="C34" s="17">
        <v>10000</v>
      </c>
      <c r="D34" s="18" t="s">
        <v>36</v>
      </c>
      <c r="E34" s="3"/>
      <c r="F34" s="158"/>
      <c r="G34" s="157">
        <f>C34*F34</f>
        <v>0</v>
      </c>
      <c r="J34" s="7"/>
      <c r="L34" s="8"/>
      <c r="M34" s="15" t="s">
        <v>1</v>
      </c>
      <c r="N34" s="10"/>
      <c r="O34" s="8"/>
      <c r="P34" s="11"/>
    </row>
    <row r="35" spans="1:16" x14ac:dyDescent="0.25">
      <c r="A35" s="22"/>
      <c r="B35" s="13"/>
      <c r="C35" s="17"/>
      <c r="D35" s="18"/>
      <c r="E35" s="103"/>
      <c r="F35" s="158"/>
      <c r="G35" s="162"/>
      <c r="L35" s="8" t="s">
        <v>1</v>
      </c>
      <c r="M35" s="9"/>
      <c r="N35" s="10"/>
      <c r="O35" s="8"/>
      <c r="P35" s="11"/>
    </row>
    <row r="36" spans="1:16" x14ac:dyDescent="0.25">
      <c r="A36" s="3" t="s">
        <v>612</v>
      </c>
      <c r="B36" s="16" t="s">
        <v>42</v>
      </c>
      <c r="C36" s="17">
        <v>200000</v>
      </c>
      <c r="D36" s="18" t="s">
        <v>43</v>
      </c>
      <c r="E36" s="3"/>
      <c r="F36" s="158"/>
      <c r="G36" s="157">
        <f>C36*F36</f>
        <v>0</v>
      </c>
      <c r="J36" s="7"/>
      <c r="L36" s="8"/>
      <c r="M36" s="9" t="s">
        <v>1</v>
      </c>
      <c r="N36" s="10" t="s">
        <v>1</v>
      </c>
      <c r="O36" s="8" t="s">
        <v>1</v>
      </c>
      <c r="P36" s="11"/>
    </row>
    <row r="37" spans="1:16" x14ac:dyDescent="0.25">
      <c r="A37" s="22"/>
      <c r="B37" s="13"/>
      <c r="C37" s="17"/>
      <c r="D37" s="18"/>
      <c r="E37" s="103"/>
      <c r="F37" s="158"/>
      <c r="G37" s="162"/>
      <c r="L37" s="8" t="s">
        <v>1</v>
      </c>
      <c r="M37" s="9"/>
      <c r="N37" s="10"/>
      <c r="O37" s="8"/>
      <c r="P37" s="11"/>
    </row>
    <row r="38" spans="1:16" x14ac:dyDescent="0.25">
      <c r="A38" s="3" t="s">
        <v>613</v>
      </c>
      <c r="B38" s="16" t="s">
        <v>45</v>
      </c>
      <c r="C38" s="17">
        <v>100000</v>
      </c>
      <c r="D38" s="18" t="s">
        <v>46</v>
      </c>
      <c r="E38" s="3"/>
      <c r="F38" s="158"/>
      <c r="G38" s="157">
        <f>C38*F38</f>
        <v>0</v>
      </c>
      <c r="J38" s="7"/>
      <c r="L38" s="8"/>
      <c r="M38" s="9" t="s">
        <v>1</v>
      </c>
      <c r="N38" s="10" t="s">
        <v>0</v>
      </c>
      <c r="O38" s="8" t="s">
        <v>1</v>
      </c>
      <c r="P38" s="11"/>
    </row>
    <row r="39" spans="1:16" x14ac:dyDescent="0.25">
      <c r="A39" s="22"/>
      <c r="B39" s="16"/>
      <c r="C39" s="17"/>
      <c r="D39" s="18"/>
      <c r="E39" s="103"/>
      <c r="F39" s="158"/>
      <c r="G39" s="162"/>
      <c r="L39" s="8" t="s">
        <v>1</v>
      </c>
      <c r="M39" s="9"/>
      <c r="N39" s="10"/>
      <c r="O39" s="8"/>
      <c r="P39" s="11"/>
    </row>
    <row r="40" spans="1:16" x14ac:dyDescent="0.25">
      <c r="A40" s="3" t="s">
        <v>614</v>
      </c>
      <c r="B40" s="16" t="s">
        <v>48</v>
      </c>
      <c r="C40" s="17">
        <v>200000</v>
      </c>
      <c r="D40" s="18" t="s">
        <v>46</v>
      </c>
      <c r="E40" s="3"/>
      <c r="F40" s="158"/>
      <c r="G40" s="157">
        <f>C40*F40</f>
        <v>0</v>
      </c>
      <c r="J40" s="7"/>
      <c r="L40" s="8"/>
      <c r="M40" s="9" t="s">
        <v>1</v>
      </c>
      <c r="N40" s="10" t="s">
        <v>1</v>
      </c>
      <c r="O40" s="8" t="s">
        <v>1</v>
      </c>
      <c r="P40" s="11"/>
    </row>
    <row r="41" spans="1:16" x14ac:dyDescent="0.25">
      <c r="A41" s="22"/>
      <c r="B41" s="16"/>
      <c r="C41" s="17"/>
      <c r="D41" s="18"/>
      <c r="E41" s="103"/>
      <c r="F41" s="158"/>
      <c r="G41" s="162"/>
      <c r="L41" s="8" t="s">
        <v>1</v>
      </c>
      <c r="M41" s="9"/>
      <c r="N41" s="10"/>
      <c r="O41" s="8"/>
      <c r="P41" s="11"/>
    </row>
    <row r="42" spans="1:16" x14ac:dyDescent="0.25">
      <c r="A42" s="3" t="s">
        <v>615</v>
      </c>
      <c r="B42" s="16" t="s">
        <v>50</v>
      </c>
      <c r="C42" s="17">
        <v>1402000</v>
      </c>
      <c r="D42" s="18" t="s">
        <v>46</v>
      </c>
      <c r="E42" s="3"/>
      <c r="F42" s="158"/>
      <c r="G42" s="157">
        <f>C42*F42</f>
        <v>0</v>
      </c>
      <c r="J42" s="7"/>
      <c r="L42" s="8"/>
      <c r="M42" s="9" t="s">
        <v>1</v>
      </c>
      <c r="N42" s="10" t="s">
        <v>1</v>
      </c>
      <c r="O42" s="8" t="s">
        <v>1</v>
      </c>
      <c r="P42" s="11"/>
    </row>
    <row r="43" spans="1:16" x14ac:dyDescent="0.25">
      <c r="A43" s="22"/>
      <c r="B43" s="16"/>
      <c r="C43" s="17"/>
      <c r="D43" s="18"/>
      <c r="E43" s="103"/>
      <c r="F43" s="158"/>
      <c r="G43" s="162"/>
      <c r="L43" s="171" t="s">
        <v>1</v>
      </c>
      <c r="M43" s="9"/>
      <c r="N43" s="10"/>
      <c r="O43" s="8"/>
      <c r="P43" s="11"/>
    </row>
    <row r="44" spans="1:16" x14ac:dyDescent="0.25">
      <c r="A44" s="3" t="s">
        <v>616</v>
      </c>
      <c r="B44" s="16" t="s">
        <v>52</v>
      </c>
      <c r="C44" s="17">
        <v>82000</v>
      </c>
      <c r="D44" s="18" t="s">
        <v>46</v>
      </c>
      <c r="E44" s="3"/>
      <c r="F44" s="158"/>
      <c r="G44" s="157">
        <f>C44*F44</f>
        <v>0</v>
      </c>
      <c r="J44" s="7"/>
      <c r="L44" s="19"/>
      <c r="M44" s="172" t="s">
        <v>1</v>
      </c>
      <c r="N44" s="171" t="s">
        <v>1</v>
      </c>
      <c r="O44" s="167" t="s">
        <v>1</v>
      </c>
      <c r="P44" s="11"/>
    </row>
    <row r="45" spans="1:16" x14ac:dyDescent="0.25">
      <c r="A45" s="22"/>
      <c r="B45" s="16"/>
      <c r="C45" s="17"/>
      <c r="D45" s="18"/>
      <c r="E45" s="3"/>
      <c r="F45" s="158"/>
      <c r="G45" s="163"/>
      <c r="L45" s="19"/>
      <c r="M45" s="172"/>
      <c r="N45" s="171"/>
      <c r="O45" s="167"/>
      <c r="P45" s="11"/>
    </row>
    <row r="46" spans="1:16" x14ac:dyDescent="0.25">
      <c r="A46" s="3" t="s">
        <v>617</v>
      </c>
      <c r="B46" s="16" t="s">
        <v>54</v>
      </c>
      <c r="C46" s="17">
        <v>20000</v>
      </c>
      <c r="D46" s="18" t="s">
        <v>46</v>
      </c>
      <c r="E46" s="3"/>
      <c r="F46" s="158"/>
      <c r="G46" s="157">
        <f>C46*F46</f>
        <v>0</v>
      </c>
      <c r="J46" s="7"/>
      <c r="L46" s="19"/>
      <c r="M46" s="172"/>
      <c r="N46" s="171"/>
      <c r="O46" s="167"/>
      <c r="P46" s="11"/>
    </row>
    <row r="47" spans="1:16" x14ac:dyDescent="0.25">
      <c r="A47" s="22"/>
      <c r="B47" s="16"/>
      <c r="C47" s="17"/>
      <c r="D47" s="18"/>
      <c r="E47" s="103"/>
      <c r="F47" s="158"/>
      <c r="G47" s="162"/>
      <c r="L47" s="171" t="s">
        <v>1</v>
      </c>
      <c r="M47" s="88"/>
      <c r="N47" s="19"/>
      <c r="O47" s="8"/>
      <c r="P47" s="11"/>
    </row>
    <row r="48" spans="1:16" x14ac:dyDescent="0.25">
      <c r="A48" s="3" t="s">
        <v>618</v>
      </c>
      <c r="B48" s="4" t="s">
        <v>56</v>
      </c>
      <c r="C48" s="17">
        <v>50</v>
      </c>
      <c r="D48" s="18" t="s">
        <v>24</v>
      </c>
      <c r="E48" s="3"/>
      <c r="F48" s="158"/>
      <c r="G48" s="157">
        <f>C48*F48</f>
        <v>0</v>
      </c>
      <c r="J48" s="7"/>
      <c r="L48" s="19"/>
      <c r="M48" s="172" t="s">
        <v>1</v>
      </c>
      <c r="N48" s="171" t="s">
        <v>1</v>
      </c>
      <c r="O48" s="167" t="s">
        <v>1</v>
      </c>
      <c r="P48" s="11"/>
    </row>
    <row r="49" spans="1:16" x14ac:dyDescent="0.25">
      <c r="A49" s="22"/>
      <c r="B49" s="13"/>
      <c r="C49" s="17"/>
      <c r="D49" s="14"/>
      <c r="E49" s="103"/>
      <c r="F49" s="158"/>
      <c r="G49" s="162"/>
      <c r="L49" s="171" t="s">
        <v>1</v>
      </c>
      <c r="M49" s="88"/>
      <c r="N49" s="19"/>
      <c r="O49" s="8"/>
      <c r="P49" s="11"/>
    </row>
    <row r="50" spans="1:16" x14ac:dyDescent="0.25">
      <c r="A50" s="135" t="s">
        <v>619</v>
      </c>
      <c r="B50" s="137" t="s">
        <v>58</v>
      </c>
      <c r="C50" s="17"/>
      <c r="D50" s="14"/>
      <c r="E50" s="103"/>
      <c r="F50" s="158"/>
      <c r="G50" s="162"/>
      <c r="L50" s="19"/>
      <c r="M50" s="172" t="s">
        <v>1</v>
      </c>
      <c r="N50" s="171" t="s">
        <v>1</v>
      </c>
      <c r="O50" s="167" t="s">
        <v>1</v>
      </c>
      <c r="P50" s="11"/>
    </row>
    <row r="51" spans="1:16" x14ac:dyDescent="0.25">
      <c r="A51" s="22"/>
      <c r="B51" s="13"/>
      <c r="C51" s="17"/>
      <c r="D51" s="14"/>
      <c r="E51" s="103"/>
      <c r="F51" s="158"/>
      <c r="G51" s="162"/>
      <c r="L51" s="171" t="s">
        <v>1</v>
      </c>
      <c r="M51" s="88"/>
      <c r="N51" s="19"/>
      <c r="O51" s="8"/>
      <c r="P51" s="11"/>
    </row>
    <row r="52" spans="1:16" ht="12.75" customHeight="1" x14ac:dyDescent="0.25">
      <c r="A52" s="22" t="s">
        <v>620</v>
      </c>
      <c r="B52" s="16" t="s">
        <v>60</v>
      </c>
      <c r="C52" s="17">
        <v>1000</v>
      </c>
      <c r="D52" s="22" t="s">
        <v>36</v>
      </c>
      <c r="E52" s="3"/>
      <c r="F52" s="158"/>
      <c r="G52" s="157">
        <f>C52*F52</f>
        <v>0</v>
      </c>
      <c r="J52" s="7"/>
      <c r="K52" s="9" t="s">
        <v>1</v>
      </c>
      <c r="L52" s="10" t="s">
        <v>1</v>
      </c>
      <c r="M52" s="8" t="s">
        <v>1</v>
      </c>
      <c r="N52" s="11"/>
      <c r="O52" s="88"/>
      <c r="P52" s="11"/>
    </row>
    <row r="53" spans="1:16" x14ac:dyDescent="0.25">
      <c r="A53" s="3"/>
      <c r="B53" s="16"/>
      <c r="C53" s="17"/>
      <c r="D53" s="18"/>
      <c r="E53" s="103"/>
      <c r="F53" s="158"/>
      <c r="G53" s="162"/>
      <c r="K53" s="9"/>
      <c r="L53" s="10"/>
      <c r="M53" s="8"/>
      <c r="N53" s="11"/>
      <c r="O53" s="88"/>
      <c r="P53" s="11"/>
    </row>
    <row r="54" spans="1:16" ht="12.75" customHeight="1" x14ac:dyDescent="0.25">
      <c r="A54" s="22" t="s">
        <v>621</v>
      </c>
      <c r="B54" s="16" t="s">
        <v>62</v>
      </c>
      <c r="C54" s="17">
        <v>200</v>
      </c>
      <c r="D54" s="22" t="s">
        <v>36</v>
      </c>
      <c r="E54" s="3"/>
      <c r="F54" s="158"/>
      <c r="G54" s="157">
        <f>C54*F54</f>
        <v>0</v>
      </c>
      <c r="J54" s="7"/>
      <c r="K54" s="9" t="s">
        <v>1</v>
      </c>
      <c r="L54" s="10" t="s">
        <v>1</v>
      </c>
      <c r="M54" s="8" t="s">
        <v>1</v>
      </c>
      <c r="N54" s="11"/>
      <c r="O54" s="88"/>
      <c r="P54" s="11"/>
    </row>
    <row r="55" spans="1:16" x14ac:dyDescent="0.25">
      <c r="A55" s="3"/>
      <c r="B55" s="16"/>
      <c r="C55" s="17"/>
      <c r="D55" s="18"/>
      <c r="E55" s="3"/>
      <c r="F55" s="158"/>
      <c r="G55" s="163"/>
      <c r="K55" s="9"/>
      <c r="L55" s="10"/>
      <c r="M55" s="8"/>
      <c r="N55" s="11"/>
      <c r="O55" s="88"/>
      <c r="P55" s="11"/>
    </row>
    <row r="56" spans="1:16" ht="12.9" customHeight="1" x14ac:dyDescent="0.25">
      <c r="A56" s="22" t="s">
        <v>622</v>
      </c>
      <c r="B56" s="4" t="s">
        <v>64</v>
      </c>
      <c r="C56" s="173">
        <v>100</v>
      </c>
      <c r="D56" s="22" t="s">
        <v>36</v>
      </c>
      <c r="E56" s="3"/>
      <c r="F56" s="158"/>
      <c r="G56" s="157">
        <f>C56*F56</f>
        <v>0</v>
      </c>
      <c r="J56" s="7"/>
      <c r="K56" s="172" t="s">
        <v>1</v>
      </c>
      <c r="L56" s="171" t="s">
        <v>1</v>
      </c>
      <c r="M56" s="167" t="s">
        <v>1</v>
      </c>
      <c r="N56" s="11"/>
      <c r="O56" s="88"/>
      <c r="P56" s="11"/>
    </row>
    <row r="57" spans="1:16" ht="12.9" customHeight="1" x14ac:dyDescent="0.25">
      <c r="A57" s="3"/>
      <c r="B57" s="104"/>
      <c r="C57" s="105"/>
      <c r="D57" s="3"/>
      <c r="E57" s="3"/>
      <c r="F57" s="158"/>
      <c r="G57" s="163"/>
      <c r="K57" s="172"/>
      <c r="L57" s="171"/>
      <c r="M57" s="167"/>
      <c r="N57" s="11"/>
      <c r="O57" s="88"/>
      <c r="P57" s="11"/>
    </row>
    <row r="58" spans="1:16" ht="12.9" customHeight="1" x14ac:dyDescent="0.25">
      <c r="A58" s="22" t="s">
        <v>623</v>
      </c>
      <c r="B58" s="4" t="s">
        <v>66</v>
      </c>
      <c r="C58" s="173">
        <v>100</v>
      </c>
      <c r="D58" s="22" t="s">
        <v>67</v>
      </c>
      <c r="E58" s="3"/>
      <c r="F58" s="158"/>
      <c r="G58" s="157">
        <f>C58*F58</f>
        <v>0</v>
      </c>
      <c r="J58" s="7"/>
      <c r="K58" s="172" t="s">
        <v>1</v>
      </c>
      <c r="L58" s="171" t="s">
        <v>1</v>
      </c>
      <c r="M58" s="167" t="s">
        <v>1</v>
      </c>
      <c r="N58" s="11"/>
      <c r="O58" s="88"/>
      <c r="P58" s="11"/>
    </row>
    <row r="59" spans="1:16" ht="12.9" customHeight="1" x14ac:dyDescent="0.25">
      <c r="A59" s="3"/>
      <c r="B59" s="104"/>
      <c r="C59" s="106"/>
      <c r="D59" s="3"/>
      <c r="E59" s="3"/>
      <c r="F59" s="158"/>
      <c r="G59" s="163"/>
      <c r="K59" s="88"/>
      <c r="L59" s="19"/>
      <c r="M59" s="8"/>
      <c r="N59" s="11"/>
      <c r="O59" s="88"/>
      <c r="P59" s="11"/>
    </row>
    <row r="60" spans="1:16" ht="12.9" customHeight="1" x14ac:dyDescent="0.25">
      <c r="A60" s="22" t="s">
        <v>624</v>
      </c>
      <c r="B60" s="4" t="s">
        <v>69</v>
      </c>
      <c r="C60" s="174">
        <v>250</v>
      </c>
      <c r="D60" s="22" t="s">
        <v>36</v>
      </c>
      <c r="E60" s="3"/>
      <c r="F60" s="158"/>
      <c r="G60" s="157">
        <f>C60*F60</f>
        <v>0</v>
      </c>
      <c r="J60" s="7"/>
      <c r="K60" s="172" t="s">
        <v>1</v>
      </c>
      <c r="L60" s="171" t="s">
        <v>1</v>
      </c>
      <c r="M60" s="167" t="s">
        <v>1</v>
      </c>
      <c r="N60" s="11"/>
      <c r="O60" s="88"/>
      <c r="P60" s="11"/>
    </row>
    <row r="61" spans="1:16" ht="12.9" customHeight="1" x14ac:dyDescent="0.25">
      <c r="A61" s="3"/>
      <c r="B61" s="104"/>
      <c r="C61" s="106"/>
      <c r="D61" s="3"/>
      <c r="E61" s="3"/>
      <c r="F61" s="158"/>
      <c r="G61" s="163"/>
      <c r="K61" s="88"/>
      <c r="L61" s="19"/>
      <c r="M61" s="8"/>
      <c r="N61" s="11"/>
      <c r="O61" s="88"/>
      <c r="P61" s="11"/>
    </row>
    <row r="62" spans="1:16" ht="12.9" customHeight="1" x14ac:dyDescent="0.25">
      <c r="A62" s="22" t="s">
        <v>625</v>
      </c>
      <c r="B62" s="4" t="s">
        <v>71</v>
      </c>
      <c r="C62" s="174">
        <v>250</v>
      </c>
      <c r="D62" s="22" t="s">
        <v>36</v>
      </c>
      <c r="E62" s="3"/>
      <c r="F62" s="158"/>
      <c r="G62" s="157">
        <f>C62*F62</f>
        <v>0</v>
      </c>
      <c r="J62" s="7"/>
      <c r="K62" s="172" t="s">
        <v>1</v>
      </c>
      <c r="L62" s="171" t="s">
        <v>1</v>
      </c>
      <c r="M62" s="167" t="s">
        <v>1</v>
      </c>
      <c r="N62" s="11"/>
      <c r="O62" s="88"/>
      <c r="P62" s="11"/>
    </row>
    <row r="63" spans="1:16" x14ac:dyDescent="0.25">
      <c r="A63" s="22"/>
      <c r="B63" s="104"/>
      <c r="C63" s="106"/>
      <c r="D63" s="3"/>
      <c r="E63" s="3"/>
      <c r="F63" s="158"/>
      <c r="G63" s="163"/>
      <c r="K63" s="88"/>
      <c r="L63" s="19"/>
      <c r="M63" s="8"/>
      <c r="N63" s="11"/>
      <c r="O63" s="88"/>
      <c r="P63" s="11"/>
    </row>
    <row r="64" spans="1:16" ht="12.75" customHeight="1" x14ac:dyDescent="0.25">
      <c r="A64" s="22" t="s">
        <v>626</v>
      </c>
      <c r="B64" s="4" t="s">
        <v>73</v>
      </c>
      <c r="C64" s="174">
        <v>250</v>
      </c>
      <c r="D64" s="22" t="s">
        <v>36</v>
      </c>
      <c r="E64" s="3"/>
      <c r="F64" s="158"/>
      <c r="G64" s="157">
        <f>C64*F64</f>
        <v>0</v>
      </c>
      <c r="J64" s="7"/>
      <c r="K64" s="172" t="s">
        <v>1</v>
      </c>
      <c r="L64" s="171" t="s">
        <v>1</v>
      </c>
      <c r="M64" s="167" t="s">
        <v>1</v>
      </c>
      <c r="N64" s="11"/>
      <c r="O64" s="88"/>
      <c r="P64" s="11"/>
    </row>
    <row r="65" spans="1:16" x14ac:dyDescent="0.25">
      <c r="A65" s="22"/>
      <c r="B65" s="104"/>
      <c r="C65" s="106"/>
      <c r="D65" s="3"/>
      <c r="E65" s="3"/>
      <c r="F65" s="158"/>
      <c r="G65" s="163"/>
      <c r="K65" s="88"/>
      <c r="L65" s="19"/>
      <c r="M65" s="8"/>
      <c r="N65" s="11"/>
      <c r="O65" s="88"/>
      <c r="P65" s="11"/>
    </row>
    <row r="66" spans="1:16" ht="12.75" customHeight="1" x14ac:dyDescent="0.25">
      <c r="A66" s="22" t="s">
        <v>627</v>
      </c>
      <c r="B66" s="4" t="s">
        <v>75</v>
      </c>
      <c r="C66" s="174">
        <v>250</v>
      </c>
      <c r="D66" s="22" t="s">
        <v>36</v>
      </c>
      <c r="E66" s="3"/>
      <c r="F66" s="158"/>
      <c r="G66" s="157">
        <f>C66*F66</f>
        <v>0</v>
      </c>
      <c r="J66" s="7"/>
      <c r="K66" s="172" t="s">
        <v>1</v>
      </c>
      <c r="L66" s="171" t="s">
        <v>1</v>
      </c>
      <c r="M66" s="167" t="s">
        <v>1</v>
      </c>
      <c r="N66" s="11"/>
      <c r="O66" s="88"/>
      <c r="P66" s="11"/>
    </row>
    <row r="67" spans="1:16" ht="12.75" customHeight="1" x14ac:dyDescent="0.25">
      <c r="A67" s="22"/>
      <c r="B67" s="4"/>
      <c r="C67" s="174"/>
      <c r="D67" s="22"/>
      <c r="E67" s="3"/>
      <c r="F67" s="158"/>
      <c r="G67" s="163"/>
      <c r="K67" s="172"/>
      <c r="L67" s="171"/>
      <c r="M67" s="167"/>
      <c r="N67" s="11"/>
      <c r="O67" s="88"/>
      <c r="P67" s="11"/>
    </row>
    <row r="68" spans="1:16" ht="12.75" customHeight="1" x14ac:dyDescent="0.25">
      <c r="A68" s="22" t="s">
        <v>628</v>
      </c>
      <c r="B68" s="4" t="s">
        <v>77</v>
      </c>
      <c r="C68" s="174">
        <v>1000</v>
      </c>
      <c r="D68" s="22" t="s">
        <v>78</v>
      </c>
      <c r="E68" s="3"/>
      <c r="F68" s="158"/>
      <c r="G68" s="157">
        <f>C68*F68</f>
        <v>0</v>
      </c>
      <c r="J68" s="7"/>
      <c r="K68" s="172"/>
      <c r="L68" s="171"/>
      <c r="M68" s="167"/>
      <c r="N68" s="11"/>
      <c r="O68" s="88"/>
      <c r="P68" s="11"/>
    </row>
    <row r="69" spans="1:16" ht="12.75" customHeight="1" x14ac:dyDescent="0.25">
      <c r="A69" s="22"/>
      <c r="B69" s="104"/>
      <c r="C69" s="104"/>
      <c r="D69" s="3"/>
      <c r="E69" s="3"/>
      <c r="F69" s="158"/>
      <c r="G69" s="163"/>
      <c r="K69" s="172"/>
      <c r="L69" s="171"/>
      <c r="M69" s="167"/>
      <c r="N69" s="11"/>
      <c r="O69" s="88"/>
      <c r="P69" s="11"/>
    </row>
    <row r="70" spans="1:16" ht="12.75" customHeight="1" x14ac:dyDescent="0.25">
      <c r="A70" s="22" t="s">
        <v>629</v>
      </c>
      <c r="B70" s="4" t="s">
        <v>80</v>
      </c>
      <c r="C70" s="174">
        <v>7260</v>
      </c>
      <c r="D70" s="22" t="s">
        <v>81</v>
      </c>
      <c r="E70" s="3"/>
      <c r="F70" s="158"/>
      <c r="G70" s="157">
        <f>C70*F70</f>
        <v>0</v>
      </c>
      <c r="J70" s="7"/>
      <c r="K70" s="172"/>
      <c r="L70" s="171"/>
      <c r="M70" s="167"/>
      <c r="N70" s="11"/>
      <c r="O70" s="88"/>
      <c r="P70" s="11"/>
    </row>
    <row r="71" spans="1:16" x14ac:dyDescent="0.25">
      <c r="A71" s="22"/>
      <c r="B71" s="13"/>
      <c r="C71" s="17"/>
      <c r="D71" s="14"/>
      <c r="E71" s="103"/>
      <c r="F71" s="158"/>
      <c r="G71" s="162"/>
      <c r="K71" s="172"/>
      <c r="L71" s="171"/>
      <c r="M71" s="167"/>
      <c r="N71" s="11"/>
      <c r="O71" s="88"/>
      <c r="P71" s="11"/>
    </row>
    <row r="72" spans="1:16" ht="12.9" customHeight="1" x14ac:dyDescent="0.25">
      <c r="A72" s="138" t="s">
        <v>630</v>
      </c>
      <c r="B72" s="137" t="s">
        <v>83</v>
      </c>
      <c r="C72" s="17"/>
      <c r="D72" s="14"/>
      <c r="E72" s="103"/>
      <c r="F72" s="158"/>
      <c r="G72" s="162"/>
      <c r="N72" s="11"/>
      <c r="O72" s="88"/>
      <c r="P72" s="11"/>
    </row>
    <row r="73" spans="1:16" x14ac:dyDescent="0.25">
      <c r="A73" s="22"/>
      <c r="B73" s="13"/>
      <c r="C73" s="17"/>
      <c r="D73" s="14"/>
      <c r="E73" s="103"/>
      <c r="F73" s="158"/>
      <c r="G73" s="162"/>
      <c r="N73" s="11"/>
      <c r="O73" s="88"/>
      <c r="P73" s="11"/>
    </row>
    <row r="74" spans="1:16" ht="12.75" customHeight="1" x14ac:dyDescent="0.25">
      <c r="A74" s="22" t="s">
        <v>631</v>
      </c>
      <c r="B74" s="16" t="s">
        <v>85</v>
      </c>
      <c r="C74" s="17">
        <v>1000</v>
      </c>
      <c r="D74" s="18" t="s">
        <v>81</v>
      </c>
      <c r="E74" s="3"/>
      <c r="F74" s="158"/>
      <c r="G74" s="157">
        <f>C74*F74</f>
        <v>0</v>
      </c>
      <c r="J74" s="7"/>
      <c r="N74" s="11"/>
      <c r="O74" s="88"/>
      <c r="P74" s="11"/>
    </row>
    <row r="75" spans="1:16" x14ac:dyDescent="0.25">
      <c r="A75" s="22"/>
      <c r="B75" s="108"/>
      <c r="C75" s="13"/>
      <c r="D75" s="14"/>
      <c r="E75" s="103"/>
      <c r="F75" s="158"/>
      <c r="G75" s="162"/>
      <c r="K75" s="9"/>
      <c r="L75" s="10"/>
      <c r="M75" s="8"/>
      <c r="N75" s="11"/>
      <c r="O75" s="88"/>
      <c r="P75" s="11"/>
    </row>
    <row r="76" spans="1:16" ht="12.75" customHeight="1" x14ac:dyDescent="0.25">
      <c r="A76" s="22" t="s">
        <v>632</v>
      </c>
      <c r="B76" s="16" t="s">
        <v>87</v>
      </c>
      <c r="C76" s="17">
        <v>1000</v>
      </c>
      <c r="D76" s="18" t="s">
        <v>81</v>
      </c>
      <c r="E76" s="3"/>
      <c r="F76" s="158"/>
      <c r="G76" s="157">
        <f>C76*F76</f>
        <v>0</v>
      </c>
      <c r="J76" s="7"/>
      <c r="L76" s="8" t="s">
        <v>1</v>
      </c>
      <c r="M76" s="86"/>
      <c r="N76" s="10"/>
      <c r="O76" s="8"/>
      <c r="P76" s="11"/>
    </row>
    <row r="77" spans="1:16" x14ac:dyDescent="0.25">
      <c r="A77" s="22"/>
      <c r="B77" s="13"/>
      <c r="C77" s="13"/>
      <c r="D77" s="14"/>
      <c r="E77" s="103"/>
      <c r="F77" s="158"/>
      <c r="G77" s="162"/>
      <c r="L77" s="8"/>
      <c r="M77" s="9" t="s">
        <v>1</v>
      </c>
      <c r="N77" s="10" t="s">
        <v>1</v>
      </c>
      <c r="O77" s="8" t="s">
        <v>1</v>
      </c>
      <c r="P77" s="11"/>
    </row>
    <row r="78" spans="1:16" ht="12.75" customHeight="1" x14ac:dyDescent="0.25">
      <c r="A78" s="138" t="s">
        <v>633</v>
      </c>
      <c r="B78" s="137" t="s">
        <v>89</v>
      </c>
      <c r="C78" s="13"/>
      <c r="D78" s="14"/>
      <c r="E78" s="103"/>
      <c r="F78" s="158"/>
      <c r="G78" s="162"/>
      <c r="L78" s="8" t="s">
        <v>1</v>
      </c>
      <c r="M78" s="86"/>
      <c r="N78" s="10"/>
      <c r="O78" s="8"/>
      <c r="P78" s="11"/>
    </row>
    <row r="79" spans="1:16" x14ac:dyDescent="0.25">
      <c r="A79" s="22"/>
      <c r="B79" s="13"/>
      <c r="C79" s="13"/>
      <c r="D79" s="14"/>
      <c r="E79" s="103"/>
      <c r="F79" s="158"/>
      <c r="G79" s="162"/>
      <c r="L79" s="8"/>
      <c r="M79" s="9" t="s">
        <v>1</v>
      </c>
      <c r="N79" s="10" t="s">
        <v>1</v>
      </c>
      <c r="O79" s="8" t="s">
        <v>1</v>
      </c>
      <c r="P79" s="11"/>
    </row>
    <row r="80" spans="1:16" ht="12.75" customHeight="1" x14ac:dyDescent="0.25">
      <c r="A80" s="22" t="s">
        <v>634</v>
      </c>
      <c r="B80" s="16" t="s">
        <v>91</v>
      </c>
      <c r="C80" s="17">
        <v>500</v>
      </c>
      <c r="D80" s="18" t="s">
        <v>92</v>
      </c>
      <c r="E80" s="3"/>
      <c r="F80" s="158"/>
      <c r="G80" s="157">
        <f>C80*F80</f>
        <v>0</v>
      </c>
      <c r="J80" s="7"/>
      <c r="L80" s="8" t="s">
        <v>1</v>
      </c>
      <c r="M80" s="86"/>
      <c r="N80" s="10"/>
      <c r="O80" s="8"/>
      <c r="P80" s="11"/>
    </row>
    <row r="81" spans="1:16" ht="12.75" customHeight="1" x14ac:dyDescent="0.25">
      <c r="A81" s="22"/>
      <c r="B81" s="16"/>
      <c r="C81" s="17"/>
      <c r="D81" s="18"/>
      <c r="E81" s="3"/>
      <c r="F81" s="158"/>
      <c r="G81" s="163"/>
      <c r="L81" s="8"/>
      <c r="M81" s="86"/>
      <c r="N81" s="10"/>
      <c r="O81" s="8"/>
      <c r="P81" s="11"/>
    </row>
    <row r="82" spans="1:16" ht="12.75" customHeight="1" x14ac:dyDescent="0.25">
      <c r="A82" s="22" t="s">
        <v>635</v>
      </c>
      <c r="B82" s="16" t="s">
        <v>94</v>
      </c>
      <c r="C82" s="17">
        <v>1000</v>
      </c>
      <c r="D82" s="18" t="s">
        <v>92</v>
      </c>
      <c r="E82" s="3"/>
      <c r="F82" s="158"/>
      <c r="G82" s="157">
        <f>C82*F82</f>
        <v>0</v>
      </c>
      <c r="J82" s="7"/>
      <c r="L82" s="8"/>
      <c r="M82" s="86"/>
      <c r="N82" s="10"/>
      <c r="O82" s="8"/>
      <c r="P82" s="11"/>
    </row>
    <row r="83" spans="1:16" x14ac:dyDescent="0.25">
      <c r="A83" s="22"/>
      <c r="B83" s="13"/>
      <c r="C83" s="13"/>
      <c r="D83" s="14"/>
      <c r="E83" s="103"/>
      <c r="F83" s="158"/>
      <c r="G83" s="162"/>
      <c r="L83" s="8"/>
      <c r="M83" s="9" t="s">
        <v>1</v>
      </c>
      <c r="N83" s="10" t="s">
        <v>1</v>
      </c>
      <c r="O83" s="8" t="s">
        <v>1</v>
      </c>
      <c r="P83" s="11"/>
    </row>
    <row r="84" spans="1:16" ht="12.75" customHeight="1" x14ac:dyDescent="0.25">
      <c r="A84" s="138" t="s">
        <v>636</v>
      </c>
      <c r="B84" s="109" t="s">
        <v>96</v>
      </c>
      <c r="C84" s="13"/>
      <c r="D84" s="14"/>
      <c r="E84" s="103"/>
      <c r="F84" s="158"/>
      <c r="G84" s="162"/>
      <c r="L84" s="8" t="s">
        <v>1</v>
      </c>
      <c r="M84" s="9"/>
      <c r="N84" s="10"/>
      <c r="O84" s="8"/>
      <c r="P84" s="11"/>
    </row>
    <row r="85" spans="1:16" x14ac:dyDescent="0.25">
      <c r="A85" s="22"/>
      <c r="B85" s="13"/>
      <c r="C85" s="13"/>
      <c r="D85" s="14"/>
      <c r="E85" s="103"/>
      <c r="F85" s="158"/>
      <c r="G85" s="162"/>
      <c r="L85" s="8"/>
      <c r="M85" s="9" t="s">
        <v>1</v>
      </c>
      <c r="N85" s="10" t="s">
        <v>1</v>
      </c>
      <c r="O85" s="8" t="s">
        <v>1</v>
      </c>
      <c r="P85" s="11"/>
    </row>
    <row r="86" spans="1:16" ht="12.75" customHeight="1" x14ac:dyDescent="0.25">
      <c r="A86" s="22" t="s">
        <v>637</v>
      </c>
      <c r="B86" s="16" t="s">
        <v>98</v>
      </c>
      <c r="C86" s="17">
        <v>1000</v>
      </c>
      <c r="D86" s="18" t="s">
        <v>99</v>
      </c>
      <c r="E86" s="3"/>
      <c r="F86" s="158"/>
      <c r="G86" s="157">
        <f>C86*F86</f>
        <v>0</v>
      </c>
      <c r="J86" s="7"/>
      <c r="L86" s="8" t="s">
        <v>1</v>
      </c>
      <c r="M86" s="86"/>
      <c r="N86" s="10"/>
      <c r="O86" s="8"/>
      <c r="P86" s="11"/>
    </row>
    <row r="87" spans="1:16" x14ac:dyDescent="0.25">
      <c r="A87" s="22"/>
      <c r="B87" s="108"/>
      <c r="C87" s="13"/>
      <c r="D87" s="14"/>
      <c r="E87" s="103"/>
      <c r="F87" s="158"/>
      <c r="G87" s="162"/>
      <c r="L87" s="8"/>
      <c r="M87" s="9" t="s">
        <v>1</v>
      </c>
      <c r="N87" s="10" t="s">
        <v>1</v>
      </c>
      <c r="O87" s="8" t="s">
        <v>1</v>
      </c>
      <c r="P87" s="11"/>
    </row>
    <row r="88" spans="1:16" ht="12.75" customHeight="1" x14ac:dyDescent="0.25">
      <c r="A88" s="22" t="s">
        <v>638</v>
      </c>
      <c r="B88" s="16" t="s">
        <v>101</v>
      </c>
      <c r="C88" s="17">
        <v>100000</v>
      </c>
      <c r="D88" s="18" t="s">
        <v>102</v>
      </c>
      <c r="E88" s="3"/>
      <c r="F88" s="158"/>
      <c r="G88" s="157">
        <f>C88*F88</f>
        <v>0</v>
      </c>
      <c r="J88" s="7"/>
      <c r="L88" s="8" t="s">
        <v>1</v>
      </c>
      <c r="M88" s="86"/>
      <c r="N88" s="10"/>
      <c r="O88" s="8"/>
      <c r="P88" s="11"/>
    </row>
    <row r="89" spans="1:16" x14ac:dyDescent="0.25">
      <c r="A89" s="22"/>
      <c r="B89" s="108"/>
      <c r="C89" s="13"/>
      <c r="D89" s="14"/>
      <c r="E89" s="103"/>
      <c r="F89" s="158"/>
      <c r="G89" s="162"/>
      <c r="L89" s="8"/>
      <c r="M89" s="9" t="s">
        <v>1</v>
      </c>
      <c r="N89" s="10" t="s">
        <v>1</v>
      </c>
      <c r="O89" s="8" t="s">
        <v>1</v>
      </c>
      <c r="P89" s="11"/>
    </row>
    <row r="90" spans="1:16" ht="12.75" customHeight="1" x14ac:dyDescent="0.25">
      <c r="A90" s="22" t="s">
        <v>639</v>
      </c>
      <c r="B90" s="16" t="s">
        <v>104</v>
      </c>
      <c r="C90" s="17">
        <v>500</v>
      </c>
      <c r="D90" s="18" t="s">
        <v>102</v>
      </c>
      <c r="E90" s="3"/>
      <c r="F90" s="158"/>
      <c r="G90" s="157">
        <f>C90*F90</f>
        <v>0</v>
      </c>
      <c r="J90" s="7"/>
      <c r="L90" s="8" t="s">
        <v>1</v>
      </c>
      <c r="M90" s="86"/>
      <c r="N90" s="10"/>
      <c r="O90" s="8"/>
      <c r="P90" s="11"/>
    </row>
    <row r="91" spans="1:16" ht="12.9" customHeight="1" x14ac:dyDescent="0.25">
      <c r="A91" s="22"/>
      <c r="B91" s="108"/>
      <c r="C91" s="13"/>
      <c r="D91" s="14"/>
      <c r="E91" s="103"/>
      <c r="F91" s="158"/>
      <c r="G91" s="162"/>
      <c r="J91" s="7"/>
      <c r="L91" s="8"/>
      <c r="M91" s="9" t="s">
        <v>1</v>
      </c>
      <c r="N91" s="10" t="s">
        <v>1</v>
      </c>
      <c r="O91" s="8" t="s">
        <v>1</v>
      </c>
      <c r="P91" s="11"/>
    </row>
    <row r="92" spans="1:16" ht="12.9" customHeight="1" x14ac:dyDescent="0.25">
      <c r="A92" s="22" t="s">
        <v>640</v>
      </c>
      <c r="B92" s="16" t="s">
        <v>106</v>
      </c>
      <c r="C92" s="17">
        <v>500</v>
      </c>
      <c r="D92" s="18" t="s">
        <v>102</v>
      </c>
      <c r="E92" s="3"/>
      <c r="F92" s="158"/>
      <c r="G92" s="157">
        <f>C92*F92</f>
        <v>0</v>
      </c>
      <c r="J92" s="7"/>
      <c r="L92" s="8" t="s">
        <v>1</v>
      </c>
      <c r="M92" s="9"/>
      <c r="N92" s="10"/>
      <c r="O92" s="8"/>
      <c r="P92" s="11"/>
    </row>
    <row r="93" spans="1:16" ht="12.9" customHeight="1" x14ac:dyDescent="0.25">
      <c r="A93" s="22"/>
      <c r="B93" s="16"/>
      <c r="C93" s="17"/>
      <c r="D93" s="18"/>
      <c r="E93" s="3"/>
      <c r="F93" s="158"/>
      <c r="G93" s="162"/>
      <c r="L93" s="8"/>
      <c r="M93" s="9"/>
      <c r="N93" s="10"/>
      <c r="O93" s="8"/>
      <c r="P93" s="11"/>
    </row>
    <row r="94" spans="1:16" ht="12.9" customHeight="1" x14ac:dyDescent="0.25">
      <c r="A94" s="22" t="s">
        <v>641</v>
      </c>
      <c r="B94" s="16" t="s">
        <v>108</v>
      </c>
      <c r="C94" s="17">
        <v>2500</v>
      </c>
      <c r="D94" s="18" t="s">
        <v>92</v>
      </c>
      <c r="E94" s="3"/>
      <c r="F94" s="158"/>
      <c r="G94" s="157">
        <f>C94*F94</f>
        <v>0</v>
      </c>
      <c r="J94" s="7"/>
      <c r="L94" s="8"/>
      <c r="M94" s="9" t="s">
        <v>1</v>
      </c>
      <c r="N94" s="10" t="s">
        <v>1</v>
      </c>
      <c r="O94" s="8" t="s">
        <v>1</v>
      </c>
      <c r="P94" s="11" t="s">
        <v>1</v>
      </c>
    </row>
    <row r="95" spans="1:16" ht="12.9" customHeight="1" x14ac:dyDescent="0.25">
      <c r="A95" s="22"/>
      <c r="B95" s="108"/>
      <c r="C95" s="13"/>
      <c r="D95" s="14"/>
      <c r="E95" s="103"/>
      <c r="F95" s="158"/>
      <c r="G95" s="162"/>
      <c r="J95" s="7"/>
      <c r="L95" s="8" t="s">
        <v>1</v>
      </c>
      <c r="M95" s="9"/>
      <c r="N95" s="10"/>
      <c r="O95" s="8"/>
      <c r="P95" s="11"/>
    </row>
    <row r="96" spans="1:16" ht="12.9" customHeight="1" x14ac:dyDescent="0.25">
      <c r="A96" s="22" t="s">
        <v>642</v>
      </c>
      <c r="B96" s="16" t="s">
        <v>110</v>
      </c>
      <c r="C96" s="17">
        <v>2500</v>
      </c>
      <c r="D96" s="18" t="s">
        <v>92</v>
      </c>
      <c r="E96" s="3"/>
      <c r="F96" s="158"/>
      <c r="G96" s="157">
        <f>C96*F96</f>
        <v>0</v>
      </c>
      <c r="J96" s="7"/>
      <c r="L96" s="8"/>
      <c r="M96" s="9" t="s">
        <v>1</v>
      </c>
      <c r="N96" s="10" t="s">
        <v>1</v>
      </c>
      <c r="O96" s="8" t="s">
        <v>1</v>
      </c>
      <c r="P96" s="11"/>
    </row>
    <row r="97" spans="1:16" ht="12.9" customHeight="1" x14ac:dyDescent="0.25">
      <c r="A97" s="22"/>
      <c r="B97" s="108"/>
      <c r="C97" s="13"/>
      <c r="D97" s="14"/>
      <c r="E97" s="103"/>
      <c r="F97" s="158"/>
      <c r="G97" s="162"/>
      <c r="J97" s="7"/>
      <c r="L97" s="23" t="s">
        <v>1</v>
      </c>
      <c r="M97" s="86"/>
      <c r="N97" s="10"/>
      <c r="O97" s="8"/>
      <c r="P97" s="11"/>
    </row>
    <row r="98" spans="1:16" ht="12.9" customHeight="1" x14ac:dyDescent="0.25">
      <c r="A98" s="22" t="s">
        <v>643</v>
      </c>
      <c r="B98" s="16" t="s">
        <v>112</v>
      </c>
      <c r="C98" s="17">
        <v>2500</v>
      </c>
      <c r="D98" s="18" t="s">
        <v>92</v>
      </c>
      <c r="E98" s="3"/>
      <c r="F98" s="158"/>
      <c r="G98" s="157">
        <f>C98*F98</f>
        <v>0</v>
      </c>
      <c r="J98" s="7"/>
      <c r="L98" s="8"/>
      <c r="M98" s="136" t="s">
        <v>1</v>
      </c>
      <c r="N98" s="20"/>
      <c r="O98" s="21"/>
      <c r="P98" s="11"/>
    </row>
    <row r="99" spans="1:16" ht="12.9" customHeight="1" x14ac:dyDescent="0.25">
      <c r="A99" s="22"/>
      <c r="B99" s="16"/>
      <c r="C99" s="17"/>
      <c r="D99" s="14"/>
      <c r="E99" s="3"/>
      <c r="F99" s="158"/>
      <c r="G99" s="163"/>
      <c r="J99" s="7"/>
      <c r="L99" s="8" t="s">
        <v>1</v>
      </c>
      <c r="M99" s="9"/>
      <c r="N99" s="24"/>
      <c r="O99" s="8"/>
      <c r="P99" s="11"/>
    </row>
    <row r="100" spans="1:16" ht="12.9" customHeight="1" x14ac:dyDescent="0.25">
      <c r="A100" s="22" t="s">
        <v>644</v>
      </c>
      <c r="B100" s="4" t="s">
        <v>114</v>
      </c>
      <c r="C100" s="17">
        <v>2500</v>
      </c>
      <c r="D100" s="18" t="s">
        <v>92</v>
      </c>
      <c r="E100" s="3"/>
      <c r="F100" s="158"/>
      <c r="G100" s="157">
        <f>C100*F100</f>
        <v>0</v>
      </c>
      <c r="J100" s="7"/>
      <c r="L100" s="8"/>
      <c r="M100" s="9" t="s">
        <v>1</v>
      </c>
      <c r="N100" s="24" t="s">
        <v>1</v>
      </c>
      <c r="O100" s="8" t="s">
        <v>1</v>
      </c>
      <c r="P100" s="11"/>
    </row>
    <row r="101" spans="1:16" ht="12.9" customHeight="1" x14ac:dyDescent="0.25">
      <c r="A101" s="22"/>
      <c r="B101" s="16"/>
      <c r="C101" s="17"/>
      <c r="D101" s="18"/>
      <c r="E101" s="3"/>
      <c r="F101" s="158"/>
      <c r="G101" s="163"/>
      <c r="J101" s="7"/>
      <c r="L101" s="8" t="s">
        <v>1</v>
      </c>
      <c r="M101" s="9"/>
      <c r="N101" s="24"/>
      <c r="O101" s="8"/>
      <c r="P101" s="11"/>
    </row>
    <row r="102" spans="1:16" ht="12.9" customHeight="1" x14ac:dyDescent="0.25">
      <c r="A102" s="22" t="s">
        <v>645</v>
      </c>
      <c r="B102" s="4" t="s">
        <v>116</v>
      </c>
      <c r="C102" s="17">
        <v>3000</v>
      </c>
      <c r="D102" s="18" t="s">
        <v>43</v>
      </c>
      <c r="E102" s="3"/>
      <c r="F102" s="158"/>
      <c r="G102" s="157">
        <f>C102*F102</f>
        <v>0</v>
      </c>
      <c r="J102" s="7"/>
      <c r="L102" s="8"/>
      <c r="M102" s="9" t="s">
        <v>1</v>
      </c>
      <c r="N102" s="24" t="s">
        <v>1</v>
      </c>
      <c r="O102" s="8" t="s">
        <v>1</v>
      </c>
      <c r="P102" s="11"/>
    </row>
    <row r="103" spans="1:16" ht="12.9" customHeight="1" x14ac:dyDescent="0.25">
      <c r="A103" s="22"/>
      <c r="B103" s="13"/>
      <c r="C103" s="13"/>
      <c r="D103" s="14"/>
      <c r="E103" s="103"/>
      <c r="F103" s="158"/>
      <c r="G103" s="162"/>
      <c r="J103" s="7"/>
      <c r="L103" s="8" t="s">
        <v>1</v>
      </c>
      <c r="M103" s="9"/>
      <c r="N103" s="24"/>
      <c r="O103" s="8"/>
      <c r="P103" s="11"/>
    </row>
    <row r="104" spans="1:16" ht="12.9" customHeight="1" x14ac:dyDescent="0.25">
      <c r="A104" s="140" t="s">
        <v>646</v>
      </c>
      <c r="B104" s="137" t="s">
        <v>118</v>
      </c>
      <c r="C104" s="13"/>
      <c r="D104" s="14"/>
      <c r="E104" s="103"/>
      <c r="F104" s="158"/>
      <c r="G104" s="162"/>
      <c r="J104" s="7"/>
      <c r="L104" s="8"/>
      <c r="M104" s="9" t="s">
        <v>1</v>
      </c>
      <c r="N104" s="24" t="s">
        <v>1</v>
      </c>
      <c r="O104" s="8" t="s">
        <v>1</v>
      </c>
      <c r="P104" s="11"/>
    </row>
    <row r="105" spans="1:16" ht="12.9" customHeight="1" x14ac:dyDescent="0.25">
      <c r="A105" s="22"/>
      <c r="B105" s="13"/>
      <c r="C105" s="13"/>
      <c r="D105" s="14"/>
      <c r="E105" s="103"/>
      <c r="F105" s="158"/>
      <c r="G105" s="162"/>
      <c r="J105" s="7"/>
      <c r="L105" s="8" t="s">
        <v>1</v>
      </c>
      <c r="M105" s="9"/>
      <c r="N105" s="24"/>
      <c r="O105" s="8"/>
      <c r="P105" s="11"/>
    </row>
    <row r="106" spans="1:16" ht="12.9" customHeight="1" x14ac:dyDescent="0.25">
      <c r="A106" s="22" t="s">
        <v>647</v>
      </c>
      <c r="B106" s="16" t="s">
        <v>120</v>
      </c>
      <c r="C106" s="17">
        <v>200</v>
      </c>
      <c r="D106" s="18" t="s">
        <v>36</v>
      </c>
      <c r="E106" s="3"/>
      <c r="F106" s="158"/>
      <c r="G106" s="157">
        <f>C106*F106</f>
        <v>0</v>
      </c>
      <c r="J106" s="7"/>
      <c r="L106" s="8"/>
      <c r="M106" s="9" t="s">
        <v>1</v>
      </c>
      <c r="N106" s="24" t="s">
        <v>1</v>
      </c>
      <c r="O106" s="8" t="s">
        <v>1</v>
      </c>
      <c r="P106" s="11"/>
    </row>
    <row r="107" spans="1:16" ht="12.9" customHeight="1" x14ac:dyDescent="0.25">
      <c r="A107" s="22"/>
      <c r="B107" s="16"/>
      <c r="C107" s="13"/>
      <c r="D107" s="14"/>
      <c r="E107" s="103"/>
      <c r="F107" s="158"/>
      <c r="G107" s="162"/>
      <c r="J107" s="7"/>
      <c r="L107" s="8" t="s">
        <v>1</v>
      </c>
      <c r="M107" s="9"/>
      <c r="N107" s="24"/>
      <c r="O107" s="8"/>
      <c r="P107" s="11"/>
    </row>
    <row r="108" spans="1:16" ht="12.9" customHeight="1" x14ac:dyDescent="0.25">
      <c r="A108" s="22" t="s">
        <v>648</v>
      </c>
      <c r="B108" s="16" t="s">
        <v>122</v>
      </c>
      <c r="C108" s="17">
        <v>200</v>
      </c>
      <c r="D108" s="18" t="s">
        <v>36</v>
      </c>
      <c r="E108" s="3"/>
      <c r="F108" s="158"/>
      <c r="G108" s="157">
        <f>C108*F108</f>
        <v>0</v>
      </c>
      <c r="J108" s="7"/>
      <c r="L108" s="8"/>
      <c r="M108" s="9" t="s">
        <v>1</v>
      </c>
      <c r="N108" s="24" t="s">
        <v>1</v>
      </c>
      <c r="O108" s="8" t="s">
        <v>1</v>
      </c>
      <c r="P108" s="11"/>
    </row>
    <row r="109" spans="1:16" ht="12.9" customHeight="1" x14ac:dyDescent="0.25">
      <c r="A109" s="22"/>
      <c r="B109" s="16"/>
      <c r="C109" s="13"/>
      <c r="D109" s="14"/>
      <c r="E109" s="103"/>
      <c r="F109" s="158"/>
      <c r="G109" s="162"/>
      <c r="J109" s="7"/>
      <c r="L109" s="8" t="s">
        <v>1</v>
      </c>
      <c r="M109" s="9"/>
      <c r="N109" s="24"/>
      <c r="O109" s="8"/>
      <c r="P109" s="11"/>
    </row>
    <row r="110" spans="1:16" ht="12.9" customHeight="1" x14ac:dyDescent="0.25">
      <c r="A110" s="22" t="s">
        <v>649</v>
      </c>
      <c r="B110" s="16" t="s">
        <v>124</v>
      </c>
      <c r="C110" s="17">
        <v>200</v>
      </c>
      <c r="D110" s="18" t="s">
        <v>36</v>
      </c>
      <c r="E110" s="3"/>
      <c r="F110" s="158"/>
      <c r="G110" s="157">
        <f>C110*F110</f>
        <v>0</v>
      </c>
      <c r="J110" s="7"/>
      <c r="L110" s="8"/>
      <c r="M110" s="9" t="s">
        <v>1</v>
      </c>
      <c r="N110" s="24" t="s">
        <v>1</v>
      </c>
      <c r="O110" s="8" t="s">
        <v>1</v>
      </c>
      <c r="P110" s="11" t="s">
        <v>1</v>
      </c>
    </row>
    <row r="111" spans="1:16" ht="12.9" customHeight="1" x14ac:dyDescent="0.25">
      <c r="A111" s="22"/>
      <c r="B111" s="16"/>
      <c r="C111" s="13"/>
      <c r="D111" s="14"/>
      <c r="E111" s="103"/>
      <c r="F111" s="158"/>
      <c r="G111" s="162"/>
      <c r="J111" s="7"/>
      <c r="L111" s="8" t="s">
        <v>1</v>
      </c>
      <c r="M111" s="9"/>
      <c r="N111" s="24"/>
      <c r="O111" s="8"/>
      <c r="P111" s="11"/>
    </row>
    <row r="112" spans="1:16" ht="12.9" customHeight="1" x14ac:dyDescent="0.25">
      <c r="A112" s="22" t="s">
        <v>650</v>
      </c>
      <c r="B112" s="16" t="s">
        <v>126</v>
      </c>
      <c r="C112" s="17">
        <v>200</v>
      </c>
      <c r="D112" s="18" t="s">
        <v>36</v>
      </c>
      <c r="E112" s="3"/>
      <c r="F112" s="158"/>
      <c r="G112" s="157">
        <f>C112*F112</f>
        <v>0</v>
      </c>
      <c r="J112" s="7"/>
      <c r="L112" s="8"/>
      <c r="M112" s="9" t="s">
        <v>1</v>
      </c>
      <c r="N112" s="24" t="s">
        <v>1</v>
      </c>
      <c r="O112" s="8" t="s">
        <v>1</v>
      </c>
      <c r="P112" s="11"/>
    </row>
    <row r="113" spans="1:16" ht="12.9" customHeight="1" x14ac:dyDescent="0.25">
      <c r="A113" s="22"/>
      <c r="B113" s="16"/>
      <c r="C113" s="13"/>
      <c r="D113" s="14"/>
      <c r="E113" s="103"/>
      <c r="F113" s="158"/>
      <c r="G113" s="162"/>
      <c r="J113" s="7"/>
      <c r="L113" s="8" t="s">
        <v>1</v>
      </c>
      <c r="M113" s="9"/>
      <c r="N113" s="24"/>
      <c r="O113" s="8"/>
      <c r="P113" s="11"/>
    </row>
    <row r="114" spans="1:16" ht="12.9" customHeight="1" x14ac:dyDescent="0.25">
      <c r="A114" s="22" t="s">
        <v>651</v>
      </c>
      <c r="B114" s="16" t="s">
        <v>128</v>
      </c>
      <c r="C114" s="17">
        <v>200</v>
      </c>
      <c r="D114" s="18" t="s">
        <v>36</v>
      </c>
      <c r="E114" s="3"/>
      <c r="F114" s="158"/>
      <c r="G114" s="157">
        <f>C114*F114</f>
        <v>0</v>
      </c>
      <c r="J114" s="7"/>
      <c r="L114" s="8"/>
      <c r="M114" s="9" t="s">
        <v>1</v>
      </c>
      <c r="N114" s="24" t="s">
        <v>1</v>
      </c>
      <c r="O114" s="8" t="s">
        <v>1</v>
      </c>
      <c r="P114" s="11"/>
    </row>
    <row r="115" spans="1:16" ht="12.9" customHeight="1" x14ac:dyDescent="0.25">
      <c r="A115" s="22"/>
      <c r="B115" s="16"/>
      <c r="C115" s="13"/>
      <c r="D115" s="14"/>
      <c r="E115" s="103"/>
      <c r="F115" s="158"/>
      <c r="G115" s="162"/>
      <c r="J115" s="7"/>
      <c r="L115" s="8" t="s">
        <v>1</v>
      </c>
      <c r="M115" s="9"/>
      <c r="N115" s="24"/>
      <c r="O115" s="8"/>
      <c r="P115" s="11"/>
    </row>
    <row r="116" spans="1:16" ht="12.9" customHeight="1" x14ac:dyDescent="0.25">
      <c r="A116" s="22" t="s">
        <v>652</v>
      </c>
      <c r="B116" s="16" t="s">
        <v>130</v>
      </c>
      <c r="C116" s="17">
        <v>200</v>
      </c>
      <c r="D116" s="18" t="s">
        <v>36</v>
      </c>
      <c r="E116" s="3"/>
      <c r="F116" s="158"/>
      <c r="G116" s="157">
        <f>C116*F116</f>
        <v>0</v>
      </c>
      <c r="J116" s="7"/>
      <c r="L116" s="8"/>
      <c r="M116" s="9" t="s">
        <v>1</v>
      </c>
      <c r="N116" s="24" t="s">
        <v>1</v>
      </c>
      <c r="O116" s="8" t="s">
        <v>1</v>
      </c>
      <c r="P116" s="11"/>
    </row>
    <row r="117" spans="1:16" ht="12.9" customHeight="1" x14ac:dyDescent="0.25">
      <c r="A117" s="22"/>
      <c r="B117" s="16"/>
      <c r="C117" s="13"/>
      <c r="D117" s="14"/>
      <c r="E117" s="103"/>
      <c r="F117" s="158"/>
      <c r="G117" s="162"/>
      <c r="J117" s="7"/>
      <c r="L117" s="8" t="s">
        <v>1</v>
      </c>
      <c r="M117" s="9"/>
      <c r="N117" s="24"/>
      <c r="O117" s="8"/>
      <c r="P117" s="110"/>
    </row>
    <row r="118" spans="1:16" ht="12.9" customHeight="1" x14ac:dyDescent="0.25">
      <c r="A118" s="22" t="s">
        <v>653</v>
      </c>
      <c r="B118" s="16" t="s">
        <v>132</v>
      </c>
      <c r="C118" s="17">
        <v>200</v>
      </c>
      <c r="D118" s="18" t="s">
        <v>36</v>
      </c>
      <c r="E118" s="3"/>
      <c r="F118" s="158"/>
      <c r="G118" s="157">
        <f>C118*F118</f>
        <v>0</v>
      </c>
      <c r="J118" s="7"/>
      <c r="L118" s="8"/>
      <c r="M118" s="9" t="s">
        <v>1</v>
      </c>
      <c r="N118" s="24" t="s">
        <v>1</v>
      </c>
      <c r="O118" s="8" t="s">
        <v>1</v>
      </c>
      <c r="P118" s="11"/>
    </row>
    <row r="119" spans="1:16" ht="12.9" customHeight="1" x14ac:dyDescent="0.25">
      <c r="A119" s="22"/>
      <c r="B119" s="16"/>
      <c r="C119" s="13"/>
      <c r="D119" s="14"/>
      <c r="E119" s="103"/>
      <c r="F119" s="158"/>
      <c r="G119" s="162"/>
      <c r="J119" s="7"/>
      <c r="L119" s="8" t="s">
        <v>1</v>
      </c>
      <c r="M119" s="9"/>
      <c r="N119" s="24"/>
      <c r="O119" s="8"/>
      <c r="P119" s="11"/>
    </row>
    <row r="120" spans="1:16" ht="12.9" customHeight="1" x14ac:dyDescent="0.25">
      <c r="A120" s="22" t="s">
        <v>654</v>
      </c>
      <c r="B120" s="16" t="s">
        <v>134</v>
      </c>
      <c r="C120" s="17">
        <v>200</v>
      </c>
      <c r="D120" s="18" t="s">
        <v>36</v>
      </c>
      <c r="E120" s="3"/>
      <c r="F120" s="158"/>
      <c r="G120" s="157">
        <f>C120*F120</f>
        <v>0</v>
      </c>
      <c r="J120" s="7"/>
      <c r="L120" s="8"/>
      <c r="M120" s="9" t="s">
        <v>1</v>
      </c>
      <c r="N120" s="24" t="s">
        <v>1</v>
      </c>
      <c r="O120" s="8" t="s">
        <v>1</v>
      </c>
      <c r="P120" s="11"/>
    </row>
    <row r="121" spans="1:16" ht="12.9" customHeight="1" x14ac:dyDescent="0.25">
      <c r="A121" s="22"/>
      <c r="B121" s="16"/>
      <c r="C121" s="13"/>
      <c r="D121" s="14"/>
      <c r="E121" s="103"/>
      <c r="F121" s="158"/>
      <c r="G121" s="162"/>
      <c r="J121" s="7"/>
      <c r="L121" s="8" t="s">
        <v>1</v>
      </c>
      <c r="M121" s="9"/>
      <c r="N121" s="24"/>
      <c r="O121" s="8"/>
      <c r="P121" s="11"/>
    </row>
    <row r="122" spans="1:16" ht="12.9" customHeight="1" x14ac:dyDescent="0.25">
      <c r="A122" s="22" t="s">
        <v>655</v>
      </c>
      <c r="B122" s="16" t="s">
        <v>136</v>
      </c>
      <c r="C122" s="17">
        <v>200</v>
      </c>
      <c r="D122" s="18" t="s">
        <v>36</v>
      </c>
      <c r="E122" s="3"/>
      <c r="F122" s="158"/>
      <c r="G122" s="157">
        <f>C122*F122</f>
        <v>0</v>
      </c>
      <c r="J122" s="7"/>
      <c r="L122" s="8"/>
      <c r="M122" s="9" t="s">
        <v>1</v>
      </c>
      <c r="N122" s="24" t="s">
        <v>0</v>
      </c>
      <c r="O122" s="8" t="s">
        <v>1</v>
      </c>
      <c r="P122" s="11"/>
    </row>
    <row r="123" spans="1:16" ht="12.9" customHeight="1" x14ac:dyDescent="0.25">
      <c r="A123" s="22"/>
      <c r="B123" s="16"/>
      <c r="C123" s="13"/>
      <c r="D123" s="14"/>
      <c r="E123" s="103"/>
      <c r="F123" s="158"/>
      <c r="G123" s="162"/>
      <c r="J123" s="7"/>
      <c r="L123" s="8" t="s">
        <v>1</v>
      </c>
      <c r="M123" s="9"/>
      <c r="N123" s="24"/>
      <c r="O123" s="8"/>
      <c r="P123" s="11"/>
    </row>
    <row r="124" spans="1:16" ht="12.9" customHeight="1" x14ac:dyDescent="0.25">
      <c r="A124" s="22" t="s">
        <v>656</v>
      </c>
      <c r="B124" s="16" t="s">
        <v>138</v>
      </c>
      <c r="C124" s="17">
        <v>64</v>
      </c>
      <c r="D124" s="18" t="s">
        <v>36</v>
      </c>
      <c r="E124" s="3"/>
      <c r="F124" s="158"/>
      <c r="G124" s="157">
        <f>C124*F124</f>
        <v>0</v>
      </c>
      <c r="J124" s="7"/>
      <c r="L124" s="8"/>
      <c r="M124" s="9" t="s">
        <v>1</v>
      </c>
      <c r="N124" s="24" t="s">
        <v>1</v>
      </c>
      <c r="O124" s="8" t="s">
        <v>1</v>
      </c>
      <c r="P124" s="11"/>
    </row>
    <row r="125" spans="1:16" ht="12.9" customHeight="1" x14ac:dyDescent="0.25">
      <c r="A125" s="22"/>
      <c r="B125" s="16"/>
      <c r="C125" s="13"/>
      <c r="D125" s="14"/>
      <c r="E125" s="103"/>
      <c r="F125" s="158"/>
      <c r="G125" s="162"/>
      <c r="J125" s="7"/>
      <c r="L125" s="8" t="s">
        <v>1</v>
      </c>
      <c r="M125" s="9"/>
      <c r="N125" s="24"/>
      <c r="O125" s="8"/>
      <c r="P125" s="11"/>
    </row>
    <row r="126" spans="1:16" ht="12.9" customHeight="1" x14ac:dyDescent="0.25">
      <c r="A126" s="22" t="s">
        <v>657</v>
      </c>
      <c r="B126" s="16" t="s">
        <v>140</v>
      </c>
      <c r="C126" s="17">
        <v>30</v>
      </c>
      <c r="D126" s="18" t="s">
        <v>36</v>
      </c>
      <c r="E126" s="3"/>
      <c r="F126" s="158"/>
      <c r="G126" s="157">
        <f>C126*F126</f>
        <v>0</v>
      </c>
      <c r="J126" s="7"/>
      <c r="L126" s="8"/>
      <c r="M126" s="9" t="s">
        <v>1</v>
      </c>
      <c r="N126" s="24" t="s">
        <v>1</v>
      </c>
      <c r="O126" s="8" t="s">
        <v>1</v>
      </c>
      <c r="P126" s="11"/>
    </row>
    <row r="127" spans="1:16" ht="12.9" customHeight="1" x14ac:dyDescent="0.25">
      <c r="A127" s="22"/>
      <c r="B127" s="16"/>
      <c r="C127" s="13"/>
      <c r="D127" s="14"/>
      <c r="E127" s="103"/>
      <c r="F127" s="158"/>
      <c r="G127" s="162"/>
      <c r="J127" s="7"/>
      <c r="L127" s="8" t="s">
        <v>1</v>
      </c>
      <c r="M127" s="9"/>
      <c r="N127" s="24"/>
      <c r="O127" s="8"/>
      <c r="P127" s="11"/>
    </row>
    <row r="128" spans="1:16" ht="12.9" customHeight="1" x14ac:dyDescent="0.25">
      <c r="A128" s="22" t="s">
        <v>658</v>
      </c>
      <c r="B128" s="16" t="s">
        <v>142</v>
      </c>
      <c r="C128" s="17">
        <v>90</v>
      </c>
      <c r="D128" s="18" t="s">
        <v>36</v>
      </c>
      <c r="E128" s="3"/>
      <c r="F128" s="158"/>
      <c r="G128" s="157">
        <f>C128*F128</f>
        <v>0</v>
      </c>
      <c r="J128" s="7"/>
      <c r="L128" s="8"/>
      <c r="M128" s="9" t="s">
        <v>1</v>
      </c>
      <c r="N128" s="24" t="s">
        <v>1</v>
      </c>
      <c r="O128" s="8" t="s">
        <v>1</v>
      </c>
      <c r="P128" s="11"/>
    </row>
    <row r="129" spans="1:16" ht="12.9" customHeight="1" x14ac:dyDescent="0.25">
      <c r="A129" s="22"/>
      <c r="B129" s="16"/>
      <c r="C129" s="13"/>
      <c r="D129" s="14"/>
      <c r="E129" s="103"/>
      <c r="F129" s="158"/>
      <c r="G129" s="162"/>
      <c r="J129" s="7"/>
      <c r="L129" s="8" t="s">
        <v>1</v>
      </c>
      <c r="M129" s="9"/>
      <c r="N129" s="24"/>
      <c r="O129" s="8"/>
      <c r="P129" s="11"/>
    </row>
    <row r="130" spans="1:16" ht="12.9" customHeight="1" x14ac:dyDescent="0.25">
      <c r="A130" s="22" t="s">
        <v>659</v>
      </c>
      <c r="B130" s="16" t="s">
        <v>144</v>
      </c>
      <c r="C130" s="17">
        <v>400</v>
      </c>
      <c r="D130" s="18" t="s">
        <v>145</v>
      </c>
      <c r="E130" s="3"/>
      <c r="F130" s="158"/>
      <c r="G130" s="157">
        <f>C130*F130</f>
        <v>0</v>
      </c>
      <c r="J130" s="7"/>
      <c r="L130" s="8"/>
      <c r="M130" s="9" t="s">
        <v>1</v>
      </c>
      <c r="N130" s="24" t="s">
        <v>1</v>
      </c>
      <c r="O130" s="8" t="s">
        <v>1</v>
      </c>
      <c r="P130" s="11"/>
    </row>
    <row r="131" spans="1:16" ht="12.9" customHeight="1" x14ac:dyDescent="0.25">
      <c r="A131" s="22"/>
      <c r="B131" s="16"/>
      <c r="C131" s="13"/>
      <c r="D131" s="14"/>
      <c r="E131" s="103"/>
      <c r="F131" s="158"/>
      <c r="G131" s="162"/>
      <c r="J131" s="7"/>
      <c r="L131" s="8" t="s">
        <v>1</v>
      </c>
      <c r="M131" s="9"/>
      <c r="N131" s="24"/>
      <c r="O131" s="8"/>
      <c r="P131" s="11"/>
    </row>
    <row r="132" spans="1:16" ht="12.9" customHeight="1" x14ac:dyDescent="0.25">
      <c r="A132" s="22" t="s">
        <v>660</v>
      </c>
      <c r="B132" s="16" t="s">
        <v>147</v>
      </c>
      <c r="C132" s="17">
        <v>100</v>
      </c>
      <c r="D132" s="18" t="s">
        <v>145</v>
      </c>
      <c r="E132" s="3"/>
      <c r="F132" s="158"/>
      <c r="G132" s="157">
        <f>C132*F132</f>
        <v>0</v>
      </c>
      <c r="J132" s="7"/>
      <c r="L132" s="8"/>
      <c r="M132" s="9" t="s">
        <v>1</v>
      </c>
      <c r="N132" s="24" t="s">
        <v>1</v>
      </c>
      <c r="O132" s="8" t="s">
        <v>1</v>
      </c>
      <c r="P132" s="11"/>
    </row>
    <row r="133" spans="1:16" ht="12.9" customHeight="1" x14ac:dyDescent="0.25">
      <c r="A133" s="22"/>
      <c r="B133" s="16"/>
      <c r="C133" s="13"/>
      <c r="D133" s="14"/>
      <c r="E133" s="103"/>
      <c r="F133" s="158"/>
      <c r="G133" s="162"/>
      <c r="J133" s="7"/>
      <c r="L133" s="8"/>
      <c r="M133" s="9" t="s">
        <v>1</v>
      </c>
      <c r="N133" s="24" t="s">
        <v>1</v>
      </c>
      <c r="O133" s="8" t="s">
        <v>1</v>
      </c>
      <c r="P133" s="11"/>
    </row>
    <row r="134" spans="1:16" ht="12.9" customHeight="1" x14ac:dyDescent="0.25">
      <c r="A134" s="22" t="s">
        <v>661</v>
      </c>
      <c r="B134" s="16" t="s">
        <v>149</v>
      </c>
      <c r="C134" s="17">
        <v>1000</v>
      </c>
      <c r="D134" s="18" t="s">
        <v>102</v>
      </c>
      <c r="E134" s="3"/>
      <c r="F134" s="158"/>
      <c r="G134" s="157">
        <f>C134*F134</f>
        <v>0</v>
      </c>
      <c r="J134" s="7"/>
      <c r="L134" s="23" t="s">
        <v>1</v>
      </c>
      <c r="M134" s="9"/>
      <c r="N134" s="24"/>
      <c r="O134" s="8"/>
      <c r="P134" s="11"/>
    </row>
    <row r="135" spans="1:16" ht="12.9" customHeight="1" x14ac:dyDescent="0.25">
      <c r="A135" s="22"/>
      <c r="B135" s="16"/>
      <c r="C135" s="13"/>
      <c r="D135" s="14"/>
      <c r="E135" s="103"/>
      <c r="F135" s="158"/>
      <c r="G135" s="162"/>
      <c r="J135" s="7"/>
      <c r="L135" s="8"/>
      <c r="M135" s="136" t="s">
        <v>1</v>
      </c>
      <c r="N135" s="20"/>
      <c r="O135" s="21"/>
      <c r="P135" s="111"/>
    </row>
    <row r="136" spans="1:16" ht="12.9" customHeight="1" x14ac:dyDescent="0.25">
      <c r="A136" s="22" t="s">
        <v>662</v>
      </c>
      <c r="B136" s="16" t="s">
        <v>151</v>
      </c>
      <c r="C136" s="17">
        <v>2000</v>
      </c>
      <c r="D136" s="18" t="s">
        <v>102</v>
      </c>
      <c r="E136" s="3"/>
      <c r="F136" s="158"/>
      <c r="G136" s="157">
        <f>C136*F136</f>
        <v>0</v>
      </c>
      <c r="J136" s="7"/>
      <c r="L136" s="8" t="s">
        <v>1</v>
      </c>
      <c r="M136" s="9"/>
      <c r="N136" s="24"/>
      <c r="O136" s="8"/>
      <c r="P136" s="111"/>
    </row>
    <row r="137" spans="1:16" x14ac:dyDescent="0.25">
      <c r="A137" s="22"/>
      <c r="B137" s="16"/>
      <c r="C137" s="13"/>
      <c r="D137" s="14"/>
      <c r="E137" s="103"/>
      <c r="F137" s="158"/>
      <c r="G137" s="162"/>
      <c r="J137" s="7"/>
      <c r="L137" s="8"/>
      <c r="M137" s="9" t="s">
        <v>1</v>
      </c>
      <c r="N137" s="24" t="s">
        <v>1</v>
      </c>
      <c r="O137" s="8" t="s">
        <v>1</v>
      </c>
      <c r="P137" s="11"/>
    </row>
    <row r="138" spans="1:16" ht="12.75" customHeight="1" x14ac:dyDescent="0.25">
      <c r="A138" s="22" t="s">
        <v>663</v>
      </c>
      <c r="B138" s="16" t="s">
        <v>153</v>
      </c>
      <c r="C138" s="17">
        <v>19000</v>
      </c>
      <c r="D138" s="18" t="s">
        <v>102</v>
      </c>
      <c r="E138" s="3"/>
      <c r="F138" s="158"/>
      <c r="G138" s="157">
        <f>C138*F138</f>
        <v>0</v>
      </c>
      <c r="J138" s="7"/>
      <c r="L138" s="8" t="s">
        <v>1</v>
      </c>
      <c r="M138" s="9"/>
      <c r="N138" s="24"/>
      <c r="O138" s="8"/>
      <c r="P138" s="11"/>
    </row>
    <row r="139" spans="1:16" x14ac:dyDescent="0.25">
      <c r="A139" s="22"/>
      <c r="B139" s="16"/>
      <c r="C139" s="17"/>
      <c r="D139" s="18"/>
      <c r="E139" s="3"/>
      <c r="F139" s="158"/>
      <c r="G139" s="163"/>
      <c r="J139" s="7"/>
      <c r="L139" s="8"/>
      <c r="M139" s="9" t="s">
        <v>1</v>
      </c>
      <c r="N139" s="24" t="s">
        <v>1</v>
      </c>
      <c r="O139" s="8" t="s">
        <v>1</v>
      </c>
      <c r="P139" s="11"/>
    </row>
    <row r="140" spans="1:16" ht="12.75" customHeight="1" x14ac:dyDescent="0.25">
      <c r="A140" s="22" t="s">
        <v>664</v>
      </c>
      <c r="B140" s="4" t="s">
        <v>155</v>
      </c>
      <c r="C140" s="26">
        <v>500</v>
      </c>
      <c r="D140" s="18" t="s">
        <v>36</v>
      </c>
      <c r="E140" s="3"/>
      <c r="F140" s="158"/>
      <c r="G140" s="157">
        <f>C140*F140</f>
        <v>0</v>
      </c>
      <c r="J140" s="7"/>
      <c r="L140" s="8" t="s">
        <v>1</v>
      </c>
      <c r="M140" s="9"/>
      <c r="N140" s="24"/>
      <c r="O140" s="8"/>
      <c r="P140" s="11"/>
    </row>
    <row r="141" spans="1:16" x14ac:dyDescent="0.25">
      <c r="A141" s="22"/>
      <c r="B141" s="13"/>
      <c r="C141" s="13"/>
      <c r="D141" s="14"/>
      <c r="E141" s="103"/>
      <c r="F141" s="158"/>
      <c r="G141" s="162"/>
      <c r="J141" s="7"/>
      <c r="L141" s="8"/>
      <c r="M141" s="9" t="s">
        <v>1</v>
      </c>
      <c r="N141" s="24" t="s">
        <v>1</v>
      </c>
      <c r="O141" s="8" t="s">
        <v>1</v>
      </c>
      <c r="P141" s="11"/>
    </row>
    <row r="142" spans="1:16" ht="12.75" customHeight="1" x14ac:dyDescent="0.25">
      <c r="A142" s="135" t="s">
        <v>665</v>
      </c>
      <c r="B142" s="137" t="s">
        <v>157</v>
      </c>
      <c r="C142" s="13"/>
      <c r="D142" s="14"/>
      <c r="E142" s="103"/>
      <c r="F142" s="158"/>
      <c r="G142" s="162"/>
      <c r="J142" s="7"/>
      <c r="L142" s="8" t="s">
        <v>0</v>
      </c>
      <c r="M142" s="9"/>
      <c r="N142" s="24"/>
      <c r="O142" s="8"/>
      <c r="P142" s="11"/>
    </row>
    <row r="143" spans="1:16" x14ac:dyDescent="0.25">
      <c r="A143" s="22"/>
      <c r="B143" s="13"/>
      <c r="C143" s="13"/>
      <c r="D143" s="14"/>
      <c r="E143" s="103"/>
      <c r="F143" s="158"/>
      <c r="G143" s="162"/>
      <c r="J143" s="7"/>
      <c r="L143" s="8"/>
      <c r="M143" s="9" t="s">
        <v>1</v>
      </c>
      <c r="N143" s="24" t="s">
        <v>1</v>
      </c>
      <c r="O143" s="8" t="s">
        <v>1</v>
      </c>
      <c r="P143" s="110"/>
    </row>
    <row r="144" spans="1:16" ht="12.75" customHeight="1" x14ac:dyDescent="0.25">
      <c r="A144" s="22" t="s">
        <v>666</v>
      </c>
      <c r="B144" s="16" t="s">
        <v>159</v>
      </c>
      <c r="C144" s="17">
        <v>50000</v>
      </c>
      <c r="D144" s="18" t="s">
        <v>46</v>
      </c>
      <c r="E144" s="3"/>
      <c r="F144" s="158"/>
      <c r="G144" s="157">
        <f>C144*F144</f>
        <v>0</v>
      </c>
      <c r="J144" s="7"/>
      <c r="L144" s="8" t="s">
        <v>1</v>
      </c>
      <c r="M144" s="9"/>
      <c r="N144" s="24"/>
      <c r="O144" s="8"/>
      <c r="P144" s="11"/>
    </row>
    <row r="145" spans="1:16" x14ac:dyDescent="0.25">
      <c r="A145" s="22"/>
      <c r="B145" s="16"/>
      <c r="C145" s="13"/>
      <c r="D145" s="14"/>
      <c r="E145" s="103"/>
      <c r="F145" s="158"/>
      <c r="G145" s="162"/>
      <c r="J145" s="7"/>
      <c r="L145" s="8"/>
      <c r="M145" s="9" t="s">
        <v>1</v>
      </c>
      <c r="N145" s="24" t="s">
        <v>1</v>
      </c>
      <c r="O145" s="8" t="s">
        <v>1</v>
      </c>
      <c r="P145" s="11"/>
    </row>
    <row r="146" spans="1:16" ht="12.75" customHeight="1" x14ac:dyDescent="0.25">
      <c r="A146" s="22" t="s">
        <v>667</v>
      </c>
      <c r="B146" s="16" t="s">
        <v>161</v>
      </c>
      <c r="C146" s="17">
        <v>2600</v>
      </c>
      <c r="D146" s="18" t="s">
        <v>162</v>
      </c>
      <c r="E146" s="3"/>
      <c r="F146" s="158"/>
      <c r="G146" s="157">
        <f>C146*F146</f>
        <v>0</v>
      </c>
      <c r="J146" s="7"/>
      <c r="L146" s="8" t="s">
        <v>1</v>
      </c>
      <c r="M146" s="9"/>
      <c r="N146" s="24"/>
      <c r="O146" s="8"/>
      <c r="P146" s="11"/>
    </row>
    <row r="147" spans="1:16" x14ac:dyDescent="0.25">
      <c r="A147" s="22"/>
      <c r="B147" s="16"/>
      <c r="C147" s="13"/>
      <c r="D147" s="14"/>
      <c r="E147" s="103"/>
      <c r="F147" s="158"/>
      <c r="G147" s="162"/>
      <c r="J147" s="7"/>
      <c r="L147" s="8"/>
      <c r="M147" s="9" t="s">
        <v>1</v>
      </c>
      <c r="N147" s="24" t="s">
        <v>1</v>
      </c>
      <c r="O147" s="8" t="s">
        <v>1</v>
      </c>
      <c r="P147" s="11"/>
    </row>
    <row r="148" spans="1:16" ht="12.75" customHeight="1" x14ac:dyDescent="0.25">
      <c r="A148" s="22" t="s">
        <v>668</v>
      </c>
      <c r="B148" s="16" t="s">
        <v>164</v>
      </c>
      <c r="C148" s="17">
        <v>2500</v>
      </c>
      <c r="D148" s="14" t="s">
        <v>46</v>
      </c>
      <c r="E148" s="3"/>
      <c r="F148" s="158"/>
      <c r="G148" s="157">
        <f>C148*F148</f>
        <v>0</v>
      </c>
      <c r="J148" s="7"/>
      <c r="L148" s="8" t="s">
        <v>1</v>
      </c>
      <c r="M148" s="9"/>
      <c r="N148" s="24"/>
      <c r="O148" s="8"/>
      <c r="P148" s="11"/>
    </row>
    <row r="149" spans="1:16" x14ac:dyDescent="0.25">
      <c r="A149" s="22"/>
      <c r="B149" s="16"/>
      <c r="C149" s="13"/>
      <c r="D149" s="18"/>
      <c r="E149" s="103"/>
      <c r="F149" s="158"/>
      <c r="G149" s="162"/>
      <c r="J149" s="7"/>
      <c r="L149" s="8"/>
      <c r="M149" s="9" t="s">
        <v>1</v>
      </c>
      <c r="N149" s="24" t="s">
        <v>1</v>
      </c>
      <c r="O149" s="8" t="s">
        <v>1</v>
      </c>
      <c r="P149" s="11"/>
    </row>
    <row r="150" spans="1:16" ht="12.9" customHeight="1" x14ac:dyDescent="0.25">
      <c r="A150" s="22" t="s">
        <v>669</v>
      </c>
      <c r="B150" s="16" t="s">
        <v>166</v>
      </c>
      <c r="C150" s="17">
        <v>25500</v>
      </c>
      <c r="D150" s="18" t="s">
        <v>46</v>
      </c>
      <c r="E150" s="3"/>
      <c r="F150" s="158"/>
      <c r="G150" s="157">
        <f>C150*F150</f>
        <v>0</v>
      </c>
      <c r="J150" s="7"/>
      <c r="L150" s="8" t="s">
        <v>1</v>
      </c>
      <c r="M150" s="9"/>
      <c r="N150" s="24"/>
      <c r="O150" s="8"/>
      <c r="P150" s="11"/>
    </row>
    <row r="151" spans="1:16" x14ac:dyDescent="0.25">
      <c r="A151" s="22"/>
      <c r="B151" s="16"/>
      <c r="C151" s="13"/>
      <c r="D151" s="14"/>
      <c r="E151" s="103"/>
      <c r="F151" s="158"/>
      <c r="G151" s="162"/>
      <c r="J151" s="7"/>
      <c r="L151" s="8"/>
      <c r="M151" s="9" t="s">
        <v>1</v>
      </c>
      <c r="N151" s="24" t="s">
        <v>1</v>
      </c>
      <c r="O151" s="8" t="s">
        <v>1</v>
      </c>
      <c r="P151" s="11"/>
    </row>
    <row r="152" spans="1:16" ht="12.75" customHeight="1" x14ac:dyDescent="0.25">
      <c r="A152" s="22" t="s">
        <v>670</v>
      </c>
      <c r="B152" s="16" t="s">
        <v>168</v>
      </c>
      <c r="C152" s="17">
        <v>76000</v>
      </c>
      <c r="D152" s="18" t="s">
        <v>46</v>
      </c>
      <c r="E152" s="3"/>
      <c r="F152" s="158"/>
      <c r="G152" s="157">
        <f>C152*F152</f>
        <v>0</v>
      </c>
      <c r="J152" s="7"/>
      <c r="L152" s="8" t="s">
        <v>1</v>
      </c>
      <c r="M152" s="9"/>
      <c r="N152" s="24"/>
      <c r="O152" s="8"/>
      <c r="P152" s="11"/>
    </row>
    <row r="153" spans="1:16" x14ac:dyDescent="0.25">
      <c r="A153" s="22"/>
      <c r="B153" s="16"/>
      <c r="C153" s="13"/>
      <c r="D153" s="14"/>
      <c r="E153" s="103"/>
      <c r="F153" s="158"/>
      <c r="G153" s="162"/>
      <c r="J153" s="7"/>
      <c r="L153" s="8"/>
      <c r="M153" s="9" t="s">
        <v>1</v>
      </c>
      <c r="N153" s="24" t="s">
        <v>1</v>
      </c>
      <c r="O153" s="8" t="s">
        <v>1</v>
      </c>
      <c r="P153" s="11"/>
    </row>
    <row r="154" spans="1:16" ht="12.75" customHeight="1" x14ac:dyDescent="0.25">
      <c r="A154" s="22" t="s">
        <v>671</v>
      </c>
      <c r="B154" s="16" t="s">
        <v>170</v>
      </c>
      <c r="C154" s="17">
        <v>76000</v>
      </c>
      <c r="D154" s="18" t="s">
        <v>46</v>
      </c>
      <c r="E154" s="3"/>
      <c r="F154" s="158"/>
      <c r="G154" s="157">
        <f>C154*F154</f>
        <v>0</v>
      </c>
      <c r="J154" s="7"/>
      <c r="L154" s="23"/>
      <c r="M154" s="9"/>
      <c r="N154" s="24"/>
      <c r="O154" s="8"/>
      <c r="P154" s="11"/>
    </row>
    <row r="155" spans="1:16" x14ac:dyDescent="0.25">
      <c r="A155" s="22"/>
      <c r="B155" s="16"/>
      <c r="C155" s="13"/>
      <c r="D155" s="164"/>
      <c r="E155" s="103"/>
      <c r="F155" s="158"/>
      <c r="G155" s="162"/>
      <c r="J155" s="7"/>
      <c r="L155" s="23"/>
      <c r="M155" s="136"/>
      <c r="N155" s="20"/>
      <c r="O155" s="21"/>
      <c r="P155" s="11"/>
    </row>
    <row r="156" spans="1:16" ht="12.75" customHeight="1" x14ac:dyDescent="0.25">
      <c r="A156" s="22" t="s">
        <v>672</v>
      </c>
      <c r="B156" s="16" t="s">
        <v>172</v>
      </c>
      <c r="C156" s="17">
        <v>135000</v>
      </c>
      <c r="D156" s="18" t="s">
        <v>46</v>
      </c>
      <c r="E156" s="3"/>
      <c r="F156" s="158"/>
      <c r="G156" s="157">
        <f>C156*F156</f>
        <v>0</v>
      </c>
      <c r="J156" s="7"/>
      <c r="L156" s="8"/>
      <c r="M156" s="136"/>
      <c r="N156" s="20"/>
      <c r="O156" s="21"/>
      <c r="P156" s="11"/>
    </row>
    <row r="157" spans="1:16" x14ac:dyDescent="0.25">
      <c r="A157" s="22"/>
      <c r="B157" s="16"/>
      <c r="C157" s="13"/>
      <c r="D157" s="14"/>
      <c r="E157" s="103"/>
      <c r="F157" s="158"/>
      <c r="G157" s="162"/>
      <c r="J157" s="7"/>
      <c r="L157" s="8"/>
      <c r="M157" s="9"/>
      <c r="N157" s="24"/>
      <c r="O157" s="8"/>
      <c r="P157" s="11"/>
    </row>
    <row r="158" spans="1:16" ht="12.75" customHeight="1" x14ac:dyDescent="0.25">
      <c r="A158" s="22" t="s">
        <v>673</v>
      </c>
      <c r="B158" s="16" t="s">
        <v>174</v>
      </c>
      <c r="C158" s="17">
        <v>26000</v>
      </c>
      <c r="D158" s="18" t="s">
        <v>46</v>
      </c>
      <c r="E158" s="3"/>
      <c r="F158" s="158"/>
      <c r="G158" s="157">
        <f>C158*F158</f>
        <v>0</v>
      </c>
      <c r="J158" s="7"/>
      <c r="L158" s="23"/>
      <c r="M158" s="9"/>
      <c r="N158" s="24"/>
      <c r="O158" s="8"/>
      <c r="P158" s="11"/>
    </row>
    <row r="159" spans="1:16" x14ac:dyDescent="0.25">
      <c r="A159" s="22"/>
      <c r="B159" s="16"/>
      <c r="C159" s="13"/>
      <c r="D159" s="14"/>
      <c r="E159" s="103"/>
      <c r="F159" s="158"/>
      <c r="G159" s="157"/>
      <c r="J159" s="7"/>
      <c r="L159" s="23"/>
      <c r="M159" s="112"/>
      <c r="N159" s="20"/>
      <c r="O159" s="21"/>
      <c r="P159" s="11"/>
    </row>
    <row r="160" spans="1:16" ht="12.75" customHeight="1" x14ac:dyDescent="0.25">
      <c r="A160" s="22" t="s">
        <v>674</v>
      </c>
      <c r="B160" s="16" t="s">
        <v>176</v>
      </c>
      <c r="C160" s="17">
        <v>9000</v>
      </c>
      <c r="D160" s="18" t="s">
        <v>46</v>
      </c>
      <c r="E160" s="3"/>
      <c r="F160" s="158"/>
      <c r="G160" s="157">
        <f>C160*F160</f>
        <v>0</v>
      </c>
      <c r="J160" s="7"/>
      <c r="L160" s="8"/>
      <c r="M160" s="15"/>
      <c r="N160" s="20"/>
      <c r="O160" s="21"/>
      <c r="P160" s="11"/>
    </row>
    <row r="161" spans="1:16" x14ac:dyDescent="0.25">
      <c r="A161" s="22"/>
      <c r="B161" s="13"/>
      <c r="C161" s="13"/>
      <c r="D161" s="14"/>
      <c r="E161" s="103"/>
      <c r="F161" s="158"/>
      <c r="G161" s="162"/>
      <c r="J161" s="7"/>
      <c r="L161" s="8"/>
      <c r="M161" s="9"/>
      <c r="N161" s="24"/>
      <c r="O161" s="8"/>
      <c r="P161" s="11"/>
    </row>
    <row r="162" spans="1:16" ht="12.75" customHeight="1" x14ac:dyDescent="0.25">
      <c r="A162" s="135" t="s">
        <v>675</v>
      </c>
      <c r="B162" s="137" t="s">
        <v>178</v>
      </c>
      <c r="C162" s="13"/>
      <c r="D162" s="14"/>
      <c r="E162" s="103"/>
      <c r="F162" s="158"/>
      <c r="G162" s="162"/>
      <c r="J162" s="7"/>
      <c r="L162" s="8"/>
      <c r="M162" s="86"/>
      <c r="N162" s="24"/>
      <c r="O162" s="8"/>
      <c r="P162" s="11"/>
    </row>
    <row r="163" spans="1:16" x14ac:dyDescent="0.25">
      <c r="A163" s="22"/>
      <c r="B163" s="13"/>
      <c r="C163" s="13"/>
      <c r="D163" s="14"/>
      <c r="E163" s="103"/>
      <c r="F163" s="158"/>
      <c r="G163" s="162"/>
      <c r="J163" s="7"/>
      <c r="L163" s="8"/>
      <c r="M163" s="15"/>
      <c r="N163" s="24"/>
      <c r="O163" s="8"/>
      <c r="P163" s="11"/>
    </row>
    <row r="164" spans="1:16" ht="12.75" customHeight="1" x14ac:dyDescent="0.25">
      <c r="A164" s="22" t="s">
        <v>676</v>
      </c>
      <c r="B164" s="4" t="s">
        <v>180</v>
      </c>
      <c r="C164" s="17">
        <v>400</v>
      </c>
      <c r="D164" s="18" t="s">
        <v>24</v>
      </c>
      <c r="E164" s="3"/>
      <c r="F164" s="158"/>
      <c r="G164" s="157">
        <f>C164*F164</f>
        <v>0</v>
      </c>
      <c r="J164" s="7"/>
      <c r="L164" s="8"/>
      <c r="M164" s="86"/>
      <c r="N164" s="24"/>
      <c r="O164" s="8"/>
      <c r="P164" s="11"/>
    </row>
    <row r="165" spans="1:16" x14ac:dyDescent="0.25">
      <c r="A165" s="22"/>
      <c r="B165" s="137"/>
      <c r="C165" s="13"/>
      <c r="D165" s="14"/>
      <c r="E165" s="103"/>
      <c r="F165" s="158"/>
      <c r="G165" s="162"/>
      <c r="J165" s="7"/>
      <c r="L165" s="8"/>
      <c r="M165" s="9"/>
      <c r="N165" s="24"/>
      <c r="O165" s="8"/>
      <c r="P165" s="11"/>
    </row>
    <row r="166" spans="1:16" ht="12.75" customHeight="1" x14ac:dyDescent="0.25">
      <c r="A166" s="22" t="s">
        <v>677</v>
      </c>
      <c r="B166" s="4" t="s">
        <v>182</v>
      </c>
      <c r="C166" s="17">
        <v>400</v>
      </c>
      <c r="D166" s="18" t="s">
        <v>24</v>
      </c>
      <c r="E166" s="3"/>
      <c r="F166" s="158"/>
      <c r="G166" s="157">
        <f>C166*F166</f>
        <v>0</v>
      </c>
      <c r="J166" s="7"/>
      <c r="L166" s="8"/>
      <c r="M166" s="9"/>
      <c r="N166" s="24"/>
      <c r="O166" s="8"/>
      <c r="P166" s="11"/>
    </row>
    <row r="167" spans="1:16" x14ac:dyDescent="0.25">
      <c r="A167" s="22"/>
      <c r="B167" s="108"/>
      <c r="C167" s="13"/>
      <c r="D167" s="14"/>
      <c r="E167" s="103"/>
      <c r="F167" s="158"/>
      <c r="G167" s="162"/>
      <c r="J167" s="7"/>
      <c r="L167" s="8"/>
      <c r="M167" s="112"/>
      <c r="N167" s="24"/>
      <c r="O167" s="8"/>
      <c r="P167" s="11"/>
    </row>
    <row r="168" spans="1:16" x14ac:dyDescent="0.25">
      <c r="A168" s="3" t="s">
        <v>678</v>
      </c>
      <c r="B168" s="4" t="s">
        <v>184</v>
      </c>
      <c r="C168" s="17">
        <v>400</v>
      </c>
      <c r="D168" s="18" t="s">
        <v>24</v>
      </c>
      <c r="E168" s="3"/>
      <c r="F168" s="158"/>
      <c r="G168" s="157">
        <f>C168*F168</f>
        <v>0</v>
      </c>
      <c r="J168" s="7"/>
      <c r="L168" s="8"/>
      <c r="M168" s="112"/>
      <c r="N168" s="24"/>
      <c r="O168" s="8"/>
      <c r="P168" s="11"/>
    </row>
    <row r="169" spans="1:16" x14ac:dyDescent="0.25">
      <c r="A169" s="22"/>
      <c r="B169" s="108"/>
      <c r="C169" s="13"/>
      <c r="D169" s="14"/>
      <c r="E169" s="103"/>
      <c r="F169" s="158"/>
      <c r="G169" s="162"/>
      <c r="J169" s="7"/>
      <c r="L169" s="8"/>
      <c r="M169" s="112"/>
      <c r="N169" s="24"/>
      <c r="O169" s="8"/>
      <c r="P169" s="11"/>
    </row>
    <row r="170" spans="1:16" ht="26.4" x14ac:dyDescent="0.25">
      <c r="A170" s="3" t="s">
        <v>907</v>
      </c>
      <c r="B170" s="4" t="s">
        <v>186</v>
      </c>
      <c r="C170" s="17">
        <v>400</v>
      </c>
      <c r="D170" s="3" t="s">
        <v>24</v>
      </c>
      <c r="E170" s="129"/>
      <c r="F170" s="158"/>
      <c r="G170" s="157">
        <f>C170*F170</f>
        <v>0</v>
      </c>
      <c r="J170" s="7"/>
      <c r="L170" s="8"/>
      <c r="M170" s="112"/>
      <c r="N170" s="24"/>
      <c r="O170" s="8"/>
      <c r="P170" s="11"/>
    </row>
    <row r="171" spans="1:16" x14ac:dyDescent="0.25">
      <c r="A171" s="22"/>
      <c r="B171" s="108"/>
      <c r="C171" s="13"/>
      <c r="D171" s="14"/>
      <c r="E171" s="103"/>
      <c r="F171" s="158"/>
      <c r="G171" s="162"/>
      <c r="J171" s="7"/>
      <c r="L171" s="8"/>
      <c r="M171" s="112"/>
      <c r="N171" s="24"/>
      <c r="O171" s="8"/>
      <c r="P171" s="11"/>
    </row>
    <row r="172" spans="1:16" ht="12.75" customHeight="1" x14ac:dyDescent="0.25">
      <c r="A172" s="22" t="s">
        <v>908</v>
      </c>
      <c r="B172" s="16" t="s">
        <v>187</v>
      </c>
      <c r="C172" s="17">
        <v>3000</v>
      </c>
      <c r="D172" s="18" t="s">
        <v>162</v>
      </c>
      <c r="E172" s="3"/>
      <c r="F172" s="158"/>
      <c r="G172" s="157">
        <f>C172*F172</f>
        <v>0</v>
      </c>
      <c r="J172" s="7"/>
      <c r="L172" s="8"/>
      <c r="M172" s="9"/>
      <c r="N172" s="24"/>
      <c r="O172" s="8"/>
      <c r="P172" s="11"/>
    </row>
    <row r="173" spans="1:16" x14ac:dyDescent="0.25">
      <c r="A173" s="22"/>
      <c r="B173" s="16"/>
      <c r="C173" s="13"/>
      <c r="D173" s="14"/>
      <c r="E173" s="103"/>
      <c r="F173" s="158"/>
      <c r="G173" s="162"/>
      <c r="J173" s="7"/>
      <c r="L173" s="8"/>
      <c r="M173" s="9"/>
      <c r="N173" s="24"/>
      <c r="O173" s="8"/>
      <c r="P173" s="11"/>
    </row>
    <row r="174" spans="1:16" ht="12.75" customHeight="1" x14ac:dyDescent="0.25">
      <c r="A174" s="22" t="s">
        <v>909</v>
      </c>
      <c r="B174" s="16" t="s">
        <v>188</v>
      </c>
      <c r="C174" s="17">
        <v>60000</v>
      </c>
      <c r="D174" s="18" t="s">
        <v>162</v>
      </c>
      <c r="E174" s="3"/>
      <c r="F174" s="158"/>
      <c r="G174" s="157">
        <f>C174*F174</f>
        <v>0</v>
      </c>
      <c r="J174" s="7"/>
      <c r="L174" s="8"/>
      <c r="M174" s="9"/>
      <c r="N174" s="24"/>
      <c r="O174" s="8"/>
      <c r="P174" s="11"/>
    </row>
    <row r="175" spans="1:16" x14ac:dyDescent="0.25">
      <c r="A175" s="22"/>
      <c r="B175" s="16"/>
      <c r="C175" s="13"/>
      <c r="D175" s="14"/>
      <c r="E175" s="103"/>
      <c r="F175" s="158"/>
      <c r="G175" s="162"/>
      <c r="J175" s="7"/>
      <c r="L175" s="8"/>
      <c r="M175" s="9"/>
      <c r="N175" s="24"/>
      <c r="O175" s="8"/>
      <c r="P175" s="11"/>
    </row>
    <row r="176" spans="1:16" ht="12.75" customHeight="1" x14ac:dyDescent="0.25">
      <c r="A176" s="22" t="s">
        <v>910</v>
      </c>
      <c r="B176" s="16" t="s">
        <v>190</v>
      </c>
      <c r="C176" s="17">
        <v>10</v>
      </c>
      <c r="D176" s="18" t="s">
        <v>24</v>
      </c>
      <c r="E176" s="3"/>
      <c r="F176" s="158"/>
      <c r="G176" s="157">
        <f>C176*F176</f>
        <v>0</v>
      </c>
      <c r="J176" s="7"/>
      <c r="L176" s="8"/>
      <c r="M176" s="9"/>
      <c r="N176" s="24"/>
      <c r="O176" s="8"/>
      <c r="P176" s="11"/>
    </row>
    <row r="177" spans="1:16" x14ac:dyDescent="0.25">
      <c r="A177" s="22"/>
      <c r="B177" s="13"/>
      <c r="C177" s="13"/>
      <c r="D177" s="14"/>
      <c r="E177" s="103"/>
      <c r="F177" s="158"/>
      <c r="G177" s="162"/>
      <c r="J177" s="7"/>
      <c r="L177" s="8"/>
      <c r="M177" s="9"/>
      <c r="N177" s="24"/>
      <c r="O177" s="8"/>
      <c r="P177" s="11"/>
    </row>
    <row r="178" spans="1:16" ht="12.9" customHeight="1" x14ac:dyDescent="0.25">
      <c r="A178" s="22" t="s">
        <v>911</v>
      </c>
      <c r="B178" s="4" t="s">
        <v>192</v>
      </c>
      <c r="C178" s="113">
        <v>50</v>
      </c>
      <c r="D178" s="114" t="s">
        <v>24</v>
      </c>
      <c r="E178" s="3"/>
      <c r="F178" s="158"/>
      <c r="G178" s="157">
        <f>C178*F178</f>
        <v>0</v>
      </c>
      <c r="J178" s="7"/>
      <c r="L178" s="115"/>
      <c r="M178" s="86"/>
      <c r="N178" s="24"/>
      <c r="O178" s="8"/>
      <c r="P178" s="11"/>
    </row>
    <row r="179" spans="1:16" x14ac:dyDescent="0.25">
      <c r="A179" s="22"/>
      <c r="B179" s="13"/>
      <c r="C179" s="13"/>
      <c r="D179" s="14"/>
      <c r="E179" s="103"/>
      <c r="F179" s="158"/>
      <c r="G179" s="162"/>
      <c r="J179" s="7"/>
      <c r="L179" s="8"/>
      <c r="M179" s="116"/>
      <c r="N179" s="115"/>
      <c r="O179" s="115"/>
      <c r="P179" s="11"/>
    </row>
    <row r="180" spans="1:16" ht="12.75" customHeight="1" x14ac:dyDescent="0.25">
      <c r="A180" s="22" t="s">
        <v>912</v>
      </c>
      <c r="B180" s="16" t="s">
        <v>194</v>
      </c>
      <c r="C180" s="17">
        <v>60000</v>
      </c>
      <c r="D180" s="18" t="s">
        <v>46</v>
      </c>
      <c r="E180" s="3"/>
      <c r="F180" s="158"/>
      <c r="G180" s="157">
        <f>C180*F180</f>
        <v>0</v>
      </c>
      <c r="J180" s="7"/>
      <c r="M180" s="86"/>
      <c r="N180" s="24"/>
      <c r="O180" s="8"/>
      <c r="P180" s="11"/>
    </row>
    <row r="181" spans="1:16" x14ac:dyDescent="0.25">
      <c r="A181" s="22"/>
      <c r="B181" s="108"/>
      <c r="C181" s="13"/>
      <c r="D181" s="14"/>
      <c r="E181" s="103"/>
      <c r="F181" s="158"/>
      <c r="G181" s="162"/>
      <c r="J181" s="7"/>
      <c r="P181" s="11"/>
    </row>
    <row r="182" spans="1:16" ht="12.75" customHeight="1" x14ac:dyDescent="0.25">
      <c r="A182" s="22" t="s">
        <v>913</v>
      </c>
      <c r="B182" s="16" t="s">
        <v>196</v>
      </c>
      <c r="C182" s="17">
        <v>60000</v>
      </c>
      <c r="D182" s="18" t="s">
        <v>46</v>
      </c>
      <c r="E182" s="3"/>
      <c r="F182" s="158"/>
      <c r="G182" s="157">
        <f>C182*F182</f>
        <v>0</v>
      </c>
      <c r="J182" s="7"/>
      <c r="P182" s="11"/>
    </row>
    <row r="183" spans="1:16" x14ac:dyDescent="0.25">
      <c r="A183" s="22"/>
      <c r="B183" s="13"/>
      <c r="C183" s="13"/>
      <c r="D183" s="14"/>
      <c r="E183" s="103"/>
      <c r="F183" s="158"/>
      <c r="G183" s="162"/>
      <c r="J183" s="7"/>
      <c r="L183" s="8"/>
      <c r="P183" s="11"/>
    </row>
    <row r="184" spans="1:16" ht="15.6" customHeight="1" x14ac:dyDescent="0.25">
      <c r="A184" s="22" t="s">
        <v>914</v>
      </c>
      <c r="B184" s="13" t="s">
        <v>198</v>
      </c>
      <c r="C184" s="13">
        <v>6</v>
      </c>
      <c r="D184" s="14" t="s">
        <v>24</v>
      </c>
      <c r="E184" s="103"/>
      <c r="F184" s="158"/>
      <c r="G184" s="157">
        <f>C184*F184</f>
        <v>0</v>
      </c>
      <c r="J184" s="7"/>
      <c r="L184" s="115"/>
      <c r="M184" s="86"/>
      <c r="N184" s="24"/>
      <c r="O184" s="8"/>
      <c r="P184" s="11"/>
    </row>
    <row r="185" spans="1:16" x14ac:dyDescent="0.25">
      <c r="A185" s="22"/>
      <c r="B185" s="13"/>
      <c r="C185" s="13"/>
      <c r="D185" s="14"/>
      <c r="E185" s="103"/>
      <c r="F185" s="158"/>
      <c r="G185" s="162"/>
      <c r="J185" s="7"/>
      <c r="L185" s="8"/>
      <c r="M185" s="116" t="s">
        <v>1</v>
      </c>
      <c r="N185" s="115"/>
      <c r="O185" s="115"/>
      <c r="P185" s="11"/>
    </row>
    <row r="186" spans="1:16" ht="12.9" customHeight="1" x14ac:dyDescent="0.25">
      <c r="A186" s="22" t="s">
        <v>915</v>
      </c>
      <c r="B186" s="16" t="s">
        <v>200</v>
      </c>
      <c r="C186" s="17">
        <v>5400</v>
      </c>
      <c r="D186" s="18" t="s">
        <v>81</v>
      </c>
      <c r="E186" s="3"/>
      <c r="F186" s="158"/>
      <c r="G186" s="157">
        <f>C186*F186</f>
        <v>0</v>
      </c>
      <c r="J186" s="7"/>
      <c r="M186" s="9"/>
      <c r="N186" s="24"/>
      <c r="O186" s="8"/>
      <c r="P186" s="11"/>
    </row>
    <row r="187" spans="1:16" x14ac:dyDescent="0.25">
      <c r="A187" s="22"/>
      <c r="B187" s="16"/>
      <c r="C187" s="13"/>
      <c r="D187" s="14"/>
      <c r="E187" s="103"/>
      <c r="F187" s="158"/>
      <c r="G187" s="162"/>
      <c r="J187" s="7"/>
      <c r="L187" s="8"/>
      <c r="N187" s="20"/>
      <c r="O187" s="21"/>
      <c r="P187" s="11"/>
    </row>
    <row r="188" spans="1:16" ht="39.6" x14ac:dyDescent="0.25">
      <c r="A188" s="22" t="s">
        <v>916</v>
      </c>
      <c r="B188" s="16" t="s">
        <v>202</v>
      </c>
      <c r="C188" s="130">
        <v>50</v>
      </c>
      <c r="D188" s="18" t="s">
        <v>67</v>
      </c>
      <c r="E188" s="3"/>
      <c r="F188" s="158"/>
      <c r="G188" s="157">
        <f>C188*F188</f>
        <v>0</v>
      </c>
      <c r="J188" s="7"/>
      <c r="L188" s="8"/>
      <c r="M188" s="9"/>
      <c r="N188" s="24"/>
      <c r="O188" s="8"/>
      <c r="P188" s="11"/>
    </row>
    <row r="189" spans="1:16" x14ac:dyDescent="0.25">
      <c r="A189" s="22"/>
      <c r="B189" s="13"/>
      <c r="C189" s="117"/>
      <c r="D189" s="14"/>
      <c r="E189" s="103"/>
      <c r="F189" s="158"/>
      <c r="G189" s="162"/>
      <c r="J189" s="7"/>
      <c r="L189" s="8"/>
      <c r="M189" s="15" t="s">
        <v>1</v>
      </c>
      <c r="N189" s="24"/>
      <c r="O189" s="8"/>
      <c r="P189" s="11"/>
    </row>
    <row r="190" spans="1:16" ht="12.9" customHeight="1" x14ac:dyDescent="0.25">
      <c r="A190" s="22" t="s">
        <v>917</v>
      </c>
      <c r="B190" s="4" t="s">
        <v>204</v>
      </c>
      <c r="C190" s="118">
        <v>10</v>
      </c>
      <c r="D190" s="3" t="s">
        <v>24</v>
      </c>
      <c r="E190" s="3"/>
      <c r="F190" s="158"/>
      <c r="G190" s="157">
        <f>C190*F190</f>
        <v>0</v>
      </c>
      <c r="J190" s="7"/>
      <c r="L190" s="8"/>
      <c r="M190" s="9" t="s">
        <v>1</v>
      </c>
      <c r="N190" s="24"/>
      <c r="O190" s="8"/>
      <c r="P190" s="11"/>
    </row>
    <row r="191" spans="1:16" x14ac:dyDescent="0.25">
      <c r="A191" s="22"/>
      <c r="B191" s="4"/>
      <c r="C191" s="118"/>
      <c r="D191" s="3"/>
      <c r="E191" s="103"/>
      <c r="F191" s="158"/>
      <c r="G191" s="162"/>
      <c r="J191" s="7"/>
      <c r="M191" s="9"/>
      <c r="N191" s="24"/>
      <c r="O191" s="8"/>
      <c r="P191" s="11"/>
    </row>
    <row r="192" spans="1:16" ht="15.6" customHeight="1" x14ac:dyDescent="0.25">
      <c r="A192" s="22" t="s">
        <v>918</v>
      </c>
      <c r="B192" s="4" t="s">
        <v>206</v>
      </c>
      <c r="C192" s="119">
        <v>50</v>
      </c>
      <c r="D192" s="22" t="s">
        <v>24</v>
      </c>
      <c r="E192" s="22"/>
      <c r="F192" s="158"/>
      <c r="G192" s="157">
        <f>C192*F192</f>
        <v>0</v>
      </c>
      <c r="J192" s="7"/>
      <c r="L192" s="8"/>
      <c r="P192" s="11"/>
    </row>
    <row r="193" spans="1:16" ht="15.6" customHeight="1" x14ac:dyDescent="0.25">
      <c r="A193" s="22"/>
      <c r="B193" s="4"/>
      <c r="C193" s="119"/>
      <c r="D193" s="22"/>
      <c r="E193" s="22"/>
      <c r="F193" s="158"/>
      <c r="G193" s="157"/>
      <c r="J193" s="7"/>
      <c r="L193" s="8"/>
      <c r="P193" s="11"/>
    </row>
    <row r="194" spans="1:16" x14ac:dyDescent="0.25">
      <c r="A194" s="135" t="s">
        <v>679</v>
      </c>
      <c r="B194" s="109" t="s">
        <v>208</v>
      </c>
      <c r="C194" s="118"/>
      <c r="D194" s="3"/>
      <c r="E194" s="3"/>
      <c r="F194" s="158"/>
      <c r="G194" s="163"/>
      <c r="J194" s="7"/>
      <c r="L194" s="8"/>
      <c r="M194" s="9" t="s">
        <v>1</v>
      </c>
      <c r="N194" s="24"/>
      <c r="O194" s="8"/>
      <c r="P194" s="11"/>
    </row>
    <row r="195" spans="1:16" x14ac:dyDescent="0.25">
      <c r="A195" s="3"/>
      <c r="B195" s="4"/>
      <c r="C195" s="118"/>
      <c r="D195" s="3"/>
      <c r="E195" s="3"/>
      <c r="F195" s="158"/>
      <c r="G195" s="163"/>
      <c r="J195" s="7"/>
      <c r="M195" s="9"/>
      <c r="N195" s="24"/>
      <c r="O195" s="8"/>
      <c r="P195" s="11"/>
    </row>
    <row r="196" spans="1:16" x14ac:dyDescent="0.25">
      <c r="A196" s="3" t="s">
        <v>680</v>
      </c>
      <c r="B196" s="4" t="s">
        <v>210</v>
      </c>
      <c r="C196" s="118">
        <v>5</v>
      </c>
      <c r="D196" s="3" t="s">
        <v>24</v>
      </c>
      <c r="E196" s="3"/>
      <c r="F196" s="158"/>
      <c r="G196" s="157">
        <f>C196*F196</f>
        <v>0</v>
      </c>
      <c r="J196" s="7"/>
      <c r="L196" s="8"/>
      <c r="P196" s="11"/>
    </row>
    <row r="197" spans="1:16" x14ac:dyDescent="0.25">
      <c r="A197" s="3"/>
      <c r="B197" s="4"/>
      <c r="C197" s="118"/>
      <c r="D197" s="3"/>
      <c r="E197" s="3"/>
      <c r="F197" s="158"/>
      <c r="G197" s="163"/>
      <c r="J197" s="7"/>
      <c r="L197" s="8"/>
      <c r="P197" s="11"/>
    </row>
    <row r="198" spans="1:16" x14ac:dyDescent="0.25">
      <c r="A198" s="3" t="s">
        <v>681</v>
      </c>
      <c r="B198" s="4" t="s">
        <v>212</v>
      </c>
      <c r="C198" s="118">
        <v>20</v>
      </c>
      <c r="D198" s="3" t="s">
        <v>24</v>
      </c>
      <c r="E198" s="3"/>
      <c r="F198" s="158"/>
      <c r="G198" s="157">
        <f>C198*F198</f>
        <v>0</v>
      </c>
      <c r="J198" s="7"/>
      <c r="L198" s="8"/>
      <c r="P198" s="11"/>
    </row>
    <row r="199" spans="1:16" x14ac:dyDescent="0.25">
      <c r="A199" s="3"/>
      <c r="B199" s="4"/>
      <c r="C199" s="118"/>
      <c r="D199" s="3"/>
      <c r="E199" s="3"/>
      <c r="F199" s="158"/>
      <c r="G199" s="163"/>
      <c r="J199" s="7"/>
      <c r="L199" s="8"/>
      <c r="M199" s="9" t="s">
        <v>1</v>
      </c>
      <c r="N199" s="24"/>
      <c r="O199" s="8"/>
      <c r="P199" s="11"/>
    </row>
    <row r="200" spans="1:16" x14ac:dyDescent="0.25">
      <c r="A200" s="3" t="s">
        <v>682</v>
      </c>
      <c r="B200" s="4" t="s">
        <v>214</v>
      </c>
      <c r="C200" s="118">
        <v>5</v>
      </c>
      <c r="D200" s="3" t="s">
        <v>24</v>
      </c>
      <c r="E200" s="3"/>
      <c r="F200" s="158"/>
      <c r="G200" s="157">
        <f>C200*F200</f>
        <v>0</v>
      </c>
      <c r="J200" s="7"/>
      <c r="L200" s="8"/>
      <c r="M200" s="9" t="s">
        <v>1</v>
      </c>
      <c r="N200" s="24"/>
      <c r="O200" s="8"/>
      <c r="P200" s="11"/>
    </row>
    <row r="201" spans="1:16" x14ac:dyDescent="0.25">
      <c r="A201" s="3"/>
      <c r="B201" s="4"/>
      <c r="C201" s="118"/>
      <c r="D201" s="3"/>
      <c r="E201" s="3"/>
      <c r="F201" s="158"/>
      <c r="G201" s="163"/>
      <c r="J201" s="7"/>
      <c r="L201" s="8"/>
      <c r="M201" s="9"/>
      <c r="N201" s="24"/>
      <c r="O201" s="8"/>
      <c r="P201" s="11"/>
    </row>
    <row r="202" spans="1:16" x14ac:dyDescent="0.25">
      <c r="A202" s="3" t="s">
        <v>683</v>
      </c>
      <c r="B202" s="4" t="s">
        <v>216</v>
      </c>
      <c r="C202" s="118">
        <v>20</v>
      </c>
      <c r="D202" s="3" t="s">
        <v>24</v>
      </c>
      <c r="E202" s="3"/>
      <c r="F202" s="158"/>
      <c r="G202" s="157">
        <f>C202*F202</f>
        <v>0</v>
      </c>
      <c r="J202" s="7"/>
      <c r="L202" s="8"/>
      <c r="M202" s="9"/>
      <c r="N202" s="24"/>
      <c r="O202" s="8"/>
      <c r="P202" s="11"/>
    </row>
    <row r="203" spans="1:16" x14ac:dyDescent="0.25">
      <c r="A203" s="3"/>
      <c r="B203" s="4"/>
      <c r="C203" s="118"/>
      <c r="D203" s="3"/>
      <c r="E203" s="3"/>
      <c r="F203" s="158"/>
      <c r="G203" s="163"/>
      <c r="J203" s="7"/>
      <c r="M203" s="9" t="s">
        <v>1</v>
      </c>
      <c r="N203" s="24"/>
      <c r="O203" s="8"/>
      <c r="P203" s="11"/>
    </row>
    <row r="204" spans="1:16" x14ac:dyDescent="0.25">
      <c r="A204" s="3" t="s">
        <v>684</v>
      </c>
      <c r="B204" s="4" t="s">
        <v>218</v>
      </c>
      <c r="C204" s="118">
        <v>5</v>
      </c>
      <c r="D204" s="3" t="s">
        <v>24</v>
      </c>
      <c r="E204" s="3"/>
      <c r="F204" s="158"/>
      <c r="G204" s="157">
        <f>C204*F204</f>
        <v>0</v>
      </c>
      <c r="J204" s="7"/>
      <c r="L204" s="8"/>
      <c r="P204" s="11"/>
    </row>
    <row r="205" spans="1:16" x14ac:dyDescent="0.25">
      <c r="A205" s="3"/>
      <c r="B205" s="4"/>
      <c r="C205" s="118"/>
      <c r="D205" s="3"/>
      <c r="E205" s="3"/>
      <c r="F205" s="158"/>
      <c r="G205" s="163"/>
      <c r="J205" s="7"/>
      <c r="L205" s="8"/>
      <c r="P205" s="11"/>
    </row>
    <row r="206" spans="1:16" x14ac:dyDescent="0.25">
      <c r="A206" s="3" t="s">
        <v>685</v>
      </c>
      <c r="B206" s="4" t="s">
        <v>220</v>
      </c>
      <c r="C206" s="118">
        <v>20</v>
      </c>
      <c r="D206" s="3" t="s">
        <v>24</v>
      </c>
      <c r="E206" s="3"/>
      <c r="F206" s="158"/>
      <c r="G206" s="157">
        <f>C206*F206</f>
        <v>0</v>
      </c>
      <c r="J206" s="7"/>
      <c r="L206" s="8"/>
      <c r="P206" s="11"/>
    </row>
    <row r="207" spans="1:16" x14ac:dyDescent="0.25">
      <c r="A207" s="3"/>
      <c r="B207" s="4"/>
      <c r="C207" s="118"/>
      <c r="D207" s="3"/>
      <c r="E207" s="3"/>
      <c r="F207" s="158"/>
      <c r="G207" s="163"/>
      <c r="J207" s="7"/>
      <c r="L207" s="8"/>
      <c r="M207" s="9" t="s">
        <v>1</v>
      </c>
      <c r="N207" s="24"/>
      <c r="O207" s="8"/>
      <c r="P207" s="11"/>
    </row>
    <row r="208" spans="1:16" x14ac:dyDescent="0.25">
      <c r="A208" s="3" t="s">
        <v>686</v>
      </c>
      <c r="B208" s="4" t="s">
        <v>222</v>
      </c>
      <c r="C208" s="118">
        <v>5</v>
      </c>
      <c r="D208" s="3" t="s">
        <v>24</v>
      </c>
      <c r="E208" s="3"/>
      <c r="F208" s="158"/>
      <c r="G208" s="157">
        <f>C208*F208</f>
        <v>0</v>
      </c>
      <c r="J208" s="7"/>
      <c r="L208" s="8"/>
      <c r="M208" s="9" t="s">
        <v>1</v>
      </c>
      <c r="N208" s="24"/>
      <c r="O208" s="8"/>
      <c r="P208" s="11"/>
    </row>
    <row r="209" spans="1:16" x14ac:dyDescent="0.25">
      <c r="A209" s="3"/>
      <c r="B209" s="4"/>
      <c r="C209" s="120"/>
      <c r="D209" s="3"/>
      <c r="E209" s="3"/>
      <c r="F209" s="158"/>
      <c r="G209" s="163"/>
      <c r="J209" s="7"/>
      <c r="L209" s="8"/>
      <c r="M209" s="9"/>
      <c r="N209" s="24"/>
      <c r="O209" s="8"/>
      <c r="P209" s="11"/>
    </row>
    <row r="210" spans="1:16" x14ac:dyDescent="0.25">
      <c r="A210" s="3" t="s">
        <v>687</v>
      </c>
      <c r="B210" s="4" t="s">
        <v>224</v>
      </c>
      <c r="C210" s="118">
        <v>20</v>
      </c>
      <c r="D210" s="3" t="s">
        <v>24</v>
      </c>
      <c r="E210" s="3"/>
      <c r="F210" s="158"/>
      <c r="G210" s="157">
        <f>C210*F210</f>
        <v>0</v>
      </c>
      <c r="J210" s="7"/>
      <c r="L210" s="8"/>
      <c r="M210" s="9"/>
      <c r="N210" s="24"/>
      <c r="O210" s="8"/>
      <c r="P210" s="11"/>
    </row>
    <row r="211" spans="1:16" x14ac:dyDescent="0.25">
      <c r="A211" s="3"/>
      <c r="B211" s="4"/>
      <c r="C211" s="118"/>
      <c r="D211" s="3"/>
      <c r="E211" s="3"/>
      <c r="F211" s="158"/>
      <c r="G211" s="163"/>
      <c r="J211" s="7"/>
      <c r="M211" s="9" t="s">
        <v>1</v>
      </c>
      <c r="N211" s="24"/>
      <c r="O211" s="8"/>
      <c r="P211" s="11"/>
    </row>
    <row r="212" spans="1:16" x14ac:dyDescent="0.25">
      <c r="A212" s="3" t="s">
        <v>688</v>
      </c>
      <c r="B212" s="4" t="s">
        <v>226</v>
      </c>
      <c r="C212" s="118">
        <v>20</v>
      </c>
      <c r="D212" s="3" t="s">
        <v>24</v>
      </c>
      <c r="E212" s="3"/>
      <c r="F212" s="158"/>
      <c r="G212" s="157">
        <f>C212*F212</f>
        <v>0</v>
      </c>
      <c r="J212" s="7"/>
      <c r="L212" s="8"/>
      <c r="P212" s="11"/>
    </row>
    <row r="213" spans="1:16" x14ac:dyDescent="0.25">
      <c r="A213" s="3"/>
      <c r="B213" s="4"/>
      <c r="C213" s="118"/>
      <c r="D213" s="3"/>
      <c r="E213" s="3"/>
      <c r="F213" s="158"/>
      <c r="G213" s="163"/>
      <c r="J213" s="7"/>
      <c r="L213" s="8"/>
      <c r="M213" s="9" t="s">
        <v>1</v>
      </c>
      <c r="N213" s="24"/>
      <c r="O213" s="8"/>
      <c r="P213" s="11"/>
    </row>
    <row r="214" spans="1:16" x14ac:dyDescent="0.25">
      <c r="A214" s="3" t="s">
        <v>689</v>
      </c>
      <c r="B214" s="4" t="s">
        <v>228</v>
      </c>
      <c r="C214" s="118">
        <v>20</v>
      </c>
      <c r="D214" s="3" t="s">
        <v>24</v>
      </c>
      <c r="E214" s="3"/>
      <c r="F214" s="158"/>
      <c r="G214" s="157">
        <f>C214*F214</f>
        <v>0</v>
      </c>
      <c r="J214" s="7"/>
      <c r="L214" s="8"/>
      <c r="M214" s="9" t="s">
        <v>1</v>
      </c>
      <c r="N214" s="24"/>
      <c r="O214" s="8"/>
      <c r="P214" s="11"/>
    </row>
    <row r="215" spans="1:16" x14ac:dyDescent="0.25">
      <c r="A215" s="3"/>
      <c r="B215" s="4"/>
      <c r="C215" s="118"/>
      <c r="D215" s="3"/>
      <c r="E215" s="3"/>
      <c r="F215" s="158"/>
      <c r="G215" s="163"/>
      <c r="J215" s="7"/>
      <c r="M215" s="9" t="s">
        <v>1</v>
      </c>
      <c r="N215" s="24"/>
      <c r="O215" s="8"/>
      <c r="P215" s="11"/>
    </row>
    <row r="216" spans="1:16" x14ac:dyDescent="0.25">
      <c r="A216" s="3" t="s">
        <v>690</v>
      </c>
      <c r="B216" s="4" t="s">
        <v>230</v>
      </c>
      <c r="C216" s="118">
        <v>10</v>
      </c>
      <c r="D216" s="3" t="s">
        <v>24</v>
      </c>
      <c r="E216" s="3"/>
      <c r="F216" s="158"/>
      <c r="G216" s="157">
        <f>C216*F216</f>
        <v>0</v>
      </c>
      <c r="J216" s="7"/>
      <c r="L216" s="8"/>
      <c r="P216" s="11"/>
    </row>
    <row r="217" spans="1:16" x14ac:dyDescent="0.25">
      <c r="A217" s="3"/>
      <c r="B217" s="4"/>
      <c r="C217" s="118"/>
      <c r="D217" s="3"/>
      <c r="E217" s="3"/>
      <c r="F217" s="158"/>
      <c r="G217" s="163"/>
      <c r="J217" s="7"/>
      <c r="L217" s="8"/>
      <c r="P217" s="11"/>
    </row>
    <row r="218" spans="1:16" x14ac:dyDescent="0.25">
      <c r="A218" s="3" t="s">
        <v>691</v>
      </c>
      <c r="B218" s="4" t="s">
        <v>232</v>
      </c>
      <c r="C218" s="118">
        <v>10</v>
      </c>
      <c r="D218" s="3" t="s">
        <v>24</v>
      </c>
      <c r="E218" s="3"/>
      <c r="F218" s="158"/>
      <c r="G218" s="157">
        <f>C218*F218</f>
        <v>0</v>
      </c>
      <c r="J218" s="7"/>
      <c r="L218" s="8"/>
      <c r="P218" s="11"/>
    </row>
    <row r="219" spans="1:16" x14ac:dyDescent="0.25">
      <c r="A219" s="3"/>
      <c r="B219" s="4"/>
      <c r="C219" s="118"/>
      <c r="D219" s="3"/>
      <c r="E219" s="3"/>
      <c r="F219" s="158"/>
      <c r="G219" s="163"/>
      <c r="J219" s="7"/>
      <c r="L219" s="8"/>
      <c r="M219" s="9" t="s">
        <v>1</v>
      </c>
      <c r="N219" s="24"/>
      <c r="O219" s="8"/>
      <c r="P219" s="11"/>
    </row>
    <row r="220" spans="1:16" x14ac:dyDescent="0.25">
      <c r="A220" s="3" t="s">
        <v>692</v>
      </c>
      <c r="B220" s="4" t="s">
        <v>234</v>
      </c>
      <c r="C220" s="118">
        <v>10</v>
      </c>
      <c r="D220" s="3" t="s">
        <v>24</v>
      </c>
      <c r="E220" s="3"/>
      <c r="F220" s="158"/>
      <c r="G220" s="157">
        <f>C220*F220</f>
        <v>0</v>
      </c>
      <c r="J220" s="7"/>
      <c r="L220" s="8"/>
      <c r="M220" s="9" t="s">
        <v>1</v>
      </c>
      <c r="N220" s="24"/>
      <c r="O220" s="8"/>
      <c r="P220" s="110"/>
    </row>
    <row r="221" spans="1:16" x14ac:dyDescent="0.25">
      <c r="A221" s="3"/>
      <c r="B221" s="4"/>
      <c r="C221" s="118"/>
      <c r="D221" s="3"/>
      <c r="E221" s="3"/>
      <c r="F221" s="158"/>
      <c r="G221" s="163"/>
      <c r="J221" s="7"/>
      <c r="L221" s="8"/>
      <c r="M221" s="9"/>
      <c r="N221" s="24"/>
      <c r="O221" s="8"/>
      <c r="P221" s="110"/>
    </row>
    <row r="222" spans="1:16" x14ac:dyDescent="0.25">
      <c r="A222" s="3" t="s">
        <v>693</v>
      </c>
      <c r="B222" s="4" t="s">
        <v>236</v>
      </c>
      <c r="C222" s="118">
        <v>10</v>
      </c>
      <c r="D222" s="3" t="s">
        <v>24</v>
      </c>
      <c r="E222" s="3"/>
      <c r="F222" s="158"/>
      <c r="G222" s="157">
        <f>C222*F222</f>
        <v>0</v>
      </c>
      <c r="J222" s="7"/>
      <c r="L222" s="8"/>
      <c r="M222" s="9"/>
      <c r="N222" s="24"/>
      <c r="O222" s="8"/>
      <c r="P222" s="110"/>
    </row>
    <row r="223" spans="1:16" x14ac:dyDescent="0.25">
      <c r="A223" s="3"/>
      <c r="B223" s="4"/>
      <c r="C223" s="118"/>
      <c r="D223" s="3"/>
      <c r="E223" s="3"/>
      <c r="F223" s="158"/>
      <c r="G223" s="163"/>
      <c r="J223" s="7"/>
      <c r="M223" s="9"/>
      <c r="N223" s="24"/>
      <c r="O223" s="8"/>
      <c r="P223" s="11"/>
    </row>
    <row r="224" spans="1:16" x14ac:dyDescent="0.25">
      <c r="A224" s="3" t="s">
        <v>694</v>
      </c>
      <c r="B224" s="4" t="s">
        <v>238</v>
      </c>
      <c r="C224" s="118">
        <v>50</v>
      </c>
      <c r="D224" s="3" t="s">
        <v>24</v>
      </c>
      <c r="E224" s="3"/>
      <c r="F224" s="158"/>
      <c r="G224" s="157">
        <f>C224*F224</f>
        <v>0</v>
      </c>
      <c r="J224" s="7"/>
      <c r="L224" s="8"/>
      <c r="P224" s="11"/>
    </row>
    <row r="225" spans="1:16" x14ac:dyDescent="0.25">
      <c r="A225" s="3"/>
      <c r="B225" s="4"/>
      <c r="C225" s="118"/>
      <c r="D225" s="3"/>
      <c r="E225" s="3"/>
      <c r="F225" s="158"/>
      <c r="G225" s="163"/>
      <c r="J225" s="7"/>
      <c r="M225" s="9"/>
      <c r="N225" s="24"/>
      <c r="O225" s="8"/>
      <c r="P225" s="11"/>
    </row>
    <row r="226" spans="1:16" x14ac:dyDescent="0.25">
      <c r="A226" s="3" t="s">
        <v>695</v>
      </c>
      <c r="B226" s="4" t="s">
        <v>240</v>
      </c>
      <c r="C226" s="118">
        <v>20</v>
      </c>
      <c r="D226" s="3" t="s">
        <v>24</v>
      </c>
      <c r="E226" s="3"/>
      <c r="F226" s="158"/>
      <c r="G226" s="157">
        <f>C226*F226</f>
        <v>0</v>
      </c>
      <c r="J226" s="7"/>
      <c r="L226" s="8"/>
      <c r="P226" s="11"/>
    </row>
    <row r="227" spans="1:16" x14ac:dyDescent="0.25">
      <c r="A227" s="3"/>
      <c r="B227" s="4" t="s">
        <v>1</v>
      </c>
      <c r="C227" s="118"/>
      <c r="D227" s="3"/>
      <c r="E227" s="3"/>
      <c r="F227" s="158"/>
      <c r="G227" s="163"/>
      <c r="J227" s="7"/>
      <c r="M227" s="9"/>
      <c r="N227" s="24"/>
      <c r="O227" s="8"/>
      <c r="P227" s="11"/>
    </row>
    <row r="228" spans="1:16" x14ac:dyDescent="0.25">
      <c r="A228" s="3" t="s">
        <v>696</v>
      </c>
      <c r="B228" s="4" t="s">
        <v>242</v>
      </c>
      <c r="C228" s="118">
        <v>5</v>
      </c>
      <c r="D228" s="3" t="s">
        <v>24</v>
      </c>
      <c r="E228" s="3"/>
      <c r="F228" s="158"/>
      <c r="G228" s="157">
        <f>C228*F228</f>
        <v>0</v>
      </c>
      <c r="J228" s="7"/>
      <c r="L228" s="8"/>
      <c r="P228" s="110"/>
    </row>
    <row r="229" spans="1:16" x14ac:dyDescent="0.25">
      <c r="A229" s="3"/>
      <c r="B229" s="4"/>
      <c r="C229" s="118"/>
      <c r="D229" s="3"/>
      <c r="E229" s="103"/>
      <c r="F229" s="158"/>
      <c r="G229" s="162"/>
      <c r="J229" s="7"/>
      <c r="L229" s="8"/>
      <c r="M229" s="9" t="s">
        <v>1</v>
      </c>
      <c r="N229" s="24"/>
      <c r="O229" s="8"/>
      <c r="P229" s="11"/>
    </row>
    <row r="230" spans="1:16" x14ac:dyDescent="0.25">
      <c r="A230" s="3" t="s">
        <v>697</v>
      </c>
      <c r="B230" s="4" t="s">
        <v>244</v>
      </c>
      <c r="C230" s="118">
        <v>1000</v>
      </c>
      <c r="D230" s="3" t="s">
        <v>102</v>
      </c>
      <c r="E230" s="3"/>
      <c r="F230" s="158"/>
      <c r="G230" s="157">
        <f>C230*F230</f>
        <v>0</v>
      </c>
      <c r="J230" s="7"/>
      <c r="M230" s="9"/>
      <c r="N230" s="24"/>
      <c r="O230" s="8"/>
      <c r="P230" s="11"/>
    </row>
    <row r="231" spans="1:16" x14ac:dyDescent="0.25">
      <c r="A231" s="3"/>
      <c r="B231" s="4"/>
      <c r="C231" s="118"/>
      <c r="D231" s="3"/>
      <c r="E231" s="103"/>
      <c r="F231" s="158"/>
      <c r="G231" s="162"/>
      <c r="J231" s="7"/>
      <c r="P231" s="11"/>
    </row>
    <row r="232" spans="1:16" x14ac:dyDescent="0.25">
      <c r="A232" s="3" t="s">
        <v>698</v>
      </c>
      <c r="B232" s="4" t="s">
        <v>246</v>
      </c>
      <c r="C232" s="118">
        <v>75</v>
      </c>
      <c r="D232" s="3" t="s">
        <v>24</v>
      </c>
      <c r="E232" s="3"/>
      <c r="F232" s="158"/>
      <c r="G232" s="157">
        <f>C232*F232</f>
        <v>0</v>
      </c>
      <c r="J232" s="7"/>
      <c r="P232" s="11"/>
    </row>
    <row r="233" spans="1:16" ht="12.75" customHeight="1" x14ac:dyDescent="0.25">
      <c r="A233" s="3"/>
      <c r="B233" s="4"/>
      <c r="C233" s="118"/>
      <c r="D233" s="3"/>
      <c r="E233" s="103"/>
      <c r="F233" s="158"/>
      <c r="G233" s="162"/>
      <c r="J233" s="7"/>
      <c r="P233" s="110"/>
    </row>
    <row r="234" spans="1:16" ht="13.5" customHeight="1" x14ac:dyDescent="0.25">
      <c r="A234" s="3" t="s">
        <v>699</v>
      </c>
      <c r="B234" s="4" t="s">
        <v>248</v>
      </c>
      <c r="C234" s="118">
        <v>1000</v>
      </c>
      <c r="D234" s="3" t="s">
        <v>102</v>
      </c>
      <c r="E234" s="3"/>
      <c r="F234" s="158"/>
      <c r="G234" s="157">
        <f>C234*F234</f>
        <v>0</v>
      </c>
      <c r="J234" s="7"/>
      <c r="P234" s="11"/>
    </row>
    <row r="235" spans="1:16" ht="13.5" customHeight="1" x14ac:dyDescent="0.25">
      <c r="A235" s="3"/>
      <c r="B235" s="4"/>
      <c r="C235" s="118"/>
      <c r="D235" s="3"/>
      <c r="E235" s="3"/>
      <c r="F235" s="158"/>
      <c r="G235" s="163"/>
      <c r="J235" s="7"/>
      <c r="P235" s="11"/>
    </row>
    <row r="236" spans="1:16" ht="13.5" customHeight="1" x14ac:dyDescent="0.25">
      <c r="A236" s="3" t="s">
        <v>700</v>
      </c>
      <c r="B236" s="4" t="s">
        <v>250</v>
      </c>
      <c r="C236" s="118">
        <v>5</v>
      </c>
      <c r="D236" s="3" t="s">
        <v>24</v>
      </c>
      <c r="E236" s="3"/>
      <c r="F236" s="158"/>
      <c r="G236" s="157">
        <f>C236*F236</f>
        <v>0</v>
      </c>
      <c r="J236" s="7"/>
      <c r="P236" s="11"/>
    </row>
    <row r="237" spans="1:16" ht="13.5" customHeight="1" x14ac:dyDescent="0.25">
      <c r="A237" s="3"/>
      <c r="B237" s="4"/>
      <c r="C237" s="118"/>
      <c r="D237" s="3"/>
      <c r="E237" s="3"/>
      <c r="F237" s="158"/>
      <c r="G237" s="163"/>
      <c r="J237" s="7"/>
      <c r="P237" s="11"/>
    </row>
    <row r="238" spans="1:16" ht="13.5" customHeight="1" x14ac:dyDescent="0.25">
      <c r="A238" s="121" t="s">
        <v>701</v>
      </c>
      <c r="B238" s="109" t="s">
        <v>252</v>
      </c>
      <c r="C238" s="118"/>
      <c r="D238" s="3"/>
      <c r="E238" s="3"/>
      <c r="F238" s="158"/>
      <c r="G238" s="163"/>
      <c r="J238" s="7"/>
      <c r="P238" s="11"/>
    </row>
    <row r="239" spans="1:16" ht="13.5" customHeight="1" x14ac:dyDescent="0.25">
      <c r="A239" s="3"/>
      <c r="B239" s="4"/>
      <c r="C239" s="118"/>
      <c r="D239" s="3"/>
      <c r="E239" s="3"/>
      <c r="F239" s="158"/>
      <c r="G239" s="163"/>
      <c r="J239" s="7"/>
      <c r="P239" s="11"/>
    </row>
    <row r="240" spans="1:16" ht="26.4" customHeight="1" x14ac:dyDescent="0.25">
      <c r="A240" s="3" t="s">
        <v>702</v>
      </c>
      <c r="B240" s="4" t="s">
        <v>254</v>
      </c>
      <c r="C240" s="177">
        <v>10000</v>
      </c>
      <c r="D240" s="3" t="s">
        <v>46</v>
      </c>
      <c r="E240" s="3"/>
      <c r="F240" s="158"/>
      <c r="G240" s="157">
        <f>C240*F240</f>
        <v>0</v>
      </c>
      <c r="J240" s="7"/>
      <c r="P240" s="11"/>
    </row>
    <row r="241" spans="1:16" x14ac:dyDescent="0.25">
      <c r="A241" s="3"/>
      <c r="B241" s="4"/>
      <c r="C241" s="120"/>
      <c r="D241" s="3"/>
      <c r="E241" s="103"/>
      <c r="F241" s="158"/>
      <c r="G241" s="162"/>
      <c r="J241" s="7"/>
      <c r="P241" s="11"/>
    </row>
    <row r="242" spans="1:16" x14ac:dyDescent="0.25">
      <c r="A242" s="135" t="s">
        <v>703</v>
      </c>
      <c r="B242" s="197" t="s">
        <v>256</v>
      </c>
      <c r="C242" s="197"/>
      <c r="D242" s="197"/>
      <c r="E242" s="103"/>
      <c r="F242" s="158"/>
      <c r="G242" s="162"/>
      <c r="J242" s="7"/>
      <c r="P242" s="11"/>
    </row>
    <row r="243" spans="1:16" x14ac:dyDescent="0.25">
      <c r="A243" s="22"/>
      <c r="B243" s="13"/>
      <c r="C243" s="13"/>
      <c r="D243" s="14"/>
      <c r="E243" s="103"/>
      <c r="F243" s="158"/>
      <c r="G243" s="162"/>
      <c r="J243" s="7"/>
      <c r="P243" s="11"/>
    </row>
    <row r="244" spans="1:16" ht="12.9" customHeight="1" x14ac:dyDescent="0.25">
      <c r="A244" s="22" t="s">
        <v>704</v>
      </c>
      <c r="B244" s="16" t="s">
        <v>258</v>
      </c>
      <c r="C244" s="25">
        <v>2000</v>
      </c>
      <c r="D244" s="18" t="str">
        <f>'[2]Synopsis of Line Items'!D363</f>
        <v>HR</v>
      </c>
      <c r="E244" s="3"/>
      <c r="F244" s="158"/>
      <c r="G244" s="157">
        <f>C244*F244</f>
        <v>0</v>
      </c>
      <c r="J244" s="7"/>
      <c r="L244" s="23" t="s">
        <v>1</v>
      </c>
      <c r="P244" s="11"/>
    </row>
    <row r="245" spans="1:16" x14ac:dyDescent="0.25">
      <c r="A245" s="22"/>
      <c r="B245" s="16"/>
      <c r="C245" s="13"/>
      <c r="D245" s="14"/>
      <c r="E245" s="103"/>
      <c r="F245" s="166"/>
      <c r="G245" s="162"/>
      <c r="J245" s="7"/>
      <c r="L245" s="8"/>
      <c r="M245" s="196" t="s">
        <v>1</v>
      </c>
      <c r="N245" s="196"/>
      <c r="O245" s="196"/>
      <c r="P245" s="11"/>
    </row>
    <row r="246" spans="1:16" ht="12.9" customHeight="1" x14ac:dyDescent="0.25">
      <c r="A246" s="22" t="s">
        <v>705</v>
      </c>
      <c r="B246" s="16" t="s">
        <v>933</v>
      </c>
      <c r="C246" s="26">
        <v>1</v>
      </c>
      <c r="D246" s="18" t="s">
        <v>932</v>
      </c>
      <c r="E246" s="3"/>
      <c r="F246" s="155">
        <v>250000</v>
      </c>
      <c r="G246" s="157">
        <f>C246*F246</f>
        <v>250000</v>
      </c>
      <c r="J246" s="7"/>
      <c r="L246" s="8"/>
      <c r="M246" s="9"/>
      <c r="N246" s="24"/>
      <c r="O246" s="8"/>
      <c r="P246" s="11"/>
    </row>
    <row r="247" spans="1:16" x14ac:dyDescent="0.25">
      <c r="A247" s="22"/>
      <c r="B247" s="13"/>
      <c r="C247" s="13"/>
      <c r="D247" s="14"/>
      <c r="E247" s="103"/>
      <c r="F247" s="166"/>
      <c r="G247" s="162"/>
      <c r="L247" s="8"/>
      <c r="M247" s="122" t="s">
        <v>1</v>
      </c>
      <c r="N247" s="24"/>
      <c r="O247" s="8"/>
      <c r="P247" s="11"/>
    </row>
    <row r="248" spans="1:16" ht="12.75" customHeight="1" x14ac:dyDescent="0.25">
      <c r="A248" s="190" t="s">
        <v>706</v>
      </c>
      <c r="B248" s="190"/>
      <c r="C248" s="202" t="s">
        <v>262</v>
      </c>
      <c r="D248" s="203"/>
      <c r="E248" s="203"/>
      <c r="F248" s="203"/>
      <c r="G248" s="194">
        <f>SUM(G12:G247)</f>
        <v>250000</v>
      </c>
      <c r="L248" s="8"/>
      <c r="M248" s="122" t="s">
        <v>1</v>
      </c>
      <c r="N248" s="24"/>
      <c r="O248" s="8"/>
      <c r="P248" s="11"/>
    </row>
    <row r="249" spans="1:16" ht="12.75" customHeight="1" x14ac:dyDescent="0.25">
      <c r="A249" s="190" t="s">
        <v>707</v>
      </c>
      <c r="B249" s="190"/>
      <c r="C249" s="204"/>
      <c r="D249" s="205"/>
      <c r="E249" s="205"/>
      <c r="F249" s="205"/>
      <c r="G249" s="195"/>
      <c r="L249" s="8"/>
      <c r="M249" s="124" t="s">
        <v>1</v>
      </c>
      <c r="N249" s="24"/>
      <c r="O249" s="8"/>
      <c r="P249" s="11"/>
    </row>
    <row r="250" spans="1:16" x14ac:dyDescent="0.25">
      <c r="L250" s="8"/>
      <c r="M250" s="124" t="s">
        <v>1</v>
      </c>
      <c r="N250" s="24"/>
      <c r="O250" s="8"/>
      <c r="P250" s="11"/>
    </row>
    <row r="251" spans="1:16" x14ac:dyDescent="0.25">
      <c r="B251" s="169"/>
      <c r="C251" s="169"/>
      <c r="D251" s="170"/>
      <c r="L251" s="8"/>
      <c r="M251" s="122" t="s">
        <v>1</v>
      </c>
      <c r="N251" s="24"/>
      <c r="O251" s="8"/>
      <c r="P251" s="11"/>
    </row>
    <row r="252" spans="1:16" x14ac:dyDescent="0.25">
      <c r="B252" s="169"/>
      <c r="C252" s="169"/>
      <c r="D252" s="170"/>
      <c r="L252" s="8"/>
      <c r="M252" s="88"/>
      <c r="N252" s="24"/>
      <c r="O252" s="8"/>
      <c r="P252" s="11"/>
    </row>
    <row r="253" spans="1:16" x14ac:dyDescent="0.25">
      <c r="B253" s="169"/>
      <c r="C253" s="169"/>
      <c r="D253" s="170"/>
      <c r="L253" s="8"/>
      <c r="M253" s="88"/>
      <c r="N253" s="24"/>
      <c r="O253" s="8"/>
      <c r="P253" s="11"/>
    </row>
    <row r="254" spans="1:16" x14ac:dyDescent="0.25">
      <c r="B254" s="169"/>
      <c r="C254" s="169"/>
      <c r="D254" s="170"/>
      <c r="L254" s="8" t="s">
        <v>1</v>
      </c>
      <c r="M254" s="9"/>
      <c r="N254" s="24"/>
      <c r="O254" s="8"/>
      <c r="P254" s="11"/>
    </row>
    <row r="255" spans="1:16" x14ac:dyDescent="0.25">
      <c r="B255" s="169"/>
      <c r="C255" s="169"/>
      <c r="D255" s="170"/>
      <c r="L255" s="8"/>
      <c r="M255" s="9" t="s">
        <v>1</v>
      </c>
      <c r="N255" s="24" t="s">
        <v>1</v>
      </c>
      <c r="O255" s="8" t="s">
        <v>1</v>
      </c>
      <c r="P255" s="11"/>
    </row>
    <row r="256" spans="1:16" x14ac:dyDescent="0.25">
      <c r="B256" s="169"/>
      <c r="C256" s="169"/>
      <c r="D256" s="170"/>
      <c r="L256" s="8" t="s">
        <v>1</v>
      </c>
      <c r="M256" s="9"/>
      <c r="N256" s="87"/>
      <c r="O256" s="88"/>
      <c r="P256" s="11"/>
    </row>
    <row r="257" spans="2:16" x14ac:dyDescent="0.25">
      <c r="B257" s="169"/>
      <c r="C257" s="169"/>
      <c r="D257" s="170"/>
      <c r="M257" s="9" t="s">
        <v>1</v>
      </c>
      <c r="N257" s="24" t="s">
        <v>0</v>
      </c>
      <c r="O257" s="8" t="s">
        <v>1</v>
      </c>
      <c r="P257" s="11"/>
    </row>
    <row r="258" spans="2:16" x14ac:dyDescent="0.25">
      <c r="B258" s="169"/>
      <c r="C258" s="169"/>
      <c r="D258" s="170"/>
    </row>
    <row r="259" spans="2:16" x14ac:dyDescent="0.25">
      <c r="B259" s="169"/>
      <c r="C259" s="169"/>
      <c r="D259" s="170"/>
    </row>
    <row r="260" spans="2:16" x14ac:dyDescent="0.25">
      <c r="B260" s="169"/>
      <c r="C260" s="169"/>
      <c r="D260" s="170"/>
    </row>
    <row r="261" spans="2:16" x14ac:dyDescent="0.25">
      <c r="B261" s="169"/>
      <c r="C261" s="169"/>
      <c r="D261" s="170"/>
    </row>
    <row r="262" spans="2:16" x14ac:dyDescent="0.25">
      <c r="B262" s="169"/>
      <c r="C262" s="169"/>
      <c r="D262" s="170"/>
    </row>
    <row r="263" spans="2:16" x14ac:dyDescent="0.25">
      <c r="B263" s="169"/>
      <c r="C263" s="169"/>
      <c r="D263" s="170"/>
    </row>
    <row r="264" spans="2:16" x14ac:dyDescent="0.25">
      <c r="B264" s="169"/>
      <c r="C264" s="169"/>
      <c r="D264" s="170"/>
    </row>
    <row r="265" spans="2:16" x14ac:dyDescent="0.25">
      <c r="B265" s="169"/>
      <c r="C265" s="169"/>
      <c r="D265" s="170"/>
    </row>
    <row r="266" spans="2:16" x14ac:dyDescent="0.25">
      <c r="B266" s="169"/>
      <c r="C266" s="169"/>
      <c r="D266" s="170"/>
    </row>
    <row r="267" spans="2:16" x14ac:dyDescent="0.25">
      <c r="B267" s="169"/>
      <c r="C267" s="169"/>
      <c r="D267" s="170"/>
    </row>
    <row r="268" spans="2:16" x14ac:dyDescent="0.25">
      <c r="B268" s="169"/>
      <c r="C268" s="169"/>
      <c r="D268" s="170"/>
    </row>
  </sheetData>
  <mergeCells count="14">
    <mergeCell ref="M4:O4"/>
    <mergeCell ref="A6:B6"/>
    <mergeCell ref="B242:D242"/>
    <mergeCell ref="M245:O245"/>
    <mergeCell ref="A1:G1"/>
    <mergeCell ref="M1:N1"/>
    <mergeCell ref="A2:G2"/>
    <mergeCell ref="M2:N2"/>
    <mergeCell ref="A248:B248"/>
    <mergeCell ref="C248:F249"/>
    <mergeCell ref="G248:G249"/>
    <mergeCell ref="A249:B249"/>
    <mergeCell ref="A3:G3"/>
    <mergeCell ref="A4: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68"/>
  <sheetViews>
    <sheetView topLeftCell="A232" zoomScale="85" zoomScaleNormal="85" workbookViewId="0">
      <selection activeCell="B247" sqref="B247"/>
    </sheetView>
  </sheetViews>
  <sheetFormatPr defaultColWidth="9.109375" defaultRowHeight="13.2" x14ac:dyDescent="0.25"/>
  <cols>
    <col min="1" max="1" width="8.33203125" style="167" bestFit="1" customWidth="1"/>
    <col min="2" max="2" width="54.88671875" style="6" customWidth="1"/>
    <col min="3" max="3" width="9.5546875" style="6" customWidth="1"/>
    <col min="4" max="4" width="7.88671875" style="167" bestFit="1" customWidth="1"/>
    <col min="5" max="5" width="2.44140625" style="6" customWidth="1"/>
    <col min="6" max="6" width="14.5546875" style="168" customWidth="1"/>
    <col min="7" max="7" width="13.6640625" style="176" bestFit="1" customWidth="1"/>
    <col min="8" max="9" width="9.109375" style="6"/>
    <col min="10" max="10" width="19.109375" style="6" customWidth="1"/>
    <col min="11" max="12" width="9.109375" style="6" customWidth="1"/>
    <col min="13" max="13" width="6.5546875" style="6" bestFit="1" customWidth="1"/>
    <col min="14" max="16384" width="9.109375" style="6"/>
  </cols>
  <sheetData>
    <row r="1" spans="1:21" x14ac:dyDescent="0.25">
      <c r="A1" s="201" t="s">
        <v>879</v>
      </c>
      <c r="B1" s="201"/>
      <c r="C1" s="201"/>
      <c r="D1" s="201"/>
      <c r="E1" s="201"/>
      <c r="F1" s="201"/>
      <c r="G1" s="201"/>
      <c r="L1" s="8"/>
      <c r="M1" s="187" t="s">
        <v>0</v>
      </c>
      <c r="N1" s="188"/>
      <c r="O1" s="84"/>
    </row>
    <row r="2" spans="1:21" ht="46.95" customHeight="1" x14ac:dyDescent="0.25">
      <c r="A2" s="201" t="s">
        <v>882</v>
      </c>
      <c r="B2" s="201"/>
      <c r="C2" s="201"/>
      <c r="D2" s="201"/>
      <c r="E2" s="201"/>
      <c r="F2" s="201"/>
      <c r="G2" s="201"/>
      <c r="L2" s="139"/>
      <c r="M2" s="189" t="s">
        <v>1</v>
      </c>
      <c r="N2" s="189"/>
      <c r="O2" s="84"/>
    </row>
    <row r="3" spans="1:21" x14ac:dyDescent="0.25">
      <c r="A3" s="206" t="s">
        <v>486</v>
      </c>
      <c r="B3" s="206"/>
      <c r="C3" s="206"/>
      <c r="D3" s="206"/>
      <c r="E3" s="206"/>
      <c r="F3" s="206"/>
      <c r="G3" s="206"/>
      <c r="L3" s="85" t="s">
        <v>1</v>
      </c>
      <c r="M3" s="86"/>
      <c r="N3" s="87"/>
      <c r="O3" s="11"/>
    </row>
    <row r="4" spans="1:21" x14ac:dyDescent="0.25">
      <c r="A4" s="206" t="s">
        <v>3</v>
      </c>
      <c r="B4" s="206"/>
      <c r="C4" s="206"/>
      <c r="D4" s="206"/>
      <c r="E4" s="206"/>
      <c r="F4" s="206"/>
      <c r="G4" s="206"/>
      <c r="L4" s="89"/>
      <c r="M4" s="196"/>
      <c r="N4" s="196"/>
      <c r="O4" s="136"/>
    </row>
    <row r="5" spans="1:21" x14ac:dyDescent="0.25">
      <c r="A5" s="135"/>
      <c r="B5" s="135"/>
      <c r="C5" s="135"/>
      <c r="D5" s="135"/>
      <c r="E5" s="135"/>
      <c r="F5" s="154"/>
      <c r="G5" s="157"/>
      <c r="L5" s="89"/>
      <c r="M5" s="136"/>
      <c r="N5" s="125"/>
      <c r="O5" s="125"/>
      <c r="P5" s="125"/>
      <c r="Q5" s="126"/>
      <c r="R5" s="126"/>
      <c r="S5" s="126"/>
      <c r="T5" s="126"/>
      <c r="U5" s="126"/>
    </row>
    <row r="6" spans="1:21" x14ac:dyDescent="0.25">
      <c r="A6" s="191" t="s">
        <v>487</v>
      </c>
      <c r="B6" s="193"/>
      <c r="C6" s="90"/>
      <c r="D6" s="135"/>
      <c r="E6" s="90"/>
      <c r="F6" s="155"/>
      <c r="G6" s="163"/>
      <c r="L6" s="8"/>
      <c r="M6" s="91"/>
      <c r="N6" s="125"/>
      <c r="O6" s="125"/>
      <c r="P6" s="125"/>
      <c r="Q6" s="126"/>
      <c r="R6" s="126"/>
      <c r="S6" s="126"/>
      <c r="T6" s="126"/>
      <c r="U6" s="126"/>
    </row>
    <row r="7" spans="1:21" x14ac:dyDescent="0.25">
      <c r="A7" s="135"/>
      <c r="B7" s="134"/>
      <c r="C7" s="90"/>
      <c r="D7" s="135"/>
      <c r="E7" s="90"/>
      <c r="F7" s="155"/>
      <c r="G7" s="163"/>
      <c r="L7" s="8" t="s">
        <v>1</v>
      </c>
      <c r="M7" s="93"/>
      <c r="N7" s="125"/>
      <c r="O7" s="125"/>
      <c r="P7" s="125"/>
      <c r="Q7" s="126"/>
      <c r="R7" s="126"/>
      <c r="S7" s="126"/>
      <c r="T7" s="126"/>
      <c r="U7" s="126"/>
    </row>
    <row r="8" spans="1:21" ht="37.5" customHeight="1" x14ac:dyDescent="0.25">
      <c r="A8" s="94" t="s">
        <v>5</v>
      </c>
      <c r="B8" s="138" t="s">
        <v>6</v>
      </c>
      <c r="C8" s="95" t="s">
        <v>7</v>
      </c>
      <c r="D8" s="135" t="s">
        <v>8</v>
      </c>
      <c r="E8" s="96"/>
      <c r="F8" s="156" t="s">
        <v>9</v>
      </c>
      <c r="G8" s="156" t="s">
        <v>872</v>
      </c>
      <c r="J8" s="97"/>
      <c r="L8" s="8"/>
      <c r="M8" s="9"/>
      <c r="N8" s="125"/>
      <c r="O8" s="125"/>
      <c r="P8" s="125"/>
      <c r="Q8" s="126"/>
      <c r="R8" s="126"/>
      <c r="S8" s="126"/>
      <c r="T8" s="126"/>
      <c r="U8" s="126"/>
    </row>
    <row r="9" spans="1:21" x14ac:dyDescent="0.25">
      <c r="A9" s="135"/>
      <c r="B9" s="98"/>
      <c r="C9" s="135"/>
      <c r="D9" s="135"/>
      <c r="E9" s="99"/>
      <c r="F9" s="155"/>
      <c r="G9" s="157"/>
      <c r="J9" s="7"/>
      <c r="L9" s="8" t="s">
        <v>1</v>
      </c>
      <c r="M9" s="9"/>
      <c r="N9" s="127"/>
      <c r="O9" s="126"/>
      <c r="P9" s="126"/>
      <c r="Q9" s="126"/>
      <c r="R9" s="126"/>
      <c r="S9" s="126"/>
      <c r="T9" s="126"/>
      <c r="U9" s="126"/>
    </row>
    <row r="10" spans="1:21" ht="26.1" customHeight="1" x14ac:dyDescent="0.25">
      <c r="A10" s="135" t="s">
        <v>488</v>
      </c>
      <c r="B10" s="100" t="s">
        <v>11</v>
      </c>
      <c r="C10" s="135"/>
      <c r="D10" s="101"/>
      <c r="E10" s="99"/>
      <c r="F10" s="155"/>
      <c r="G10" s="157"/>
      <c r="L10" s="8"/>
      <c r="M10" s="9"/>
      <c r="N10" s="126"/>
      <c r="O10" s="126"/>
      <c r="P10" s="128"/>
      <c r="Q10" s="128"/>
      <c r="R10" s="126"/>
      <c r="S10" s="126"/>
      <c r="T10" s="126"/>
      <c r="U10" s="126"/>
    </row>
    <row r="11" spans="1:21" x14ac:dyDescent="0.25">
      <c r="A11" s="135"/>
      <c r="B11" s="98"/>
      <c r="C11" s="135"/>
      <c r="D11" s="135"/>
      <c r="E11" s="99"/>
      <c r="F11" s="155"/>
      <c r="G11" s="157"/>
      <c r="L11" s="8"/>
      <c r="M11" s="9"/>
      <c r="N11" s="10"/>
      <c r="O11" s="11"/>
    </row>
    <row r="12" spans="1:21" x14ac:dyDescent="0.25">
      <c r="A12" s="3" t="s">
        <v>489</v>
      </c>
      <c r="B12" s="4" t="s">
        <v>13</v>
      </c>
      <c r="C12" s="5">
        <v>500</v>
      </c>
      <c r="D12" s="3" t="s">
        <v>14</v>
      </c>
      <c r="E12" s="3"/>
      <c r="F12" s="158"/>
      <c r="G12" s="157">
        <f>C12*F12</f>
        <v>0</v>
      </c>
      <c r="J12" s="7"/>
      <c r="L12" s="8"/>
      <c r="M12" s="9"/>
      <c r="N12" s="10"/>
      <c r="O12" s="11"/>
    </row>
    <row r="13" spans="1:21" x14ac:dyDescent="0.25">
      <c r="A13" s="3"/>
      <c r="B13" s="4"/>
      <c r="C13" s="5"/>
      <c r="D13" s="3"/>
      <c r="E13" s="99"/>
      <c r="F13" s="158"/>
      <c r="G13" s="157"/>
      <c r="L13" s="8"/>
      <c r="M13" s="9"/>
      <c r="N13" s="10"/>
      <c r="O13" s="11"/>
    </row>
    <row r="14" spans="1:21" x14ac:dyDescent="0.25">
      <c r="A14" s="3" t="s">
        <v>490</v>
      </c>
      <c r="B14" s="4" t="s">
        <v>16</v>
      </c>
      <c r="C14" s="5">
        <v>500</v>
      </c>
      <c r="D14" s="3" t="s">
        <v>17</v>
      </c>
      <c r="E14" s="3"/>
      <c r="F14" s="158"/>
      <c r="G14" s="157">
        <f>C14*F14</f>
        <v>0</v>
      </c>
      <c r="J14" s="7"/>
      <c r="L14" s="8"/>
      <c r="M14" s="9"/>
      <c r="N14" s="10"/>
      <c r="O14" s="11"/>
    </row>
    <row r="15" spans="1:21" x14ac:dyDescent="0.25">
      <c r="A15" s="3"/>
      <c r="B15" s="4"/>
      <c r="C15" s="5"/>
      <c r="D15" s="3"/>
      <c r="E15" s="99"/>
      <c r="F15" s="158"/>
      <c r="G15" s="157"/>
      <c r="L15" s="8"/>
      <c r="M15" s="9"/>
      <c r="N15" s="10"/>
      <c r="O15" s="11"/>
    </row>
    <row r="16" spans="1:21" x14ac:dyDescent="0.25">
      <c r="A16" s="3" t="s">
        <v>491</v>
      </c>
      <c r="B16" s="4" t="s">
        <v>19</v>
      </c>
      <c r="C16" s="5">
        <v>300</v>
      </c>
      <c r="D16" s="3" t="s">
        <v>14</v>
      </c>
      <c r="E16" s="3"/>
      <c r="F16" s="158"/>
      <c r="G16" s="157">
        <f>C16*F16</f>
        <v>0</v>
      </c>
      <c r="J16" s="7"/>
      <c r="L16" s="8"/>
      <c r="M16" s="9"/>
      <c r="N16" s="10"/>
      <c r="O16" s="11"/>
    </row>
    <row r="17" spans="1:15" x14ac:dyDescent="0.25">
      <c r="A17" s="3"/>
      <c r="B17" s="4"/>
      <c r="C17" s="5"/>
      <c r="D17" s="3"/>
      <c r="E17" s="99"/>
      <c r="F17" s="158"/>
      <c r="G17" s="157"/>
      <c r="L17" s="8"/>
      <c r="M17" s="9"/>
      <c r="N17" s="10"/>
      <c r="O17" s="11"/>
    </row>
    <row r="18" spans="1:15" x14ac:dyDescent="0.25">
      <c r="A18" s="3" t="s">
        <v>492</v>
      </c>
      <c r="B18" s="4" t="s">
        <v>21</v>
      </c>
      <c r="C18" s="5">
        <v>10000</v>
      </c>
      <c r="D18" s="3" t="s">
        <v>14</v>
      </c>
      <c r="E18" s="3"/>
      <c r="F18" s="158"/>
      <c r="G18" s="157">
        <f>C18*F18</f>
        <v>0</v>
      </c>
      <c r="J18" s="7"/>
      <c r="L18" s="8"/>
      <c r="M18" s="9"/>
      <c r="N18" s="10"/>
      <c r="O18" s="11"/>
    </row>
    <row r="19" spans="1:15" x14ac:dyDescent="0.25">
      <c r="A19" s="3"/>
      <c r="B19" s="4"/>
      <c r="C19" s="5"/>
      <c r="D19" s="3"/>
      <c r="E19" s="99"/>
      <c r="F19" s="158"/>
      <c r="G19" s="157"/>
      <c r="L19" s="8"/>
      <c r="M19" s="9"/>
      <c r="N19" s="10"/>
      <c r="O19" s="11"/>
    </row>
    <row r="20" spans="1:15" x14ac:dyDescent="0.25">
      <c r="A20" s="3" t="s">
        <v>493</v>
      </c>
      <c r="B20" s="4" t="s">
        <v>23</v>
      </c>
      <c r="C20" s="5">
        <v>300</v>
      </c>
      <c r="D20" s="3" t="s">
        <v>24</v>
      </c>
      <c r="E20" s="3"/>
      <c r="F20" s="158"/>
      <c r="G20" s="157">
        <f>C20*F20</f>
        <v>0</v>
      </c>
      <c r="J20" s="7"/>
      <c r="L20" s="8"/>
      <c r="M20" s="9"/>
      <c r="N20" s="10"/>
      <c r="O20" s="11"/>
    </row>
    <row r="21" spans="1:15" x14ac:dyDescent="0.25">
      <c r="A21" s="3"/>
      <c r="B21" s="4"/>
      <c r="C21" s="5"/>
      <c r="D21" s="3"/>
      <c r="E21" s="99"/>
      <c r="F21" s="158"/>
      <c r="G21" s="157"/>
      <c r="L21" s="8"/>
      <c r="M21" s="9"/>
      <c r="N21" s="10"/>
      <c r="O21" s="11"/>
    </row>
    <row r="22" spans="1:15" ht="26.4" x14ac:dyDescent="0.25">
      <c r="A22" s="3" t="s">
        <v>494</v>
      </c>
      <c r="B22" s="4" t="s">
        <v>26</v>
      </c>
      <c r="C22" s="5">
        <v>3000</v>
      </c>
      <c r="D22" s="3" t="s">
        <v>14</v>
      </c>
      <c r="E22" s="3"/>
      <c r="F22" s="158"/>
      <c r="G22" s="157">
        <f>C22*F22</f>
        <v>0</v>
      </c>
      <c r="J22" s="7"/>
      <c r="L22" s="8"/>
      <c r="M22" s="9"/>
      <c r="N22" s="10"/>
      <c r="O22" s="11"/>
    </row>
    <row r="23" spans="1:15" x14ac:dyDescent="0.25">
      <c r="A23" s="3"/>
      <c r="B23" s="4"/>
      <c r="C23" s="5"/>
      <c r="D23" s="3"/>
      <c r="E23" s="99"/>
      <c r="F23" s="158"/>
      <c r="G23" s="157"/>
      <c r="L23" s="8"/>
      <c r="M23" s="9"/>
      <c r="N23" s="10"/>
      <c r="O23" s="11"/>
    </row>
    <row r="24" spans="1:15" ht="26.4" x14ac:dyDescent="0.25">
      <c r="A24" s="3" t="s">
        <v>495</v>
      </c>
      <c r="B24" s="4" t="s">
        <v>28</v>
      </c>
      <c r="C24" s="5">
        <v>25</v>
      </c>
      <c r="D24" s="3" t="s">
        <v>24</v>
      </c>
      <c r="E24" s="3"/>
      <c r="F24" s="158"/>
      <c r="G24" s="157">
        <f>C24*F24</f>
        <v>0</v>
      </c>
      <c r="J24" s="7"/>
      <c r="L24" s="8"/>
      <c r="M24" s="9"/>
      <c r="N24" s="10"/>
      <c r="O24" s="11"/>
    </row>
    <row r="25" spans="1:15" x14ac:dyDescent="0.25">
      <c r="A25" s="3"/>
      <c r="B25" s="4"/>
      <c r="C25" s="5"/>
      <c r="D25" s="3"/>
      <c r="E25" s="99"/>
      <c r="F25" s="158"/>
      <c r="G25" s="157"/>
      <c r="L25" s="8"/>
      <c r="M25" s="9"/>
      <c r="N25" s="10"/>
      <c r="O25" s="11"/>
    </row>
    <row r="26" spans="1:15" x14ac:dyDescent="0.25">
      <c r="A26" s="135" t="s">
        <v>496</v>
      </c>
      <c r="B26" s="102" t="s">
        <v>30</v>
      </c>
      <c r="C26" s="102"/>
      <c r="D26" s="138"/>
      <c r="E26" s="102"/>
      <c r="F26" s="158"/>
      <c r="G26" s="160"/>
      <c r="L26" s="8"/>
      <c r="M26" s="9" t="s">
        <v>1</v>
      </c>
      <c r="N26" s="10" t="s">
        <v>1</v>
      </c>
      <c r="O26" s="11"/>
    </row>
    <row r="27" spans="1:15" x14ac:dyDescent="0.25">
      <c r="A27" s="22"/>
      <c r="B27" s="13"/>
      <c r="C27" s="13"/>
      <c r="D27" s="14"/>
      <c r="E27" s="103"/>
      <c r="F27" s="158"/>
      <c r="G27" s="162"/>
      <c r="L27" s="8"/>
      <c r="M27" s="9"/>
      <c r="N27" s="10"/>
      <c r="O27" s="11"/>
    </row>
    <row r="28" spans="1:15" x14ac:dyDescent="0.25">
      <c r="A28" s="3" t="s">
        <v>497</v>
      </c>
      <c r="B28" s="12" t="s">
        <v>32</v>
      </c>
      <c r="C28" s="13">
        <v>55000</v>
      </c>
      <c r="D28" s="14" t="s">
        <v>33</v>
      </c>
      <c r="E28" s="3"/>
      <c r="F28" s="158"/>
      <c r="G28" s="157">
        <f>C28*F28</f>
        <v>0</v>
      </c>
      <c r="J28" s="7"/>
      <c r="L28" s="8"/>
      <c r="M28" s="15"/>
      <c r="N28" s="10"/>
      <c r="O28" s="11"/>
    </row>
    <row r="29" spans="1:15" x14ac:dyDescent="0.25">
      <c r="A29" s="22"/>
      <c r="B29" s="13"/>
      <c r="C29" s="13"/>
      <c r="D29" s="14"/>
      <c r="E29" s="103"/>
      <c r="F29" s="158"/>
      <c r="G29" s="162"/>
      <c r="L29" s="8"/>
      <c r="M29" s="15" t="s">
        <v>1</v>
      </c>
      <c r="N29" s="10"/>
      <c r="O29" s="11"/>
    </row>
    <row r="30" spans="1:15" x14ac:dyDescent="0.25">
      <c r="A30" s="3" t="s">
        <v>498</v>
      </c>
      <c r="B30" s="16" t="s">
        <v>35</v>
      </c>
      <c r="C30" s="13">
        <v>2500</v>
      </c>
      <c r="D30" s="18" t="s">
        <v>36</v>
      </c>
      <c r="E30" s="3"/>
      <c r="F30" s="158"/>
      <c r="G30" s="157">
        <f>C30*F30</f>
        <v>0</v>
      </c>
      <c r="J30" s="7"/>
      <c r="L30" s="8" t="s">
        <v>1</v>
      </c>
      <c r="M30" s="9"/>
      <c r="N30" s="10"/>
      <c r="O30" s="11"/>
    </row>
    <row r="31" spans="1:15" x14ac:dyDescent="0.25">
      <c r="A31" s="22"/>
      <c r="B31" s="16"/>
      <c r="C31" s="17"/>
      <c r="D31" s="18"/>
      <c r="E31" s="103"/>
      <c r="F31" s="158"/>
      <c r="G31" s="162"/>
      <c r="L31" s="8"/>
      <c r="M31" s="9" t="s">
        <v>1</v>
      </c>
      <c r="N31" s="10" t="s">
        <v>1</v>
      </c>
      <c r="O31" s="11"/>
    </row>
    <row r="32" spans="1:15" x14ac:dyDescent="0.25">
      <c r="A32" s="3" t="s">
        <v>499</v>
      </c>
      <c r="B32" s="16" t="s">
        <v>38</v>
      </c>
      <c r="C32" s="13">
        <v>2500</v>
      </c>
      <c r="D32" s="18" t="s">
        <v>36</v>
      </c>
      <c r="E32" s="3"/>
      <c r="F32" s="158"/>
      <c r="G32" s="157">
        <f>C32*F32</f>
        <v>0</v>
      </c>
      <c r="J32" s="7"/>
      <c r="L32" s="8"/>
      <c r="M32" s="9"/>
      <c r="N32" s="10"/>
      <c r="O32" s="11"/>
    </row>
    <row r="33" spans="1:15" x14ac:dyDescent="0.25">
      <c r="A33" s="22"/>
      <c r="B33" s="16"/>
      <c r="C33" s="17"/>
      <c r="D33" s="18"/>
      <c r="E33" s="103"/>
      <c r="F33" s="158"/>
      <c r="G33" s="162"/>
      <c r="L33" s="8"/>
      <c r="M33" s="15"/>
      <c r="N33" s="10"/>
      <c r="O33" s="11"/>
    </row>
    <row r="34" spans="1:15" x14ac:dyDescent="0.25">
      <c r="A34" s="3" t="s">
        <v>500</v>
      </c>
      <c r="B34" s="16" t="s">
        <v>40</v>
      </c>
      <c r="C34" s="17">
        <v>10000</v>
      </c>
      <c r="D34" s="18" t="s">
        <v>36</v>
      </c>
      <c r="E34" s="3"/>
      <c r="F34" s="158"/>
      <c r="G34" s="157">
        <f>C34*F34</f>
        <v>0</v>
      </c>
      <c r="J34" s="7"/>
      <c r="L34" s="8"/>
      <c r="M34" s="15" t="s">
        <v>1</v>
      </c>
      <c r="N34" s="10"/>
      <c r="O34" s="11"/>
    </row>
    <row r="35" spans="1:15" x14ac:dyDescent="0.25">
      <c r="A35" s="22"/>
      <c r="B35" s="13"/>
      <c r="C35" s="17"/>
      <c r="D35" s="18"/>
      <c r="E35" s="103"/>
      <c r="F35" s="158"/>
      <c r="G35" s="162"/>
      <c r="L35" s="8" t="s">
        <v>1</v>
      </c>
      <c r="M35" s="9"/>
      <c r="N35" s="10"/>
      <c r="O35" s="11"/>
    </row>
    <row r="36" spans="1:15" x14ac:dyDescent="0.25">
      <c r="A36" s="3" t="s">
        <v>501</v>
      </c>
      <c r="B36" s="16" t="s">
        <v>42</v>
      </c>
      <c r="C36" s="17">
        <v>200000</v>
      </c>
      <c r="D36" s="18" t="s">
        <v>43</v>
      </c>
      <c r="E36" s="3"/>
      <c r="F36" s="158"/>
      <c r="G36" s="157">
        <f>C36*F36</f>
        <v>0</v>
      </c>
      <c r="J36" s="7"/>
      <c r="L36" s="8"/>
      <c r="M36" s="9" t="s">
        <v>1</v>
      </c>
      <c r="N36" s="10" t="s">
        <v>1</v>
      </c>
      <c r="O36" s="11"/>
    </row>
    <row r="37" spans="1:15" x14ac:dyDescent="0.25">
      <c r="A37" s="22"/>
      <c r="B37" s="13"/>
      <c r="C37" s="17"/>
      <c r="D37" s="18"/>
      <c r="E37" s="103"/>
      <c r="F37" s="158"/>
      <c r="G37" s="162"/>
      <c r="L37" s="8" t="s">
        <v>1</v>
      </c>
      <c r="M37" s="9"/>
      <c r="N37" s="10"/>
      <c r="O37" s="11"/>
    </row>
    <row r="38" spans="1:15" x14ac:dyDescent="0.25">
      <c r="A38" s="3" t="s">
        <v>502</v>
      </c>
      <c r="B38" s="16" t="s">
        <v>45</v>
      </c>
      <c r="C38" s="17">
        <v>100000</v>
      </c>
      <c r="D38" s="18" t="s">
        <v>46</v>
      </c>
      <c r="E38" s="3"/>
      <c r="F38" s="158"/>
      <c r="G38" s="157">
        <f>C38*F38</f>
        <v>0</v>
      </c>
      <c r="J38" s="7"/>
      <c r="L38" s="8"/>
      <c r="M38" s="9" t="s">
        <v>1</v>
      </c>
      <c r="N38" s="10" t="s">
        <v>0</v>
      </c>
      <c r="O38" s="11"/>
    </row>
    <row r="39" spans="1:15" x14ac:dyDescent="0.25">
      <c r="A39" s="22"/>
      <c r="B39" s="16"/>
      <c r="C39" s="17"/>
      <c r="D39" s="18"/>
      <c r="E39" s="103"/>
      <c r="F39" s="158"/>
      <c r="G39" s="162"/>
      <c r="L39" s="8" t="s">
        <v>1</v>
      </c>
      <c r="M39" s="9"/>
      <c r="N39" s="10"/>
      <c r="O39" s="11"/>
    </row>
    <row r="40" spans="1:15" x14ac:dyDescent="0.25">
      <c r="A40" s="3" t="s">
        <v>503</v>
      </c>
      <c r="B40" s="16" t="s">
        <v>48</v>
      </c>
      <c r="C40" s="17">
        <v>200000</v>
      </c>
      <c r="D40" s="18" t="s">
        <v>46</v>
      </c>
      <c r="E40" s="3"/>
      <c r="F40" s="158"/>
      <c r="G40" s="157">
        <f>C40*F40</f>
        <v>0</v>
      </c>
      <c r="J40" s="7"/>
      <c r="L40" s="8"/>
      <c r="M40" s="9" t="s">
        <v>1</v>
      </c>
      <c r="N40" s="10" t="s">
        <v>1</v>
      </c>
      <c r="O40" s="11"/>
    </row>
    <row r="41" spans="1:15" x14ac:dyDescent="0.25">
      <c r="A41" s="22"/>
      <c r="B41" s="16"/>
      <c r="C41" s="17"/>
      <c r="D41" s="18"/>
      <c r="E41" s="103"/>
      <c r="F41" s="158"/>
      <c r="G41" s="162"/>
      <c r="L41" s="8" t="s">
        <v>1</v>
      </c>
      <c r="M41" s="9"/>
      <c r="N41" s="10"/>
      <c r="O41" s="11"/>
    </row>
    <row r="42" spans="1:15" x14ac:dyDescent="0.25">
      <c r="A42" s="3" t="s">
        <v>504</v>
      </c>
      <c r="B42" s="16" t="s">
        <v>50</v>
      </c>
      <c r="C42" s="17">
        <v>1402000</v>
      </c>
      <c r="D42" s="18" t="s">
        <v>46</v>
      </c>
      <c r="E42" s="3"/>
      <c r="F42" s="158"/>
      <c r="G42" s="157">
        <f>C42*F42</f>
        <v>0</v>
      </c>
      <c r="J42" s="7"/>
      <c r="L42" s="8"/>
      <c r="M42" s="9" t="s">
        <v>1</v>
      </c>
      <c r="N42" s="10" t="s">
        <v>1</v>
      </c>
      <c r="O42" s="11"/>
    </row>
    <row r="43" spans="1:15" x14ac:dyDescent="0.25">
      <c r="A43" s="22"/>
      <c r="B43" s="16"/>
      <c r="C43" s="17"/>
      <c r="D43" s="18"/>
      <c r="E43" s="103"/>
      <c r="F43" s="158"/>
      <c r="G43" s="162"/>
      <c r="L43" s="171" t="s">
        <v>1</v>
      </c>
      <c r="M43" s="9"/>
      <c r="N43" s="10"/>
      <c r="O43" s="11"/>
    </row>
    <row r="44" spans="1:15" x14ac:dyDescent="0.25">
      <c r="A44" s="3" t="s">
        <v>505</v>
      </c>
      <c r="B44" s="16" t="s">
        <v>52</v>
      </c>
      <c r="C44" s="17">
        <v>82000</v>
      </c>
      <c r="D44" s="18" t="s">
        <v>46</v>
      </c>
      <c r="E44" s="3"/>
      <c r="F44" s="158"/>
      <c r="G44" s="157">
        <f>C44*F44</f>
        <v>0</v>
      </c>
      <c r="J44" s="7"/>
      <c r="L44" s="19"/>
      <c r="M44" s="172" t="s">
        <v>1</v>
      </c>
      <c r="N44" s="171" t="s">
        <v>1</v>
      </c>
      <c r="O44" s="11"/>
    </row>
    <row r="45" spans="1:15" x14ac:dyDescent="0.25">
      <c r="A45" s="22"/>
      <c r="B45" s="16"/>
      <c r="C45" s="17"/>
      <c r="D45" s="18"/>
      <c r="E45" s="3"/>
      <c r="F45" s="158"/>
      <c r="G45" s="163"/>
      <c r="L45" s="19"/>
      <c r="M45" s="172"/>
      <c r="N45" s="171"/>
      <c r="O45" s="11"/>
    </row>
    <row r="46" spans="1:15" x14ac:dyDescent="0.25">
      <c r="A46" s="3" t="s">
        <v>506</v>
      </c>
      <c r="B46" s="16" t="s">
        <v>54</v>
      </c>
      <c r="C46" s="17">
        <v>20000</v>
      </c>
      <c r="D46" s="18" t="s">
        <v>46</v>
      </c>
      <c r="E46" s="3"/>
      <c r="F46" s="158"/>
      <c r="G46" s="157">
        <f>C46*F46</f>
        <v>0</v>
      </c>
      <c r="J46" s="7"/>
      <c r="L46" s="19"/>
      <c r="M46" s="172"/>
      <c r="N46" s="171"/>
      <c r="O46" s="11"/>
    </row>
    <row r="47" spans="1:15" x14ac:dyDescent="0.25">
      <c r="A47" s="22"/>
      <c r="B47" s="16"/>
      <c r="C47" s="17"/>
      <c r="D47" s="18"/>
      <c r="E47" s="103"/>
      <c r="F47" s="158"/>
      <c r="G47" s="162"/>
      <c r="L47" s="171" t="s">
        <v>1</v>
      </c>
      <c r="M47" s="88"/>
      <c r="N47" s="19"/>
      <c r="O47" s="11"/>
    </row>
    <row r="48" spans="1:15" x14ac:dyDescent="0.25">
      <c r="A48" s="3" t="s">
        <v>507</v>
      </c>
      <c r="B48" s="4" t="s">
        <v>56</v>
      </c>
      <c r="C48" s="17">
        <v>50</v>
      </c>
      <c r="D48" s="18" t="s">
        <v>24</v>
      </c>
      <c r="E48" s="3"/>
      <c r="F48" s="158"/>
      <c r="G48" s="157">
        <f>C48*F48</f>
        <v>0</v>
      </c>
      <c r="J48" s="7"/>
      <c r="L48" s="19"/>
      <c r="M48" s="172" t="s">
        <v>1</v>
      </c>
      <c r="N48" s="171" t="s">
        <v>1</v>
      </c>
      <c r="O48" s="11"/>
    </row>
    <row r="49" spans="1:15" x14ac:dyDescent="0.25">
      <c r="A49" s="22"/>
      <c r="B49" s="13"/>
      <c r="C49" s="17"/>
      <c r="D49" s="14"/>
      <c r="E49" s="103"/>
      <c r="F49" s="158"/>
      <c r="G49" s="162"/>
      <c r="L49" s="171" t="s">
        <v>1</v>
      </c>
      <c r="M49" s="88"/>
      <c r="N49" s="19"/>
      <c r="O49" s="11"/>
    </row>
    <row r="50" spans="1:15" x14ac:dyDescent="0.25">
      <c r="A50" s="135" t="s">
        <v>508</v>
      </c>
      <c r="B50" s="137" t="s">
        <v>58</v>
      </c>
      <c r="C50" s="17"/>
      <c r="D50" s="14"/>
      <c r="E50" s="103"/>
      <c r="F50" s="158"/>
      <c r="G50" s="162"/>
      <c r="L50" s="19"/>
      <c r="M50" s="172" t="s">
        <v>1</v>
      </c>
      <c r="N50" s="171" t="s">
        <v>1</v>
      </c>
      <c r="O50" s="11"/>
    </row>
    <row r="51" spans="1:15" x14ac:dyDescent="0.25">
      <c r="A51" s="22"/>
      <c r="B51" s="13"/>
      <c r="C51" s="17"/>
      <c r="D51" s="14"/>
      <c r="E51" s="103"/>
      <c r="F51" s="158"/>
      <c r="G51" s="162"/>
      <c r="L51" s="171" t="s">
        <v>1</v>
      </c>
      <c r="M51" s="88"/>
      <c r="N51" s="19"/>
      <c r="O51" s="11"/>
    </row>
    <row r="52" spans="1:15" ht="12.75" customHeight="1" x14ac:dyDescent="0.25">
      <c r="A52" s="22" t="s">
        <v>509</v>
      </c>
      <c r="B52" s="16" t="s">
        <v>60</v>
      </c>
      <c r="C52" s="17">
        <v>1000</v>
      </c>
      <c r="D52" s="22" t="s">
        <v>36</v>
      </c>
      <c r="E52" s="3"/>
      <c r="F52" s="158"/>
      <c r="G52" s="157">
        <f>C52*F52</f>
        <v>0</v>
      </c>
      <c r="J52" s="7"/>
      <c r="K52" s="9" t="s">
        <v>1</v>
      </c>
      <c r="L52" s="10" t="s">
        <v>1</v>
      </c>
      <c r="M52" s="8" t="s">
        <v>1</v>
      </c>
      <c r="N52" s="11"/>
      <c r="O52" s="11"/>
    </row>
    <row r="53" spans="1:15" x14ac:dyDescent="0.25">
      <c r="A53" s="3"/>
      <c r="B53" s="16"/>
      <c r="C53" s="17"/>
      <c r="D53" s="18"/>
      <c r="E53" s="103"/>
      <c r="F53" s="158"/>
      <c r="G53" s="162"/>
      <c r="K53" s="9"/>
      <c r="L53" s="10"/>
      <c r="M53" s="8"/>
      <c r="N53" s="11"/>
      <c r="O53" s="11"/>
    </row>
    <row r="54" spans="1:15" ht="12.75" customHeight="1" x14ac:dyDescent="0.25">
      <c r="A54" s="22" t="s">
        <v>510</v>
      </c>
      <c r="B54" s="16" t="s">
        <v>62</v>
      </c>
      <c r="C54" s="17">
        <v>200</v>
      </c>
      <c r="D54" s="22" t="s">
        <v>36</v>
      </c>
      <c r="E54" s="3"/>
      <c r="F54" s="158"/>
      <c r="G54" s="157">
        <f>C54*F54</f>
        <v>0</v>
      </c>
      <c r="J54" s="7"/>
      <c r="K54" s="9" t="s">
        <v>1</v>
      </c>
      <c r="L54" s="10" t="s">
        <v>1</v>
      </c>
      <c r="M54" s="8" t="s">
        <v>1</v>
      </c>
      <c r="N54" s="11"/>
      <c r="O54" s="11"/>
    </row>
    <row r="55" spans="1:15" x14ac:dyDescent="0.25">
      <c r="A55" s="3"/>
      <c r="B55" s="16"/>
      <c r="C55" s="17"/>
      <c r="D55" s="18"/>
      <c r="E55" s="3"/>
      <c r="F55" s="158"/>
      <c r="G55" s="163"/>
      <c r="K55" s="9"/>
      <c r="L55" s="10"/>
      <c r="M55" s="8"/>
      <c r="N55" s="11"/>
      <c r="O55" s="11"/>
    </row>
    <row r="56" spans="1:15" ht="12.9" customHeight="1" x14ac:dyDescent="0.25">
      <c r="A56" s="22" t="s">
        <v>511</v>
      </c>
      <c r="B56" s="4" t="s">
        <v>64</v>
      </c>
      <c r="C56" s="173">
        <v>100</v>
      </c>
      <c r="D56" s="22" t="s">
        <v>36</v>
      </c>
      <c r="E56" s="3"/>
      <c r="F56" s="158"/>
      <c r="G56" s="157">
        <f>C56*F56</f>
        <v>0</v>
      </c>
      <c r="J56" s="7"/>
      <c r="K56" s="172" t="s">
        <v>1</v>
      </c>
      <c r="L56" s="171" t="s">
        <v>1</v>
      </c>
      <c r="M56" s="167" t="s">
        <v>1</v>
      </c>
      <c r="N56" s="11"/>
      <c r="O56" s="11"/>
    </row>
    <row r="57" spans="1:15" ht="12.9" customHeight="1" x14ac:dyDescent="0.25">
      <c r="A57" s="3"/>
      <c r="B57" s="104"/>
      <c r="C57" s="105"/>
      <c r="D57" s="3"/>
      <c r="E57" s="3"/>
      <c r="F57" s="158"/>
      <c r="G57" s="163"/>
      <c r="K57" s="172"/>
      <c r="L57" s="171"/>
      <c r="M57" s="167"/>
      <c r="N57" s="11"/>
      <c r="O57" s="11"/>
    </row>
    <row r="58" spans="1:15" ht="12.9" customHeight="1" x14ac:dyDescent="0.25">
      <c r="A58" s="22" t="s">
        <v>512</v>
      </c>
      <c r="B58" s="4" t="s">
        <v>66</v>
      </c>
      <c r="C58" s="173">
        <v>100</v>
      </c>
      <c r="D58" s="22" t="s">
        <v>67</v>
      </c>
      <c r="E58" s="3"/>
      <c r="F58" s="158"/>
      <c r="G58" s="157">
        <f>C58*F58</f>
        <v>0</v>
      </c>
      <c r="J58" s="7"/>
      <c r="K58" s="172" t="s">
        <v>1</v>
      </c>
      <c r="L58" s="171" t="s">
        <v>1</v>
      </c>
      <c r="M58" s="167" t="s">
        <v>1</v>
      </c>
      <c r="N58" s="11"/>
      <c r="O58" s="11"/>
    </row>
    <row r="59" spans="1:15" ht="12.9" customHeight="1" x14ac:dyDescent="0.25">
      <c r="A59" s="3"/>
      <c r="B59" s="104"/>
      <c r="C59" s="106"/>
      <c r="D59" s="3"/>
      <c r="E59" s="3"/>
      <c r="F59" s="158"/>
      <c r="G59" s="163"/>
      <c r="K59" s="88"/>
      <c r="L59" s="19"/>
      <c r="M59" s="8"/>
      <c r="N59" s="11"/>
      <c r="O59" s="11"/>
    </row>
    <row r="60" spans="1:15" ht="12.9" customHeight="1" x14ac:dyDescent="0.25">
      <c r="A60" s="22" t="s">
        <v>513</v>
      </c>
      <c r="B60" s="4" t="s">
        <v>69</v>
      </c>
      <c r="C60" s="174">
        <v>250</v>
      </c>
      <c r="D60" s="22" t="s">
        <v>36</v>
      </c>
      <c r="E60" s="3"/>
      <c r="F60" s="158"/>
      <c r="G60" s="157">
        <f>C60*F60</f>
        <v>0</v>
      </c>
      <c r="J60" s="7"/>
      <c r="K60" s="172" t="s">
        <v>1</v>
      </c>
      <c r="L60" s="171" t="s">
        <v>1</v>
      </c>
      <c r="M60" s="167" t="s">
        <v>1</v>
      </c>
      <c r="N60" s="11"/>
      <c r="O60" s="11"/>
    </row>
    <row r="61" spans="1:15" ht="12.9" customHeight="1" x14ac:dyDescent="0.25">
      <c r="A61" s="3"/>
      <c r="B61" s="104"/>
      <c r="C61" s="106"/>
      <c r="D61" s="3"/>
      <c r="E61" s="3"/>
      <c r="F61" s="158"/>
      <c r="G61" s="163"/>
      <c r="K61" s="88"/>
      <c r="L61" s="19"/>
      <c r="M61" s="8"/>
      <c r="N61" s="11"/>
      <c r="O61" s="11"/>
    </row>
    <row r="62" spans="1:15" ht="12.9" customHeight="1" x14ac:dyDescent="0.25">
      <c r="A62" s="22" t="s">
        <v>514</v>
      </c>
      <c r="B62" s="4" t="s">
        <v>71</v>
      </c>
      <c r="C62" s="174">
        <v>250</v>
      </c>
      <c r="D62" s="22" t="s">
        <v>36</v>
      </c>
      <c r="E62" s="3"/>
      <c r="F62" s="158"/>
      <c r="G62" s="157">
        <f>C62*F62</f>
        <v>0</v>
      </c>
      <c r="J62" s="7"/>
      <c r="K62" s="172" t="s">
        <v>1</v>
      </c>
      <c r="L62" s="171" t="s">
        <v>1</v>
      </c>
      <c r="M62" s="167" t="s">
        <v>1</v>
      </c>
      <c r="N62" s="11"/>
      <c r="O62" s="11"/>
    </row>
    <row r="63" spans="1:15" x14ac:dyDescent="0.25">
      <c r="A63" s="22"/>
      <c r="B63" s="104"/>
      <c r="C63" s="106"/>
      <c r="D63" s="3"/>
      <c r="E63" s="3"/>
      <c r="F63" s="158"/>
      <c r="G63" s="163"/>
      <c r="K63" s="88"/>
      <c r="L63" s="19"/>
      <c r="M63" s="8"/>
      <c r="N63" s="11"/>
      <c r="O63" s="11"/>
    </row>
    <row r="64" spans="1:15" ht="12.75" customHeight="1" x14ac:dyDescent="0.25">
      <c r="A64" s="22" t="s">
        <v>515</v>
      </c>
      <c r="B64" s="4" t="s">
        <v>73</v>
      </c>
      <c r="C64" s="174">
        <v>250</v>
      </c>
      <c r="D64" s="22" t="s">
        <v>36</v>
      </c>
      <c r="E64" s="3"/>
      <c r="F64" s="158"/>
      <c r="G64" s="157">
        <f>C64*F64</f>
        <v>0</v>
      </c>
      <c r="J64" s="7"/>
      <c r="K64" s="172" t="s">
        <v>1</v>
      </c>
      <c r="L64" s="171" t="s">
        <v>1</v>
      </c>
      <c r="M64" s="167" t="s">
        <v>1</v>
      </c>
      <c r="N64" s="11"/>
      <c r="O64" s="11"/>
    </row>
    <row r="65" spans="1:15" x14ac:dyDescent="0.25">
      <c r="A65" s="22"/>
      <c r="B65" s="104"/>
      <c r="C65" s="106"/>
      <c r="D65" s="3"/>
      <c r="E65" s="3"/>
      <c r="F65" s="158"/>
      <c r="G65" s="163"/>
      <c r="K65" s="88"/>
      <c r="L65" s="19"/>
      <c r="M65" s="8"/>
      <c r="N65" s="11"/>
      <c r="O65" s="11"/>
    </row>
    <row r="66" spans="1:15" ht="12.75" customHeight="1" x14ac:dyDescent="0.25">
      <c r="A66" s="22" t="s">
        <v>516</v>
      </c>
      <c r="B66" s="4" t="s">
        <v>75</v>
      </c>
      <c r="C66" s="174">
        <v>250</v>
      </c>
      <c r="D66" s="22" t="s">
        <v>36</v>
      </c>
      <c r="E66" s="3"/>
      <c r="F66" s="158"/>
      <c r="G66" s="157">
        <f>C66*F66</f>
        <v>0</v>
      </c>
      <c r="J66" s="7"/>
      <c r="K66" s="172" t="s">
        <v>1</v>
      </c>
      <c r="L66" s="171" t="s">
        <v>1</v>
      </c>
      <c r="M66" s="167" t="s">
        <v>1</v>
      </c>
      <c r="N66" s="11"/>
      <c r="O66" s="11"/>
    </row>
    <row r="67" spans="1:15" ht="12.75" customHeight="1" x14ac:dyDescent="0.25">
      <c r="A67" s="22"/>
      <c r="B67" s="4"/>
      <c r="C67" s="174"/>
      <c r="D67" s="22"/>
      <c r="E67" s="3"/>
      <c r="F67" s="158"/>
      <c r="G67" s="163"/>
      <c r="K67" s="172"/>
      <c r="L67" s="171"/>
      <c r="M67" s="167"/>
      <c r="N67" s="11"/>
      <c r="O67" s="11"/>
    </row>
    <row r="68" spans="1:15" ht="12.75" customHeight="1" x14ac:dyDescent="0.25">
      <c r="A68" s="22" t="s">
        <v>517</v>
      </c>
      <c r="B68" s="4" t="s">
        <v>77</v>
      </c>
      <c r="C68" s="174">
        <v>1000</v>
      </c>
      <c r="D68" s="22" t="s">
        <v>78</v>
      </c>
      <c r="E68" s="3"/>
      <c r="F68" s="158"/>
      <c r="G68" s="157">
        <f>C68*F68</f>
        <v>0</v>
      </c>
      <c r="J68" s="7"/>
      <c r="K68" s="172"/>
      <c r="L68" s="171"/>
      <c r="M68" s="167"/>
      <c r="N68" s="11"/>
      <c r="O68" s="11"/>
    </row>
    <row r="69" spans="1:15" ht="12.75" customHeight="1" x14ac:dyDescent="0.25">
      <c r="A69" s="22"/>
      <c r="B69" s="104"/>
      <c r="C69" s="104"/>
      <c r="D69" s="3"/>
      <c r="E69" s="3"/>
      <c r="F69" s="158"/>
      <c r="G69" s="163"/>
      <c r="K69" s="172"/>
      <c r="L69" s="171"/>
      <c r="M69" s="167"/>
      <c r="N69" s="11"/>
      <c r="O69" s="11"/>
    </row>
    <row r="70" spans="1:15" ht="12.75" customHeight="1" x14ac:dyDescent="0.25">
      <c r="A70" s="22" t="s">
        <v>518</v>
      </c>
      <c r="B70" s="4" t="s">
        <v>80</v>
      </c>
      <c r="C70" s="174">
        <v>7260</v>
      </c>
      <c r="D70" s="22" t="s">
        <v>81</v>
      </c>
      <c r="E70" s="3"/>
      <c r="F70" s="158"/>
      <c r="G70" s="157">
        <f>C70*F70</f>
        <v>0</v>
      </c>
      <c r="J70" s="7"/>
      <c r="K70" s="172"/>
      <c r="L70" s="171"/>
      <c r="M70" s="167"/>
      <c r="N70" s="11"/>
      <c r="O70" s="11"/>
    </row>
    <row r="71" spans="1:15" x14ac:dyDescent="0.25">
      <c r="A71" s="22"/>
      <c r="B71" s="13"/>
      <c r="C71" s="17"/>
      <c r="D71" s="14"/>
      <c r="E71" s="103"/>
      <c r="F71" s="158"/>
      <c r="G71" s="162"/>
      <c r="K71" s="172"/>
      <c r="L71" s="171"/>
      <c r="M71" s="167"/>
      <c r="N71" s="11"/>
      <c r="O71" s="11"/>
    </row>
    <row r="72" spans="1:15" ht="12.9" customHeight="1" x14ac:dyDescent="0.25">
      <c r="A72" s="138" t="s">
        <v>519</v>
      </c>
      <c r="B72" s="137" t="s">
        <v>83</v>
      </c>
      <c r="C72" s="17"/>
      <c r="D72" s="14"/>
      <c r="E72" s="103"/>
      <c r="F72" s="158"/>
      <c r="G72" s="162"/>
      <c r="N72" s="11"/>
      <c r="O72" s="11"/>
    </row>
    <row r="73" spans="1:15" x14ac:dyDescent="0.25">
      <c r="A73" s="22"/>
      <c r="B73" s="13"/>
      <c r="C73" s="17"/>
      <c r="D73" s="14"/>
      <c r="E73" s="103"/>
      <c r="F73" s="158"/>
      <c r="G73" s="162"/>
      <c r="N73" s="11"/>
      <c r="O73" s="11"/>
    </row>
    <row r="74" spans="1:15" ht="12.75" customHeight="1" x14ac:dyDescent="0.25">
      <c r="A74" s="22" t="s">
        <v>520</v>
      </c>
      <c r="B74" s="16" t="s">
        <v>85</v>
      </c>
      <c r="C74" s="17">
        <v>1000</v>
      </c>
      <c r="D74" s="18" t="s">
        <v>81</v>
      </c>
      <c r="E74" s="3"/>
      <c r="F74" s="158"/>
      <c r="G74" s="157">
        <f>C74*F74</f>
        <v>0</v>
      </c>
      <c r="J74" s="7"/>
      <c r="N74" s="11"/>
      <c r="O74" s="11"/>
    </row>
    <row r="75" spans="1:15" x14ac:dyDescent="0.25">
      <c r="A75" s="22"/>
      <c r="B75" s="108"/>
      <c r="C75" s="13"/>
      <c r="D75" s="14"/>
      <c r="E75" s="103"/>
      <c r="F75" s="158"/>
      <c r="G75" s="162"/>
      <c r="K75" s="9"/>
      <c r="L75" s="10"/>
      <c r="M75" s="8"/>
      <c r="N75" s="11"/>
      <c r="O75" s="11"/>
    </row>
    <row r="76" spans="1:15" ht="12.75" customHeight="1" x14ac:dyDescent="0.25">
      <c r="A76" s="22" t="s">
        <v>521</v>
      </c>
      <c r="B76" s="16" t="s">
        <v>87</v>
      </c>
      <c r="C76" s="17">
        <v>1000</v>
      </c>
      <c r="D76" s="18" t="s">
        <v>81</v>
      </c>
      <c r="E76" s="3"/>
      <c r="F76" s="158"/>
      <c r="G76" s="157">
        <f>C76*F76</f>
        <v>0</v>
      </c>
      <c r="J76" s="7"/>
      <c r="L76" s="8" t="s">
        <v>1</v>
      </c>
      <c r="M76" s="86"/>
      <c r="N76" s="10"/>
      <c r="O76" s="11"/>
    </row>
    <row r="77" spans="1:15" x14ac:dyDescent="0.25">
      <c r="A77" s="22"/>
      <c r="B77" s="13"/>
      <c r="C77" s="13"/>
      <c r="D77" s="14"/>
      <c r="E77" s="103"/>
      <c r="F77" s="158"/>
      <c r="G77" s="162"/>
      <c r="L77" s="8"/>
      <c r="M77" s="9" t="s">
        <v>1</v>
      </c>
      <c r="N77" s="10" t="s">
        <v>1</v>
      </c>
      <c r="O77" s="11"/>
    </row>
    <row r="78" spans="1:15" ht="12.75" customHeight="1" x14ac:dyDescent="0.25">
      <c r="A78" s="138" t="s">
        <v>522</v>
      </c>
      <c r="B78" s="137" t="s">
        <v>89</v>
      </c>
      <c r="C78" s="13"/>
      <c r="D78" s="14"/>
      <c r="E78" s="103"/>
      <c r="F78" s="158"/>
      <c r="G78" s="162"/>
      <c r="L78" s="8" t="s">
        <v>1</v>
      </c>
      <c r="M78" s="86"/>
      <c r="N78" s="10"/>
      <c r="O78" s="11"/>
    </row>
    <row r="79" spans="1:15" x14ac:dyDescent="0.25">
      <c r="A79" s="22"/>
      <c r="B79" s="13"/>
      <c r="C79" s="13"/>
      <c r="D79" s="14"/>
      <c r="E79" s="103"/>
      <c r="F79" s="158"/>
      <c r="G79" s="162"/>
      <c r="L79" s="8"/>
      <c r="M79" s="9" t="s">
        <v>1</v>
      </c>
      <c r="N79" s="10" t="s">
        <v>1</v>
      </c>
      <c r="O79" s="11"/>
    </row>
    <row r="80" spans="1:15" ht="12.75" customHeight="1" x14ac:dyDescent="0.25">
      <c r="A80" s="22" t="s">
        <v>523</v>
      </c>
      <c r="B80" s="16" t="s">
        <v>91</v>
      </c>
      <c r="C80" s="17">
        <v>500</v>
      </c>
      <c r="D80" s="18" t="s">
        <v>92</v>
      </c>
      <c r="E80" s="3"/>
      <c r="F80" s="158"/>
      <c r="G80" s="157">
        <f>C80*F80</f>
        <v>0</v>
      </c>
      <c r="J80" s="7"/>
      <c r="L80" s="8" t="s">
        <v>1</v>
      </c>
      <c r="M80" s="86"/>
      <c r="N80" s="10"/>
      <c r="O80" s="11"/>
    </row>
    <row r="81" spans="1:15" ht="12.75" customHeight="1" x14ac:dyDescent="0.25">
      <c r="A81" s="22"/>
      <c r="B81" s="16"/>
      <c r="C81" s="17"/>
      <c r="D81" s="18"/>
      <c r="E81" s="3"/>
      <c r="F81" s="158"/>
      <c r="G81" s="163"/>
      <c r="L81" s="8"/>
      <c r="M81" s="86"/>
      <c r="N81" s="10"/>
      <c r="O81" s="11"/>
    </row>
    <row r="82" spans="1:15" ht="12.75" customHeight="1" x14ac:dyDescent="0.25">
      <c r="A82" s="22" t="s">
        <v>524</v>
      </c>
      <c r="B82" s="16" t="s">
        <v>94</v>
      </c>
      <c r="C82" s="17">
        <v>1000</v>
      </c>
      <c r="D82" s="18" t="s">
        <v>92</v>
      </c>
      <c r="E82" s="3"/>
      <c r="F82" s="158"/>
      <c r="G82" s="157">
        <f>C82*F82</f>
        <v>0</v>
      </c>
      <c r="J82" s="7"/>
      <c r="L82" s="8"/>
      <c r="M82" s="86"/>
      <c r="N82" s="10"/>
      <c r="O82" s="11"/>
    </row>
    <row r="83" spans="1:15" x14ac:dyDescent="0.25">
      <c r="A83" s="22"/>
      <c r="B83" s="13"/>
      <c r="C83" s="13"/>
      <c r="D83" s="14"/>
      <c r="E83" s="103"/>
      <c r="F83" s="158"/>
      <c r="G83" s="162"/>
      <c r="L83" s="8"/>
      <c r="M83" s="9" t="s">
        <v>1</v>
      </c>
      <c r="N83" s="10" t="s">
        <v>1</v>
      </c>
      <c r="O83" s="11"/>
    </row>
    <row r="84" spans="1:15" ht="12.75" customHeight="1" x14ac:dyDescent="0.25">
      <c r="A84" s="138" t="s">
        <v>525</v>
      </c>
      <c r="B84" s="109" t="s">
        <v>96</v>
      </c>
      <c r="C84" s="13"/>
      <c r="D84" s="14"/>
      <c r="E84" s="103"/>
      <c r="F84" s="158"/>
      <c r="G84" s="162"/>
      <c r="L84" s="8" t="s">
        <v>1</v>
      </c>
      <c r="M84" s="9"/>
      <c r="N84" s="10"/>
      <c r="O84" s="11"/>
    </row>
    <row r="85" spans="1:15" x14ac:dyDescent="0.25">
      <c r="A85" s="22"/>
      <c r="B85" s="13"/>
      <c r="C85" s="13"/>
      <c r="D85" s="14"/>
      <c r="E85" s="103"/>
      <c r="F85" s="158"/>
      <c r="G85" s="162"/>
      <c r="L85" s="8"/>
      <c r="M85" s="9" t="s">
        <v>1</v>
      </c>
      <c r="N85" s="10" t="s">
        <v>1</v>
      </c>
      <c r="O85" s="11"/>
    </row>
    <row r="86" spans="1:15" ht="12.75" customHeight="1" x14ac:dyDescent="0.25">
      <c r="A86" s="22" t="s">
        <v>526</v>
      </c>
      <c r="B86" s="16" t="s">
        <v>98</v>
      </c>
      <c r="C86" s="17">
        <v>1000</v>
      </c>
      <c r="D86" s="18" t="s">
        <v>99</v>
      </c>
      <c r="E86" s="3"/>
      <c r="F86" s="158"/>
      <c r="G86" s="157">
        <f>C86*F86</f>
        <v>0</v>
      </c>
      <c r="J86" s="7"/>
      <c r="L86" s="8" t="s">
        <v>1</v>
      </c>
      <c r="M86" s="86"/>
      <c r="N86" s="10"/>
      <c r="O86" s="11"/>
    </row>
    <row r="87" spans="1:15" x14ac:dyDescent="0.25">
      <c r="A87" s="22"/>
      <c r="B87" s="108"/>
      <c r="C87" s="13"/>
      <c r="D87" s="14"/>
      <c r="E87" s="103"/>
      <c r="F87" s="158"/>
      <c r="G87" s="162"/>
      <c r="L87" s="8"/>
      <c r="M87" s="9" t="s">
        <v>1</v>
      </c>
      <c r="N87" s="10" t="s">
        <v>1</v>
      </c>
      <c r="O87" s="11"/>
    </row>
    <row r="88" spans="1:15" ht="12.75" customHeight="1" x14ac:dyDescent="0.25">
      <c r="A88" s="22" t="s">
        <v>527</v>
      </c>
      <c r="B88" s="16" t="s">
        <v>101</v>
      </c>
      <c r="C88" s="17">
        <v>100000</v>
      </c>
      <c r="D88" s="18" t="s">
        <v>102</v>
      </c>
      <c r="E88" s="3"/>
      <c r="F88" s="158"/>
      <c r="G88" s="157">
        <f>C88*F88</f>
        <v>0</v>
      </c>
      <c r="J88" s="7"/>
      <c r="L88" s="8" t="s">
        <v>1</v>
      </c>
      <c r="M88" s="86"/>
      <c r="N88" s="10"/>
      <c r="O88" s="11"/>
    </row>
    <row r="89" spans="1:15" x14ac:dyDescent="0.25">
      <c r="A89" s="22"/>
      <c r="B89" s="108"/>
      <c r="C89" s="13"/>
      <c r="D89" s="14"/>
      <c r="E89" s="103"/>
      <c r="F89" s="158"/>
      <c r="G89" s="162"/>
      <c r="L89" s="8"/>
      <c r="M89" s="9" t="s">
        <v>1</v>
      </c>
      <c r="N89" s="10" t="s">
        <v>1</v>
      </c>
      <c r="O89" s="11"/>
    </row>
    <row r="90" spans="1:15" ht="12.75" customHeight="1" x14ac:dyDescent="0.25">
      <c r="A90" s="22" t="s">
        <v>528</v>
      </c>
      <c r="B90" s="16" t="s">
        <v>104</v>
      </c>
      <c r="C90" s="17">
        <v>500</v>
      </c>
      <c r="D90" s="18" t="s">
        <v>102</v>
      </c>
      <c r="E90" s="3"/>
      <c r="F90" s="158"/>
      <c r="G90" s="157">
        <f>C90*F90</f>
        <v>0</v>
      </c>
      <c r="J90" s="7"/>
      <c r="L90" s="8" t="s">
        <v>1</v>
      </c>
      <c r="M90" s="86"/>
      <c r="N90" s="10"/>
      <c r="O90" s="11"/>
    </row>
    <row r="91" spans="1:15" ht="12.9" customHeight="1" x14ac:dyDescent="0.25">
      <c r="A91" s="22"/>
      <c r="B91" s="108"/>
      <c r="C91" s="13"/>
      <c r="D91" s="14"/>
      <c r="E91" s="103"/>
      <c r="F91" s="158"/>
      <c r="G91" s="162"/>
      <c r="J91" s="7"/>
      <c r="L91" s="8"/>
      <c r="M91" s="9" t="s">
        <v>1</v>
      </c>
      <c r="N91" s="10" t="s">
        <v>1</v>
      </c>
      <c r="O91" s="11"/>
    </row>
    <row r="92" spans="1:15" ht="12.9" customHeight="1" x14ac:dyDescent="0.25">
      <c r="A92" s="22" t="s">
        <v>529</v>
      </c>
      <c r="B92" s="16" t="s">
        <v>106</v>
      </c>
      <c r="C92" s="17">
        <v>500</v>
      </c>
      <c r="D92" s="18" t="s">
        <v>102</v>
      </c>
      <c r="E92" s="3"/>
      <c r="F92" s="158"/>
      <c r="G92" s="157">
        <f>C92*F92</f>
        <v>0</v>
      </c>
      <c r="J92" s="7"/>
      <c r="L92" s="8" t="s">
        <v>1</v>
      </c>
      <c r="M92" s="9"/>
      <c r="N92" s="10"/>
      <c r="O92" s="11"/>
    </row>
    <row r="93" spans="1:15" ht="12.9" customHeight="1" x14ac:dyDescent="0.25">
      <c r="A93" s="22"/>
      <c r="B93" s="16"/>
      <c r="C93" s="17"/>
      <c r="D93" s="18"/>
      <c r="E93" s="3"/>
      <c r="F93" s="158"/>
      <c r="G93" s="162"/>
      <c r="L93" s="8"/>
      <c r="M93" s="9"/>
      <c r="N93" s="10"/>
      <c r="O93" s="11"/>
    </row>
    <row r="94" spans="1:15" ht="12.9" customHeight="1" x14ac:dyDescent="0.25">
      <c r="A94" s="22" t="s">
        <v>530</v>
      </c>
      <c r="B94" s="16" t="s">
        <v>108</v>
      </c>
      <c r="C94" s="17">
        <v>2500</v>
      </c>
      <c r="D94" s="18" t="s">
        <v>92</v>
      </c>
      <c r="E94" s="3"/>
      <c r="F94" s="158"/>
      <c r="G94" s="157">
        <f>C94*F94</f>
        <v>0</v>
      </c>
      <c r="J94" s="7"/>
      <c r="L94" s="8"/>
      <c r="M94" s="9" t="s">
        <v>1</v>
      </c>
      <c r="N94" s="10" t="s">
        <v>1</v>
      </c>
      <c r="O94" s="11" t="s">
        <v>1</v>
      </c>
    </row>
    <row r="95" spans="1:15" ht="12.9" customHeight="1" x14ac:dyDescent="0.25">
      <c r="A95" s="22"/>
      <c r="B95" s="108"/>
      <c r="C95" s="13"/>
      <c r="D95" s="14"/>
      <c r="E95" s="103"/>
      <c r="F95" s="158"/>
      <c r="G95" s="162"/>
      <c r="J95" s="7"/>
      <c r="L95" s="8" t="s">
        <v>1</v>
      </c>
      <c r="M95" s="9"/>
      <c r="N95" s="10"/>
      <c r="O95" s="11"/>
    </row>
    <row r="96" spans="1:15" ht="12.9" customHeight="1" x14ac:dyDescent="0.25">
      <c r="A96" s="22" t="s">
        <v>531</v>
      </c>
      <c r="B96" s="16" t="s">
        <v>110</v>
      </c>
      <c r="C96" s="17">
        <v>2500</v>
      </c>
      <c r="D96" s="18" t="s">
        <v>92</v>
      </c>
      <c r="E96" s="3"/>
      <c r="F96" s="158"/>
      <c r="G96" s="157">
        <f>C96*F96</f>
        <v>0</v>
      </c>
      <c r="J96" s="7"/>
      <c r="L96" s="8"/>
      <c r="M96" s="9" t="s">
        <v>1</v>
      </c>
      <c r="N96" s="10" t="s">
        <v>1</v>
      </c>
      <c r="O96" s="11"/>
    </row>
    <row r="97" spans="1:15" ht="12.9" customHeight="1" x14ac:dyDescent="0.25">
      <c r="A97" s="22"/>
      <c r="B97" s="108"/>
      <c r="C97" s="13"/>
      <c r="D97" s="14"/>
      <c r="E97" s="103"/>
      <c r="F97" s="158"/>
      <c r="G97" s="162"/>
      <c r="J97" s="7"/>
      <c r="L97" s="23" t="s">
        <v>1</v>
      </c>
      <c r="M97" s="86"/>
      <c r="N97" s="10"/>
      <c r="O97" s="11"/>
    </row>
    <row r="98" spans="1:15" ht="12.9" customHeight="1" x14ac:dyDescent="0.25">
      <c r="A98" s="22" t="s">
        <v>532</v>
      </c>
      <c r="B98" s="16" t="s">
        <v>112</v>
      </c>
      <c r="C98" s="17">
        <v>2500</v>
      </c>
      <c r="D98" s="18" t="s">
        <v>92</v>
      </c>
      <c r="E98" s="3"/>
      <c r="F98" s="158"/>
      <c r="G98" s="157">
        <f>C98*F98</f>
        <v>0</v>
      </c>
      <c r="J98" s="7"/>
      <c r="L98" s="8"/>
      <c r="M98" s="136" t="s">
        <v>1</v>
      </c>
      <c r="N98" s="20"/>
      <c r="O98" s="11"/>
    </row>
    <row r="99" spans="1:15" ht="12.9" customHeight="1" x14ac:dyDescent="0.25">
      <c r="A99" s="22"/>
      <c r="B99" s="16"/>
      <c r="C99" s="17"/>
      <c r="D99" s="14"/>
      <c r="E99" s="3"/>
      <c r="F99" s="158"/>
      <c r="G99" s="163"/>
      <c r="J99" s="7"/>
      <c r="L99" s="8" t="s">
        <v>1</v>
      </c>
      <c r="M99" s="9"/>
      <c r="N99" s="24"/>
      <c r="O99" s="11"/>
    </row>
    <row r="100" spans="1:15" ht="12.9" customHeight="1" x14ac:dyDescent="0.25">
      <c r="A100" s="22" t="s">
        <v>533</v>
      </c>
      <c r="B100" s="4" t="s">
        <v>114</v>
      </c>
      <c r="C100" s="17">
        <v>2500</v>
      </c>
      <c r="D100" s="18" t="s">
        <v>92</v>
      </c>
      <c r="E100" s="3"/>
      <c r="F100" s="158"/>
      <c r="G100" s="157">
        <f>C100*F100</f>
        <v>0</v>
      </c>
      <c r="J100" s="7"/>
      <c r="L100" s="8"/>
      <c r="M100" s="9" t="s">
        <v>1</v>
      </c>
      <c r="N100" s="24" t="s">
        <v>1</v>
      </c>
      <c r="O100" s="11"/>
    </row>
    <row r="101" spans="1:15" ht="12.9" customHeight="1" x14ac:dyDescent="0.25">
      <c r="A101" s="22"/>
      <c r="B101" s="16"/>
      <c r="C101" s="17"/>
      <c r="D101" s="18"/>
      <c r="E101" s="3"/>
      <c r="F101" s="158"/>
      <c r="G101" s="163"/>
      <c r="J101" s="7"/>
      <c r="L101" s="8" t="s">
        <v>1</v>
      </c>
      <c r="M101" s="9"/>
      <c r="N101" s="24"/>
      <c r="O101" s="11"/>
    </row>
    <row r="102" spans="1:15" ht="12.9" customHeight="1" x14ac:dyDescent="0.25">
      <c r="A102" s="22" t="s">
        <v>534</v>
      </c>
      <c r="B102" s="4" t="s">
        <v>116</v>
      </c>
      <c r="C102" s="17">
        <v>3000</v>
      </c>
      <c r="D102" s="18" t="s">
        <v>43</v>
      </c>
      <c r="E102" s="3"/>
      <c r="F102" s="158"/>
      <c r="G102" s="157">
        <f>C102*F102</f>
        <v>0</v>
      </c>
      <c r="J102" s="7"/>
      <c r="L102" s="8"/>
      <c r="M102" s="9" t="s">
        <v>1</v>
      </c>
      <c r="N102" s="24" t="s">
        <v>1</v>
      </c>
      <c r="O102" s="11"/>
    </row>
    <row r="103" spans="1:15" ht="12.9" customHeight="1" x14ac:dyDescent="0.25">
      <c r="A103" s="22"/>
      <c r="B103" s="13"/>
      <c r="C103" s="13"/>
      <c r="D103" s="14"/>
      <c r="E103" s="103"/>
      <c r="F103" s="158"/>
      <c r="G103" s="162"/>
      <c r="J103" s="7"/>
      <c r="L103" s="8" t="s">
        <v>1</v>
      </c>
      <c r="M103" s="9"/>
      <c r="N103" s="24"/>
      <c r="O103" s="11"/>
    </row>
    <row r="104" spans="1:15" ht="12.9" customHeight="1" x14ac:dyDescent="0.25">
      <c r="A104" s="140" t="s">
        <v>535</v>
      </c>
      <c r="B104" s="137" t="s">
        <v>118</v>
      </c>
      <c r="C104" s="13"/>
      <c r="D104" s="14"/>
      <c r="E104" s="103"/>
      <c r="F104" s="158"/>
      <c r="G104" s="162"/>
      <c r="J104" s="7"/>
      <c r="L104" s="8"/>
      <c r="M104" s="9" t="s">
        <v>1</v>
      </c>
      <c r="N104" s="24" t="s">
        <v>1</v>
      </c>
      <c r="O104" s="11"/>
    </row>
    <row r="105" spans="1:15" ht="12.9" customHeight="1" x14ac:dyDescent="0.25">
      <c r="A105" s="22"/>
      <c r="B105" s="13"/>
      <c r="C105" s="13"/>
      <c r="D105" s="14"/>
      <c r="E105" s="103"/>
      <c r="F105" s="158"/>
      <c r="G105" s="162"/>
      <c r="J105" s="7"/>
      <c r="L105" s="8" t="s">
        <v>1</v>
      </c>
      <c r="M105" s="9"/>
      <c r="N105" s="24"/>
      <c r="O105" s="11"/>
    </row>
    <row r="106" spans="1:15" ht="12.9" customHeight="1" x14ac:dyDescent="0.25">
      <c r="A106" s="22" t="s">
        <v>536</v>
      </c>
      <c r="B106" s="16" t="s">
        <v>120</v>
      </c>
      <c r="C106" s="17">
        <v>200</v>
      </c>
      <c r="D106" s="18" t="s">
        <v>36</v>
      </c>
      <c r="E106" s="3"/>
      <c r="F106" s="158"/>
      <c r="G106" s="157">
        <f>C106*F106</f>
        <v>0</v>
      </c>
      <c r="J106" s="7"/>
      <c r="L106" s="8"/>
      <c r="M106" s="9" t="s">
        <v>1</v>
      </c>
      <c r="N106" s="24" t="s">
        <v>1</v>
      </c>
      <c r="O106" s="11"/>
    </row>
    <row r="107" spans="1:15" ht="12.9" customHeight="1" x14ac:dyDescent="0.25">
      <c r="A107" s="22"/>
      <c r="B107" s="16"/>
      <c r="C107" s="13"/>
      <c r="D107" s="14"/>
      <c r="E107" s="103"/>
      <c r="F107" s="158"/>
      <c r="G107" s="162"/>
      <c r="J107" s="7"/>
      <c r="L107" s="8" t="s">
        <v>1</v>
      </c>
      <c r="M107" s="9"/>
      <c r="N107" s="24"/>
      <c r="O107" s="11"/>
    </row>
    <row r="108" spans="1:15" ht="12.9" customHeight="1" x14ac:dyDescent="0.25">
      <c r="A108" s="22" t="s">
        <v>537</v>
      </c>
      <c r="B108" s="16" t="s">
        <v>122</v>
      </c>
      <c r="C108" s="17">
        <v>200</v>
      </c>
      <c r="D108" s="18" t="s">
        <v>36</v>
      </c>
      <c r="E108" s="3"/>
      <c r="F108" s="158"/>
      <c r="G108" s="157">
        <f>C108*F108</f>
        <v>0</v>
      </c>
      <c r="J108" s="7"/>
      <c r="L108" s="8"/>
      <c r="M108" s="9" t="s">
        <v>1</v>
      </c>
      <c r="N108" s="24" t="s">
        <v>1</v>
      </c>
      <c r="O108" s="11"/>
    </row>
    <row r="109" spans="1:15" ht="12.9" customHeight="1" x14ac:dyDescent="0.25">
      <c r="A109" s="22"/>
      <c r="B109" s="16"/>
      <c r="C109" s="13"/>
      <c r="D109" s="14"/>
      <c r="E109" s="103"/>
      <c r="F109" s="158"/>
      <c r="G109" s="162"/>
      <c r="J109" s="7"/>
      <c r="L109" s="8" t="s">
        <v>1</v>
      </c>
      <c r="M109" s="9"/>
      <c r="N109" s="24"/>
      <c r="O109" s="11"/>
    </row>
    <row r="110" spans="1:15" ht="12.9" customHeight="1" x14ac:dyDescent="0.25">
      <c r="A110" s="22" t="s">
        <v>538</v>
      </c>
      <c r="B110" s="16" t="s">
        <v>124</v>
      </c>
      <c r="C110" s="17">
        <v>200</v>
      </c>
      <c r="D110" s="18" t="s">
        <v>36</v>
      </c>
      <c r="E110" s="3"/>
      <c r="F110" s="158"/>
      <c r="G110" s="157">
        <f>C110*F110</f>
        <v>0</v>
      </c>
      <c r="J110" s="7"/>
      <c r="L110" s="8"/>
      <c r="M110" s="9" t="s">
        <v>1</v>
      </c>
      <c r="N110" s="24" t="s">
        <v>1</v>
      </c>
      <c r="O110" s="11" t="s">
        <v>1</v>
      </c>
    </row>
    <row r="111" spans="1:15" ht="12.9" customHeight="1" x14ac:dyDescent="0.25">
      <c r="A111" s="22"/>
      <c r="B111" s="16"/>
      <c r="C111" s="13"/>
      <c r="D111" s="14"/>
      <c r="E111" s="103"/>
      <c r="F111" s="158"/>
      <c r="G111" s="162"/>
      <c r="J111" s="7"/>
      <c r="L111" s="8" t="s">
        <v>1</v>
      </c>
      <c r="M111" s="9"/>
      <c r="N111" s="24"/>
      <c r="O111" s="11"/>
    </row>
    <row r="112" spans="1:15" ht="12.9" customHeight="1" x14ac:dyDescent="0.25">
      <c r="A112" s="22" t="s">
        <v>539</v>
      </c>
      <c r="B112" s="16" t="s">
        <v>126</v>
      </c>
      <c r="C112" s="17">
        <v>200</v>
      </c>
      <c r="D112" s="18" t="s">
        <v>36</v>
      </c>
      <c r="E112" s="3"/>
      <c r="F112" s="158"/>
      <c r="G112" s="157">
        <f>C112*F112</f>
        <v>0</v>
      </c>
      <c r="J112" s="7"/>
      <c r="L112" s="8"/>
      <c r="M112" s="9" t="s">
        <v>1</v>
      </c>
      <c r="N112" s="24" t="s">
        <v>1</v>
      </c>
      <c r="O112" s="11"/>
    </row>
    <row r="113" spans="1:15" ht="12.9" customHeight="1" x14ac:dyDescent="0.25">
      <c r="A113" s="22"/>
      <c r="B113" s="16"/>
      <c r="C113" s="13"/>
      <c r="D113" s="14"/>
      <c r="E113" s="103"/>
      <c r="F113" s="158"/>
      <c r="G113" s="162"/>
      <c r="J113" s="7"/>
      <c r="L113" s="8" t="s">
        <v>1</v>
      </c>
      <c r="M113" s="9"/>
      <c r="N113" s="24"/>
      <c r="O113" s="11"/>
    </row>
    <row r="114" spans="1:15" ht="12.9" customHeight="1" x14ac:dyDescent="0.25">
      <c r="A114" s="22" t="s">
        <v>540</v>
      </c>
      <c r="B114" s="16" t="s">
        <v>128</v>
      </c>
      <c r="C114" s="17">
        <v>200</v>
      </c>
      <c r="D114" s="18" t="s">
        <v>36</v>
      </c>
      <c r="E114" s="3"/>
      <c r="F114" s="158"/>
      <c r="G114" s="157">
        <f>C114*F114</f>
        <v>0</v>
      </c>
      <c r="J114" s="7"/>
      <c r="L114" s="8"/>
      <c r="M114" s="9" t="s">
        <v>1</v>
      </c>
      <c r="N114" s="24" t="s">
        <v>1</v>
      </c>
      <c r="O114" s="11"/>
    </row>
    <row r="115" spans="1:15" ht="12.9" customHeight="1" x14ac:dyDescent="0.25">
      <c r="A115" s="22"/>
      <c r="B115" s="16"/>
      <c r="C115" s="13"/>
      <c r="D115" s="14"/>
      <c r="E115" s="103"/>
      <c r="F115" s="158"/>
      <c r="G115" s="162"/>
      <c r="J115" s="7"/>
      <c r="L115" s="8" t="s">
        <v>1</v>
      </c>
      <c r="M115" s="9"/>
      <c r="N115" s="24"/>
      <c r="O115" s="11"/>
    </row>
    <row r="116" spans="1:15" ht="12.9" customHeight="1" x14ac:dyDescent="0.25">
      <c r="A116" s="22" t="s">
        <v>541</v>
      </c>
      <c r="B116" s="16" t="s">
        <v>130</v>
      </c>
      <c r="C116" s="17">
        <v>200</v>
      </c>
      <c r="D116" s="18" t="s">
        <v>36</v>
      </c>
      <c r="E116" s="3"/>
      <c r="F116" s="158"/>
      <c r="G116" s="157">
        <f>C116*F116</f>
        <v>0</v>
      </c>
      <c r="J116" s="7"/>
      <c r="L116" s="8"/>
      <c r="M116" s="9" t="s">
        <v>1</v>
      </c>
      <c r="N116" s="24" t="s">
        <v>1</v>
      </c>
      <c r="O116" s="11"/>
    </row>
    <row r="117" spans="1:15" ht="12.9" customHeight="1" x14ac:dyDescent="0.25">
      <c r="A117" s="22"/>
      <c r="B117" s="16"/>
      <c r="C117" s="13"/>
      <c r="D117" s="14"/>
      <c r="E117" s="103"/>
      <c r="F117" s="158"/>
      <c r="G117" s="162"/>
      <c r="J117" s="7"/>
      <c r="L117" s="8" t="s">
        <v>1</v>
      </c>
      <c r="M117" s="9"/>
      <c r="N117" s="24"/>
      <c r="O117" s="110"/>
    </row>
    <row r="118" spans="1:15" ht="12.9" customHeight="1" x14ac:dyDescent="0.25">
      <c r="A118" s="22" t="s">
        <v>542</v>
      </c>
      <c r="B118" s="16" t="s">
        <v>132</v>
      </c>
      <c r="C118" s="17">
        <v>200</v>
      </c>
      <c r="D118" s="18" t="s">
        <v>36</v>
      </c>
      <c r="E118" s="3"/>
      <c r="F118" s="158"/>
      <c r="G118" s="157">
        <f>C118*F118</f>
        <v>0</v>
      </c>
      <c r="J118" s="7"/>
      <c r="L118" s="8"/>
      <c r="M118" s="9" t="s">
        <v>1</v>
      </c>
      <c r="N118" s="24" t="s">
        <v>1</v>
      </c>
      <c r="O118" s="11"/>
    </row>
    <row r="119" spans="1:15" ht="12.9" customHeight="1" x14ac:dyDescent="0.25">
      <c r="A119" s="22"/>
      <c r="B119" s="16"/>
      <c r="C119" s="13"/>
      <c r="D119" s="14"/>
      <c r="E119" s="103"/>
      <c r="F119" s="158"/>
      <c r="G119" s="162"/>
      <c r="J119" s="7"/>
      <c r="L119" s="8" t="s">
        <v>1</v>
      </c>
      <c r="M119" s="9"/>
      <c r="N119" s="24"/>
      <c r="O119" s="11"/>
    </row>
    <row r="120" spans="1:15" ht="12.9" customHeight="1" x14ac:dyDescent="0.25">
      <c r="A120" s="22" t="s">
        <v>543</v>
      </c>
      <c r="B120" s="16" t="s">
        <v>134</v>
      </c>
      <c r="C120" s="17">
        <v>200</v>
      </c>
      <c r="D120" s="18" t="s">
        <v>36</v>
      </c>
      <c r="E120" s="3"/>
      <c r="F120" s="158"/>
      <c r="G120" s="157">
        <f>C120*F120</f>
        <v>0</v>
      </c>
      <c r="J120" s="7"/>
      <c r="L120" s="8"/>
      <c r="M120" s="9" t="s">
        <v>1</v>
      </c>
      <c r="N120" s="24" t="s">
        <v>1</v>
      </c>
      <c r="O120" s="11"/>
    </row>
    <row r="121" spans="1:15" ht="12.9" customHeight="1" x14ac:dyDescent="0.25">
      <c r="A121" s="22"/>
      <c r="B121" s="16"/>
      <c r="C121" s="13"/>
      <c r="D121" s="14"/>
      <c r="E121" s="103"/>
      <c r="F121" s="158"/>
      <c r="G121" s="162"/>
      <c r="J121" s="7"/>
      <c r="L121" s="8" t="s">
        <v>1</v>
      </c>
      <c r="M121" s="9"/>
      <c r="N121" s="24"/>
      <c r="O121" s="11"/>
    </row>
    <row r="122" spans="1:15" ht="12.9" customHeight="1" x14ac:dyDescent="0.25">
      <c r="A122" s="22" t="s">
        <v>544</v>
      </c>
      <c r="B122" s="16" t="s">
        <v>136</v>
      </c>
      <c r="C122" s="17">
        <v>200</v>
      </c>
      <c r="D122" s="18" t="s">
        <v>36</v>
      </c>
      <c r="E122" s="3"/>
      <c r="F122" s="158"/>
      <c r="G122" s="157">
        <f>C122*F122</f>
        <v>0</v>
      </c>
      <c r="J122" s="7"/>
      <c r="L122" s="8"/>
      <c r="M122" s="9" t="s">
        <v>1</v>
      </c>
      <c r="N122" s="24" t="s">
        <v>0</v>
      </c>
      <c r="O122" s="11"/>
    </row>
    <row r="123" spans="1:15" ht="12.9" customHeight="1" x14ac:dyDescent="0.25">
      <c r="A123" s="22"/>
      <c r="B123" s="16"/>
      <c r="C123" s="13"/>
      <c r="D123" s="14"/>
      <c r="E123" s="103"/>
      <c r="F123" s="158"/>
      <c r="G123" s="162"/>
      <c r="J123" s="7"/>
      <c r="L123" s="8" t="s">
        <v>1</v>
      </c>
      <c r="M123" s="9"/>
      <c r="N123" s="24"/>
      <c r="O123" s="11"/>
    </row>
    <row r="124" spans="1:15" ht="12.9" customHeight="1" x14ac:dyDescent="0.25">
      <c r="A124" s="22" t="s">
        <v>545</v>
      </c>
      <c r="B124" s="16" t="s">
        <v>138</v>
      </c>
      <c r="C124" s="17">
        <v>64</v>
      </c>
      <c r="D124" s="18" t="s">
        <v>36</v>
      </c>
      <c r="E124" s="3"/>
      <c r="F124" s="158"/>
      <c r="G124" s="157">
        <f>C124*F124</f>
        <v>0</v>
      </c>
      <c r="J124" s="7"/>
      <c r="L124" s="8"/>
      <c r="M124" s="9" t="s">
        <v>1</v>
      </c>
      <c r="N124" s="24" t="s">
        <v>1</v>
      </c>
      <c r="O124" s="11"/>
    </row>
    <row r="125" spans="1:15" ht="12.9" customHeight="1" x14ac:dyDescent="0.25">
      <c r="A125" s="22"/>
      <c r="B125" s="16"/>
      <c r="C125" s="13"/>
      <c r="D125" s="14"/>
      <c r="E125" s="103"/>
      <c r="F125" s="158"/>
      <c r="G125" s="162"/>
      <c r="J125" s="7"/>
      <c r="L125" s="8" t="s">
        <v>1</v>
      </c>
      <c r="M125" s="9"/>
      <c r="N125" s="24"/>
      <c r="O125" s="11"/>
    </row>
    <row r="126" spans="1:15" ht="12.9" customHeight="1" x14ac:dyDescent="0.25">
      <c r="A126" s="22" t="s">
        <v>546</v>
      </c>
      <c r="B126" s="16" t="s">
        <v>140</v>
      </c>
      <c r="C126" s="17">
        <v>30</v>
      </c>
      <c r="D126" s="18" t="s">
        <v>36</v>
      </c>
      <c r="E126" s="3"/>
      <c r="F126" s="158"/>
      <c r="G126" s="157">
        <f>C126*F126</f>
        <v>0</v>
      </c>
      <c r="J126" s="7"/>
      <c r="L126" s="8"/>
      <c r="M126" s="9" t="s">
        <v>1</v>
      </c>
      <c r="N126" s="24" t="s">
        <v>1</v>
      </c>
      <c r="O126" s="11"/>
    </row>
    <row r="127" spans="1:15" ht="12.9" customHeight="1" x14ac:dyDescent="0.25">
      <c r="A127" s="22"/>
      <c r="B127" s="16"/>
      <c r="C127" s="13"/>
      <c r="D127" s="14"/>
      <c r="E127" s="103"/>
      <c r="F127" s="158"/>
      <c r="G127" s="162"/>
      <c r="J127" s="7"/>
      <c r="L127" s="8" t="s">
        <v>1</v>
      </c>
      <c r="M127" s="9"/>
      <c r="N127" s="24"/>
      <c r="O127" s="11"/>
    </row>
    <row r="128" spans="1:15" ht="12.9" customHeight="1" x14ac:dyDescent="0.25">
      <c r="A128" s="22" t="s">
        <v>547</v>
      </c>
      <c r="B128" s="16" t="s">
        <v>142</v>
      </c>
      <c r="C128" s="17">
        <v>90</v>
      </c>
      <c r="D128" s="18" t="s">
        <v>36</v>
      </c>
      <c r="E128" s="3"/>
      <c r="F128" s="158"/>
      <c r="G128" s="157">
        <f>C128*F128</f>
        <v>0</v>
      </c>
      <c r="J128" s="7"/>
      <c r="L128" s="8"/>
      <c r="M128" s="9" t="s">
        <v>1</v>
      </c>
      <c r="N128" s="24" t="s">
        <v>1</v>
      </c>
      <c r="O128" s="11"/>
    </row>
    <row r="129" spans="1:15" ht="12.9" customHeight="1" x14ac:dyDescent="0.25">
      <c r="A129" s="22"/>
      <c r="B129" s="16"/>
      <c r="C129" s="13"/>
      <c r="D129" s="14"/>
      <c r="E129" s="103"/>
      <c r="F129" s="158"/>
      <c r="G129" s="162"/>
      <c r="J129" s="7"/>
      <c r="L129" s="8" t="s">
        <v>1</v>
      </c>
      <c r="M129" s="9"/>
      <c r="N129" s="24"/>
      <c r="O129" s="11"/>
    </row>
    <row r="130" spans="1:15" ht="12.9" customHeight="1" x14ac:dyDescent="0.25">
      <c r="A130" s="22" t="s">
        <v>548</v>
      </c>
      <c r="B130" s="16" t="s">
        <v>144</v>
      </c>
      <c r="C130" s="17">
        <v>400</v>
      </c>
      <c r="D130" s="18" t="s">
        <v>145</v>
      </c>
      <c r="E130" s="3"/>
      <c r="F130" s="158"/>
      <c r="G130" s="157">
        <f>C130*F130</f>
        <v>0</v>
      </c>
      <c r="J130" s="7"/>
      <c r="L130" s="8"/>
      <c r="M130" s="9" t="s">
        <v>1</v>
      </c>
      <c r="N130" s="24" t="s">
        <v>1</v>
      </c>
      <c r="O130" s="11"/>
    </row>
    <row r="131" spans="1:15" ht="12.9" customHeight="1" x14ac:dyDescent="0.25">
      <c r="A131" s="22"/>
      <c r="B131" s="16"/>
      <c r="C131" s="13"/>
      <c r="D131" s="14"/>
      <c r="E131" s="103"/>
      <c r="F131" s="158"/>
      <c r="G131" s="162"/>
      <c r="J131" s="7"/>
      <c r="L131" s="8" t="s">
        <v>1</v>
      </c>
      <c r="M131" s="9"/>
      <c r="N131" s="24"/>
      <c r="O131" s="11"/>
    </row>
    <row r="132" spans="1:15" ht="12.9" customHeight="1" x14ac:dyDescent="0.25">
      <c r="A132" s="22" t="s">
        <v>549</v>
      </c>
      <c r="B132" s="16" t="s">
        <v>147</v>
      </c>
      <c r="C132" s="17">
        <v>100</v>
      </c>
      <c r="D132" s="18" t="s">
        <v>145</v>
      </c>
      <c r="E132" s="3"/>
      <c r="F132" s="158"/>
      <c r="G132" s="157">
        <f>C132*F132</f>
        <v>0</v>
      </c>
      <c r="J132" s="7"/>
      <c r="L132" s="8"/>
      <c r="M132" s="9" t="s">
        <v>1</v>
      </c>
      <c r="N132" s="24" t="s">
        <v>1</v>
      </c>
      <c r="O132" s="11"/>
    </row>
    <row r="133" spans="1:15" ht="12.9" customHeight="1" x14ac:dyDescent="0.25">
      <c r="A133" s="22"/>
      <c r="B133" s="16"/>
      <c r="C133" s="13"/>
      <c r="D133" s="14"/>
      <c r="E133" s="103"/>
      <c r="F133" s="158"/>
      <c r="G133" s="162"/>
      <c r="J133" s="7"/>
      <c r="L133" s="8"/>
      <c r="M133" s="9" t="s">
        <v>1</v>
      </c>
      <c r="N133" s="24" t="s">
        <v>1</v>
      </c>
      <c r="O133" s="11"/>
    </row>
    <row r="134" spans="1:15" ht="12.9" customHeight="1" x14ac:dyDescent="0.25">
      <c r="A134" s="22" t="s">
        <v>550</v>
      </c>
      <c r="B134" s="16" t="s">
        <v>149</v>
      </c>
      <c r="C134" s="17">
        <v>1000</v>
      </c>
      <c r="D134" s="18" t="s">
        <v>102</v>
      </c>
      <c r="E134" s="3"/>
      <c r="F134" s="158"/>
      <c r="G134" s="157">
        <f>C134*F134</f>
        <v>0</v>
      </c>
      <c r="J134" s="7"/>
      <c r="L134" s="23" t="s">
        <v>1</v>
      </c>
      <c r="M134" s="9"/>
      <c r="N134" s="24"/>
      <c r="O134" s="11"/>
    </row>
    <row r="135" spans="1:15" ht="12.9" customHeight="1" x14ac:dyDescent="0.25">
      <c r="A135" s="22"/>
      <c r="B135" s="16"/>
      <c r="C135" s="13"/>
      <c r="D135" s="14"/>
      <c r="E135" s="103"/>
      <c r="F135" s="158"/>
      <c r="G135" s="162"/>
      <c r="J135" s="7"/>
      <c r="L135" s="8"/>
      <c r="M135" s="136" t="s">
        <v>1</v>
      </c>
      <c r="N135" s="20"/>
      <c r="O135" s="111"/>
    </row>
    <row r="136" spans="1:15" ht="12.9" customHeight="1" x14ac:dyDescent="0.25">
      <c r="A136" s="22" t="s">
        <v>551</v>
      </c>
      <c r="B136" s="16" t="s">
        <v>151</v>
      </c>
      <c r="C136" s="17">
        <v>2000</v>
      </c>
      <c r="D136" s="18" t="s">
        <v>102</v>
      </c>
      <c r="E136" s="3"/>
      <c r="F136" s="158"/>
      <c r="G136" s="157">
        <f>C136*F136</f>
        <v>0</v>
      </c>
      <c r="J136" s="7"/>
      <c r="L136" s="8" t="s">
        <v>1</v>
      </c>
      <c r="M136" s="9"/>
      <c r="N136" s="24"/>
      <c r="O136" s="111"/>
    </row>
    <row r="137" spans="1:15" x14ac:dyDescent="0.25">
      <c r="A137" s="22"/>
      <c r="B137" s="16"/>
      <c r="C137" s="13"/>
      <c r="D137" s="14"/>
      <c r="E137" s="103"/>
      <c r="F137" s="158"/>
      <c r="G137" s="162"/>
      <c r="J137" s="7"/>
      <c r="L137" s="8"/>
      <c r="M137" s="9" t="s">
        <v>1</v>
      </c>
      <c r="N137" s="24" t="s">
        <v>1</v>
      </c>
      <c r="O137" s="11"/>
    </row>
    <row r="138" spans="1:15" ht="12.75" customHeight="1" x14ac:dyDescent="0.25">
      <c r="A138" s="22" t="s">
        <v>552</v>
      </c>
      <c r="B138" s="16" t="s">
        <v>153</v>
      </c>
      <c r="C138" s="17">
        <v>19000</v>
      </c>
      <c r="D138" s="18" t="s">
        <v>102</v>
      </c>
      <c r="E138" s="3"/>
      <c r="F138" s="158"/>
      <c r="G138" s="157">
        <f>C138*F138</f>
        <v>0</v>
      </c>
      <c r="J138" s="7"/>
      <c r="L138" s="8" t="s">
        <v>1</v>
      </c>
      <c r="M138" s="9"/>
      <c r="N138" s="24"/>
      <c r="O138" s="11"/>
    </row>
    <row r="139" spans="1:15" x14ac:dyDescent="0.25">
      <c r="A139" s="22"/>
      <c r="B139" s="16"/>
      <c r="C139" s="17"/>
      <c r="D139" s="18"/>
      <c r="E139" s="3"/>
      <c r="F139" s="158"/>
      <c r="G139" s="163"/>
      <c r="J139" s="7"/>
      <c r="L139" s="8"/>
      <c r="M139" s="9" t="s">
        <v>1</v>
      </c>
      <c r="N139" s="24" t="s">
        <v>1</v>
      </c>
      <c r="O139" s="11"/>
    </row>
    <row r="140" spans="1:15" ht="12.75" customHeight="1" x14ac:dyDescent="0.25">
      <c r="A140" s="22" t="s">
        <v>553</v>
      </c>
      <c r="B140" s="4" t="s">
        <v>155</v>
      </c>
      <c r="C140" s="26">
        <v>500</v>
      </c>
      <c r="D140" s="18" t="s">
        <v>36</v>
      </c>
      <c r="E140" s="3"/>
      <c r="F140" s="158"/>
      <c r="G140" s="157">
        <f>C140*F140</f>
        <v>0</v>
      </c>
      <c r="J140" s="7"/>
      <c r="L140" s="8" t="s">
        <v>1</v>
      </c>
      <c r="M140" s="9"/>
      <c r="N140" s="24"/>
      <c r="O140" s="11"/>
    </row>
    <row r="141" spans="1:15" x14ac:dyDescent="0.25">
      <c r="A141" s="22"/>
      <c r="B141" s="13"/>
      <c r="C141" s="13"/>
      <c r="D141" s="14"/>
      <c r="E141" s="103"/>
      <c r="F141" s="158"/>
      <c r="G141" s="162"/>
      <c r="J141" s="7"/>
      <c r="L141" s="8"/>
      <c r="M141" s="9" t="s">
        <v>1</v>
      </c>
      <c r="N141" s="24" t="s">
        <v>1</v>
      </c>
      <c r="O141" s="11"/>
    </row>
    <row r="142" spans="1:15" ht="12.75" customHeight="1" x14ac:dyDescent="0.25">
      <c r="A142" s="135" t="s">
        <v>554</v>
      </c>
      <c r="B142" s="137" t="s">
        <v>157</v>
      </c>
      <c r="C142" s="13"/>
      <c r="D142" s="14"/>
      <c r="E142" s="103"/>
      <c r="F142" s="158"/>
      <c r="G142" s="162"/>
      <c r="J142" s="7"/>
      <c r="L142" s="8" t="s">
        <v>0</v>
      </c>
      <c r="M142" s="9"/>
      <c r="N142" s="24"/>
      <c r="O142" s="11"/>
    </row>
    <row r="143" spans="1:15" x14ac:dyDescent="0.25">
      <c r="A143" s="22"/>
      <c r="B143" s="13"/>
      <c r="C143" s="13"/>
      <c r="D143" s="14"/>
      <c r="E143" s="103"/>
      <c r="F143" s="158"/>
      <c r="G143" s="162"/>
      <c r="J143" s="7"/>
      <c r="L143" s="8"/>
      <c r="M143" s="9" t="s">
        <v>1</v>
      </c>
      <c r="N143" s="24" t="s">
        <v>1</v>
      </c>
      <c r="O143" s="110"/>
    </row>
    <row r="144" spans="1:15" ht="12.75" customHeight="1" x14ac:dyDescent="0.25">
      <c r="A144" s="22" t="s">
        <v>555</v>
      </c>
      <c r="B144" s="16" t="s">
        <v>159</v>
      </c>
      <c r="C144" s="17">
        <v>50000</v>
      </c>
      <c r="D144" s="18" t="s">
        <v>46</v>
      </c>
      <c r="E144" s="3"/>
      <c r="F144" s="158"/>
      <c r="G144" s="157">
        <f>C144*F144</f>
        <v>0</v>
      </c>
      <c r="J144" s="7"/>
      <c r="L144" s="8" t="s">
        <v>1</v>
      </c>
      <c r="M144" s="9"/>
      <c r="N144" s="24"/>
      <c r="O144" s="11"/>
    </row>
    <row r="145" spans="1:15" x14ac:dyDescent="0.25">
      <c r="A145" s="22"/>
      <c r="B145" s="16"/>
      <c r="C145" s="13"/>
      <c r="D145" s="14"/>
      <c r="E145" s="103"/>
      <c r="F145" s="158"/>
      <c r="G145" s="162"/>
      <c r="J145" s="7"/>
      <c r="L145" s="8"/>
      <c r="M145" s="9" t="s">
        <v>1</v>
      </c>
      <c r="N145" s="24" t="s">
        <v>1</v>
      </c>
      <c r="O145" s="11"/>
    </row>
    <row r="146" spans="1:15" ht="12.75" customHeight="1" x14ac:dyDescent="0.25">
      <c r="A146" s="22" t="s">
        <v>556</v>
      </c>
      <c r="B146" s="16" t="s">
        <v>161</v>
      </c>
      <c r="C146" s="17">
        <v>2600</v>
      </c>
      <c r="D146" s="18" t="s">
        <v>162</v>
      </c>
      <c r="E146" s="3"/>
      <c r="F146" s="158"/>
      <c r="G146" s="157">
        <f>C146*F146</f>
        <v>0</v>
      </c>
      <c r="J146" s="7"/>
      <c r="L146" s="8" t="s">
        <v>1</v>
      </c>
      <c r="M146" s="9"/>
      <c r="N146" s="24"/>
      <c r="O146" s="11"/>
    </row>
    <row r="147" spans="1:15" x14ac:dyDescent="0.25">
      <c r="A147" s="22"/>
      <c r="B147" s="16"/>
      <c r="C147" s="13"/>
      <c r="D147" s="14"/>
      <c r="E147" s="103"/>
      <c r="F147" s="158"/>
      <c r="G147" s="162"/>
      <c r="J147" s="7"/>
      <c r="L147" s="8"/>
      <c r="M147" s="9" t="s">
        <v>1</v>
      </c>
      <c r="N147" s="24" t="s">
        <v>1</v>
      </c>
      <c r="O147" s="11"/>
    </row>
    <row r="148" spans="1:15" ht="12.75" customHeight="1" x14ac:dyDescent="0.25">
      <c r="A148" s="22" t="s">
        <v>557</v>
      </c>
      <c r="B148" s="16" t="s">
        <v>164</v>
      </c>
      <c r="C148" s="17">
        <v>2500</v>
      </c>
      <c r="D148" s="14" t="s">
        <v>46</v>
      </c>
      <c r="E148" s="3"/>
      <c r="F148" s="158"/>
      <c r="G148" s="157">
        <f>C148*F148</f>
        <v>0</v>
      </c>
      <c r="J148" s="7"/>
      <c r="L148" s="8" t="s">
        <v>1</v>
      </c>
      <c r="M148" s="9"/>
      <c r="N148" s="24"/>
      <c r="O148" s="11"/>
    </row>
    <row r="149" spans="1:15" x14ac:dyDescent="0.25">
      <c r="A149" s="22"/>
      <c r="B149" s="16"/>
      <c r="C149" s="13"/>
      <c r="D149" s="18"/>
      <c r="E149" s="103"/>
      <c r="F149" s="158"/>
      <c r="G149" s="162"/>
      <c r="J149" s="7"/>
      <c r="L149" s="8"/>
      <c r="M149" s="9" t="s">
        <v>1</v>
      </c>
      <c r="N149" s="24" t="s">
        <v>1</v>
      </c>
      <c r="O149" s="11"/>
    </row>
    <row r="150" spans="1:15" ht="12.9" customHeight="1" x14ac:dyDescent="0.25">
      <c r="A150" s="22" t="s">
        <v>558</v>
      </c>
      <c r="B150" s="16" t="s">
        <v>166</v>
      </c>
      <c r="C150" s="17">
        <v>25500</v>
      </c>
      <c r="D150" s="18" t="s">
        <v>46</v>
      </c>
      <c r="E150" s="3"/>
      <c r="F150" s="158"/>
      <c r="G150" s="157">
        <f>C150*F150</f>
        <v>0</v>
      </c>
      <c r="J150" s="7"/>
      <c r="L150" s="8" t="s">
        <v>1</v>
      </c>
      <c r="M150" s="9"/>
      <c r="N150" s="24"/>
      <c r="O150" s="11"/>
    </row>
    <row r="151" spans="1:15" x14ac:dyDescent="0.25">
      <c r="A151" s="22"/>
      <c r="B151" s="16"/>
      <c r="C151" s="13"/>
      <c r="D151" s="14"/>
      <c r="E151" s="103"/>
      <c r="F151" s="158"/>
      <c r="G151" s="162"/>
      <c r="J151" s="7"/>
      <c r="L151" s="8"/>
      <c r="M151" s="9" t="s">
        <v>1</v>
      </c>
      <c r="N151" s="24" t="s">
        <v>1</v>
      </c>
      <c r="O151" s="11"/>
    </row>
    <row r="152" spans="1:15" ht="12.75" customHeight="1" x14ac:dyDescent="0.25">
      <c r="A152" s="22" t="s">
        <v>559</v>
      </c>
      <c r="B152" s="16" t="s">
        <v>168</v>
      </c>
      <c r="C152" s="17">
        <v>76000</v>
      </c>
      <c r="D152" s="18" t="s">
        <v>46</v>
      </c>
      <c r="E152" s="3"/>
      <c r="F152" s="158"/>
      <c r="G152" s="157">
        <f>C152*F152</f>
        <v>0</v>
      </c>
      <c r="J152" s="7"/>
      <c r="L152" s="8" t="s">
        <v>1</v>
      </c>
      <c r="M152" s="9"/>
      <c r="N152" s="24"/>
      <c r="O152" s="11"/>
    </row>
    <row r="153" spans="1:15" x14ac:dyDescent="0.25">
      <c r="A153" s="22"/>
      <c r="B153" s="16"/>
      <c r="C153" s="13"/>
      <c r="D153" s="14"/>
      <c r="E153" s="103"/>
      <c r="F153" s="158"/>
      <c r="G153" s="162"/>
      <c r="J153" s="7"/>
      <c r="L153" s="8"/>
      <c r="M153" s="9" t="s">
        <v>1</v>
      </c>
      <c r="N153" s="24" t="s">
        <v>1</v>
      </c>
      <c r="O153" s="11"/>
    </row>
    <row r="154" spans="1:15" ht="12.75" customHeight="1" x14ac:dyDescent="0.25">
      <c r="A154" s="22" t="s">
        <v>560</v>
      </c>
      <c r="B154" s="16" t="s">
        <v>170</v>
      </c>
      <c r="C154" s="17">
        <v>76000</v>
      </c>
      <c r="D154" s="18" t="s">
        <v>46</v>
      </c>
      <c r="E154" s="3"/>
      <c r="F154" s="158"/>
      <c r="G154" s="157">
        <f>C154*F154</f>
        <v>0</v>
      </c>
      <c r="J154" s="7"/>
      <c r="L154" s="23"/>
      <c r="M154" s="9"/>
      <c r="N154" s="24"/>
      <c r="O154" s="11"/>
    </row>
    <row r="155" spans="1:15" x14ac:dyDescent="0.25">
      <c r="A155" s="22"/>
      <c r="B155" s="16"/>
      <c r="C155" s="13"/>
      <c r="D155" s="164"/>
      <c r="E155" s="103"/>
      <c r="F155" s="158"/>
      <c r="G155" s="162"/>
      <c r="J155" s="7"/>
      <c r="L155" s="23"/>
      <c r="M155" s="136"/>
      <c r="N155" s="20"/>
      <c r="O155" s="11"/>
    </row>
    <row r="156" spans="1:15" ht="12.75" customHeight="1" x14ac:dyDescent="0.25">
      <c r="A156" s="22" t="s">
        <v>561</v>
      </c>
      <c r="B156" s="16" t="s">
        <v>172</v>
      </c>
      <c r="C156" s="17">
        <v>135000</v>
      </c>
      <c r="D156" s="18" t="s">
        <v>46</v>
      </c>
      <c r="E156" s="3"/>
      <c r="F156" s="158"/>
      <c r="G156" s="157">
        <f>C156*F156</f>
        <v>0</v>
      </c>
      <c r="J156" s="7"/>
      <c r="L156" s="8"/>
      <c r="M156" s="136"/>
      <c r="N156" s="20"/>
      <c r="O156" s="11"/>
    </row>
    <row r="157" spans="1:15" x14ac:dyDescent="0.25">
      <c r="A157" s="22"/>
      <c r="B157" s="16"/>
      <c r="C157" s="13"/>
      <c r="D157" s="14"/>
      <c r="E157" s="103"/>
      <c r="F157" s="158"/>
      <c r="G157" s="162"/>
      <c r="J157" s="7"/>
      <c r="L157" s="8"/>
      <c r="M157" s="9"/>
      <c r="N157" s="24"/>
      <c r="O157" s="11"/>
    </row>
    <row r="158" spans="1:15" ht="12.75" customHeight="1" x14ac:dyDescent="0.25">
      <c r="A158" s="22" t="s">
        <v>562</v>
      </c>
      <c r="B158" s="16" t="s">
        <v>174</v>
      </c>
      <c r="C158" s="17">
        <v>26000</v>
      </c>
      <c r="D158" s="18" t="s">
        <v>46</v>
      </c>
      <c r="E158" s="3"/>
      <c r="F158" s="158"/>
      <c r="G158" s="157">
        <f>C158*F158</f>
        <v>0</v>
      </c>
      <c r="J158" s="7"/>
      <c r="L158" s="23"/>
      <c r="M158" s="9"/>
      <c r="N158" s="24"/>
      <c r="O158" s="11"/>
    </row>
    <row r="159" spans="1:15" x14ac:dyDescent="0.25">
      <c r="A159" s="22"/>
      <c r="B159" s="16"/>
      <c r="C159" s="13"/>
      <c r="D159" s="14"/>
      <c r="E159" s="103"/>
      <c r="F159" s="158"/>
      <c r="G159" s="157"/>
      <c r="J159" s="7"/>
      <c r="L159" s="23"/>
      <c r="M159" s="112"/>
      <c r="N159" s="20"/>
      <c r="O159" s="11"/>
    </row>
    <row r="160" spans="1:15" ht="12.75" customHeight="1" x14ac:dyDescent="0.25">
      <c r="A160" s="22" t="s">
        <v>563</v>
      </c>
      <c r="B160" s="16" t="s">
        <v>176</v>
      </c>
      <c r="C160" s="17">
        <v>9000</v>
      </c>
      <c r="D160" s="18" t="s">
        <v>46</v>
      </c>
      <c r="E160" s="3"/>
      <c r="F160" s="158"/>
      <c r="G160" s="157">
        <f>C160*F160</f>
        <v>0</v>
      </c>
      <c r="J160" s="7"/>
      <c r="L160" s="8"/>
      <c r="M160" s="15"/>
      <c r="N160" s="20"/>
      <c r="O160" s="11"/>
    </row>
    <row r="161" spans="1:15" x14ac:dyDescent="0.25">
      <c r="A161" s="22"/>
      <c r="B161" s="13"/>
      <c r="C161" s="13"/>
      <c r="D161" s="14"/>
      <c r="E161" s="103"/>
      <c r="F161" s="158"/>
      <c r="G161" s="162"/>
      <c r="J161" s="7"/>
      <c r="L161" s="8"/>
      <c r="M161" s="9"/>
      <c r="N161" s="24"/>
      <c r="O161" s="11"/>
    </row>
    <row r="162" spans="1:15" ht="12.75" customHeight="1" x14ac:dyDescent="0.25">
      <c r="A162" s="135" t="s">
        <v>564</v>
      </c>
      <c r="B162" s="137" t="s">
        <v>178</v>
      </c>
      <c r="C162" s="13"/>
      <c r="D162" s="14"/>
      <c r="E162" s="103"/>
      <c r="F162" s="158"/>
      <c r="G162" s="162"/>
      <c r="J162" s="7"/>
      <c r="L162" s="8"/>
      <c r="M162" s="86"/>
      <c r="N162" s="24"/>
      <c r="O162" s="11"/>
    </row>
    <row r="163" spans="1:15" x14ac:dyDescent="0.25">
      <c r="A163" s="22"/>
      <c r="B163" s="13"/>
      <c r="C163" s="13"/>
      <c r="D163" s="14"/>
      <c r="E163" s="103"/>
      <c r="F163" s="158"/>
      <c r="G163" s="162"/>
      <c r="J163" s="7"/>
      <c r="L163" s="8"/>
      <c r="M163" s="15"/>
      <c r="N163" s="24"/>
      <c r="O163" s="11"/>
    </row>
    <row r="164" spans="1:15" ht="12.75" customHeight="1" x14ac:dyDescent="0.25">
      <c r="A164" s="22" t="s">
        <v>565</v>
      </c>
      <c r="B164" s="4" t="s">
        <v>180</v>
      </c>
      <c r="C164" s="17">
        <v>400</v>
      </c>
      <c r="D164" s="18" t="s">
        <v>24</v>
      </c>
      <c r="E164" s="3"/>
      <c r="F164" s="158"/>
      <c r="G164" s="157">
        <f>C164*F164</f>
        <v>0</v>
      </c>
      <c r="J164" s="7"/>
      <c r="L164" s="8"/>
      <c r="M164" s="86"/>
      <c r="N164" s="24"/>
      <c r="O164" s="11"/>
    </row>
    <row r="165" spans="1:15" x14ac:dyDescent="0.25">
      <c r="A165" s="22"/>
      <c r="B165" s="137"/>
      <c r="C165" s="13"/>
      <c r="D165" s="14"/>
      <c r="E165" s="103"/>
      <c r="F165" s="158"/>
      <c r="G165" s="162"/>
      <c r="J165" s="7"/>
      <c r="L165" s="8"/>
      <c r="M165" s="9"/>
      <c r="N165" s="24"/>
      <c r="O165" s="11"/>
    </row>
    <row r="166" spans="1:15" ht="12.75" customHeight="1" x14ac:dyDescent="0.25">
      <c r="A166" s="22" t="s">
        <v>566</v>
      </c>
      <c r="B166" s="4" t="s">
        <v>182</v>
      </c>
      <c r="C166" s="17">
        <v>400</v>
      </c>
      <c r="D166" s="18" t="s">
        <v>24</v>
      </c>
      <c r="E166" s="3"/>
      <c r="F166" s="158"/>
      <c r="G166" s="157">
        <f>C166*F166</f>
        <v>0</v>
      </c>
      <c r="J166" s="7"/>
      <c r="L166" s="8"/>
      <c r="M166" s="9"/>
      <c r="N166" s="24"/>
      <c r="O166" s="11"/>
    </row>
    <row r="167" spans="1:15" x14ac:dyDescent="0.25">
      <c r="A167" s="22"/>
      <c r="B167" s="108"/>
      <c r="C167" s="13"/>
      <c r="D167" s="14"/>
      <c r="E167" s="103"/>
      <c r="F167" s="158"/>
      <c r="G167" s="162"/>
      <c r="J167" s="7"/>
      <c r="L167" s="8"/>
      <c r="M167" s="112"/>
      <c r="N167" s="24"/>
      <c r="O167" s="11"/>
    </row>
    <row r="168" spans="1:15" x14ac:dyDescent="0.25">
      <c r="A168" s="3" t="s">
        <v>567</v>
      </c>
      <c r="B168" s="4" t="s">
        <v>184</v>
      </c>
      <c r="C168" s="17">
        <v>400</v>
      </c>
      <c r="D168" s="18" t="s">
        <v>24</v>
      </c>
      <c r="E168" s="3"/>
      <c r="F168" s="158"/>
      <c r="G168" s="157">
        <f>C168*F168</f>
        <v>0</v>
      </c>
      <c r="J168" s="7"/>
      <c r="L168" s="8"/>
      <c r="M168" s="112"/>
      <c r="N168" s="24"/>
      <c r="O168" s="11"/>
    </row>
    <row r="169" spans="1:15" x14ac:dyDescent="0.25">
      <c r="A169" s="22"/>
      <c r="B169" s="108"/>
      <c r="C169" s="13"/>
      <c r="D169" s="14"/>
      <c r="E169" s="103"/>
      <c r="F169" s="158"/>
      <c r="G169" s="162"/>
      <c r="J169" s="7"/>
      <c r="L169" s="8"/>
      <c r="M169" s="112"/>
      <c r="N169" s="24"/>
      <c r="O169" s="11"/>
    </row>
    <row r="170" spans="1:15" ht="26.4" x14ac:dyDescent="0.25">
      <c r="A170" s="3" t="s">
        <v>919</v>
      </c>
      <c r="B170" s="4" t="s">
        <v>186</v>
      </c>
      <c r="C170" s="17">
        <v>400</v>
      </c>
      <c r="D170" s="3" t="s">
        <v>24</v>
      </c>
      <c r="E170" s="129"/>
      <c r="F170" s="158"/>
      <c r="G170" s="157">
        <f>C170*F170</f>
        <v>0</v>
      </c>
      <c r="J170" s="7"/>
      <c r="L170" s="8"/>
      <c r="M170" s="112"/>
      <c r="N170" s="24"/>
      <c r="O170" s="11"/>
    </row>
    <row r="171" spans="1:15" x14ac:dyDescent="0.25">
      <c r="A171" s="22"/>
      <c r="B171" s="108"/>
      <c r="C171" s="13"/>
      <c r="D171" s="14"/>
      <c r="E171" s="103"/>
      <c r="F171" s="158"/>
      <c r="G171" s="162"/>
      <c r="J171" s="7"/>
      <c r="L171" s="8"/>
      <c r="M171" s="112"/>
      <c r="N171" s="24"/>
      <c r="O171" s="11"/>
    </row>
    <row r="172" spans="1:15" ht="12.75" customHeight="1" x14ac:dyDescent="0.25">
      <c r="A172" s="22" t="s">
        <v>920</v>
      </c>
      <c r="B172" s="16" t="s">
        <v>187</v>
      </c>
      <c r="C172" s="17">
        <v>3000</v>
      </c>
      <c r="D172" s="18" t="s">
        <v>162</v>
      </c>
      <c r="E172" s="3"/>
      <c r="F172" s="158"/>
      <c r="G172" s="157">
        <f>C172*F172</f>
        <v>0</v>
      </c>
      <c r="J172" s="7"/>
      <c r="L172" s="8"/>
      <c r="M172" s="9"/>
      <c r="N172" s="24"/>
      <c r="O172" s="11"/>
    </row>
    <row r="173" spans="1:15" x14ac:dyDescent="0.25">
      <c r="A173" s="22"/>
      <c r="B173" s="16"/>
      <c r="C173" s="13"/>
      <c r="D173" s="14"/>
      <c r="E173" s="103"/>
      <c r="F173" s="158"/>
      <c r="G173" s="162"/>
      <c r="J173" s="7"/>
      <c r="L173" s="8"/>
      <c r="M173" s="9"/>
      <c r="N173" s="24"/>
      <c r="O173" s="11"/>
    </row>
    <row r="174" spans="1:15" ht="12.75" customHeight="1" x14ac:dyDescent="0.25">
      <c r="A174" s="22" t="s">
        <v>921</v>
      </c>
      <c r="B174" s="16" t="s">
        <v>188</v>
      </c>
      <c r="C174" s="17">
        <v>60000</v>
      </c>
      <c r="D174" s="18" t="s">
        <v>162</v>
      </c>
      <c r="E174" s="3"/>
      <c r="F174" s="158"/>
      <c r="G174" s="157">
        <f>C174*F174</f>
        <v>0</v>
      </c>
      <c r="J174" s="7"/>
      <c r="L174" s="8"/>
      <c r="M174" s="9"/>
      <c r="N174" s="24"/>
      <c r="O174" s="11"/>
    </row>
    <row r="175" spans="1:15" x14ac:dyDescent="0.25">
      <c r="A175" s="22"/>
      <c r="B175" s="16"/>
      <c r="C175" s="13"/>
      <c r="D175" s="14"/>
      <c r="E175" s="103"/>
      <c r="F175" s="158"/>
      <c r="G175" s="162"/>
      <c r="J175" s="7"/>
      <c r="L175" s="8"/>
      <c r="M175" s="9"/>
      <c r="N175" s="24"/>
      <c r="O175" s="11"/>
    </row>
    <row r="176" spans="1:15" ht="12.75" customHeight="1" x14ac:dyDescent="0.25">
      <c r="A176" s="22" t="s">
        <v>922</v>
      </c>
      <c r="B176" s="16" t="s">
        <v>190</v>
      </c>
      <c r="C176" s="17">
        <v>10</v>
      </c>
      <c r="D176" s="18" t="s">
        <v>24</v>
      </c>
      <c r="E176" s="3"/>
      <c r="F176" s="158"/>
      <c r="G176" s="157">
        <f>C176*F176</f>
        <v>0</v>
      </c>
      <c r="J176" s="7"/>
      <c r="L176" s="8"/>
      <c r="M176" s="9"/>
      <c r="N176" s="24"/>
      <c r="O176" s="11"/>
    </row>
    <row r="177" spans="1:15" x14ac:dyDescent="0.25">
      <c r="A177" s="22"/>
      <c r="B177" s="13"/>
      <c r="C177" s="13"/>
      <c r="D177" s="14"/>
      <c r="E177" s="103"/>
      <c r="F177" s="158"/>
      <c r="G177" s="162"/>
      <c r="J177" s="7"/>
      <c r="L177" s="8"/>
      <c r="M177" s="9"/>
      <c r="N177" s="24"/>
      <c r="O177" s="11"/>
    </row>
    <row r="178" spans="1:15" ht="12.9" customHeight="1" x14ac:dyDescent="0.25">
      <c r="A178" s="22" t="s">
        <v>923</v>
      </c>
      <c r="B178" s="4" t="s">
        <v>192</v>
      </c>
      <c r="C178" s="113">
        <v>50</v>
      </c>
      <c r="D178" s="114" t="s">
        <v>24</v>
      </c>
      <c r="E178" s="3"/>
      <c r="F178" s="158"/>
      <c r="G178" s="157">
        <f>C178*F178</f>
        <v>0</v>
      </c>
      <c r="J178" s="7"/>
      <c r="L178" s="115"/>
      <c r="M178" s="86"/>
      <c r="N178" s="24"/>
      <c r="O178" s="11"/>
    </row>
    <row r="179" spans="1:15" x14ac:dyDescent="0.25">
      <c r="A179" s="22"/>
      <c r="B179" s="13"/>
      <c r="C179" s="13"/>
      <c r="D179" s="14"/>
      <c r="E179" s="103"/>
      <c r="F179" s="158"/>
      <c r="G179" s="162"/>
      <c r="J179" s="7"/>
      <c r="L179" s="8"/>
      <c r="M179" s="116"/>
      <c r="N179" s="115"/>
      <c r="O179" s="11"/>
    </row>
    <row r="180" spans="1:15" ht="12.75" customHeight="1" x14ac:dyDescent="0.25">
      <c r="A180" s="22" t="s">
        <v>924</v>
      </c>
      <c r="B180" s="16" t="s">
        <v>194</v>
      </c>
      <c r="C180" s="17">
        <v>60000</v>
      </c>
      <c r="D180" s="18" t="s">
        <v>46</v>
      </c>
      <c r="E180" s="3"/>
      <c r="F180" s="158"/>
      <c r="G180" s="157">
        <f>C180*F180</f>
        <v>0</v>
      </c>
      <c r="J180" s="7"/>
      <c r="M180" s="86"/>
      <c r="N180" s="24"/>
      <c r="O180" s="11"/>
    </row>
    <row r="181" spans="1:15" x14ac:dyDescent="0.25">
      <c r="A181" s="22"/>
      <c r="B181" s="108"/>
      <c r="C181" s="13"/>
      <c r="D181" s="14"/>
      <c r="E181" s="103"/>
      <c r="F181" s="158"/>
      <c r="G181" s="162"/>
      <c r="J181" s="7"/>
      <c r="O181" s="11"/>
    </row>
    <row r="182" spans="1:15" ht="12.75" customHeight="1" x14ac:dyDescent="0.25">
      <c r="A182" s="22" t="s">
        <v>925</v>
      </c>
      <c r="B182" s="16" t="s">
        <v>196</v>
      </c>
      <c r="C182" s="17">
        <v>60000</v>
      </c>
      <c r="D182" s="18" t="s">
        <v>46</v>
      </c>
      <c r="E182" s="3"/>
      <c r="F182" s="158"/>
      <c r="G182" s="157">
        <f>C182*F182</f>
        <v>0</v>
      </c>
      <c r="J182" s="7"/>
      <c r="O182" s="11"/>
    </row>
    <row r="183" spans="1:15" x14ac:dyDescent="0.25">
      <c r="A183" s="22"/>
      <c r="B183" s="13"/>
      <c r="C183" s="13"/>
      <c r="D183" s="14"/>
      <c r="E183" s="103"/>
      <c r="F183" s="158"/>
      <c r="G183" s="162"/>
      <c r="J183" s="7"/>
      <c r="L183" s="8"/>
      <c r="O183" s="11"/>
    </row>
    <row r="184" spans="1:15" ht="15.6" customHeight="1" x14ac:dyDescent="0.25">
      <c r="A184" s="22" t="s">
        <v>926</v>
      </c>
      <c r="B184" s="13" t="s">
        <v>198</v>
      </c>
      <c r="C184" s="13">
        <v>6</v>
      </c>
      <c r="D184" s="14" t="s">
        <v>24</v>
      </c>
      <c r="E184" s="103"/>
      <c r="F184" s="158"/>
      <c r="G184" s="157">
        <f>C184*F184</f>
        <v>0</v>
      </c>
      <c r="J184" s="7"/>
      <c r="L184" s="115"/>
      <c r="M184" s="86"/>
      <c r="N184" s="24"/>
      <c r="O184" s="11"/>
    </row>
    <row r="185" spans="1:15" x14ac:dyDescent="0.25">
      <c r="A185" s="22"/>
      <c r="B185" s="13"/>
      <c r="C185" s="13"/>
      <c r="D185" s="14"/>
      <c r="E185" s="103"/>
      <c r="F185" s="158"/>
      <c r="G185" s="162"/>
      <c r="J185" s="7"/>
      <c r="L185" s="8"/>
      <c r="M185" s="116" t="s">
        <v>1</v>
      </c>
      <c r="N185" s="115"/>
      <c r="O185" s="11"/>
    </row>
    <row r="186" spans="1:15" ht="12.9" customHeight="1" x14ac:dyDescent="0.25">
      <c r="A186" s="22" t="s">
        <v>927</v>
      </c>
      <c r="B186" s="16" t="s">
        <v>200</v>
      </c>
      <c r="C186" s="17">
        <v>5400</v>
      </c>
      <c r="D186" s="18" t="s">
        <v>81</v>
      </c>
      <c r="E186" s="3"/>
      <c r="F186" s="158"/>
      <c r="G186" s="157">
        <f>C186*F186</f>
        <v>0</v>
      </c>
      <c r="J186" s="7"/>
      <c r="M186" s="9"/>
      <c r="N186" s="24"/>
      <c r="O186" s="11"/>
    </row>
    <row r="187" spans="1:15" x14ac:dyDescent="0.25">
      <c r="A187" s="22"/>
      <c r="B187" s="16"/>
      <c r="C187" s="13"/>
      <c r="D187" s="14"/>
      <c r="E187" s="103"/>
      <c r="F187" s="158"/>
      <c r="G187" s="162"/>
      <c r="J187" s="7"/>
      <c r="L187" s="8"/>
      <c r="N187" s="20"/>
      <c r="O187" s="11"/>
    </row>
    <row r="188" spans="1:15" ht="39.6" x14ac:dyDescent="0.25">
      <c r="A188" s="22" t="s">
        <v>928</v>
      </c>
      <c r="B188" s="16" t="s">
        <v>202</v>
      </c>
      <c r="C188" s="130">
        <v>50</v>
      </c>
      <c r="D188" s="18" t="s">
        <v>67</v>
      </c>
      <c r="E188" s="3"/>
      <c r="F188" s="158"/>
      <c r="G188" s="157">
        <f>C188*F188</f>
        <v>0</v>
      </c>
      <c r="J188" s="7"/>
      <c r="L188" s="8"/>
      <c r="M188" s="9"/>
      <c r="N188" s="24"/>
      <c r="O188" s="11"/>
    </row>
    <row r="189" spans="1:15" x14ac:dyDescent="0.25">
      <c r="A189" s="22"/>
      <c r="B189" s="13"/>
      <c r="C189" s="117"/>
      <c r="D189" s="14"/>
      <c r="E189" s="103"/>
      <c r="F189" s="158"/>
      <c r="G189" s="162"/>
      <c r="J189" s="7"/>
      <c r="L189" s="8"/>
      <c r="M189" s="15" t="s">
        <v>1</v>
      </c>
      <c r="N189" s="24"/>
      <c r="O189" s="11"/>
    </row>
    <row r="190" spans="1:15" ht="12.9" customHeight="1" x14ac:dyDescent="0.25">
      <c r="A190" s="22" t="s">
        <v>929</v>
      </c>
      <c r="B190" s="4" t="s">
        <v>204</v>
      </c>
      <c r="C190" s="118">
        <v>10</v>
      </c>
      <c r="D190" s="3" t="s">
        <v>24</v>
      </c>
      <c r="E190" s="3"/>
      <c r="F190" s="158"/>
      <c r="G190" s="157">
        <f>C190*F190</f>
        <v>0</v>
      </c>
      <c r="J190" s="7"/>
      <c r="L190" s="8"/>
      <c r="M190" s="9" t="s">
        <v>1</v>
      </c>
      <c r="N190" s="24"/>
      <c r="O190" s="11"/>
    </row>
    <row r="191" spans="1:15" x14ac:dyDescent="0.25">
      <c r="A191" s="22"/>
      <c r="B191" s="4"/>
      <c r="C191" s="118"/>
      <c r="D191" s="3"/>
      <c r="E191" s="103"/>
      <c r="F191" s="158"/>
      <c r="G191" s="162"/>
      <c r="J191" s="7"/>
      <c r="M191" s="9"/>
      <c r="N191" s="24"/>
      <c r="O191" s="11"/>
    </row>
    <row r="192" spans="1:15" ht="15.6" customHeight="1" x14ac:dyDescent="0.25">
      <c r="A192" s="22" t="s">
        <v>930</v>
      </c>
      <c r="B192" s="4" t="s">
        <v>206</v>
      </c>
      <c r="C192" s="119">
        <v>50</v>
      </c>
      <c r="D192" s="22" t="s">
        <v>24</v>
      </c>
      <c r="E192" s="22"/>
      <c r="F192" s="158"/>
      <c r="G192" s="157">
        <f>C192*F192</f>
        <v>0</v>
      </c>
      <c r="J192" s="7"/>
      <c r="L192" s="8"/>
      <c r="O192" s="11"/>
    </row>
    <row r="193" spans="1:15" ht="15.6" customHeight="1" x14ac:dyDescent="0.25">
      <c r="A193" s="22"/>
      <c r="B193" s="4"/>
      <c r="C193" s="119"/>
      <c r="D193" s="22"/>
      <c r="E193" s="22"/>
      <c r="F193" s="158"/>
      <c r="G193" s="157"/>
      <c r="J193" s="7"/>
      <c r="L193" s="8"/>
      <c r="O193" s="11"/>
    </row>
    <row r="194" spans="1:15" x14ac:dyDescent="0.25">
      <c r="A194" s="135" t="s">
        <v>568</v>
      </c>
      <c r="B194" s="109" t="s">
        <v>208</v>
      </c>
      <c r="C194" s="118"/>
      <c r="D194" s="3"/>
      <c r="E194" s="3"/>
      <c r="F194" s="158"/>
      <c r="G194" s="163"/>
      <c r="J194" s="7"/>
      <c r="L194" s="8"/>
      <c r="M194" s="9" t="s">
        <v>1</v>
      </c>
      <c r="N194" s="24"/>
      <c r="O194" s="11"/>
    </row>
    <row r="195" spans="1:15" x14ac:dyDescent="0.25">
      <c r="A195" s="3"/>
      <c r="B195" s="4"/>
      <c r="C195" s="118"/>
      <c r="D195" s="3"/>
      <c r="E195" s="3"/>
      <c r="F195" s="158"/>
      <c r="G195" s="163"/>
      <c r="J195" s="7"/>
      <c r="M195" s="9"/>
      <c r="N195" s="24"/>
      <c r="O195" s="11"/>
    </row>
    <row r="196" spans="1:15" x14ac:dyDescent="0.25">
      <c r="A196" s="3" t="s">
        <v>569</v>
      </c>
      <c r="B196" s="4" t="s">
        <v>210</v>
      </c>
      <c r="C196" s="118">
        <v>5</v>
      </c>
      <c r="D196" s="3" t="s">
        <v>24</v>
      </c>
      <c r="E196" s="3"/>
      <c r="F196" s="158"/>
      <c r="G196" s="157">
        <f>C196*F196</f>
        <v>0</v>
      </c>
      <c r="J196" s="7"/>
      <c r="L196" s="8"/>
      <c r="O196" s="11"/>
    </row>
    <row r="197" spans="1:15" x14ac:dyDescent="0.25">
      <c r="A197" s="3"/>
      <c r="B197" s="4"/>
      <c r="C197" s="118"/>
      <c r="D197" s="3"/>
      <c r="E197" s="3"/>
      <c r="F197" s="158"/>
      <c r="G197" s="163"/>
      <c r="J197" s="7"/>
      <c r="L197" s="8"/>
      <c r="O197" s="11"/>
    </row>
    <row r="198" spans="1:15" x14ac:dyDescent="0.25">
      <c r="A198" s="3" t="s">
        <v>570</v>
      </c>
      <c r="B198" s="4" t="s">
        <v>212</v>
      </c>
      <c r="C198" s="118">
        <v>20</v>
      </c>
      <c r="D198" s="3" t="s">
        <v>24</v>
      </c>
      <c r="E198" s="3"/>
      <c r="F198" s="158"/>
      <c r="G198" s="157">
        <f>C198*F198</f>
        <v>0</v>
      </c>
      <c r="J198" s="7"/>
      <c r="L198" s="8"/>
      <c r="O198" s="11"/>
    </row>
    <row r="199" spans="1:15" x14ac:dyDescent="0.25">
      <c r="A199" s="3"/>
      <c r="B199" s="4"/>
      <c r="C199" s="118"/>
      <c r="D199" s="3"/>
      <c r="E199" s="3"/>
      <c r="F199" s="158"/>
      <c r="G199" s="163"/>
      <c r="J199" s="7"/>
      <c r="L199" s="8"/>
      <c r="M199" s="9" t="s">
        <v>1</v>
      </c>
      <c r="N199" s="24"/>
      <c r="O199" s="11"/>
    </row>
    <row r="200" spans="1:15" x14ac:dyDescent="0.25">
      <c r="A200" s="3" t="s">
        <v>571</v>
      </c>
      <c r="B200" s="4" t="s">
        <v>214</v>
      </c>
      <c r="C200" s="118">
        <v>5</v>
      </c>
      <c r="D200" s="3" t="s">
        <v>24</v>
      </c>
      <c r="E200" s="3"/>
      <c r="F200" s="158"/>
      <c r="G200" s="157">
        <f>C200*F200</f>
        <v>0</v>
      </c>
      <c r="J200" s="7"/>
      <c r="L200" s="8"/>
      <c r="M200" s="9" t="s">
        <v>1</v>
      </c>
      <c r="N200" s="24"/>
      <c r="O200" s="11"/>
    </row>
    <row r="201" spans="1:15" x14ac:dyDescent="0.25">
      <c r="A201" s="3"/>
      <c r="B201" s="4"/>
      <c r="C201" s="118"/>
      <c r="D201" s="3"/>
      <c r="E201" s="3"/>
      <c r="F201" s="158"/>
      <c r="G201" s="163"/>
      <c r="J201" s="7"/>
      <c r="L201" s="8"/>
      <c r="M201" s="9"/>
      <c r="N201" s="24"/>
      <c r="O201" s="11"/>
    </row>
    <row r="202" spans="1:15" x14ac:dyDescent="0.25">
      <c r="A202" s="3" t="s">
        <v>572</v>
      </c>
      <c r="B202" s="4" t="s">
        <v>216</v>
      </c>
      <c r="C202" s="118">
        <v>20</v>
      </c>
      <c r="D202" s="3" t="s">
        <v>24</v>
      </c>
      <c r="E202" s="3"/>
      <c r="F202" s="158"/>
      <c r="G202" s="157">
        <f>C202*F202</f>
        <v>0</v>
      </c>
      <c r="J202" s="7"/>
      <c r="L202" s="8"/>
      <c r="M202" s="9"/>
      <c r="N202" s="24"/>
      <c r="O202" s="11"/>
    </row>
    <row r="203" spans="1:15" x14ac:dyDescent="0.25">
      <c r="A203" s="3"/>
      <c r="B203" s="4"/>
      <c r="C203" s="118"/>
      <c r="D203" s="3"/>
      <c r="E203" s="3"/>
      <c r="F203" s="158"/>
      <c r="G203" s="163"/>
      <c r="J203" s="7"/>
      <c r="M203" s="9" t="s">
        <v>1</v>
      </c>
      <c r="N203" s="24"/>
      <c r="O203" s="11"/>
    </row>
    <row r="204" spans="1:15" x14ac:dyDescent="0.25">
      <c r="A204" s="3" t="s">
        <v>573</v>
      </c>
      <c r="B204" s="4" t="s">
        <v>218</v>
      </c>
      <c r="C204" s="118">
        <v>5</v>
      </c>
      <c r="D204" s="3" t="s">
        <v>24</v>
      </c>
      <c r="E204" s="3"/>
      <c r="F204" s="158"/>
      <c r="G204" s="157">
        <f>C204*F204</f>
        <v>0</v>
      </c>
      <c r="J204" s="7"/>
      <c r="L204" s="8"/>
      <c r="O204" s="11"/>
    </row>
    <row r="205" spans="1:15" x14ac:dyDescent="0.25">
      <c r="A205" s="3"/>
      <c r="B205" s="4"/>
      <c r="C205" s="118"/>
      <c r="D205" s="3"/>
      <c r="E205" s="3"/>
      <c r="F205" s="158"/>
      <c r="G205" s="163"/>
      <c r="J205" s="7"/>
      <c r="L205" s="8"/>
      <c r="O205" s="11"/>
    </row>
    <row r="206" spans="1:15" x14ac:dyDescent="0.25">
      <c r="A206" s="3" t="s">
        <v>574</v>
      </c>
      <c r="B206" s="4" t="s">
        <v>220</v>
      </c>
      <c r="C206" s="118">
        <v>20</v>
      </c>
      <c r="D206" s="3" t="s">
        <v>24</v>
      </c>
      <c r="E206" s="3"/>
      <c r="F206" s="158"/>
      <c r="G206" s="157">
        <f>C206*F206</f>
        <v>0</v>
      </c>
      <c r="J206" s="7"/>
      <c r="L206" s="8"/>
      <c r="O206" s="11"/>
    </row>
    <row r="207" spans="1:15" x14ac:dyDescent="0.25">
      <c r="A207" s="3"/>
      <c r="B207" s="4"/>
      <c r="C207" s="118"/>
      <c r="D207" s="3"/>
      <c r="E207" s="3"/>
      <c r="F207" s="158"/>
      <c r="G207" s="163"/>
      <c r="J207" s="7"/>
      <c r="L207" s="8"/>
      <c r="M207" s="9" t="s">
        <v>1</v>
      </c>
      <c r="N207" s="24"/>
      <c r="O207" s="11"/>
    </row>
    <row r="208" spans="1:15" x14ac:dyDescent="0.25">
      <c r="A208" s="3" t="s">
        <v>575</v>
      </c>
      <c r="B208" s="4" t="s">
        <v>222</v>
      </c>
      <c r="C208" s="118">
        <v>5</v>
      </c>
      <c r="D208" s="3" t="s">
        <v>24</v>
      </c>
      <c r="E208" s="3"/>
      <c r="F208" s="158"/>
      <c r="G208" s="157">
        <f>C208*F208</f>
        <v>0</v>
      </c>
      <c r="J208" s="7"/>
      <c r="L208" s="8"/>
      <c r="M208" s="9" t="s">
        <v>1</v>
      </c>
      <c r="N208" s="24"/>
      <c r="O208" s="11"/>
    </row>
    <row r="209" spans="1:15" x14ac:dyDescent="0.25">
      <c r="A209" s="3"/>
      <c r="B209" s="4"/>
      <c r="C209" s="120"/>
      <c r="D209" s="3"/>
      <c r="E209" s="3"/>
      <c r="F209" s="158"/>
      <c r="G209" s="163"/>
      <c r="J209" s="7"/>
      <c r="L209" s="8"/>
      <c r="M209" s="9"/>
      <c r="N209" s="24"/>
      <c r="O209" s="11"/>
    </row>
    <row r="210" spans="1:15" x14ac:dyDescent="0.25">
      <c r="A210" s="3" t="s">
        <v>576</v>
      </c>
      <c r="B210" s="4" t="s">
        <v>224</v>
      </c>
      <c r="C210" s="118">
        <v>20</v>
      </c>
      <c r="D210" s="3" t="s">
        <v>24</v>
      </c>
      <c r="E210" s="3"/>
      <c r="F210" s="158"/>
      <c r="G210" s="157">
        <f>C210*F210</f>
        <v>0</v>
      </c>
      <c r="J210" s="7"/>
      <c r="L210" s="8"/>
      <c r="M210" s="9"/>
      <c r="N210" s="24"/>
      <c r="O210" s="11"/>
    </row>
    <row r="211" spans="1:15" x14ac:dyDescent="0.25">
      <c r="A211" s="3"/>
      <c r="B211" s="4"/>
      <c r="C211" s="118"/>
      <c r="D211" s="3"/>
      <c r="E211" s="3"/>
      <c r="F211" s="158"/>
      <c r="G211" s="163"/>
      <c r="J211" s="7"/>
      <c r="M211" s="9" t="s">
        <v>1</v>
      </c>
      <c r="N211" s="24"/>
      <c r="O211" s="11"/>
    </row>
    <row r="212" spans="1:15" x14ac:dyDescent="0.25">
      <c r="A212" s="3" t="s">
        <v>577</v>
      </c>
      <c r="B212" s="4" t="s">
        <v>226</v>
      </c>
      <c r="C212" s="118">
        <v>20</v>
      </c>
      <c r="D212" s="3" t="s">
        <v>24</v>
      </c>
      <c r="E212" s="3"/>
      <c r="F212" s="158"/>
      <c r="G212" s="157">
        <f>C212*F212</f>
        <v>0</v>
      </c>
      <c r="J212" s="7"/>
      <c r="L212" s="8"/>
      <c r="O212" s="11"/>
    </row>
    <row r="213" spans="1:15" x14ac:dyDescent="0.25">
      <c r="A213" s="3"/>
      <c r="B213" s="4"/>
      <c r="C213" s="118"/>
      <c r="D213" s="3"/>
      <c r="E213" s="3"/>
      <c r="F213" s="158"/>
      <c r="G213" s="163"/>
      <c r="J213" s="7"/>
      <c r="L213" s="8"/>
      <c r="M213" s="9" t="s">
        <v>1</v>
      </c>
      <c r="N213" s="24"/>
      <c r="O213" s="11"/>
    </row>
    <row r="214" spans="1:15" x14ac:dyDescent="0.25">
      <c r="A214" s="3" t="s">
        <v>578</v>
      </c>
      <c r="B214" s="4" t="s">
        <v>228</v>
      </c>
      <c r="C214" s="118">
        <v>20</v>
      </c>
      <c r="D214" s="3" t="s">
        <v>24</v>
      </c>
      <c r="E214" s="3"/>
      <c r="F214" s="158"/>
      <c r="G214" s="157">
        <f>C214*F214</f>
        <v>0</v>
      </c>
      <c r="J214" s="7"/>
      <c r="L214" s="8"/>
      <c r="M214" s="9" t="s">
        <v>1</v>
      </c>
      <c r="N214" s="24"/>
      <c r="O214" s="11"/>
    </row>
    <row r="215" spans="1:15" x14ac:dyDescent="0.25">
      <c r="A215" s="3"/>
      <c r="B215" s="4"/>
      <c r="C215" s="118"/>
      <c r="D215" s="3"/>
      <c r="E215" s="3"/>
      <c r="F215" s="158"/>
      <c r="G215" s="163"/>
      <c r="J215" s="7"/>
      <c r="M215" s="9" t="s">
        <v>1</v>
      </c>
      <c r="N215" s="24"/>
      <c r="O215" s="11"/>
    </row>
    <row r="216" spans="1:15" x14ac:dyDescent="0.25">
      <c r="A216" s="3" t="s">
        <v>579</v>
      </c>
      <c r="B216" s="4" t="s">
        <v>230</v>
      </c>
      <c r="C216" s="118">
        <v>10</v>
      </c>
      <c r="D216" s="3" t="s">
        <v>24</v>
      </c>
      <c r="E216" s="3"/>
      <c r="F216" s="158"/>
      <c r="G216" s="157">
        <f>C216*F216</f>
        <v>0</v>
      </c>
      <c r="J216" s="7"/>
      <c r="L216" s="8"/>
      <c r="O216" s="11"/>
    </row>
    <row r="217" spans="1:15" x14ac:dyDescent="0.25">
      <c r="A217" s="3"/>
      <c r="B217" s="4"/>
      <c r="C217" s="118"/>
      <c r="D217" s="3"/>
      <c r="E217" s="3"/>
      <c r="F217" s="158"/>
      <c r="G217" s="163"/>
      <c r="J217" s="7"/>
      <c r="L217" s="8"/>
      <c r="O217" s="11"/>
    </row>
    <row r="218" spans="1:15" x14ac:dyDescent="0.25">
      <c r="A218" s="3" t="s">
        <v>580</v>
      </c>
      <c r="B218" s="4" t="s">
        <v>232</v>
      </c>
      <c r="C218" s="118">
        <v>10</v>
      </c>
      <c r="D218" s="3" t="s">
        <v>24</v>
      </c>
      <c r="E218" s="3"/>
      <c r="F218" s="158"/>
      <c r="G218" s="157">
        <f>C218*F218</f>
        <v>0</v>
      </c>
      <c r="J218" s="7"/>
      <c r="L218" s="8"/>
      <c r="O218" s="11"/>
    </row>
    <row r="219" spans="1:15" x14ac:dyDescent="0.25">
      <c r="A219" s="3"/>
      <c r="B219" s="4"/>
      <c r="C219" s="118"/>
      <c r="D219" s="3"/>
      <c r="E219" s="3"/>
      <c r="F219" s="158"/>
      <c r="G219" s="163"/>
      <c r="J219" s="7"/>
      <c r="L219" s="8"/>
      <c r="M219" s="9" t="s">
        <v>1</v>
      </c>
      <c r="N219" s="24"/>
      <c r="O219" s="11"/>
    </row>
    <row r="220" spans="1:15" x14ac:dyDescent="0.25">
      <c r="A220" s="3" t="s">
        <v>581</v>
      </c>
      <c r="B220" s="4" t="s">
        <v>234</v>
      </c>
      <c r="C220" s="118">
        <v>10</v>
      </c>
      <c r="D220" s="3" t="s">
        <v>24</v>
      </c>
      <c r="E220" s="3"/>
      <c r="F220" s="158"/>
      <c r="G220" s="157">
        <f>C220*F220</f>
        <v>0</v>
      </c>
      <c r="J220" s="7"/>
      <c r="L220" s="8"/>
      <c r="M220" s="9" t="s">
        <v>1</v>
      </c>
      <c r="N220" s="24"/>
      <c r="O220" s="110"/>
    </row>
    <row r="221" spans="1:15" x14ac:dyDescent="0.25">
      <c r="A221" s="3"/>
      <c r="B221" s="4"/>
      <c r="C221" s="118"/>
      <c r="D221" s="3"/>
      <c r="E221" s="3"/>
      <c r="F221" s="158"/>
      <c r="G221" s="163"/>
      <c r="J221" s="7"/>
      <c r="L221" s="8"/>
      <c r="M221" s="9"/>
      <c r="N221" s="24"/>
      <c r="O221" s="110"/>
    </row>
    <row r="222" spans="1:15" x14ac:dyDescent="0.25">
      <c r="A222" s="3" t="s">
        <v>582</v>
      </c>
      <c r="B222" s="4" t="s">
        <v>236</v>
      </c>
      <c r="C222" s="118">
        <v>10</v>
      </c>
      <c r="D222" s="3" t="s">
        <v>24</v>
      </c>
      <c r="E222" s="3"/>
      <c r="F222" s="158"/>
      <c r="G222" s="157">
        <f>C222*F222</f>
        <v>0</v>
      </c>
      <c r="J222" s="7"/>
      <c r="L222" s="8"/>
      <c r="M222" s="9"/>
      <c r="N222" s="24"/>
      <c r="O222" s="110"/>
    </row>
    <row r="223" spans="1:15" x14ac:dyDescent="0.25">
      <c r="A223" s="3"/>
      <c r="B223" s="4"/>
      <c r="C223" s="118"/>
      <c r="D223" s="3"/>
      <c r="E223" s="3"/>
      <c r="F223" s="158"/>
      <c r="G223" s="163"/>
      <c r="J223" s="7"/>
      <c r="M223" s="9"/>
      <c r="N223" s="24"/>
      <c r="O223" s="11"/>
    </row>
    <row r="224" spans="1:15" x14ac:dyDescent="0.25">
      <c r="A224" s="3" t="s">
        <v>583</v>
      </c>
      <c r="B224" s="4" t="s">
        <v>238</v>
      </c>
      <c r="C224" s="118">
        <v>50</v>
      </c>
      <c r="D224" s="3" t="s">
        <v>24</v>
      </c>
      <c r="E224" s="3"/>
      <c r="F224" s="158"/>
      <c r="G224" s="157">
        <f>C224*F224</f>
        <v>0</v>
      </c>
      <c r="J224" s="7"/>
      <c r="L224" s="8"/>
      <c r="O224" s="11"/>
    </row>
    <row r="225" spans="1:15" x14ac:dyDescent="0.25">
      <c r="A225" s="3"/>
      <c r="B225" s="4"/>
      <c r="C225" s="118"/>
      <c r="D225" s="3"/>
      <c r="E225" s="3"/>
      <c r="F225" s="158"/>
      <c r="G225" s="163"/>
      <c r="J225" s="7"/>
      <c r="M225" s="9"/>
      <c r="N225" s="24"/>
      <c r="O225" s="11"/>
    </row>
    <row r="226" spans="1:15" x14ac:dyDescent="0.25">
      <c r="A226" s="3" t="s">
        <v>584</v>
      </c>
      <c r="B226" s="4" t="s">
        <v>240</v>
      </c>
      <c r="C226" s="118">
        <v>20</v>
      </c>
      <c r="D226" s="3" t="s">
        <v>24</v>
      </c>
      <c r="E226" s="3"/>
      <c r="F226" s="158"/>
      <c r="G226" s="157">
        <f>C226*F226</f>
        <v>0</v>
      </c>
      <c r="J226" s="7"/>
      <c r="L226" s="8"/>
      <c r="O226" s="11"/>
    </row>
    <row r="227" spans="1:15" x14ac:dyDescent="0.25">
      <c r="A227" s="3"/>
      <c r="B227" s="4" t="s">
        <v>1</v>
      </c>
      <c r="C227" s="118"/>
      <c r="D227" s="3"/>
      <c r="E227" s="3"/>
      <c r="F227" s="158"/>
      <c r="G227" s="163"/>
      <c r="J227" s="7"/>
      <c r="M227" s="9"/>
      <c r="N227" s="24"/>
      <c r="O227" s="11"/>
    </row>
    <row r="228" spans="1:15" x14ac:dyDescent="0.25">
      <c r="A228" s="3" t="s">
        <v>585</v>
      </c>
      <c r="B228" s="4" t="s">
        <v>242</v>
      </c>
      <c r="C228" s="118">
        <v>5</v>
      </c>
      <c r="D228" s="3" t="s">
        <v>24</v>
      </c>
      <c r="E228" s="3"/>
      <c r="F228" s="158"/>
      <c r="G228" s="157">
        <f>C228*F228</f>
        <v>0</v>
      </c>
      <c r="J228" s="7"/>
      <c r="L228" s="8"/>
      <c r="O228" s="110"/>
    </row>
    <row r="229" spans="1:15" x14ac:dyDescent="0.25">
      <c r="A229" s="3"/>
      <c r="B229" s="4"/>
      <c r="C229" s="118"/>
      <c r="D229" s="3"/>
      <c r="E229" s="103"/>
      <c r="F229" s="158"/>
      <c r="G229" s="162"/>
      <c r="J229" s="7"/>
      <c r="L229" s="8"/>
      <c r="M229" s="9" t="s">
        <v>1</v>
      </c>
      <c r="N229" s="24"/>
      <c r="O229" s="11"/>
    </row>
    <row r="230" spans="1:15" x14ac:dyDescent="0.25">
      <c r="A230" s="3" t="s">
        <v>586</v>
      </c>
      <c r="B230" s="4" t="s">
        <v>244</v>
      </c>
      <c r="C230" s="118">
        <v>1000</v>
      </c>
      <c r="D230" s="3" t="s">
        <v>102</v>
      </c>
      <c r="E230" s="3"/>
      <c r="F230" s="158"/>
      <c r="G230" s="157">
        <f>C230*F230</f>
        <v>0</v>
      </c>
      <c r="J230" s="7"/>
      <c r="M230" s="9"/>
      <c r="N230" s="24"/>
      <c r="O230" s="11"/>
    </row>
    <row r="231" spans="1:15" x14ac:dyDescent="0.25">
      <c r="A231" s="3"/>
      <c r="B231" s="4"/>
      <c r="C231" s="118"/>
      <c r="D231" s="3"/>
      <c r="E231" s="103"/>
      <c r="F231" s="158"/>
      <c r="G231" s="162"/>
      <c r="J231" s="7"/>
      <c r="O231" s="11"/>
    </row>
    <row r="232" spans="1:15" x14ac:dyDescent="0.25">
      <c r="A232" s="3" t="s">
        <v>587</v>
      </c>
      <c r="B232" s="4" t="s">
        <v>246</v>
      </c>
      <c r="C232" s="118">
        <v>75</v>
      </c>
      <c r="D232" s="3" t="s">
        <v>24</v>
      </c>
      <c r="E232" s="3"/>
      <c r="F232" s="158"/>
      <c r="G232" s="157">
        <f>C232*F232</f>
        <v>0</v>
      </c>
      <c r="J232" s="7"/>
      <c r="O232" s="11"/>
    </row>
    <row r="233" spans="1:15" ht="12.75" customHeight="1" x14ac:dyDescent="0.25">
      <c r="A233" s="3"/>
      <c r="B233" s="4"/>
      <c r="C233" s="118"/>
      <c r="D233" s="3"/>
      <c r="E233" s="103"/>
      <c r="F233" s="158"/>
      <c r="G233" s="162"/>
      <c r="J233" s="7"/>
      <c r="O233" s="110"/>
    </row>
    <row r="234" spans="1:15" ht="13.5" customHeight="1" x14ac:dyDescent="0.25">
      <c r="A234" s="3" t="s">
        <v>588</v>
      </c>
      <c r="B234" s="4" t="s">
        <v>248</v>
      </c>
      <c r="C234" s="118">
        <v>1000</v>
      </c>
      <c r="D234" s="3" t="s">
        <v>102</v>
      </c>
      <c r="E234" s="3"/>
      <c r="F234" s="158"/>
      <c r="G234" s="157">
        <f>C234*F234</f>
        <v>0</v>
      </c>
      <c r="J234" s="7"/>
      <c r="O234" s="11"/>
    </row>
    <row r="235" spans="1:15" ht="13.5" customHeight="1" x14ac:dyDescent="0.25">
      <c r="A235" s="3"/>
      <c r="B235" s="4"/>
      <c r="C235" s="118"/>
      <c r="D235" s="3"/>
      <c r="E235" s="3"/>
      <c r="F235" s="158"/>
      <c r="G235" s="163"/>
      <c r="J235" s="7"/>
      <c r="O235" s="11"/>
    </row>
    <row r="236" spans="1:15" ht="13.5" customHeight="1" x14ac:dyDescent="0.25">
      <c r="A236" s="3" t="s">
        <v>589</v>
      </c>
      <c r="B236" s="4" t="s">
        <v>250</v>
      </c>
      <c r="C236" s="118">
        <v>5</v>
      </c>
      <c r="D236" s="3" t="s">
        <v>24</v>
      </c>
      <c r="E236" s="3"/>
      <c r="F236" s="158"/>
      <c r="G236" s="157">
        <f>C236*F236</f>
        <v>0</v>
      </c>
      <c r="J236" s="7"/>
      <c r="O236" s="11"/>
    </row>
    <row r="237" spans="1:15" ht="13.5" customHeight="1" x14ac:dyDescent="0.25">
      <c r="A237" s="3"/>
      <c r="B237" s="4"/>
      <c r="C237" s="118"/>
      <c r="D237" s="3"/>
      <c r="E237" s="3"/>
      <c r="F237" s="158"/>
      <c r="G237" s="163"/>
      <c r="J237" s="7"/>
      <c r="O237" s="11"/>
    </row>
    <row r="238" spans="1:15" ht="13.5" customHeight="1" x14ac:dyDescent="0.25">
      <c r="A238" s="121" t="s">
        <v>590</v>
      </c>
      <c r="B238" s="109" t="s">
        <v>252</v>
      </c>
      <c r="C238" s="118"/>
      <c r="D238" s="3"/>
      <c r="E238" s="3"/>
      <c r="F238" s="158"/>
      <c r="G238" s="163"/>
      <c r="J238" s="7"/>
      <c r="O238" s="11"/>
    </row>
    <row r="239" spans="1:15" ht="13.5" customHeight="1" x14ac:dyDescent="0.25">
      <c r="A239" s="3"/>
      <c r="B239" s="4"/>
      <c r="C239" s="118"/>
      <c r="D239" s="3"/>
      <c r="E239" s="3"/>
      <c r="F239" s="158"/>
      <c r="G239" s="163"/>
      <c r="J239" s="7"/>
      <c r="O239" s="11"/>
    </row>
    <row r="240" spans="1:15" ht="26.4" customHeight="1" x14ac:dyDescent="0.25">
      <c r="A240" s="3" t="s">
        <v>591</v>
      </c>
      <c r="B240" s="4" t="s">
        <v>254</v>
      </c>
      <c r="C240" s="177">
        <v>10000</v>
      </c>
      <c r="D240" s="3" t="s">
        <v>46</v>
      </c>
      <c r="E240" s="3"/>
      <c r="F240" s="158"/>
      <c r="G240" s="157">
        <f>C240*F240</f>
        <v>0</v>
      </c>
      <c r="J240" s="7"/>
      <c r="O240" s="11"/>
    </row>
    <row r="241" spans="1:15" x14ac:dyDescent="0.25">
      <c r="A241" s="3"/>
      <c r="B241" s="4"/>
      <c r="C241" s="120"/>
      <c r="D241" s="3"/>
      <c r="E241" s="103"/>
      <c r="F241" s="158"/>
      <c r="G241" s="162"/>
      <c r="J241" s="7"/>
      <c r="O241" s="11"/>
    </row>
    <row r="242" spans="1:15" x14ac:dyDescent="0.25">
      <c r="A242" s="135" t="s">
        <v>592</v>
      </c>
      <c r="B242" s="197" t="s">
        <v>256</v>
      </c>
      <c r="C242" s="197"/>
      <c r="D242" s="197"/>
      <c r="E242" s="103"/>
      <c r="F242" s="158"/>
      <c r="G242" s="162"/>
      <c r="J242" s="7"/>
      <c r="O242" s="11"/>
    </row>
    <row r="243" spans="1:15" x14ac:dyDescent="0.25">
      <c r="A243" s="22"/>
      <c r="B243" s="13"/>
      <c r="C243" s="13"/>
      <c r="D243" s="14"/>
      <c r="E243" s="103"/>
      <c r="F243" s="158"/>
      <c r="G243" s="162"/>
      <c r="J243" s="7"/>
      <c r="O243" s="11"/>
    </row>
    <row r="244" spans="1:15" ht="12.9" customHeight="1" x14ac:dyDescent="0.25">
      <c r="A244" s="22" t="s">
        <v>593</v>
      </c>
      <c r="B244" s="16" t="s">
        <v>258</v>
      </c>
      <c r="C244" s="25">
        <v>2000</v>
      </c>
      <c r="D244" s="18" t="str">
        <f>'[1]Synopsis of Line Items'!D363</f>
        <v>HR</v>
      </c>
      <c r="E244" s="3"/>
      <c r="F244" s="158"/>
      <c r="G244" s="157">
        <f>C244*F244</f>
        <v>0</v>
      </c>
      <c r="J244" s="7"/>
      <c r="L244" s="23" t="s">
        <v>1</v>
      </c>
      <c r="O244" s="11"/>
    </row>
    <row r="245" spans="1:15" x14ac:dyDescent="0.25">
      <c r="A245" s="22"/>
      <c r="B245" s="16"/>
      <c r="C245" s="13"/>
      <c r="D245" s="14"/>
      <c r="E245" s="103"/>
      <c r="F245" s="166"/>
      <c r="G245" s="162"/>
      <c r="J245" s="7"/>
      <c r="L245" s="8"/>
      <c r="M245" s="196" t="s">
        <v>1</v>
      </c>
      <c r="N245" s="196"/>
      <c r="O245" s="11"/>
    </row>
    <row r="246" spans="1:15" ht="12.9" customHeight="1" x14ac:dyDescent="0.25">
      <c r="A246" s="22" t="s">
        <v>594</v>
      </c>
      <c r="B246" s="16" t="s">
        <v>933</v>
      </c>
      <c r="C246" s="26">
        <v>1</v>
      </c>
      <c r="D246" s="18" t="s">
        <v>932</v>
      </c>
      <c r="E246" s="3"/>
      <c r="F246" s="155">
        <v>250000</v>
      </c>
      <c r="G246" s="157">
        <f>C246*F246</f>
        <v>250000</v>
      </c>
      <c r="J246" s="7"/>
      <c r="L246" s="8"/>
      <c r="M246" s="9"/>
      <c r="N246" s="24"/>
      <c r="O246" s="11"/>
    </row>
    <row r="247" spans="1:15" x14ac:dyDescent="0.25">
      <c r="A247" s="22"/>
      <c r="B247" s="13"/>
      <c r="C247" s="13"/>
      <c r="D247" s="14"/>
      <c r="E247" s="103"/>
      <c r="F247" s="166"/>
      <c r="G247" s="162"/>
      <c r="L247" s="8"/>
      <c r="M247" s="122" t="s">
        <v>1</v>
      </c>
      <c r="N247" s="24"/>
      <c r="O247" s="11"/>
    </row>
    <row r="248" spans="1:15" ht="12.75" customHeight="1" x14ac:dyDescent="0.25">
      <c r="A248" s="190" t="s">
        <v>595</v>
      </c>
      <c r="B248" s="190"/>
      <c r="C248" s="202" t="s">
        <v>262</v>
      </c>
      <c r="D248" s="203"/>
      <c r="E248" s="203"/>
      <c r="F248" s="203"/>
      <c r="G248" s="194">
        <f>SUM(G12:G247)</f>
        <v>250000</v>
      </c>
      <c r="L248" s="8"/>
      <c r="M248" s="122" t="s">
        <v>1</v>
      </c>
      <c r="N248" s="24"/>
      <c r="O248" s="11"/>
    </row>
    <row r="249" spans="1:15" ht="12.75" customHeight="1" x14ac:dyDescent="0.25">
      <c r="A249" s="190" t="s">
        <v>596</v>
      </c>
      <c r="B249" s="190"/>
      <c r="C249" s="204"/>
      <c r="D249" s="205"/>
      <c r="E249" s="205"/>
      <c r="F249" s="205"/>
      <c r="G249" s="195"/>
      <c r="L249" s="8"/>
      <c r="M249" s="124" t="s">
        <v>1</v>
      </c>
      <c r="N249" s="24"/>
      <c r="O249" s="11"/>
    </row>
    <row r="250" spans="1:15" x14ac:dyDescent="0.25">
      <c r="L250" s="8"/>
      <c r="M250" s="124" t="s">
        <v>1</v>
      </c>
      <c r="N250" s="24"/>
      <c r="O250" s="11"/>
    </row>
    <row r="251" spans="1:15" x14ac:dyDescent="0.25">
      <c r="B251" s="169"/>
      <c r="C251" s="169"/>
      <c r="D251" s="170"/>
      <c r="L251" s="8"/>
      <c r="M251" s="122" t="s">
        <v>1</v>
      </c>
      <c r="N251" s="24"/>
      <c r="O251" s="11"/>
    </row>
    <row r="252" spans="1:15" x14ac:dyDescent="0.25">
      <c r="B252" s="169"/>
      <c r="C252" s="169"/>
      <c r="D252" s="170"/>
      <c r="L252" s="8"/>
      <c r="M252" s="88"/>
      <c r="N252" s="24"/>
      <c r="O252" s="11"/>
    </row>
    <row r="253" spans="1:15" x14ac:dyDescent="0.25">
      <c r="B253" s="169"/>
      <c r="C253" s="169"/>
      <c r="D253" s="170"/>
      <c r="L253" s="8"/>
      <c r="M253" s="88"/>
      <c r="N253" s="24"/>
      <c r="O253" s="11"/>
    </row>
    <row r="254" spans="1:15" x14ac:dyDescent="0.25">
      <c r="B254" s="169"/>
      <c r="C254" s="169"/>
      <c r="D254" s="170"/>
      <c r="L254" s="8" t="s">
        <v>1</v>
      </c>
      <c r="M254" s="9"/>
      <c r="N254" s="24"/>
      <c r="O254" s="11"/>
    </row>
    <row r="255" spans="1:15" x14ac:dyDescent="0.25">
      <c r="B255" s="169"/>
      <c r="C255" s="169"/>
      <c r="D255" s="170"/>
      <c r="L255" s="8"/>
      <c r="M255" s="9" t="s">
        <v>1</v>
      </c>
      <c r="N255" s="24" t="s">
        <v>1</v>
      </c>
      <c r="O255" s="11"/>
    </row>
    <row r="256" spans="1:15" x14ac:dyDescent="0.25">
      <c r="B256" s="169"/>
      <c r="C256" s="169"/>
      <c r="D256" s="170"/>
      <c r="L256" s="8" t="s">
        <v>1</v>
      </c>
      <c r="M256" s="9"/>
      <c r="N256" s="87"/>
      <c r="O256" s="11"/>
    </row>
    <row r="257" spans="2:15" x14ac:dyDescent="0.25">
      <c r="B257" s="169"/>
      <c r="C257" s="169"/>
      <c r="D257" s="170"/>
      <c r="M257" s="9" t="s">
        <v>1</v>
      </c>
      <c r="N257" s="24" t="s">
        <v>0</v>
      </c>
      <c r="O257" s="11"/>
    </row>
    <row r="258" spans="2:15" x14ac:dyDescent="0.25">
      <c r="B258" s="169"/>
      <c r="C258" s="169"/>
      <c r="D258" s="170"/>
    </row>
    <row r="259" spans="2:15" x14ac:dyDescent="0.25">
      <c r="B259" s="169"/>
      <c r="C259" s="169"/>
      <c r="D259" s="170"/>
    </row>
    <row r="260" spans="2:15" x14ac:dyDescent="0.25">
      <c r="B260" s="169"/>
      <c r="C260" s="169"/>
      <c r="D260" s="170"/>
    </row>
    <row r="261" spans="2:15" x14ac:dyDescent="0.25">
      <c r="B261" s="169"/>
      <c r="C261" s="169"/>
      <c r="D261" s="170"/>
    </row>
    <row r="262" spans="2:15" x14ac:dyDescent="0.25">
      <c r="B262" s="169"/>
      <c r="C262" s="169"/>
      <c r="D262" s="170"/>
    </row>
    <row r="263" spans="2:15" x14ac:dyDescent="0.25">
      <c r="B263" s="169"/>
      <c r="C263" s="169"/>
      <c r="D263" s="170"/>
    </row>
    <row r="264" spans="2:15" x14ac:dyDescent="0.25">
      <c r="B264" s="169"/>
      <c r="C264" s="169"/>
      <c r="D264" s="170"/>
    </row>
    <row r="265" spans="2:15" x14ac:dyDescent="0.25">
      <c r="B265" s="169"/>
      <c r="C265" s="169"/>
      <c r="D265" s="170"/>
    </row>
    <row r="266" spans="2:15" x14ac:dyDescent="0.25">
      <c r="B266" s="169"/>
      <c r="C266" s="169"/>
      <c r="D266" s="170"/>
    </row>
    <row r="267" spans="2:15" x14ac:dyDescent="0.25">
      <c r="B267" s="169"/>
      <c r="C267" s="169"/>
      <c r="D267" s="170"/>
    </row>
    <row r="268" spans="2:15" x14ac:dyDescent="0.25">
      <c r="B268" s="169"/>
      <c r="C268" s="169"/>
      <c r="D268" s="170"/>
    </row>
  </sheetData>
  <mergeCells count="14">
    <mergeCell ref="A248:B248"/>
    <mergeCell ref="C248:F249"/>
    <mergeCell ref="G248:G249"/>
    <mergeCell ref="A249:B249"/>
    <mergeCell ref="A3:G3"/>
    <mergeCell ref="A4:G4"/>
    <mergeCell ref="M4:N4"/>
    <mergeCell ref="A6:B6"/>
    <mergeCell ref="B242:D242"/>
    <mergeCell ref="M245:N245"/>
    <mergeCell ref="A1:G1"/>
    <mergeCell ref="M1:N1"/>
    <mergeCell ref="A2:G2"/>
    <mergeCell ref="M2:N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e303cb5-4075-4eb7-8b6f-500f279c231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8D4F1576204F5468CF1D9EE31E16CAE" ma:contentTypeVersion="11" ma:contentTypeDescription="Create a new document." ma:contentTypeScope="" ma:versionID="966117b3f878e8a77ab500b4103a7345">
  <xsd:schema xmlns:xsd="http://www.w3.org/2001/XMLSchema" xmlns:xs="http://www.w3.org/2001/XMLSchema" xmlns:p="http://schemas.microsoft.com/office/2006/metadata/properties" xmlns:ns3="5e303cb5-4075-4eb7-8b6f-500f279c231d" targetNamespace="http://schemas.microsoft.com/office/2006/metadata/properties" ma:root="true" ma:fieldsID="30073862dd8d156742a230d162942595" ns3:_="">
    <xsd:import namespace="5e303cb5-4075-4eb7-8b6f-500f279c231d"/>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303cb5-4075-4eb7-8b6f-500f279c23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DB0C61-5B55-4136-B490-603C8D2D823E}">
  <ds:schemaRefs>
    <ds:schemaRef ds:uri="5e303cb5-4075-4eb7-8b6f-500f279c231d"/>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8593FB22-498E-4440-A0E7-7FDF0972E9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303cb5-4075-4eb7-8b6f-500f279c23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A51EBE-0E66-422B-BC8C-F8B95F21A4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Synopsis of Line Items</vt:lpstr>
      <vt:lpstr>Summary</vt:lpstr>
      <vt:lpstr>Base Year </vt:lpstr>
      <vt:lpstr>Option One </vt:lpstr>
      <vt:lpstr>Option Two </vt:lpstr>
      <vt:lpstr>Option Three</vt:lpstr>
      <vt:lpstr>Option Four</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david.g.watkins1</dc:creator>
  <cp:lastModifiedBy>McGehee, Leslie Moore CIV USN NAVFAC MIDLANT NOR (USA)</cp:lastModifiedBy>
  <cp:lastPrinted>2024-09-24T10:31:35Z</cp:lastPrinted>
  <dcterms:created xsi:type="dcterms:W3CDTF">2024-08-21T17:05:27Z</dcterms:created>
  <dcterms:modified xsi:type="dcterms:W3CDTF">2025-06-30T18:25:07Z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0x01010038D4F1576204F5468CF1D9EE31E16CAE</vt:lpwstr>
  </property>
</Properties>
</file>