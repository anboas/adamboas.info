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ADCB3263-A9DC-45EE-B057-8B9319750F0D}" xr6:coauthVersionLast="47" xr6:coauthVersionMax="47" xr10:uidLastSave="{00000000-0000-0000-0000-000000000000}"/>
  <bookViews>
    <workbookView xWindow="-120" yWindow="90" windowWidth="20730" windowHeight="10950" xr2:uid="{00000000-000D-0000-FFFF-FFFF00000000}"/>
  </bookViews>
  <sheets>
    <sheet name="BLDG 20" sheetId="1" r:id="rId1"/>
    <sheet name="BLDG 30" sheetId="2" r:id="rId2"/>
    <sheet name="BLDG 52" sheetId="7" r:id="rId3"/>
    <sheet name="BLDG 101" sheetId="3" r:id="rId4"/>
    <sheet name="BLDG 152" sheetId="8" r:id="rId5"/>
    <sheet name="BLDG 155" sheetId="4" r:id="rId6"/>
    <sheet name="BLDG 178" sheetId="6" r:id="rId7"/>
  </sheets>
  <definedNames>
    <definedName name="_xlnm._FilterDatabase" localSheetId="0" hidden="1">'BLDG 20'!$A$3:$H$15</definedName>
    <definedName name="_xlnm._FilterDatabase" localSheetId="1" hidden="1">'BLDG 30'!$A$3:$H$10</definedName>
    <definedName name="_xlnm._FilterDatabase" localSheetId="2" hidden="1">'BLDG 52'!$A$3:$H$9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F9" i="7"/>
  <c r="F7" i="6" l="1"/>
  <c r="F7" i="4"/>
  <c r="F7" i="3"/>
  <c r="F10" i="2"/>
  <c r="F15" i="1"/>
</calcChain>
</file>

<file path=xl/sharedStrings.xml><?xml version="1.0" encoding="utf-8"?>
<sst xmlns="http://schemas.openxmlformats.org/spreadsheetml/2006/main" count="230" uniqueCount="41">
  <si>
    <t>PWD WASHINGTON</t>
  </si>
  <si>
    <t>Customer:  REGION NSF CARDEROCK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</si>
  <si>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</si>
  <si>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</si>
  <si>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</si>
  <si>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</si>
  <si>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</si>
  <si>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</si>
  <si>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</si>
  <si>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COL      Level</t>
  </si>
  <si>
    <t>Basement</t>
  </si>
  <si>
    <t xml:space="preserve">Operations  </t>
  </si>
  <si>
    <t>Tile</t>
  </si>
  <si>
    <t>Standard</t>
  </si>
  <si>
    <t>Carpet</t>
  </si>
  <si>
    <t>Stairway</t>
  </si>
  <si>
    <t>Concrete</t>
  </si>
  <si>
    <t>1st Floor</t>
  </si>
  <si>
    <t>Hallway</t>
  </si>
  <si>
    <t>General Admin Area</t>
  </si>
  <si>
    <t>Lobby</t>
  </si>
  <si>
    <t>Restrooms</t>
  </si>
  <si>
    <t>Entrance/Exit</t>
  </si>
  <si>
    <t>Entrance</t>
  </si>
  <si>
    <t>Designated Wet Area*</t>
  </si>
  <si>
    <t>Outside Vending</t>
  </si>
  <si>
    <t>TOTAL SF</t>
  </si>
  <si>
    <t xml:space="preserve">*Wet areas are rooms or spaces containing sanitary fixtures and appliances - including bathrooms and en suites, toilets, laundries, </t>
  </si>
  <si>
    <t>kitchens, entries, and garages.  They are subject to high levels of moisture from direct wetting.</t>
  </si>
  <si>
    <t>Kitchen</t>
  </si>
  <si>
    <t>Designated Wet Area*/CM</t>
  </si>
  <si>
    <t>Restroom</t>
  </si>
  <si>
    <t>Offices</t>
  </si>
  <si>
    <t>Common Area</t>
  </si>
  <si>
    <t>Laundry Room</t>
  </si>
  <si>
    <t>Exercise Room</t>
  </si>
  <si>
    <t>Sleeping Quarters</t>
  </si>
  <si>
    <t>Guard Station</t>
  </si>
  <si>
    <t>Gate #3</t>
  </si>
  <si>
    <t>Gate #2</t>
  </si>
  <si>
    <t>Designated Wet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</si>
</sst>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4" fillId="0" borderId="0"/>
  </cellStyleXfs>
  <cellXfs count="24">
    <xf numFmtId="0" fontId="0" fillId="0" borderId="0" xfId="0"/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3" fillId="0" borderId="1" xfId="8" applyNumberFormat="1" applyFont="1" applyFill="1" applyBorder="1" applyAlignment="1">
      <alignment horizontal="right" vertical="center" wrapText="1"/>
    </xf>
    <xf numFmtId="0" fontId="0" fillId="0" borderId="0" xfId="0"/>
    <xf numFmtId="0" fontId="3" fillId="0" borderId="1" xfId="8" applyFont="1" applyFill="1" applyBorder="1" applyAlignment="1">
      <alignment horizontal="left" vertical="center" wrapText="1"/>
    </xf>
    <xf numFmtId="0" fontId="3" fillId="0" borderId="1" xfId="8" applyFont="1" applyFill="1" applyBorder="1" applyAlignment="1">
      <alignment horizontal="center" vertical="center" wrapText="1"/>
    </xf>
    <xf numFmtId="3" fontId="3" fillId="0" borderId="1" xfId="8" applyNumberFormat="1" applyFont="1" applyFill="1" applyBorder="1" applyAlignment="1">
      <alignment horizontal="left" vertical="center" wrapText="1"/>
    </xf>
    <xf numFmtId="0" fontId="3" fillId="0" borderId="1" xfId="8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/>
    </xf>
    <xf numFmtId="1" fontId="3" fillId="0" borderId="1" xfId="8" applyNumberFormat="1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/>
    </xf>
    <xf numFmtId="0" fontId="3" fillId="0" borderId="1" xfId="8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9" xr:uid="{00000000-0005-0000-0000-000007000000}"/>
    <cellStyle name="Normal 2 4" xfId="10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3" sqref="H1:H1048576"/>
    </sheetView>
  </sheetViews>
  <sheetFormatPr defaultRowHeight="15"/>
  <cols>
    <col min="1" max="1" width="9.28515625" customWidth="1"/>
    <col min="2" max="2" width="14.140625" customWidth="1"/>
    <col min="3" max="3" width="9.5703125" customWidth="1"/>
    <col min="4" max="4" width="18.5703125" customWidth="1"/>
    <col min="5" max="5" width="11.28515625" customWidth="1"/>
    <col min="6" max="6" width="9.140625" customWidth="1"/>
    <col min="7" max="7" width="12.28515625" customWidth="1"/>
    <col min="8" max="8" width="9.85546875" customWidth="1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20</v>
      </c>
      <c r="B4" s="11" t="s">
        <v>10</v>
      </c>
      <c r="C4" s="11"/>
      <c r="D4" s="10" t="s">
        <v>11</v>
      </c>
      <c r="E4" s="16" t="s">
        <v>12</v>
      </c>
      <c r="F4" s="8">
        <v>236</v>
      </c>
      <c r="G4" s="1"/>
      <c r="H4" s="2" t="s">
        <v>13</v>
      </c>
    </row>
    <row r="5" spans="1:8" ht="15.75" customHeight="1">
      <c r="A5" s="15">
        <v>20</v>
      </c>
      <c r="B5" s="11" t="s">
        <v>10</v>
      </c>
      <c r="C5" s="11"/>
      <c r="D5" s="10" t="s">
        <v>11</v>
      </c>
      <c r="E5" s="16" t="s">
        <v>14</v>
      </c>
      <c r="F5" s="8">
        <v>200</v>
      </c>
      <c r="G5" s="1"/>
      <c r="H5" s="2" t="s">
        <v>13</v>
      </c>
    </row>
    <row r="6" spans="1:8">
      <c r="A6" s="15">
        <v>20</v>
      </c>
      <c r="B6" s="11" t="s">
        <v>10</v>
      </c>
      <c r="C6" s="11"/>
      <c r="D6" s="10" t="s">
        <v>15</v>
      </c>
      <c r="E6" s="16" t="s">
        <v>16</v>
      </c>
      <c r="F6" s="8">
        <v>100</v>
      </c>
      <c r="G6" s="1"/>
      <c r="H6" s="2" t="s">
        <v>13</v>
      </c>
    </row>
    <row r="7" spans="1:8">
      <c r="A7" s="15">
        <v>20</v>
      </c>
      <c r="B7" s="11" t="s">
        <v>17</v>
      </c>
      <c r="C7" s="11"/>
      <c r="D7" s="10" t="s">
        <v>18</v>
      </c>
      <c r="E7" s="16" t="s">
        <v>12</v>
      </c>
      <c r="F7" s="13">
        <v>751</v>
      </c>
      <c r="G7" s="1"/>
      <c r="H7" s="2" t="s">
        <v>13</v>
      </c>
    </row>
    <row r="8" spans="1:8">
      <c r="A8" s="15">
        <v>20</v>
      </c>
      <c r="B8" s="11" t="s">
        <v>17</v>
      </c>
      <c r="C8" s="11"/>
      <c r="D8" s="10" t="s">
        <v>19</v>
      </c>
      <c r="E8" s="16" t="s">
        <v>14</v>
      </c>
      <c r="F8" s="8">
        <v>950</v>
      </c>
      <c r="G8" s="1"/>
      <c r="H8" s="2" t="s">
        <v>13</v>
      </c>
    </row>
    <row r="9" spans="1:8">
      <c r="A9" s="15">
        <v>20</v>
      </c>
      <c r="B9" s="11" t="s">
        <v>17</v>
      </c>
      <c r="C9" s="11"/>
      <c r="D9" s="10" t="s">
        <v>20</v>
      </c>
      <c r="E9" s="16" t="s">
        <v>14</v>
      </c>
      <c r="F9" s="13">
        <v>450</v>
      </c>
      <c r="G9" s="1"/>
      <c r="H9" s="2" t="s">
        <v>13</v>
      </c>
    </row>
    <row r="10" spans="1:8">
      <c r="A10" s="15">
        <v>20</v>
      </c>
      <c r="B10" s="11" t="s">
        <v>17</v>
      </c>
      <c r="C10" s="11"/>
      <c r="D10" s="16" t="s">
        <v>21</v>
      </c>
      <c r="E10" s="16" t="s">
        <v>12</v>
      </c>
      <c r="F10" s="13">
        <v>100</v>
      </c>
      <c r="G10" s="1"/>
      <c r="H10" s="2" t="s">
        <v>13</v>
      </c>
    </row>
    <row r="11" spans="1:8">
      <c r="A11" s="15">
        <v>20</v>
      </c>
      <c r="B11" s="11" t="s">
        <v>17</v>
      </c>
      <c r="C11" s="11"/>
      <c r="D11" s="10" t="s">
        <v>22</v>
      </c>
      <c r="E11" s="16" t="s">
        <v>16</v>
      </c>
      <c r="F11" s="13">
        <v>475</v>
      </c>
      <c r="G11" s="1"/>
      <c r="H11" s="2" t="s">
        <v>13</v>
      </c>
    </row>
    <row r="12" spans="1:8">
      <c r="A12" s="15">
        <v>20</v>
      </c>
      <c r="B12" s="18" t="s">
        <v>17</v>
      </c>
      <c r="C12" s="18" t="s">
        <v>23</v>
      </c>
      <c r="D12" s="16" t="s">
        <v>24</v>
      </c>
      <c r="E12" s="16" t="s">
        <v>12</v>
      </c>
      <c r="F12" s="19">
        <v>20</v>
      </c>
      <c r="G12" s="17"/>
      <c r="H12" s="14" t="s">
        <v>13</v>
      </c>
    </row>
    <row r="13" spans="1:8">
      <c r="A13" s="15">
        <v>20</v>
      </c>
      <c r="B13" s="11" t="s">
        <v>17</v>
      </c>
      <c r="C13" s="11" t="s">
        <v>23</v>
      </c>
      <c r="D13" s="16" t="s">
        <v>24</v>
      </c>
      <c r="E13" s="16" t="s">
        <v>12</v>
      </c>
      <c r="F13" s="13">
        <v>15</v>
      </c>
      <c r="G13" s="17"/>
      <c r="H13" s="2" t="s">
        <v>13</v>
      </c>
    </row>
    <row r="14" spans="1:8">
      <c r="A14" s="15">
        <v>20</v>
      </c>
      <c r="B14" s="11" t="s">
        <v>25</v>
      </c>
      <c r="C14" s="18"/>
      <c r="D14" s="16" t="s">
        <v>24</v>
      </c>
      <c r="E14" s="16" t="s">
        <v>12</v>
      </c>
      <c r="F14" s="19">
        <v>15</v>
      </c>
      <c r="G14" s="17"/>
      <c r="H14" s="2" t="s">
        <v>13</v>
      </c>
    </row>
    <row r="15" spans="1:8">
      <c r="A15" s="9"/>
      <c r="B15" s="9"/>
      <c r="C15" s="9"/>
      <c r="D15" s="9"/>
      <c r="E15" s="5" t="s">
        <v>26</v>
      </c>
      <c r="F15" s="6">
        <f>SUM(F4:F14)</f>
        <v>3312</v>
      </c>
      <c r="G15" s="9"/>
      <c r="H15" s="9"/>
    </row>
    <row r="17" spans="2:10">
      <c r="B17" s="20" t="s">
        <v>27</v>
      </c>
      <c r="C17" s="21"/>
      <c r="D17" s="21"/>
      <c r="E17" s="21"/>
      <c r="F17" s="21"/>
      <c r="G17" s="21"/>
      <c r="H17" s="21"/>
      <c r="I17" s="21"/>
      <c r="J17" s="21"/>
    </row>
    <row r="18" spans="2:10">
      <c r="B18" s="21" t="s">
        <v>28</v>
      </c>
      <c r="C18" s="21"/>
      <c r="D18" s="21"/>
      <c r="E18" s="21"/>
      <c r="F18" s="21"/>
      <c r="G18" s="21"/>
      <c r="H18" s="21"/>
      <c r="I18" s="21"/>
      <c r="J18" s="21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H3" sqref="H1:H1048576"/>
    </sheetView>
  </sheetViews>
  <sheetFormatPr defaultRowHeight="15"/>
  <cols>
    <col min="1" max="1" width="9.28515625" customWidth="1"/>
    <col min="2" max="2" width="9" customWidth="1"/>
    <col min="3" max="3" width="9.5703125" customWidth="1"/>
    <col min="4" max="4" width="22.85546875" customWidth="1"/>
    <col min="5" max="5" width="12.85546875" customWidth="1"/>
    <col min="6" max="6" width="9.140625" customWidth="1"/>
    <col min="7" max="7" width="12.28515625" customWidth="1"/>
    <col min="8" max="8" width="9.85546875" customWidth="1"/>
  </cols>
  <sheetData>
    <row r="1" spans="1:10" ht="15" customHeight="1">
      <c r="A1" s="22" t="s">
        <v>0</v>
      </c>
      <c r="B1" s="22"/>
      <c r="C1" s="22"/>
      <c r="D1" s="22"/>
      <c r="E1" s="22"/>
      <c r="F1" s="22"/>
      <c r="G1" s="22"/>
      <c r="H1" s="22"/>
      <c r="I1" s="9"/>
      <c r="J1" s="9"/>
    </row>
    <row r="2" spans="1:10" ht="16.5" customHeight="1">
      <c r="A2" s="23" t="s">
        <v>1</v>
      </c>
      <c r="B2" s="23"/>
      <c r="C2" s="23"/>
      <c r="D2" s="23"/>
      <c r="E2" s="23"/>
      <c r="F2" s="23"/>
      <c r="G2" s="23"/>
      <c r="H2" s="23"/>
      <c r="I2" s="9"/>
      <c r="J2" s="9"/>
    </row>
    <row r="3" spans="1:10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9"/>
      <c r="J3" s="9"/>
    </row>
    <row r="4" spans="1:10" ht="17.25" customHeight="1">
      <c r="A4" s="15">
        <v>30</v>
      </c>
      <c r="B4" s="11" t="s">
        <v>17</v>
      </c>
      <c r="C4" s="11"/>
      <c r="D4" s="10" t="s">
        <v>19</v>
      </c>
      <c r="E4" s="16" t="s">
        <v>12</v>
      </c>
      <c r="F4" s="8">
        <v>597</v>
      </c>
      <c r="G4" s="1"/>
      <c r="H4" s="2" t="s">
        <v>13</v>
      </c>
      <c r="I4" s="9"/>
      <c r="J4" s="9"/>
    </row>
    <row r="5" spans="1:10" ht="15.75" customHeight="1">
      <c r="A5" s="15">
        <v>30</v>
      </c>
      <c r="B5" s="11" t="s">
        <v>17</v>
      </c>
      <c r="C5" s="11"/>
      <c r="D5" s="10" t="s">
        <v>19</v>
      </c>
      <c r="E5" s="16" t="s">
        <v>14</v>
      </c>
      <c r="F5" s="8">
        <v>2648</v>
      </c>
      <c r="G5" s="1"/>
      <c r="H5" s="2" t="s">
        <v>13</v>
      </c>
      <c r="I5" s="9"/>
      <c r="J5" s="9"/>
    </row>
    <row r="6" spans="1:10">
      <c r="A6" s="15">
        <v>30</v>
      </c>
      <c r="B6" s="11" t="s">
        <v>17</v>
      </c>
      <c r="C6" s="11"/>
      <c r="D6" s="10" t="s">
        <v>20</v>
      </c>
      <c r="E6" s="16" t="s">
        <v>12</v>
      </c>
      <c r="F6" s="8">
        <v>245</v>
      </c>
      <c r="G6" s="1"/>
      <c r="H6" s="2" t="s">
        <v>13</v>
      </c>
      <c r="I6" s="9"/>
      <c r="J6" s="9"/>
    </row>
    <row r="7" spans="1:10">
      <c r="A7" s="15">
        <v>30</v>
      </c>
      <c r="B7" s="11" t="s">
        <v>17</v>
      </c>
      <c r="C7" s="11"/>
      <c r="D7" s="16" t="s">
        <v>21</v>
      </c>
      <c r="E7" s="16" t="s">
        <v>12</v>
      </c>
      <c r="F7" s="8">
        <v>315</v>
      </c>
      <c r="G7" s="1"/>
      <c r="H7" s="2" t="s">
        <v>13</v>
      </c>
      <c r="I7" s="9"/>
      <c r="J7" s="9"/>
    </row>
    <row r="8" spans="1:10">
      <c r="A8" s="15">
        <v>30</v>
      </c>
      <c r="B8" s="11" t="s">
        <v>17</v>
      </c>
      <c r="C8" s="11"/>
      <c r="D8" s="10" t="s">
        <v>22</v>
      </c>
      <c r="E8" s="16" t="s">
        <v>16</v>
      </c>
      <c r="F8" s="8">
        <v>75</v>
      </c>
      <c r="G8" s="1"/>
      <c r="H8" s="2" t="s">
        <v>13</v>
      </c>
      <c r="I8" s="9"/>
      <c r="J8" s="9"/>
    </row>
    <row r="9" spans="1:10">
      <c r="A9" s="15">
        <v>30</v>
      </c>
      <c r="B9" s="11" t="s">
        <v>17</v>
      </c>
      <c r="C9" s="11" t="s">
        <v>29</v>
      </c>
      <c r="D9" s="10" t="s">
        <v>30</v>
      </c>
      <c r="E9" s="16" t="s">
        <v>12</v>
      </c>
      <c r="F9" s="8">
        <v>20</v>
      </c>
      <c r="G9" s="1"/>
      <c r="H9" s="2" t="s">
        <v>13</v>
      </c>
      <c r="I9" s="9"/>
      <c r="J9" s="9"/>
    </row>
    <row r="10" spans="1:10">
      <c r="A10" s="9"/>
      <c r="B10" s="3"/>
      <c r="C10" s="9"/>
      <c r="D10" s="9"/>
      <c r="E10" s="5" t="s">
        <v>26</v>
      </c>
      <c r="F10" s="6">
        <f>SUM(F4:F9)</f>
        <v>3900</v>
      </c>
      <c r="G10" s="9"/>
      <c r="H10" s="9"/>
      <c r="I10" s="9"/>
      <c r="J10" s="9"/>
    </row>
    <row r="11" spans="1:10">
      <c r="A11" s="9"/>
      <c r="B11" s="9"/>
      <c r="C11" s="9"/>
      <c r="D11" s="9"/>
      <c r="E11" s="7"/>
      <c r="F11" s="7"/>
      <c r="G11" s="9"/>
      <c r="H11" s="9"/>
      <c r="I11" s="9"/>
      <c r="J11" s="9"/>
    </row>
    <row r="12" spans="1:10">
      <c r="A12" s="9"/>
      <c r="B12" s="20" t="s">
        <v>27</v>
      </c>
      <c r="C12" s="21"/>
      <c r="D12" s="21"/>
      <c r="E12" s="21"/>
      <c r="F12" s="21"/>
      <c r="G12" s="21"/>
      <c r="H12" s="21"/>
      <c r="I12" s="21"/>
      <c r="J12" s="21"/>
    </row>
    <row r="13" spans="1:10">
      <c r="A13" s="9"/>
      <c r="B13" s="21" t="s">
        <v>28</v>
      </c>
      <c r="C13" s="21"/>
      <c r="D13" s="21"/>
      <c r="E13" s="21"/>
      <c r="F13" s="21"/>
      <c r="G13" s="21"/>
      <c r="H13" s="21"/>
      <c r="I13" s="21"/>
      <c r="J13" s="21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H4" sqref="H4"/>
    </sheetView>
  </sheetViews>
  <sheetFormatPr defaultRowHeight="15"/>
  <cols>
    <col min="1" max="1" width="9.28515625" customWidth="1"/>
    <col min="2" max="2" width="9" customWidth="1"/>
    <col min="3" max="3" width="9.5703125" customWidth="1"/>
    <col min="4" max="4" width="22.85546875" customWidth="1"/>
    <col min="5" max="5" width="12.85546875" customWidth="1"/>
    <col min="6" max="6" width="9.140625" customWidth="1"/>
    <col min="7" max="7" width="12.28515625" customWidth="1"/>
    <col min="8" max="8" width="9.85546875" customWidth="1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52</v>
      </c>
      <c r="B4" s="10" t="s">
        <v>17</v>
      </c>
      <c r="C4" s="11"/>
      <c r="D4" s="10" t="s">
        <v>31</v>
      </c>
      <c r="E4" s="12" t="s">
        <v>12</v>
      </c>
      <c r="F4" s="13">
        <v>63</v>
      </c>
      <c r="G4" s="1"/>
      <c r="H4" s="2" t="s">
        <v>13</v>
      </c>
    </row>
    <row r="5" spans="1:8" ht="15.75" customHeight="1">
      <c r="A5" s="15">
        <v>52</v>
      </c>
      <c r="B5" s="10" t="s">
        <v>17</v>
      </c>
      <c r="C5" s="11"/>
      <c r="D5" s="10" t="s">
        <v>32</v>
      </c>
      <c r="E5" s="12" t="s">
        <v>14</v>
      </c>
      <c r="F5" s="13">
        <v>400</v>
      </c>
      <c r="G5" s="1"/>
      <c r="H5" s="2" t="s">
        <v>13</v>
      </c>
    </row>
    <row r="6" spans="1:8">
      <c r="A6" s="15">
        <v>52</v>
      </c>
      <c r="B6" s="10" t="s">
        <v>17</v>
      </c>
      <c r="C6" s="11"/>
      <c r="D6" s="10" t="s">
        <v>33</v>
      </c>
      <c r="E6" s="12" t="s">
        <v>14</v>
      </c>
      <c r="F6" s="13">
        <v>281</v>
      </c>
      <c r="G6" s="1"/>
      <c r="H6" s="2" t="s">
        <v>13</v>
      </c>
    </row>
    <row r="7" spans="1:8">
      <c r="A7" s="15">
        <v>52</v>
      </c>
      <c r="B7" s="10" t="s">
        <v>17</v>
      </c>
      <c r="C7" s="11"/>
      <c r="D7" s="10" t="s">
        <v>18</v>
      </c>
      <c r="E7" s="12" t="s">
        <v>12</v>
      </c>
      <c r="F7" s="13">
        <v>234</v>
      </c>
      <c r="G7" s="1"/>
      <c r="H7" s="2" t="s">
        <v>13</v>
      </c>
    </row>
    <row r="8" spans="1:8">
      <c r="A8" s="15">
        <v>52</v>
      </c>
      <c r="B8" s="10" t="s">
        <v>17</v>
      </c>
      <c r="C8" s="11"/>
      <c r="D8" s="10" t="s">
        <v>29</v>
      </c>
      <c r="E8" s="12" t="s">
        <v>12</v>
      </c>
      <c r="F8" s="13">
        <v>118</v>
      </c>
      <c r="G8" s="1"/>
      <c r="H8" s="2" t="s">
        <v>13</v>
      </c>
    </row>
    <row r="9" spans="1:8">
      <c r="A9" s="9"/>
      <c r="B9" s="3"/>
      <c r="C9" s="9"/>
      <c r="D9" s="9"/>
      <c r="E9" s="5" t="s">
        <v>26</v>
      </c>
      <c r="F9" s="6">
        <f>SUM(F4:F8)</f>
        <v>1096</v>
      </c>
      <c r="G9" s="9"/>
      <c r="H9" s="9"/>
    </row>
    <row r="10" spans="1:8">
      <c r="A10" s="9"/>
      <c r="B10" s="9"/>
      <c r="C10" s="9"/>
      <c r="D10" s="9"/>
      <c r="E10" s="7"/>
      <c r="F10" s="7"/>
      <c r="G10" s="9"/>
      <c r="H10" s="9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H4" sqref="H4:H6"/>
    </sheetView>
  </sheetViews>
  <sheetFormatPr defaultRowHeight="15"/>
  <cols>
    <col min="1" max="1" width="9.28515625" customWidth="1"/>
    <col min="2" max="2" width="9" customWidth="1"/>
    <col min="3" max="3" width="9.5703125" customWidth="1"/>
    <col min="4" max="4" width="16.85546875" customWidth="1"/>
    <col min="5" max="5" width="11.5703125" customWidth="1"/>
    <col min="6" max="6" width="9.140625" customWidth="1"/>
    <col min="7" max="7" width="12.28515625" customWidth="1"/>
    <col min="8" max="8" width="9.85546875" customWidth="1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101</v>
      </c>
      <c r="B4" s="11" t="s">
        <v>17</v>
      </c>
      <c r="C4" s="11"/>
      <c r="D4" s="10" t="s">
        <v>20</v>
      </c>
      <c r="E4" s="16" t="s">
        <v>12</v>
      </c>
      <c r="F4" s="13">
        <v>180</v>
      </c>
      <c r="G4" s="1"/>
      <c r="H4" s="2" t="s">
        <v>13</v>
      </c>
    </row>
    <row r="5" spans="1:8" ht="15.75" customHeight="1">
      <c r="A5" s="15">
        <v>101</v>
      </c>
      <c r="B5" s="11" t="s">
        <v>17</v>
      </c>
      <c r="C5" s="11"/>
      <c r="D5" s="16" t="s">
        <v>21</v>
      </c>
      <c r="E5" s="16" t="s">
        <v>12</v>
      </c>
      <c r="F5" s="13">
        <v>342</v>
      </c>
      <c r="G5" s="1"/>
      <c r="H5" s="2" t="s">
        <v>13</v>
      </c>
    </row>
    <row r="6" spans="1:8">
      <c r="A6" s="15">
        <v>101</v>
      </c>
      <c r="B6" s="11" t="s">
        <v>17</v>
      </c>
      <c r="C6" s="11"/>
      <c r="D6" s="10" t="s">
        <v>22</v>
      </c>
      <c r="E6" s="16" t="s">
        <v>16</v>
      </c>
      <c r="F6" s="13">
        <v>75</v>
      </c>
      <c r="G6" s="1"/>
      <c r="H6" s="2" t="s">
        <v>13</v>
      </c>
    </row>
    <row r="7" spans="1:8">
      <c r="A7" s="9"/>
      <c r="B7" s="3"/>
      <c r="C7" s="9"/>
      <c r="D7" s="9"/>
      <c r="E7" s="5" t="s">
        <v>26</v>
      </c>
      <c r="F7" s="5">
        <f>SUM(F4:F6)</f>
        <v>597</v>
      </c>
      <c r="G7" s="9"/>
      <c r="H7" s="9"/>
    </row>
    <row r="8" spans="1:8">
      <c r="A8" s="9"/>
      <c r="B8" s="3"/>
      <c r="C8" s="9"/>
      <c r="D8" s="9"/>
      <c r="E8" s="9"/>
      <c r="F8" s="9"/>
      <c r="G8" s="9"/>
      <c r="H8" s="9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selection activeCell="H4" sqref="H4:H8"/>
    </sheetView>
  </sheetViews>
  <sheetFormatPr defaultRowHeight="15"/>
  <cols>
    <col min="1" max="1" width="9.28515625" style="9" customWidth="1"/>
    <col min="2" max="2" width="9" style="9" customWidth="1"/>
    <col min="3" max="3" width="9.5703125" style="9" customWidth="1"/>
    <col min="4" max="4" width="22.85546875" style="9" customWidth="1"/>
    <col min="5" max="5" width="12.85546875" style="9" customWidth="1"/>
    <col min="6" max="6" width="9.140625" style="9" customWidth="1"/>
    <col min="7" max="7" width="12.28515625" style="9" customWidth="1"/>
    <col min="8" max="8" width="9.85546875" style="9" customWidth="1"/>
    <col min="9" max="16384" width="9.140625" style="9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152</v>
      </c>
      <c r="B4" s="11" t="s">
        <v>17</v>
      </c>
      <c r="C4" s="11"/>
      <c r="D4" s="10" t="s">
        <v>31</v>
      </c>
      <c r="E4" s="12" t="s">
        <v>12</v>
      </c>
      <c r="F4" s="13">
        <v>88</v>
      </c>
      <c r="G4" s="1"/>
      <c r="H4" s="2" t="s">
        <v>13</v>
      </c>
    </row>
    <row r="5" spans="1:8" ht="15.75" customHeight="1">
      <c r="A5" s="15">
        <v>152</v>
      </c>
      <c r="B5" s="11" t="s">
        <v>17</v>
      </c>
      <c r="C5" s="11"/>
      <c r="D5" s="10" t="s">
        <v>34</v>
      </c>
      <c r="E5" s="12" t="s">
        <v>12</v>
      </c>
      <c r="F5" s="13">
        <v>105</v>
      </c>
      <c r="G5" s="1"/>
      <c r="H5" s="2" t="s">
        <v>13</v>
      </c>
    </row>
    <row r="6" spans="1:8">
      <c r="A6" s="15">
        <v>152</v>
      </c>
      <c r="B6" s="11" t="s">
        <v>17</v>
      </c>
      <c r="C6" s="11"/>
      <c r="D6" s="10" t="s">
        <v>35</v>
      </c>
      <c r="E6" s="12" t="s">
        <v>14</v>
      </c>
      <c r="F6" s="13">
        <v>377</v>
      </c>
      <c r="G6" s="1"/>
      <c r="H6" s="2" t="s">
        <v>13</v>
      </c>
    </row>
    <row r="7" spans="1:8">
      <c r="A7" s="15">
        <v>152</v>
      </c>
      <c r="B7" s="11" t="s">
        <v>17</v>
      </c>
      <c r="C7" s="11"/>
      <c r="D7" s="10" t="s">
        <v>33</v>
      </c>
      <c r="E7" s="12" t="s">
        <v>14</v>
      </c>
      <c r="F7" s="13">
        <v>304</v>
      </c>
      <c r="G7" s="1"/>
      <c r="H7" s="2" t="s">
        <v>13</v>
      </c>
    </row>
    <row r="8" spans="1:8">
      <c r="A8" s="15">
        <v>152</v>
      </c>
      <c r="B8" s="11" t="s">
        <v>17</v>
      </c>
      <c r="C8" s="11"/>
      <c r="D8" s="10" t="s">
        <v>36</v>
      </c>
      <c r="E8" s="12" t="s">
        <v>14</v>
      </c>
      <c r="F8" s="13">
        <v>548</v>
      </c>
      <c r="G8" s="1"/>
      <c r="H8" s="2" t="s">
        <v>13</v>
      </c>
    </row>
    <row r="9" spans="1:8">
      <c r="B9" s="3"/>
      <c r="E9" s="5" t="s">
        <v>26</v>
      </c>
      <c r="F9" s="6">
        <f>SUM(F4:F8)</f>
        <v>1422</v>
      </c>
    </row>
    <row r="10" spans="1:8">
      <c r="E10" s="7"/>
      <c r="F10" s="7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H3" sqref="H1:H1048576"/>
    </sheetView>
  </sheetViews>
  <sheetFormatPr defaultRowHeight="15"/>
  <cols>
    <col min="1" max="1" width="9.28515625" customWidth="1"/>
    <col min="2" max="2" width="11.85546875" customWidth="1"/>
    <col min="3" max="3" width="8.7109375" customWidth="1"/>
    <col min="4" max="4" width="19.85546875" customWidth="1"/>
    <col min="5" max="5" width="12.28515625" customWidth="1"/>
    <col min="6" max="6" width="9.140625" customWidth="1"/>
    <col min="7" max="7" width="12.28515625" customWidth="1"/>
    <col min="8" max="8" width="9.85546875" customWidth="1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155</v>
      </c>
      <c r="B4" s="11" t="s">
        <v>37</v>
      </c>
      <c r="C4" s="11"/>
      <c r="D4" s="10" t="s">
        <v>19</v>
      </c>
      <c r="E4" s="16" t="s">
        <v>12</v>
      </c>
      <c r="F4" s="8">
        <v>125</v>
      </c>
      <c r="G4" s="1"/>
      <c r="H4" s="2" t="s">
        <v>13</v>
      </c>
    </row>
    <row r="5" spans="1:8" ht="15.75" customHeight="1">
      <c r="A5" s="15">
        <v>155</v>
      </c>
      <c r="B5" s="11" t="s">
        <v>37</v>
      </c>
      <c r="C5" s="11"/>
      <c r="D5" s="10" t="s">
        <v>22</v>
      </c>
      <c r="E5" s="16" t="s">
        <v>16</v>
      </c>
      <c r="F5" s="8">
        <v>25</v>
      </c>
      <c r="G5" s="1"/>
      <c r="H5" s="2" t="s">
        <v>13</v>
      </c>
    </row>
    <row r="6" spans="1:8">
      <c r="A6" s="15">
        <v>155</v>
      </c>
      <c r="B6" s="11" t="s">
        <v>37</v>
      </c>
      <c r="C6" s="11" t="s">
        <v>38</v>
      </c>
      <c r="D6" s="10" t="s">
        <v>31</v>
      </c>
      <c r="E6" s="16" t="s">
        <v>12</v>
      </c>
      <c r="F6" s="13">
        <v>30</v>
      </c>
      <c r="G6" s="1"/>
      <c r="H6" s="2" t="s">
        <v>13</v>
      </c>
    </row>
    <row r="7" spans="1:8">
      <c r="A7" s="9"/>
      <c r="B7" s="9"/>
      <c r="C7" s="9"/>
      <c r="D7" s="9"/>
      <c r="E7" s="5" t="s">
        <v>26</v>
      </c>
      <c r="F7" s="6">
        <f>SUM(F4:F6)</f>
        <v>180</v>
      </c>
      <c r="G7" s="9"/>
      <c r="H7" s="9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H3" sqref="H1:H1048576"/>
    </sheetView>
  </sheetViews>
  <sheetFormatPr defaultRowHeight="15"/>
  <cols>
    <col min="1" max="1" width="9.28515625" customWidth="1"/>
    <col min="2" max="2" width="12.7109375" customWidth="1"/>
    <col min="3" max="3" width="9.5703125" customWidth="1"/>
    <col min="4" max="4" width="19" customWidth="1"/>
    <col min="5" max="5" width="10.42578125" customWidth="1"/>
    <col min="6" max="6" width="9.140625" customWidth="1"/>
    <col min="7" max="7" width="12.28515625" customWidth="1"/>
    <col min="8" max="8" width="9.85546875" customWidth="1"/>
    <col min="9" max="9" width="9.140625" customWidth="1"/>
  </cols>
  <sheetData>
    <row r="1" spans="1:8" ht="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6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7.25" customHeight="1">
      <c r="A4" s="15">
        <v>178</v>
      </c>
      <c r="B4" s="11" t="s">
        <v>37</v>
      </c>
      <c r="C4" s="11"/>
      <c r="D4" s="10" t="s">
        <v>19</v>
      </c>
      <c r="E4" s="16" t="s">
        <v>12</v>
      </c>
      <c r="F4" s="8">
        <v>70</v>
      </c>
      <c r="G4" s="1"/>
      <c r="H4" s="2" t="s">
        <v>13</v>
      </c>
    </row>
    <row r="5" spans="1:8" ht="15.75" customHeight="1">
      <c r="A5" s="15">
        <v>178</v>
      </c>
      <c r="B5" s="11" t="s">
        <v>37</v>
      </c>
      <c r="C5" s="11" t="s">
        <v>39</v>
      </c>
      <c r="D5" s="10" t="s">
        <v>40</v>
      </c>
      <c r="E5" s="16" t="s">
        <v>12</v>
      </c>
      <c r="F5" s="8">
        <v>25</v>
      </c>
      <c r="G5" s="1"/>
      <c r="H5" s="2" t="s">
        <v>13</v>
      </c>
    </row>
    <row r="6" spans="1:8">
      <c r="A6" s="15">
        <v>178</v>
      </c>
      <c r="B6" s="11" t="s">
        <v>37</v>
      </c>
      <c r="C6" s="11"/>
      <c r="D6" s="10" t="s">
        <v>22</v>
      </c>
      <c r="E6" s="16" t="s">
        <v>16</v>
      </c>
      <c r="F6" s="8">
        <v>25</v>
      </c>
      <c r="G6" s="1"/>
      <c r="H6" s="2" t="s">
        <v>13</v>
      </c>
    </row>
    <row r="7" spans="1:8">
      <c r="A7" s="9"/>
      <c r="B7" s="9"/>
      <c r="C7" s="9"/>
      <c r="D7" s="9"/>
      <c r="E7" s="5" t="s">
        <v>26</v>
      </c>
      <c r="F7" s="6">
        <f>SUM(F4:F6)</f>
        <v>120</v>
      </c>
      <c r="G7" s="9"/>
      <c r="H7" s="9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d83f9034d0cf843eaa9f5e4108d0d11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7ab4f2bbed00b213cbdfaf765982f850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F5EFE-79AB-4334-B666-28D33644F1DE}"/>
</file>

<file path=customXml/itemProps2.xml><?xml version="1.0" encoding="utf-8"?>
<ds:datastoreItem xmlns:ds="http://schemas.openxmlformats.org/officeDocument/2006/customXml" ds:itemID="{38AB4049-E2E5-4EF4-84AC-C6DCC0B25EAC}"/>
</file>

<file path=customXml/itemProps3.xml><?xml version="1.0" encoding="utf-8"?>
<ds:datastoreItem xmlns:ds="http://schemas.openxmlformats.org/officeDocument/2006/customXml" ds:itemID="{D4881D61-0D76-47E6-8D3C-1DD0724E1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2026-01-26T19:20:29Z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