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flankspeed-my.sharepoint-mil.us/personal/nicholas_t_stewart2_civ_us_navy_mil/Documents/Documents/"/>
    </mc:Choice>
  </mc:AlternateContent>
  <xr:revisionPtr revIDLastSave="0" documentId="8_{ABA1970E-99A4-40CD-BA5D-2524162EB635}" xr6:coauthVersionLast="47" xr6:coauthVersionMax="47" xr10:uidLastSave="{00000000-0000-0000-0000-000000000000}"/>
  <bookViews>
    <workbookView xWindow="-120" yWindow="90" windowWidth="29040" windowHeight="15510" xr2:uid="{00000000-000D-0000-FFFF-FFFF00000000}"/>
  </bookViews>
  <sheets>
    <sheet name="Attachment 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1" l="1"/>
  <c r="B196" i="1"/>
  <c r="D195" i="1"/>
  <c r="D196" i="1"/>
  <c r="D194" i="1"/>
  <c r="D193" i="1"/>
  <c r="D192" i="1"/>
  <c r="D191" i="1"/>
  <c r="D190" i="1"/>
  <c r="D189" i="1"/>
  <c r="D188" i="1"/>
  <c r="D187" i="1"/>
  <c r="D186" i="1"/>
  <c r="D185" i="1"/>
  <c r="D184" i="1"/>
  <c r="D183" i="1"/>
  <c r="D182" i="1"/>
  <c r="D181" i="1"/>
  <c r="D180" i="1"/>
  <c r="D179" i="1"/>
  <c r="D178" i="1"/>
  <c r="D177" i="1"/>
  <c r="D176" i="1"/>
  <c r="B163" i="1"/>
  <c r="D162" i="1"/>
  <c r="D163" i="1"/>
  <c r="D161" i="1"/>
  <c r="D160" i="1"/>
  <c r="D159" i="1"/>
  <c r="D158" i="1"/>
  <c r="D157" i="1"/>
  <c r="D156" i="1"/>
  <c r="D155" i="1"/>
  <c r="D154" i="1"/>
  <c r="D153" i="1"/>
  <c r="D152" i="1"/>
  <c r="D151" i="1"/>
  <c r="D150" i="1"/>
  <c r="D149" i="1"/>
  <c r="D148" i="1"/>
  <c r="D147" i="1"/>
  <c r="D146" i="1"/>
  <c r="D145" i="1"/>
  <c r="D144" i="1"/>
  <c r="D143" i="1"/>
  <c r="B130" i="1"/>
  <c r="D129" i="1"/>
  <c r="D130" i="1"/>
  <c r="D128" i="1"/>
  <c r="D127" i="1"/>
  <c r="D126" i="1"/>
  <c r="D125" i="1"/>
  <c r="D124" i="1"/>
  <c r="D123" i="1"/>
  <c r="D122" i="1"/>
  <c r="D121" i="1"/>
  <c r="D120" i="1"/>
  <c r="D119" i="1"/>
  <c r="D118" i="1"/>
  <c r="D117" i="1"/>
  <c r="D116" i="1"/>
  <c r="D115" i="1"/>
  <c r="D114" i="1"/>
  <c r="D113" i="1"/>
  <c r="D112" i="1"/>
  <c r="D111" i="1"/>
  <c r="D110" i="1"/>
  <c r="B97" i="1"/>
  <c r="D96" i="1"/>
  <c r="D95" i="1"/>
  <c r="D94" i="1"/>
  <c r="D93" i="1"/>
  <c r="D92" i="1"/>
  <c r="D91" i="1"/>
  <c r="D90" i="1"/>
  <c r="D89" i="1"/>
  <c r="D88" i="1"/>
  <c r="D87" i="1"/>
  <c r="D86" i="1"/>
  <c r="D85" i="1"/>
  <c r="D84" i="1"/>
  <c r="D83" i="1"/>
  <c r="D82" i="1"/>
  <c r="D81" i="1"/>
  <c r="D80" i="1"/>
  <c r="D79" i="1"/>
  <c r="D78" i="1"/>
  <c r="D77" i="1"/>
  <c r="B63" i="1"/>
  <c r="D62" i="1"/>
  <c r="D61" i="1"/>
  <c r="D60" i="1"/>
  <c r="D59" i="1"/>
  <c r="D58" i="1"/>
  <c r="D57" i="1"/>
  <c r="D56" i="1"/>
  <c r="D55" i="1"/>
  <c r="D54" i="1"/>
  <c r="D53" i="1"/>
  <c r="D52" i="1"/>
  <c r="D51" i="1"/>
  <c r="D50" i="1"/>
  <c r="D49" i="1"/>
  <c r="D48" i="1"/>
  <c r="D47" i="1"/>
  <c r="D46" i="1"/>
  <c r="D45" i="1"/>
  <c r="D44" i="1"/>
  <c r="D43" i="1"/>
  <c r="D71" i="1"/>
  <c r="D72" i="1"/>
  <c r="D73" i="1"/>
  <c r="D74" i="1"/>
  <c r="D75" i="1"/>
  <c r="D76" i="1"/>
  <c r="D28" i="1"/>
  <c r="D27" i="1"/>
  <c r="D26" i="1"/>
  <c r="D25" i="1"/>
  <c r="D24" i="1"/>
  <c r="D23" i="1"/>
  <c r="D22" i="1"/>
  <c r="D21" i="1"/>
  <c r="D20" i="1"/>
  <c r="D19" i="1"/>
  <c r="D18" i="1"/>
  <c r="D17" i="1"/>
  <c r="D16" i="1"/>
  <c r="D15" i="1"/>
  <c r="D14" i="1"/>
  <c r="D13" i="1"/>
  <c r="D12" i="1"/>
  <c r="D11" i="1"/>
  <c r="D10" i="1"/>
  <c r="D9" i="1"/>
  <c r="D97" i="1" l="1"/>
  <c r="D101" i="1" s="1"/>
  <c r="D171" i="1"/>
  <c r="D175" i="1"/>
  <c r="D174" i="1"/>
  <c r="D173" i="1"/>
  <c r="D172" i="1"/>
  <c r="D170" i="1"/>
  <c r="D142" i="1"/>
  <c r="D141" i="1"/>
  <c r="D140" i="1"/>
  <c r="D139" i="1"/>
  <c r="D138" i="1"/>
  <c r="D137" i="1"/>
  <c r="D109" i="1"/>
  <c r="D108" i="1"/>
  <c r="D107" i="1"/>
  <c r="D106" i="1"/>
  <c r="D105" i="1"/>
  <c r="D104" i="1"/>
  <c r="D42" i="1"/>
  <c r="D41" i="1"/>
  <c r="D40" i="1"/>
  <c r="D39" i="1"/>
  <c r="D38" i="1"/>
  <c r="D37" i="1"/>
  <c r="D4" i="1"/>
  <c r="D5" i="1"/>
  <c r="D6" i="1"/>
  <c r="D7" i="1"/>
  <c r="D8" i="1"/>
  <c r="D3" i="1"/>
  <c r="D63" i="1" l="1"/>
  <c r="D67" i="1" s="1"/>
  <c r="D29" i="1"/>
  <c r="D33" i="1" s="1"/>
  <c r="D200" i="1"/>
  <c r="D167" i="1"/>
  <c r="D134" i="1"/>
  <c r="B202" i="1" l="1"/>
</calcChain>
</file>

<file path=xl/sharedStrings.xml><?xml version="1.0" encoding="utf-8"?>
<sst xmlns="http://schemas.openxmlformats.org/spreadsheetml/2006/main" count="218" uniqueCount="85">
  <si>
    <t>Year 1 Hours</t>
  </si>
  <si>
    <t>Year 1 Rate</t>
  </si>
  <si>
    <t>Year 1 Extended Price</t>
  </si>
  <si>
    <t>Year 2 Hours</t>
  </si>
  <si>
    <t>Year 2 Rate</t>
  </si>
  <si>
    <t>Year 2 Extended Price</t>
  </si>
  <si>
    <t>FAR clause 52.217-8 (6 month) Categories</t>
  </si>
  <si>
    <t>52.217-8 Hours</t>
  </si>
  <si>
    <t>52.217-8 Rate</t>
  </si>
  <si>
    <t>52.217-8 Extended Price</t>
  </si>
  <si>
    <t>Year 3 Hours</t>
  </si>
  <si>
    <t>Year 3 Rate</t>
  </si>
  <si>
    <t>Year 3 Extended Price</t>
  </si>
  <si>
    <t>Year 4 Hours</t>
  </si>
  <si>
    <t>Year 4 Rate</t>
  </si>
  <si>
    <t>Year 4 Extended Price</t>
  </si>
  <si>
    <t>Total - 5 years + 52.217-8</t>
  </si>
  <si>
    <t>Year 1 Travel</t>
  </si>
  <si>
    <t>Year 1 Labor + Travel</t>
  </si>
  <si>
    <t>Unburdened</t>
  </si>
  <si>
    <t>Burdens (if any)</t>
  </si>
  <si>
    <t>Burdened Travel</t>
  </si>
  <si>
    <t>Year 1 Labor Categories</t>
  </si>
  <si>
    <t>Year 2 Labor Categories</t>
  </si>
  <si>
    <t>Year 3 Labor Categories</t>
  </si>
  <si>
    <t>Year 4 Labor Categories</t>
  </si>
  <si>
    <t>Year 2 Travel</t>
  </si>
  <si>
    <t>Year 2 Labor + Travel</t>
  </si>
  <si>
    <t>FAR clause 52.217-8 Travel</t>
  </si>
  <si>
    <t>FAR clause 52.217-8 Labor + Travel</t>
  </si>
  <si>
    <t>Year 4 Labor + Travel</t>
  </si>
  <si>
    <t>Year 4 Travel</t>
  </si>
  <si>
    <t>Year 3 Labor + Travel</t>
  </si>
  <si>
    <t>Year 3 Travel</t>
  </si>
  <si>
    <r>
      <rPr>
        <b/>
        <sz val="10"/>
        <color theme="1"/>
        <rFont val="Times New Roman"/>
        <family val="1"/>
      </rPr>
      <t>Instructions:</t>
    </r>
    <r>
      <rPr>
        <sz val="10"/>
        <color theme="1"/>
        <rFont val="Times New Roman"/>
        <family val="1"/>
      </rPr>
      <t xml:space="preserve">  Provide the fully burdened hourly rate for each labor category for each performance period.  Complete the extended price and the labor subtotals for each performance period  Apply burdens, if any, to the Government-provided travel amount and complete the fully burdened travel amount for each performance period.  Provide the sum of the labor and travel for each performance period.  Provide the total for the entire five-year and FAR clause 52.217-8 ordering period.</t>
    </r>
  </si>
  <si>
    <t>Year 1 Labor Subtotal</t>
  </si>
  <si>
    <t>Year 2 Labor Subtotal</t>
  </si>
  <si>
    <t>Year 3 Labor Subtotal</t>
  </si>
  <si>
    <t>Year 4 Labor Subtotal</t>
  </si>
  <si>
    <t>FAR clause 52.217-8 Labor Subtotal</t>
  </si>
  <si>
    <t>BASE Year Labor Categories</t>
  </si>
  <si>
    <t>BASE Year  Hours</t>
  </si>
  <si>
    <t>BASE Year  Rate</t>
  </si>
  <si>
    <t>BASE Year Extended Price</t>
  </si>
  <si>
    <t>BASE Year Labor Subtotal</t>
  </si>
  <si>
    <t>BASE Year Travel</t>
  </si>
  <si>
    <t>BASE Year Labor + Travel</t>
  </si>
  <si>
    <t>Senior Program Manager</t>
  </si>
  <si>
    <t>Journeyman Program Manager</t>
  </si>
  <si>
    <t>Senior T+E Engineer</t>
  </si>
  <si>
    <t>Journeyman T+E Engineer</t>
  </si>
  <si>
    <t>Senior Operation Analyst</t>
  </si>
  <si>
    <t>Journeyman Operations Analyst</t>
  </si>
  <si>
    <t xml:space="preserve">Aircraft Handling Specialist </t>
  </si>
  <si>
    <t>Joint Strike Fighter Specialist</t>
  </si>
  <si>
    <t>Strike Warfare Aviation Specialist-Data Links</t>
  </si>
  <si>
    <t>Strike Warfare Aviation Specialist-Air to Ground Weapons</t>
  </si>
  <si>
    <t>Strike Warfare Aviation Specialist-Air to Air Weapons</t>
  </si>
  <si>
    <t>E-2D Specialist</t>
  </si>
  <si>
    <t xml:space="preserve">Marine Rotary/Tiltrotor Specialist </t>
  </si>
  <si>
    <t>Joint Precision Approach and Landing System (JPALS) Specialist</t>
  </si>
  <si>
    <t>Naval Aviation Maintenance Technician</t>
  </si>
  <si>
    <t>Aviation Logistics Specialist</t>
  </si>
  <si>
    <t>Aviation Electronic Attack Specialist</t>
  </si>
  <si>
    <t xml:space="preserve">Aviation Electronic Warfare Self Protect Specialist </t>
  </si>
  <si>
    <t>Aviation Infrared Self Protect Specialist</t>
  </si>
  <si>
    <t>Naval Rotary Anti-Surface Warfare/Anti-Submarine Warfare Specialist</t>
  </si>
  <si>
    <t>Navy Unmanned Aviation Systems Specialist</t>
  </si>
  <si>
    <t>Marine Corps Unmanned Aviation Systems Specialist</t>
  </si>
  <si>
    <t xml:space="preserve">Naval Fixed-Wing Anti-Surface Warfare/Anti-Submarine Warfare Specialist </t>
  </si>
  <si>
    <t>JMPS-M_T&amp;E Specialist</t>
  </si>
  <si>
    <t xml:space="preserve">Automated Test Information System Specialist </t>
  </si>
  <si>
    <t>Cyber Security Subject Matter Expert/Operational (SME)</t>
  </si>
  <si>
    <t>Aircraft Handling Specialist</t>
  </si>
  <si>
    <t>Strike Warfare Avaiation Specialist-Data Links</t>
  </si>
  <si>
    <t>Strike Warfare Aviation Specialist- Air to Ground Weapons</t>
  </si>
  <si>
    <t>Strike Warfare Aviation Specialist- Air to Air Weapons</t>
  </si>
  <si>
    <t>Marine Rotary/Tiltrotor Specialist</t>
  </si>
  <si>
    <t xml:space="preserve">Aviation Infrared Self Protect Specialist </t>
  </si>
  <si>
    <t xml:space="preserve">Naval Rotary Anit-Surface Warfare/ Anti-Submarince Warfare Specialist </t>
  </si>
  <si>
    <t xml:space="preserve">Navy Unmanned Aviation Systems Specialist </t>
  </si>
  <si>
    <t xml:space="preserve">Marine Corps Unmanned Aviation Systems Specialist </t>
  </si>
  <si>
    <t xml:space="preserve">Naval Fixed-Wing Anti-Surface Warfare/ Anit-Submarine Warfare Specialist </t>
  </si>
  <si>
    <t xml:space="preserve">JMPS-M_T&amp;E Specialist </t>
  </si>
  <si>
    <t>Naval Fixed-Wing Anti-Surface Warfare/ Anit-Submarine Warfare Specialist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</si>
</sst>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8" x14ac:knownFonts="1">
    <font>
      <sz val="11"/>
      <color theme="1"/>
      <name val="Calibri"/>
      <family val="2"/>
      <scheme val="minor"/>
    </font>
    <font>
      <sz val="10"/>
      <color theme="1"/>
      <name val="Times New Roman"/>
      <family val="1"/>
    </font>
    <font>
      <sz val="11"/>
      <color theme="1"/>
      <name val="Calibri"/>
      <family val="2"/>
      <scheme val="minor"/>
    </font>
    <font>
      <sz val="11"/>
      <color theme="1"/>
      <name val="Times New Roman"/>
      <family val="1"/>
    </font>
    <font>
      <b/>
      <sz val="10"/>
      <color theme="1"/>
      <name val="Times New Roman"/>
      <family val="1"/>
    </font>
    <font>
      <b/>
      <sz val="10"/>
      <color theme="0"/>
      <name val="Times New Roman"/>
      <family val="1"/>
    </font>
    <font>
      <b/>
      <sz val="12"/>
      <color theme="0"/>
      <name val="Times New Roman"/>
      <family val="1"/>
    </font>
    <font>
      <b/>
      <sz val="12"/>
      <color theme="1"/>
      <name val="Times New Roman"/>
      <family val="1"/>
    </font>
  </fonts>
  <fills count="5">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theme="5" tint="0.39997558519241921"/>
        <bgColor indexed="64"/>
      </patternFill>
    </fill>
  </fills>
  <borders count="6">
    <border>
      <left/>
      <right/>
      <top/>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35">
    <xf numFmtId="0" fontId="0" fillId="0" borderId="0" xfId="0"/>
    <xf numFmtId="0" fontId="1" fillId="0" borderId="0" xfId="0" applyFont="1" applyBorder="1" applyAlignment="1">
      <alignment vertical="center"/>
    </xf>
    <xf numFmtId="0" fontId="1" fillId="0" borderId="0" xfId="0" applyFont="1" applyBorder="1" applyAlignment="1">
      <alignment horizontal="center" vertical="center"/>
    </xf>
    <xf numFmtId="0" fontId="4" fillId="0" borderId="0" xfId="0" applyFont="1" applyBorder="1" applyAlignment="1">
      <alignment vertical="center"/>
    </xf>
    <xf numFmtId="3" fontId="1" fillId="0" borderId="0" xfId="1" applyNumberFormat="1" applyFont="1" applyBorder="1" applyAlignment="1">
      <alignment horizontal="center" vertical="center"/>
    </xf>
    <xf numFmtId="0" fontId="4" fillId="0" borderId="0" xfId="0" applyFont="1" applyFill="1" applyBorder="1" applyAlignment="1">
      <alignment vertical="center"/>
    </xf>
    <xf numFmtId="3" fontId="4" fillId="0" borderId="0" xfId="1" applyNumberFormat="1" applyFont="1" applyFill="1" applyBorder="1" applyAlignment="1">
      <alignment horizontal="center" vertical="center"/>
    </xf>
    <xf numFmtId="164" fontId="4" fillId="0" borderId="0" xfId="0" applyNumberFormat="1" applyFont="1" applyFill="1" applyBorder="1" applyAlignment="1">
      <alignment horizontal="center" vertical="center"/>
    </xf>
    <xf numFmtId="0" fontId="1" fillId="0" borderId="0" xfId="0" applyFont="1" applyFill="1" applyBorder="1" applyAlignment="1">
      <alignment vertical="center"/>
    </xf>
    <xf numFmtId="49" fontId="3" fillId="0" borderId="4" xfId="0" applyNumberFormat="1" applyFont="1" applyBorder="1"/>
    <xf numFmtId="3" fontId="3" fillId="0" borderId="4" xfId="1" applyNumberFormat="1" applyFont="1" applyBorder="1" applyAlignment="1">
      <alignment horizontal="center" vertical="center"/>
    </xf>
    <xf numFmtId="44" fontId="3" fillId="0" borderId="4" xfId="2" applyFont="1" applyBorder="1" applyAlignment="1">
      <alignment horizontal="center" vertical="center"/>
    </xf>
    <xf numFmtId="44" fontId="1" fillId="0" borderId="4" xfId="2" applyFont="1" applyBorder="1" applyAlignment="1">
      <alignment horizontal="center" vertical="center"/>
    </xf>
    <xf numFmtId="0" fontId="4" fillId="3" borderId="4" xfId="0" applyFont="1" applyFill="1" applyBorder="1" applyAlignment="1">
      <alignment vertical="center"/>
    </xf>
    <xf numFmtId="3" fontId="4" fillId="3" borderId="4" xfId="1" applyNumberFormat="1" applyFont="1" applyFill="1" applyBorder="1" applyAlignment="1">
      <alignment horizontal="center" vertical="center"/>
    </xf>
    <xf numFmtId="44" fontId="4" fillId="3" borderId="4" xfId="2" applyFont="1" applyFill="1" applyBorder="1" applyAlignment="1">
      <alignment horizontal="center" vertical="center"/>
    </xf>
    <xf numFmtId="0" fontId="4" fillId="0" borderId="4" xfId="0" applyFont="1" applyFill="1" applyBorder="1" applyAlignment="1">
      <alignment vertical="center"/>
    </xf>
    <xf numFmtId="3" fontId="4" fillId="0" borderId="4" xfId="1" applyNumberFormat="1" applyFont="1" applyFill="1" applyBorder="1" applyAlignment="1">
      <alignment horizontal="center" vertical="center"/>
    </xf>
    <xf numFmtId="164" fontId="4" fillId="0" borderId="4" xfId="0" applyNumberFormat="1" applyFont="1" applyFill="1" applyBorder="1" applyAlignment="1">
      <alignment horizontal="center" vertical="center"/>
    </xf>
    <xf numFmtId="0" fontId="5" fillId="2" borderId="4" xfId="0" applyFont="1" applyFill="1" applyBorder="1" applyAlignment="1">
      <alignment horizontal="center" vertical="center"/>
    </xf>
    <xf numFmtId="3" fontId="5" fillId="2" borderId="4" xfId="1" applyNumberFormat="1" applyFont="1" applyFill="1" applyBorder="1" applyAlignment="1">
      <alignment horizontal="center" vertical="center"/>
    </xf>
    <xf numFmtId="164" fontId="4" fillId="4" borderId="4" xfId="0" applyNumberFormat="1" applyFont="1" applyFill="1" applyBorder="1" applyAlignment="1">
      <alignment horizontal="center" vertical="center"/>
    </xf>
    <xf numFmtId="0" fontId="6" fillId="2" borderId="1" xfId="0" applyFont="1" applyFill="1" applyBorder="1" applyAlignment="1">
      <alignment vertical="center"/>
    </xf>
    <xf numFmtId="0" fontId="7" fillId="0" borderId="0" xfId="0" applyFont="1" applyBorder="1" applyAlignment="1">
      <alignment vertical="center"/>
    </xf>
    <xf numFmtId="44" fontId="4" fillId="3" borderId="4" xfId="2" applyFont="1" applyFill="1" applyBorder="1" applyAlignment="1">
      <alignment vertical="center"/>
    </xf>
    <xf numFmtId="164" fontId="6" fillId="2" borderId="3" xfId="2" applyNumberFormat="1" applyFont="1" applyFill="1" applyBorder="1" applyAlignment="1">
      <alignment horizontal="center" vertical="center"/>
    </xf>
    <xf numFmtId="44" fontId="6" fillId="2" borderId="3" xfId="2" applyFont="1" applyFill="1" applyBorder="1" applyAlignment="1">
      <alignment horizontal="center" vertical="center"/>
    </xf>
    <xf numFmtId="0" fontId="4" fillId="0" borderId="4" xfId="0" applyFont="1" applyFill="1" applyBorder="1" applyAlignment="1">
      <alignment horizontal="center" vertical="center"/>
    </xf>
    <xf numFmtId="0" fontId="4" fillId="4" borderId="1" xfId="0" applyFont="1" applyFill="1" applyBorder="1" applyAlignment="1">
      <alignment horizontal="left" vertical="center"/>
    </xf>
    <xf numFmtId="0" fontId="4" fillId="4" borderId="3" xfId="0" applyFont="1" applyFill="1" applyBorder="1" applyAlignment="1">
      <alignment horizontal="left" vertical="center"/>
    </xf>
    <xf numFmtId="0" fontId="4" fillId="4" borderId="5" xfId="0" applyFont="1" applyFill="1" applyBorder="1" applyAlignment="1">
      <alignment horizontal="left" vertical="center"/>
    </xf>
    <xf numFmtId="0" fontId="1" fillId="0" borderId="2" xfId="0" applyFont="1" applyBorder="1" applyAlignment="1">
      <alignment horizontal="left" vertical="center" wrapText="1"/>
    </xf>
    <xf numFmtId="0" fontId="4" fillId="0" borderId="1"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5" xfId="0" applyFont="1" applyFill="1" applyBorder="1" applyAlignment="1">
      <alignment horizontal="center" vertical="center"/>
    </xf>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10" Type="http://schemas.openxmlformats.org/officeDocument/2006/relationships/customXml" Target="../customXml/item4.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2"/>
  <sheetViews>
    <sheetView showGridLines="0" tabSelected="1" zoomScaleNormal="100" workbookViewId="0">
      <selection activeCell="F28" sqref="F28"/>
    </sheetView>
  </sheetViews>
  <sheetFormatPr defaultColWidth="18.7109375" defaultRowHeight="12.75" x14ac:dyDescent="0.25"/>
  <cols>
    <col min="1" max="1" width="67.85546875" style="1" bestFit="1" customWidth="1"/>
    <col min="2" max="2" width="18.7109375" style="4"/>
    <col min="3" max="3" width="18.7109375" style="2"/>
    <col min="4" max="4" width="22.28515625" style="2" bestFit="1" customWidth="1"/>
    <col min="5" max="16384" width="18.7109375" style="1"/>
  </cols>
  <sheetData>
    <row r="1" spans="1:4" ht="76.900000000000006" customHeight="1" x14ac:dyDescent="0.25">
      <c r="A1" s="31" t="s">
        <v>34</v>
      </c>
      <c r="B1" s="31"/>
      <c r="C1" s="31"/>
      <c r="D1" s="31"/>
    </row>
    <row r="2" spans="1:4" x14ac:dyDescent="0.25">
      <c r="A2" s="19" t="s">
        <v>40</v>
      </c>
      <c r="B2" s="20" t="s">
        <v>41</v>
      </c>
      <c r="C2" s="19" t="s">
        <v>42</v>
      </c>
      <c r="D2" s="19" t="s">
        <v>43</v>
      </c>
    </row>
    <row r="3" spans="1:4" ht="15" x14ac:dyDescent="0.25">
      <c r="A3" s="9" t="s">
        <v>47</v>
      </c>
      <c r="B3" s="10">
        <v>1720.8</v>
      </c>
      <c r="C3" s="11"/>
      <c r="D3" s="12">
        <f>C3*B3</f>
        <v>0</v>
      </c>
    </row>
    <row r="4" spans="1:4" ht="15" x14ac:dyDescent="0.25">
      <c r="A4" s="9" t="s">
        <v>48</v>
      </c>
      <c r="B4" s="10">
        <v>573.6</v>
      </c>
      <c r="C4" s="11"/>
      <c r="D4" s="12">
        <f t="shared" ref="D4:D28" si="0">C4*B4</f>
        <v>0</v>
      </c>
    </row>
    <row r="5" spans="1:4" ht="15" x14ac:dyDescent="0.25">
      <c r="A5" s="9" t="s">
        <v>49</v>
      </c>
      <c r="B5" s="10">
        <v>36901.599999999999</v>
      </c>
      <c r="C5" s="11"/>
      <c r="D5" s="12">
        <f t="shared" si="0"/>
        <v>0</v>
      </c>
    </row>
    <row r="6" spans="1:4" ht="15" x14ac:dyDescent="0.25">
      <c r="A6" s="9" t="s">
        <v>50</v>
      </c>
      <c r="B6" s="10">
        <v>7265.6</v>
      </c>
      <c r="C6" s="11"/>
      <c r="D6" s="12">
        <f t="shared" si="0"/>
        <v>0</v>
      </c>
    </row>
    <row r="7" spans="1:4" ht="15" x14ac:dyDescent="0.25">
      <c r="A7" s="9" t="s">
        <v>51</v>
      </c>
      <c r="B7" s="10">
        <v>14340</v>
      </c>
      <c r="C7" s="11"/>
      <c r="D7" s="12">
        <f t="shared" si="0"/>
        <v>0</v>
      </c>
    </row>
    <row r="8" spans="1:4" ht="15" x14ac:dyDescent="0.25">
      <c r="A8" s="9" t="s">
        <v>52</v>
      </c>
      <c r="B8" s="10">
        <v>5544.8</v>
      </c>
      <c r="C8" s="11"/>
      <c r="D8" s="12">
        <f t="shared" si="0"/>
        <v>0</v>
      </c>
    </row>
    <row r="9" spans="1:4" ht="15" x14ac:dyDescent="0.25">
      <c r="A9" s="9" t="s">
        <v>53</v>
      </c>
      <c r="B9" s="10">
        <v>478</v>
      </c>
      <c r="C9" s="11"/>
      <c r="D9" s="12">
        <f t="shared" si="0"/>
        <v>0</v>
      </c>
    </row>
    <row r="10" spans="1:4" ht="15" x14ac:dyDescent="0.25">
      <c r="A10" s="9" t="s">
        <v>54</v>
      </c>
      <c r="B10" s="10">
        <v>478</v>
      </c>
      <c r="C10" s="11"/>
      <c r="D10" s="12">
        <f t="shared" si="0"/>
        <v>0</v>
      </c>
    </row>
    <row r="11" spans="1:4" ht="15" x14ac:dyDescent="0.25">
      <c r="A11" s="9" t="s">
        <v>55</v>
      </c>
      <c r="B11" s="10">
        <v>478</v>
      </c>
      <c r="C11" s="11"/>
      <c r="D11" s="12">
        <f t="shared" si="0"/>
        <v>0</v>
      </c>
    </row>
    <row r="12" spans="1:4" ht="15" x14ac:dyDescent="0.25">
      <c r="A12" s="9" t="s">
        <v>56</v>
      </c>
      <c r="B12" s="10">
        <v>478</v>
      </c>
      <c r="C12" s="11"/>
      <c r="D12" s="12">
        <f t="shared" si="0"/>
        <v>0</v>
      </c>
    </row>
    <row r="13" spans="1:4" ht="15" x14ac:dyDescent="0.25">
      <c r="A13" s="9" t="s">
        <v>57</v>
      </c>
      <c r="B13" s="10">
        <v>478</v>
      </c>
      <c r="C13" s="11"/>
      <c r="D13" s="12">
        <f t="shared" si="0"/>
        <v>0</v>
      </c>
    </row>
    <row r="14" spans="1:4" ht="15" x14ac:dyDescent="0.25">
      <c r="A14" s="9" t="s">
        <v>58</v>
      </c>
      <c r="B14" s="10">
        <v>478</v>
      </c>
      <c r="C14" s="11"/>
      <c r="D14" s="12">
        <f t="shared" si="0"/>
        <v>0</v>
      </c>
    </row>
    <row r="15" spans="1:4" ht="15" x14ac:dyDescent="0.25">
      <c r="A15" s="9" t="s">
        <v>59</v>
      </c>
      <c r="B15" s="10">
        <v>478</v>
      </c>
      <c r="C15" s="11"/>
      <c r="D15" s="12">
        <f t="shared" si="0"/>
        <v>0</v>
      </c>
    </row>
    <row r="16" spans="1:4" ht="15" x14ac:dyDescent="0.25">
      <c r="A16" s="9" t="s">
        <v>60</v>
      </c>
      <c r="B16" s="10">
        <v>478</v>
      </c>
      <c r="C16" s="11"/>
      <c r="D16" s="12">
        <f t="shared" si="0"/>
        <v>0</v>
      </c>
    </row>
    <row r="17" spans="1:4" ht="15" x14ac:dyDescent="0.25">
      <c r="A17" s="9" t="s">
        <v>61</v>
      </c>
      <c r="B17" s="10">
        <v>478</v>
      </c>
      <c r="C17" s="11"/>
      <c r="D17" s="12">
        <f t="shared" si="0"/>
        <v>0</v>
      </c>
    </row>
    <row r="18" spans="1:4" ht="15" x14ac:dyDescent="0.25">
      <c r="A18" s="9" t="s">
        <v>62</v>
      </c>
      <c r="B18" s="10">
        <v>478</v>
      </c>
      <c r="C18" s="11"/>
      <c r="D18" s="12">
        <f t="shared" si="0"/>
        <v>0</v>
      </c>
    </row>
    <row r="19" spans="1:4" ht="15" x14ac:dyDescent="0.25">
      <c r="A19" s="9" t="s">
        <v>63</v>
      </c>
      <c r="B19" s="10">
        <v>478</v>
      </c>
      <c r="C19" s="11"/>
      <c r="D19" s="12">
        <f t="shared" si="0"/>
        <v>0</v>
      </c>
    </row>
    <row r="20" spans="1:4" ht="15" x14ac:dyDescent="0.25">
      <c r="A20" s="9" t="s">
        <v>64</v>
      </c>
      <c r="B20" s="10">
        <v>478</v>
      </c>
      <c r="C20" s="11"/>
      <c r="D20" s="12">
        <f t="shared" si="0"/>
        <v>0</v>
      </c>
    </row>
    <row r="21" spans="1:4" ht="15" x14ac:dyDescent="0.25">
      <c r="A21" s="9" t="s">
        <v>65</v>
      </c>
      <c r="B21" s="10">
        <v>478</v>
      </c>
      <c r="C21" s="11"/>
      <c r="D21" s="12">
        <f t="shared" si="0"/>
        <v>0</v>
      </c>
    </row>
    <row r="22" spans="1:4" ht="15" x14ac:dyDescent="0.25">
      <c r="A22" s="9" t="s">
        <v>66</v>
      </c>
      <c r="B22" s="10">
        <v>478</v>
      </c>
      <c r="C22" s="11"/>
      <c r="D22" s="12">
        <f t="shared" si="0"/>
        <v>0</v>
      </c>
    </row>
    <row r="23" spans="1:4" ht="15" x14ac:dyDescent="0.25">
      <c r="A23" s="9" t="s">
        <v>67</v>
      </c>
      <c r="B23" s="10">
        <v>478</v>
      </c>
      <c r="C23" s="11"/>
      <c r="D23" s="12">
        <f t="shared" si="0"/>
        <v>0</v>
      </c>
    </row>
    <row r="24" spans="1:4" ht="15" x14ac:dyDescent="0.25">
      <c r="A24" s="9" t="s">
        <v>68</v>
      </c>
      <c r="B24" s="10">
        <v>478</v>
      </c>
      <c r="C24" s="11"/>
      <c r="D24" s="12">
        <f t="shared" si="0"/>
        <v>0</v>
      </c>
    </row>
    <row r="25" spans="1:4" ht="15" x14ac:dyDescent="0.25">
      <c r="A25" s="9" t="s">
        <v>69</v>
      </c>
      <c r="B25" s="10">
        <v>478</v>
      </c>
      <c r="C25" s="11"/>
      <c r="D25" s="12">
        <f t="shared" si="0"/>
        <v>0</v>
      </c>
    </row>
    <row r="26" spans="1:4" ht="15" x14ac:dyDescent="0.25">
      <c r="A26" s="9" t="s">
        <v>70</v>
      </c>
      <c r="B26" s="10">
        <v>478</v>
      </c>
      <c r="C26" s="11"/>
      <c r="D26" s="12">
        <f t="shared" si="0"/>
        <v>0</v>
      </c>
    </row>
    <row r="27" spans="1:4" ht="15" x14ac:dyDescent="0.25">
      <c r="A27" s="9" t="s">
        <v>71</v>
      </c>
      <c r="B27" s="10">
        <v>478</v>
      </c>
      <c r="C27" s="11"/>
      <c r="D27" s="12">
        <f t="shared" si="0"/>
        <v>0</v>
      </c>
    </row>
    <row r="28" spans="1:4" ht="15" x14ac:dyDescent="0.25">
      <c r="A28" s="9" t="s">
        <v>72</v>
      </c>
      <c r="B28" s="10">
        <v>478</v>
      </c>
      <c r="C28" s="11"/>
      <c r="D28" s="12">
        <f t="shared" si="0"/>
        <v>0</v>
      </c>
    </row>
    <row r="29" spans="1:4" s="3" customFormat="1" x14ac:dyDescent="0.25">
      <c r="A29" s="13" t="s">
        <v>44</v>
      </c>
      <c r="B29" s="14">
        <f>SUM(B3:B28)</f>
        <v>75906.399999999994</v>
      </c>
      <c r="C29" s="15"/>
      <c r="D29" s="15">
        <f>SUM(D3:D28)</f>
        <v>0</v>
      </c>
    </row>
    <row r="30" spans="1:4" x14ac:dyDescent="0.25">
      <c r="A30" s="16"/>
      <c r="B30" s="17" t="s">
        <v>19</v>
      </c>
      <c r="C30" s="18" t="s">
        <v>20</v>
      </c>
      <c r="D30" s="18" t="s">
        <v>21</v>
      </c>
    </row>
    <row r="31" spans="1:4" s="5" customFormat="1" x14ac:dyDescent="0.25">
      <c r="A31" s="13" t="s">
        <v>45</v>
      </c>
      <c r="B31" s="15">
        <v>798078.35</v>
      </c>
      <c r="C31" s="15"/>
      <c r="D31" s="15"/>
    </row>
    <row r="32" spans="1:4" s="8" customFormat="1" x14ac:dyDescent="0.25">
      <c r="A32" s="27"/>
      <c r="B32" s="27"/>
      <c r="C32" s="27"/>
      <c r="D32" s="27"/>
    </row>
    <row r="33" spans="1:4" s="8" customFormat="1" x14ac:dyDescent="0.25">
      <c r="A33" s="28" t="s">
        <v>46</v>
      </c>
      <c r="B33" s="29"/>
      <c r="C33" s="30"/>
      <c r="D33" s="21">
        <f>D29+D31</f>
        <v>0</v>
      </c>
    </row>
    <row r="34" spans="1:4" s="8" customFormat="1" x14ac:dyDescent="0.25">
      <c r="A34" s="5"/>
      <c r="B34" s="6"/>
      <c r="C34" s="7"/>
      <c r="D34" s="7"/>
    </row>
    <row r="36" spans="1:4" x14ac:dyDescent="0.25">
      <c r="A36" s="19" t="s">
        <v>22</v>
      </c>
      <c r="B36" s="20" t="s">
        <v>0</v>
      </c>
      <c r="C36" s="19" t="s">
        <v>1</v>
      </c>
      <c r="D36" s="19" t="s">
        <v>2</v>
      </c>
    </row>
    <row r="37" spans="1:4" ht="15" x14ac:dyDescent="0.25">
      <c r="A37" s="9" t="s">
        <v>47</v>
      </c>
      <c r="B37" s="10">
        <v>1720.8</v>
      </c>
      <c r="C37" s="11"/>
      <c r="D37" s="12">
        <f>C37*B37</f>
        <v>0</v>
      </c>
    </row>
    <row r="38" spans="1:4" ht="15" x14ac:dyDescent="0.25">
      <c r="A38" s="9" t="s">
        <v>48</v>
      </c>
      <c r="B38" s="10">
        <v>573.6</v>
      </c>
      <c r="C38" s="11"/>
      <c r="D38" s="12">
        <f t="shared" ref="D38:D62" si="1">C38*B38</f>
        <v>0</v>
      </c>
    </row>
    <row r="39" spans="1:4" ht="15" x14ac:dyDescent="0.25">
      <c r="A39" s="9" t="s">
        <v>49</v>
      </c>
      <c r="B39" s="10">
        <v>36901.599999999999</v>
      </c>
      <c r="C39" s="11"/>
      <c r="D39" s="12">
        <f t="shared" si="1"/>
        <v>0</v>
      </c>
    </row>
    <row r="40" spans="1:4" ht="15" x14ac:dyDescent="0.25">
      <c r="A40" s="9" t="s">
        <v>50</v>
      </c>
      <c r="B40" s="10">
        <v>7265.6</v>
      </c>
      <c r="C40" s="11"/>
      <c r="D40" s="12">
        <f t="shared" si="1"/>
        <v>0</v>
      </c>
    </row>
    <row r="41" spans="1:4" ht="15" x14ac:dyDescent="0.25">
      <c r="A41" s="9" t="s">
        <v>51</v>
      </c>
      <c r="B41" s="10">
        <v>14340</v>
      </c>
      <c r="C41" s="11"/>
      <c r="D41" s="12">
        <f t="shared" si="1"/>
        <v>0</v>
      </c>
    </row>
    <row r="42" spans="1:4" ht="15" x14ac:dyDescent="0.25">
      <c r="A42" s="9" t="s">
        <v>52</v>
      </c>
      <c r="B42" s="10">
        <v>5544.8</v>
      </c>
      <c r="C42" s="11"/>
      <c r="D42" s="12">
        <f t="shared" si="1"/>
        <v>0</v>
      </c>
    </row>
    <row r="43" spans="1:4" ht="15" x14ac:dyDescent="0.25">
      <c r="A43" s="9" t="s">
        <v>73</v>
      </c>
      <c r="B43" s="10">
        <v>478</v>
      </c>
      <c r="C43" s="11"/>
      <c r="D43" s="12">
        <f t="shared" si="1"/>
        <v>0</v>
      </c>
    </row>
    <row r="44" spans="1:4" ht="15" x14ac:dyDescent="0.25">
      <c r="A44" s="9" t="s">
        <v>54</v>
      </c>
      <c r="B44" s="10">
        <v>478</v>
      </c>
      <c r="C44" s="11"/>
      <c r="D44" s="12">
        <f t="shared" si="1"/>
        <v>0</v>
      </c>
    </row>
    <row r="45" spans="1:4" ht="15" x14ac:dyDescent="0.25">
      <c r="A45" s="9" t="s">
        <v>74</v>
      </c>
      <c r="B45" s="10">
        <v>478</v>
      </c>
      <c r="C45" s="11"/>
      <c r="D45" s="12">
        <f t="shared" si="1"/>
        <v>0</v>
      </c>
    </row>
    <row r="46" spans="1:4" ht="15" x14ac:dyDescent="0.25">
      <c r="A46" s="9" t="s">
        <v>75</v>
      </c>
      <c r="B46" s="10">
        <v>478</v>
      </c>
      <c r="C46" s="11"/>
      <c r="D46" s="12">
        <f t="shared" si="1"/>
        <v>0</v>
      </c>
    </row>
    <row r="47" spans="1:4" ht="15" x14ac:dyDescent="0.25">
      <c r="A47" s="9" t="s">
        <v>76</v>
      </c>
      <c r="B47" s="10">
        <v>478</v>
      </c>
      <c r="C47" s="11"/>
      <c r="D47" s="12">
        <f t="shared" si="1"/>
        <v>0</v>
      </c>
    </row>
    <row r="48" spans="1:4" ht="15" x14ac:dyDescent="0.25">
      <c r="A48" s="9" t="s">
        <v>58</v>
      </c>
      <c r="B48" s="10">
        <v>478</v>
      </c>
      <c r="C48" s="11"/>
      <c r="D48" s="12">
        <f t="shared" si="1"/>
        <v>0</v>
      </c>
    </row>
    <row r="49" spans="1:4" ht="15" x14ac:dyDescent="0.25">
      <c r="A49" s="9" t="s">
        <v>77</v>
      </c>
      <c r="B49" s="10">
        <v>478</v>
      </c>
      <c r="C49" s="11"/>
      <c r="D49" s="12">
        <f t="shared" si="1"/>
        <v>0</v>
      </c>
    </row>
    <row r="50" spans="1:4" ht="15" x14ac:dyDescent="0.25">
      <c r="A50" s="9" t="s">
        <v>60</v>
      </c>
      <c r="B50" s="10">
        <v>478</v>
      </c>
      <c r="C50" s="11"/>
      <c r="D50" s="12">
        <f t="shared" si="1"/>
        <v>0</v>
      </c>
    </row>
    <row r="51" spans="1:4" ht="15" x14ac:dyDescent="0.25">
      <c r="A51" s="9" t="s">
        <v>61</v>
      </c>
      <c r="B51" s="10">
        <v>478</v>
      </c>
      <c r="C51" s="11"/>
      <c r="D51" s="12">
        <f t="shared" si="1"/>
        <v>0</v>
      </c>
    </row>
    <row r="52" spans="1:4" ht="15" x14ac:dyDescent="0.25">
      <c r="A52" s="9" t="s">
        <v>62</v>
      </c>
      <c r="B52" s="10">
        <v>478</v>
      </c>
      <c r="C52" s="11"/>
      <c r="D52" s="12">
        <f t="shared" si="1"/>
        <v>0</v>
      </c>
    </row>
    <row r="53" spans="1:4" ht="15" x14ac:dyDescent="0.25">
      <c r="A53" s="9" t="s">
        <v>63</v>
      </c>
      <c r="B53" s="10">
        <v>478</v>
      </c>
      <c r="C53" s="11"/>
      <c r="D53" s="12">
        <f t="shared" si="1"/>
        <v>0</v>
      </c>
    </row>
    <row r="54" spans="1:4" ht="15" x14ac:dyDescent="0.25">
      <c r="A54" s="9" t="s">
        <v>64</v>
      </c>
      <c r="B54" s="10">
        <v>478</v>
      </c>
      <c r="C54" s="11"/>
      <c r="D54" s="12">
        <f t="shared" si="1"/>
        <v>0</v>
      </c>
    </row>
    <row r="55" spans="1:4" ht="15" x14ac:dyDescent="0.25">
      <c r="A55" s="9" t="s">
        <v>78</v>
      </c>
      <c r="B55" s="10">
        <v>478</v>
      </c>
      <c r="C55" s="11"/>
      <c r="D55" s="12">
        <f t="shared" si="1"/>
        <v>0</v>
      </c>
    </row>
    <row r="56" spans="1:4" ht="15" x14ac:dyDescent="0.25">
      <c r="A56" s="9" t="s">
        <v>79</v>
      </c>
      <c r="B56" s="10">
        <v>478</v>
      </c>
      <c r="C56" s="11"/>
      <c r="D56" s="12">
        <f t="shared" si="1"/>
        <v>0</v>
      </c>
    </row>
    <row r="57" spans="1:4" ht="15" x14ac:dyDescent="0.25">
      <c r="A57" s="9" t="s">
        <v>80</v>
      </c>
      <c r="B57" s="10">
        <v>478</v>
      </c>
      <c r="C57" s="11"/>
      <c r="D57" s="12">
        <f t="shared" si="1"/>
        <v>0</v>
      </c>
    </row>
    <row r="58" spans="1:4" ht="15" x14ac:dyDescent="0.25">
      <c r="A58" s="9" t="s">
        <v>81</v>
      </c>
      <c r="B58" s="10">
        <v>478</v>
      </c>
      <c r="C58" s="11"/>
      <c r="D58" s="12">
        <f t="shared" si="1"/>
        <v>0</v>
      </c>
    </row>
    <row r="59" spans="1:4" ht="15" x14ac:dyDescent="0.25">
      <c r="A59" s="9" t="s">
        <v>82</v>
      </c>
      <c r="B59" s="10">
        <v>478</v>
      </c>
      <c r="C59" s="11"/>
      <c r="D59" s="12">
        <f t="shared" si="1"/>
        <v>0</v>
      </c>
    </row>
    <row r="60" spans="1:4" ht="15" x14ac:dyDescent="0.25">
      <c r="A60" s="9" t="s">
        <v>83</v>
      </c>
      <c r="B60" s="10">
        <v>478</v>
      </c>
      <c r="C60" s="11"/>
      <c r="D60" s="12">
        <f t="shared" si="1"/>
        <v>0</v>
      </c>
    </row>
    <row r="61" spans="1:4" ht="15" x14ac:dyDescent="0.25">
      <c r="A61" s="9" t="s">
        <v>71</v>
      </c>
      <c r="B61" s="10">
        <v>478</v>
      </c>
      <c r="C61" s="11"/>
      <c r="D61" s="12">
        <f t="shared" si="1"/>
        <v>0</v>
      </c>
    </row>
    <row r="62" spans="1:4" ht="15" x14ac:dyDescent="0.25">
      <c r="A62" s="9" t="s">
        <v>72</v>
      </c>
      <c r="B62" s="10">
        <v>478</v>
      </c>
      <c r="C62" s="11"/>
      <c r="D62" s="12">
        <f t="shared" si="1"/>
        <v>0</v>
      </c>
    </row>
    <row r="63" spans="1:4" x14ac:dyDescent="0.25">
      <c r="A63" s="13" t="s">
        <v>35</v>
      </c>
      <c r="B63" s="14">
        <f>SUM(B37:B62)</f>
        <v>75906.399999999994</v>
      </c>
      <c r="C63" s="15"/>
      <c r="D63" s="15">
        <f>SUM(D37:D62)</f>
        <v>0</v>
      </c>
    </row>
    <row r="64" spans="1:4" x14ac:dyDescent="0.25">
      <c r="A64" s="16"/>
      <c r="B64" s="17" t="s">
        <v>19</v>
      </c>
      <c r="C64" s="18" t="s">
        <v>20</v>
      </c>
      <c r="D64" s="18" t="s">
        <v>21</v>
      </c>
    </row>
    <row r="65" spans="1:4" s="5" customFormat="1" x14ac:dyDescent="0.25">
      <c r="A65" s="13" t="s">
        <v>17</v>
      </c>
      <c r="B65" s="15">
        <v>822020.7</v>
      </c>
      <c r="C65" s="15"/>
      <c r="D65" s="15"/>
    </row>
    <row r="66" spans="1:4" x14ac:dyDescent="0.25">
      <c r="A66" s="32"/>
      <c r="B66" s="33"/>
      <c r="C66" s="33"/>
      <c r="D66" s="34"/>
    </row>
    <row r="67" spans="1:4" x14ac:dyDescent="0.25">
      <c r="A67" s="28" t="s">
        <v>18</v>
      </c>
      <c r="B67" s="29"/>
      <c r="C67" s="30"/>
      <c r="D67" s="21">
        <f>D63+D65</f>
        <v>0</v>
      </c>
    </row>
    <row r="68" spans="1:4" s="8" customFormat="1" x14ac:dyDescent="0.25">
      <c r="A68" s="5"/>
      <c r="B68" s="6"/>
      <c r="C68" s="7"/>
      <c r="D68" s="7"/>
    </row>
    <row r="70" spans="1:4" x14ac:dyDescent="0.25">
      <c r="A70" s="19" t="s">
        <v>23</v>
      </c>
      <c r="B70" s="20" t="s">
        <v>3</v>
      </c>
      <c r="C70" s="19" t="s">
        <v>4</v>
      </c>
      <c r="D70" s="19" t="s">
        <v>5</v>
      </c>
    </row>
    <row r="71" spans="1:4" ht="15" x14ac:dyDescent="0.25">
      <c r="A71" s="9" t="s">
        <v>47</v>
      </c>
      <c r="B71" s="10">
        <v>1720.8</v>
      </c>
      <c r="C71" s="11"/>
      <c r="D71" s="12">
        <f>C71*B71</f>
        <v>0</v>
      </c>
    </row>
    <row r="72" spans="1:4" ht="15" x14ac:dyDescent="0.25">
      <c r="A72" s="9" t="s">
        <v>48</v>
      </c>
      <c r="B72" s="10">
        <v>573.6</v>
      </c>
      <c r="C72" s="11"/>
      <c r="D72" s="12">
        <f t="shared" ref="D72:D96" si="2">C72*B72</f>
        <v>0</v>
      </c>
    </row>
    <row r="73" spans="1:4" ht="15" x14ac:dyDescent="0.25">
      <c r="A73" s="9" t="s">
        <v>49</v>
      </c>
      <c r="B73" s="10">
        <v>36901.599999999999</v>
      </c>
      <c r="C73" s="11"/>
      <c r="D73" s="12">
        <f t="shared" si="2"/>
        <v>0</v>
      </c>
    </row>
    <row r="74" spans="1:4" ht="15" x14ac:dyDescent="0.25">
      <c r="A74" s="9" t="s">
        <v>50</v>
      </c>
      <c r="B74" s="10">
        <v>7265.6</v>
      </c>
      <c r="C74" s="11"/>
      <c r="D74" s="12">
        <f t="shared" si="2"/>
        <v>0</v>
      </c>
    </row>
    <row r="75" spans="1:4" ht="15" x14ac:dyDescent="0.25">
      <c r="A75" s="9" t="s">
        <v>51</v>
      </c>
      <c r="B75" s="10">
        <v>14340</v>
      </c>
      <c r="C75" s="11"/>
      <c r="D75" s="12">
        <f t="shared" si="2"/>
        <v>0</v>
      </c>
    </row>
    <row r="76" spans="1:4" ht="15" x14ac:dyDescent="0.25">
      <c r="A76" s="9" t="s">
        <v>52</v>
      </c>
      <c r="B76" s="10">
        <v>5544.8</v>
      </c>
      <c r="C76" s="11"/>
      <c r="D76" s="12">
        <f t="shared" si="2"/>
        <v>0</v>
      </c>
    </row>
    <row r="77" spans="1:4" ht="15" x14ac:dyDescent="0.25">
      <c r="A77" s="9" t="s">
        <v>73</v>
      </c>
      <c r="B77" s="10">
        <v>478</v>
      </c>
      <c r="C77" s="11"/>
      <c r="D77" s="12">
        <f t="shared" si="2"/>
        <v>0</v>
      </c>
    </row>
    <row r="78" spans="1:4" ht="15" x14ac:dyDescent="0.25">
      <c r="A78" s="9" t="s">
        <v>54</v>
      </c>
      <c r="B78" s="10">
        <v>478</v>
      </c>
      <c r="C78" s="11"/>
      <c r="D78" s="12">
        <f t="shared" si="2"/>
        <v>0</v>
      </c>
    </row>
    <row r="79" spans="1:4" ht="15" x14ac:dyDescent="0.25">
      <c r="A79" s="9" t="s">
        <v>74</v>
      </c>
      <c r="B79" s="10">
        <v>478</v>
      </c>
      <c r="C79" s="11"/>
      <c r="D79" s="12">
        <f t="shared" si="2"/>
        <v>0</v>
      </c>
    </row>
    <row r="80" spans="1:4" ht="15" x14ac:dyDescent="0.25">
      <c r="A80" s="9" t="s">
        <v>75</v>
      </c>
      <c r="B80" s="10">
        <v>478</v>
      </c>
      <c r="C80" s="11"/>
      <c r="D80" s="12">
        <f t="shared" si="2"/>
        <v>0</v>
      </c>
    </row>
    <row r="81" spans="1:4" ht="15" x14ac:dyDescent="0.25">
      <c r="A81" s="9" t="s">
        <v>76</v>
      </c>
      <c r="B81" s="10">
        <v>478</v>
      </c>
      <c r="C81" s="11"/>
      <c r="D81" s="12">
        <f t="shared" si="2"/>
        <v>0</v>
      </c>
    </row>
    <row r="82" spans="1:4" ht="15" x14ac:dyDescent="0.25">
      <c r="A82" s="9" t="s">
        <v>58</v>
      </c>
      <c r="B82" s="10">
        <v>478</v>
      </c>
      <c r="C82" s="11"/>
      <c r="D82" s="12">
        <f t="shared" si="2"/>
        <v>0</v>
      </c>
    </row>
    <row r="83" spans="1:4" ht="15" x14ac:dyDescent="0.25">
      <c r="A83" s="9" t="s">
        <v>77</v>
      </c>
      <c r="B83" s="10">
        <v>478</v>
      </c>
      <c r="C83" s="11"/>
      <c r="D83" s="12">
        <f t="shared" si="2"/>
        <v>0</v>
      </c>
    </row>
    <row r="84" spans="1:4" ht="15" x14ac:dyDescent="0.25">
      <c r="A84" s="9" t="s">
        <v>60</v>
      </c>
      <c r="B84" s="10">
        <v>478</v>
      </c>
      <c r="C84" s="11"/>
      <c r="D84" s="12">
        <f t="shared" si="2"/>
        <v>0</v>
      </c>
    </row>
    <row r="85" spans="1:4" ht="15" x14ac:dyDescent="0.25">
      <c r="A85" s="9" t="s">
        <v>61</v>
      </c>
      <c r="B85" s="10">
        <v>478</v>
      </c>
      <c r="C85" s="11"/>
      <c r="D85" s="12">
        <f t="shared" si="2"/>
        <v>0</v>
      </c>
    </row>
    <row r="86" spans="1:4" ht="15" x14ac:dyDescent="0.25">
      <c r="A86" s="9" t="s">
        <v>62</v>
      </c>
      <c r="B86" s="10">
        <v>478</v>
      </c>
      <c r="C86" s="11"/>
      <c r="D86" s="12">
        <f t="shared" si="2"/>
        <v>0</v>
      </c>
    </row>
    <row r="87" spans="1:4" ht="15" x14ac:dyDescent="0.25">
      <c r="A87" s="9" t="s">
        <v>63</v>
      </c>
      <c r="B87" s="10">
        <v>478</v>
      </c>
      <c r="C87" s="11"/>
      <c r="D87" s="12">
        <f t="shared" si="2"/>
        <v>0</v>
      </c>
    </row>
    <row r="88" spans="1:4" ht="15" x14ac:dyDescent="0.25">
      <c r="A88" s="9" t="s">
        <v>64</v>
      </c>
      <c r="B88" s="10">
        <v>478</v>
      </c>
      <c r="C88" s="11"/>
      <c r="D88" s="12">
        <f t="shared" si="2"/>
        <v>0</v>
      </c>
    </row>
    <row r="89" spans="1:4" ht="15" x14ac:dyDescent="0.25">
      <c r="A89" s="9" t="s">
        <v>78</v>
      </c>
      <c r="B89" s="10">
        <v>478</v>
      </c>
      <c r="C89" s="11"/>
      <c r="D89" s="12">
        <f t="shared" si="2"/>
        <v>0</v>
      </c>
    </row>
    <row r="90" spans="1:4" ht="15" x14ac:dyDescent="0.25">
      <c r="A90" s="9" t="s">
        <v>79</v>
      </c>
      <c r="B90" s="10">
        <v>478</v>
      </c>
      <c r="C90" s="11"/>
      <c r="D90" s="12">
        <f t="shared" si="2"/>
        <v>0</v>
      </c>
    </row>
    <row r="91" spans="1:4" ht="15" x14ac:dyDescent="0.25">
      <c r="A91" s="9" t="s">
        <v>80</v>
      </c>
      <c r="B91" s="10">
        <v>478</v>
      </c>
      <c r="C91" s="11"/>
      <c r="D91" s="12">
        <f t="shared" si="2"/>
        <v>0</v>
      </c>
    </row>
    <row r="92" spans="1:4" ht="15" x14ac:dyDescent="0.25">
      <c r="A92" s="9" t="s">
        <v>81</v>
      </c>
      <c r="B92" s="10">
        <v>478</v>
      </c>
      <c r="C92" s="11"/>
      <c r="D92" s="12">
        <f t="shared" si="2"/>
        <v>0</v>
      </c>
    </row>
    <row r="93" spans="1:4" ht="15" x14ac:dyDescent="0.25">
      <c r="A93" s="9" t="s">
        <v>82</v>
      </c>
      <c r="B93" s="10">
        <v>478</v>
      </c>
      <c r="C93" s="11"/>
      <c r="D93" s="12">
        <f t="shared" si="2"/>
        <v>0</v>
      </c>
    </row>
    <row r="94" spans="1:4" ht="15" x14ac:dyDescent="0.25">
      <c r="A94" s="9" t="s">
        <v>83</v>
      </c>
      <c r="B94" s="10">
        <v>478</v>
      </c>
      <c r="C94" s="11"/>
      <c r="D94" s="12">
        <f t="shared" si="2"/>
        <v>0</v>
      </c>
    </row>
    <row r="95" spans="1:4" ht="15" x14ac:dyDescent="0.25">
      <c r="A95" s="9" t="s">
        <v>71</v>
      </c>
      <c r="B95" s="10">
        <v>478</v>
      </c>
      <c r="C95" s="11"/>
      <c r="D95" s="12">
        <f t="shared" si="2"/>
        <v>0</v>
      </c>
    </row>
    <row r="96" spans="1:4" ht="15" x14ac:dyDescent="0.25">
      <c r="A96" s="9" t="s">
        <v>72</v>
      </c>
      <c r="B96" s="10">
        <v>478</v>
      </c>
      <c r="C96" s="11"/>
      <c r="D96" s="12">
        <f t="shared" si="2"/>
        <v>0</v>
      </c>
    </row>
    <row r="97" spans="1:4" x14ac:dyDescent="0.25">
      <c r="A97" s="13" t="s">
        <v>36</v>
      </c>
      <c r="B97" s="14">
        <f>SUM(B71:B96)</f>
        <v>75906.399999999994</v>
      </c>
      <c r="C97" s="15"/>
      <c r="D97" s="15">
        <f>SUM(D71:D96)</f>
        <v>0</v>
      </c>
    </row>
    <row r="98" spans="1:4" x14ac:dyDescent="0.25">
      <c r="A98" s="16"/>
      <c r="B98" s="17" t="s">
        <v>19</v>
      </c>
      <c r="C98" s="18" t="s">
        <v>20</v>
      </c>
      <c r="D98" s="18" t="s">
        <v>21</v>
      </c>
    </row>
    <row r="99" spans="1:4" s="5" customFormat="1" x14ac:dyDescent="0.25">
      <c r="A99" s="13" t="s">
        <v>26</v>
      </c>
      <c r="B99" s="15">
        <v>846681.32</v>
      </c>
      <c r="C99" s="15"/>
      <c r="D99" s="15"/>
    </row>
    <row r="100" spans="1:4" x14ac:dyDescent="0.25">
      <c r="A100" s="32"/>
      <c r="B100" s="33"/>
      <c r="C100" s="33"/>
      <c r="D100" s="34"/>
    </row>
    <row r="101" spans="1:4" x14ac:dyDescent="0.25">
      <c r="A101" s="28" t="s">
        <v>27</v>
      </c>
      <c r="B101" s="29"/>
      <c r="C101" s="30"/>
      <c r="D101" s="21">
        <f>D97+D99</f>
        <v>0</v>
      </c>
    </row>
    <row r="103" spans="1:4" x14ac:dyDescent="0.25">
      <c r="A103" s="19" t="s">
        <v>24</v>
      </c>
      <c r="B103" s="20" t="s">
        <v>10</v>
      </c>
      <c r="C103" s="19" t="s">
        <v>11</v>
      </c>
      <c r="D103" s="19" t="s">
        <v>12</v>
      </c>
    </row>
    <row r="104" spans="1:4" ht="15" x14ac:dyDescent="0.25">
      <c r="A104" s="9" t="s">
        <v>47</v>
      </c>
      <c r="B104" s="10">
        <v>1720.8</v>
      </c>
      <c r="C104" s="11"/>
      <c r="D104" s="12">
        <f>C104*B104</f>
        <v>0</v>
      </c>
    </row>
    <row r="105" spans="1:4" ht="15" x14ac:dyDescent="0.25">
      <c r="A105" s="9" t="s">
        <v>48</v>
      </c>
      <c r="B105" s="10">
        <v>573.6</v>
      </c>
      <c r="C105" s="11"/>
      <c r="D105" s="12">
        <f t="shared" ref="D105:D129" si="3">C105*B105</f>
        <v>0</v>
      </c>
    </row>
    <row r="106" spans="1:4" ht="15" x14ac:dyDescent="0.25">
      <c r="A106" s="9" t="s">
        <v>49</v>
      </c>
      <c r="B106" s="10">
        <v>36901.599999999999</v>
      </c>
      <c r="C106" s="11"/>
      <c r="D106" s="12">
        <f t="shared" si="3"/>
        <v>0</v>
      </c>
    </row>
    <row r="107" spans="1:4" ht="15" x14ac:dyDescent="0.25">
      <c r="A107" s="9" t="s">
        <v>50</v>
      </c>
      <c r="B107" s="10">
        <v>7265.6</v>
      </c>
      <c r="C107" s="11"/>
      <c r="D107" s="12">
        <f t="shared" si="3"/>
        <v>0</v>
      </c>
    </row>
    <row r="108" spans="1:4" ht="15" x14ac:dyDescent="0.25">
      <c r="A108" s="9" t="s">
        <v>51</v>
      </c>
      <c r="B108" s="10">
        <v>14340</v>
      </c>
      <c r="C108" s="11"/>
      <c r="D108" s="12">
        <f t="shared" si="3"/>
        <v>0</v>
      </c>
    </row>
    <row r="109" spans="1:4" ht="15" x14ac:dyDescent="0.25">
      <c r="A109" s="9" t="s">
        <v>52</v>
      </c>
      <c r="B109" s="10">
        <v>5544.8</v>
      </c>
      <c r="C109" s="11"/>
      <c r="D109" s="12">
        <f t="shared" si="3"/>
        <v>0</v>
      </c>
    </row>
    <row r="110" spans="1:4" ht="15" x14ac:dyDescent="0.25">
      <c r="A110" s="9" t="s">
        <v>73</v>
      </c>
      <c r="B110" s="10">
        <v>478</v>
      </c>
      <c r="C110" s="11"/>
      <c r="D110" s="12">
        <f t="shared" si="3"/>
        <v>0</v>
      </c>
    </row>
    <row r="111" spans="1:4" ht="15" x14ac:dyDescent="0.25">
      <c r="A111" s="9" t="s">
        <v>54</v>
      </c>
      <c r="B111" s="10">
        <v>478</v>
      </c>
      <c r="C111" s="11"/>
      <c r="D111" s="12">
        <f t="shared" si="3"/>
        <v>0</v>
      </c>
    </row>
    <row r="112" spans="1:4" ht="15" x14ac:dyDescent="0.25">
      <c r="A112" s="9" t="s">
        <v>74</v>
      </c>
      <c r="B112" s="10">
        <v>478</v>
      </c>
      <c r="C112" s="11"/>
      <c r="D112" s="12">
        <f t="shared" si="3"/>
        <v>0</v>
      </c>
    </row>
    <row r="113" spans="1:4" ht="15" x14ac:dyDescent="0.25">
      <c r="A113" s="9" t="s">
        <v>75</v>
      </c>
      <c r="B113" s="10">
        <v>478</v>
      </c>
      <c r="C113" s="11"/>
      <c r="D113" s="12">
        <f t="shared" si="3"/>
        <v>0</v>
      </c>
    </row>
    <row r="114" spans="1:4" ht="15" x14ac:dyDescent="0.25">
      <c r="A114" s="9" t="s">
        <v>76</v>
      </c>
      <c r="B114" s="10">
        <v>478</v>
      </c>
      <c r="C114" s="11"/>
      <c r="D114" s="12">
        <f t="shared" si="3"/>
        <v>0</v>
      </c>
    </row>
    <row r="115" spans="1:4" ht="15" x14ac:dyDescent="0.25">
      <c r="A115" s="9" t="s">
        <v>58</v>
      </c>
      <c r="B115" s="10">
        <v>478</v>
      </c>
      <c r="C115" s="11"/>
      <c r="D115" s="12">
        <f t="shared" si="3"/>
        <v>0</v>
      </c>
    </row>
    <row r="116" spans="1:4" ht="15" x14ac:dyDescent="0.25">
      <c r="A116" s="9" t="s">
        <v>77</v>
      </c>
      <c r="B116" s="10">
        <v>478</v>
      </c>
      <c r="C116" s="11"/>
      <c r="D116" s="12">
        <f t="shared" si="3"/>
        <v>0</v>
      </c>
    </row>
    <row r="117" spans="1:4" ht="15" x14ac:dyDescent="0.25">
      <c r="A117" s="9" t="s">
        <v>60</v>
      </c>
      <c r="B117" s="10">
        <v>478</v>
      </c>
      <c r="C117" s="11"/>
      <c r="D117" s="12">
        <f t="shared" si="3"/>
        <v>0</v>
      </c>
    </row>
    <row r="118" spans="1:4" ht="15" x14ac:dyDescent="0.25">
      <c r="A118" s="9" t="s">
        <v>61</v>
      </c>
      <c r="B118" s="10">
        <v>478</v>
      </c>
      <c r="C118" s="11"/>
      <c r="D118" s="12">
        <f t="shared" si="3"/>
        <v>0</v>
      </c>
    </row>
    <row r="119" spans="1:4" ht="15" x14ac:dyDescent="0.25">
      <c r="A119" s="9" t="s">
        <v>62</v>
      </c>
      <c r="B119" s="10">
        <v>478</v>
      </c>
      <c r="C119" s="11"/>
      <c r="D119" s="12">
        <f t="shared" si="3"/>
        <v>0</v>
      </c>
    </row>
    <row r="120" spans="1:4" ht="15" x14ac:dyDescent="0.25">
      <c r="A120" s="9" t="s">
        <v>63</v>
      </c>
      <c r="B120" s="10">
        <v>478</v>
      </c>
      <c r="C120" s="11"/>
      <c r="D120" s="12">
        <f t="shared" si="3"/>
        <v>0</v>
      </c>
    </row>
    <row r="121" spans="1:4" ht="15" x14ac:dyDescent="0.25">
      <c r="A121" s="9" t="s">
        <v>64</v>
      </c>
      <c r="B121" s="10">
        <v>478</v>
      </c>
      <c r="C121" s="11"/>
      <c r="D121" s="12">
        <f t="shared" si="3"/>
        <v>0</v>
      </c>
    </row>
    <row r="122" spans="1:4" ht="15" x14ac:dyDescent="0.25">
      <c r="A122" s="9" t="s">
        <v>78</v>
      </c>
      <c r="B122" s="10">
        <v>478</v>
      </c>
      <c r="C122" s="11"/>
      <c r="D122" s="12">
        <f t="shared" si="3"/>
        <v>0</v>
      </c>
    </row>
    <row r="123" spans="1:4" ht="15" x14ac:dyDescent="0.25">
      <c r="A123" s="9" t="s">
        <v>79</v>
      </c>
      <c r="B123" s="10">
        <v>478</v>
      </c>
      <c r="C123" s="11"/>
      <c r="D123" s="12">
        <f t="shared" si="3"/>
        <v>0</v>
      </c>
    </row>
    <row r="124" spans="1:4" ht="15" x14ac:dyDescent="0.25">
      <c r="A124" s="9" t="s">
        <v>80</v>
      </c>
      <c r="B124" s="10">
        <v>478</v>
      </c>
      <c r="C124" s="11"/>
      <c r="D124" s="12">
        <f t="shared" si="3"/>
        <v>0</v>
      </c>
    </row>
    <row r="125" spans="1:4" ht="15" x14ac:dyDescent="0.25">
      <c r="A125" s="9" t="s">
        <v>81</v>
      </c>
      <c r="B125" s="10">
        <v>478</v>
      </c>
      <c r="C125" s="11"/>
      <c r="D125" s="12">
        <f t="shared" si="3"/>
        <v>0</v>
      </c>
    </row>
    <row r="126" spans="1:4" ht="15" x14ac:dyDescent="0.25">
      <c r="A126" s="9" t="s">
        <v>84</v>
      </c>
      <c r="B126" s="10">
        <v>478</v>
      </c>
      <c r="C126" s="11"/>
      <c r="D126" s="12">
        <f t="shared" si="3"/>
        <v>0</v>
      </c>
    </row>
    <row r="127" spans="1:4" ht="15" x14ac:dyDescent="0.25">
      <c r="A127" s="9" t="s">
        <v>83</v>
      </c>
      <c r="B127" s="10">
        <v>478</v>
      </c>
      <c r="C127" s="11"/>
      <c r="D127" s="12">
        <f t="shared" si="3"/>
        <v>0</v>
      </c>
    </row>
    <row r="128" spans="1:4" ht="15" x14ac:dyDescent="0.25">
      <c r="A128" s="9" t="s">
        <v>71</v>
      </c>
      <c r="B128" s="10">
        <v>478</v>
      </c>
      <c r="C128" s="11"/>
      <c r="D128" s="12">
        <f t="shared" si="3"/>
        <v>0</v>
      </c>
    </row>
    <row r="129" spans="1:4" ht="15" x14ac:dyDescent="0.25">
      <c r="A129" s="9" t="s">
        <v>72</v>
      </c>
      <c r="B129" s="10">
        <v>478</v>
      </c>
      <c r="C129" s="11"/>
      <c r="D129" s="12">
        <f t="shared" si="3"/>
        <v>0</v>
      </c>
    </row>
    <row r="130" spans="1:4" x14ac:dyDescent="0.25">
      <c r="A130" s="13" t="s">
        <v>37</v>
      </c>
      <c r="B130" s="14">
        <f>SUM(B104:B129)</f>
        <v>75906.399999999994</v>
      </c>
      <c r="C130" s="15"/>
      <c r="D130" s="15">
        <f>SUM(D104:D129)</f>
        <v>0</v>
      </c>
    </row>
    <row r="131" spans="1:4" x14ac:dyDescent="0.25">
      <c r="A131" s="16"/>
      <c r="B131" s="17" t="s">
        <v>19</v>
      </c>
      <c r="C131" s="18" t="s">
        <v>20</v>
      </c>
      <c r="D131" s="18" t="s">
        <v>21</v>
      </c>
    </row>
    <row r="132" spans="1:4" s="5" customFormat="1" x14ac:dyDescent="0.25">
      <c r="A132" s="13" t="s">
        <v>33</v>
      </c>
      <c r="B132" s="15">
        <v>872081.91</v>
      </c>
      <c r="C132" s="15"/>
      <c r="D132" s="15"/>
    </row>
    <row r="133" spans="1:4" x14ac:dyDescent="0.25">
      <c r="A133" s="27"/>
      <c r="B133" s="27"/>
      <c r="C133" s="27"/>
      <c r="D133" s="27"/>
    </row>
    <row r="134" spans="1:4" x14ac:dyDescent="0.25">
      <c r="A134" s="28" t="s">
        <v>32</v>
      </c>
      <c r="B134" s="29"/>
      <c r="C134" s="30"/>
      <c r="D134" s="21">
        <f>D130+D132</f>
        <v>0</v>
      </c>
    </row>
    <row r="136" spans="1:4" x14ac:dyDescent="0.25">
      <c r="A136" s="19" t="s">
        <v>25</v>
      </c>
      <c r="B136" s="20" t="s">
        <v>13</v>
      </c>
      <c r="C136" s="19" t="s">
        <v>14</v>
      </c>
      <c r="D136" s="19" t="s">
        <v>15</v>
      </c>
    </row>
    <row r="137" spans="1:4" ht="15" x14ac:dyDescent="0.25">
      <c r="A137" s="9" t="s">
        <v>47</v>
      </c>
      <c r="B137" s="10">
        <v>1720.8</v>
      </c>
      <c r="C137" s="11"/>
      <c r="D137" s="12">
        <f>C137*B137</f>
        <v>0</v>
      </c>
    </row>
    <row r="138" spans="1:4" ht="15" x14ac:dyDescent="0.25">
      <c r="A138" s="9" t="s">
        <v>48</v>
      </c>
      <c r="B138" s="10">
        <v>573.6</v>
      </c>
      <c r="C138" s="11"/>
      <c r="D138" s="12">
        <f t="shared" ref="D138:D162" si="4">C138*B138</f>
        <v>0</v>
      </c>
    </row>
    <row r="139" spans="1:4" ht="15" x14ac:dyDescent="0.25">
      <c r="A139" s="9" t="s">
        <v>49</v>
      </c>
      <c r="B139" s="10">
        <v>36901.599999999999</v>
      </c>
      <c r="C139" s="11"/>
      <c r="D139" s="12">
        <f t="shared" si="4"/>
        <v>0</v>
      </c>
    </row>
    <row r="140" spans="1:4" ht="15" x14ac:dyDescent="0.25">
      <c r="A140" s="9" t="s">
        <v>50</v>
      </c>
      <c r="B140" s="10">
        <v>7265.6</v>
      </c>
      <c r="C140" s="11"/>
      <c r="D140" s="12">
        <f t="shared" si="4"/>
        <v>0</v>
      </c>
    </row>
    <row r="141" spans="1:4" ht="15" x14ac:dyDescent="0.25">
      <c r="A141" s="9" t="s">
        <v>51</v>
      </c>
      <c r="B141" s="10">
        <v>14340</v>
      </c>
      <c r="C141" s="11"/>
      <c r="D141" s="12">
        <f t="shared" si="4"/>
        <v>0</v>
      </c>
    </row>
    <row r="142" spans="1:4" ht="15" x14ac:dyDescent="0.25">
      <c r="A142" s="9" t="s">
        <v>52</v>
      </c>
      <c r="B142" s="10">
        <v>5544.8</v>
      </c>
      <c r="C142" s="11"/>
      <c r="D142" s="12">
        <f t="shared" si="4"/>
        <v>0</v>
      </c>
    </row>
    <row r="143" spans="1:4" ht="15" x14ac:dyDescent="0.25">
      <c r="A143" s="9" t="s">
        <v>73</v>
      </c>
      <c r="B143" s="10">
        <v>478</v>
      </c>
      <c r="C143" s="11"/>
      <c r="D143" s="12">
        <f t="shared" si="4"/>
        <v>0</v>
      </c>
    </row>
    <row r="144" spans="1:4" ht="15" x14ac:dyDescent="0.25">
      <c r="A144" s="9" t="s">
        <v>54</v>
      </c>
      <c r="B144" s="10">
        <v>478</v>
      </c>
      <c r="C144" s="11"/>
      <c r="D144" s="12">
        <f t="shared" si="4"/>
        <v>0</v>
      </c>
    </row>
    <row r="145" spans="1:4" ht="15" x14ac:dyDescent="0.25">
      <c r="A145" s="9" t="s">
        <v>74</v>
      </c>
      <c r="B145" s="10">
        <v>478</v>
      </c>
      <c r="C145" s="11"/>
      <c r="D145" s="12">
        <f t="shared" si="4"/>
        <v>0</v>
      </c>
    </row>
    <row r="146" spans="1:4" ht="15" x14ac:dyDescent="0.25">
      <c r="A146" s="9" t="s">
        <v>75</v>
      </c>
      <c r="B146" s="10">
        <v>478</v>
      </c>
      <c r="C146" s="11"/>
      <c r="D146" s="12">
        <f t="shared" si="4"/>
        <v>0</v>
      </c>
    </row>
    <row r="147" spans="1:4" ht="15" x14ac:dyDescent="0.25">
      <c r="A147" s="9" t="s">
        <v>76</v>
      </c>
      <c r="B147" s="10">
        <v>478</v>
      </c>
      <c r="C147" s="11"/>
      <c r="D147" s="12">
        <f t="shared" si="4"/>
        <v>0</v>
      </c>
    </row>
    <row r="148" spans="1:4" ht="15" x14ac:dyDescent="0.25">
      <c r="A148" s="9" t="s">
        <v>58</v>
      </c>
      <c r="B148" s="10">
        <v>478</v>
      </c>
      <c r="C148" s="11"/>
      <c r="D148" s="12">
        <f t="shared" si="4"/>
        <v>0</v>
      </c>
    </row>
    <row r="149" spans="1:4" ht="15" x14ac:dyDescent="0.25">
      <c r="A149" s="9" t="s">
        <v>77</v>
      </c>
      <c r="B149" s="10">
        <v>478</v>
      </c>
      <c r="C149" s="11"/>
      <c r="D149" s="12">
        <f t="shared" si="4"/>
        <v>0</v>
      </c>
    </row>
    <row r="150" spans="1:4" ht="15" x14ac:dyDescent="0.25">
      <c r="A150" s="9" t="s">
        <v>60</v>
      </c>
      <c r="B150" s="10">
        <v>478</v>
      </c>
      <c r="C150" s="11"/>
      <c r="D150" s="12">
        <f t="shared" si="4"/>
        <v>0</v>
      </c>
    </row>
    <row r="151" spans="1:4" ht="15" x14ac:dyDescent="0.25">
      <c r="A151" s="9" t="s">
        <v>61</v>
      </c>
      <c r="B151" s="10">
        <v>478</v>
      </c>
      <c r="C151" s="11"/>
      <c r="D151" s="12">
        <f t="shared" si="4"/>
        <v>0</v>
      </c>
    </row>
    <row r="152" spans="1:4" ht="15" x14ac:dyDescent="0.25">
      <c r="A152" s="9" t="s">
        <v>62</v>
      </c>
      <c r="B152" s="10">
        <v>478</v>
      </c>
      <c r="C152" s="11"/>
      <c r="D152" s="12">
        <f t="shared" si="4"/>
        <v>0</v>
      </c>
    </row>
    <row r="153" spans="1:4" ht="15" x14ac:dyDescent="0.25">
      <c r="A153" s="9" t="s">
        <v>63</v>
      </c>
      <c r="B153" s="10">
        <v>478</v>
      </c>
      <c r="C153" s="11"/>
      <c r="D153" s="12">
        <f t="shared" si="4"/>
        <v>0</v>
      </c>
    </row>
    <row r="154" spans="1:4" ht="15" x14ac:dyDescent="0.25">
      <c r="A154" s="9" t="s">
        <v>64</v>
      </c>
      <c r="B154" s="10">
        <v>478</v>
      </c>
      <c r="C154" s="11"/>
      <c r="D154" s="12">
        <f t="shared" si="4"/>
        <v>0</v>
      </c>
    </row>
    <row r="155" spans="1:4" ht="15" x14ac:dyDescent="0.25">
      <c r="A155" s="9" t="s">
        <v>78</v>
      </c>
      <c r="B155" s="10">
        <v>478</v>
      </c>
      <c r="C155" s="11"/>
      <c r="D155" s="12">
        <f t="shared" si="4"/>
        <v>0</v>
      </c>
    </row>
    <row r="156" spans="1:4" ht="15" x14ac:dyDescent="0.25">
      <c r="A156" s="9" t="s">
        <v>79</v>
      </c>
      <c r="B156" s="10">
        <v>478</v>
      </c>
      <c r="C156" s="11"/>
      <c r="D156" s="12">
        <f t="shared" si="4"/>
        <v>0</v>
      </c>
    </row>
    <row r="157" spans="1:4" ht="15" x14ac:dyDescent="0.25">
      <c r="A157" s="9" t="s">
        <v>80</v>
      </c>
      <c r="B157" s="10">
        <v>478</v>
      </c>
      <c r="C157" s="11"/>
      <c r="D157" s="12">
        <f t="shared" si="4"/>
        <v>0</v>
      </c>
    </row>
    <row r="158" spans="1:4" ht="15" x14ac:dyDescent="0.25">
      <c r="A158" s="9" t="s">
        <v>81</v>
      </c>
      <c r="B158" s="10">
        <v>478</v>
      </c>
      <c r="C158" s="11"/>
      <c r="D158" s="12">
        <f t="shared" si="4"/>
        <v>0</v>
      </c>
    </row>
    <row r="159" spans="1:4" ht="15" x14ac:dyDescent="0.25">
      <c r="A159" s="9" t="s">
        <v>84</v>
      </c>
      <c r="B159" s="10">
        <v>478</v>
      </c>
      <c r="C159" s="11"/>
      <c r="D159" s="12">
        <f t="shared" si="4"/>
        <v>0</v>
      </c>
    </row>
    <row r="160" spans="1:4" ht="15" x14ac:dyDescent="0.25">
      <c r="A160" s="9" t="s">
        <v>83</v>
      </c>
      <c r="B160" s="10">
        <v>478</v>
      </c>
      <c r="C160" s="11"/>
      <c r="D160" s="12">
        <f t="shared" si="4"/>
        <v>0</v>
      </c>
    </row>
    <row r="161" spans="1:4" ht="15" x14ac:dyDescent="0.25">
      <c r="A161" s="9" t="s">
        <v>71</v>
      </c>
      <c r="B161" s="10">
        <v>478</v>
      </c>
      <c r="C161" s="11"/>
      <c r="D161" s="12">
        <f t="shared" si="4"/>
        <v>0</v>
      </c>
    </row>
    <row r="162" spans="1:4" ht="15" x14ac:dyDescent="0.25">
      <c r="A162" s="9" t="s">
        <v>72</v>
      </c>
      <c r="B162" s="10">
        <v>478</v>
      </c>
      <c r="C162" s="11"/>
      <c r="D162" s="12">
        <f t="shared" si="4"/>
        <v>0</v>
      </c>
    </row>
    <row r="163" spans="1:4" x14ac:dyDescent="0.25">
      <c r="A163" s="13" t="s">
        <v>38</v>
      </c>
      <c r="B163" s="14">
        <f>SUM(B137:B162)</f>
        <v>75906.399999999994</v>
      </c>
      <c r="C163" s="15"/>
      <c r="D163" s="15">
        <f>SUM(D137:D162)</f>
        <v>0</v>
      </c>
    </row>
    <row r="164" spans="1:4" x14ac:dyDescent="0.25">
      <c r="A164" s="16"/>
      <c r="B164" s="17" t="s">
        <v>19</v>
      </c>
      <c r="C164" s="18" t="s">
        <v>20</v>
      </c>
      <c r="D164" s="18" t="s">
        <v>21</v>
      </c>
    </row>
    <row r="165" spans="1:4" s="5" customFormat="1" x14ac:dyDescent="0.25">
      <c r="A165" s="13" t="s">
        <v>31</v>
      </c>
      <c r="B165" s="15">
        <v>898244.37</v>
      </c>
      <c r="C165" s="15"/>
      <c r="D165" s="15"/>
    </row>
    <row r="166" spans="1:4" x14ac:dyDescent="0.25">
      <c r="A166" s="27"/>
      <c r="B166" s="27"/>
      <c r="C166" s="27"/>
      <c r="D166" s="27"/>
    </row>
    <row r="167" spans="1:4" x14ac:dyDescent="0.25">
      <c r="A167" s="28" t="s">
        <v>30</v>
      </c>
      <c r="B167" s="29"/>
      <c r="C167" s="30"/>
      <c r="D167" s="21">
        <f>D163+D165</f>
        <v>0</v>
      </c>
    </row>
    <row r="169" spans="1:4" x14ac:dyDescent="0.25">
      <c r="A169" s="19" t="s">
        <v>6</v>
      </c>
      <c r="B169" s="20" t="s">
        <v>7</v>
      </c>
      <c r="C169" s="19" t="s">
        <v>8</v>
      </c>
      <c r="D169" s="19" t="s">
        <v>9</v>
      </c>
    </row>
    <row r="170" spans="1:4" ht="15" x14ac:dyDescent="0.25">
      <c r="A170" s="9" t="s">
        <v>47</v>
      </c>
      <c r="B170" s="10">
        <v>860.4</v>
      </c>
      <c r="C170" s="11"/>
      <c r="D170" s="12">
        <f>C170*B170</f>
        <v>0</v>
      </c>
    </row>
    <row r="171" spans="1:4" ht="15" x14ac:dyDescent="0.25">
      <c r="A171" s="9" t="s">
        <v>48</v>
      </c>
      <c r="B171" s="10">
        <v>286.8</v>
      </c>
      <c r="C171" s="11"/>
      <c r="D171" s="12">
        <f t="shared" ref="D171:D195" si="5">C171*B171</f>
        <v>0</v>
      </c>
    </row>
    <row r="172" spans="1:4" ht="15" x14ac:dyDescent="0.25">
      <c r="A172" s="9" t="s">
        <v>47</v>
      </c>
      <c r="B172" s="10">
        <v>18450.8</v>
      </c>
      <c r="C172" s="11"/>
      <c r="D172" s="12">
        <f t="shared" si="5"/>
        <v>0</v>
      </c>
    </row>
    <row r="173" spans="1:4" ht="15" x14ac:dyDescent="0.25">
      <c r="A173" s="9" t="s">
        <v>50</v>
      </c>
      <c r="B173" s="10">
        <v>3632.8</v>
      </c>
      <c r="C173" s="11"/>
      <c r="D173" s="12">
        <f t="shared" si="5"/>
        <v>0</v>
      </c>
    </row>
    <row r="174" spans="1:4" ht="15" x14ac:dyDescent="0.25">
      <c r="A174" s="9" t="s">
        <v>51</v>
      </c>
      <c r="B174" s="10">
        <v>7170</v>
      </c>
      <c r="C174" s="11"/>
      <c r="D174" s="12">
        <f t="shared" si="5"/>
        <v>0</v>
      </c>
    </row>
    <row r="175" spans="1:4" ht="15" x14ac:dyDescent="0.25">
      <c r="A175" s="9" t="s">
        <v>52</v>
      </c>
      <c r="B175" s="10">
        <v>2772.4</v>
      </c>
      <c r="C175" s="11"/>
      <c r="D175" s="12">
        <f t="shared" si="5"/>
        <v>0</v>
      </c>
    </row>
    <row r="176" spans="1:4" ht="15" x14ac:dyDescent="0.25">
      <c r="A176" s="9" t="s">
        <v>73</v>
      </c>
      <c r="B176" s="10">
        <v>239</v>
      </c>
      <c r="C176" s="11"/>
      <c r="D176" s="12">
        <f t="shared" si="5"/>
        <v>0</v>
      </c>
    </row>
    <row r="177" spans="1:4" ht="15" x14ac:dyDescent="0.25">
      <c r="A177" s="9" t="s">
        <v>54</v>
      </c>
      <c r="B177" s="10">
        <v>239</v>
      </c>
      <c r="C177" s="11"/>
      <c r="D177" s="12">
        <f t="shared" si="5"/>
        <v>0</v>
      </c>
    </row>
    <row r="178" spans="1:4" ht="15" x14ac:dyDescent="0.25">
      <c r="A178" s="9" t="s">
        <v>74</v>
      </c>
      <c r="B178" s="10">
        <v>239</v>
      </c>
      <c r="C178" s="11"/>
      <c r="D178" s="12">
        <f t="shared" si="5"/>
        <v>0</v>
      </c>
    </row>
    <row r="179" spans="1:4" ht="15" x14ac:dyDescent="0.25">
      <c r="A179" s="9" t="s">
        <v>75</v>
      </c>
      <c r="B179" s="10">
        <v>239</v>
      </c>
      <c r="C179" s="11"/>
      <c r="D179" s="12">
        <f t="shared" si="5"/>
        <v>0</v>
      </c>
    </row>
    <row r="180" spans="1:4" ht="15" x14ac:dyDescent="0.25">
      <c r="A180" s="9" t="s">
        <v>76</v>
      </c>
      <c r="B180" s="10">
        <v>239</v>
      </c>
      <c r="C180" s="11"/>
      <c r="D180" s="12">
        <f t="shared" si="5"/>
        <v>0</v>
      </c>
    </row>
    <row r="181" spans="1:4" ht="15" x14ac:dyDescent="0.25">
      <c r="A181" s="9" t="s">
        <v>58</v>
      </c>
      <c r="B181" s="10">
        <v>239</v>
      </c>
      <c r="C181" s="11"/>
      <c r="D181" s="12">
        <f t="shared" si="5"/>
        <v>0</v>
      </c>
    </row>
    <row r="182" spans="1:4" ht="15" x14ac:dyDescent="0.25">
      <c r="A182" s="9" t="s">
        <v>77</v>
      </c>
      <c r="B182" s="10">
        <v>239</v>
      </c>
      <c r="C182" s="11"/>
      <c r="D182" s="12">
        <f t="shared" si="5"/>
        <v>0</v>
      </c>
    </row>
    <row r="183" spans="1:4" ht="15" x14ac:dyDescent="0.25">
      <c r="A183" s="9" t="s">
        <v>60</v>
      </c>
      <c r="B183" s="10">
        <v>239</v>
      </c>
      <c r="C183" s="11"/>
      <c r="D183" s="12">
        <f t="shared" si="5"/>
        <v>0</v>
      </c>
    </row>
    <row r="184" spans="1:4" ht="15" x14ac:dyDescent="0.25">
      <c r="A184" s="9" t="s">
        <v>61</v>
      </c>
      <c r="B184" s="10">
        <v>239</v>
      </c>
      <c r="C184" s="11"/>
      <c r="D184" s="12">
        <f t="shared" si="5"/>
        <v>0</v>
      </c>
    </row>
    <row r="185" spans="1:4" ht="15" x14ac:dyDescent="0.25">
      <c r="A185" s="9" t="s">
        <v>62</v>
      </c>
      <c r="B185" s="10">
        <v>239</v>
      </c>
      <c r="C185" s="11"/>
      <c r="D185" s="12">
        <f t="shared" si="5"/>
        <v>0</v>
      </c>
    </row>
    <row r="186" spans="1:4" ht="15" x14ac:dyDescent="0.25">
      <c r="A186" s="9" t="s">
        <v>63</v>
      </c>
      <c r="B186" s="10">
        <v>239</v>
      </c>
      <c r="C186" s="11"/>
      <c r="D186" s="12">
        <f t="shared" si="5"/>
        <v>0</v>
      </c>
    </row>
    <row r="187" spans="1:4" ht="15" x14ac:dyDescent="0.25">
      <c r="A187" s="9" t="s">
        <v>64</v>
      </c>
      <c r="B187" s="10">
        <v>239</v>
      </c>
      <c r="C187" s="11"/>
      <c r="D187" s="12">
        <f t="shared" si="5"/>
        <v>0</v>
      </c>
    </row>
    <row r="188" spans="1:4" ht="15" x14ac:dyDescent="0.25">
      <c r="A188" s="9" t="s">
        <v>78</v>
      </c>
      <c r="B188" s="10">
        <v>239</v>
      </c>
      <c r="C188" s="11"/>
      <c r="D188" s="12">
        <f t="shared" si="5"/>
        <v>0</v>
      </c>
    </row>
    <row r="189" spans="1:4" ht="15" x14ac:dyDescent="0.25">
      <c r="A189" s="9" t="s">
        <v>79</v>
      </c>
      <c r="B189" s="10">
        <v>239</v>
      </c>
      <c r="C189" s="11"/>
      <c r="D189" s="12">
        <f t="shared" si="5"/>
        <v>0</v>
      </c>
    </row>
    <row r="190" spans="1:4" ht="15" x14ac:dyDescent="0.25">
      <c r="A190" s="9" t="s">
        <v>80</v>
      </c>
      <c r="B190" s="10">
        <v>239</v>
      </c>
      <c r="C190" s="11"/>
      <c r="D190" s="12">
        <f t="shared" si="5"/>
        <v>0</v>
      </c>
    </row>
    <row r="191" spans="1:4" ht="15" x14ac:dyDescent="0.25">
      <c r="A191" s="9" t="s">
        <v>81</v>
      </c>
      <c r="B191" s="10">
        <v>239</v>
      </c>
      <c r="C191" s="11"/>
      <c r="D191" s="12">
        <f t="shared" si="5"/>
        <v>0</v>
      </c>
    </row>
    <row r="192" spans="1:4" ht="15" x14ac:dyDescent="0.25">
      <c r="A192" s="9" t="s">
        <v>84</v>
      </c>
      <c r="B192" s="10">
        <v>239</v>
      </c>
      <c r="C192" s="11"/>
      <c r="D192" s="12">
        <f t="shared" si="5"/>
        <v>0</v>
      </c>
    </row>
    <row r="193" spans="1:4" ht="15" x14ac:dyDescent="0.25">
      <c r="A193" s="9" t="s">
        <v>83</v>
      </c>
      <c r="B193" s="10">
        <v>239</v>
      </c>
      <c r="C193" s="11"/>
      <c r="D193" s="12">
        <f t="shared" si="5"/>
        <v>0</v>
      </c>
    </row>
    <row r="194" spans="1:4" ht="15" x14ac:dyDescent="0.25">
      <c r="A194" s="9" t="s">
        <v>71</v>
      </c>
      <c r="B194" s="10">
        <v>239</v>
      </c>
      <c r="C194" s="11"/>
      <c r="D194" s="12">
        <f t="shared" si="5"/>
        <v>0</v>
      </c>
    </row>
    <row r="195" spans="1:4" ht="15" x14ac:dyDescent="0.25">
      <c r="A195" s="9" t="s">
        <v>72</v>
      </c>
      <c r="B195" s="10">
        <v>239</v>
      </c>
      <c r="C195" s="11"/>
      <c r="D195" s="12">
        <f t="shared" si="5"/>
        <v>0</v>
      </c>
    </row>
    <row r="196" spans="1:4" x14ac:dyDescent="0.25">
      <c r="A196" s="13" t="s">
        <v>39</v>
      </c>
      <c r="B196" s="14">
        <f>SUM(B170:B195)</f>
        <v>37953.199999999997</v>
      </c>
      <c r="C196" s="15"/>
      <c r="D196" s="15">
        <f>SUM(D170:D195)</f>
        <v>0</v>
      </c>
    </row>
    <row r="197" spans="1:4" x14ac:dyDescent="0.25">
      <c r="A197" s="16"/>
      <c r="B197" s="17" t="s">
        <v>19</v>
      </c>
      <c r="C197" s="18" t="s">
        <v>20</v>
      </c>
      <c r="D197" s="18" t="s">
        <v>21</v>
      </c>
    </row>
    <row r="198" spans="1:4" s="3" customFormat="1" x14ac:dyDescent="0.25">
      <c r="A198" s="13" t="s">
        <v>28</v>
      </c>
      <c r="B198" s="24">
        <v>462595.85</v>
      </c>
      <c r="C198" s="24"/>
      <c r="D198" s="24"/>
    </row>
    <row r="199" spans="1:4" x14ac:dyDescent="0.25">
      <c r="A199" s="27"/>
      <c r="B199" s="27"/>
      <c r="C199" s="27"/>
      <c r="D199" s="27"/>
    </row>
    <row r="200" spans="1:4" x14ac:dyDescent="0.25">
      <c r="A200" s="28" t="s">
        <v>29</v>
      </c>
      <c r="B200" s="29"/>
      <c r="C200" s="30"/>
      <c r="D200" s="21">
        <f>D196+D198</f>
        <v>0</v>
      </c>
    </row>
    <row r="202" spans="1:4" s="23" customFormat="1" ht="15.75" x14ac:dyDescent="0.25">
      <c r="A202" s="22" t="s">
        <v>16</v>
      </c>
      <c r="B202" s="25">
        <f>SUM(D33,D67,D101,D134,D167,D200)</f>
        <v>0</v>
      </c>
      <c r="C202" s="26"/>
      <c r="D202" s="26"/>
    </row>
  </sheetData>
  <mergeCells count="14">
    <mergeCell ref="A1:D1"/>
    <mergeCell ref="A66:D66"/>
    <mergeCell ref="A32:D32"/>
    <mergeCell ref="A100:D100"/>
    <mergeCell ref="A133:D133"/>
    <mergeCell ref="B202:D202"/>
    <mergeCell ref="A166:D166"/>
    <mergeCell ref="A199:D199"/>
    <mergeCell ref="A33:C33"/>
    <mergeCell ref="A67:C67"/>
    <mergeCell ref="A200:C200"/>
    <mergeCell ref="A167:C167"/>
    <mergeCell ref="A134:C134"/>
    <mergeCell ref="A101:C10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A530DFAC5A464AB51274D2CF24C15D" ma:contentTypeVersion="25" ma:contentTypeDescription="Create a new document." ma:contentTypeScope="" ma:versionID="a279e61a34403a933d72cb9a79424c8a">
  <xsd:schema xmlns:xsd="http://www.w3.org/2001/XMLSchema" xmlns:xs="http://www.w3.org/2001/XMLSchema" xmlns:p="http://schemas.microsoft.com/office/2006/metadata/properties" xmlns:ns1="http://schemas.microsoft.com/sharepoint/v3" xmlns:ns2="5730763b-7215-4ed6-8bb9-c13c86676fc2" xmlns:ns3="0206ac7d-c322-4bfe-b617-ef06d387d177" targetNamespace="http://schemas.microsoft.com/office/2006/metadata/properties" ma:root="true" ma:fieldsID="69b0e8fc801a63a31fe32cf2cfeb84f0" ns1:_="" ns2:_="" ns3:_="">
    <xsd:import namespace="http://schemas.microsoft.com/sharepoint/v3"/>
    <xsd:import namespace="5730763b-7215-4ed6-8bb9-c13c86676fc2"/>
    <xsd:import namespace="0206ac7d-c322-4bfe-b617-ef06d387d177"/>
    <xsd:element name="properties">
      <xsd:complexType>
        <xsd:sequence>
          <xsd:element name="documentManagement">
            <xsd:complexType>
              <xsd:all>
                <xsd:element ref="ns2:_dlc_DocId" minOccurs="0"/>
                <xsd:element ref="ns2:_dlc_DocIdUrl" minOccurs="0"/>
                <xsd:element ref="ns2:_dlc_DocIdPersistId" minOccurs="0"/>
                <xsd:element ref="ns2:TaxCatchAll"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3:MediaServiceOCR" minOccurs="0"/>
                <xsd:element ref="ns3:MediaServiceGenerationTime" minOccurs="0"/>
                <xsd:element ref="ns3:MediaServiceEventHashCode" minOccurs="0"/>
                <xsd:element ref="ns3:MediaServiceLocation" minOccurs="0"/>
                <xsd:element ref="ns3: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730763b-7215-4ed6-8bb9-c13c86676fc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1" nillable="true" ma:displayName="Taxonomy Catch All Column" ma:hidden="true" ma:list="{001e0b25-0ed6-4ebf-aec9-2a83a76e26ef}" ma:internalName="TaxCatchAll" ma:showField="CatchAllData" ma:web="5730763b-7215-4ed6-8bb9-c13c86676fc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206ac7d-c322-4bfe-b617-ef06d387d177"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5730763b-7215-4ed6-8bb9-c13c86676fc2" xsi:nil="true"/>
    <lcf76f155ced4ddcb4097134ff3c332f xmlns="0206ac7d-c322-4bfe-b617-ef06d387d177">
      <Terms xmlns="http://schemas.microsoft.com/office/infopath/2007/PartnerControls"/>
    </lcf76f155ced4ddcb4097134ff3c332f>
    <_dlc_DocId xmlns="5730763b-7215-4ed6-8bb9-c13c86676fc2">4M46DH3RNQFE-549379846-659004</_dlc_DocId>
    <_dlc_DocIdUrl xmlns="5730763b-7215-4ed6-8bb9-c13c86676fc2">
      <Url>https://flankspeed.sharepoint-mil.us/sites/NAVSUP_FLCN_C200_eFiles/_layouts/15/DocIdRedir.aspx?ID=4M46DH3RNQFE-549379846-659004</Url>
      <Description>4M46DH3RNQFE-549379846-659004</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AA1D742-532C-4B9E-8DEA-A081036F79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730763b-7215-4ed6-8bb9-c13c86676fc2"/>
    <ds:schemaRef ds:uri="0206ac7d-c322-4bfe-b617-ef06d387d1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37BB2C-2A37-4E8C-AEAA-96374518DF1A}">
  <ds:schemaRefs>
    <ds:schemaRef ds:uri="http://schemas.microsoft.com/office/infopath/2007/PartnerControls"/>
    <ds:schemaRef ds:uri="http://purl.org/dc/dcmitype/"/>
    <ds:schemaRef ds:uri="http://schemas.microsoft.com/office/2006/documentManagement/types"/>
    <ds:schemaRef ds:uri="0206ac7d-c322-4bfe-b617-ef06d387d177"/>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5730763b-7215-4ed6-8bb9-c13c86676fc2"/>
    <ds:schemaRef ds:uri="http://schemas.microsoft.com/sharepoint/v3"/>
  </ds:schemaRefs>
</ds:datastoreItem>
</file>

<file path=customXml/itemProps3.xml><?xml version="1.0" encoding="utf-8"?>
<ds:datastoreItem xmlns:ds="http://schemas.openxmlformats.org/officeDocument/2006/customXml" ds:itemID="{1AD048A0-755E-4F8B-8867-CC7D727B0332}">
  <ds:schemaRefs>
    <ds:schemaRef ds:uri="http://schemas.microsoft.com/sharepoint/v3/contenttype/forms"/>
  </ds:schemaRefs>
</ds:datastoreItem>
</file>

<file path=customXml/itemProps4.xml><?xml version="1.0" encoding="utf-8"?>
<ds:datastoreItem xmlns:ds="http://schemas.openxmlformats.org/officeDocument/2006/customXml" ds:itemID="{980BE64E-0845-4B61-B120-92E17F9751CB}">
  <ds:schemaRefs>
    <ds:schemaRef ds:uri="http://schemas.microsoft.com/sharepoint/events"/>
  </ds:schemaRefs>
</ds:datastoreItem>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Attachment 4</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Lafferty, Danielle V CIV NAVSUP FLC Norfolk, 245.1</dc:creator>
  <cp:lastModifiedBy>Stewart, Nicholas T CIV USN NAVSUP FLCN (USA)</cp:lastModifiedBy>
  <dcterms:created xsi:type="dcterms:W3CDTF">2019-12-23T16:05:21Z</dcterms:created>
  <dcterms:modified xsi:type="dcterms:W3CDTF">2026-03-31T19:18:43Z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0x010100F0A530DFAC5A464AB51274D2CF24C15D</vt:lpwstr>
  </property>
  <property fmtid="{D5CDD505-2E9C-101B-9397-08002B2CF9AE}" pid="3" name="_dlc_DocIdItemGuid">
    <vt:lpwstr>5f2ab432-c41c-455e-a798-8ca36f2c0e9c</vt:lpwstr>
  </property>
</Properties>
</file>