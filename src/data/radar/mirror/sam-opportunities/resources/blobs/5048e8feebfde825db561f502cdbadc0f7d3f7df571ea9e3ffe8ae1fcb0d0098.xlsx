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FLCSI_C200_Naples/Staging Library/C200/Code200 eFolder/Naples Shore/ROBERTO/1. Pre-Award/HHG Naples/2. SOLICITATION/"/>
    </mc:Choice>
  </mc:AlternateContent>
  <bookViews>
    <workbookView xWindow="-15" yWindow="5865" windowWidth="18960" windowHeight="10575"/>
  </bookViews>
  <sheets>
    <sheet name="Pricing Matrix" sheetId="1" r:id="rId1"/>
    <sheet name="Summary" sheetId="2" r:id="rId2"/>
  </sheets>
  <definedNames>
    <definedName name="_xlnm.Print_Titles" localSheetId="0">'Pricing Matrix'!$B:$C,'Pricing Matrix'!$1:$2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" l="1"/>
  <c r="AE7" i="1"/>
  <c r="AE8" i="1"/>
  <c r="AE9" i="1"/>
  <c r="AE11" i="1"/>
  <c r="AE12" i="1"/>
  <c r="AE13" i="1"/>
  <c r="AE14" i="1"/>
  <c r="AE16" i="1"/>
  <c r="AE17" i="1"/>
  <c r="AE18" i="1"/>
  <c r="AE19" i="1"/>
  <c r="AE20" i="1"/>
  <c r="AE21" i="1"/>
  <c r="AE22" i="1"/>
  <c r="AE23" i="1"/>
  <c r="AE25" i="1"/>
  <c r="AE26" i="1"/>
  <c r="AE27" i="1"/>
  <c r="AE28" i="1"/>
  <c r="AE29" i="1"/>
  <c r="AE30" i="1"/>
  <c r="AE31" i="1"/>
  <c r="AE32" i="1"/>
  <c r="AE34" i="1"/>
  <c r="AE35" i="1"/>
  <c r="AE37" i="1"/>
  <c r="AE38" i="1"/>
  <c r="AE39" i="1"/>
  <c r="AE41" i="1"/>
  <c r="AE42" i="1"/>
  <c r="AE43" i="1"/>
  <c r="AE45" i="1"/>
  <c r="AE46" i="1"/>
  <c r="AE47" i="1"/>
  <c r="AE49" i="1"/>
  <c r="AE50" i="1"/>
  <c r="AE52" i="1"/>
  <c r="AE53" i="1"/>
  <c r="AE56" i="1"/>
  <c r="AE57" i="1"/>
  <c r="AE58" i="1"/>
  <c r="AE59" i="1"/>
  <c r="AE61" i="1"/>
  <c r="AE62" i="1"/>
  <c r="AE63" i="1"/>
  <c r="AE64" i="1"/>
  <c r="AE65" i="1"/>
  <c r="AE66" i="1"/>
  <c r="AE67" i="1"/>
  <c r="AE68" i="1"/>
  <c r="AE70" i="1"/>
  <c r="AE71" i="1"/>
  <c r="AE72" i="1"/>
  <c r="AE73" i="1"/>
  <c r="AE74" i="1"/>
  <c r="AE75" i="1"/>
  <c r="AE76" i="1"/>
  <c r="AE77" i="1"/>
  <c r="AE79" i="1"/>
  <c r="AE80" i="1"/>
  <c r="AE81" i="1"/>
  <c r="AE82" i="1"/>
  <c r="AE83" i="1"/>
  <c r="AE84" i="1"/>
  <c r="AE85" i="1"/>
  <c r="AE86" i="1"/>
  <c r="AE88" i="1"/>
  <c r="AE89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9" i="1"/>
  <c r="AE110" i="1"/>
  <c r="AE111" i="1"/>
  <c r="AE112" i="1"/>
  <c r="AE114" i="1"/>
  <c r="AE115" i="1"/>
  <c r="AE116" i="1"/>
  <c r="AE117" i="1"/>
  <c r="AE118" i="1"/>
  <c r="AE119" i="1"/>
  <c r="AE120" i="1"/>
  <c r="AE121" i="1"/>
  <c r="AE122" i="1"/>
  <c r="AE123" i="1"/>
  <c r="AD123" i="1" l="1"/>
  <c r="AD122" i="1"/>
  <c r="AD121" i="1"/>
  <c r="AD120" i="1"/>
  <c r="AD119" i="1"/>
  <c r="AD118" i="1"/>
  <c r="AD117" i="1"/>
  <c r="AD116" i="1"/>
  <c r="AD115" i="1"/>
  <c r="AD114" i="1"/>
  <c r="AD112" i="1"/>
  <c r="AD111" i="1"/>
  <c r="AD110" i="1"/>
  <c r="AD109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89" i="1"/>
  <c r="AD88" i="1"/>
  <c r="AD86" i="1"/>
  <c r="AD85" i="1"/>
  <c r="AD84" i="1"/>
  <c r="AD83" i="1"/>
  <c r="AD82" i="1"/>
  <c r="AD81" i="1"/>
  <c r="AD80" i="1"/>
  <c r="AD79" i="1"/>
  <c r="AD77" i="1"/>
  <c r="AD76" i="1"/>
  <c r="AD75" i="1"/>
  <c r="AD74" i="1"/>
  <c r="AD73" i="1"/>
  <c r="AD72" i="1"/>
  <c r="AD71" i="1"/>
  <c r="AD70" i="1"/>
  <c r="AD68" i="1"/>
  <c r="AD67" i="1"/>
  <c r="AD66" i="1"/>
  <c r="AD65" i="1"/>
  <c r="AD64" i="1"/>
  <c r="AD63" i="1"/>
  <c r="AD62" i="1"/>
  <c r="AD61" i="1"/>
  <c r="AD59" i="1"/>
  <c r="AD58" i="1"/>
  <c r="AD57" i="1"/>
  <c r="AD56" i="1"/>
  <c r="AD53" i="1"/>
  <c r="AD52" i="1"/>
  <c r="AD50" i="1"/>
  <c r="AD49" i="1"/>
  <c r="AD47" i="1"/>
  <c r="AD46" i="1"/>
  <c r="AD45" i="1"/>
  <c r="AD43" i="1"/>
  <c r="AF43" i="1" s="1"/>
  <c r="AD42" i="1"/>
  <c r="AD41" i="1"/>
  <c r="AD39" i="1"/>
  <c r="AD38" i="1"/>
  <c r="AD37" i="1"/>
  <c r="AD35" i="1"/>
  <c r="AD34" i="1"/>
  <c r="AD32" i="1"/>
  <c r="AD31" i="1"/>
  <c r="AD30" i="1"/>
  <c r="AD29" i="1"/>
  <c r="AD28" i="1"/>
  <c r="AD27" i="1"/>
  <c r="AD26" i="1"/>
  <c r="AD25" i="1"/>
  <c r="AD23" i="1"/>
  <c r="AD22" i="1"/>
  <c r="AD21" i="1"/>
  <c r="AD20" i="1"/>
  <c r="AD19" i="1"/>
  <c r="AD18" i="1"/>
  <c r="AD17" i="1"/>
  <c r="AD16" i="1"/>
  <c r="AD14" i="1"/>
  <c r="AD13" i="1"/>
  <c r="AD12" i="1"/>
  <c r="AD11" i="1"/>
  <c r="AD9" i="1"/>
  <c r="AD8" i="1"/>
  <c r="AD7" i="1"/>
  <c r="AD6" i="1"/>
  <c r="AF9" i="1" l="1"/>
  <c r="AF13" i="1"/>
  <c r="AF23" i="1"/>
  <c r="AF31" i="1"/>
  <c r="AF32" i="1"/>
  <c r="AF35" i="1"/>
  <c r="AF52" i="1"/>
  <c r="AF53" i="1"/>
  <c r="AF56" i="1"/>
  <c r="AF68" i="1"/>
  <c r="AF77" i="1"/>
  <c r="AF81" i="1"/>
  <c r="AF82" i="1"/>
  <c r="AF83" i="1"/>
  <c r="AF92" i="1"/>
  <c r="AF103" i="1"/>
  <c r="AF104" i="1"/>
  <c r="AF109" i="1"/>
  <c r="AF110" i="1"/>
  <c r="AF115" i="1"/>
  <c r="AF117" i="1"/>
  <c r="AF118" i="1"/>
  <c r="AF119" i="1"/>
  <c r="AF57" i="1"/>
  <c r="AF84" i="1"/>
  <c r="AF116" i="1"/>
  <c r="AF41" i="1"/>
  <c r="AF58" i="1"/>
  <c r="AF85" i="1"/>
  <c r="AF42" i="1"/>
  <c r="AF73" i="1"/>
  <c r="AF14" i="1"/>
  <c r="AF74" i="1"/>
  <c r="AF88" i="1"/>
  <c r="AF111" i="1"/>
  <c r="AF6" i="1"/>
  <c r="AF112" i="1"/>
  <c r="AF47" i="1"/>
  <c r="AF89" i="1"/>
  <c r="AF46" i="1"/>
  <c r="AF49" i="1"/>
  <c r="AF45" i="1"/>
  <c r="AF63" i="1"/>
  <c r="AF50" i="1"/>
  <c r="AF75" i="1"/>
  <c r="AF62" i="1"/>
  <c r="AF76" i="1"/>
  <c r="AF70" i="1"/>
  <c r="AF95" i="1"/>
  <c r="AF122" i="1"/>
  <c r="AF12" i="1"/>
  <c r="AF26" i="1"/>
  <c r="AF72" i="1"/>
  <c r="AF96" i="1"/>
  <c r="AF123" i="1"/>
  <c r="AF59" i="1"/>
  <c r="AF8" i="1"/>
  <c r="AF121" i="1"/>
  <c r="AF71" i="1"/>
  <c r="AF120" i="1"/>
  <c r="AF29" i="1"/>
  <c r="AF99" i="1"/>
  <c r="AF17" i="1"/>
  <c r="AF91" i="1"/>
  <c r="AF18" i="1"/>
  <c r="AF86" i="1"/>
  <c r="AF114" i="1"/>
  <c r="AF30" i="1"/>
  <c r="AF79" i="1"/>
  <c r="AF11" i="1"/>
  <c r="AF34" i="1"/>
  <c r="AF80" i="1"/>
  <c r="AF21" i="1"/>
  <c r="AF100" i="1"/>
  <c r="AF7" i="1"/>
  <c r="AF19" i="1"/>
  <c r="AF64" i="1"/>
  <c r="AF28" i="1"/>
  <c r="L77" i="1" l="1"/>
  <c r="AA118" i="1" l="1"/>
  <c r="AA82" i="1"/>
  <c r="AA77" i="1"/>
  <c r="AA74" i="1"/>
  <c r="AA64" i="1"/>
  <c r="AA58" i="1"/>
  <c r="AA49" i="1"/>
  <c r="AA32" i="1"/>
  <c r="AA30" i="1"/>
  <c r="Q123" i="1"/>
  <c r="Q122" i="1"/>
  <c r="Q121" i="1"/>
  <c r="Q120" i="1"/>
  <c r="Q119" i="1"/>
  <c r="Q118" i="1"/>
  <c r="Q117" i="1"/>
  <c r="Q116" i="1"/>
  <c r="Q115" i="1"/>
  <c r="Q114" i="1"/>
  <c r="V112" i="1"/>
  <c r="Q111" i="1"/>
  <c r="V110" i="1"/>
  <c r="Q109" i="1"/>
  <c r="V106" i="1"/>
  <c r="V105" i="1"/>
  <c r="Q104" i="1"/>
  <c r="Q103" i="1"/>
  <c r="Q102" i="1"/>
  <c r="Q100" i="1"/>
  <c r="Q99" i="1"/>
  <c r="Q98" i="1"/>
  <c r="Q97" i="1"/>
  <c r="Q96" i="1"/>
  <c r="Q95" i="1"/>
  <c r="Q94" i="1"/>
  <c r="Q93" i="1"/>
  <c r="Q92" i="1"/>
  <c r="Q91" i="1"/>
  <c r="Q89" i="1"/>
  <c r="Q88" i="1"/>
  <c r="Q86" i="1"/>
  <c r="Q85" i="1"/>
  <c r="Q84" i="1"/>
  <c r="Q83" i="1"/>
  <c r="Q82" i="1"/>
  <c r="Q81" i="1"/>
  <c r="V80" i="1"/>
  <c r="V79" i="1"/>
  <c r="V77" i="1"/>
  <c r="Q76" i="1"/>
  <c r="Q75" i="1"/>
  <c r="Q74" i="1"/>
  <c r="Q73" i="1"/>
  <c r="Q72" i="1"/>
  <c r="V71" i="1"/>
  <c r="Q70" i="1"/>
  <c r="Q68" i="1"/>
  <c r="Q67" i="1"/>
  <c r="Q66" i="1"/>
  <c r="Q65" i="1"/>
  <c r="V64" i="1"/>
  <c r="Q63" i="1"/>
  <c r="Q62" i="1"/>
  <c r="Q59" i="1"/>
  <c r="Q58" i="1"/>
  <c r="Q57" i="1"/>
  <c r="Q56" i="1"/>
  <c r="Q53" i="1"/>
  <c r="Q52" i="1"/>
  <c r="Q50" i="1"/>
  <c r="Q49" i="1"/>
  <c r="V47" i="1"/>
  <c r="Q46" i="1"/>
  <c r="Q45" i="1"/>
  <c r="Q43" i="1"/>
  <c r="V42" i="1"/>
  <c r="V41" i="1"/>
  <c r="V39" i="1"/>
  <c r="Q38" i="1"/>
  <c r="Q37" i="1"/>
  <c r="Q35" i="1"/>
  <c r="Q34" i="1"/>
  <c r="Q32" i="1"/>
  <c r="V31" i="1"/>
  <c r="Q30" i="1"/>
  <c r="Q29" i="1"/>
  <c r="V29" i="1"/>
  <c r="V28" i="1"/>
  <c r="V27" i="1"/>
  <c r="V26" i="1"/>
  <c r="Q25" i="1"/>
  <c r="Q23" i="1"/>
  <c r="Q22" i="1"/>
  <c r="Q21" i="1"/>
  <c r="Q20" i="1"/>
  <c r="V19" i="1"/>
  <c r="Q18" i="1"/>
  <c r="Q17" i="1"/>
  <c r="Q16" i="1"/>
  <c r="Q14" i="1"/>
  <c r="V13" i="1"/>
  <c r="Q12" i="1"/>
  <c r="Q11" i="1"/>
  <c r="Q9" i="1"/>
  <c r="Q8" i="1"/>
  <c r="Q7" i="1"/>
  <c r="Q6" i="1"/>
  <c r="V117" i="1"/>
  <c r="V116" i="1"/>
  <c r="V115" i="1"/>
  <c r="V114" i="1"/>
  <c r="V111" i="1"/>
  <c r="V103" i="1"/>
  <c r="V97" i="1"/>
  <c r="V91" i="1"/>
  <c r="V83" i="1"/>
  <c r="V70" i="1"/>
  <c r="V58" i="1"/>
  <c r="V57" i="1"/>
  <c r="V123" i="1"/>
  <c r="V122" i="1"/>
  <c r="V121" i="1"/>
  <c r="V120" i="1"/>
  <c r="V119" i="1"/>
  <c r="V118" i="1"/>
  <c r="V109" i="1"/>
  <c r="V96" i="1"/>
  <c r="V95" i="1"/>
  <c r="V94" i="1"/>
  <c r="V93" i="1"/>
  <c r="V88" i="1"/>
  <c r="V82" i="1"/>
  <c r="V81" i="1"/>
  <c r="V76" i="1"/>
  <c r="V75" i="1"/>
  <c r="V74" i="1"/>
  <c r="V68" i="1"/>
  <c r="V67" i="1"/>
  <c r="V66" i="1"/>
  <c r="V65" i="1"/>
  <c r="V63" i="1"/>
  <c r="V62" i="1"/>
  <c r="V56" i="1"/>
  <c r="V53" i="1"/>
  <c r="V52" i="1"/>
  <c r="V50" i="1"/>
  <c r="V49" i="1"/>
  <c r="V46" i="1"/>
  <c r="V45" i="1"/>
  <c r="V43" i="1"/>
  <c r="V38" i="1"/>
  <c r="V37" i="1"/>
  <c r="V35" i="1"/>
  <c r="V34" i="1"/>
  <c r="V32" i="1"/>
  <c r="V30" i="1"/>
  <c r="V23" i="1"/>
  <c r="V22" i="1"/>
  <c r="V21" i="1"/>
  <c r="V17" i="1"/>
  <c r="V16" i="1"/>
  <c r="V14" i="1"/>
  <c r="V9" i="1"/>
  <c r="V8" i="1"/>
  <c r="V7" i="1"/>
  <c r="AA22" i="1" l="1"/>
  <c r="AF22" i="1"/>
  <c r="AA27" i="1"/>
  <c r="AF27" i="1"/>
  <c r="V101" i="1"/>
  <c r="V61" i="1"/>
  <c r="Q101" i="1"/>
  <c r="Q61" i="1"/>
  <c r="AA123" i="1"/>
  <c r="AA122" i="1"/>
  <c r="AA112" i="1"/>
  <c r="AA111" i="1"/>
  <c r="AA110" i="1"/>
  <c r="AA109" i="1"/>
  <c r="AA88" i="1"/>
  <c r="AA103" i="1"/>
  <c r="AA96" i="1"/>
  <c r="AA95" i="1"/>
  <c r="AA91" i="1"/>
  <c r="AA119" i="1"/>
  <c r="AA114" i="1"/>
  <c r="AA120" i="1"/>
  <c r="AA115" i="1"/>
  <c r="AA121" i="1"/>
  <c r="AA116" i="1"/>
  <c r="AA117" i="1"/>
  <c r="AA68" i="1"/>
  <c r="AA57" i="1"/>
  <c r="AA56" i="1"/>
  <c r="AA71" i="1"/>
  <c r="AA79" i="1"/>
  <c r="AA80" i="1"/>
  <c r="AA81" i="1"/>
  <c r="AA75" i="1"/>
  <c r="AA83" i="1"/>
  <c r="AA76" i="1"/>
  <c r="AA70" i="1"/>
  <c r="AA50" i="1"/>
  <c r="AA53" i="1"/>
  <c r="AA52" i="1"/>
  <c r="AA47" i="1"/>
  <c r="AA46" i="1"/>
  <c r="AA45" i="1"/>
  <c r="AA62" i="1"/>
  <c r="AA63" i="1"/>
  <c r="AA43" i="1"/>
  <c r="AA42" i="1"/>
  <c r="AA41" i="1"/>
  <c r="AA35" i="1"/>
  <c r="AA34" i="1"/>
  <c r="AA28" i="1"/>
  <c r="AA26" i="1"/>
  <c r="AA31" i="1"/>
  <c r="AA29" i="1"/>
  <c r="AA23" i="1"/>
  <c r="AA21" i="1"/>
  <c r="AA19" i="1"/>
  <c r="AA17" i="1"/>
  <c r="AA13" i="1"/>
  <c r="AA14" i="1"/>
  <c r="AA9" i="1"/>
  <c r="AA8" i="1"/>
  <c r="AA7" i="1"/>
  <c r="Q47" i="1"/>
  <c r="Q71" i="1"/>
  <c r="Q41" i="1"/>
  <c r="Q31" i="1"/>
  <c r="Q77" i="1"/>
  <c r="Q19" i="1"/>
  <c r="Q27" i="1"/>
  <c r="Q26" i="1"/>
  <c r="Q105" i="1"/>
  <c r="Q80" i="1"/>
  <c r="Q106" i="1"/>
  <c r="Q39" i="1"/>
  <c r="Q42" i="1"/>
  <c r="Q28" i="1"/>
  <c r="Q64" i="1"/>
  <c r="Q79" i="1"/>
  <c r="Q13" i="1"/>
  <c r="Q110" i="1"/>
  <c r="Q112" i="1"/>
  <c r="L6" i="1"/>
  <c r="L7" i="1"/>
  <c r="L8" i="1"/>
  <c r="L9" i="1"/>
  <c r="L11" i="1"/>
  <c r="L12" i="1"/>
  <c r="L13" i="1"/>
  <c r="L14" i="1"/>
  <c r="L16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32" i="1"/>
  <c r="L34" i="1"/>
  <c r="L35" i="1"/>
  <c r="L37" i="1"/>
  <c r="L38" i="1"/>
  <c r="L39" i="1"/>
  <c r="L41" i="1"/>
  <c r="L42" i="1"/>
  <c r="L43" i="1"/>
  <c r="L45" i="1"/>
  <c r="L46" i="1"/>
  <c r="L47" i="1"/>
  <c r="L49" i="1"/>
  <c r="L50" i="1"/>
  <c r="L52" i="1"/>
  <c r="L53" i="1"/>
  <c r="L56" i="1"/>
  <c r="L57" i="1"/>
  <c r="L58" i="1"/>
  <c r="L59" i="1"/>
  <c r="L61" i="1"/>
  <c r="L62" i="1"/>
  <c r="L63" i="1"/>
  <c r="L64" i="1"/>
  <c r="L65" i="1"/>
  <c r="L66" i="1"/>
  <c r="L67" i="1"/>
  <c r="L68" i="1"/>
  <c r="L70" i="1"/>
  <c r="L71" i="1"/>
  <c r="L72" i="1"/>
  <c r="L73" i="1"/>
  <c r="L74" i="1"/>
  <c r="L75" i="1"/>
  <c r="L76" i="1"/>
  <c r="L79" i="1"/>
  <c r="L80" i="1"/>
  <c r="L81" i="1"/>
  <c r="L82" i="1"/>
  <c r="L83" i="1"/>
  <c r="L84" i="1"/>
  <c r="L85" i="1"/>
  <c r="L86" i="1"/>
  <c r="L88" i="1"/>
  <c r="L89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9" i="1"/>
  <c r="L110" i="1"/>
  <c r="L111" i="1"/>
  <c r="L112" i="1"/>
  <c r="L114" i="1"/>
  <c r="L115" i="1"/>
  <c r="L116" i="1"/>
  <c r="L117" i="1"/>
  <c r="L118" i="1"/>
  <c r="L119" i="1"/>
  <c r="L120" i="1"/>
  <c r="L121" i="1"/>
  <c r="L122" i="1"/>
  <c r="L123" i="1"/>
  <c r="AA16" i="1" l="1"/>
  <c r="AF16" i="1"/>
  <c r="AA61" i="1"/>
  <c r="AF61" i="1"/>
  <c r="AA67" i="1"/>
  <c r="AF67" i="1"/>
  <c r="AA66" i="1"/>
  <c r="AF66" i="1"/>
  <c r="AA65" i="1"/>
  <c r="AF65" i="1"/>
  <c r="AA39" i="1"/>
  <c r="AF39" i="1"/>
  <c r="AA37" i="1"/>
  <c r="AF37" i="1"/>
  <c r="AA38" i="1"/>
  <c r="AF38" i="1"/>
  <c r="AA106" i="1"/>
  <c r="AF106" i="1"/>
  <c r="AA105" i="1"/>
  <c r="AF105" i="1"/>
  <c r="AA101" i="1"/>
  <c r="AF101" i="1"/>
  <c r="AA97" i="1"/>
  <c r="AF97" i="1"/>
  <c r="AA94" i="1"/>
  <c r="AF94" i="1"/>
  <c r="AA93" i="1"/>
  <c r="AF93" i="1"/>
  <c r="V98" i="1"/>
  <c r="V102" i="1"/>
  <c r="V89" i="1"/>
  <c r="AA89" i="1"/>
  <c r="V104" i="1"/>
  <c r="AA104" i="1"/>
  <c r="V100" i="1"/>
  <c r="AA100" i="1"/>
  <c r="V99" i="1"/>
  <c r="AA99" i="1"/>
  <c r="V92" i="1"/>
  <c r="AA92" i="1"/>
  <c r="V59" i="1"/>
  <c r="AA59" i="1"/>
  <c r="V86" i="1"/>
  <c r="AA86" i="1"/>
  <c r="V73" i="1"/>
  <c r="AA73" i="1"/>
  <c r="V85" i="1"/>
  <c r="AA85" i="1"/>
  <c r="V72" i="1"/>
  <c r="AA72" i="1"/>
  <c r="V84" i="1"/>
  <c r="AA84" i="1"/>
  <c r="V25" i="1"/>
  <c r="V20" i="1"/>
  <c r="V18" i="1"/>
  <c r="AA18" i="1"/>
  <c r="V12" i="1"/>
  <c r="AA12" i="1"/>
  <c r="V11" i="1"/>
  <c r="AA11" i="1"/>
  <c r="Q124" i="1"/>
  <c r="C4" i="2" s="1"/>
  <c r="V6" i="1"/>
  <c r="AA6" i="1"/>
  <c r="L124" i="1"/>
  <c r="C3" i="2" s="1"/>
  <c r="AA20" i="1" l="1"/>
  <c r="AF20" i="1"/>
  <c r="AA25" i="1"/>
  <c r="AF25" i="1"/>
  <c r="AA102" i="1"/>
  <c r="AF102" i="1"/>
  <c r="AA98" i="1"/>
  <c r="AF98" i="1"/>
  <c r="V124" i="1"/>
  <c r="C5" i="2" s="1"/>
  <c r="AA124" i="1" l="1"/>
  <c r="C6" i="2" s="1"/>
  <c r="AF124" i="1"/>
  <c r="C9" i="2" s="1"/>
  <c r="C10" i="2" s="1"/>
  <c r="G117" i="1"/>
  <c r="G112" i="1"/>
  <c r="G102" i="1"/>
  <c r="G94" i="1"/>
  <c r="G62" i="1"/>
  <c r="G52" i="1"/>
  <c r="G39" i="1"/>
  <c r="G32" i="1"/>
  <c r="G31" i="1"/>
  <c r="G14" i="1"/>
  <c r="G13" i="1"/>
  <c r="G23" i="1" l="1"/>
  <c r="G50" i="1"/>
  <c r="G71" i="1"/>
  <c r="G75" i="1"/>
  <c r="G84" i="1"/>
  <c r="G6" i="1"/>
  <c r="G22" i="1"/>
  <c r="G41" i="1"/>
  <c r="G63" i="1"/>
  <c r="G106" i="1"/>
  <c r="G19" i="1"/>
  <c r="G28" i="1"/>
  <c r="G46" i="1"/>
  <c r="G58" i="1"/>
  <c r="G67" i="1"/>
  <c r="G80" i="1"/>
  <c r="G99" i="1"/>
  <c r="G9" i="1"/>
  <c r="G18" i="1"/>
  <c r="G27" i="1"/>
  <c r="G45" i="1"/>
  <c r="G57" i="1"/>
  <c r="G66" i="1"/>
  <c r="G79" i="1"/>
  <c r="G89" i="1"/>
  <c r="G98" i="1"/>
  <c r="G103" i="1"/>
  <c r="G109" i="1"/>
  <c r="G114" i="1"/>
  <c r="G118" i="1"/>
  <c r="G8" i="1"/>
  <c r="G12" i="1"/>
  <c r="G17" i="1"/>
  <c r="G21" i="1"/>
  <c r="G26" i="1"/>
  <c r="G30" i="1"/>
  <c r="G35" i="1"/>
  <c r="G38" i="1"/>
  <c r="G43" i="1"/>
  <c r="G49" i="1"/>
  <c r="G56" i="1"/>
  <c r="G61" i="1"/>
  <c r="G65" i="1"/>
  <c r="G70" i="1"/>
  <c r="G74" i="1"/>
  <c r="G83" i="1"/>
  <c r="G88" i="1"/>
  <c r="G93" i="1"/>
  <c r="G97" i="1"/>
  <c r="G101" i="1"/>
  <c r="G105" i="1"/>
  <c r="G111" i="1"/>
  <c r="G116" i="1"/>
  <c r="G120" i="1"/>
  <c r="G121" i="1"/>
  <c r="G72" i="1"/>
  <c r="G76" i="1"/>
  <c r="G81" i="1"/>
  <c r="G85" i="1"/>
  <c r="G91" i="1"/>
  <c r="G95" i="1"/>
  <c r="G122" i="1"/>
  <c r="G7" i="1"/>
  <c r="G11" i="1"/>
  <c r="G16" i="1"/>
  <c r="G20" i="1"/>
  <c r="G25" i="1"/>
  <c r="G29" i="1"/>
  <c r="G34" i="1"/>
  <c r="G37" i="1"/>
  <c r="G42" i="1"/>
  <c r="G47" i="1"/>
  <c r="G53" i="1"/>
  <c r="G59" i="1"/>
  <c r="G64" i="1"/>
  <c r="G68" i="1"/>
  <c r="G73" i="1"/>
  <c r="G77" i="1"/>
  <c r="G82" i="1"/>
  <c r="G86" i="1"/>
  <c r="G92" i="1"/>
  <c r="G96" i="1"/>
  <c r="G100" i="1"/>
  <c r="G104" i="1"/>
  <c r="G110" i="1"/>
  <c r="G115" i="1"/>
  <c r="G119" i="1"/>
  <c r="G123" i="1"/>
  <c r="G124" i="1" l="1"/>
  <c r="C2" i="2" s="1"/>
  <c r="C7" i="2" s="1"/>
  <c r="C12" i="2" s="1"/>
</calcChain>
</file>

<file path=xl/sharedStrings.xml><?xml version="1.0" encoding="utf-8"?>
<sst xmlns="http://schemas.openxmlformats.org/spreadsheetml/2006/main" count="1032" uniqueCount="841">
  <si>
    <t>TYPE OF CURRENCY: Euro</t>
  </si>
  <si>
    <t>Offeror Name:</t>
  </si>
  <si>
    <t>Orderin Year I</t>
  </si>
  <si>
    <t>1 May 2026 - 
30 Apr 2027</t>
  </si>
  <si>
    <t>Orderin Year II</t>
  </si>
  <si>
    <t>1 May 2027 - 
30 Apr 2028</t>
  </si>
  <si>
    <t>Orderin Year III</t>
  </si>
  <si>
    <t>1 May 2028 - 
30 Apr 2029</t>
  </si>
  <si>
    <t>Orderin Year IV</t>
  </si>
  <si>
    <t>1 May 2029 - 
30 Apr 2030</t>
  </si>
  <si>
    <t>Orderin Year V</t>
  </si>
  <si>
    <t>1 May 2030 - 
30 Apr 2031</t>
  </si>
  <si>
    <t>Option to Extend services FAR 52.217-8</t>
  </si>
  <si>
    <t>1 May 2031 - 
31 Oct 2031</t>
  </si>
  <si>
    <t>CLIN Description</t>
  </si>
  <si>
    <t>QTY</t>
  </si>
  <si>
    <t>Unit Description</t>
  </si>
  <si>
    <t>Unit Price</t>
  </si>
  <si>
    <t>Extended Price</t>
  </si>
  <si>
    <t>SCHEDULE I OUTBOUND SERVICES</t>
  </si>
  <si>
    <t>A001</t>
  </si>
  <si>
    <t>Complete Service - OUTBOUND (HHG)</t>
  </si>
  <si>
    <t>A101</t>
  </si>
  <si>
    <t>A201</t>
  </si>
  <si>
    <t>A301</t>
  </si>
  <si>
    <t>A401</t>
  </si>
  <si>
    <t>A501</t>
  </si>
  <si>
    <t>A001AA</t>
  </si>
  <si>
    <t>AREA 1 - At Owner's Residence: Container, Commercial Spec ASTM</t>
  </si>
  <si>
    <t>NCWT</t>
  </si>
  <si>
    <t>A101AA</t>
  </si>
  <si>
    <t>A201AA</t>
  </si>
  <si>
    <t>A301AA</t>
  </si>
  <si>
    <t>A401AA</t>
  </si>
  <si>
    <t>A501AA</t>
  </si>
  <si>
    <t>A001AB</t>
  </si>
  <si>
    <t>AREA II  At Owner's Residence: Container, Commercial Spec ASTM</t>
  </si>
  <si>
    <t>A101AB</t>
  </si>
  <si>
    <t>A201AB</t>
  </si>
  <si>
    <t>A301AB</t>
  </si>
  <si>
    <t>A401AB</t>
  </si>
  <si>
    <t>A501AB</t>
  </si>
  <si>
    <t>A001AC</t>
  </si>
  <si>
    <t>AREA III At Owner's Residence: Container, Commercial Spec ASTM</t>
  </si>
  <si>
    <t>A101AC</t>
  </si>
  <si>
    <t>A201AC</t>
  </si>
  <si>
    <t>A301AC</t>
  </si>
  <si>
    <t>A401AC</t>
  </si>
  <si>
    <t>A501AC</t>
  </si>
  <si>
    <t>A001AD</t>
  </si>
  <si>
    <t>AREA IV  At Owner's Residence: Container, Commercial Spec ASTM</t>
  </si>
  <si>
    <t>A101AD</t>
  </si>
  <si>
    <t>A201AD</t>
  </si>
  <si>
    <t>A301AD</t>
  </si>
  <si>
    <t>A401AD</t>
  </si>
  <si>
    <t>A501AD</t>
  </si>
  <si>
    <t>A002</t>
  </si>
  <si>
    <t>Complete Service - OUTBOUND Unaccompanied Bagggage</t>
  </si>
  <si>
    <t/>
  </si>
  <si>
    <t>A102</t>
  </si>
  <si>
    <t>A202</t>
  </si>
  <si>
    <t>A302</t>
  </si>
  <si>
    <t>A402</t>
  </si>
  <si>
    <t>A502</t>
  </si>
  <si>
    <t>A002AA</t>
  </si>
  <si>
    <t>AREA I Contractor - Furnished Containers Overseas Pack Overflow</t>
  </si>
  <si>
    <t>A102AA</t>
  </si>
  <si>
    <t>A202AA</t>
  </si>
  <si>
    <t>A302AA</t>
  </si>
  <si>
    <t>A402AA</t>
  </si>
  <si>
    <t>A502AA</t>
  </si>
  <si>
    <t>A002AB</t>
  </si>
  <si>
    <t>AREA II Contractor - Furnished Containers Overseas Pack Overflow</t>
  </si>
  <si>
    <t>A102AB</t>
  </si>
  <si>
    <t>A202AB</t>
  </si>
  <si>
    <t>A302AB</t>
  </si>
  <si>
    <t>A402AB</t>
  </si>
  <si>
    <t>A502AB</t>
  </si>
  <si>
    <t>A002AC</t>
  </si>
  <si>
    <t>AREA III Contractor - Furnished Containers Overseas Pack Overflow:</t>
  </si>
  <si>
    <t>A102AC</t>
  </si>
  <si>
    <t>A202AC</t>
  </si>
  <si>
    <t>A302AC</t>
  </si>
  <si>
    <t>A402AC</t>
  </si>
  <si>
    <t>A502AC</t>
  </si>
  <si>
    <t>A002AD</t>
  </si>
  <si>
    <t>AREA IV Contractor - Furnished Containers Overseas Pack Overflow:</t>
  </si>
  <si>
    <t>A102AD</t>
  </si>
  <si>
    <t>A202AD</t>
  </si>
  <si>
    <t>A302AD</t>
  </si>
  <si>
    <t>A402AD</t>
  </si>
  <si>
    <t>A502AD</t>
  </si>
  <si>
    <t>A003</t>
  </si>
  <si>
    <t>A103</t>
  </si>
  <si>
    <t>A203</t>
  </si>
  <si>
    <t>A303</t>
  </si>
  <si>
    <t>A403</t>
  </si>
  <si>
    <t>A503</t>
  </si>
  <si>
    <t>AA003AA</t>
  </si>
  <si>
    <t>AREA I Government - Furnished Containers: Drayage Inc.</t>
  </si>
  <si>
    <t>AA103AA</t>
  </si>
  <si>
    <t>AA203AA</t>
  </si>
  <si>
    <t>AA303AA</t>
  </si>
  <si>
    <t>AA403AA</t>
  </si>
  <si>
    <t>AA503AA</t>
  </si>
  <si>
    <t>AA003AB</t>
  </si>
  <si>
    <t>AREA I Contractor - Furnished Containers: Drayage Inc.</t>
  </si>
  <si>
    <t>AA103AB</t>
  </si>
  <si>
    <t>AA203AB</t>
  </si>
  <si>
    <t>AA303AB</t>
  </si>
  <si>
    <t>AA403AB</t>
  </si>
  <si>
    <t>AA503AB</t>
  </si>
  <si>
    <t>AA003AC</t>
  </si>
  <si>
    <t>AREA II Government - Furnished Containers: Drayage Inc.</t>
  </si>
  <si>
    <t>AA103AC</t>
  </si>
  <si>
    <t>AA203AC</t>
  </si>
  <si>
    <t>AA303AC</t>
  </si>
  <si>
    <t>AA403AC</t>
  </si>
  <si>
    <t>AA503AC</t>
  </si>
  <si>
    <t>AA003AD</t>
  </si>
  <si>
    <t>AREA II Contractor - Furnished Containers: Drayage Inc.</t>
  </si>
  <si>
    <t>AA103AD</t>
  </si>
  <si>
    <t>AA203AD</t>
  </si>
  <si>
    <t>AA303AD</t>
  </si>
  <si>
    <t>AA403AD</t>
  </si>
  <si>
    <t>AA503AD</t>
  </si>
  <si>
    <t>AA003AE</t>
  </si>
  <si>
    <t>AREA III Government - Furnished Containers: Drayage Inc.</t>
  </si>
  <si>
    <t>AA103AE</t>
  </si>
  <si>
    <t>AA203AE</t>
  </si>
  <si>
    <t>AA303AE</t>
  </si>
  <si>
    <t>AA403AE</t>
  </si>
  <si>
    <t>AA503AE</t>
  </si>
  <si>
    <t>AA003AF</t>
  </si>
  <si>
    <t>AREA III Contractor - Furnished Containers: Drayage Inc.</t>
  </si>
  <si>
    <t>AA103AF</t>
  </si>
  <si>
    <t>AA203AF</t>
  </si>
  <si>
    <t>AA303AF</t>
  </si>
  <si>
    <t>AA403AF</t>
  </si>
  <si>
    <t>AA503AF</t>
  </si>
  <si>
    <t>AA003AG</t>
  </si>
  <si>
    <t>AREA IV Government - Furnished Containers: Drayage Inc.</t>
  </si>
  <si>
    <t>AA103AG</t>
  </si>
  <si>
    <t>AA203AG</t>
  </si>
  <si>
    <t>AA303AG</t>
  </si>
  <si>
    <t>AA403AG</t>
  </si>
  <si>
    <t>AA503AG</t>
  </si>
  <si>
    <t>AA003AH</t>
  </si>
  <si>
    <t>AA103AH</t>
  </si>
  <si>
    <t>AA203AH</t>
  </si>
  <si>
    <t>AA303AH</t>
  </si>
  <si>
    <t>AA403AH</t>
  </si>
  <si>
    <t>AA503AH</t>
  </si>
  <si>
    <t>A004</t>
  </si>
  <si>
    <t>OUTBOUND SERVICES - Unaccompanied Bagggage packed by member/employee</t>
  </si>
  <si>
    <t>A104</t>
  </si>
  <si>
    <t>A204</t>
  </si>
  <si>
    <t>A304</t>
  </si>
  <si>
    <t>A404</t>
  </si>
  <si>
    <t>A504</t>
  </si>
  <si>
    <t>A004AA</t>
  </si>
  <si>
    <t>GCWT</t>
  </si>
  <si>
    <t>A104AA</t>
  </si>
  <si>
    <t>A204AA</t>
  </si>
  <si>
    <t>A304AA</t>
  </si>
  <si>
    <t>A404AA</t>
  </si>
  <si>
    <t>A504AA</t>
  </si>
  <si>
    <t>A004AB</t>
  </si>
  <si>
    <t>AREA I Contractor  - Furnished Containers: Drayage Inc.</t>
  </si>
  <si>
    <t>A104AB</t>
  </si>
  <si>
    <t>A204AB</t>
  </si>
  <si>
    <t>A304AB</t>
  </si>
  <si>
    <t>A404AB</t>
  </si>
  <si>
    <t>A504AB</t>
  </si>
  <si>
    <t>A004AC</t>
  </si>
  <si>
    <t>A104AC</t>
  </si>
  <si>
    <t>A204AC</t>
  </si>
  <si>
    <t>A304AC</t>
  </si>
  <si>
    <t>A404AC</t>
  </si>
  <si>
    <t>A504AC</t>
  </si>
  <si>
    <t>A004AD</t>
  </si>
  <si>
    <t>AREA II Contractor  - Furnished Containers: Drayage Inc.</t>
  </si>
  <si>
    <t>A104AD</t>
  </si>
  <si>
    <t>A204AD</t>
  </si>
  <si>
    <t>A304AD</t>
  </si>
  <si>
    <t>A404AD</t>
  </si>
  <si>
    <t>A504AD</t>
  </si>
  <si>
    <t>A004AE</t>
  </si>
  <si>
    <t>A104AE</t>
  </si>
  <si>
    <t>A204AE</t>
  </si>
  <si>
    <t>A304AE</t>
  </si>
  <si>
    <t>A404AE</t>
  </si>
  <si>
    <t>A504AE</t>
  </si>
  <si>
    <t>A004AF</t>
  </si>
  <si>
    <t>AREA III  Contractor  - Furnished Containers: Drayage Inc.</t>
  </si>
  <si>
    <t>A104AF</t>
  </si>
  <si>
    <t>A204AF</t>
  </si>
  <si>
    <t>A304AF</t>
  </si>
  <si>
    <t>A404AF</t>
  </si>
  <si>
    <t>A504AF</t>
  </si>
  <si>
    <t>A004AG</t>
  </si>
  <si>
    <t>A104AG</t>
  </si>
  <si>
    <t>A204AG</t>
  </si>
  <si>
    <t>A304AG</t>
  </si>
  <si>
    <t>A404AG</t>
  </si>
  <si>
    <t>A504AG</t>
  </si>
  <si>
    <t>A004AH</t>
  </si>
  <si>
    <t>AREA IV Contractor  - Furnished Containers: Drayage Inc.</t>
  </si>
  <si>
    <t>A104AH</t>
  </si>
  <si>
    <t>A204AH</t>
  </si>
  <si>
    <t>A304AH</t>
  </si>
  <si>
    <t>A404AH</t>
  </si>
  <si>
    <t>A504AH</t>
  </si>
  <si>
    <t>A005</t>
  </si>
  <si>
    <t>OUTBOUND SERVICES - Unaccompanied Bagggage</t>
  </si>
  <si>
    <t>A105</t>
  </si>
  <si>
    <t>A205</t>
  </si>
  <si>
    <t>A305</t>
  </si>
  <si>
    <t>A405</t>
  </si>
  <si>
    <t>A505</t>
  </si>
  <si>
    <t>A005AA</t>
  </si>
  <si>
    <t>AREA I Containerization Not Required: Drayage included</t>
  </si>
  <si>
    <t>A105AA</t>
  </si>
  <si>
    <t>A205AA</t>
  </si>
  <si>
    <t>A305AA</t>
  </si>
  <si>
    <t>A405AA</t>
  </si>
  <si>
    <t>A505AA</t>
  </si>
  <si>
    <t>A005AB</t>
  </si>
  <si>
    <t>AREA 1 Containerization Required: Drayage included</t>
  </si>
  <si>
    <t>A105AB</t>
  </si>
  <si>
    <t>A205AB</t>
  </si>
  <si>
    <t>A305AB</t>
  </si>
  <si>
    <t>A405AB</t>
  </si>
  <si>
    <t>A505AB</t>
  </si>
  <si>
    <t>A006</t>
  </si>
  <si>
    <t>Expensive and Valuable Items ALL AREAS</t>
  </si>
  <si>
    <t>A106</t>
  </si>
  <si>
    <t>A206</t>
  </si>
  <si>
    <t>A306</t>
  </si>
  <si>
    <t>A406</t>
  </si>
  <si>
    <t>A506</t>
  </si>
  <si>
    <t>A006AA</t>
  </si>
  <si>
    <t>DRAYAGE INCLUDED</t>
  </si>
  <si>
    <t>A106AA</t>
  </si>
  <si>
    <t>A206AA</t>
  </si>
  <si>
    <t>A306AA</t>
  </si>
  <si>
    <t>A406AA</t>
  </si>
  <si>
    <t>A506AA</t>
  </si>
  <si>
    <t>A006AB</t>
  </si>
  <si>
    <t>DRAYAGE NOT  INCLUDED</t>
  </si>
  <si>
    <t>A106AB</t>
  </si>
  <si>
    <t>A206AB</t>
  </si>
  <si>
    <t>A306AB</t>
  </si>
  <si>
    <t>A406AB</t>
  </si>
  <si>
    <t>A506AB</t>
  </si>
  <si>
    <t>A007</t>
  </si>
  <si>
    <t>STORAGE  ALL AREAS</t>
  </si>
  <si>
    <t>A107</t>
  </si>
  <si>
    <t>A207</t>
  </si>
  <si>
    <t>A307</t>
  </si>
  <si>
    <t>A407</t>
  </si>
  <si>
    <t>A507</t>
  </si>
  <si>
    <t>A008</t>
  </si>
  <si>
    <t>CONTAINERS  ALL AREAS</t>
  </si>
  <si>
    <t>A108</t>
  </si>
  <si>
    <t>A208</t>
  </si>
  <si>
    <t>A308</t>
  </si>
  <si>
    <t>A408</t>
  </si>
  <si>
    <t>A508</t>
  </si>
  <si>
    <t>A008AA</t>
  </si>
  <si>
    <t>CONTAINER (ASTM-D4 169-01)</t>
  </si>
  <si>
    <t>EACH</t>
  </si>
  <si>
    <t>A108AA</t>
  </si>
  <si>
    <t>A208AA</t>
  </si>
  <si>
    <t>A308AA</t>
  </si>
  <si>
    <t>A408AA</t>
  </si>
  <si>
    <t>A508AA</t>
  </si>
  <si>
    <t>A008AB</t>
  </si>
  <si>
    <t>CONTAINER 9MTMC PAMPLET 55-12</t>
  </si>
  <si>
    <t>A108AB</t>
  </si>
  <si>
    <t>A208AB</t>
  </si>
  <si>
    <t>A308AB</t>
  </si>
  <si>
    <t>A408AB</t>
  </si>
  <si>
    <t>A508AB</t>
  </si>
  <si>
    <t>A008AC</t>
  </si>
  <si>
    <t>CRATE  (ASTM-D6039M6039M02 Cubic ft or franction thereof</t>
  </si>
  <si>
    <t xml:space="preserve">Cubic ft or </t>
  </si>
  <si>
    <t>A108AC</t>
  </si>
  <si>
    <t>A208AC</t>
  </si>
  <si>
    <t>A308AC</t>
  </si>
  <si>
    <t>A408AC</t>
  </si>
  <si>
    <t>A508AC</t>
  </si>
  <si>
    <t>A009</t>
  </si>
  <si>
    <t>Remarking Recoopering &amp; Assembly/Disassembly ALL AREAS</t>
  </si>
  <si>
    <t>A109</t>
  </si>
  <si>
    <t>A209</t>
  </si>
  <si>
    <t>A309</t>
  </si>
  <si>
    <t>A409</t>
  </si>
  <si>
    <t>A509</t>
  </si>
  <si>
    <t>A009AA</t>
  </si>
  <si>
    <t>Remarking of  Shipment</t>
  </si>
  <si>
    <t>A109AA</t>
  </si>
  <si>
    <t>A209AA</t>
  </si>
  <si>
    <t>A309AA</t>
  </si>
  <si>
    <t>A409AA</t>
  </si>
  <si>
    <t>A509AA</t>
  </si>
  <si>
    <t>A009AB</t>
  </si>
  <si>
    <t>Coopering</t>
  </si>
  <si>
    <t>A109AB</t>
  </si>
  <si>
    <t>A209AB</t>
  </si>
  <si>
    <t>A309AB</t>
  </si>
  <si>
    <t>A409AB</t>
  </si>
  <si>
    <t>A509AB</t>
  </si>
  <si>
    <t>A009AC</t>
  </si>
  <si>
    <t>Assembly/Disassembly</t>
  </si>
  <si>
    <t>A109AC</t>
  </si>
  <si>
    <t>A209AC</t>
  </si>
  <si>
    <t>A309AC</t>
  </si>
  <si>
    <t>A409AC</t>
  </si>
  <si>
    <t>A509AC</t>
  </si>
  <si>
    <t>A010</t>
  </si>
  <si>
    <t>Drayage Beyond the Area of Performance ALL AREAS</t>
  </si>
  <si>
    <t>A110</t>
  </si>
  <si>
    <t>A210</t>
  </si>
  <si>
    <t>A310</t>
  </si>
  <si>
    <t>A410</t>
  </si>
  <si>
    <t>A510</t>
  </si>
  <si>
    <t>A010AA</t>
  </si>
  <si>
    <t>Householdgoods Loaded Mile</t>
  </si>
  <si>
    <t>Loaded mile</t>
  </si>
  <si>
    <t>A110AA</t>
  </si>
  <si>
    <t>A210AA</t>
  </si>
  <si>
    <t>A310AA</t>
  </si>
  <si>
    <t>A410AA</t>
  </si>
  <si>
    <t>A510AA</t>
  </si>
  <si>
    <t>A0110AB</t>
  </si>
  <si>
    <t>Unaccompanied Baggage or U/B Baggage into Sea Vans or Rail Containers</t>
  </si>
  <si>
    <t>A1110AB</t>
  </si>
  <si>
    <t>A2110AB</t>
  </si>
  <si>
    <t>A3110AB</t>
  </si>
  <si>
    <t>A4110AB</t>
  </si>
  <si>
    <t>A5110AB</t>
  </si>
  <si>
    <t>A011</t>
  </si>
  <si>
    <t>Attempt Pick Up</t>
  </si>
  <si>
    <t>A111</t>
  </si>
  <si>
    <t>A211</t>
  </si>
  <si>
    <t>A311</t>
  </si>
  <si>
    <t>A411</t>
  </si>
  <si>
    <t>A511</t>
  </si>
  <si>
    <t>A011AA</t>
  </si>
  <si>
    <t>ALL AREAS HOUSEHOLD GOODS</t>
  </si>
  <si>
    <t>A111AA</t>
  </si>
  <si>
    <t>A211AA</t>
  </si>
  <si>
    <t>A311AA</t>
  </si>
  <si>
    <t>A411AA</t>
  </si>
  <si>
    <t>A511AA</t>
  </si>
  <si>
    <t>A011AB</t>
  </si>
  <si>
    <t>ALL AREAS  UNACCOMPANIED BAGGAGE</t>
  </si>
  <si>
    <t>A111AB</t>
  </si>
  <si>
    <t>A211AB</t>
  </si>
  <si>
    <t>A311AB</t>
  </si>
  <si>
    <t>A411AB</t>
  </si>
  <si>
    <t>A511AB</t>
  </si>
  <si>
    <t>SCHEDULE II INBOUND SERVICES</t>
  </si>
  <si>
    <t>A012</t>
  </si>
  <si>
    <t>Complete Services - INBOUND (HHG)</t>
  </si>
  <si>
    <t>A112</t>
  </si>
  <si>
    <t>A212</t>
  </si>
  <si>
    <t>A312</t>
  </si>
  <si>
    <t>A412</t>
  </si>
  <si>
    <t>A512</t>
  </si>
  <si>
    <t>A012AA</t>
  </si>
  <si>
    <t>AREA I</t>
  </si>
  <si>
    <t>A112AA</t>
  </si>
  <si>
    <t>A212AA</t>
  </si>
  <si>
    <t>A312AA</t>
  </si>
  <si>
    <t>A412AA</t>
  </si>
  <si>
    <t>A512AA</t>
  </si>
  <si>
    <t>A012AB</t>
  </si>
  <si>
    <t>AREA II</t>
  </si>
  <si>
    <t>A112AB</t>
  </si>
  <si>
    <t>A212AB</t>
  </si>
  <si>
    <t>A312AB</t>
  </si>
  <si>
    <t>A412AB</t>
  </si>
  <si>
    <t>A512AB</t>
  </si>
  <si>
    <t>A012AC</t>
  </si>
  <si>
    <t>AREA III</t>
  </si>
  <si>
    <t>A112AC</t>
  </si>
  <si>
    <t>A212AC</t>
  </si>
  <si>
    <t>A312AC</t>
  </si>
  <si>
    <t>A412AC</t>
  </si>
  <si>
    <t>A512AC</t>
  </si>
  <si>
    <t>A012AD</t>
  </si>
  <si>
    <t>AREA IV</t>
  </si>
  <si>
    <t>A112AD</t>
  </si>
  <si>
    <t>A212AD</t>
  </si>
  <si>
    <t>A312AD</t>
  </si>
  <si>
    <t>A412AD</t>
  </si>
  <si>
    <t>A512AD</t>
  </si>
  <si>
    <t>A013</t>
  </si>
  <si>
    <t>Complete Services - INBOUND (Un accompanied Baggage)</t>
  </si>
  <si>
    <t>A113</t>
  </si>
  <si>
    <t>A213</t>
  </si>
  <si>
    <t>A313</t>
  </si>
  <si>
    <t>A413</t>
  </si>
  <si>
    <t>A513</t>
  </si>
  <si>
    <t>A013AA</t>
  </si>
  <si>
    <t>A113AA</t>
  </si>
  <si>
    <t>A213AA</t>
  </si>
  <si>
    <t>A313AA</t>
  </si>
  <si>
    <t>A413AA</t>
  </si>
  <si>
    <t>A513AA</t>
  </si>
  <si>
    <t>A013AB</t>
  </si>
  <si>
    <t>A113AB</t>
  </si>
  <si>
    <t>A213AB</t>
  </si>
  <si>
    <t>A313AB</t>
  </si>
  <si>
    <t>A413AB</t>
  </si>
  <si>
    <t>A513AB</t>
  </si>
  <si>
    <t>A013AC</t>
  </si>
  <si>
    <t>A113AC</t>
  </si>
  <si>
    <t>A213AC</t>
  </si>
  <si>
    <t>A313AC</t>
  </si>
  <si>
    <t>A413AC</t>
  </si>
  <si>
    <t>A513AC</t>
  </si>
  <si>
    <t>A013AD</t>
  </si>
  <si>
    <t>A113AD</t>
  </si>
  <si>
    <t>A213AD</t>
  </si>
  <si>
    <t>A313AD</t>
  </si>
  <si>
    <t>A413AD</t>
  </si>
  <si>
    <t>A513AD</t>
  </si>
  <si>
    <t>A014</t>
  </si>
  <si>
    <t>INBOUND - Service- Contractor Facility (Unaccompanied Baggage) AREA I</t>
  </si>
  <si>
    <t>A114</t>
  </si>
  <si>
    <t>A214</t>
  </si>
  <si>
    <t>A314</t>
  </si>
  <si>
    <t>A414</t>
  </si>
  <si>
    <t>A514</t>
  </si>
  <si>
    <t>A015</t>
  </si>
  <si>
    <t>STORAGE ALL AREAS</t>
  </si>
  <si>
    <t>A115</t>
  </si>
  <si>
    <t>A215</t>
  </si>
  <si>
    <t>A315</t>
  </si>
  <si>
    <t>A415</t>
  </si>
  <si>
    <t>A515</t>
  </si>
  <si>
    <t>A016</t>
  </si>
  <si>
    <t>REMARKING      ALL AREAS</t>
  </si>
  <si>
    <t>A116</t>
  </si>
  <si>
    <t>A216</t>
  </si>
  <si>
    <t>A316</t>
  </si>
  <si>
    <t>A416</t>
  </si>
  <si>
    <t>A516</t>
  </si>
  <si>
    <t>A017</t>
  </si>
  <si>
    <t>COOPERING     ALL AREAS</t>
  </si>
  <si>
    <t>A117</t>
  </si>
  <si>
    <t>A217</t>
  </si>
  <si>
    <t>A317</t>
  </si>
  <si>
    <t>A417</t>
  </si>
  <si>
    <t>A517</t>
  </si>
  <si>
    <t>A018</t>
  </si>
  <si>
    <t>Attempt Delivery</t>
  </si>
  <si>
    <t>A118</t>
  </si>
  <si>
    <t>A218</t>
  </si>
  <si>
    <t>A318</t>
  </si>
  <si>
    <t>A418</t>
  </si>
  <si>
    <t>A518</t>
  </si>
  <si>
    <t>A018AA</t>
  </si>
  <si>
    <t>AREA I Household Goods</t>
  </si>
  <si>
    <t>A118AA</t>
  </si>
  <si>
    <t>A218AA</t>
  </si>
  <si>
    <t>A318AA</t>
  </si>
  <si>
    <t>A418AA</t>
  </si>
  <si>
    <t>A518AA</t>
  </si>
  <si>
    <t>A018AB</t>
  </si>
  <si>
    <t>AREA I Unaccompanied Baggage</t>
  </si>
  <si>
    <t>A118AB</t>
  </si>
  <si>
    <t>A218AB</t>
  </si>
  <si>
    <t>A318AB</t>
  </si>
  <si>
    <t>A418AB</t>
  </si>
  <si>
    <t>A518AB</t>
  </si>
  <si>
    <t>A018AC</t>
  </si>
  <si>
    <t>AREA II Household Goods</t>
  </si>
  <si>
    <t>A118AC</t>
  </si>
  <si>
    <t>A218AC</t>
  </si>
  <si>
    <t>A318AC</t>
  </si>
  <si>
    <t>A418AC</t>
  </si>
  <si>
    <t>A518AC</t>
  </si>
  <si>
    <t>A018AD</t>
  </si>
  <si>
    <t>AREA II Unaccompanied Baggage</t>
  </si>
  <si>
    <t>A118AD</t>
  </si>
  <si>
    <t>A218AD</t>
  </si>
  <si>
    <t>A318AD</t>
  </si>
  <si>
    <t>A418AD</t>
  </si>
  <si>
    <t>A518AD</t>
  </si>
  <si>
    <t>A018AE</t>
  </si>
  <si>
    <t>AREA III Household Goods</t>
  </si>
  <si>
    <t>A118AE</t>
  </si>
  <si>
    <t>A218AE</t>
  </si>
  <si>
    <t>A318AE</t>
  </si>
  <si>
    <t>A418AE</t>
  </si>
  <si>
    <t>A518AE</t>
  </si>
  <si>
    <t>A018AF</t>
  </si>
  <si>
    <t>AREA III Unaccompanied Baggage</t>
  </si>
  <si>
    <t>A118AF</t>
  </si>
  <si>
    <t>A218AF</t>
  </si>
  <si>
    <t>A318AF</t>
  </si>
  <si>
    <t>A418AF</t>
  </si>
  <si>
    <t>A518AF</t>
  </si>
  <si>
    <t>A018AG</t>
  </si>
  <si>
    <t>AREA IV Household Goods</t>
  </si>
  <si>
    <t>A118AG</t>
  </si>
  <si>
    <t>A218AG</t>
  </si>
  <si>
    <t>A318AG</t>
  </si>
  <si>
    <t>A418AG</t>
  </si>
  <si>
    <t>A518AG</t>
  </si>
  <si>
    <t>A018AH</t>
  </si>
  <si>
    <t>AREA IV Unaccompanied Baggage</t>
  </si>
  <si>
    <t>A118AH</t>
  </si>
  <si>
    <t>A218AH</t>
  </si>
  <si>
    <t>A318AH</t>
  </si>
  <si>
    <t>A418AH</t>
  </si>
  <si>
    <t>A518AH</t>
  </si>
  <si>
    <t>A019</t>
  </si>
  <si>
    <t>Reweighing</t>
  </si>
  <si>
    <t>A119</t>
  </si>
  <si>
    <t>A219</t>
  </si>
  <si>
    <t>A319</t>
  </si>
  <si>
    <t>A419</t>
  </si>
  <si>
    <t>A519</t>
  </si>
  <si>
    <t>A019AA</t>
  </si>
  <si>
    <t>A119AA</t>
  </si>
  <si>
    <t>A219AA</t>
  </si>
  <si>
    <t>A319AA</t>
  </si>
  <si>
    <t>A419AA</t>
  </si>
  <si>
    <t>A519AA</t>
  </si>
  <si>
    <t>A019AB</t>
  </si>
  <si>
    <t>A119AB</t>
  </si>
  <si>
    <t>A219AB</t>
  </si>
  <si>
    <t>A319AB</t>
  </si>
  <si>
    <t>A419AB</t>
  </si>
  <si>
    <t>A519AB</t>
  </si>
  <si>
    <t>A019AC</t>
  </si>
  <si>
    <t>A119AC</t>
  </si>
  <si>
    <t>A219AC</t>
  </si>
  <si>
    <t>A319AC</t>
  </si>
  <si>
    <t>A419AC</t>
  </si>
  <si>
    <t>A519AC</t>
  </si>
  <si>
    <t>A019AD</t>
  </si>
  <si>
    <t>A119AD</t>
  </si>
  <si>
    <t>A219AD</t>
  </si>
  <si>
    <t>A319AD</t>
  </si>
  <si>
    <t>A419AD</t>
  </si>
  <si>
    <t>A519AD</t>
  </si>
  <si>
    <t>A019AE</t>
  </si>
  <si>
    <t>A119AE</t>
  </si>
  <si>
    <t>A219AE</t>
  </si>
  <si>
    <t>A319AE</t>
  </si>
  <si>
    <t>A419AE</t>
  </si>
  <si>
    <t>A519AE</t>
  </si>
  <si>
    <t>A019AF</t>
  </si>
  <si>
    <t>A119AF</t>
  </si>
  <si>
    <t>A219AF</t>
  </si>
  <si>
    <t>A319AF</t>
  </si>
  <si>
    <t>A419AF</t>
  </si>
  <si>
    <t>A519AF</t>
  </si>
  <si>
    <t>A019AG</t>
  </si>
  <si>
    <t>A119AG</t>
  </si>
  <si>
    <t>A219AG</t>
  </si>
  <si>
    <t>A319AG</t>
  </si>
  <si>
    <t>A419AG</t>
  </si>
  <si>
    <t>A519AG</t>
  </si>
  <si>
    <t>A019AH</t>
  </si>
  <si>
    <t>A119AH</t>
  </si>
  <si>
    <t>A219AH</t>
  </si>
  <si>
    <t>A319AH</t>
  </si>
  <si>
    <t>A419AH</t>
  </si>
  <si>
    <t>A519AH</t>
  </si>
  <si>
    <t>A020</t>
  </si>
  <si>
    <t>Drayage Beyond the Contract Area of Performance ALL AREAS</t>
  </si>
  <si>
    <t>A120</t>
  </si>
  <si>
    <t>A220</t>
  </si>
  <si>
    <t>A320</t>
  </si>
  <si>
    <t>A420</t>
  </si>
  <si>
    <t>A520</t>
  </si>
  <si>
    <t>A020AA</t>
  </si>
  <si>
    <t>Household Goods</t>
  </si>
  <si>
    <t>A120AA</t>
  </si>
  <si>
    <t>A220AA</t>
  </si>
  <si>
    <t>A320AA</t>
  </si>
  <si>
    <t>A420AA</t>
  </si>
  <si>
    <t>A520AA</t>
  </si>
  <si>
    <t>A020AB</t>
  </si>
  <si>
    <t>Unaccompanied Baggage</t>
  </si>
  <si>
    <t>A120AB</t>
  </si>
  <si>
    <t>A220AB</t>
  </si>
  <si>
    <t>A320AB</t>
  </si>
  <si>
    <t>A420AB</t>
  </si>
  <si>
    <t>A520AB</t>
  </si>
  <si>
    <t>A021</t>
  </si>
  <si>
    <t>Partial Withdrawal Services</t>
  </si>
  <si>
    <t>A121</t>
  </si>
  <si>
    <t>A221</t>
  </si>
  <si>
    <t>A321</t>
  </si>
  <si>
    <t>A421</t>
  </si>
  <si>
    <t>A521</t>
  </si>
  <si>
    <t>A021AA</t>
  </si>
  <si>
    <t>AREA I Household Goods Drayage Included</t>
  </si>
  <si>
    <t>A121AA</t>
  </si>
  <si>
    <t>A221AA</t>
  </si>
  <si>
    <t>A321AA</t>
  </si>
  <si>
    <t>A421AA</t>
  </si>
  <si>
    <t>A521AA</t>
  </si>
  <si>
    <t>A021AB</t>
  </si>
  <si>
    <t>AREA I Household Goods Drayage not Included</t>
  </si>
  <si>
    <t>A121AB</t>
  </si>
  <si>
    <t>A221AB</t>
  </si>
  <si>
    <t>A321AB</t>
  </si>
  <si>
    <t>A421AB</t>
  </si>
  <si>
    <t>A521AB</t>
  </si>
  <si>
    <t>A021AC</t>
  </si>
  <si>
    <t>AREA I Unaccompanied Baggage Drayage Included</t>
  </si>
  <si>
    <t>A121AC</t>
  </si>
  <si>
    <t>A221AC</t>
  </si>
  <si>
    <t>A321AC</t>
  </si>
  <si>
    <t>A421AC</t>
  </si>
  <si>
    <t>A521AC</t>
  </si>
  <si>
    <t>A021AD</t>
  </si>
  <si>
    <t>AREA I Unaccompanied Baggage Drayage not Included</t>
  </si>
  <si>
    <t>A121AD</t>
  </si>
  <si>
    <t>A221AD</t>
  </si>
  <si>
    <t>A321AD</t>
  </si>
  <si>
    <t>A421AD</t>
  </si>
  <si>
    <t>A521AD</t>
  </si>
  <si>
    <t>A021AE</t>
  </si>
  <si>
    <t>AREA II Household Goods Drayage Included</t>
  </si>
  <si>
    <t>A121AE</t>
  </si>
  <si>
    <t>A221AE</t>
  </si>
  <si>
    <t>A321AE</t>
  </si>
  <si>
    <t>A421AE</t>
  </si>
  <si>
    <t>A521AE</t>
  </si>
  <si>
    <t>A021AF</t>
  </si>
  <si>
    <t>AREA II Household Goods Drayage not Included</t>
  </si>
  <si>
    <t>A121AF</t>
  </si>
  <si>
    <t>A221AF</t>
  </si>
  <si>
    <t>A321AF</t>
  </si>
  <si>
    <t>A421AF</t>
  </si>
  <si>
    <t>A521AF</t>
  </si>
  <si>
    <t>A021AG</t>
  </si>
  <si>
    <t>AREA II Unaccompanied Baggage Drayage Included</t>
  </si>
  <si>
    <t>A121AG</t>
  </si>
  <si>
    <t>A221AG</t>
  </si>
  <si>
    <t>A321AG</t>
  </si>
  <si>
    <t>A421AG</t>
  </si>
  <si>
    <t>A521AG</t>
  </si>
  <si>
    <t>A021AH</t>
  </si>
  <si>
    <t>AREA II Unaccompanied Baggage Drayage not Included</t>
  </si>
  <si>
    <t>A121AH</t>
  </si>
  <si>
    <t>A221AH</t>
  </si>
  <si>
    <t>A321AH</t>
  </si>
  <si>
    <t>A421AH</t>
  </si>
  <si>
    <t>A521AH</t>
  </si>
  <si>
    <t>A021AI</t>
  </si>
  <si>
    <t>AREA III Household Goods Drayage Included</t>
  </si>
  <si>
    <t>A121AI</t>
  </si>
  <si>
    <t>A221AI</t>
  </si>
  <si>
    <t>A321AI</t>
  </si>
  <si>
    <t>A421AI</t>
  </si>
  <si>
    <t>A521AI</t>
  </si>
  <si>
    <t>A021AJ</t>
  </si>
  <si>
    <t>AREA III Household Goods Drayage not Included</t>
  </si>
  <si>
    <t>A121AJ</t>
  </si>
  <si>
    <t>A221AJ</t>
  </si>
  <si>
    <t>A321AJ</t>
  </si>
  <si>
    <t>A421AJ</t>
  </si>
  <si>
    <t>A521AJ</t>
  </si>
  <si>
    <t>A021AK</t>
  </si>
  <si>
    <t>AREA III Unaccompanied Baggage Drayage Included</t>
  </si>
  <si>
    <t>A121AK</t>
  </si>
  <si>
    <t>A221AK</t>
  </si>
  <si>
    <t>A321AK</t>
  </si>
  <si>
    <t>A421AK</t>
  </si>
  <si>
    <t>A521AK</t>
  </si>
  <si>
    <t>A021AL</t>
  </si>
  <si>
    <t>AREA III Unaccompanied Baggage Drayage not Included</t>
  </si>
  <si>
    <t>A121AL</t>
  </si>
  <si>
    <t>A221AL</t>
  </si>
  <si>
    <t>A321AL</t>
  </si>
  <si>
    <t>A421AL</t>
  </si>
  <si>
    <t>A521AL</t>
  </si>
  <si>
    <t>A021AM</t>
  </si>
  <si>
    <t>AREA IV Household Goods Drayage Included</t>
  </si>
  <si>
    <t>A121AM</t>
  </si>
  <si>
    <t>A221AM</t>
  </si>
  <si>
    <t>A321AM</t>
  </si>
  <si>
    <t>A421AM</t>
  </si>
  <si>
    <t>A521AM</t>
  </si>
  <si>
    <t>A021AN</t>
  </si>
  <si>
    <t>AREA IV Household Goods Drayage not Included</t>
  </si>
  <si>
    <t>A121AN</t>
  </si>
  <si>
    <t>A221AN</t>
  </si>
  <si>
    <t>A321AN</t>
  </si>
  <si>
    <t>A421AN</t>
  </si>
  <si>
    <t>A521AN</t>
  </si>
  <si>
    <t>A021AO</t>
  </si>
  <si>
    <t>AREA IV Unaccompanied Baggage Drayage Included</t>
  </si>
  <si>
    <t>A121AO</t>
  </si>
  <si>
    <t>A221AO</t>
  </si>
  <si>
    <t>A321AO</t>
  </si>
  <si>
    <t>A421AO</t>
  </si>
  <si>
    <t>A521AO</t>
  </si>
  <si>
    <t>A021AP</t>
  </si>
  <si>
    <t>AREA IV Unaccompanied Baggage Drayage not Included</t>
  </si>
  <si>
    <t>A121AP</t>
  </si>
  <si>
    <t>A221AP</t>
  </si>
  <si>
    <t>A321AP</t>
  </si>
  <si>
    <t>A421AP</t>
  </si>
  <si>
    <t>A521AP</t>
  </si>
  <si>
    <t>SCHEDULE III - INTRA CITY INTRA-AREA MOVES</t>
  </si>
  <si>
    <t>A022</t>
  </si>
  <si>
    <t>COMPLETE SERVICES</t>
  </si>
  <si>
    <t>A122</t>
  </si>
  <si>
    <t>A222</t>
  </si>
  <si>
    <t>A322</t>
  </si>
  <si>
    <t>A422</t>
  </si>
  <si>
    <t>A522</t>
  </si>
  <si>
    <t>A022AA</t>
  </si>
  <si>
    <t>A122AA</t>
  </si>
  <si>
    <t>A222AA</t>
  </si>
  <si>
    <t>A322AA</t>
  </si>
  <si>
    <t>A422AA</t>
  </si>
  <si>
    <t>A522AA</t>
  </si>
  <si>
    <t>A022AB</t>
  </si>
  <si>
    <t>A122AB</t>
  </si>
  <si>
    <t>A222AB</t>
  </si>
  <si>
    <t>A322AB</t>
  </si>
  <si>
    <t>A422AB</t>
  </si>
  <si>
    <t>A522AB</t>
  </si>
  <si>
    <t>A022AC</t>
  </si>
  <si>
    <t>A122AC</t>
  </si>
  <si>
    <t>A222AC</t>
  </si>
  <si>
    <t>A322AC</t>
  </si>
  <si>
    <t>A422AC</t>
  </si>
  <si>
    <t>A522AC</t>
  </si>
  <si>
    <t>A022AD</t>
  </si>
  <si>
    <t>A122AD</t>
  </si>
  <si>
    <t>A222AD</t>
  </si>
  <si>
    <t>A322AD</t>
  </si>
  <si>
    <t>A422AD</t>
  </si>
  <si>
    <t>A522AD</t>
  </si>
  <si>
    <t>A023</t>
  </si>
  <si>
    <t>ATTEMPT PICK UP AND DELIVERY</t>
  </si>
  <si>
    <t>A123</t>
  </si>
  <si>
    <t>A223</t>
  </si>
  <si>
    <t>A323</t>
  </si>
  <si>
    <t>A423</t>
  </si>
  <si>
    <t>A523</t>
  </si>
  <si>
    <t>A023AA</t>
  </si>
  <si>
    <t>AREA I Attempt Pickup</t>
  </si>
  <si>
    <t>A123AA</t>
  </si>
  <si>
    <t>A223AA</t>
  </si>
  <si>
    <t>A323AA</t>
  </si>
  <si>
    <t>A423AA</t>
  </si>
  <si>
    <t>A523AA</t>
  </si>
  <si>
    <t>A023AB</t>
  </si>
  <si>
    <t>AREA I Attempt Delivery</t>
  </si>
  <si>
    <t>A123AB</t>
  </si>
  <si>
    <t>A223AB</t>
  </si>
  <si>
    <t>A323AB</t>
  </si>
  <si>
    <t>A423AB</t>
  </si>
  <si>
    <t>A523AB</t>
  </si>
  <si>
    <t>A023AC</t>
  </si>
  <si>
    <t>AREA II Attempt Pickup</t>
  </si>
  <si>
    <t>A123AC</t>
  </si>
  <si>
    <t>A223AC</t>
  </si>
  <si>
    <t>A323AC</t>
  </si>
  <si>
    <t>A423AC</t>
  </si>
  <si>
    <t>A523AC</t>
  </si>
  <si>
    <t>A023AD</t>
  </si>
  <si>
    <t>AREA II Attempt Delivery</t>
  </si>
  <si>
    <t>A123AD</t>
  </si>
  <si>
    <t>A223AD</t>
  </si>
  <si>
    <t>A323AD</t>
  </si>
  <si>
    <t>A423AD</t>
  </si>
  <si>
    <t>A523AD</t>
  </si>
  <si>
    <t>A023AE</t>
  </si>
  <si>
    <t>AREA III Attempt Pickup</t>
  </si>
  <si>
    <t>A123AE</t>
  </si>
  <si>
    <t>A223AE</t>
  </si>
  <si>
    <t>A323AE</t>
  </si>
  <si>
    <t>A423AE</t>
  </si>
  <si>
    <t>A523AE</t>
  </si>
  <si>
    <t>A023AF</t>
  </si>
  <si>
    <t>AREA III Attempt Delivery</t>
  </si>
  <si>
    <t>A123AF</t>
  </si>
  <si>
    <t>A223AF</t>
  </si>
  <si>
    <t>A323AF</t>
  </si>
  <si>
    <t>A423AF</t>
  </si>
  <si>
    <t>A523AF</t>
  </si>
  <si>
    <t>A023AG</t>
  </si>
  <si>
    <t>AREA IV Attempt Pickup</t>
  </si>
  <si>
    <t>A123AG</t>
  </si>
  <si>
    <t>A223AG</t>
  </si>
  <si>
    <t>A323AG</t>
  </si>
  <si>
    <t>A423AG</t>
  </si>
  <si>
    <t>A523AG</t>
  </si>
  <si>
    <t>A023AH</t>
  </si>
  <si>
    <t>AREA IV Attempt Delivery</t>
  </si>
  <si>
    <t>A123AH</t>
  </si>
  <si>
    <t>A223AH</t>
  </si>
  <si>
    <t>A323AH</t>
  </si>
  <si>
    <t>A423AH</t>
  </si>
  <si>
    <t>A523AH</t>
  </si>
  <si>
    <t>A024</t>
  </si>
  <si>
    <t xml:space="preserve">DRAYAGE BEYOND THE CONTRACT AREA OF PERFORMANCE ALL  AREAS </t>
  </si>
  <si>
    <t>Per Loaded Mile</t>
  </si>
  <si>
    <t>A124</t>
  </si>
  <si>
    <t>A224</t>
  </si>
  <si>
    <t>A324</t>
  </si>
  <si>
    <t>A424</t>
  </si>
  <si>
    <t>A524</t>
  </si>
  <si>
    <t>A025</t>
  </si>
  <si>
    <t>HOUSING STORAGE ALL AREAS AT CONTRACTORS FACILITY</t>
  </si>
  <si>
    <t>A125</t>
  </si>
  <si>
    <t>A225</t>
  </si>
  <si>
    <t>A325</t>
  </si>
  <si>
    <t>A425</t>
  </si>
  <si>
    <t>A525</t>
  </si>
  <si>
    <t>TOTAL</t>
  </si>
  <si>
    <t>Period</t>
  </si>
  <si>
    <t>Dates</t>
  </si>
  <si>
    <t>Amount €</t>
  </si>
  <si>
    <t>1 May 2026 -  30 Apr 2027</t>
  </si>
  <si>
    <t>1 May 2027 -  30 Apr 2028</t>
  </si>
  <si>
    <t>1 May 2028 -  30 Apr 2029</t>
  </si>
  <si>
    <t>1 May 2029 -  30 Apr 2030</t>
  </si>
  <si>
    <t>1 May 2030 -  30 Apr 2031</t>
  </si>
  <si>
    <t>Total CLIN 0001</t>
  </si>
  <si>
    <t>FAR 52.217-8</t>
  </si>
  <si>
    <t>1 May 2031 -  31 Oct 2031</t>
  </si>
  <si>
    <t>Total CLIN 0002</t>
  </si>
  <si>
    <t>Total Quote</t>
  </si>
  <si>
    <t>AREA IV Contractor - Furnished Containers: Drayage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</si>
</sst>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\ * #,##0.00_);_([$€-2]\ * \(#,##0.00\);_([$€-2]\ * &quot;-&quot;??_);_(@_)"/>
    <numFmt numFmtId="165" formatCode="_([$€-2]* #,##0.00_);_([$€-2]* \(#,##0.00\);_([$€-2]* &quot;-&quot;??_)"/>
    <numFmt numFmtId="166" formatCode="[$€-2]\ #,##0.00;[Red]\-[$€-2]\ #,##0.00"/>
    <numFmt numFmtId="167" formatCode="0.000%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0" fillId="4" borderId="3" xfId="0" applyFill="1" applyBorder="1"/>
    <xf numFmtId="0" fontId="0" fillId="0" borderId="0" xfId="0" applyProtection="1"/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horizontal="center" wrapText="1"/>
    </xf>
    <xf numFmtId="0" fontId="0" fillId="4" borderId="0" xfId="0" applyFill="1" applyProtection="1"/>
    <xf numFmtId="0" fontId="0" fillId="4" borderId="0" xfId="0" applyFill="1" applyAlignment="1" applyProtection="1">
      <alignment horizontal="left"/>
    </xf>
    <xf numFmtId="0" fontId="4" fillId="4" borderId="10" xfId="0" applyFont="1" applyFill="1" applyBorder="1" applyProtection="1"/>
    <xf numFmtId="0" fontId="0" fillId="4" borderId="3" xfId="0" applyFill="1" applyBorder="1" applyProtection="1"/>
    <xf numFmtId="0" fontId="4" fillId="4" borderId="0" xfId="0" applyFont="1" applyFill="1" applyBorder="1" applyAlignment="1" applyProtection="1">
      <alignment wrapText="1"/>
    </xf>
    <xf numFmtId="0" fontId="4" fillId="4" borderId="4" xfId="0" applyFont="1" applyFill="1" applyBorder="1" applyAlignment="1" applyProtection="1">
      <alignment horizontal="center" wrapText="1"/>
    </xf>
    <xf numFmtId="0" fontId="4" fillId="4" borderId="0" xfId="0" applyFont="1" applyFill="1" applyBorder="1" applyAlignment="1" applyProtection="1">
      <alignment horizontal="center" wrapText="1"/>
    </xf>
    <xf numFmtId="0" fontId="4" fillId="4" borderId="5" xfId="0" applyFont="1" applyFill="1" applyBorder="1" applyAlignment="1" applyProtection="1">
      <alignment horizontal="center" wrapText="1"/>
    </xf>
    <xf numFmtId="0" fontId="4" fillId="4" borderId="4" xfId="0" applyFont="1" applyFill="1" applyBorder="1" applyAlignment="1" applyProtection="1">
      <alignment horizontal="left" wrapText="1"/>
    </xf>
    <xf numFmtId="0" fontId="0" fillId="0" borderId="0" xfId="0" applyAlignment="1" applyProtection="1">
      <alignment horizontal="center"/>
    </xf>
    <xf numFmtId="0" fontId="4" fillId="4" borderId="11" xfId="0" applyFont="1" applyFill="1" applyBorder="1" applyAlignment="1" applyProtection="1">
      <alignment horizontal="left"/>
    </xf>
    <xf numFmtId="0" fontId="4" fillId="4" borderId="12" xfId="0" applyFont="1" applyFill="1" applyBorder="1" applyAlignment="1" applyProtection="1">
      <alignment wrapText="1"/>
    </xf>
    <xf numFmtId="0" fontId="0" fillId="4" borderId="13" xfId="0" applyFill="1" applyBorder="1" applyAlignment="1" applyProtection="1">
      <alignment horizontal="center"/>
    </xf>
    <xf numFmtId="0" fontId="0" fillId="4" borderId="13" xfId="0" applyFill="1" applyBorder="1" applyAlignment="1" applyProtection="1">
      <alignment horizontal="center" wrapText="1"/>
    </xf>
    <xf numFmtId="164" fontId="0" fillId="4" borderId="13" xfId="2" applyNumberFormat="1" applyFont="1" applyFill="1" applyBorder="1" applyProtection="1"/>
    <xf numFmtId="164" fontId="0" fillId="4" borderId="14" xfId="2" applyNumberFormat="1" applyFont="1" applyFill="1" applyBorder="1" applyProtection="1"/>
    <xf numFmtId="43" fontId="0" fillId="4" borderId="0" xfId="1" applyFont="1" applyFill="1" applyBorder="1" applyProtection="1"/>
    <xf numFmtId="0" fontId="4" fillId="4" borderId="8" xfId="0" applyFont="1" applyFill="1" applyBorder="1" applyAlignment="1" applyProtection="1">
      <alignment wrapText="1"/>
    </xf>
    <xf numFmtId="0" fontId="0" fillId="4" borderId="15" xfId="0" applyFill="1" applyBorder="1" applyAlignment="1" applyProtection="1">
      <alignment horizontal="center"/>
    </xf>
    <xf numFmtId="0" fontId="0" fillId="4" borderId="15" xfId="0" applyFill="1" applyBorder="1" applyAlignment="1" applyProtection="1">
      <alignment horizontal="center" wrapText="1"/>
    </xf>
    <xf numFmtId="164" fontId="0" fillId="4" borderId="15" xfId="2" applyNumberFormat="1" applyFont="1" applyFill="1" applyBorder="1" applyProtection="1"/>
    <xf numFmtId="164" fontId="0" fillId="4" borderId="16" xfId="2" applyNumberFormat="1" applyFont="1" applyFill="1" applyBorder="1" applyProtection="1"/>
    <xf numFmtId="0" fontId="0" fillId="4" borderId="7" xfId="0" applyFill="1" applyBorder="1" applyAlignment="1" applyProtection="1">
      <alignment horizontal="left" indent="1"/>
    </xf>
    <xf numFmtId="0" fontId="0" fillId="4" borderId="6" xfId="0" applyFill="1" applyBorder="1" applyAlignment="1" applyProtection="1">
      <alignment horizontal="left" wrapText="1" indent="1"/>
    </xf>
    <xf numFmtId="0" fontId="0" fillId="4" borderId="17" xfId="0" applyFill="1" applyBorder="1" applyAlignment="1" applyProtection="1">
      <alignment horizontal="center"/>
    </xf>
    <xf numFmtId="0" fontId="0" fillId="4" borderId="17" xfId="0" applyFill="1" applyBorder="1" applyAlignment="1" applyProtection="1">
      <alignment horizontal="center" wrapText="1"/>
    </xf>
    <xf numFmtId="164" fontId="0" fillId="3" borderId="17" xfId="2" applyNumberFormat="1" applyFont="1" applyFill="1" applyBorder="1" applyProtection="1"/>
    <xf numFmtId="0" fontId="0" fillId="4" borderId="9" xfId="0" applyFill="1" applyBorder="1" applyAlignment="1" applyProtection="1">
      <alignment horizontal="left" indent="1"/>
    </xf>
    <xf numFmtId="0" fontId="0" fillId="4" borderId="9" xfId="0" applyFill="1" applyBorder="1" applyAlignment="1" applyProtection="1">
      <alignment horizontal="center"/>
    </xf>
    <xf numFmtId="164" fontId="0" fillId="3" borderId="9" xfId="2" applyNumberFormat="1" applyFont="1" applyFill="1" applyBorder="1" applyProtection="1"/>
    <xf numFmtId="0" fontId="0" fillId="4" borderId="8" xfId="0" applyFill="1" applyBorder="1" applyAlignment="1" applyProtection="1">
      <alignment horizontal="left" wrapText="1" indent="1"/>
    </xf>
    <xf numFmtId="0" fontId="0" fillId="4" borderId="9" xfId="0" applyFill="1" applyBorder="1" applyAlignment="1" applyProtection="1">
      <alignment horizontal="center" wrapText="1"/>
    </xf>
    <xf numFmtId="0" fontId="4" fillId="4" borderId="7" xfId="0" applyFont="1" applyFill="1" applyBorder="1" applyAlignment="1" applyProtection="1">
      <alignment horizontal="left"/>
    </xf>
    <xf numFmtId="0" fontId="4" fillId="4" borderId="9" xfId="0" applyFont="1" applyFill="1" applyBorder="1" applyAlignment="1" applyProtection="1">
      <alignment horizontal="left"/>
    </xf>
    <xf numFmtId="0" fontId="4" fillId="0" borderId="0" xfId="0" applyFont="1" applyProtection="1"/>
    <xf numFmtId="0" fontId="0" fillId="0" borderId="0" xfId="0" applyAlignment="1" applyProtection="1">
      <alignment horizontal="center" wrapText="1"/>
    </xf>
    <xf numFmtId="0" fontId="0" fillId="0" borderId="0" xfId="0" applyAlignment="1" applyProtection="1">
      <alignment horizontal="left"/>
    </xf>
    <xf numFmtId="0" fontId="2" fillId="4" borderId="8" xfId="0" applyFont="1" applyFill="1" applyBorder="1" applyAlignment="1" applyProtection="1">
      <alignment horizontal="left" wrapText="1" indent="1"/>
    </xf>
    <xf numFmtId="164" fontId="0" fillId="2" borderId="17" xfId="2" applyNumberFormat="1" applyFont="1" applyFill="1" applyBorder="1" applyProtection="1">
      <protection locked="0"/>
    </xf>
    <xf numFmtId="164" fontId="0" fillId="2" borderId="9" xfId="2" applyNumberFormat="1" applyFont="1" applyFill="1" applyBorder="1" applyProtection="1">
      <protection locked="0"/>
    </xf>
    <xf numFmtId="0" fontId="4" fillId="4" borderId="1" xfId="0" applyFont="1" applyFill="1" applyBorder="1" applyAlignment="1">
      <alignment wrapText="1"/>
    </xf>
    <xf numFmtId="0" fontId="4" fillId="4" borderId="18" xfId="0" applyFont="1" applyFill="1" applyBorder="1" applyAlignment="1" applyProtection="1">
      <alignment horizontal="left"/>
    </xf>
    <xf numFmtId="0" fontId="0" fillId="4" borderId="19" xfId="0" applyFill="1" applyBorder="1" applyAlignment="1" applyProtection="1">
      <alignment horizontal="center"/>
    </xf>
    <xf numFmtId="0" fontId="0" fillId="4" borderId="19" xfId="0" applyFill="1" applyBorder="1" applyAlignment="1" applyProtection="1">
      <alignment horizontal="center" wrapText="1"/>
    </xf>
    <xf numFmtId="164" fontId="0" fillId="2" borderId="19" xfId="2" applyNumberFormat="1" applyFont="1" applyFill="1" applyBorder="1" applyProtection="1">
      <protection locked="0"/>
    </xf>
    <xf numFmtId="164" fontId="0" fillId="3" borderId="19" xfId="2" applyNumberFormat="1" applyFont="1" applyFill="1" applyBorder="1" applyProtection="1"/>
    <xf numFmtId="0" fontId="4" fillId="4" borderId="19" xfId="0" applyFont="1" applyFill="1" applyBorder="1" applyAlignment="1" applyProtection="1">
      <alignment horizontal="left"/>
    </xf>
    <xf numFmtId="0" fontId="4" fillId="4" borderId="9" xfId="0" applyFont="1" applyFill="1" applyBorder="1" applyAlignment="1" applyProtection="1">
      <alignment wrapText="1"/>
    </xf>
    <xf numFmtId="43" fontId="0" fillId="4" borderId="9" xfId="1" applyFont="1" applyFill="1" applyBorder="1" applyProtection="1"/>
    <xf numFmtId="0" fontId="4" fillId="4" borderId="9" xfId="0" applyFont="1" applyFill="1" applyBorder="1" applyProtection="1"/>
    <xf numFmtId="0" fontId="4" fillId="4" borderId="9" xfId="0" applyFont="1" applyFill="1" applyBorder="1" applyAlignment="1" applyProtection="1">
      <alignment horizontal="center"/>
    </xf>
    <xf numFmtId="0" fontId="4" fillId="4" borderId="9" xfId="0" applyFont="1" applyFill="1" applyBorder="1" applyAlignment="1" applyProtection="1">
      <alignment horizontal="center" wrapText="1"/>
    </xf>
    <xf numFmtId="164" fontId="4" fillId="4" borderId="9" xfId="2" applyNumberFormat="1" applyFont="1" applyFill="1" applyBorder="1" applyProtection="1"/>
    <xf numFmtId="43" fontId="4" fillId="4" borderId="9" xfId="1" applyFont="1" applyFill="1" applyBorder="1" applyProtection="1"/>
    <xf numFmtId="43" fontId="4" fillId="4" borderId="9" xfId="1" applyFont="1" applyFill="1" applyBorder="1" applyAlignment="1" applyProtection="1">
      <alignment horizontal="left"/>
    </xf>
    <xf numFmtId="0" fontId="5" fillId="0" borderId="9" xfId="0" applyFont="1" applyBorder="1" applyAlignment="1">
      <alignment vertical="center" wrapText="1"/>
    </xf>
    <xf numFmtId="166" fontId="5" fillId="0" borderId="9" xfId="0" applyNumberFormat="1" applyFont="1" applyBorder="1" applyAlignment="1">
      <alignment horizontal="right" vertical="center" wrapText="1"/>
    </xf>
    <xf numFmtId="0" fontId="7" fillId="0" borderId="9" xfId="0" applyFont="1" applyBorder="1" applyAlignment="1">
      <alignment vertical="center" wrapText="1"/>
    </xf>
    <xf numFmtId="166" fontId="6" fillId="0" borderId="9" xfId="0" applyNumberFormat="1" applyFont="1" applyBorder="1" applyAlignment="1">
      <alignment horizontal="right" vertical="center" wrapText="1"/>
    </xf>
    <xf numFmtId="0" fontId="6" fillId="0" borderId="1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164" fontId="0" fillId="0" borderId="0" xfId="0" applyNumberFormat="1" applyProtection="1"/>
    <xf numFmtId="167" fontId="0" fillId="4" borderId="15" xfId="3" applyNumberFormat="1" applyFont="1" applyFill="1" applyBorder="1" applyProtection="1"/>
    <xf numFmtId="10" fontId="0" fillId="0" borderId="0" xfId="3" applyNumberFormat="1" applyFont="1"/>
    <xf numFmtId="0" fontId="0" fillId="0" borderId="9" xfId="0" applyFill="1" applyBorder="1" applyAlignment="1" applyProtection="1">
      <alignment horizontal="center"/>
    </xf>
    <xf numFmtId="0" fontId="4" fillId="4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horizontal="center"/>
    </xf>
    <xf numFmtId="0" fontId="4" fillId="0" borderId="11" xfId="0" applyFont="1" applyFill="1" applyBorder="1" applyAlignment="1" applyProtection="1">
      <alignment horizontal="left"/>
    </xf>
    <xf numFmtId="0" fontId="4" fillId="0" borderId="8" xfId="0" applyFont="1" applyFill="1" applyBorder="1" applyAlignment="1" applyProtection="1">
      <alignment wrapText="1"/>
    </xf>
    <xf numFmtId="0" fontId="0" fillId="0" borderId="15" xfId="0" applyFill="1" applyBorder="1" applyAlignment="1" applyProtection="1">
      <alignment horizontal="center"/>
    </xf>
    <xf numFmtId="0" fontId="0" fillId="0" borderId="15" xfId="0" applyFill="1" applyBorder="1" applyAlignment="1" applyProtection="1">
      <alignment horizontal="center" wrapText="1"/>
    </xf>
    <xf numFmtId="164" fontId="0" fillId="0" borderId="15" xfId="2" applyNumberFormat="1" applyFont="1" applyFill="1" applyBorder="1" applyProtection="1">
      <protection locked="0"/>
    </xf>
    <xf numFmtId="164" fontId="0" fillId="0" borderId="16" xfId="2" applyNumberFormat="1" applyFont="1" applyFill="1" applyBorder="1" applyProtection="1"/>
    <xf numFmtId="43" fontId="0" fillId="0" borderId="0" xfId="1" applyFont="1" applyFill="1" applyBorder="1" applyProtection="1"/>
    <xf numFmtId="164" fontId="0" fillId="0" borderId="17" xfId="2" applyNumberFormat="1" applyFont="1" applyFill="1" applyBorder="1" applyProtection="1">
      <protection locked="0"/>
    </xf>
    <xf numFmtId="0" fontId="0" fillId="0" borderId="0" xfId="0" applyFill="1" applyProtection="1"/>
    <xf numFmtId="0" fontId="4" fillId="0" borderId="12" xfId="0" applyFont="1" applyFill="1" applyBorder="1" applyAlignment="1" applyProtection="1">
      <alignment wrapText="1"/>
    </xf>
    <xf numFmtId="0" fontId="4" fillId="0" borderId="11" xfId="0" applyFont="1" applyFill="1" applyBorder="1" applyAlignment="1" applyProtection="1">
      <alignment horizontal="fill"/>
    </xf>
    <xf numFmtId="164" fontId="0" fillId="2" borderId="17" xfId="2" applyNumberFormat="1" applyFont="1" applyFill="1" applyBorder="1" applyProtection="1"/>
    <xf numFmtId="164" fontId="0" fillId="0" borderId="17" xfId="2" applyNumberFormat="1" applyFont="1" applyFill="1" applyBorder="1" applyProtection="1"/>
    <xf numFmtId="0" fontId="4" fillId="2" borderId="1" xfId="0" applyFont="1" applyFill="1" applyBorder="1" applyAlignment="1" applyProtection="1">
      <alignment wrapText="1"/>
      <protection locked="0"/>
    </xf>
    <xf numFmtId="0" fontId="4" fillId="4" borderId="2" xfId="0" applyFont="1" applyFill="1" applyBorder="1" applyAlignment="1" applyProtection="1">
      <alignment horizontal="center" wrapText="1"/>
    </xf>
    <xf numFmtId="0" fontId="4" fillId="4" borderId="3" xfId="0" applyFont="1" applyFill="1" applyBorder="1" applyAlignment="1" applyProtection="1">
      <alignment horizontal="center" wrapText="1"/>
    </xf>
    <xf numFmtId="0" fontId="4" fillId="4" borderId="20" xfId="0" applyFont="1" applyFill="1" applyBorder="1" applyAlignment="1" applyProtection="1">
      <alignment horizont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0" fontId="4" fillId="4" borderId="3" xfId="0" applyFont="1" applyFill="1" applyBorder="1" applyAlignment="1" applyProtection="1">
      <alignment horizontal="center" vertical="center" wrapText="1"/>
    </xf>
    <xf numFmtId="0" fontId="4" fillId="4" borderId="20" xfId="0" applyFont="1" applyFill="1" applyBorder="1" applyAlignment="1" applyProtection="1">
      <alignment horizontal="center" vertical="center" wrapText="1"/>
    </xf>
    <xf numFmtId="0" fontId="3" fillId="5" borderId="21" xfId="0" applyFont="1" applyFill="1" applyBorder="1" applyAlignment="1" applyProtection="1">
      <alignment horizontal="center" vertical="center"/>
    </xf>
    <xf numFmtId="0" fontId="3" fillId="5" borderId="22" xfId="0" applyFont="1" applyFill="1" applyBorder="1" applyAlignment="1" applyProtection="1">
      <alignment horizontal="center" vertical="center"/>
    </xf>
  </cellXfs>
  <cellStyles count="36">
    <cellStyle name="Comma" xfId="1" builtinId="3"/>
    <cellStyle name="Comma 2" xfId="4"/>
    <cellStyle name="Comma 2 2" xfId="5"/>
    <cellStyle name="Comma 2 2 2" xfId="6"/>
    <cellStyle name="Comma 2 3" xfId="7"/>
    <cellStyle name="Comma 2 4" xfId="8"/>
    <cellStyle name="Comma 3" xfId="9"/>
    <cellStyle name="Comma 4" xfId="10"/>
    <cellStyle name="Currency" xfId="2" builtinId="4"/>
    <cellStyle name="Currency 2" xfId="11"/>
    <cellStyle name="Currency 2 2" xfId="12"/>
    <cellStyle name="Currency 3" xfId="13"/>
    <cellStyle name="Euro" xfId="14"/>
    <cellStyle name="Euro 2" xfId="15"/>
    <cellStyle name="Normal" xfId="0" builtinId="0"/>
    <cellStyle name="Normal 2" xfId="16"/>
    <cellStyle name="Normal 2 2" xfId="17"/>
    <cellStyle name="Normal 2 2 2" xfId="18"/>
    <cellStyle name="Normal 2 3" xfId="19"/>
    <cellStyle name="Normal 2 4" xfId="20"/>
    <cellStyle name="Normal 2 4 2" xfId="21"/>
    <cellStyle name="Normal 2 5" xfId="22"/>
    <cellStyle name="Normal 2 6" xfId="23"/>
    <cellStyle name="Normal 3" xfId="24"/>
    <cellStyle name="Normal 4" xfId="25"/>
    <cellStyle name="Percent" xfId="3" builtinId="5"/>
    <cellStyle name="Percent 2" xfId="26"/>
    <cellStyle name="Percent 2 2" xfId="27"/>
    <cellStyle name="Percent 2 2 2" xfId="28"/>
    <cellStyle name="Percent 2 3" xfId="29"/>
    <cellStyle name="Percent 2 4" xfId="30"/>
    <cellStyle name="Percent 2 5" xfId="31"/>
    <cellStyle name="Percent 3" xfId="32"/>
    <cellStyle name="Percent 3 2" xfId="33"/>
    <cellStyle name="Percent 4" xfId="34"/>
    <cellStyle name="Percent 4 2" xfId="3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AF248"/>
  <sheetViews>
    <sheetView tabSelected="1" topLeftCell="A9" zoomScale="85" zoomScaleNormal="85" workbookViewId="0">
      <selection activeCell="C15" sqref="C15"/>
    </sheetView>
  </sheetViews>
  <sheetFormatPr defaultColWidth="8.7109375" defaultRowHeight="12.75" x14ac:dyDescent="0.2"/>
  <cols>
    <col min="1" max="1" width="4" style="2" bestFit="1" customWidth="1"/>
    <col min="2" max="2" width="19.42578125" style="2" customWidth="1"/>
    <col min="3" max="3" width="42.7109375" style="2" customWidth="1"/>
    <col min="4" max="4" width="5.140625" style="14" bestFit="1" customWidth="1"/>
    <col min="5" max="5" width="14.42578125" style="40" customWidth="1"/>
    <col min="6" max="6" width="8.5703125" style="2" bestFit="1" customWidth="1"/>
    <col min="7" max="7" width="15" style="2" bestFit="1" customWidth="1"/>
    <col min="8" max="8" width="1.7109375" style="2" customWidth="1"/>
    <col min="9" max="9" width="11.28515625" style="41" bestFit="1" customWidth="1"/>
    <col min="10" max="10" width="5.140625" style="14" bestFit="1" customWidth="1"/>
    <col min="11" max="11" width="8.5703125" style="2" bestFit="1" customWidth="1"/>
    <col min="12" max="12" width="15.140625" style="2" bestFit="1" customWidth="1"/>
    <col min="13" max="13" width="1.7109375" style="2" customWidth="1"/>
    <col min="14" max="14" width="11.28515625" style="2" bestFit="1" customWidth="1"/>
    <col min="15" max="15" width="5.140625" style="2" bestFit="1" customWidth="1"/>
    <col min="16" max="16" width="8.5703125" style="2" bestFit="1" customWidth="1"/>
    <col min="17" max="17" width="15.140625" style="2" bestFit="1" customWidth="1"/>
    <col min="18" max="18" width="4.28515625" style="2" customWidth="1"/>
    <col min="19" max="19" width="11.28515625" style="2" bestFit="1" customWidth="1"/>
    <col min="20" max="20" width="5.140625" style="2" bestFit="1" customWidth="1"/>
    <col min="21" max="21" width="8.5703125" style="2" bestFit="1" customWidth="1"/>
    <col min="22" max="22" width="15.140625" style="2" bestFit="1" customWidth="1"/>
    <col min="23" max="23" width="3" style="2" customWidth="1"/>
    <col min="24" max="24" width="11.28515625" style="2" bestFit="1" customWidth="1"/>
    <col min="25" max="25" width="5.140625" style="2" bestFit="1" customWidth="1"/>
    <col min="26" max="26" width="8.5703125" style="2" bestFit="1" customWidth="1"/>
    <col min="27" max="27" width="15.140625" style="2" bestFit="1" customWidth="1"/>
    <col min="28" max="28" width="2.7109375" style="2" customWidth="1"/>
    <col min="29" max="29" width="11.28515625" style="2" bestFit="1" customWidth="1"/>
    <col min="30" max="30" width="5" style="2" bestFit="1" customWidth="1"/>
    <col min="31" max="31" width="8.5703125" style="2" bestFit="1" customWidth="1"/>
    <col min="32" max="32" width="15" style="2" bestFit="1" customWidth="1"/>
    <col min="33" max="16384" width="8.7109375" style="2"/>
  </cols>
  <sheetData>
    <row r="1" spans="1:32" ht="13.5" customHeight="1" thickBot="1" x14ac:dyDescent="0.25">
      <c r="B1" s="92" t="s">
        <v>0</v>
      </c>
      <c r="C1" s="93"/>
      <c r="D1" s="3"/>
      <c r="E1" s="4"/>
      <c r="F1" s="5"/>
      <c r="G1" s="5"/>
      <c r="H1" s="5"/>
      <c r="I1" s="6"/>
      <c r="J1" s="3"/>
      <c r="K1" s="5"/>
      <c r="L1" s="5"/>
      <c r="M1" s="5"/>
    </row>
    <row r="2" spans="1:32" ht="26.25" customHeight="1" thickBot="1" x14ac:dyDescent="0.25">
      <c r="B2" s="7" t="s">
        <v>1</v>
      </c>
      <c r="C2" s="85"/>
      <c r="D2" s="89" t="s">
        <v>2</v>
      </c>
      <c r="E2" s="90"/>
      <c r="F2" s="91"/>
      <c r="G2" s="45" t="s">
        <v>3</v>
      </c>
      <c r="H2" s="8"/>
      <c r="I2" s="89" t="s">
        <v>4</v>
      </c>
      <c r="J2" s="90"/>
      <c r="K2" s="91"/>
      <c r="L2" s="45" t="s">
        <v>5</v>
      </c>
      <c r="M2" s="1"/>
      <c r="N2" s="89" t="s">
        <v>6</v>
      </c>
      <c r="O2" s="90"/>
      <c r="P2" s="91"/>
      <c r="Q2" s="45" t="s">
        <v>7</v>
      </c>
      <c r="S2" s="89" t="s">
        <v>8</v>
      </c>
      <c r="T2" s="90"/>
      <c r="U2" s="91"/>
      <c r="V2" s="45" t="s">
        <v>9</v>
      </c>
      <c r="X2" s="89" t="s">
        <v>10</v>
      </c>
      <c r="Y2" s="90"/>
      <c r="Z2" s="91"/>
      <c r="AA2" s="45" t="s">
        <v>11</v>
      </c>
      <c r="AC2" s="86" t="s">
        <v>12</v>
      </c>
      <c r="AD2" s="87"/>
      <c r="AE2" s="88"/>
      <c r="AF2" s="45" t="s">
        <v>13</v>
      </c>
    </row>
    <row r="3" spans="1:32" ht="26.25" thickBot="1" x14ac:dyDescent="0.25">
      <c r="B3" s="70"/>
      <c r="C3" s="9" t="s">
        <v>14</v>
      </c>
      <c r="D3" s="10" t="s">
        <v>15</v>
      </c>
      <c r="E3" s="11" t="s">
        <v>16</v>
      </c>
      <c r="F3" s="11" t="s">
        <v>17</v>
      </c>
      <c r="G3" s="12" t="s">
        <v>18</v>
      </c>
      <c r="H3" s="11"/>
      <c r="I3" s="13"/>
      <c r="J3" s="11" t="s">
        <v>15</v>
      </c>
      <c r="K3" s="11" t="s">
        <v>17</v>
      </c>
      <c r="L3" s="12" t="s">
        <v>18</v>
      </c>
      <c r="M3" s="11"/>
      <c r="N3" s="13"/>
      <c r="O3" s="11" t="s">
        <v>15</v>
      </c>
      <c r="P3" s="11" t="s">
        <v>17</v>
      </c>
      <c r="Q3" s="12" t="s">
        <v>18</v>
      </c>
      <c r="S3" s="13"/>
      <c r="T3" s="11" t="s">
        <v>15</v>
      </c>
      <c r="U3" s="11" t="s">
        <v>17</v>
      </c>
      <c r="V3" s="12" t="s">
        <v>18</v>
      </c>
      <c r="X3" s="13"/>
      <c r="Y3" s="11" t="s">
        <v>15</v>
      </c>
      <c r="Z3" s="11" t="s">
        <v>17</v>
      </c>
      <c r="AA3" s="12" t="s">
        <v>18</v>
      </c>
      <c r="AC3" s="13"/>
      <c r="AD3" s="11" t="s">
        <v>15</v>
      </c>
      <c r="AE3" s="11" t="s">
        <v>17</v>
      </c>
      <c r="AF3" s="12" t="s">
        <v>18</v>
      </c>
    </row>
    <row r="4" spans="1:32" x14ac:dyDescent="0.2">
      <c r="A4" s="14">
        <v>1</v>
      </c>
      <c r="B4" s="15" t="s">
        <v>19</v>
      </c>
      <c r="C4" s="16"/>
      <c r="D4" s="17"/>
      <c r="E4" s="18"/>
      <c r="F4" s="19"/>
      <c r="G4" s="20"/>
      <c r="H4" s="21"/>
      <c r="I4" s="16"/>
      <c r="J4" s="17"/>
      <c r="K4" s="19"/>
      <c r="L4" s="20"/>
      <c r="M4" s="21"/>
      <c r="N4" s="16"/>
      <c r="O4" s="17"/>
      <c r="P4" s="19"/>
      <c r="Q4" s="20"/>
      <c r="S4" s="16"/>
      <c r="T4" s="17"/>
      <c r="U4" s="19"/>
      <c r="V4" s="20"/>
      <c r="X4" s="16"/>
      <c r="Y4" s="17"/>
      <c r="Z4" s="19"/>
      <c r="AA4" s="20"/>
      <c r="AC4" s="16"/>
      <c r="AD4" s="17"/>
      <c r="AE4" s="19"/>
      <c r="AF4" s="20"/>
    </row>
    <row r="5" spans="1:32" x14ac:dyDescent="0.2">
      <c r="A5" s="14">
        <v>2</v>
      </c>
      <c r="B5" s="15" t="s">
        <v>20</v>
      </c>
      <c r="C5" s="22" t="s">
        <v>21</v>
      </c>
      <c r="D5" s="23"/>
      <c r="E5" s="24"/>
      <c r="F5" s="25"/>
      <c r="G5" s="26"/>
      <c r="H5" s="21"/>
      <c r="I5" s="22" t="s">
        <v>22</v>
      </c>
      <c r="J5" s="23"/>
      <c r="K5" s="67"/>
      <c r="L5" s="26"/>
      <c r="M5" s="21"/>
      <c r="N5" s="22" t="s">
        <v>23</v>
      </c>
      <c r="O5" s="23"/>
      <c r="P5" s="67"/>
      <c r="Q5" s="26"/>
      <c r="S5" s="22" t="s">
        <v>24</v>
      </c>
      <c r="T5" s="23"/>
      <c r="U5" s="25"/>
      <c r="V5" s="26"/>
      <c r="X5" s="22" t="s">
        <v>25</v>
      </c>
      <c r="Y5" s="23"/>
      <c r="Z5" s="25"/>
      <c r="AA5" s="26"/>
      <c r="AC5" s="22" t="s">
        <v>26</v>
      </c>
      <c r="AD5" s="23"/>
      <c r="AE5" s="25"/>
      <c r="AF5" s="26"/>
    </row>
    <row r="6" spans="1:32" ht="25.5" x14ac:dyDescent="0.2">
      <c r="A6" s="14">
        <v>3</v>
      </c>
      <c r="B6" s="27" t="s">
        <v>27</v>
      </c>
      <c r="C6" s="28" t="s">
        <v>28</v>
      </c>
      <c r="D6" s="29">
        <v>1550</v>
      </c>
      <c r="E6" s="30" t="s">
        <v>29</v>
      </c>
      <c r="F6" s="43"/>
      <c r="G6" s="31">
        <f t="shared" ref="G6:G68" si="0">IF(D6="",0,D6*F6)</f>
        <v>0</v>
      </c>
      <c r="H6" s="21"/>
      <c r="I6" s="32" t="s">
        <v>30</v>
      </c>
      <c r="J6" s="33">
        <v>1550</v>
      </c>
      <c r="K6" s="43"/>
      <c r="L6" s="34">
        <f>IF(J6="",0,J6*K6)</f>
        <v>0</v>
      </c>
      <c r="M6" s="21"/>
      <c r="N6" s="32" t="s">
        <v>31</v>
      </c>
      <c r="O6" s="33">
        <v>1550</v>
      </c>
      <c r="P6" s="43"/>
      <c r="Q6" s="34">
        <f t="shared" ref="Q6:Q9" si="1">IF(O6="",0,O6*P6)</f>
        <v>0</v>
      </c>
      <c r="S6" s="32" t="s">
        <v>32</v>
      </c>
      <c r="T6" s="33">
        <v>1550</v>
      </c>
      <c r="U6" s="43"/>
      <c r="V6" s="34">
        <f t="shared" ref="V6:V9" si="2">IF(T6="",0,T6*U6)</f>
        <v>0</v>
      </c>
      <c r="X6" s="32" t="s">
        <v>33</v>
      </c>
      <c r="Y6" s="33">
        <v>1550</v>
      </c>
      <c r="Z6" s="43"/>
      <c r="AA6" s="34">
        <f t="shared" ref="AA6:AA9" si="3">IF(Y6="",0,Y6*Z6)</f>
        <v>0</v>
      </c>
      <c r="AC6" s="32" t="s">
        <v>34</v>
      </c>
      <c r="AD6" s="33">
        <f>Y6/2</f>
        <v>775</v>
      </c>
      <c r="AE6" s="83">
        <f>Z6</f>
        <v>0</v>
      </c>
      <c r="AF6" s="34">
        <f t="shared" ref="AF6:AF9" si="4">IF(AD6="",0,AD6*AE6)</f>
        <v>0</v>
      </c>
    </row>
    <row r="7" spans="1:32" ht="25.5" x14ac:dyDescent="0.2">
      <c r="A7" s="14">
        <v>4</v>
      </c>
      <c r="B7" s="27" t="s">
        <v>35</v>
      </c>
      <c r="C7" s="35" t="s">
        <v>36</v>
      </c>
      <c r="D7" s="33">
        <v>350</v>
      </c>
      <c r="E7" s="36" t="s">
        <v>29</v>
      </c>
      <c r="F7" s="44"/>
      <c r="G7" s="34">
        <f t="shared" si="0"/>
        <v>0</v>
      </c>
      <c r="H7" s="21"/>
      <c r="I7" s="32" t="s">
        <v>37</v>
      </c>
      <c r="J7" s="33">
        <v>350</v>
      </c>
      <c r="K7" s="43"/>
      <c r="L7" s="34">
        <f>IF(J7="",0,J7*K7)</f>
        <v>0</v>
      </c>
      <c r="M7" s="21"/>
      <c r="N7" s="32" t="s">
        <v>38</v>
      </c>
      <c r="O7" s="33">
        <v>350</v>
      </c>
      <c r="P7" s="43"/>
      <c r="Q7" s="34">
        <f t="shared" si="1"/>
        <v>0</v>
      </c>
      <c r="S7" s="32" t="s">
        <v>39</v>
      </c>
      <c r="T7" s="33">
        <v>350</v>
      </c>
      <c r="U7" s="43"/>
      <c r="V7" s="34">
        <f t="shared" si="2"/>
        <v>0</v>
      </c>
      <c r="X7" s="32" t="s">
        <v>40</v>
      </c>
      <c r="Y7" s="33">
        <v>350</v>
      </c>
      <c r="Z7" s="43"/>
      <c r="AA7" s="34">
        <f t="shared" si="3"/>
        <v>0</v>
      </c>
      <c r="AC7" s="32" t="s">
        <v>41</v>
      </c>
      <c r="AD7" s="33">
        <f t="shared" ref="AD7:AD9" si="5">Y7/2</f>
        <v>175</v>
      </c>
      <c r="AE7" s="83">
        <f t="shared" ref="AE7:AE70" si="6">Z7</f>
        <v>0</v>
      </c>
      <c r="AF7" s="34">
        <f t="shared" si="4"/>
        <v>0</v>
      </c>
    </row>
    <row r="8" spans="1:32" ht="25.5" x14ac:dyDescent="0.2">
      <c r="A8" s="14">
        <v>5</v>
      </c>
      <c r="B8" s="27" t="s">
        <v>42</v>
      </c>
      <c r="C8" s="35" t="s">
        <v>43</v>
      </c>
      <c r="D8" s="33">
        <v>130</v>
      </c>
      <c r="E8" s="36" t="s">
        <v>29</v>
      </c>
      <c r="F8" s="44"/>
      <c r="G8" s="34">
        <f t="shared" si="0"/>
        <v>0</v>
      </c>
      <c r="H8" s="21"/>
      <c r="I8" s="32" t="s">
        <v>44</v>
      </c>
      <c r="J8" s="33">
        <v>130</v>
      </c>
      <c r="K8" s="43"/>
      <c r="L8" s="34">
        <f>IF(J8="",0,J8*K8)</f>
        <v>0</v>
      </c>
      <c r="M8" s="21"/>
      <c r="N8" s="32" t="s">
        <v>45</v>
      </c>
      <c r="O8" s="33">
        <v>130</v>
      </c>
      <c r="P8" s="43"/>
      <c r="Q8" s="34">
        <f t="shared" si="1"/>
        <v>0</v>
      </c>
      <c r="S8" s="32" t="s">
        <v>46</v>
      </c>
      <c r="T8" s="33">
        <v>130</v>
      </c>
      <c r="U8" s="43"/>
      <c r="V8" s="34">
        <f t="shared" si="2"/>
        <v>0</v>
      </c>
      <c r="X8" s="32" t="s">
        <v>47</v>
      </c>
      <c r="Y8" s="33">
        <v>130</v>
      </c>
      <c r="Z8" s="43"/>
      <c r="AA8" s="34">
        <f t="shared" si="3"/>
        <v>0</v>
      </c>
      <c r="AC8" s="32" t="s">
        <v>48</v>
      </c>
      <c r="AD8" s="33">
        <f t="shared" si="5"/>
        <v>65</v>
      </c>
      <c r="AE8" s="83">
        <f t="shared" si="6"/>
        <v>0</v>
      </c>
      <c r="AF8" s="34">
        <f t="shared" si="4"/>
        <v>0</v>
      </c>
    </row>
    <row r="9" spans="1:32" ht="25.5" x14ac:dyDescent="0.2">
      <c r="A9" s="14">
        <v>6</v>
      </c>
      <c r="B9" s="27" t="s">
        <v>49</v>
      </c>
      <c r="C9" s="35" t="s">
        <v>50</v>
      </c>
      <c r="D9" s="33">
        <v>50</v>
      </c>
      <c r="E9" s="36" t="s">
        <v>29</v>
      </c>
      <c r="F9" s="44"/>
      <c r="G9" s="34">
        <f t="shared" si="0"/>
        <v>0</v>
      </c>
      <c r="H9" s="21"/>
      <c r="I9" s="32" t="s">
        <v>51</v>
      </c>
      <c r="J9" s="33">
        <v>50</v>
      </c>
      <c r="K9" s="43"/>
      <c r="L9" s="34">
        <f>IF(J9="",0,J9*K9)</f>
        <v>0</v>
      </c>
      <c r="M9" s="21"/>
      <c r="N9" s="32" t="s">
        <v>52</v>
      </c>
      <c r="O9" s="33">
        <v>50</v>
      </c>
      <c r="P9" s="43"/>
      <c r="Q9" s="34">
        <f t="shared" si="1"/>
        <v>0</v>
      </c>
      <c r="S9" s="32" t="s">
        <v>53</v>
      </c>
      <c r="T9" s="33">
        <v>50</v>
      </c>
      <c r="U9" s="43"/>
      <c r="V9" s="34">
        <f t="shared" si="2"/>
        <v>0</v>
      </c>
      <c r="X9" s="32" t="s">
        <v>54</v>
      </c>
      <c r="Y9" s="33">
        <v>50</v>
      </c>
      <c r="Z9" s="43"/>
      <c r="AA9" s="34">
        <f t="shared" si="3"/>
        <v>0</v>
      </c>
      <c r="AC9" s="32" t="s">
        <v>55</v>
      </c>
      <c r="AD9" s="33">
        <f t="shared" si="5"/>
        <v>25</v>
      </c>
      <c r="AE9" s="83">
        <f t="shared" si="6"/>
        <v>0</v>
      </c>
      <c r="AF9" s="34">
        <f t="shared" si="4"/>
        <v>0</v>
      </c>
    </row>
    <row r="10" spans="1:32" s="80" customFormat="1" ht="25.5" x14ac:dyDescent="0.2">
      <c r="A10" s="71">
        <v>7</v>
      </c>
      <c r="B10" s="72" t="s">
        <v>56</v>
      </c>
      <c r="C10" s="73" t="s">
        <v>57</v>
      </c>
      <c r="D10" s="74" t="s">
        <v>58</v>
      </c>
      <c r="E10" s="75" t="s">
        <v>58</v>
      </c>
      <c r="F10" s="76"/>
      <c r="G10" s="77"/>
      <c r="H10" s="78"/>
      <c r="I10" s="73" t="s">
        <v>59</v>
      </c>
      <c r="J10" s="74"/>
      <c r="K10" s="79"/>
      <c r="L10" s="77"/>
      <c r="M10" s="78"/>
      <c r="N10" s="73" t="s">
        <v>60</v>
      </c>
      <c r="O10" s="74"/>
      <c r="P10" s="79"/>
      <c r="Q10" s="77"/>
      <c r="S10" s="73" t="s">
        <v>61</v>
      </c>
      <c r="T10" s="74"/>
      <c r="U10" s="79"/>
      <c r="V10" s="77"/>
      <c r="X10" s="73" t="s">
        <v>62</v>
      </c>
      <c r="Y10" s="74"/>
      <c r="Z10" s="79"/>
      <c r="AA10" s="77"/>
      <c r="AC10" s="73" t="s">
        <v>63</v>
      </c>
      <c r="AD10" s="74"/>
      <c r="AE10" s="84"/>
      <c r="AF10" s="77"/>
    </row>
    <row r="11" spans="1:32" ht="25.5" x14ac:dyDescent="0.2">
      <c r="A11" s="14">
        <v>8</v>
      </c>
      <c r="B11" s="27" t="s">
        <v>64</v>
      </c>
      <c r="C11" s="35" t="s">
        <v>65</v>
      </c>
      <c r="D11" s="33">
        <v>50</v>
      </c>
      <c r="E11" s="36" t="s">
        <v>29</v>
      </c>
      <c r="F11" s="44"/>
      <c r="G11" s="34">
        <f t="shared" si="0"/>
        <v>0</v>
      </c>
      <c r="H11" s="21"/>
      <c r="I11" s="32" t="s">
        <v>66</v>
      </c>
      <c r="J11" s="33">
        <v>50</v>
      </c>
      <c r="K11" s="43"/>
      <c r="L11" s="34">
        <f>IF(J11="",0,J11*K11)</f>
        <v>0</v>
      </c>
      <c r="M11" s="21"/>
      <c r="N11" s="32" t="s">
        <v>67</v>
      </c>
      <c r="O11" s="33">
        <v>50</v>
      </c>
      <c r="P11" s="43"/>
      <c r="Q11" s="34">
        <f t="shared" ref="Q11:Q14" si="7">IF(O11="",0,O11*P11)</f>
        <v>0</v>
      </c>
      <c r="S11" s="32" t="s">
        <v>68</v>
      </c>
      <c r="T11" s="33">
        <v>50</v>
      </c>
      <c r="U11" s="43"/>
      <c r="V11" s="34">
        <f t="shared" ref="V11:V14" si="8">IF(T11="",0,T11*U11)</f>
        <v>0</v>
      </c>
      <c r="X11" s="32" t="s">
        <v>69</v>
      </c>
      <c r="Y11" s="33">
        <v>50</v>
      </c>
      <c r="Z11" s="43"/>
      <c r="AA11" s="34">
        <f t="shared" ref="AA11:AA14" si="9">IF(Y11="",0,Y11*Z11)</f>
        <v>0</v>
      </c>
      <c r="AC11" s="32" t="s">
        <v>70</v>
      </c>
      <c r="AD11" s="33">
        <f t="shared" ref="AD11:AD14" si="10">Y11/2</f>
        <v>25</v>
      </c>
      <c r="AE11" s="83">
        <f t="shared" si="6"/>
        <v>0</v>
      </c>
      <c r="AF11" s="34">
        <f t="shared" ref="AF11:AF14" si="11">IF(AD11="",0,AD11*AE11)</f>
        <v>0</v>
      </c>
    </row>
    <row r="12" spans="1:32" ht="25.5" x14ac:dyDescent="0.2">
      <c r="A12" s="14">
        <v>9</v>
      </c>
      <c r="B12" s="27" t="s">
        <v>71</v>
      </c>
      <c r="C12" s="35" t="s">
        <v>72</v>
      </c>
      <c r="D12" s="33">
        <v>20</v>
      </c>
      <c r="E12" s="36" t="s">
        <v>29</v>
      </c>
      <c r="F12" s="44"/>
      <c r="G12" s="34">
        <f t="shared" si="0"/>
        <v>0</v>
      </c>
      <c r="H12" s="21"/>
      <c r="I12" s="32" t="s">
        <v>73</v>
      </c>
      <c r="J12" s="33">
        <v>20</v>
      </c>
      <c r="K12" s="43"/>
      <c r="L12" s="34">
        <f>IF(J12="",0,J12*K12)</f>
        <v>0</v>
      </c>
      <c r="M12" s="21"/>
      <c r="N12" s="32" t="s">
        <v>74</v>
      </c>
      <c r="O12" s="33">
        <v>20</v>
      </c>
      <c r="P12" s="43"/>
      <c r="Q12" s="34">
        <f t="shared" si="7"/>
        <v>0</v>
      </c>
      <c r="S12" s="32" t="s">
        <v>75</v>
      </c>
      <c r="T12" s="33">
        <v>20</v>
      </c>
      <c r="U12" s="43"/>
      <c r="V12" s="34">
        <f t="shared" si="8"/>
        <v>0</v>
      </c>
      <c r="X12" s="32" t="s">
        <v>76</v>
      </c>
      <c r="Y12" s="33">
        <v>20</v>
      </c>
      <c r="Z12" s="43"/>
      <c r="AA12" s="34">
        <f t="shared" si="9"/>
        <v>0</v>
      </c>
      <c r="AC12" s="32" t="s">
        <v>77</v>
      </c>
      <c r="AD12" s="33">
        <f t="shared" si="10"/>
        <v>10</v>
      </c>
      <c r="AE12" s="83">
        <f t="shared" si="6"/>
        <v>0</v>
      </c>
      <c r="AF12" s="34">
        <f t="shared" si="11"/>
        <v>0</v>
      </c>
    </row>
    <row r="13" spans="1:32" ht="25.5" x14ac:dyDescent="0.2">
      <c r="A13" s="14">
        <v>10</v>
      </c>
      <c r="B13" s="27" t="s">
        <v>78</v>
      </c>
      <c r="C13" s="35" t="s">
        <v>79</v>
      </c>
      <c r="D13" s="33">
        <v>40</v>
      </c>
      <c r="E13" s="36" t="s">
        <v>29</v>
      </c>
      <c r="F13" s="44"/>
      <c r="G13" s="34">
        <f t="shared" si="0"/>
        <v>0</v>
      </c>
      <c r="H13" s="21"/>
      <c r="I13" s="32" t="s">
        <v>80</v>
      </c>
      <c r="J13" s="33">
        <v>40</v>
      </c>
      <c r="K13" s="43"/>
      <c r="L13" s="34">
        <f>IF(J13="",0,J13*K13)</f>
        <v>0</v>
      </c>
      <c r="M13" s="21"/>
      <c r="N13" s="32" t="s">
        <v>81</v>
      </c>
      <c r="O13" s="33">
        <v>40</v>
      </c>
      <c r="P13" s="43"/>
      <c r="Q13" s="34">
        <f t="shared" si="7"/>
        <v>0</v>
      </c>
      <c r="S13" s="32" t="s">
        <v>82</v>
      </c>
      <c r="T13" s="33">
        <v>40</v>
      </c>
      <c r="U13" s="43"/>
      <c r="V13" s="34">
        <f t="shared" si="8"/>
        <v>0</v>
      </c>
      <c r="X13" s="32" t="s">
        <v>83</v>
      </c>
      <c r="Y13" s="33">
        <v>40</v>
      </c>
      <c r="Z13" s="43"/>
      <c r="AA13" s="34">
        <f t="shared" si="9"/>
        <v>0</v>
      </c>
      <c r="AC13" s="32" t="s">
        <v>84</v>
      </c>
      <c r="AD13" s="33">
        <f t="shared" si="10"/>
        <v>20</v>
      </c>
      <c r="AE13" s="83">
        <f t="shared" si="6"/>
        <v>0</v>
      </c>
      <c r="AF13" s="34">
        <f t="shared" si="11"/>
        <v>0</v>
      </c>
    </row>
    <row r="14" spans="1:32" ht="25.5" x14ac:dyDescent="0.2">
      <c r="A14" s="14">
        <v>11</v>
      </c>
      <c r="B14" s="27" t="s">
        <v>85</v>
      </c>
      <c r="C14" s="35" t="s">
        <v>86</v>
      </c>
      <c r="D14" s="33">
        <v>10</v>
      </c>
      <c r="E14" s="36" t="s">
        <v>29</v>
      </c>
      <c r="F14" s="44"/>
      <c r="G14" s="34">
        <f t="shared" si="0"/>
        <v>0</v>
      </c>
      <c r="H14" s="21"/>
      <c r="I14" s="32" t="s">
        <v>87</v>
      </c>
      <c r="J14" s="33">
        <v>10</v>
      </c>
      <c r="K14" s="43"/>
      <c r="L14" s="34">
        <f>IF(J14="",0,J14*K14)</f>
        <v>0</v>
      </c>
      <c r="M14" s="21"/>
      <c r="N14" s="32" t="s">
        <v>88</v>
      </c>
      <c r="O14" s="33">
        <v>10</v>
      </c>
      <c r="P14" s="43"/>
      <c r="Q14" s="34">
        <f t="shared" si="7"/>
        <v>0</v>
      </c>
      <c r="S14" s="32" t="s">
        <v>89</v>
      </c>
      <c r="T14" s="33">
        <v>10</v>
      </c>
      <c r="U14" s="43"/>
      <c r="V14" s="34">
        <f t="shared" si="8"/>
        <v>0</v>
      </c>
      <c r="X14" s="32" t="s">
        <v>90</v>
      </c>
      <c r="Y14" s="33">
        <v>10</v>
      </c>
      <c r="Z14" s="43"/>
      <c r="AA14" s="34">
        <f t="shared" si="9"/>
        <v>0</v>
      </c>
      <c r="AC14" s="32" t="s">
        <v>91</v>
      </c>
      <c r="AD14" s="33">
        <f t="shared" si="10"/>
        <v>5</v>
      </c>
      <c r="AE14" s="83">
        <f t="shared" si="6"/>
        <v>0</v>
      </c>
      <c r="AF14" s="34">
        <f t="shared" si="11"/>
        <v>0</v>
      </c>
    </row>
    <row r="15" spans="1:32" s="80" customFormat="1" ht="25.5" x14ac:dyDescent="0.2">
      <c r="A15" s="71">
        <v>12</v>
      </c>
      <c r="B15" s="72" t="s">
        <v>92</v>
      </c>
      <c r="C15" s="73" t="s">
        <v>57</v>
      </c>
      <c r="D15" s="74" t="s">
        <v>58</v>
      </c>
      <c r="E15" s="75" t="s">
        <v>58</v>
      </c>
      <c r="F15" s="76"/>
      <c r="G15" s="77"/>
      <c r="H15" s="78"/>
      <c r="I15" s="73" t="s">
        <v>93</v>
      </c>
      <c r="J15" s="74"/>
      <c r="K15" s="79"/>
      <c r="L15" s="77"/>
      <c r="M15" s="78"/>
      <c r="N15" s="73" t="s">
        <v>94</v>
      </c>
      <c r="O15" s="74"/>
      <c r="P15" s="79"/>
      <c r="Q15" s="77"/>
      <c r="S15" s="73" t="s">
        <v>95</v>
      </c>
      <c r="T15" s="74"/>
      <c r="U15" s="79"/>
      <c r="V15" s="77"/>
      <c r="X15" s="73" t="s">
        <v>96</v>
      </c>
      <c r="Y15" s="74"/>
      <c r="Z15" s="79"/>
      <c r="AA15" s="77"/>
      <c r="AC15" s="73" t="s">
        <v>97</v>
      </c>
      <c r="AD15" s="74"/>
      <c r="AE15" s="84"/>
      <c r="AF15" s="77"/>
    </row>
    <row r="16" spans="1:32" ht="25.5" x14ac:dyDescent="0.2">
      <c r="A16" s="14">
        <v>13</v>
      </c>
      <c r="B16" s="27" t="s">
        <v>98</v>
      </c>
      <c r="C16" s="35" t="s">
        <v>99</v>
      </c>
      <c r="D16" s="33">
        <v>15</v>
      </c>
      <c r="E16" s="36" t="s">
        <v>29</v>
      </c>
      <c r="F16" s="44"/>
      <c r="G16" s="34">
        <f t="shared" si="0"/>
        <v>0</v>
      </c>
      <c r="H16" s="21"/>
      <c r="I16" s="32" t="s">
        <v>100</v>
      </c>
      <c r="J16" s="33">
        <v>15</v>
      </c>
      <c r="K16" s="43"/>
      <c r="L16" s="34">
        <f t="shared" ref="L16:L23" si="12">IF(J16="",0,J16*K16)</f>
        <v>0</v>
      </c>
      <c r="M16" s="21"/>
      <c r="N16" s="32" t="s">
        <v>101</v>
      </c>
      <c r="O16" s="33">
        <v>15</v>
      </c>
      <c r="P16" s="43"/>
      <c r="Q16" s="34">
        <f t="shared" ref="Q16:Q23" si="13">IF(O16="",0,O16*P16)</f>
        <v>0</v>
      </c>
      <c r="S16" s="32" t="s">
        <v>102</v>
      </c>
      <c r="T16" s="33">
        <v>15</v>
      </c>
      <c r="U16" s="43"/>
      <c r="V16" s="34">
        <f t="shared" ref="V16:V23" si="14">IF(T16="",0,T16*U16)</f>
        <v>0</v>
      </c>
      <c r="X16" s="32" t="s">
        <v>103</v>
      </c>
      <c r="Y16" s="33">
        <v>15</v>
      </c>
      <c r="Z16" s="43"/>
      <c r="AA16" s="34">
        <f t="shared" ref="AA16:AA23" si="15">IF(Y16="",0,Y16*Z16)</f>
        <v>0</v>
      </c>
      <c r="AC16" s="32" t="s">
        <v>104</v>
      </c>
      <c r="AD16" s="33">
        <f t="shared" ref="AD16:AD23" si="16">Y16/2</f>
        <v>7.5</v>
      </c>
      <c r="AE16" s="83">
        <f t="shared" si="6"/>
        <v>0</v>
      </c>
      <c r="AF16" s="34">
        <f t="shared" ref="AF16:AF23" si="17">IF(AD16="",0,AD16*AE16)</f>
        <v>0</v>
      </c>
    </row>
    <row r="17" spans="1:32" ht="25.5" x14ac:dyDescent="0.2">
      <c r="A17" s="14">
        <v>14</v>
      </c>
      <c r="B17" s="27" t="s">
        <v>105</v>
      </c>
      <c r="C17" s="35" t="s">
        <v>106</v>
      </c>
      <c r="D17" s="33">
        <v>600</v>
      </c>
      <c r="E17" s="36" t="s">
        <v>29</v>
      </c>
      <c r="F17" s="44"/>
      <c r="G17" s="34">
        <f t="shared" si="0"/>
        <v>0</v>
      </c>
      <c r="H17" s="21"/>
      <c r="I17" s="32" t="s">
        <v>107</v>
      </c>
      <c r="J17" s="33">
        <v>600</v>
      </c>
      <c r="K17" s="43"/>
      <c r="L17" s="34">
        <f t="shared" si="12"/>
        <v>0</v>
      </c>
      <c r="M17" s="21"/>
      <c r="N17" s="32" t="s">
        <v>108</v>
      </c>
      <c r="O17" s="33">
        <v>600</v>
      </c>
      <c r="P17" s="43"/>
      <c r="Q17" s="34">
        <f t="shared" si="13"/>
        <v>0</v>
      </c>
      <c r="S17" s="32" t="s">
        <v>109</v>
      </c>
      <c r="T17" s="33">
        <v>600</v>
      </c>
      <c r="U17" s="43"/>
      <c r="V17" s="34">
        <f t="shared" si="14"/>
        <v>0</v>
      </c>
      <c r="X17" s="32" t="s">
        <v>110</v>
      </c>
      <c r="Y17" s="33">
        <v>600</v>
      </c>
      <c r="Z17" s="43"/>
      <c r="AA17" s="34">
        <f t="shared" si="15"/>
        <v>0</v>
      </c>
      <c r="AC17" s="32" t="s">
        <v>111</v>
      </c>
      <c r="AD17" s="33">
        <f t="shared" si="16"/>
        <v>300</v>
      </c>
      <c r="AE17" s="83">
        <f t="shared" si="6"/>
        <v>0</v>
      </c>
      <c r="AF17" s="34">
        <f t="shared" si="17"/>
        <v>0</v>
      </c>
    </row>
    <row r="18" spans="1:32" ht="25.5" x14ac:dyDescent="0.2">
      <c r="A18" s="14">
        <v>15</v>
      </c>
      <c r="B18" s="27" t="s">
        <v>112</v>
      </c>
      <c r="C18" s="35" t="s">
        <v>113</v>
      </c>
      <c r="D18" s="33">
        <v>10</v>
      </c>
      <c r="E18" s="36" t="s">
        <v>29</v>
      </c>
      <c r="F18" s="44"/>
      <c r="G18" s="34">
        <f t="shared" si="0"/>
        <v>0</v>
      </c>
      <c r="H18" s="21"/>
      <c r="I18" s="32" t="s">
        <v>114</v>
      </c>
      <c r="J18" s="33">
        <v>10</v>
      </c>
      <c r="K18" s="43"/>
      <c r="L18" s="34">
        <f t="shared" si="12"/>
        <v>0</v>
      </c>
      <c r="M18" s="21"/>
      <c r="N18" s="32" t="s">
        <v>115</v>
      </c>
      <c r="O18" s="33">
        <v>10</v>
      </c>
      <c r="P18" s="43"/>
      <c r="Q18" s="34">
        <f t="shared" si="13"/>
        <v>0</v>
      </c>
      <c r="S18" s="32" t="s">
        <v>116</v>
      </c>
      <c r="T18" s="33">
        <v>10</v>
      </c>
      <c r="U18" s="43"/>
      <c r="V18" s="34">
        <f t="shared" si="14"/>
        <v>0</v>
      </c>
      <c r="X18" s="32" t="s">
        <v>117</v>
      </c>
      <c r="Y18" s="33">
        <v>10</v>
      </c>
      <c r="Z18" s="43"/>
      <c r="AA18" s="34">
        <f t="shared" si="15"/>
        <v>0</v>
      </c>
      <c r="AC18" s="32" t="s">
        <v>118</v>
      </c>
      <c r="AD18" s="33">
        <f t="shared" si="16"/>
        <v>5</v>
      </c>
      <c r="AE18" s="83">
        <f t="shared" si="6"/>
        <v>0</v>
      </c>
      <c r="AF18" s="34">
        <f t="shared" si="17"/>
        <v>0</v>
      </c>
    </row>
    <row r="19" spans="1:32" ht="25.5" x14ac:dyDescent="0.2">
      <c r="A19" s="14">
        <v>16</v>
      </c>
      <c r="B19" s="27" t="s">
        <v>119</v>
      </c>
      <c r="C19" s="35" t="s">
        <v>120</v>
      </c>
      <c r="D19" s="33">
        <v>10</v>
      </c>
      <c r="E19" s="36" t="s">
        <v>29</v>
      </c>
      <c r="F19" s="44"/>
      <c r="G19" s="34">
        <f t="shared" si="0"/>
        <v>0</v>
      </c>
      <c r="H19" s="21"/>
      <c r="I19" s="32" t="s">
        <v>121</v>
      </c>
      <c r="J19" s="33">
        <v>10</v>
      </c>
      <c r="K19" s="43"/>
      <c r="L19" s="34">
        <f t="shared" si="12"/>
        <v>0</v>
      </c>
      <c r="M19" s="21"/>
      <c r="N19" s="32" t="s">
        <v>122</v>
      </c>
      <c r="O19" s="33">
        <v>10</v>
      </c>
      <c r="P19" s="43"/>
      <c r="Q19" s="34">
        <f t="shared" si="13"/>
        <v>0</v>
      </c>
      <c r="S19" s="32" t="s">
        <v>123</v>
      </c>
      <c r="T19" s="33">
        <v>10</v>
      </c>
      <c r="U19" s="43"/>
      <c r="V19" s="34">
        <f t="shared" si="14"/>
        <v>0</v>
      </c>
      <c r="X19" s="32" t="s">
        <v>124</v>
      </c>
      <c r="Y19" s="33">
        <v>10</v>
      </c>
      <c r="Z19" s="43"/>
      <c r="AA19" s="34">
        <f t="shared" si="15"/>
        <v>0</v>
      </c>
      <c r="AC19" s="32" t="s">
        <v>125</v>
      </c>
      <c r="AD19" s="33">
        <f t="shared" si="16"/>
        <v>5</v>
      </c>
      <c r="AE19" s="83">
        <f t="shared" si="6"/>
        <v>0</v>
      </c>
      <c r="AF19" s="34">
        <f t="shared" si="17"/>
        <v>0</v>
      </c>
    </row>
    <row r="20" spans="1:32" ht="25.5" x14ac:dyDescent="0.2">
      <c r="A20" s="14">
        <v>17</v>
      </c>
      <c r="B20" s="27" t="s">
        <v>126</v>
      </c>
      <c r="C20" s="35" t="s">
        <v>127</v>
      </c>
      <c r="D20" s="33">
        <v>10</v>
      </c>
      <c r="E20" s="36" t="s">
        <v>29</v>
      </c>
      <c r="F20" s="44"/>
      <c r="G20" s="34">
        <f t="shared" si="0"/>
        <v>0</v>
      </c>
      <c r="H20" s="21"/>
      <c r="I20" s="32" t="s">
        <v>128</v>
      </c>
      <c r="J20" s="33">
        <v>10</v>
      </c>
      <c r="K20" s="43"/>
      <c r="L20" s="34">
        <f t="shared" si="12"/>
        <v>0</v>
      </c>
      <c r="M20" s="21"/>
      <c r="N20" s="32" t="s">
        <v>129</v>
      </c>
      <c r="O20" s="33">
        <v>10</v>
      </c>
      <c r="P20" s="43"/>
      <c r="Q20" s="34">
        <f t="shared" si="13"/>
        <v>0</v>
      </c>
      <c r="S20" s="32" t="s">
        <v>130</v>
      </c>
      <c r="T20" s="33">
        <v>10</v>
      </c>
      <c r="U20" s="43"/>
      <c r="V20" s="34">
        <f t="shared" si="14"/>
        <v>0</v>
      </c>
      <c r="X20" s="32" t="s">
        <v>131</v>
      </c>
      <c r="Y20" s="33">
        <v>10</v>
      </c>
      <c r="Z20" s="43"/>
      <c r="AA20" s="34">
        <f t="shared" si="15"/>
        <v>0</v>
      </c>
      <c r="AC20" s="32" t="s">
        <v>132</v>
      </c>
      <c r="AD20" s="33">
        <f t="shared" si="16"/>
        <v>5</v>
      </c>
      <c r="AE20" s="83">
        <f t="shared" si="6"/>
        <v>0</v>
      </c>
      <c r="AF20" s="34">
        <f t="shared" si="17"/>
        <v>0</v>
      </c>
    </row>
    <row r="21" spans="1:32" ht="25.5" x14ac:dyDescent="0.2">
      <c r="A21" s="14">
        <v>18</v>
      </c>
      <c r="B21" s="27" t="s">
        <v>133</v>
      </c>
      <c r="C21" s="35" t="s">
        <v>134</v>
      </c>
      <c r="D21" s="33">
        <v>300</v>
      </c>
      <c r="E21" s="36" t="s">
        <v>29</v>
      </c>
      <c r="F21" s="44"/>
      <c r="G21" s="34">
        <f t="shared" si="0"/>
        <v>0</v>
      </c>
      <c r="H21" s="21"/>
      <c r="I21" s="32" t="s">
        <v>135</v>
      </c>
      <c r="J21" s="33">
        <v>300</v>
      </c>
      <c r="K21" s="43"/>
      <c r="L21" s="34">
        <f t="shared" si="12"/>
        <v>0</v>
      </c>
      <c r="M21" s="21"/>
      <c r="N21" s="32" t="s">
        <v>136</v>
      </c>
      <c r="O21" s="33">
        <v>300</v>
      </c>
      <c r="P21" s="43"/>
      <c r="Q21" s="34">
        <f t="shared" si="13"/>
        <v>0</v>
      </c>
      <c r="S21" s="32" t="s">
        <v>137</v>
      </c>
      <c r="T21" s="33">
        <v>300</v>
      </c>
      <c r="U21" s="43"/>
      <c r="V21" s="34">
        <f t="shared" si="14"/>
        <v>0</v>
      </c>
      <c r="X21" s="32" t="s">
        <v>138</v>
      </c>
      <c r="Y21" s="33">
        <v>300</v>
      </c>
      <c r="Z21" s="43"/>
      <c r="AA21" s="34">
        <f t="shared" si="15"/>
        <v>0</v>
      </c>
      <c r="AC21" s="32" t="s">
        <v>139</v>
      </c>
      <c r="AD21" s="33">
        <f t="shared" si="16"/>
        <v>150</v>
      </c>
      <c r="AE21" s="83">
        <f t="shared" si="6"/>
        <v>0</v>
      </c>
      <c r="AF21" s="34">
        <f t="shared" si="17"/>
        <v>0</v>
      </c>
    </row>
    <row r="22" spans="1:32" ht="25.5" x14ac:dyDescent="0.2">
      <c r="A22" s="14">
        <v>19</v>
      </c>
      <c r="B22" s="27" t="s">
        <v>140</v>
      </c>
      <c r="C22" s="35" t="s">
        <v>141</v>
      </c>
      <c r="D22" s="33">
        <v>10</v>
      </c>
      <c r="E22" s="36" t="s">
        <v>29</v>
      </c>
      <c r="F22" s="44"/>
      <c r="G22" s="34">
        <f t="shared" si="0"/>
        <v>0</v>
      </c>
      <c r="H22" s="21"/>
      <c r="I22" s="32" t="s">
        <v>142</v>
      </c>
      <c r="J22" s="33">
        <v>10</v>
      </c>
      <c r="K22" s="43"/>
      <c r="L22" s="34">
        <f t="shared" si="12"/>
        <v>0</v>
      </c>
      <c r="M22" s="21"/>
      <c r="N22" s="32" t="s">
        <v>143</v>
      </c>
      <c r="O22" s="33">
        <v>10</v>
      </c>
      <c r="P22" s="43"/>
      <c r="Q22" s="34">
        <f t="shared" si="13"/>
        <v>0</v>
      </c>
      <c r="S22" s="32" t="s">
        <v>144</v>
      </c>
      <c r="T22" s="33">
        <v>10</v>
      </c>
      <c r="U22" s="43"/>
      <c r="V22" s="34">
        <f t="shared" si="14"/>
        <v>0</v>
      </c>
      <c r="X22" s="32" t="s">
        <v>145</v>
      </c>
      <c r="Y22" s="33">
        <v>10</v>
      </c>
      <c r="Z22" s="43"/>
      <c r="AA22" s="34">
        <f t="shared" si="15"/>
        <v>0</v>
      </c>
      <c r="AC22" s="32" t="s">
        <v>146</v>
      </c>
      <c r="AD22" s="33">
        <f t="shared" si="16"/>
        <v>5</v>
      </c>
      <c r="AE22" s="83">
        <f t="shared" si="6"/>
        <v>0</v>
      </c>
      <c r="AF22" s="34">
        <f t="shared" si="17"/>
        <v>0</v>
      </c>
    </row>
    <row r="23" spans="1:32" ht="25.5" x14ac:dyDescent="0.2">
      <c r="A23" s="14">
        <v>20</v>
      </c>
      <c r="B23" s="27" t="s">
        <v>147</v>
      </c>
      <c r="C23" s="35" t="s">
        <v>840</v>
      </c>
      <c r="D23" s="33">
        <v>10</v>
      </c>
      <c r="E23" s="36" t="s">
        <v>29</v>
      </c>
      <c r="F23" s="44"/>
      <c r="G23" s="34">
        <f t="shared" si="0"/>
        <v>0</v>
      </c>
      <c r="H23" s="21"/>
      <c r="I23" s="32" t="s">
        <v>148</v>
      </c>
      <c r="J23" s="33">
        <v>10</v>
      </c>
      <c r="K23" s="43"/>
      <c r="L23" s="34">
        <f t="shared" si="12"/>
        <v>0</v>
      </c>
      <c r="M23" s="21"/>
      <c r="N23" s="32" t="s">
        <v>149</v>
      </c>
      <c r="O23" s="33">
        <v>10</v>
      </c>
      <c r="P23" s="43"/>
      <c r="Q23" s="34">
        <f t="shared" si="13"/>
        <v>0</v>
      </c>
      <c r="S23" s="32" t="s">
        <v>150</v>
      </c>
      <c r="T23" s="33">
        <v>10</v>
      </c>
      <c r="U23" s="43"/>
      <c r="V23" s="34">
        <f t="shared" si="14"/>
        <v>0</v>
      </c>
      <c r="X23" s="32" t="s">
        <v>151</v>
      </c>
      <c r="Y23" s="33">
        <v>10</v>
      </c>
      <c r="Z23" s="43"/>
      <c r="AA23" s="34">
        <f t="shared" si="15"/>
        <v>0</v>
      </c>
      <c r="AC23" s="32" t="s">
        <v>152</v>
      </c>
      <c r="AD23" s="33">
        <f t="shared" si="16"/>
        <v>5</v>
      </c>
      <c r="AE23" s="83">
        <f t="shared" si="6"/>
        <v>0</v>
      </c>
      <c r="AF23" s="34">
        <f t="shared" si="17"/>
        <v>0</v>
      </c>
    </row>
    <row r="24" spans="1:32" s="80" customFormat="1" ht="25.5" x14ac:dyDescent="0.2">
      <c r="A24" s="71">
        <v>21</v>
      </c>
      <c r="B24" s="72" t="s">
        <v>153</v>
      </c>
      <c r="C24" s="73" t="s">
        <v>154</v>
      </c>
      <c r="D24" s="74" t="s">
        <v>58</v>
      </c>
      <c r="E24" s="75" t="s">
        <v>58</v>
      </c>
      <c r="F24" s="76"/>
      <c r="G24" s="77"/>
      <c r="H24" s="78"/>
      <c r="I24" s="73" t="s">
        <v>155</v>
      </c>
      <c r="J24" s="74"/>
      <c r="K24" s="79"/>
      <c r="L24" s="77"/>
      <c r="M24" s="78"/>
      <c r="N24" s="73" t="s">
        <v>156</v>
      </c>
      <c r="O24" s="74"/>
      <c r="P24" s="79"/>
      <c r="Q24" s="77"/>
      <c r="S24" s="73" t="s">
        <v>157</v>
      </c>
      <c r="T24" s="74"/>
      <c r="U24" s="79"/>
      <c r="V24" s="77"/>
      <c r="X24" s="73" t="s">
        <v>158</v>
      </c>
      <c r="Y24" s="74"/>
      <c r="Z24" s="79"/>
      <c r="AA24" s="77"/>
      <c r="AC24" s="73" t="s">
        <v>159</v>
      </c>
      <c r="AD24" s="74"/>
      <c r="AE24" s="84"/>
      <c r="AF24" s="77"/>
    </row>
    <row r="25" spans="1:32" ht="25.5" x14ac:dyDescent="0.2">
      <c r="A25" s="14">
        <v>22</v>
      </c>
      <c r="B25" s="27" t="s">
        <v>160</v>
      </c>
      <c r="C25" s="35" t="s">
        <v>99</v>
      </c>
      <c r="D25" s="33">
        <v>5</v>
      </c>
      <c r="E25" s="36" t="s">
        <v>161</v>
      </c>
      <c r="F25" s="44"/>
      <c r="G25" s="34">
        <f t="shared" si="0"/>
        <v>0</v>
      </c>
      <c r="H25" s="21"/>
      <c r="I25" s="32" t="s">
        <v>162</v>
      </c>
      <c r="J25" s="33">
        <v>5</v>
      </c>
      <c r="K25" s="43"/>
      <c r="L25" s="34">
        <f t="shared" ref="L25:L32" si="18">IF(J25="",0,J25*K25)</f>
        <v>0</v>
      </c>
      <c r="M25" s="21"/>
      <c r="N25" s="32" t="s">
        <v>163</v>
      </c>
      <c r="O25" s="33">
        <v>5</v>
      </c>
      <c r="P25" s="43"/>
      <c r="Q25" s="34">
        <f t="shared" ref="Q25:Q32" si="19">IF(O25="",0,O25*P25)</f>
        <v>0</v>
      </c>
      <c r="S25" s="32" t="s">
        <v>164</v>
      </c>
      <c r="T25" s="33">
        <v>5</v>
      </c>
      <c r="U25" s="43"/>
      <c r="V25" s="34">
        <f t="shared" ref="V25:V32" si="20">IF(T25="",0,T25*U25)</f>
        <v>0</v>
      </c>
      <c r="X25" s="32" t="s">
        <v>165</v>
      </c>
      <c r="Y25" s="33">
        <v>5</v>
      </c>
      <c r="Z25" s="43"/>
      <c r="AA25" s="34">
        <f t="shared" ref="AA25:AA32" si="21">IF(Y25="",0,Y25*Z25)</f>
        <v>0</v>
      </c>
      <c r="AC25" s="32" t="s">
        <v>166</v>
      </c>
      <c r="AD25" s="33">
        <f t="shared" ref="AD25:AD32" si="22">Y25/2</f>
        <v>2.5</v>
      </c>
      <c r="AE25" s="83">
        <f t="shared" si="6"/>
        <v>0</v>
      </c>
      <c r="AF25" s="34">
        <f t="shared" ref="AF25:AF32" si="23">IF(AD25="",0,AD25*AE25)</f>
        <v>0</v>
      </c>
    </row>
    <row r="26" spans="1:32" ht="25.5" x14ac:dyDescent="0.2">
      <c r="A26" s="14">
        <v>23</v>
      </c>
      <c r="B26" s="27" t="s">
        <v>167</v>
      </c>
      <c r="C26" s="35" t="s">
        <v>168</v>
      </c>
      <c r="D26" s="33">
        <v>10</v>
      </c>
      <c r="E26" s="36" t="s">
        <v>161</v>
      </c>
      <c r="F26" s="44"/>
      <c r="G26" s="34">
        <f t="shared" si="0"/>
        <v>0</v>
      </c>
      <c r="H26" s="21"/>
      <c r="I26" s="32" t="s">
        <v>169</v>
      </c>
      <c r="J26" s="33">
        <v>10</v>
      </c>
      <c r="K26" s="43"/>
      <c r="L26" s="34">
        <f t="shared" si="18"/>
        <v>0</v>
      </c>
      <c r="M26" s="21"/>
      <c r="N26" s="32" t="s">
        <v>170</v>
      </c>
      <c r="O26" s="33">
        <v>10</v>
      </c>
      <c r="P26" s="43"/>
      <c r="Q26" s="34">
        <f t="shared" si="19"/>
        <v>0</v>
      </c>
      <c r="S26" s="32" t="s">
        <v>171</v>
      </c>
      <c r="T26" s="33">
        <v>10</v>
      </c>
      <c r="U26" s="43"/>
      <c r="V26" s="34">
        <f t="shared" si="20"/>
        <v>0</v>
      </c>
      <c r="X26" s="32" t="s">
        <v>172</v>
      </c>
      <c r="Y26" s="33">
        <v>10</v>
      </c>
      <c r="Z26" s="43"/>
      <c r="AA26" s="34">
        <f t="shared" si="21"/>
        <v>0</v>
      </c>
      <c r="AC26" s="32" t="s">
        <v>173</v>
      </c>
      <c r="AD26" s="33">
        <f t="shared" si="22"/>
        <v>5</v>
      </c>
      <c r="AE26" s="83">
        <f t="shared" si="6"/>
        <v>0</v>
      </c>
      <c r="AF26" s="34">
        <f t="shared" si="23"/>
        <v>0</v>
      </c>
    </row>
    <row r="27" spans="1:32" ht="25.5" x14ac:dyDescent="0.2">
      <c r="A27" s="14">
        <v>24</v>
      </c>
      <c r="B27" s="27" t="s">
        <v>174</v>
      </c>
      <c r="C27" s="35" t="s">
        <v>113</v>
      </c>
      <c r="D27" s="33">
        <v>5</v>
      </c>
      <c r="E27" s="36" t="s">
        <v>161</v>
      </c>
      <c r="F27" s="44"/>
      <c r="G27" s="34">
        <f t="shared" si="0"/>
        <v>0</v>
      </c>
      <c r="H27" s="21"/>
      <c r="I27" s="32" t="s">
        <v>175</v>
      </c>
      <c r="J27" s="33">
        <v>5</v>
      </c>
      <c r="K27" s="43"/>
      <c r="L27" s="34">
        <f t="shared" si="18"/>
        <v>0</v>
      </c>
      <c r="M27" s="21"/>
      <c r="N27" s="32" t="s">
        <v>176</v>
      </c>
      <c r="O27" s="33">
        <v>5</v>
      </c>
      <c r="P27" s="43"/>
      <c r="Q27" s="34">
        <f t="shared" si="19"/>
        <v>0</v>
      </c>
      <c r="S27" s="32" t="s">
        <v>177</v>
      </c>
      <c r="T27" s="33">
        <v>5</v>
      </c>
      <c r="U27" s="43"/>
      <c r="V27" s="34">
        <f t="shared" si="20"/>
        <v>0</v>
      </c>
      <c r="X27" s="32" t="s">
        <v>178</v>
      </c>
      <c r="Y27" s="33">
        <v>5</v>
      </c>
      <c r="Z27" s="43"/>
      <c r="AA27" s="34">
        <f t="shared" si="21"/>
        <v>0</v>
      </c>
      <c r="AC27" s="32" t="s">
        <v>179</v>
      </c>
      <c r="AD27" s="33">
        <f t="shared" si="22"/>
        <v>2.5</v>
      </c>
      <c r="AE27" s="83">
        <f t="shared" si="6"/>
        <v>0</v>
      </c>
      <c r="AF27" s="34">
        <f t="shared" si="23"/>
        <v>0</v>
      </c>
    </row>
    <row r="28" spans="1:32" ht="25.5" x14ac:dyDescent="0.2">
      <c r="A28" s="14">
        <v>25</v>
      </c>
      <c r="B28" s="27" t="s">
        <v>180</v>
      </c>
      <c r="C28" s="35" t="s">
        <v>181</v>
      </c>
      <c r="D28" s="33">
        <v>5</v>
      </c>
      <c r="E28" s="36" t="s">
        <v>161</v>
      </c>
      <c r="F28" s="44"/>
      <c r="G28" s="34">
        <f t="shared" si="0"/>
        <v>0</v>
      </c>
      <c r="H28" s="21"/>
      <c r="I28" s="32" t="s">
        <v>182</v>
      </c>
      <c r="J28" s="33">
        <v>5</v>
      </c>
      <c r="K28" s="43"/>
      <c r="L28" s="34">
        <f t="shared" si="18"/>
        <v>0</v>
      </c>
      <c r="M28" s="21"/>
      <c r="N28" s="32" t="s">
        <v>183</v>
      </c>
      <c r="O28" s="33">
        <v>5</v>
      </c>
      <c r="P28" s="43"/>
      <c r="Q28" s="34">
        <f t="shared" si="19"/>
        <v>0</v>
      </c>
      <c r="S28" s="32" t="s">
        <v>184</v>
      </c>
      <c r="T28" s="33">
        <v>5</v>
      </c>
      <c r="U28" s="43"/>
      <c r="V28" s="34">
        <f t="shared" si="20"/>
        <v>0</v>
      </c>
      <c r="X28" s="32" t="s">
        <v>185</v>
      </c>
      <c r="Y28" s="33">
        <v>5</v>
      </c>
      <c r="Z28" s="43"/>
      <c r="AA28" s="34">
        <f t="shared" si="21"/>
        <v>0</v>
      </c>
      <c r="AC28" s="32" t="s">
        <v>186</v>
      </c>
      <c r="AD28" s="33">
        <f t="shared" si="22"/>
        <v>2.5</v>
      </c>
      <c r="AE28" s="83">
        <f t="shared" si="6"/>
        <v>0</v>
      </c>
      <c r="AF28" s="34">
        <f t="shared" si="23"/>
        <v>0</v>
      </c>
    </row>
    <row r="29" spans="1:32" ht="25.5" x14ac:dyDescent="0.2">
      <c r="A29" s="14">
        <v>26</v>
      </c>
      <c r="B29" s="27" t="s">
        <v>187</v>
      </c>
      <c r="C29" s="35" t="s">
        <v>127</v>
      </c>
      <c r="D29" s="33">
        <v>5</v>
      </c>
      <c r="E29" s="36" t="s">
        <v>161</v>
      </c>
      <c r="F29" s="44"/>
      <c r="G29" s="34">
        <f t="shared" si="0"/>
        <v>0</v>
      </c>
      <c r="H29" s="21"/>
      <c r="I29" s="32" t="s">
        <v>188</v>
      </c>
      <c r="J29" s="33">
        <v>5</v>
      </c>
      <c r="K29" s="43"/>
      <c r="L29" s="34">
        <f t="shared" si="18"/>
        <v>0</v>
      </c>
      <c r="M29" s="21"/>
      <c r="N29" s="32" t="s">
        <v>189</v>
      </c>
      <c r="O29" s="33">
        <v>5</v>
      </c>
      <c r="P29" s="43"/>
      <c r="Q29" s="34">
        <f t="shared" si="19"/>
        <v>0</v>
      </c>
      <c r="S29" s="32" t="s">
        <v>190</v>
      </c>
      <c r="T29" s="33">
        <v>5</v>
      </c>
      <c r="U29" s="43"/>
      <c r="V29" s="34">
        <f t="shared" si="20"/>
        <v>0</v>
      </c>
      <c r="X29" s="32" t="s">
        <v>191</v>
      </c>
      <c r="Y29" s="33">
        <v>5</v>
      </c>
      <c r="Z29" s="43"/>
      <c r="AA29" s="34">
        <f t="shared" si="21"/>
        <v>0</v>
      </c>
      <c r="AC29" s="32" t="s">
        <v>192</v>
      </c>
      <c r="AD29" s="33">
        <f t="shared" si="22"/>
        <v>2.5</v>
      </c>
      <c r="AE29" s="83">
        <f t="shared" si="6"/>
        <v>0</v>
      </c>
      <c r="AF29" s="34">
        <f t="shared" si="23"/>
        <v>0</v>
      </c>
    </row>
    <row r="30" spans="1:32" ht="25.5" x14ac:dyDescent="0.2">
      <c r="A30" s="14">
        <v>27</v>
      </c>
      <c r="B30" s="27" t="s">
        <v>193</v>
      </c>
      <c r="C30" s="35" t="s">
        <v>194</v>
      </c>
      <c r="D30" s="33">
        <v>5</v>
      </c>
      <c r="E30" s="36" t="s">
        <v>161</v>
      </c>
      <c r="F30" s="44"/>
      <c r="G30" s="34">
        <f t="shared" si="0"/>
        <v>0</v>
      </c>
      <c r="H30" s="21"/>
      <c r="I30" s="32" t="s">
        <v>195</v>
      </c>
      <c r="J30" s="33">
        <v>5</v>
      </c>
      <c r="K30" s="43"/>
      <c r="L30" s="34">
        <f t="shared" si="18"/>
        <v>0</v>
      </c>
      <c r="M30" s="21"/>
      <c r="N30" s="32" t="s">
        <v>196</v>
      </c>
      <c r="O30" s="33">
        <v>5</v>
      </c>
      <c r="P30" s="43"/>
      <c r="Q30" s="34">
        <f t="shared" si="19"/>
        <v>0</v>
      </c>
      <c r="S30" s="32" t="s">
        <v>197</v>
      </c>
      <c r="T30" s="33">
        <v>5</v>
      </c>
      <c r="U30" s="43"/>
      <c r="V30" s="34">
        <f t="shared" si="20"/>
        <v>0</v>
      </c>
      <c r="X30" s="32" t="s">
        <v>198</v>
      </c>
      <c r="Y30" s="33">
        <v>5</v>
      </c>
      <c r="Z30" s="43"/>
      <c r="AA30" s="34">
        <f t="shared" si="21"/>
        <v>0</v>
      </c>
      <c r="AC30" s="32" t="s">
        <v>199</v>
      </c>
      <c r="AD30" s="33">
        <f t="shared" si="22"/>
        <v>2.5</v>
      </c>
      <c r="AE30" s="83">
        <f t="shared" si="6"/>
        <v>0</v>
      </c>
      <c r="AF30" s="34">
        <f t="shared" si="23"/>
        <v>0</v>
      </c>
    </row>
    <row r="31" spans="1:32" ht="25.5" x14ac:dyDescent="0.2">
      <c r="A31" s="14">
        <v>28</v>
      </c>
      <c r="B31" s="27" t="s">
        <v>200</v>
      </c>
      <c r="C31" s="35" t="s">
        <v>141</v>
      </c>
      <c r="D31" s="33">
        <v>5</v>
      </c>
      <c r="E31" s="36" t="s">
        <v>161</v>
      </c>
      <c r="F31" s="44"/>
      <c r="G31" s="34">
        <f t="shared" si="0"/>
        <v>0</v>
      </c>
      <c r="H31" s="21"/>
      <c r="I31" s="32" t="s">
        <v>201</v>
      </c>
      <c r="J31" s="33">
        <v>5</v>
      </c>
      <c r="K31" s="43"/>
      <c r="L31" s="34">
        <f t="shared" si="18"/>
        <v>0</v>
      </c>
      <c r="M31" s="21"/>
      <c r="N31" s="32" t="s">
        <v>202</v>
      </c>
      <c r="O31" s="33">
        <v>5</v>
      </c>
      <c r="P31" s="43"/>
      <c r="Q31" s="34">
        <f t="shared" si="19"/>
        <v>0</v>
      </c>
      <c r="S31" s="32" t="s">
        <v>203</v>
      </c>
      <c r="T31" s="33">
        <v>5</v>
      </c>
      <c r="U31" s="43"/>
      <c r="V31" s="34">
        <f t="shared" si="20"/>
        <v>0</v>
      </c>
      <c r="X31" s="32" t="s">
        <v>204</v>
      </c>
      <c r="Y31" s="33">
        <v>5</v>
      </c>
      <c r="Z31" s="43"/>
      <c r="AA31" s="34">
        <f t="shared" si="21"/>
        <v>0</v>
      </c>
      <c r="AC31" s="32" t="s">
        <v>205</v>
      </c>
      <c r="AD31" s="33">
        <f t="shared" si="22"/>
        <v>2.5</v>
      </c>
      <c r="AE31" s="83">
        <f t="shared" si="6"/>
        <v>0</v>
      </c>
      <c r="AF31" s="34">
        <f t="shared" si="23"/>
        <v>0</v>
      </c>
    </row>
    <row r="32" spans="1:32" ht="25.5" x14ac:dyDescent="0.2">
      <c r="A32" s="14">
        <v>29</v>
      </c>
      <c r="B32" s="27" t="s">
        <v>206</v>
      </c>
      <c r="C32" s="35" t="s">
        <v>207</v>
      </c>
      <c r="D32" s="33">
        <v>5</v>
      </c>
      <c r="E32" s="36" t="s">
        <v>161</v>
      </c>
      <c r="F32" s="44"/>
      <c r="G32" s="34">
        <f t="shared" si="0"/>
        <v>0</v>
      </c>
      <c r="H32" s="21"/>
      <c r="I32" s="32" t="s">
        <v>208</v>
      </c>
      <c r="J32" s="33">
        <v>5</v>
      </c>
      <c r="K32" s="43"/>
      <c r="L32" s="34">
        <f t="shared" si="18"/>
        <v>0</v>
      </c>
      <c r="M32" s="21"/>
      <c r="N32" s="32" t="s">
        <v>209</v>
      </c>
      <c r="O32" s="33">
        <v>5</v>
      </c>
      <c r="P32" s="43"/>
      <c r="Q32" s="34">
        <f t="shared" si="19"/>
        <v>0</v>
      </c>
      <c r="S32" s="32" t="s">
        <v>210</v>
      </c>
      <c r="T32" s="33">
        <v>5</v>
      </c>
      <c r="U32" s="43"/>
      <c r="V32" s="34">
        <f t="shared" si="20"/>
        <v>0</v>
      </c>
      <c r="X32" s="32" t="s">
        <v>211</v>
      </c>
      <c r="Y32" s="33">
        <v>5</v>
      </c>
      <c r="Z32" s="43"/>
      <c r="AA32" s="34">
        <f t="shared" si="21"/>
        <v>0</v>
      </c>
      <c r="AC32" s="32" t="s">
        <v>212</v>
      </c>
      <c r="AD32" s="33">
        <f t="shared" si="22"/>
        <v>2.5</v>
      </c>
      <c r="AE32" s="83">
        <f t="shared" si="6"/>
        <v>0</v>
      </c>
      <c r="AF32" s="34">
        <f t="shared" si="23"/>
        <v>0</v>
      </c>
    </row>
    <row r="33" spans="1:32" s="80" customFormat="1" ht="25.5" x14ac:dyDescent="0.2">
      <c r="A33" s="71">
        <v>30</v>
      </c>
      <c r="B33" s="72" t="s">
        <v>213</v>
      </c>
      <c r="C33" s="73" t="s">
        <v>214</v>
      </c>
      <c r="D33" s="74" t="s">
        <v>58</v>
      </c>
      <c r="E33" s="75" t="s">
        <v>58</v>
      </c>
      <c r="F33" s="76"/>
      <c r="G33" s="77"/>
      <c r="H33" s="78"/>
      <c r="I33" s="73" t="s">
        <v>215</v>
      </c>
      <c r="J33" s="74"/>
      <c r="K33" s="79"/>
      <c r="L33" s="77"/>
      <c r="M33" s="78"/>
      <c r="N33" s="73" t="s">
        <v>216</v>
      </c>
      <c r="O33" s="74"/>
      <c r="P33" s="79"/>
      <c r="Q33" s="77"/>
      <c r="S33" s="73" t="s">
        <v>217</v>
      </c>
      <c r="T33" s="74"/>
      <c r="U33" s="79"/>
      <c r="V33" s="77"/>
      <c r="X33" s="73" t="s">
        <v>218</v>
      </c>
      <c r="Y33" s="74"/>
      <c r="Z33" s="79"/>
      <c r="AA33" s="77"/>
      <c r="AC33" s="73" t="s">
        <v>219</v>
      </c>
      <c r="AD33" s="74"/>
      <c r="AE33" s="84"/>
      <c r="AF33" s="77"/>
    </row>
    <row r="34" spans="1:32" ht="25.5" x14ac:dyDescent="0.2">
      <c r="A34" s="14">
        <v>31</v>
      </c>
      <c r="B34" s="27" t="s">
        <v>220</v>
      </c>
      <c r="C34" s="35" t="s">
        <v>221</v>
      </c>
      <c r="D34" s="33">
        <v>50</v>
      </c>
      <c r="E34" s="36" t="s">
        <v>161</v>
      </c>
      <c r="F34" s="44"/>
      <c r="G34" s="34">
        <f t="shared" si="0"/>
        <v>0</v>
      </c>
      <c r="H34" s="21"/>
      <c r="I34" s="32" t="s">
        <v>222</v>
      </c>
      <c r="J34" s="33">
        <v>50</v>
      </c>
      <c r="K34" s="43"/>
      <c r="L34" s="34">
        <f>IF(J34="",0,J34*K34)</f>
        <v>0</v>
      </c>
      <c r="M34" s="21"/>
      <c r="N34" s="32" t="s">
        <v>223</v>
      </c>
      <c r="O34" s="33">
        <v>50</v>
      </c>
      <c r="P34" s="43"/>
      <c r="Q34" s="34">
        <f t="shared" ref="Q34:Q35" si="24">IF(O34="",0,O34*P34)</f>
        <v>0</v>
      </c>
      <c r="S34" s="32" t="s">
        <v>224</v>
      </c>
      <c r="T34" s="33">
        <v>50</v>
      </c>
      <c r="U34" s="43"/>
      <c r="V34" s="34">
        <f t="shared" ref="V34:V35" si="25">IF(T34="",0,T34*U34)</f>
        <v>0</v>
      </c>
      <c r="X34" s="32" t="s">
        <v>225</v>
      </c>
      <c r="Y34" s="33">
        <v>50</v>
      </c>
      <c r="Z34" s="43"/>
      <c r="AA34" s="34">
        <f t="shared" ref="AA34:AA35" si="26">IF(Y34="",0,Y34*Z34)</f>
        <v>0</v>
      </c>
      <c r="AC34" s="32" t="s">
        <v>226</v>
      </c>
      <c r="AD34" s="33">
        <f t="shared" ref="AD34:AD35" si="27">Y34/2</f>
        <v>25</v>
      </c>
      <c r="AE34" s="83">
        <f t="shared" si="6"/>
        <v>0</v>
      </c>
      <c r="AF34" s="34">
        <f t="shared" ref="AF34:AF35" si="28">IF(AD34="",0,AD34*AE34)</f>
        <v>0</v>
      </c>
    </row>
    <row r="35" spans="1:32" ht="25.5" x14ac:dyDescent="0.2">
      <c r="A35" s="14">
        <v>32</v>
      </c>
      <c r="B35" s="27" t="s">
        <v>227</v>
      </c>
      <c r="C35" s="35" t="s">
        <v>228</v>
      </c>
      <c r="D35" s="33">
        <v>150</v>
      </c>
      <c r="E35" s="36" t="s">
        <v>29</v>
      </c>
      <c r="F35" s="44"/>
      <c r="G35" s="34">
        <f t="shared" si="0"/>
        <v>0</v>
      </c>
      <c r="H35" s="21"/>
      <c r="I35" s="32" t="s">
        <v>229</v>
      </c>
      <c r="J35" s="33">
        <v>150</v>
      </c>
      <c r="K35" s="43"/>
      <c r="L35" s="34">
        <f>IF(J35="",0,J35*K35)</f>
        <v>0</v>
      </c>
      <c r="M35" s="21"/>
      <c r="N35" s="32" t="s">
        <v>230</v>
      </c>
      <c r="O35" s="33">
        <v>150</v>
      </c>
      <c r="P35" s="43"/>
      <c r="Q35" s="34">
        <f t="shared" si="24"/>
        <v>0</v>
      </c>
      <c r="S35" s="32" t="s">
        <v>231</v>
      </c>
      <c r="T35" s="33">
        <v>150</v>
      </c>
      <c r="U35" s="43"/>
      <c r="V35" s="34">
        <f t="shared" si="25"/>
        <v>0</v>
      </c>
      <c r="X35" s="32" t="s">
        <v>232</v>
      </c>
      <c r="Y35" s="33">
        <v>150</v>
      </c>
      <c r="Z35" s="43"/>
      <c r="AA35" s="34">
        <f t="shared" si="26"/>
        <v>0</v>
      </c>
      <c r="AC35" s="32" t="s">
        <v>233</v>
      </c>
      <c r="AD35" s="33">
        <f t="shared" si="27"/>
        <v>75</v>
      </c>
      <c r="AE35" s="83">
        <f t="shared" si="6"/>
        <v>0</v>
      </c>
      <c r="AF35" s="34">
        <f t="shared" si="28"/>
        <v>0</v>
      </c>
    </row>
    <row r="36" spans="1:32" s="80" customFormat="1" x14ac:dyDescent="0.2">
      <c r="A36" s="71">
        <v>33</v>
      </c>
      <c r="B36" s="72" t="s">
        <v>234</v>
      </c>
      <c r="C36" s="73" t="s">
        <v>235</v>
      </c>
      <c r="D36" s="74" t="s">
        <v>58</v>
      </c>
      <c r="E36" s="75" t="s">
        <v>58</v>
      </c>
      <c r="F36" s="76"/>
      <c r="G36" s="77"/>
      <c r="H36" s="78"/>
      <c r="I36" s="73" t="s">
        <v>236</v>
      </c>
      <c r="J36" s="74"/>
      <c r="K36" s="79"/>
      <c r="L36" s="77"/>
      <c r="M36" s="78"/>
      <c r="N36" s="73" t="s">
        <v>237</v>
      </c>
      <c r="O36" s="74"/>
      <c r="P36" s="79"/>
      <c r="Q36" s="77"/>
      <c r="S36" s="73" t="s">
        <v>238</v>
      </c>
      <c r="T36" s="74"/>
      <c r="U36" s="79"/>
      <c r="V36" s="77"/>
      <c r="X36" s="73" t="s">
        <v>239</v>
      </c>
      <c r="Y36" s="74"/>
      <c r="Z36" s="79"/>
      <c r="AA36" s="77"/>
      <c r="AC36" s="73" t="s">
        <v>240</v>
      </c>
      <c r="AD36" s="74"/>
      <c r="AE36" s="84"/>
      <c r="AF36" s="77"/>
    </row>
    <row r="37" spans="1:32" x14ac:dyDescent="0.2">
      <c r="A37" s="14">
        <v>34</v>
      </c>
      <c r="B37" s="27" t="s">
        <v>241</v>
      </c>
      <c r="C37" s="35" t="s">
        <v>242</v>
      </c>
      <c r="D37" s="33">
        <v>50</v>
      </c>
      <c r="E37" s="36" t="s">
        <v>29</v>
      </c>
      <c r="F37" s="44"/>
      <c r="G37" s="34">
        <f t="shared" si="0"/>
        <v>0</v>
      </c>
      <c r="H37" s="21"/>
      <c r="I37" s="32" t="s">
        <v>243</v>
      </c>
      <c r="J37" s="33">
        <v>50</v>
      </c>
      <c r="K37" s="43"/>
      <c r="L37" s="34">
        <f>IF(J37="",0,J37*K37)</f>
        <v>0</v>
      </c>
      <c r="M37" s="21"/>
      <c r="N37" s="32" t="s">
        <v>244</v>
      </c>
      <c r="O37" s="33">
        <v>50</v>
      </c>
      <c r="P37" s="43"/>
      <c r="Q37" s="34">
        <f t="shared" ref="Q37:Q39" si="29">IF(O37="",0,O37*P37)</f>
        <v>0</v>
      </c>
      <c r="S37" s="32" t="s">
        <v>245</v>
      </c>
      <c r="T37" s="33">
        <v>50</v>
      </c>
      <c r="U37" s="43"/>
      <c r="V37" s="34">
        <f t="shared" ref="V37:V39" si="30">IF(T37="",0,T37*U37)</f>
        <v>0</v>
      </c>
      <c r="X37" s="32" t="s">
        <v>246</v>
      </c>
      <c r="Y37" s="33">
        <v>50</v>
      </c>
      <c r="Z37" s="43"/>
      <c r="AA37" s="34">
        <f t="shared" ref="AA37:AA39" si="31">IF(Y37="",0,Y37*Z37)</f>
        <v>0</v>
      </c>
      <c r="AC37" s="32" t="s">
        <v>247</v>
      </c>
      <c r="AD37" s="33">
        <f t="shared" ref="AD37:AD39" si="32">Y37/2</f>
        <v>25</v>
      </c>
      <c r="AE37" s="83">
        <f t="shared" si="6"/>
        <v>0</v>
      </c>
      <c r="AF37" s="34">
        <f t="shared" ref="AF37:AF39" si="33">IF(AD37="",0,AD37*AE37)</f>
        <v>0</v>
      </c>
    </row>
    <row r="38" spans="1:32" x14ac:dyDescent="0.2">
      <c r="A38" s="14">
        <v>35</v>
      </c>
      <c r="B38" s="27" t="s">
        <v>248</v>
      </c>
      <c r="C38" s="35" t="s">
        <v>249</v>
      </c>
      <c r="D38" s="33">
        <v>150</v>
      </c>
      <c r="E38" s="36" t="s">
        <v>29</v>
      </c>
      <c r="F38" s="44"/>
      <c r="G38" s="34">
        <f t="shared" si="0"/>
        <v>0</v>
      </c>
      <c r="H38" s="21"/>
      <c r="I38" s="32" t="s">
        <v>250</v>
      </c>
      <c r="J38" s="33">
        <v>150</v>
      </c>
      <c r="K38" s="43"/>
      <c r="L38" s="34">
        <f>IF(J38="",0,J38*K38)</f>
        <v>0</v>
      </c>
      <c r="M38" s="21"/>
      <c r="N38" s="32" t="s">
        <v>251</v>
      </c>
      <c r="O38" s="33">
        <v>150</v>
      </c>
      <c r="P38" s="43"/>
      <c r="Q38" s="34">
        <f t="shared" si="29"/>
        <v>0</v>
      </c>
      <c r="S38" s="32" t="s">
        <v>252</v>
      </c>
      <c r="T38" s="33">
        <v>150</v>
      </c>
      <c r="U38" s="43"/>
      <c r="V38" s="34">
        <f t="shared" si="30"/>
        <v>0</v>
      </c>
      <c r="X38" s="32" t="s">
        <v>253</v>
      </c>
      <c r="Y38" s="33">
        <v>150</v>
      </c>
      <c r="Z38" s="43"/>
      <c r="AA38" s="34">
        <f t="shared" si="31"/>
        <v>0</v>
      </c>
      <c r="AC38" s="32" t="s">
        <v>254</v>
      </c>
      <c r="AD38" s="33">
        <f t="shared" si="32"/>
        <v>75</v>
      </c>
      <c r="AE38" s="83">
        <f t="shared" si="6"/>
        <v>0</v>
      </c>
      <c r="AF38" s="34">
        <f t="shared" si="33"/>
        <v>0</v>
      </c>
    </row>
    <row r="39" spans="1:32" x14ac:dyDescent="0.2">
      <c r="A39" s="14">
        <v>36</v>
      </c>
      <c r="B39" s="37" t="s">
        <v>255</v>
      </c>
      <c r="C39" s="22" t="s">
        <v>256</v>
      </c>
      <c r="D39" s="33">
        <v>600</v>
      </c>
      <c r="E39" s="36" t="s">
        <v>29</v>
      </c>
      <c r="F39" s="44"/>
      <c r="G39" s="34">
        <f t="shared" si="0"/>
        <v>0</v>
      </c>
      <c r="H39" s="21"/>
      <c r="I39" s="38" t="s">
        <v>257</v>
      </c>
      <c r="J39" s="33">
        <v>600</v>
      </c>
      <c r="K39" s="43"/>
      <c r="L39" s="34">
        <f>IF(J39="",0,J39*K39)</f>
        <v>0</v>
      </c>
      <c r="M39" s="21"/>
      <c r="N39" s="38" t="s">
        <v>258</v>
      </c>
      <c r="O39" s="33">
        <v>600</v>
      </c>
      <c r="P39" s="43"/>
      <c r="Q39" s="34">
        <f t="shared" si="29"/>
        <v>0</v>
      </c>
      <c r="S39" s="38" t="s">
        <v>259</v>
      </c>
      <c r="T39" s="33">
        <v>600</v>
      </c>
      <c r="U39" s="43"/>
      <c r="V39" s="34">
        <f t="shared" si="30"/>
        <v>0</v>
      </c>
      <c r="X39" s="38" t="s">
        <v>260</v>
      </c>
      <c r="Y39" s="33">
        <v>600</v>
      </c>
      <c r="Z39" s="43"/>
      <c r="AA39" s="34">
        <f t="shared" si="31"/>
        <v>0</v>
      </c>
      <c r="AC39" s="38" t="s">
        <v>261</v>
      </c>
      <c r="AD39" s="33">
        <f t="shared" si="32"/>
        <v>300</v>
      </c>
      <c r="AE39" s="83">
        <f t="shared" si="6"/>
        <v>0</v>
      </c>
      <c r="AF39" s="34">
        <f t="shared" si="33"/>
        <v>0</v>
      </c>
    </row>
    <row r="40" spans="1:32" s="80" customFormat="1" x14ac:dyDescent="0.2">
      <c r="A40" s="71">
        <v>37</v>
      </c>
      <c r="B40" s="72" t="s">
        <v>262</v>
      </c>
      <c r="C40" s="73" t="s">
        <v>263</v>
      </c>
      <c r="D40" s="74" t="s">
        <v>58</v>
      </c>
      <c r="E40" s="75" t="s">
        <v>58</v>
      </c>
      <c r="F40" s="76"/>
      <c r="G40" s="77"/>
      <c r="H40" s="78"/>
      <c r="I40" s="73" t="s">
        <v>264</v>
      </c>
      <c r="J40" s="74"/>
      <c r="K40" s="79"/>
      <c r="L40" s="77"/>
      <c r="M40" s="78"/>
      <c r="N40" s="73" t="s">
        <v>265</v>
      </c>
      <c r="O40" s="74"/>
      <c r="P40" s="79"/>
      <c r="Q40" s="77"/>
      <c r="S40" s="73" t="s">
        <v>266</v>
      </c>
      <c r="T40" s="74"/>
      <c r="U40" s="79"/>
      <c r="V40" s="77"/>
      <c r="X40" s="73" t="s">
        <v>267</v>
      </c>
      <c r="Y40" s="74"/>
      <c r="Z40" s="79"/>
      <c r="AA40" s="77"/>
      <c r="AC40" s="73" t="s">
        <v>268</v>
      </c>
      <c r="AD40" s="74"/>
      <c r="AE40" s="84"/>
      <c r="AF40" s="77"/>
    </row>
    <row r="41" spans="1:32" x14ac:dyDescent="0.2">
      <c r="A41" s="14">
        <v>38</v>
      </c>
      <c r="B41" s="27" t="s">
        <v>269</v>
      </c>
      <c r="C41" s="35" t="s">
        <v>270</v>
      </c>
      <c r="D41" s="33">
        <v>250</v>
      </c>
      <c r="E41" s="36" t="s">
        <v>271</v>
      </c>
      <c r="F41" s="44"/>
      <c r="G41" s="34">
        <f t="shared" si="0"/>
        <v>0</v>
      </c>
      <c r="H41" s="21"/>
      <c r="I41" s="32" t="s">
        <v>272</v>
      </c>
      <c r="J41" s="33">
        <v>250</v>
      </c>
      <c r="K41" s="43"/>
      <c r="L41" s="34">
        <f>IF(J41="",0,J41*K41)</f>
        <v>0</v>
      </c>
      <c r="M41" s="21"/>
      <c r="N41" s="32" t="s">
        <v>273</v>
      </c>
      <c r="O41" s="33">
        <v>250</v>
      </c>
      <c r="P41" s="43"/>
      <c r="Q41" s="34">
        <f t="shared" ref="Q41:Q43" si="34">IF(O41="",0,O41*P41)</f>
        <v>0</v>
      </c>
      <c r="S41" s="32" t="s">
        <v>274</v>
      </c>
      <c r="T41" s="33">
        <v>250</v>
      </c>
      <c r="U41" s="43"/>
      <c r="V41" s="34">
        <f t="shared" ref="V41:V43" si="35">IF(T41="",0,T41*U41)</f>
        <v>0</v>
      </c>
      <c r="X41" s="32" t="s">
        <v>275</v>
      </c>
      <c r="Y41" s="33">
        <v>250</v>
      </c>
      <c r="Z41" s="43"/>
      <c r="AA41" s="34">
        <f t="shared" ref="AA41:AA43" si="36">IF(Y41="",0,Y41*Z41)</f>
        <v>0</v>
      </c>
      <c r="AC41" s="32" t="s">
        <v>276</v>
      </c>
      <c r="AD41" s="33">
        <f t="shared" ref="AD41:AD43" si="37">Y41/2</f>
        <v>125</v>
      </c>
      <c r="AE41" s="83">
        <f t="shared" si="6"/>
        <v>0</v>
      </c>
      <c r="AF41" s="34">
        <f t="shared" ref="AF41:AF43" si="38">IF(AD41="",0,AD41*AE41)</f>
        <v>0</v>
      </c>
    </row>
    <row r="42" spans="1:32" x14ac:dyDescent="0.2">
      <c r="A42" s="14">
        <v>39</v>
      </c>
      <c r="B42" s="27" t="s">
        <v>277</v>
      </c>
      <c r="C42" s="35" t="s">
        <v>278</v>
      </c>
      <c r="D42" s="33">
        <v>100</v>
      </c>
      <c r="E42" s="36" t="s">
        <v>271</v>
      </c>
      <c r="F42" s="44"/>
      <c r="G42" s="34">
        <f t="shared" si="0"/>
        <v>0</v>
      </c>
      <c r="H42" s="21"/>
      <c r="I42" s="32" t="s">
        <v>279</v>
      </c>
      <c r="J42" s="33">
        <v>100</v>
      </c>
      <c r="K42" s="43"/>
      <c r="L42" s="34">
        <f>IF(J42="",0,J42*K42)</f>
        <v>0</v>
      </c>
      <c r="M42" s="21"/>
      <c r="N42" s="32" t="s">
        <v>280</v>
      </c>
      <c r="O42" s="33">
        <v>100</v>
      </c>
      <c r="P42" s="43"/>
      <c r="Q42" s="34">
        <f t="shared" si="34"/>
        <v>0</v>
      </c>
      <c r="S42" s="32" t="s">
        <v>281</v>
      </c>
      <c r="T42" s="33">
        <v>100</v>
      </c>
      <c r="U42" s="43"/>
      <c r="V42" s="34">
        <f t="shared" si="35"/>
        <v>0</v>
      </c>
      <c r="X42" s="32" t="s">
        <v>282</v>
      </c>
      <c r="Y42" s="33">
        <v>100</v>
      </c>
      <c r="Z42" s="43"/>
      <c r="AA42" s="34">
        <f t="shared" si="36"/>
        <v>0</v>
      </c>
      <c r="AC42" s="32" t="s">
        <v>283</v>
      </c>
      <c r="AD42" s="33">
        <f t="shared" si="37"/>
        <v>50</v>
      </c>
      <c r="AE42" s="83">
        <f t="shared" si="6"/>
        <v>0</v>
      </c>
      <c r="AF42" s="34">
        <f t="shared" si="38"/>
        <v>0</v>
      </c>
    </row>
    <row r="43" spans="1:32" ht="25.5" x14ac:dyDescent="0.2">
      <c r="A43" s="14">
        <v>40</v>
      </c>
      <c r="B43" s="27" t="s">
        <v>284</v>
      </c>
      <c r="C43" s="35" t="s">
        <v>285</v>
      </c>
      <c r="D43" s="33">
        <v>300</v>
      </c>
      <c r="E43" s="36" t="s">
        <v>286</v>
      </c>
      <c r="F43" s="44"/>
      <c r="G43" s="34">
        <f t="shared" si="0"/>
        <v>0</v>
      </c>
      <c r="H43" s="21"/>
      <c r="I43" s="32" t="s">
        <v>287</v>
      </c>
      <c r="J43" s="33">
        <v>300</v>
      </c>
      <c r="K43" s="43"/>
      <c r="L43" s="34">
        <f>IF(J43="",0,J43*K43)</f>
        <v>0</v>
      </c>
      <c r="M43" s="21"/>
      <c r="N43" s="32" t="s">
        <v>288</v>
      </c>
      <c r="O43" s="33">
        <v>300</v>
      </c>
      <c r="P43" s="43"/>
      <c r="Q43" s="34">
        <f t="shared" si="34"/>
        <v>0</v>
      </c>
      <c r="S43" s="32" t="s">
        <v>289</v>
      </c>
      <c r="T43" s="33">
        <v>300</v>
      </c>
      <c r="U43" s="43"/>
      <c r="V43" s="34">
        <f t="shared" si="35"/>
        <v>0</v>
      </c>
      <c r="X43" s="32" t="s">
        <v>290</v>
      </c>
      <c r="Y43" s="33">
        <v>300</v>
      </c>
      <c r="Z43" s="43"/>
      <c r="AA43" s="34">
        <f t="shared" si="36"/>
        <v>0</v>
      </c>
      <c r="AC43" s="32" t="s">
        <v>291</v>
      </c>
      <c r="AD43" s="33">
        <f t="shared" si="37"/>
        <v>150</v>
      </c>
      <c r="AE43" s="83">
        <f t="shared" si="6"/>
        <v>0</v>
      </c>
      <c r="AF43" s="34">
        <f t="shared" si="38"/>
        <v>0</v>
      </c>
    </row>
    <row r="44" spans="1:32" s="80" customFormat="1" ht="25.5" x14ac:dyDescent="0.2">
      <c r="A44" s="71">
        <v>41</v>
      </c>
      <c r="B44" s="72" t="s">
        <v>292</v>
      </c>
      <c r="C44" s="73" t="s">
        <v>293</v>
      </c>
      <c r="D44" s="74" t="s">
        <v>58</v>
      </c>
      <c r="E44" s="75" t="s">
        <v>58</v>
      </c>
      <c r="F44" s="76"/>
      <c r="G44" s="77"/>
      <c r="H44" s="78"/>
      <c r="I44" s="73" t="s">
        <v>294</v>
      </c>
      <c r="J44" s="74"/>
      <c r="K44" s="79"/>
      <c r="L44" s="77"/>
      <c r="M44" s="78"/>
      <c r="N44" s="73" t="s">
        <v>295</v>
      </c>
      <c r="O44" s="74"/>
      <c r="P44" s="79"/>
      <c r="Q44" s="77"/>
      <c r="S44" s="73" t="s">
        <v>296</v>
      </c>
      <c r="T44" s="74"/>
      <c r="U44" s="79"/>
      <c r="V44" s="77"/>
      <c r="X44" s="73" t="s">
        <v>297</v>
      </c>
      <c r="Y44" s="74"/>
      <c r="Z44" s="79"/>
      <c r="AA44" s="77"/>
      <c r="AC44" s="73" t="s">
        <v>298</v>
      </c>
      <c r="AD44" s="74"/>
      <c r="AE44" s="84"/>
      <c r="AF44" s="77"/>
    </row>
    <row r="45" spans="1:32" x14ac:dyDescent="0.2">
      <c r="A45" s="14">
        <v>42</v>
      </c>
      <c r="B45" s="27" t="s">
        <v>299</v>
      </c>
      <c r="C45" s="35" t="s">
        <v>300</v>
      </c>
      <c r="D45" s="33">
        <v>40</v>
      </c>
      <c r="E45" s="36" t="s">
        <v>271</v>
      </c>
      <c r="F45" s="44"/>
      <c r="G45" s="34">
        <f t="shared" si="0"/>
        <v>0</v>
      </c>
      <c r="H45" s="21"/>
      <c r="I45" s="32" t="s">
        <v>301</v>
      </c>
      <c r="J45" s="69">
        <v>40</v>
      </c>
      <c r="K45" s="43"/>
      <c r="L45" s="34">
        <f>IF(J45="",0,J45*K45)</f>
        <v>0</v>
      </c>
      <c r="M45" s="21"/>
      <c r="N45" s="32" t="s">
        <v>302</v>
      </c>
      <c r="O45" s="69">
        <v>40</v>
      </c>
      <c r="P45" s="43"/>
      <c r="Q45" s="34">
        <f t="shared" ref="Q45:Q47" si="39">IF(O45="",0,O45*P45)</f>
        <v>0</v>
      </c>
      <c r="S45" s="32" t="s">
        <v>303</v>
      </c>
      <c r="T45" s="69">
        <v>40</v>
      </c>
      <c r="U45" s="43"/>
      <c r="V45" s="34">
        <f t="shared" ref="V45:V47" si="40">IF(T45="",0,T45*U45)</f>
        <v>0</v>
      </c>
      <c r="X45" s="32" t="s">
        <v>304</v>
      </c>
      <c r="Y45" s="69">
        <v>40</v>
      </c>
      <c r="Z45" s="43"/>
      <c r="AA45" s="34">
        <f t="shared" ref="AA45:AA47" si="41">IF(Y45="",0,Y45*Z45)</f>
        <v>0</v>
      </c>
      <c r="AC45" s="32" t="s">
        <v>305</v>
      </c>
      <c r="AD45" s="69">
        <f t="shared" ref="AD45:AD47" si="42">Y45/2</f>
        <v>20</v>
      </c>
      <c r="AE45" s="83">
        <f t="shared" si="6"/>
        <v>0</v>
      </c>
      <c r="AF45" s="34">
        <f t="shared" ref="AF45:AF47" si="43">IF(AD45="",0,AD45*AE45)</f>
        <v>0</v>
      </c>
    </row>
    <row r="46" spans="1:32" x14ac:dyDescent="0.2">
      <c r="A46" s="14">
        <v>43</v>
      </c>
      <c r="B46" s="27" t="s">
        <v>306</v>
      </c>
      <c r="C46" s="35" t="s">
        <v>307</v>
      </c>
      <c r="D46" s="33">
        <v>40</v>
      </c>
      <c r="E46" s="36" t="s">
        <v>271</v>
      </c>
      <c r="F46" s="44"/>
      <c r="G46" s="34">
        <f t="shared" si="0"/>
        <v>0</v>
      </c>
      <c r="H46" s="21"/>
      <c r="I46" s="32" t="s">
        <v>308</v>
      </c>
      <c r="J46" s="33">
        <v>40</v>
      </c>
      <c r="K46" s="43"/>
      <c r="L46" s="34">
        <f>IF(J46="",0,J46*K46)</f>
        <v>0</v>
      </c>
      <c r="M46" s="21"/>
      <c r="N46" s="32" t="s">
        <v>309</v>
      </c>
      <c r="O46" s="33">
        <v>40</v>
      </c>
      <c r="P46" s="43"/>
      <c r="Q46" s="34">
        <f t="shared" si="39"/>
        <v>0</v>
      </c>
      <c r="S46" s="32" t="s">
        <v>310</v>
      </c>
      <c r="T46" s="33">
        <v>40</v>
      </c>
      <c r="U46" s="43"/>
      <c r="V46" s="34">
        <f t="shared" si="40"/>
        <v>0</v>
      </c>
      <c r="X46" s="32" t="s">
        <v>311</v>
      </c>
      <c r="Y46" s="33">
        <v>40</v>
      </c>
      <c r="Z46" s="43"/>
      <c r="AA46" s="34">
        <f t="shared" si="41"/>
        <v>0</v>
      </c>
      <c r="AC46" s="32" t="s">
        <v>312</v>
      </c>
      <c r="AD46" s="33">
        <f t="shared" si="42"/>
        <v>20</v>
      </c>
      <c r="AE46" s="83">
        <f t="shared" si="6"/>
        <v>0</v>
      </c>
      <c r="AF46" s="34">
        <f t="shared" si="43"/>
        <v>0</v>
      </c>
    </row>
    <row r="47" spans="1:32" x14ac:dyDescent="0.2">
      <c r="A47" s="14">
        <v>44</v>
      </c>
      <c r="B47" s="27" t="s">
        <v>313</v>
      </c>
      <c r="C47" s="35" t="s">
        <v>314</v>
      </c>
      <c r="D47" s="33">
        <v>100</v>
      </c>
      <c r="E47" s="36" t="s">
        <v>271</v>
      </c>
      <c r="F47" s="44"/>
      <c r="G47" s="34">
        <f t="shared" si="0"/>
        <v>0</v>
      </c>
      <c r="H47" s="21"/>
      <c r="I47" s="32" t="s">
        <v>315</v>
      </c>
      <c r="J47" s="33">
        <v>100</v>
      </c>
      <c r="K47" s="43"/>
      <c r="L47" s="34">
        <f>IF(J47="",0,J47*K47)</f>
        <v>0</v>
      </c>
      <c r="M47" s="21"/>
      <c r="N47" s="32" t="s">
        <v>316</v>
      </c>
      <c r="O47" s="33">
        <v>100</v>
      </c>
      <c r="P47" s="43"/>
      <c r="Q47" s="34">
        <f t="shared" si="39"/>
        <v>0</v>
      </c>
      <c r="S47" s="32" t="s">
        <v>317</v>
      </c>
      <c r="T47" s="33">
        <v>100</v>
      </c>
      <c r="U47" s="43"/>
      <c r="V47" s="34">
        <f t="shared" si="40"/>
        <v>0</v>
      </c>
      <c r="X47" s="32" t="s">
        <v>318</v>
      </c>
      <c r="Y47" s="33">
        <v>100</v>
      </c>
      <c r="Z47" s="43"/>
      <c r="AA47" s="34">
        <f t="shared" si="41"/>
        <v>0</v>
      </c>
      <c r="AC47" s="32" t="s">
        <v>319</v>
      </c>
      <c r="AD47" s="33">
        <f t="shared" si="42"/>
        <v>50</v>
      </c>
      <c r="AE47" s="83">
        <f t="shared" si="6"/>
        <v>0</v>
      </c>
      <c r="AF47" s="34">
        <f t="shared" si="43"/>
        <v>0</v>
      </c>
    </row>
    <row r="48" spans="1:32" s="80" customFormat="1" ht="25.5" x14ac:dyDescent="0.2">
      <c r="A48" s="71">
        <v>45</v>
      </c>
      <c r="B48" s="72" t="s">
        <v>320</v>
      </c>
      <c r="C48" s="73" t="s">
        <v>321</v>
      </c>
      <c r="D48" s="74" t="s">
        <v>58</v>
      </c>
      <c r="E48" s="75" t="s">
        <v>58</v>
      </c>
      <c r="F48" s="76"/>
      <c r="G48" s="77"/>
      <c r="H48" s="78"/>
      <c r="I48" s="73" t="s">
        <v>322</v>
      </c>
      <c r="J48" s="74"/>
      <c r="K48" s="79"/>
      <c r="L48" s="77"/>
      <c r="M48" s="78"/>
      <c r="N48" s="73" t="s">
        <v>323</v>
      </c>
      <c r="O48" s="74"/>
      <c r="P48" s="79"/>
      <c r="Q48" s="77"/>
      <c r="S48" s="73" t="s">
        <v>324</v>
      </c>
      <c r="T48" s="74"/>
      <c r="U48" s="79"/>
      <c r="V48" s="77"/>
      <c r="X48" s="73" t="s">
        <v>325</v>
      </c>
      <c r="Y48" s="74"/>
      <c r="Z48" s="79"/>
      <c r="AA48" s="77"/>
      <c r="AC48" s="73" t="s">
        <v>326</v>
      </c>
      <c r="AD48" s="74"/>
      <c r="AE48" s="84"/>
      <c r="AF48" s="77"/>
    </row>
    <row r="49" spans="1:32" x14ac:dyDescent="0.2">
      <c r="A49" s="14">
        <v>46</v>
      </c>
      <c r="B49" s="27" t="s">
        <v>327</v>
      </c>
      <c r="C49" s="35" t="s">
        <v>328</v>
      </c>
      <c r="D49" s="33">
        <v>10</v>
      </c>
      <c r="E49" s="36" t="s">
        <v>329</v>
      </c>
      <c r="F49" s="44"/>
      <c r="G49" s="34">
        <f t="shared" si="0"/>
        <v>0</v>
      </c>
      <c r="H49" s="21"/>
      <c r="I49" s="32" t="s">
        <v>330</v>
      </c>
      <c r="J49" s="33">
        <v>10</v>
      </c>
      <c r="K49" s="43"/>
      <c r="L49" s="34">
        <f>IF(J49="",0,J49*K49)</f>
        <v>0</v>
      </c>
      <c r="M49" s="21"/>
      <c r="N49" s="32" t="s">
        <v>331</v>
      </c>
      <c r="O49" s="33">
        <v>10</v>
      </c>
      <c r="P49" s="43"/>
      <c r="Q49" s="34">
        <f t="shared" ref="Q49:Q50" si="44">IF(O49="",0,O49*P49)</f>
        <v>0</v>
      </c>
      <c r="S49" s="32" t="s">
        <v>332</v>
      </c>
      <c r="T49" s="33">
        <v>10</v>
      </c>
      <c r="U49" s="43"/>
      <c r="V49" s="34">
        <f t="shared" ref="V49:V50" si="45">IF(T49="",0,T49*U49)</f>
        <v>0</v>
      </c>
      <c r="X49" s="32" t="s">
        <v>333</v>
      </c>
      <c r="Y49" s="33">
        <v>10</v>
      </c>
      <c r="Z49" s="43"/>
      <c r="AA49" s="34">
        <f t="shared" ref="AA49:AA50" si="46">IF(Y49="",0,Y49*Z49)</f>
        <v>0</v>
      </c>
      <c r="AC49" s="32" t="s">
        <v>334</v>
      </c>
      <c r="AD49" s="33">
        <f>Y49/2</f>
        <v>5</v>
      </c>
      <c r="AE49" s="83">
        <f t="shared" si="6"/>
        <v>0</v>
      </c>
      <c r="AF49" s="34">
        <f t="shared" ref="AF49:AF50" si="47">IF(AD49="",0,AD49*AE49)</f>
        <v>0</v>
      </c>
    </row>
    <row r="50" spans="1:32" ht="25.5" x14ac:dyDescent="0.2">
      <c r="A50" s="14">
        <v>47</v>
      </c>
      <c r="B50" s="27" t="s">
        <v>335</v>
      </c>
      <c r="C50" s="42" t="s">
        <v>336</v>
      </c>
      <c r="D50" s="33">
        <v>10</v>
      </c>
      <c r="E50" s="36" t="s">
        <v>329</v>
      </c>
      <c r="F50" s="44"/>
      <c r="G50" s="34">
        <f t="shared" si="0"/>
        <v>0</v>
      </c>
      <c r="H50" s="21"/>
      <c r="I50" s="32" t="s">
        <v>337</v>
      </c>
      <c r="J50" s="33">
        <v>10</v>
      </c>
      <c r="K50" s="43"/>
      <c r="L50" s="34">
        <f>IF(J50="",0,J50*K50)</f>
        <v>0</v>
      </c>
      <c r="M50" s="21"/>
      <c r="N50" s="32" t="s">
        <v>338</v>
      </c>
      <c r="O50" s="33">
        <v>10</v>
      </c>
      <c r="P50" s="43"/>
      <c r="Q50" s="34">
        <f t="shared" si="44"/>
        <v>0</v>
      </c>
      <c r="S50" s="32" t="s">
        <v>339</v>
      </c>
      <c r="T50" s="33">
        <v>10</v>
      </c>
      <c r="U50" s="43"/>
      <c r="V50" s="34">
        <f t="shared" si="45"/>
        <v>0</v>
      </c>
      <c r="X50" s="32" t="s">
        <v>340</v>
      </c>
      <c r="Y50" s="33">
        <v>10</v>
      </c>
      <c r="Z50" s="43"/>
      <c r="AA50" s="34">
        <f t="shared" si="46"/>
        <v>0</v>
      </c>
      <c r="AC50" s="32" t="s">
        <v>341</v>
      </c>
      <c r="AD50" s="33">
        <f>Y50/2</f>
        <v>5</v>
      </c>
      <c r="AE50" s="83">
        <f t="shared" si="6"/>
        <v>0</v>
      </c>
      <c r="AF50" s="34">
        <f t="shared" si="47"/>
        <v>0</v>
      </c>
    </row>
    <row r="51" spans="1:32" s="80" customFormat="1" x14ac:dyDescent="0.2">
      <c r="A51" s="71">
        <v>48</v>
      </c>
      <c r="B51" s="72" t="s">
        <v>342</v>
      </c>
      <c r="C51" s="73" t="s">
        <v>343</v>
      </c>
      <c r="D51" s="74" t="s">
        <v>58</v>
      </c>
      <c r="E51" s="75" t="s">
        <v>58</v>
      </c>
      <c r="F51" s="76"/>
      <c r="G51" s="77"/>
      <c r="H51" s="78"/>
      <c r="I51" s="73" t="s">
        <v>344</v>
      </c>
      <c r="J51" s="74"/>
      <c r="K51" s="79"/>
      <c r="L51" s="77"/>
      <c r="M51" s="78"/>
      <c r="N51" s="73" t="s">
        <v>345</v>
      </c>
      <c r="O51" s="74"/>
      <c r="P51" s="79"/>
      <c r="Q51" s="77"/>
      <c r="S51" s="73" t="s">
        <v>346</v>
      </c>
      <c r="T51" s="74"/>
      <c r="U51" s="79"/>
      <c r="V51" s="77"/>
      <c r="X51" s="73" t="s">
        <v>347</v>
      </c>
      <c r="Y51" s="74"/>
      <c r="Z51" s="79"/>
      <c r="AA51" s="77"/>
      <c r="AC51" s="73" t="s">
        <v>348</v>
      </c>
      <c r="AD51" s="74"/>
      <c r="AE51" s="84"/>
      <c r="AF51" s="77"/>
    </row>
    <row r="52" spans="1:32" x14ac:dyDescent="0.2">
      <c r="A52" s="14">
        <v>49</v>
      </c>
      <c r="B52" s="27" t="s">
        <v>349</v>
      </c>
      <c r="C52" s="35" t="s">
        <v>350</v>
      </c>
      <c r="D52" s="33">
        <v>10</v>
      </c>
      <c r="E52" s="36" t="s">
        <v>29</v>
      </c>
      <c r="F52" s="44"/>
      <c r="G52" s="34">
        <f t="shared" si="0"/>
        <v>0</v>
      </c>
      <c r="H52" s="21"/>
      <c r="I52" s="32" t="s">
        <v>351</v>
      </c>
      <c r="J52" s="33">
        <v>10</v>
      </c>
      <c r="K52" s="43"/>
      <c r="L52" s="34">
        <f>IF(J52="",0,J52*K52)</f>
        <v>0</v>
      </c>
      <c r="M52" s="21"/>
      <c r="N52" s="32" t="s">
        <v>352</v>
      </c>
      <c r="O52" s="33">
        <v>10</v>
      </c>
      <c r="P52" s="43"/>
      <c r="Q52" s="34">
        <f t="shared" ref="Q52:Q53" si="48">IF(O52="",0,O52*P52)</f>
        <v>0</v>
      </c>
      <c r="S52" s="32" t="s">
        <v>353</v>
      </c>
      <c r="T52" s="33">
        <v>10</v>
      </c>
      <c r="U52" s="43"/>
      <c r="V52" s="34">
        <f t="shared" ref="V52:V53" si="49">IF(T52="",0,T52*U52)</f>
        <v>0</v>
      </c>
      <c r="X52" s="32" t="s">
        <v>354</v>
      </c>
      <c r="Y52" s="33">
        <v>10</v>
      </c>
      <c r="Z52" s="43"/>
      <c r="AA52" s="34">
        <f t="shared" ref="AA52:AA53" si="50">IF(Y52="",0,Y52*Z52)</f>
        <v>0</v>
      </c>
      <c r="AC52" s="32" t="s">
        <v>355</v>
      </c>
      <c r="AD52" s="33">
        <f t="shared" ref="AD52:AD53" si="51">Y52/2</f>
        <v>5</v>
      </c>
      <c r="AE52" s="83">
        <f t="shared" si="6"/>
        <v>0</v>
      </c>
      <c r="AF52" s="34">
        <f t="shared" ref="AF52:AF53" si="52">IF(AD52="",0,AD52*AE52)</f>
        <v>0</v>
      </c>
    </row>
    <row r="53" spans="1:32" x14ac:dyDescent="0.2">
      <c r="A53" s="14">
        <v>50</v>
      </c>
      <c r="B53" s="27" t="s">
        <v>356</v>
      </c>
      <c r="C53" s="35" t="s">
        <v>357</v>
      </c>
      <c r="D53" s="33">
        <v>10</v>
      </c>
      <c r="E53" s="36" t="s">
        <v>29</v>
      </c>
      <c r="F53" s="44"/>
      <c r="G53" s="34">
        <f t="shared" si="0"/>
        <v>0</v>
      </c>
      <c r="H53" s="21"/>
      <c r="I53" s="32" t="s">
        <v>358</v>
      </c>
      <c r="J53" s="33">
        <v>10</v>
      </c>
      <c r="K53" s="43"/>
      <c r="L53" s="34">
        <f>IF(J53="",0,J53*K53)</f>
        <v>0</v>
      </c>
      <c r="M53" s="21"/>
      <c r="N53" s="32" t="s">
        <v>359</v>
      </c>
      <c r="O53" s="33">
        <v>10</v>
      </c>
      <c r="P53" s="43"/>
      <c r="Q53" s="34">
        <f t="shared" si="48"/>
        <v>0</v>
      </c>
      <c r="S53" s="32" t="s">
        <v>360</v>
      </c>
      <c r="T53" s="33">
        <v>10</v>
      </c>
      <c r="U53" s="43"/>
      <c r="V53" s="34">
        <f t="shared" si="49"/>
        <v>0</v>
      </c>
      <c r="X53" s="32" t="s">
        <v>361</v>
      </c>
      <c r="Y53" s="33">
        <v>10</v>
      </c>
      <c r="Z53" s="43"/>
      <c r="AA53" s="34">
        <f t="shared" si="50"/>
        <v>0</v>
      </c>
      <c r="AC53" s="32" t="s">
        <v>362</v>
      </c>
      <c r="AD53" s="33">
        <f t="shared" si="51"/>
        <v>5</v>
      </c>
      <c r="AE53" s="83">
        <f t="shared" si="6"/>
        <v>0</v>
      </c>
      <c r="AF53" s="34">
        <f t="shared" si="52"/>
        <v>0</v>
      </c>
    </row>
    <row r="54" spans="1:32" s="80" customFormat="1" x14ac:dyDescent="0.2">
      <c r="A54" s="71">
        <v>51</v>
      </c>
      <c r="B54" s="72" t="s">
        <v>363</v>
      </c>
      <c r="C54" s="81"/>
      <c r="D54" s="74" t="s">
        <v>58</v>
      </c>
      <c r="E54" s="75" t="s">
        <v>58</v>
      </c>
      <c r="F54" s="76"/>
      <c r="G54" s="77"/>
      <c r="H54" s="78"/>
      <c r="I54" s="73"/>
      <c r="J54" s="74"/>
      <c r="K54" s="79"/>
      <c r="L54" s="77"/>
      <c r="M54" s="78"/>
      <c r="N54" s="73"/>
      <c r="O54" s="74"/>
      <c r="P54" s="79"/>
      <c r="Q54" s="77"/>
      <c r="S54" s="73"/>
      <c r="T54" s="74"/>
      <c r="U54" s="79"/>
      <c r="V54" s="77"/>
      <c r="X54" s="73"/>
      <c r="Y54" s="74"/>
      <c r="Z54" s="79"/>
      <c r="AA54" s="77"/>
      <c r="AC54" s="73"/>
      <c r="AD54" s="74"/>
      <c r="AE54" s="84"/>
      <c r="AF54" s="77"/>
    </row>
    <row r="55" spans="1:32" s="80" customFormat="1" x14ac:dyDescent="0.2">
      <c r="A55" s="71">
        <v>52</v>
      </c>
      <c r="B55" s="72" t="s">
        <v>364</v>
      </c>
      <c r="C55" s="73" t="s">
        <v>365</v>
      </c>
      <c r="D55" s="74" t="s">
        <v>58</v>
      </c>
      <c r="E55" s="75" t="s">
        <v>58</v>
      </c>
      <c r="F55" s="76"/>
      <c r="G55" s="77"/>
      <c r="H55" s="78"/>
      <c r="I55" s="73" t="s">
        <v>366</v>
      </c>
      <c r="J55" s="74"/>
      <c r="K55" s="79"/>
      <c r="L55" s="77"/>
      <c r="M55" s="78"/>
      <c r="N55" s="73" t="s">
        <v>367</v>
      </c>
      <c r="O55" s="74"/>
      <c r="P55" s="79"/>
      <c r="Q55" s="77"/>
      <c r="S55" s="73" t="s">
        <v>368</v>
      </c>
      <c r="T55" s="74"/>
      <c r="U55" s="79"/>
      <c r="V55" s="77"/>
      <c r="X55" s="73" t="s">
        <v>369</v>
      </c>
      <c r="Y55" s="74"/>
      <c r="Z55" s="79"/>
      <c r="AA55" s="77"/>
      <c r="AC55" s="73" t="s">
        <v>370</v>
      </c>
      <c r="AD55" s="74"/>
      <c r="AE55" s="84"/>
      <c r="AF55" s="77"/>
    </row>
    <row r="56" spans="1:32" x14ac:dyDescent="0.2">
      <c r="A56" s="14">
        <v>53</v>
      </c>
      <c r="B56" s="27" t="s">
        <v>371</v>
      </c>
      <c r="C56" s="35" t="s">
        <v>372</v>
      </c>
      <c r="D56" s="33">
        <v>300</v>
      </c>
      <c r="E56" s="36" t="s">
        <v>29</v>
      </c>
      <c r="F56" s="44"/>
      <c r="G56" s="34">
        <f t="shared" si="0"/>
        <v>0</v>
      </c>
      <c r="H56" s="21"/>
      <c r="I56" s="32" t="s">
        <v>373</v>
      </c>
      <c r="J56" s="33">
        <v>300</v>
      </c>
      <c r="K56" s="43"/>
      <c r="L56" s="34">
        <f>IF(J56="",0,J56*K56)</f>
        <v>0</v>
      </c>
      <c r="M56" s="21"/>
      <c r="N56" s="32" t="s">
        <v>374</v>
      </c>
      <c r="O56" s="33">
        <v>300</v>
      </c>
      <c r="P56" s="43"/>
      <c r="Q56" s="34">
        <f t="shared" ref="Q56:Q59" si="53">IF(O56="",0,O56*P56)</f>
        <v>0</v>
      </c>
      <c r="S56" s="32" t="s">
        <v>375</v>
      </c>
      <c r="T56" s="33">
        <v>300</v>
      </c>
      <c r="U56" s="43"/>
      <c r="V56" s="34">
        <f t="shared" ref="V56:V59" si="54">IF(T56="",0,T56*U56)</f>
        <v>0</v>
      </c>
      <c r="X56" s="32" t="s">
        <v>376</v>
      </c>
      <c r="Y56" s="33">
        <v>300</v>
      </c>
      <c r="Z56" s="43"/>
      <c r="AA56" s="34">
        <f t="shared" ref="AA56:AA59" si="55">IF(Y56="",0,Y56*Z56)</f>
        <v>0</v>
      </c>
      <c r="AC56" s="32" t="s">
        <v>377</v>
      </c>
      <c r="AD56" s="33">
        <f t="shared" ref="AD56:AD59" si="56">Y56/2</f>
        <v>150</v>
      </c>
      <c r="AE56" s="83">
        <f t="shared" si="6"/>
        <v>0</v>
      </c>
      <c r="AF56" s="34">
        <f t="shared" ref="AF56:AF59" si="57">IF(AD56="",0,AD56*AE56)</f>
        <v>0</v>
      </c>
    </row>
    <row r="57" spans="1:32" x14ac:dyDescent="0.2">
      <c r="A57" s="14">
        <v>54</v>
      </c>
      <c r="B57" s="27" t="s">
        <v>378</v>
      </c>
      <c r="C57" s="35" t="s">
        <v>379</v>
      </c>
      <c r="D57" s="33">
        <v>150</v>
      </c>
      <c r="E57" s="36" t="s">
        <v>29</v>
      </c>
      <c r="F57" s="44"/>
      <c r="G57" s="34">
        <f t="shared" si="0"/>
        <v>0</v>
      </c>
      <c r="H57" s="21"/>
      <c r="I57" s="32" t="s">
        <v>380</v>
      </c>
      <c r="J57" s="33">
        <v>150</v>
      </c>
      <c r="K57" s="43"/>
      <c r="L57" s="34">
        <f>IF(J57="",0,J57*K57)</f>
        <v>0</v>
      </c>
      <c r="M57" s="21"/>
      <c r="N57" s="32" t="s">
        <v>381</v>
      </c>
      <c r="O57" s="33">
        <v>150</v>
      </c>
      <c r="P57" s="43"/>
      <c r="Q57" s="34">
        <f t="shared" si="53"/>
        <v>0</v>
      </c>
      <c r="S57" s="32" t="s">
        <v>382</v>
      </c>
      <c r="T57" s="33">
        <v>150</v>
      </c>
      <c r="U57" s="43"/>
      <c r="V57" s="34">
        <f t="shared" si="54"/>
        <v>0</v>
      </c>
      <c r="X57" s="32" t="s">
        <v>383</v>
      </c>
      <c r="Y57" s="33">
        <v>150</v>
      </c>
      <c r="Z57" s="43"/>
      <c r="AA57" s="34">
        <f t="shared" si="55"/>
        <v>0</v>
      </c>
      <c r="AC57" s="32" t="s">
        <v>384</v>
      </c>
      <c r="AD57" s="33">
        <f t="shared" si="56"/>
        <v>75</v>
      </c>
      <c r="AE57" s="83">
        <f t="shared" si="6"/>
        <v>0</v>
      </c>
      <c r="AF57" s="34">
        <f t="shared" si="57"/>
        <v>0</v>
      </c>
    </row>
    <row r="58" spans="1:32" x14ac:dyDescent="0.2">
      <c r="A58" s="14">
        <v>55</v>
      </c>
      <c r="B58" s="27" t="s">
        <v>385</v>
      </c>
      <c r="C58" s="35" t="s">
        <v>386</v>
      </c>
      <c r="D58" s="33">
        <v>50</v>
      </c>
      <c r="E58" s="36" t="s">
        <v>29</v>
      </c>
      <c r="F58" s="44"/>
      <c r="G58" s="34">
        <f t="shared" si="0"/>
        <v>0</v>
      </c>
      <c r="H58" s="21"/>
      <c r="I58" s="32" t="s">
        <v>387</v>
      </c>
      <c r="J58" s="33">
        <v>50</v>
      </c>
      <c r="K58" s="43"/>
      <c r="L58" s="34">
        <f>IF(J58="",0,J58*K58)</f>
        <v>0</v>
      </c>
      <c r="M58" s="21"/>
      <c r="N58" s="32" t="s">
        <v>388</v>
      </c>
      <c r="O58" s="33">
        <v>50</v>
      </c>
      <c r="P58" s="43"/>
      <c r="Q58" s="34">
        <f t="shared" si="53"/>
        <v>0</v>
      </c>
      <c r="S58" s="32" t="s">
        <v>389</v>
      </c>
      <c r="T58" s="33">
        <v>50</v>
      </c>
      <c r="U58" s="43"/>
      <c r="V58" s="34">
        <f t="shared" si="54"/>
        <v>0</v>
      </c>
      <c r="X58" s="32" t="s">
        <v>390</v>
      </c>
      <c r="Y58" s="33">
        <v>50</v>
      </c>
      <c r="Z58" s="43"/>
      <c r="AA58" s="34">
        <f t="shared" si="55"/>
        <v>0</v>
      </c>
      <c r="AC58" s="32" t="s">
        <v>391</v>
      </c>
      <c r="AD58" s="33">
        <f t="shared" si="56"/>
        <v>25</v>
      </c>
      <c r="AE58" s="83">
        <f t="shared" si="6"/>
        <v>0</v>
      </c>
      <c r="AF58" s="34">
        <f t="shared" si="57"/>
        <v>0</v>
      </c>
    </row>
    <row r="59" spans="1:32" x14ac:dyDescent="0.2">
      <c r="A59" s="14">
        <v>56</v>
      </c>
      <c r="B59" s="27" t="s">
        <v>392</v>
      </c>
      <c r="C59" s="35" t="s">
        <v>393</v>
      </c>
      <c r="D59" s="33">
        <v>25</v>
      </c>
      <c r="E59" s="36" t="s">
        <v>29</v>
      </c>
      <c r="F59" s="44"/>
      <c r="G59" s="34">
        <f t="shared" si="0"/>
        <v>0</v>
      </c>
      <c r="H59" s="21"/>
      <c r="I59" s="32" t="s">
        <v>394</v>
      </c>
      <c r="J59" s="33">
        <v>25</v>
      </c>
      <c r="K59" s="43"/>
      <c r="L59" s="34">
        <f>IF(J59="",0,J59*K59)</f>
        <v>0</v>
      </c>
      <c r="M59" s="21"/>
      <c r="N59" s="32" t="s">
        <v>395</v>
      </c>
      <c r="O59" s="33">
        <v>25</v>
      </c>
      <c r="P59" s="43"/>
      <c r="Q59" s="34">
        <f t="shared" si="53"/>
        <v>0</v>
      </c>
      <c r="S59" s="32" t="s">
        <v>396</v>
      </c>
      <c r="T59" s="33">
        <v>25</v>
      </c>
      <c r="U59" s="43"/>
      <c r="V59" s="34">
        <f t="shared" si="54"/>
        <v>0</v>
      </c>
      <c r="X59" s="32" t="s">
        <v>397</v>
      </c>
      <c r="Y59" s="33">
        <v>25</v>
      </c>
      <c r="Z59" s="43"/>
      <c r="AA59" s="34">
        <f t="shared" si="55"/>
        <v>0</v>
      </c>
      <c r="AC59" s="32" t="s">
        <v>398</v>
      </c>
      <c r="AD59" s="33">
        <f t="shared" si="56"/>
        <v>12.5</v>
      </c>
      <c r="AE59" s="83">
        <f t="shared" si="6"/>
        <v>0</v>
      </c>
      <c r="AF59" s="34">
        <f t="shared" si="57"/>
        <v>0</v>
      </c>
    </row>
    <row r="60" spans="1:32" s="80" customFormat="1" ht="25.5" x14ac:dyDescent="0.2">
      <c r="A60" s="71">
        <v>57</v>
      </c>
      <c r="B60" s="72" t="s">
        <v>399</v>
      </c>
      <c r="C60" s="73" t="s">
        <v>400</v>
      </c>
      <c r="D60" s="74" t="s">
        <v>58</v>
      </c>
      <c r="E60" s="75" t="s">
        <v>58</v>
      </c>
      <c r="F60" s="76"/>
      <c r="G60" s="77"/>
      <c r="H60" s="78"/>
      <c r="I60" s="73" t="s">
        <v>401</v>
      </c>
      <c r="J60" s="74"/>
      <c r="K60" s="79"/>
      <c r="L60" s="77"/>
      <c r="M60" s="78"/>
      <c r="N60" s="73" t="s">
        <v>402</v>
      </c>
      <c r="O60" s="74"/>
      <c r="P60" s="79"/>
      <c r="Q60" s="77"/>
      <c r="S60" s="73" t="s">
        <v>403</v>
      </c>
      <c r="T60" s="74"/>
      <c r="U60" s="79"/>
      <c r="V60" s="77"/>
      <c r="X60" s="73" t="s">
        <v>404</v>
      </c>
      <c r="Y60" s="74"/>
      <c r="Z60" s="79"/>
      <c r="AA60" s="77"/>
      <c r="AC60" s="73" t="s">
        <v>405</v>
      </c>
      <c r="AD60" s="74"/>
      <c r="AE60" s="84"/>
      <c r="AF60" s="77"/>
    </row>
    <row r="61" spans="1:32" x14ac:dyDescent="0.2">
      <c r="A61" s="14">
        <v>58</v>
      </c>
      <c r="B61" s="27" t="s">
        <v>406</v>
      </c>
      <c r="C61" s="35" t="s">
        <v>372</v>
      </c>
      <c r="D61" s="33">
        <v>800</v>
      </c>
      <c r="E61" s="36" t="s">
        <v>29</v>
      </c>
      <c r="F61" s="44"/>
      <c r="G61" s="34">
        <f t="shared" si="0"/>
        <v>0</v>
      </c>
      <c r="H61" s="21"/>
      <c r="I61" s="32" t="s">
        <v>407</v>
      </c>
      <c r="J61" s="33">
        <v>800</v>
      </c>
      <c r="K61" s="43"/>
      <c r="L61" s="34">
        <f t="shared" ref="L61:L68" si="58">IF(J61="",0,J61*K61)</f>
        <v>0</v>
      </c>
      <c r="M61" s="21"/>
      <c r="N61" s="32" t="s">
        <v>408</v>
      </c>
      <c r="O61" s="33">
        <v>800</v>
      </c>
      <c r="P61" s="43"/>
      <c r="Q61" s="34">
        <f t="shared" ref="Q61:Q68" si="59">IF(O61="",0,O61*P61)</f>
        <v>0</v>
      </c>
      <c r="S61" s="32" t="s">
        <v>409</v>
      </c>
      <c r="T61" s="33">
        <v>800</v>
      </c>
      <c r="U61" s="43"/>
      <c r="V61" s="34">
        <f t="shared" ref="V61:V68" si="60">IF(T61="",0,T61*U61)</f>
        <v>0</v>
      </c>
      <c r="X61" s="32" t="s">
        <v>410</v>
      </c>
      <c r="Y61" s="33">
        <v>800</v>
      </c>
      <c r="Z61" s="43"/>
      <c r="AA61" s="34">
        <f t="shared" ref="AA61:AA68" si="61">IF(Y61="",0,Y61*Z61)</f>
        <v>0</v>
      </c>
      <c r="AC61" s="32" t="s">
        <v>411</v>
      </c>
      <c r="AD61" s="33">
        <f t="shared" ref="AD61:AD68" si="62">Y61/2</f>
        <v>400</v>
      </c>
      <c r="AE61" s="83">
        <f t="shared" si="6"/>
        <v>0</v>
      </c>
      <c r="AF61" s="34">
        <f t="shared" ref="AF61:AF68" si="63">IF(AD61="",0,AD61*AE61)</f>
        <v>0</v>
      </c>
    </row>
    <row r="62" spans="1:32" x14ac:dyDescent="0.2">
      <c r="A62" s="14">
        <v>59</v>
      </c>
      <c r="B62" s="27" t="s">
        <v>412</v>
      </c>
      <c r="C62" s="35" t="s">
        <v>379</v>
      </c>
      <c r="D62" s="33">
        <v>200</v>
      </c>
      <c r="E62" s="36" t="s">
        <v>29</v>
      </c>
      <c r="F62" s="44"/>
      <c r="G62" s="34">
        <f t="shared" si="0"/>
        <v>0</v>
      </c>
      <c r="H62" s="21"/>
      <c r="I62" s="32" t="s">
        <v>413</v>
      </c>
      <c r="J62" s="33">
        <v>200</v>
      </c>
      <c r="K62" s="43"/>
      <c r="L62" s="34">
        <f t="shared" si="58"/>
        <v>0</v>
      </c>
      <c r="M62" s="21"/>
      <c r="N62" s="32" t="s">
        <v>414</v>
      </c>
      <c r="O62" s="33">
        <v>200</v>
      </c>
      <c r="P62" s="43"/>
      <c r="Q62" s="34">
        <f t="shared" si="59"/>
        <v>0</v>
      </c>
      <c r="S62" s="32" t="s">
        <v>415</v>
      </c>
      <c r="T62" s="33">
        <v>200</v>
      </c>
      <c r="U62" s="43"/>
      <c r="V62" s="34">
        <f t="shared" si="60"/>
        <v>0</v>
      </c>
      <c r="X62" s="32" t="s">
        <v>416</v>
      </c>
      <c r="Y62" s="33">
        <v>200</v>
      </c>
      <c r="Z62" s="43"/>
      <c r="AA62" s="34">
        <f t="shared" si="61"/>
        <v>0</v>
      </c>
      <c r="AC62" s="32" t="s">
        <v>417</v>
      </c>
      <c r="AD62" s="33">
        <f t="shared" si="62"/>
        <v>100</v>
      </c>
      <c r="AE62" s="83">
        <f t="shared" si="6"/>
        <v>0</v>
      </c>
      <c r="AF62" s="34">
        <f t="shared" si="63"/>
        <v>0</v>
      </c>
    </row>
    <row r="63" spans="1:32" x14ac:dyDescent="0.2">
      <c r="A63" s="14">
        <v>60</v>
      </c>
      <c r="B63" s="27" t="s">
        <v>418</v>
      </c>
      <c r="C63" s="35" t="s">
        <v>386</v>
      </c>
      <c r="D63" s="33">
        <v>100</v>
      </c>
      <c r="E63" s="36" t="s">
        <v>29</v>
      </c>
      <c r="F63" s="44"/>
      <c r="G63" s="34">
        <f t="shared" si="0"/>
        <v>0</v>
      </c>
      <c r="H63" s="21"/>
      <c r="I63" s="32" t="s">
        <v>419</v>
      </c>
      <c r="J63" s="33">
        <v>100</v>
      </c>
      <c r="K63" s="43"/>
      <c r="L63" s="34">
        <f t="shared" si="58"/>
        <v>0</v>
      </c>
      <c r="M63" s="21"/>
      <c r="N63" s="32" t="s">
        <v>420</v>
      </c>
      <c r="O63" s="33">
        <v>100</v>
      </c>
      <c r="P63" s="43"/>
      <c r="Q63" s="34">
        <f t="shared" si="59"/>
        <v>0</v>
      </c>
      <c r="S63" s="32" t="s">
        <v>421</v>
      </c>
      <c r="T63" s="33">
        <v>100</v>
      </c>
      <c r="U63" s="43"/>
      <c r="V63" s="34">
        <f t="shared" si="60"/>
        <v>0</v>
      </c>
      <c r="X63" s="32" t="s">
        <v>422</v>
      </c>
      <c r="Y63" s="33">
        <v>100</v>
      </c>
      <c r="Z63" s="43"/>
      <c r="AA63" s="34">
        <f t="shared" si="61"/>
        <v>0</v>
      </c>
      <c r="AC63" s="32" t="s">
        <v>423</v>
      </c>
      <c r="AD63" s="33">
        <f t="shared" si="62"/>
        <v>50</v>
      </c>
      <c r="AE63" s="83">
        <f t="shared" si="6"/>
        <v>0</v>
      </c>
      <c r="AF63" s="34">
        <f t="shared" si="63"/>
        <v>0</v>
      </c>
    </row>
    <row r="64" spans="1:32" x14ac:dyDescent="0.2">
      <c r="A64" s="14">
        <v>61</v>
      </c>
      <c r="B64" s="27" t="s">
        <v>424</v>
      </c>
      <c r="C64" s="35" t="s">
        <v>393</v>
      </c>
      <c r="D64" s="33">
        <v>25</v>
      </c>
      <c r="E64" s="36" t="s">
        <v>29</v>
      </c>
      <c r="F64" s="44"/>
      <c r="G64" s="34">
        <f t="shared" si="0"/>
        <v>0</v>
      </c>
      <c r="H64" s="21"/>
      <c r="I64" s="32" t="s">
        <v>425</v>
      </c>
      <c r="J64" s="33">
        <v>25</v>
      </c>
      <c r="K64" s="43"/>
      <c r="L64" s="34">
        <f t="shared" si="58"/>
        <v>0</v>
      </c>
      <c r="M64" s="21"/>
      <c r="N64" s="32" t="s">
        <v>426</v>
      </c>
      <c r="O64" s="33">
        <v>25</v>
      </c>
      <c r="P64" s="43"/>
      <c r="Q64" s="34">
        <f t="shared" si="59"/>
        <v>0</v>
      </c>
      <c r="S64" s="32" t="s">
        <v>427</v>
      </c>
      <c r="T64" s="33">
        <v>25</v>
      </c>
      <c r="U64" s="43"/>
      <c r="V64" s="34">
        <f t="shared" si="60"/>
        <v>0</v>
      </c>
      <c r="X64" s="32" t="s">
        <v>428</v>
      </c>
      <c r="Y64" s="33">
        <v>25</v>
      </c>
      <c r="Z64" s="43"/>
      <c r="AA64" s="34">
        <f t="shared" si="61"/>
        <v>0</v>
      </c>
      <c r="AC64" s="32" t="s">
        <v>429</v>
      </c>
      <c r="AD64" s="33">
        <f t="shared" si="62"/>
        <v>12.5</v>
      </c>
      <c r="AE64" s="83">
        <f t="shared" si="6"/>
        <v>0</v>
      </c>
      <c r="AF64" s="34">
        <f t="shared" si="63"/>
        <v>0</v>
      </c>
    </row>
    <row r="65" spans="1:32" ht="25.5" x14ac:dyDescent="0.2">
      <c r="A65" s="14">
        <v>62</v>
      </c>
      <c r="B65" s="37" t="s">
        <v>430</v>
      </c>
      <c r="C65" s="22" t="s">
        <v>431</v>
      </c>
      <c r="D65" s="33">
        <v>50</v>
      </c>
      <c r="E65" s="36" t="s">
        <v>29</v>
      </c>
      <c r="F65" s="44"/>
      <c r="G65" s="34">
        <f t="shared" si="0"/>
        <v>0</v>
      </c>
      <c r="H65" s="21"/>
      <c r="I65" s="38" t="s">
        <v>432</v>
      </c>
      <c r="J65" s="33">
        <v>50</v>
      </c>
      <c r="K65" s="43"/>
      <c r="L65" s="34">
        <f t="shared" si="58"/>
        <v>0</v>
      </c>
      <c r="M65" s="21"/>
      <c r="N65" s="38" t="s">
        <v>433</v>
      </c>
      <c r="O65" s="33">
        <v>50</v>
      </c>
      <c r="P65" s="43"/>
      <c r="Q65" s="34">
        <f t="shared" si="59"/>
        <v>0</v>
      </c>
      <c r="S65" s="38" t="s">
        <v>434</v>
      </c>
      <c r="T65" s="33">
        <v>50</v>
      </c>
      <c r="U65" s="43"/>
      <c r="V65" s="34">
        <f t="shared" si="60"/>
        <v>0</v>
      </c>
      <c r="X65" s="38" t="s">
        <v>435</v>
      </c>
      <c r="Y65" s="33">
        <v>50</v>
      </c>
      <c r="Z65" s="43"/>
      <c r="AA65" s="34">
        <f t="shared" si="61"/>
        <v>0</v>
      </c>
      <c r="AC65" s="38" t="s">
        <v>436</v>
      </c>
      <c r="AD65" s="33">
        <f t="shared" si="62"/>
        <v>25</v>
      </c>
      <c r="AE65" s="83">
        <f t="shared" si="6"/>
        <v>0</v>
      </c>
      <c r="AF65" s="34">
        <f t="shared" si="63"/>
        <v>0</v>
      </c>
    </row>
    <row r="66" spans="1:32" x14ac:dyDescent="0.2">
      <c r="A66" s="14">
        <v>63</v>
      </c>
      <c r="B66" s="37" t="s">
        <v>437</v>
      </c>
      <c r="C66" s="22" t="s">
        <v>438</v>
      </c>
      <c r="D66" s="33">
        <v>3000</v>
      </c>
      <c r="E66" s="36" t="s">
        <v>29</v>
      </c>
      <c r="F66" s="44"/>
      <c r="G66" s="34">
        <f t="shared" si="0"/>
        <v>0</v>
      </c>
      <c r="H66" s="21"/>
      <c r="I66" s="38" t="s">
        <v>439</v>
      </c>
      <c r="J66" s="33">
        <v>3000</v>
      </c>
      <c r="K66" s="43"/>
      <c r="L66" s="34">
        <f t="shared" si="58"/>
        <v>0</v>
      </c>
      <c r="M66" s="21"/>
      <c r="N66" s="38" t="s">
        <v>440</v>
      </c>
      <c r="O66" s="33">
        <v>3000</v>
      </c>
      <c r="P66" s="43"/>
      <c r="Q66" s="34">
        <f t="shared" si="59"/>
        <v>0</v>
      </c>
      <c r="S66" s="38" t="s">
        <v>441</v>
      </c>
      <c r="T66" s="33">
        <v>3000</v>
      </c>
      <c r="U66" s="43"/>
      <c r="V66" s="34">
        <f t="shared" si="60"/>
        <v>0</v>
      </c>
      <c r="X66" s="38" t="s">
        <v>442</v>
      </c>
      <c r="Y66" s="33">
        <v>3000</v>
      </c>
      <c r="Z66" s="43"/>
      <c r="AA66" s="34">
        <f t="shared" si="61"/>
        <v>0</v>
      </c>
      <c r="AC66" s="38" t="s">
        <v>443</v>
      </c>
      <c r="AD66" s="33">
        <f t="shared" si="62"/>
        <v>1500</v>
      </c>
      <c r="AE66" s="83">
        <f t="shared" si="6"/>
        <v>0</v>
      </c>
      <c r="AF66" s="34">
        <f t="shared" si="63"/>
        <v>0</v>
      </c>
    </row>
    <row r="67" spans="1:32" x14ac:dyDescent="0.2">
      <c r="A67" s="14">
        <v>64</v>
      </c>
      <c r="B67" s="37" t="s">
        <v>444</v>
      </c>
      <c r="C67" s="22" t="s">
        <v>445</v>
      </c>
      <c r="D67" s="33">
        <v>10</v>
      </c>
      <c r="E67" s="36" t="s">
        <v>29</v>
      </c>
      <c r="F67" s="44"/>
      <c r="G67" s="34">
        <f t="shared" si="0"/>
        <v>0</v>
      </c>
      <c r="H67" s="21"/>
      <c r="I67" s="38" t="s">
        <v>446</v>
      </c>
      <c r="J67" s="33">
        <v>10</v>
      </c>
      <c r="K67" s="43"/>
      <c r="L67" s="34">
        <f t="shared" si="58"/>
        <v>0</v>
      </c>
      <c r="M67" s="21"/>
      <c r="N67" s="38" t="s">
        <v>447</v>
      </c>
      <c r="O67" s="33">
        <v>10</v>
      </c>
      <c r="P67" s="43"/>
      <c r="Q67" s="34">
        <f t="shared" si="59"/>
        <v>0</v>
      </c>
      <c r="S67" s="38" t="s">
        <v>448</v>
      </c>
      <c r="T67" s="33">
        <v>10</v>
      </c>
      <c r="U67" s="43"/>
      <c r="V67" s="34">
        <f t="shared" si="60"/>
        <v>0</v>
      </c>
      <c r="X67" s="38" t="s">
        <v>449</v>
      </c>
      <c r="Y67" s="33">
        <v>10</v>
      </c>
      <c r="Z67" s="43"/>
      <c r="AA67" s="34">
        <f t="shared" si="61"/>
        <v>0</v>
      </c>
      <c r="AC67" s="38" t="s">
        <v>450</v>
      </c>
      <c r="AD67" s="33">
        <f t="shared" si="62"/>
        <v>5</v>
      </c>
      <c r="AE67" s="83">
        <f t="shared" si="6"/>
        <v>0</v>
      </c>
      <c r="AF67" s="34">
        <f t="shared" si="63"/>
        <v>0</v>
      </c>
    </row>
    <row r="68" spans="1:32" x14ac:dyDescent="0.2">
      <c r="A68" s="14">
        <v>65</v>
      </c>
      <c r="B68" s="37" t="s">
        <v>451</v>
      </c>
      <c r="C68" s="22" t="s">
        <v>452</v>
      </c>
      <c r="D68" s="33">
        <v>50</v>
      </c>
      <c r="E68" s="36" t="s">
        <v>29</v>
      </c>
      <c r="F68" s="44"/>
      <c r="G68" s="34">
        <f t="shared" si="0"/>
        <v>0</v>
      </c>
      <c r="H68" s="21"/>
      <c r="I68" s="38" t="s">
        <v>453</v>
      </c>
      <c r="J68" s="33">
        <v>50</v>
      </c>
      <c r="K68" s="43"/>
      <c r="L68" s="34">
        <f t="shared" si="58"/>
        <v>0</v>
      </c>
      <c r="M68" s="21"/>
      <c r="N68" s="38" t="s">
        <v>454</v>
      </c>
      <c r="O68" s="33">
        <v>50</v>
      </c>
      <c r="P68" s="43"/>
      <c r="Q68" s="34">
        <f t="shared" si="59"/>
        <v>0</v>
      </c>
      <c r="S68" s="38" t="s">
        <v>455</v>
      </c>
      <c r="T68" s="33">
        <v>50</v>
      </c>
      <c r="U68" s="43"/>
      <c r="V68" s="34">
        <f t="shared" si="60"/>
        <v>0</v>
      </c>
      <c r="X68" s="38" t="s">
        <v>456</v>
      </c>
      <c r="Y68" s="33">
        <v>50</v>
      </c>
      <c r="Z68" s="43"/>
      <c r="AA68" s="34">
        <f t="shared" si="61"/>
        <v>0</v>
      </c>
      <c r="AC68" s="38" t="s">
        <v>457</v>
      </c>
      <c r="AD68" s="33">
        <f t="shared" si="62"/>
        <v>25</v>
      </c>
      <c r="AE68" s="83">
        <f t="shared" si="6"/>
        <v>0</v>
      </c>
      <c r="AF68" s="34">
        <f t="shared" si="63"/>
        <v>0</v>
      </c>
    </row>
    <row r="69" spans="1:32" s="80" customFormat="1" x14ac:dyDescent="0.2">
      <c r="A69" s="71">
        <v>66</v>
      </c>
      <c r="B69" s="72" t="s">
        <v>458</v>
      </c>
      <c r="C69" s="73" t="s">
        <v>459</v>
      </c>
      <c r="D69" s="74" t="s">
        <v>58</v>
      </c>
      <c r="E69" s="75" t="s">
        <v>58</v>
      </c>
      <c r="F69" s="76"/>
      <c r="G69" s="77"/>
      <c r="H69" s="78"/>
      <c r="I69" s="73" t="s">
        <v>460</v>
      </c>
      <c r="J69" s="74" t="s">
        <v>58</v>
      </c>
      <c r="K69" s="79"/>
      <c r="L69" s="77"/>
      <c r="M69" s="78"/>
      <c r="N69" s="73" t="s">
        <v>461</v>
      </c>
      <c r="O69" s="74" t="s">
        <v>58</v>
      </c>
      <c r="P69" s="79"/>
      <c r="Q69" s="77"/>
      <c r="S69" s="73" t="s">
        <v>462</v>
      </c>
      <c r="T69" s="74" t="s">
        <v>58</v>
      </c>
      <c r="U69" s="79"/>
      <c r="V69" s="77"/>
      <c r="X69" s="73" t="s">
        <v>463</v>
      </c>
      <c r="Y69" s="74" t="s">
        <v>58</v>
      </c>
      <c r="Z69" s="79"/>
      <c r="AA69" s="77"/>
      <c r="AC69" s="73" t="s">
        <v>464</v>
      </c>
      <c r="AD69" s="74" t="s">
        <v>58</v>
      </c>
      <c r="AE69" s="84"/>
      <c r="AF69" s="77"/>
    </row>
    <row r="70" spans="1:32" x14ac:dyDescent="0.2">
      <c r="A70" s="14">
        <v>67</v>
      </c>
      <c r="B70" s="27" t="s">
        <v>465</v>
      </c>
      <c r="C70" s="35" t="s">
        <v>466</v>
      </c>
      <c r="D70" s="33">
        <v>10</v>
      </c>
      <c r="E70" s="36" t="s">
        <v>271</v>
      </c>
      <c r="F70" s="44"/>
      <c r="G70" s="34">
        <f t="shared" ref="G70:G123" si="64">IF(D70="",0,D70*F70)</f>
        <v>0</v>
      </c>
      <c r="H70" s="21"/>
      <c r="I70" s="32" t="s">
        <v>467</v>
      </c>
      <c r="J70" s="33">
        <v>10</v>
      </c>
      <c r="K70" s="43"/>
      <c r="L70" s="34">
        <f>IF(J70="",0,J70*K77)</f>
        <v>0</v>
      </c>
      <c r="M70" s="21"/>
      <c r="N70" s="32" t="s">
        <v>468</v>
      </c>
      <c r="O70" s="33">
        <v>10</v>
      </c>
      <c r="P70" s="43"/>
      <c r="Q70" s="34">
        <f t="shared" ref="Q70:Q77" si="65">IF(O70="",0,O70*P70)</f>
        <v>0</v>
      </c>
      <c r="S70" s="32" t="s">
        <v>469</v>
      </c>
      <c r="T70" s="33">
        <v>10</v>
      </c>
      <c r="U70" s="43"/>
      <c r="V70" s="34">
        <f t="shared" ref="V70:V77" si="66">IF(T70="",0,T70*U70)</f>
        <v>0</v>
      </c>
      <c r="X70" s="32" t="s">
        <v>470</v>
      </c>
      <c r="Y70" s="33">
        <v>10</v>
      </c>
      <c r="Z70" s="43"/>
      <c r="AA70" s="34">
        <f t="shared" ref="AA70:AA77" si="67">IF(Y70="",0,Y70*Z70)</f>
        <v>0</v>
      </c>
      <c r="AC70" s="32" t="s">
        <v>471</v>
      </c>
      <c r="AD70" s="33">
        <f t="shared" ref="AD70:AD77" si="68">Y70/2</f>
        <v>5</v>
      </c>
      <c r="AE70" s="83">
        <f t="shared" si="6"/>
        <v>0</v>
      </c>
      <c r="AF70" s="34">
        <f t="shared" ref="AF70:AF77" si="69">IF(AD70="",0,AD70*AE70)</f>
        <v>0</v>
      </c>
    </row>
    <row r="71" spans="1:32" x14ac:dyDescent="0.2">
      <c r="A71" s="14">
        <v>68</v>
      </c>
      <c r="B71" s="27" t="s">
        <v>472</v>
      </c>
      <c r="C71" s="35" t="s">
        <v>473</v>
      </c>
      <c r="D71" s="33">
        <v>10</v>
      </c>
      <c r="E71" s="36" t="s">
        <v>271</v>
      </c>
      <c r="F71" s="44"/>
      <c r="G71" s="34">
        <f t="shared" si="64"/>
        <v>0</v>
      </c>
      <c r="H71" s="21"/>
      <c r="I71" s="32" t="s">
        <v>474</v>
      </c>
      <c r="J71" s="33">
        <v>10</v>
      </c>
      <c r="K71" s="43"/>
      <c r="L71" s="34">
        <f t="shared" ref="L71:L77" si="70">IF(J71="",0,J71*K71)</f>
        <v>0</v>
      </c>
      <c r="M71" s="21"/>
      <c r="N71" s="32" t="s">
        <v>475</v>
      </c>
      <c r="O71" s="33">
        <v>10</v>
      </c>
      <c r="P71" s="43"/>
      <c r="Q71" s="34">
        <f t="shared" si="65"/>
        <v>0</v>
      </c>
      <c r="S71" s="32" t="s">
        <v>476</v>
      </c>
      <c r="T71" s="33">
        <v>10</v>
      </c>
      <c r="U71" s="43"/>
      <c r="V71" s="34">
        <f t="shared" si="66"/>
        <v>0</v>
      </c>
      <c r="X71" s="32" t="s">
        <v>477</v>
      </c>
      <c r="Y71" s="33">
        <v>10</v>
      </c>
      <c r="Z71" s="43"/>
      <c r="AA71" s="34">
        <f t="shared" si="67"/>
        <v>0</v>
      </c>
      <c r="AC71" s="32" t="s">
        <v>478</v>
      </c>
      <c r="AD71" s="33">
        <f t="shared" si="68"/>
        <v>5</v>
      </c>
      <c r="AE71" s="83">
        <f t="shared" ref="AE71:AE123" si="71">Z71</f>
        <v>0</v>
      </c>
      <c r="AF71" s="34">
        <f t="shared" si="69"/>
        <v>0</v>
      </c>
    </row>
    <row r="72" spans="1:32" x14ac:dyDescent="0.2">
      <c r="A72" s="14">
        <v>69</v>
      </c>
      <c r="B72" s="27" t="s">
        <v>479</v>
      </c>
      <c r="C72" s="35" t="s">
        <v>480</v>
      </c>
      <c r="D72" s="33">
        <v>10</v>
      </c>
      <c r="E72" s="36" t="s">
        <v>271</v>
      </c>
      <c r="F72" s="44"/>
      <c r="G72" s="34">
        <f t="shared" si="64"/>
        <v>0</v>
      </c>
      <c r="H72" s="21"/>
      <c r="I72" s="32" t="s">
        <v>481</v>
      </c>
      <c r="J72" s="33">
        <v>10</v>
      </c>
      <c r="K72" s="43"/>
      <c r="L72" s="34">
        <f t="shared" si="70"/>
        <v>0</v>
      </c>
      <c r="M72" s="21"/>
      <c r="N72" s="32" t="s">
        <v>482</v>
      </c>
      <c r="O72" s="33">
        <v>10</v>
      </c>
      <c r="P72" s="43"/>
      <c r="Q72" s="34">
        <f t="shared" si="65"/>
        <v>0</v>
      </c>
      <c r="S72" s="32" t="s">
        <v>483</v>
      </c>
      <c r="T72" s="33">
        <v>10</v>
      </c>
      <c r="U72" s="43"/>
      <c r="V72" s="34">
        <f t="shared" si="66"/>
        <v>0</v>
      </c>
      <c r="X72" s="32" t="s">
        <v>484</v>
      </c>
      <c r="Y72" s="33">
        <v>10</v>
      </c>
      <c r="Z72" s="43"/>
      <c r="AA72" s="34">
        <f t="shared" si="67"/>
        <v>0</v>
      </c>
      <c r="AC72" s="32" t="s">
        <v>485</v>
      </c>
      <c r="AD72" s="33">
        <f t="shared" si="68"/>
        <v>5</v>
      </c>
      <c r="AE72" s="83">
        <f t="shared" si="71"/>
        <v>0</v>
      </c>
      <c r="AF72" s="34">
        <f t="shared" si="69"/>
        <v>0</v>
      </c>
    </row>
    <row r="73" spans="1:32" x14ac:dyDescent="0.2">
      <c r="A73" s="14">
        <v>70</v>
      </c>
      <c r="B73" s="27" t="s">
        <v>486</v>
      </c>
      <c r="C73" s="35" t="s">
        <v>487</v>
      </c>
      <c r="D73" s="33">
        <v>10</v>
      </c>
      <c r="E73" s="36" t="s">
        <v>271</v>
      </c>
      <c r="F73" s="44"/>
      <c r="G73" s="34">
        <f t="shared" si="64"/>
        <v>0</v>
      </c>
      <c r="H73" s="21"/>
      <c r="I73" s="32" t="s">
        <v>488</v>
      </c>
      <c r="J73" s="33">
        <v>10</v>
      </c>
      <c r="K73" s="43"/>
      <c r="L73" s="34">
        <f t="shared" si="70"/>
        <v>0</v>
      </c>
      <c r="M73" s="21"/>
      <c r="N73" s="32" t="s">
        <v>489</v>
      </c>
      <c r="O73" s="33">
        <v>10</v>
      </c>
      <c r="P73" s="43"/>
      <c r="Q73" s="34">
        <f t="shared" si="65"/>
        <v>0</v>
      </c>
      <c r="S73" s="32" t="s">
        <v>490</v>
      </c>
      <c r="T73" s="33">
        <v>10</v>
      </c>
      <c r="U73" s="43"/>
      <c r="V73" s="34">
        <f t="shared" si="66"/>
        <v>0</v>
      </c>
      <c r="X73" s="32" t="s">
        <v>491</v>
      </c>
      <c r="Y73" s="33">
        <v>10</v>
      </c>
      <c r="Z73" s="43"/>
      <c r="AA73" s="34">
        <f t="shared" si="67"/>
        <v>0</v>
      </c>
      <c r="AC73" s="32" t="s">
        <v>492</v>
      </c>
      <c r="AD73" s="33">
        <f t="shared" si="68"/>
        <v>5</v>
      </c>
      <c r="AE73" s="83">
        <f t="shared" si="71"/>
        <v>0</v>
      </c>
      <c r="AF73" s="34">
        <f t="shared" si="69"/>
        <v>0</v>
      </c>
    </row>
    <row r="74" spans="1:32" x14ac:dyDescent="0.2">
      <c r="A74" s="14">
        <v>71</v>
      </c>
      <c r="B74" s="27" t="s">
        <v>493</v>
      </c>
      <c r="C74" s="35" t="s">
        <v>494</v>
      </c>
      <c r="D74" s="33">
        <v>5</v>
      </c>
      <c r="E74" s="36" t="s">
        <v>271</v>
      </c>
      <c r="F74" s="44"/>
      <c r="G74" s="34">
        <f t="shared" si="64"/>
        <v>0</v>
      </c>
      <c r="H74" s="21"/>
      <c r="I74" s="32" t="s">
        <v>495</v>
      </c>
      <c r="J74" s="33">
        <v>5</v>
      </c>
      <c r="K74" s="43"/>
      <c r="L74" s="34">
        <f t="shared" si="70"/>
        <v>0</v>
      </c>
      <c r="M74" s="21"/>
      <c r="N74" s="32" t="s">
        <v>496</v>
      </c>
      <c r="O74" s="33">
        <v>5</v>
      </c>
      <c r="P74" s="43"/>
      <c r="Q74" s="34">
        <f t="shared" si="65"/>
        <v>0</v>
      </c>
      <c r="S74" s="32" t="s">
        <v>497</v>
      </c>
      <c r="T74" s="33">
        <v>5</v>
      </c>
      <c r="U74" s="43"/>
      <c r="V74" s="34">
        <f t="shared" si="66"/>
        <v>0</v>
      </c>
      <c r="X74" s="32" t="s">
        <v>498</v>
      </c>
      <c r="Y74" s="33">
        <v>5</v>
      </c>
      <c r="Z74" s="43"/>
      <c r="AA74" s="34">
        <f t="shared" si="67"/>
        <v>0</v>
      </c>
      <c r="AC74" s="32" t="s">
        <v>499</v>
      </c>
      <c r="AD74" s="33">
        <f t="shared" si="68"/>
        <v>2.5</v>
      </c>
      <c r="AE74" s="83">
        <f t="shared" si="71"/>
        <v>0</v>
      </c>
      <c r="AF74" s="34">
        <f t="shared" si="69"/>
        <v>0</v>
      </c>
    </row>
    <row r="75" spans="1:32" x14ac:dyDescent="0.2">
      <c r="A75" s="14">
        <v>72</v>
      </c>
      <c r="B75" s="27" t="s">
        <v>500</v>
      </c>
      <c r="C75" s="35" t="s">
        <v>501</v>
      </c>
      <c r="D75" s="33">
        <v>5</v>
      </c>
      <c r="E75" s="36" t="s">
        <v>271</v>
      </c>
      <c r="F75" s="44"/>
      <c r="G75" s="34">
        <f t="shared" si="64"/>
        <v>0</v>
      </c>
      <c r="H75" s="21"/>
      <c r="I75" s="32" t="s">
        <v>502</v>
      </c>
      <c r="J75" s="33">
        <v>5</v>
      </c>
      <c r="K75" s="43"/>
      <c r="L75" s="34">
        <f t="shared" si="70"/>
        <v>0</v>
      </c>
      <c r="M75" s="21"/>
      <c r="N75" s="32" t="s">
        <v>503</v>
      </c>
      <c r="O75" s="33">
        <v>5</v>
      </c>
      <c r="P75" s="43"/>
      <c r="Q75" s="34">
        <f t="shared" si="65"/>
        <v>0</v>
      </c>
      <c r="S75" s="32" t="s">
        <v>504</v>
      </c>
      <c r="T75" s="33">
        <v>5</v>
      </c>
      <c r="U75" s="43"/>
      <c r="V75" s="34">
        <f t="shared" si="66"/>
        <v>0</v>
      </c>
      <c r="X75" s="32" t="s">
        <v>505</v>
      </c>
      <c r="Y75" s="33">
        <v>5</v>
      </c>
      <c r="Z75" s="43"/>
      <c r="AA75" s="34">
        <f t="shared" si="67"/>
        <v>0</v>
      </c>
      <c r="AC75" s="32" t="s">
        <v>506</v>
      </c>
      <c r="AD75" s="33">
        <f t="shared" si="68"/>
        <v>2.5</v>
      </c>
      <c r="AE75" s="83">
        <f t="shared" si="71"/>
        <v>0</v>
      </c>
      <c r="AF75" s="34">
        <f t="shared" si="69"/>
        <v>0</v>
      </c>
    </row>
    <row r="76" spans="1:32" x14ac:dyDescent="0.2">
      <c r="A76" s="14">
        <v>73</v>
      </c>
      <c r="B76" s="27" t="s">
        <v>507</v>
      </c>
      <c r="C76" s="35" t="s">
        <v>508</v>
      </c>
      <c r="D76" s="33">
        <v>2</v>
      </c>
      <c r="E76" s="36" t="s">
        <v>271</v>
      </c>
      <c r="F76" s="44"/>
      <c r="G76" s="34">
        <f t="shared" si="64"/>
        <v>0</v>
      </c>
      <c r="H76" s="21"/>
      <c r="I76" s="32" t="s">
        <v>509</v>
      </c>
      <c r="J76" s="33">
        <v>2</v>
      </c>
      <c r="K76" s="43"/>
      <c r="L76" s="34">
        <f t="shared" si="70"/>
        <v>0</v>
      </c>
      <c r="M76" s="21"/>
      <c r="N76" s="32" t="s">
        <v>510</v>
      </c>
      <c r="O76" s="33">
        <v>2</v>
      </c>
      <c r="P76" s="43"/>
      <c r="Q76" s="34">
        <f t="shared" si="65"/>
        <v>0</v>
      </c>
      <c r="S76" s="32" t="s">
        <v>511</v>
      </c>
      <c r="T76" s="33">
        <v>2</v>
      </c>
      <c r="U76" s="43"/>
      <c r="V76" s="34">
        <f t="shared" si="66"/>
        <v>0</v>
      </c>
      <c r="X76" s="32" t="s">
        <v>512</v>
      </c>
      <c r="Y76" s="33">
        <v>2</v>
      </c>
      <c r="Z76" s="43"/>
      <c r="AA76" s="34">
        <f t="shared" si="67"/>
        <v>0</v>
      </c>
      <c r="AC76" s="32" t="s">
        <v>513</v>
      </c>
      <c r="AD76" s="33">
        <f t="shared" si="68"/>
        <v>1</v>
      </c>
      <c r="AE76" s="83">
        <f t="shared" si="71"/>
        <v>0</v>
      </c>
      <c r="AF76" s="34">
        <f t="shared" si="69"/>
        <v>0</v>
      </c>
    </row>
    <row r="77" spans="1:32" x14ac:dyDescent="0.2">
      <c r="A77" s="14">
        <v>74</v>
      </c>
      <c r="B77" s="27" t="s">
        <v>514</v>
      </c>
      <c r="C77" s="35" t="s">
        <v>515</v>
      </c>
      <c r="D77" s="33">
        <v>2</v>
      </c>
      <c r="E77" s="36" t="s">
        <v>271</v>
      </c>
      <c r="F77" s="44"/>
      <c r="G77" s="34">
        <f t="shared" si="64"/>
        <v>0</v>
      </c>
      <c r="H77" s="21"/>
      <c r="I77" s="32" t="s">
        <v>516</v>
      </c>
      <c r="J77" s="33">
        <v>2</v>
      </c>
      <c r="K77" s="43"/>
      <c r="L77" s="34">
        <f t="shared" si="70"/>
        <v>0</v>
      </c>
      <c r="M77" s="21"/>
      <c r="N77" s="32" t="s">
        <v>517</v>
      </c>
      <c r="O77" s="33">
        <v>2</v>
      </c>
      <c r="P77" s="43"/>
      <c r="Q77" s="34">
        <f t="shared" si="65"/>
        <v>0</v>
      </c>
      <c r="S77" s="32" t="s">
        <v>518</v>
      </c>
      <c r="T77" s="33">
        <v>2</v>
      </c>
      <c r="U77" s="43"/>
      <c r="V77" s="34">
        <f t="shared" si="66"/>
        <v>0</v>
      </c>
      <c r="X77" s="32" t="s">
        <v>519</v>
      </c>
      <c r="Y77" s="33">
        <v>2</v>
      </c>
      <c r="Z77" s="43"/>
      <c r="AA77" s="34">
        <f t="shared" si="67"/>
        <v>0</v>
      </c>
      <c r="AC77" s="32" t="s">
        <v>520</v>
      </c>
      <c r="AD77" s="33">
        <f t="shared" si="68"/>
        <v>1</v>
      </c>
      <c r="AE77" s="83">
        <f t="shared" si="71"/>
        <v>0</v>
      </c>
      <c r="AF77" s="34">
        <f t="shared" si="69"/>
        <v>0</v>
      </c>
    </row>
    <row r="78" spans="1:32" s="80" customFormat="1" x14ac:dyDescent="0.2">
      <c r="A78" s="71">
        <v>75</v>
      </c>
      <c r="B78" s="72" t="s">
        <v>521</v>
      </c>
      <c r="C78" s="73" t="s">
        <v>522</v>
      </c>
      <c r="D78" s="74" t="s">
        <v>58</v>
      </c>
      <c r="E78" s="75" t="s">
        <v>58</v>
      </c>
      <c r="F78" s="76"/>
      <c r="G78" s="77"/>
      <c r="H78" s="78"/>
      <c r="I78" s="73" t="s">
        <v>523</v>
      </c>
      <c r="J78" s="74"/>
      <c r="K78" s="79"/>
      <c r="L78" s="77"/>
      <c r="M78" s="78"/>
      <c r="N78" s="73" t="s">
        <v>524</v>
      </c>
      <c r="O78" s="74"/>
      <c r="P78" s="79"/>
      <c r="Q78" s="77"/>
      <c r="S78" s="73" t="s">
        <v>525</v>
      </c>
      <c r="T78" s="74"/>
      <c r="U78" s="79"/>
      <c r="V78" s="77"/>
      <c r="X78" s="73" t="s">
        <v>526</v>
      </c>
      <c r="Y78" s="74"/>
      <c r="Z78" s="79"/>
      <c r="AA78" s="77"/>
      <c r="AC78" s="73" t="s">
        <v>527</v>
      </c>
      <c r="AD78" s="74"/>
      <c r="AE78" s="84"/>
      <c r="AF78" s="77"/>
    </row>
    <row r="79" spans="1:32" x14ac:dyDescent="0.2">
      <c r="A79" s="14">
        <v>76</v>
      </c>
      <c r="B79" s="27" t="s">
        <v>528</v>
      </c>
      <c r="C79" s="35" t="s">
        <v>466</v>
      </c>
      <c r="D79" s="33">
        <v>10</v>
      </c>
      <c r="E79" s="36" t="s">
        <v>271</v>
      </c>
      <c r="F79" s="44"/>
      <c r="G79" s="34">
        <f t="shared" si="64"/>
        <v>0</v>
      </c>
      <c r="H79" s="21"/>
      <c r="I79" s="32" t="s">
        <v>529</v>
      </c>
      <c r="J79" s="33">
        <v>10</v>
      </c>
      <c r="K79" s="43"/>
      <c r="L79" s="34">
        <f t="shared" ref="L79:L86" si="72">IF(J79="",0,J79*K79)</f>
        <v>0</v>
      </c>
      <c r="M79" s="21"/>
      <c r="N79" s="32" t="s">
        <v>530</v>
      </c>
      <c r="O79" s="33">
        <v>10</v>
      </c>
      <c r="P79" s="43"/>
      <c r="Q79" s="34">
        <f t="shared" ref="Q79:Q86" si="73">IF(O79="",0,O79*P79)</f>
        <v>0</v>
      </c>
      <c r="S79" s="32" t="s">
        <v>531</v>
      </c>
      <c r="T79" s="33">
        <v>10</v>
      </c>
      <c r="U79" s="43"/>
      <c r="V79" s="34">
        <f t="shared" ref="V79:V86" si="74">IF(T79="",0,T79*U79)</f>
        <v>0</v>
      </c>
      <c r="X79" s="32" t="s">
        <v>532</v>
      </c>
      <c r="Y79" s="33">
        <v>10</v>
      </c>
      <c r="Z79" s="43"/>
      <c r="AA79" s="34">
        <f t="shared" ref="AA79:AA86" si="75">IF(Y79="",0,Y79*Z79)</f>
        <v>0</v>
      </c>
      <c r="AC79" s="32" t="s">
        <v>533</v>
      </c>
      <c r="AD79" s="33">
        <f t="shared" ref="AD79:AD86" si="76">Y79/2</f>
        <v>5</v>
      </c>
      <c r="AE79" s="83">
        <f t="shared" si="71"/>
        <v>0</v>
      </c>
      <c r="AF79" s="34">
        <f t="shared" ref="AF79:AF86" si="77">IF(AD79="",0,AD79*AE79)</f>
        <v>0</v>
      </c>
    </row>
    <row r="80" spans="1:32" x14ac:dyDescent="0.2">
      <c r="A80" s="14">
        <v>77</v>
      </c>
      <c r="B80" s="27" t="s">
        <v>534</v>
      </c>
      <c r="C80" s="35" t="s">
        <v>473</v>
      </c>
      <c r="D80" s="33">
        <v>10</v>
      </c>
      <c r="E80" s="36" t="s">
        <v>271</v>
      </c>
      <c r="F80" s="44"/>
      <c r="G80" s="34">
        <f t="shared" si="64"/>
        <v>0</v>
      </c>
      <c r="H80" s="21"/>
      <c r="I80" s="32" t="s">
        <v>535</v>
      </c>
      <c r="J80" s="33">
        <v>10</v>
      </c>
      <c r="K80" s="43"/>
      <c r="L80" s="34">
        <f t="shared" si="72"/>
        <v>0</v>
      </c>
      <c r="M80" s="21"/>
      <c r="N80" s="32" t="s">
        <v>536</v>
      </c>
      <c r="O80" s="33">
        <v>10</v>
      </c>
      <c r="P80" s="43"/>
      <c r="Q80" s="34">
        <f t="shared" si="73"/>
        <v>0</v>
      </c>
      <c r="S80" s="32" t="s">
        <v>537</v>
      </c>
      <c r="T80" s="33">
        <v>10</v>
      </c>
      <c r="U80" s="43"/>
      <c r="V80" s="34">
        <f t="shared" si="74"/>
        <v>0</v>
      </c>
      <c r="X80" s="32" t="s">
        <v>538</v>
      </c>
      <c r="Y80" s="33">
        <v>10</v>
      </c>
      <c r="Z80" s="43"/>
      <c r="AA80" s="34">
        <f t="shared" si="75"/>
        <v>0</v>
      </c>
      <c r="AC80" s="32" t="s">
        <v>539</v>
      </c>
      <c r="AD80" s="33">
        <f t="shared" si="76"/>
        <v>5</v>
      </c>
      <c r="AE80" s="83">
        <f t="shared" si="71"/>
        <v>0</v>
      </c>
      <c r="AF80" s="34">
        <f t="shared" si="77"/>
        <v>0</v>
      </c>
    </row>
    <row r="81" spans="1:32" x14ac:dyDescent="0.2">
      <c r="A81" s="14">
        <v>78</v>
      </c>
      <c r="B81" s="27" t="s">
        <v>540</v>
      </c>
      <c r="C81" s="35" t="s">
        <v>480</v>
      </c>
      <c r="D81" s="33">
        <v>10</v>
      </c>
      <c r="E81" s="36" t="s">
        <v>271</v>
      </c>
      <c r="F81" s="44"/>
      <c r="G81" s="34">
        <f t="shared" si="64"/>
        <v>0</v>
      </c>
      <c r="H81" s="21"/>
      <c r="I81" s="32" t="s">
        <v>541</v>
      </c>
      <c r="J81" s="33">
        <v>10</v>
      </c>
      <c r="K81" s="43"/>
      <c r="L81" s="34">
        <f t="shared" si="72"/>
        <v>0</v>
      </c>
      <c r="M81" s="21"/>
      <c r="N81" s="32" t="s">
        <v>542</v>
      </c>
      <c r="O81" s="33">
        <v>10</v>
      </c>
      <c r="P81" s="43"/>
      <c r="Q81" s="34">
        <f t="shared" si="73"/>
        <v>0</v>
      </c>
      <c r="S81" s="32" t="s">
        <v>543</v>
      </c>
      <c r="T81" s="33">
        <v>10</v>
      </c>
      <c r="U81" s="43"/>
      <c r="V81" s="34">
        <f t="shared" si="74"/>
        <v>0</v>
      </c>
      <c r="X81" s="32" t="s">
        <v>544</v>
      </c>
      <c r="Y81" s="33">
        <v>10</v>
      </c>
      <c r="Z81" s="43"/>
      <c r="AA81" s="34">
        <f t="shared" si="75"/>
        <v>0</v>
      </c>
      <c r="AC81" s="32" t="s">
        <v>545</v>
      </c>
      <c r="AD81" s="33">
        <f t="shared" si="76"/>
        <v>5</v>
      </c>
      <c r="AE81" s="83">
        <f t="shared" si="71"/>
        <v>0</v>
      </c>
      <c r="AF81" s="34">
        <f t="shared" si="77"/>
        <v>0</v>
      </c>
    </row>
    <row r="82" spans="1:32" x14ac:dyDescent="0.2">
      <c r="A82" s="14">
        <v>79</v>
      </c>
      <c r="B82" s="27" t="s">
        <v>546</v>
      </c>
      <c r="C82" s="35" t="s">
        <v>487</v>
      </c>
      <c r="D82" s="33">
        <v>10</v>
      </c>
      <c r="E82" s="36" t="s">
        <v>271</v>
      </c>
      <c r="F82" s="44"/>
      <c r="G82" s="34">
        <f t="shared" si="64"/>
        <v>0</v>
      </c>
      <c r="H82" s="21"/>
      <c r="I82" s="32" t="s">
        <v>547</v>
      </c>
      <c r="J82" s="33">
        <v>10</v>
      </c>
      <c r="K82" s="43"/>
      <c r="L82" s="34">
        <f t="shared" si="72"/>
        <v>0</v>
      </c>
      <c r="M82" s="21"/>
      <c r="N82" s="32" t="s">
        <v>548</v>
      </c>
      <c r="O82" s="33">
        <v>10</v>
      </c>
      <c r="P82" s="43"/>
      <c r="Q82" s="34">
        <f t="shared" si="73"/>
        <v>0</v>
      </c>
      <c r="S82" s="32" t="s">
        <v>549</v>
      </c>
      <c r="T82" s="33">
        <v>10</v>
      </c>
      <c r="U82" s="43"/>
      <c r="V82" s="34">
        <f t="shared" si="74"/>
        <v>0</v>
      </c>
      <c r="X82" s="32" t="s">
        <v>550</v>
      </c>
      <c r="Y82" s="33">
        <v>10</v>
      </c>
      <c r="Z82" s="43"/>
      <c r="AA82" s="34">
        <f t="shared" si="75"/>
        <v>0</v>
      </c>
      <c r="AC82" s="32" t="s">
        <v>551</v>
      </c>
      <c r="AD82" s="33">
        <f t="shared" si="76"/>
        <v>5</v>
      </c>
      <c r="AE82" s="83">
        <f t="shared" si="71"/>
        <v>0</v>
      </c>
      <c r="AF82" s="34">
        <f t="shared" si="77"/>
        <v>0</v>
      </c>
    </row>
    <row r="83" spans="1:32" x14ac:dyDescent="0.2">
      <c r="A83" s="14">
        <v>80</v>
      </c>
      <c r="B83" s="27" t="s">
        <v>552</v>
      </c>
      <c r="C83" s="35" t="s">
        <v>494</v>
      </c>
      <c r="D83" s="33">
        <v>10</v>
      </c>
      <c r="E83" s="36" t="s">
        <v>271</v>
      </c>
      <c r="F83" s="44"/>
      <c r="G83" s="34">
        <f t="shared" si="64"/>
        <v>0</v>
      </c>
      <c r="H83" s="21"/>
      <c r="I83" s="32" t="s">
        <v>553</v>
      </c>
      <c r="J83" s="33">
        <v>10</v>
      </c>
      <c r="K83" s="43"/>
      <c r="L83" s="34">
        <f t="shared" si="72"/>
        <v>0</v>
      </c>
      <c r="M83" s="21"/>
      <c r="N83" s="32" t="s">
        <v>554</v>
      </c>
      <c r="O83" s="33">
        <v>10</v>
      </c>
      <c r="P83" s="43"/>
      <c r="Q83" s="34">
        <f t="shared" si="73"/>
        <v>0</v>
      </c>
      <c r="S83" s="32" t="s">
        <v>555</v>
      </c>
      <c r="T83" s="33">
        <v>10</v>
      </c>
      <c r="U83" s="43"/>
      <c r="V83" s="34">
        <f t="shared" si="74"/>
        <v>0</v>
      </c>
      <c r="X83" s="32" t="s">
        <v>556</v>
      </c>
      <c r="Y83" s="33">
        <v>10</v>
      </c>
      <c r="Z83" s="43"/>
      <c r="AA83" s="34">
        <f t="shared" si="75"/>
        <v>0</v>
      </c>
      <c r="AC83" s="32" t="s">
        <v>557</v>
      </c>
      <c r="AD83" s="33">
        <f t="shared" si="76"/>
        <v>5</v>
      </c>
      <c r="AE83" s="83">
        <f t="shared" si="71"/>
        <v>0</v>
      </c>
      <c r="AF83" s="34">
        <f t="shared" si="77"/>
        <v>0</v>
      </c>
    </row>
    <row r="84" spans="1:32" x14ac:dyDescent="0.2">
      <c r="A84" s="14">
        <v>81</v>
      </c>
      <c r="B84" s="27" t="s">
        <v>558</v>
      </c>
      <c r="C84" s="35" t="s">
        <v>501</v>
      </c>
      <c r="D84" s="33">
        <v>10</v>
      </c>
      <c r="E84" s="36" t="s">
        <v>271</v>
      </c>
      <c r="F84" s="44"/>
      <c r="G84" s="34">
        <f t="shared" si="64"/>
        <v>0</v>
      </c>
      <c r="H84" s="21"/>
      <c r="I84" s="32" t="s">
        <v>559</v>
      </c>
      <c r="J84" s="33">
        <v>10</v>
      </c>
      <c r="K84" s="43"/>
      <c r="L84" s="34">
        <f t="shared" si="72"/>
        <v>0</v>
      </c>
      <c r="M84" s="21"/>
      <c r="N84" s="32" t="s">
        <v>560</v>
      </c>
      <c r="O84" s="33">
        <v>10</v>
      </c>
      <c r="P84" s="43"/>
      <c r="Q84" s="34">
        <f t="shared" si="73"/>
        <v>0</v>
      </c>
      <c r="S84" s="32" t="s">
        <v>561</v>
      </c>
      <c r="T84" s="33">
        <v>10</v>
      </c>
      <c r="U84" s="43"/>
      <c r="V84" s="34">
        <f t="shared" si="74"/>
        <v>0</v>
      </c>
      <c r="X84" s="32" t="s">
        <v>562</v>
      </c>
      <c r="Y84" s="33">
        <v>10</v>
      </c>
      <c r="Z84" s="43"/>
      <c r="AA84" s="34">
        <f t="shared" si="75"/>
        <v>0</v>
      </c>
      <c r="AC84" s="32" t="s">
        <v>563</v>
      </c>
      <c r="AD84" s="33">
        <f t="shared" si="76"/>
        <v>5</v>
      </c>
      <c r="AE84" s="83">
        <f t="shared" si="71"/>
        <v>0</v>
      </c>
      <c r="AF84" s="34">
        <f t="shared" si="77"/>
        <v>0</v>
      </c>
    </row>
    <row r="85" spans="1:32" x14ac:dyDescent="0.2">
      <c r="A85" s="14">
        <v>82</v>
      </c>
      <c r="B85" s="27" t="s">
        <v>564</v>
      </c>
      <c r="C85" s="35" t="s">
        <v>508</v>
      </c>
      <c r="D85" s="33">
        <v>5</v>
      </c>
      <c r="E85" s="36" t="s">
        <v>271</v>
      </c>
      <c r="F85" s="44"/>
      <c r="G85" s="34">
        <f t="shared" si="64"/>
        <v>0</v>
      </c>
      <c r="H85" s="21"/>
      <c r="I85" s="32" t="s">
        <v>565</v>
      </c>
      <c r="J85" s="33">
        <v>5</v>
      </c>
      <c r="K85" s="43"/>
      <c r="L85" s="34">
        <f t="shared" si="72"/>
        <v>0</v>
      </c>
      <c r="M85" s="21"/>
      <c r="N85" s="32" t="s">
        <v>566</v>
      </c>
      <c r="O85" s="33">
        <v>5</v>
      </c>
      <c r="P85" s="43"/>
      <c r="Q85" s="34">
        <f t="shared" si="73"/>
        <v>0</v>
      </c>
      <c r="S85" s="32" t="s">
        <v>567</v>
      </c>
      <c r="T85" s="33">
        <v>5</v>
      </c>
      <c r="U85" s="43"/>
      <c r="V85" s="34">
        <f t="shared" si="74"/>
        <v>0</v>
      </c>
      <c r="X85" s="32" t="s">
        <v>568</v>
      </c>
      <c r="Y85" s="33">
        <v>5</v>
      </c>
      <c r="Z85" s="43"/>
      <c r="AA85" s="34">
        <f t="shared" si="75"/>
        <v>0</v>
      </c>
      <c r="AC85" s="32" t="s">
        <v>569</v>
      </c>
      <c r="AD85" s="33">
        <f t="shared" si="76"/>
        <v>2.5</v>
      </c>
      <c r="AE85" s="83">
        <f t="shared" si="71"/>
        <v>0</v>
      </c>
      <c r="AF85" s="34">
        <f t="shared" si="77"/>
        <v>0</v>
      </c>
    </row>
    <row r="86" spans="1:32" x14ac:dyDescent="0.2">
      <c r="A86" s="14">
        <v>83</v>
      </c>
      <c r="B86" s="27" t="s">
        <v>570</v>
      </c>
      <c r="C86" s="35" t="s">
        <v>515</v>
      </c>
      <c r="D86" s="33">
        <v>5</v>
      </c>
      <c r="E86" s="36" t="s">
        <v>271</v>
      </c>
      <c r="F86" s="44"/>
      <c r="G86" s="34">
        <f t="shared" si="64"/>
        <v>0</v>
      </c>
      <c r="H86" s="21"/>
      <c r="I86" s="32" t="s">
        <v>571</v>
      </c>
      <c r="J86" s="33">
        <v>5</v>
      </c>
      <c r="K86" s="43"/>
      <c r="L86" s="34">
        <f t="shared" si="72"/>
        <v>0</v>
      </c>
      <c r="M86" s="21"/>
      <c r="N86" s="32" t="s">
        <v>572</v>
      </c>
      <c r="O86" s="33">
        <v>5</v>
      </c>
      <c r="P86" s="43"/>
      <c r="Q86" s="34">
        <f t="shared" si="73"/>
        <v>0</v>
      </c>
      <c r="S86" s="32" t="s">
        <v>573</v>
      </c>
      <c r="T86" s="33">
        <v>5</v>
      </c>
      <c r="U86" s="43"/>
      <c r="V86" s="34">
        <f t="shared" si="74"/>
        <v>0</v>
      </c>
      <c r="X86" s="32" t="s">
        <v>574</v>
      </c>
      <c r="Y86" s="33">
        <v>5</v>
      </c>
      <c r="Z86" s="43"/>
      <c r="AA86" s="34">
        <f t="shared" si="75"/>
        <v>0</v>
      </c>
      <c r="AC86" s="32" t="s">
        <v>575</v>
      </c>
      <c r="AD86" s="33">
        <f t="shared" si="76"/>
        <v>2.5</v>
      </c>
      <c r="AE86" s="83">
        <f t="shared" si="71"/>
        <v>0</v>
      </c>
      <c r="AF86" s="34">
        <f t="shared" si="77"/>
        <v>0</v>
      </c>
    </row>
    <row r="87" spans="1:32" s="80" customFormat="1" ht="25.5" x14ac:dyDescent="0.2">
      <c r="A87" s="71">
        <v>84</v>
      </c>
      <c r="B87" s="72" t="s">
        <v>576</v>
      </c>
      <c r="C87" s="73" t="s">
        <v>577</v>
      </c>
      <c r="D87" s="74" t="s">
        <v>58</v>
      </c>
      <c r="E87" s="75" t="s">
        <v>58</v>
      </c>
      <c r="F87" s="76"/>
      <c r="G87" s="77"/>
      <c r="H87" s="78"/>
      <c r="I87" s="73" t="s">
        <v>578</v>
      </c>
      <c r="J87" s="74" t="s">
        <v>58</v>
      </c>
      <c r="K87" s="79"/>
      <c r="L87" s="77"/>
      <c r="M87" s="78"/>
      <c r="N87" s="73" t="s">
        <v>579</v>
      </c>
      <c r="O87" s="74" t="s">
        <v>58</v>
      </c>
      <c r="P87" s="79"/>
      <c r="Q87" s="77"/>
      <c r="S87" s="73" t="s">
        <v>580</v>
      </c>
      <c r="T87" s="74" t="s">
        <v>58</v>
      </c>
      <c r="U87" s="79"/>
      <c r="V87" s="77"/>
      <c r="X87" s="73" t="s">
        <v>581</v>
      </c>
      <c r="Y87" s="74" t="s">
        <v>58</v>
      </c>
      <c r="Z87" s="79"/>
      <c r="AA87" s="77"/>
      <c r="AC87" s="73" t="s">
        <v>582</v>
      </c>
      <c r="AD87" s="74" t="s">
        <v>58</v>
      </c>
      <c r="AE87" s="84"/>
      <c r="AF87" s="77"/>
    </row>
    <row r="88" spans="1:32" x14ac:dyDescent="0.2">
      <c r="A88" s="14">
        <v>85</v>
      </c>
      <c r="B88" s="27" t="s">
        <v>583</v>
      </c>
      <c r="C88" s="35" t="s">
        <v>584</v>
      </c>
      <c r="D88" s="33">
        <v>12</v>
      </c>
      <c r="E88" s="36" t="s">
        <v>329</v>
      </c>
      <c r="F88" s="44"/>
      <c r="G88" s="34">
        <f t="shared" si="64"/>
        <v>0</v>
      </c>
      <c r="H88" s="21"/>
      <c r="I88" s="32" t="s">
        <v>585</v>
      </c>
      <c r="J88" s="33">
        <v>12</v>
      </c>
      <c r="K88" s="43"/>
      <c r="L88" s="34">
        <f>IF(J88="",0,J88*K88)</f>
        <v>0</v>
      </c>
      <c r="M88" s="21"/>
      <c r="N88" s="32" t="s">
        <v>586</v>
      </c>
      <c r="O88" s="33">
        <v>12</v>
      </c>
      <c r="P88" s="43"/>
      <c r="Q88" s="34">
        <f t="shared" ref="Q88:Q89" si="78">IF(O88="",0,O88*P88)</f>
        <v>0</v>
      </c>
      <c r="S88" s="32" t="s">
        <v>587</v>
      </c>
      <c r="T88" s="33">
        <v>12</v>
      </c>
      <c r="U88" s="43"/>
      <c r="V88" s="34">
        <f t="shared" ref="V88:V89" si="79">IF(T88="",0,T88*U88)</f>
        <v>0</v>
      </c>
      <c r="X88" s="32" t="s">
        <v>588</v>
      </c>
      <c r="Y88" s="33">
        <v>12</v>
      </c>
      <c r="Z88" s="43"/>
      <c r="AA88" s="34">
        <f t="shared" ref="AA88:AA89" si="80">IF(Y88="",0,Y88*Z88)</f>
        <v>0</v>
      </c>
      <c r="AC88" s="32" t="s">
        <v>589</v>
      </c>
      <c r="AD88" s="33">
        <f t="shared" ref="AD88:AD89" si="81">Y88/2</f>
        <v>6</v>
      </c>
      <c r="AE88" s="83">
        <f t="shared" si="71"/>
        <v>0</v>
      </c>
      <c r="AF88" s="34">
        <f t="shared" ref="AF88:AF89" si="82">IF(AD88="",0,AD88*AE88)</f>
        <v>0</v>
      </c>
    </row>
    <row r="89" spans="1:32" x14ac:dyDescent="0.2">
      <c r="A89" s="14">
        <v>86</v>
      </c>
      <c r="B89" s="27" t="s">
        <v>590</v>
      </c>
      <c r="C89" s="35" t="s">
        <v>591</v>
      </c>
      <c r="D89" s="33">
        <v>10</v>
      </c>
      <c r="E89" s="36" t="s">
        <v>329</v>
      </c>
      <c r="F89" s="44"/>
      <c r="G89" s="34">
        <f t="shared" si="64"/>
        <v>0</v>
      </c>
      <c r="H89" s="21"/>
      <c r="I89" s="32" t="s">
        <v>592</v>
      </c>
      <c r="J89" s="33">
        <v>10</v>
      </c>
      <c r="K89" s="43"/>
      <c r="L89" s="34">
        <f>IF(J89="",0,J89*K89)</f>
        <v>0</v>
      </c>
      <c r="M89" s="21"/>
      <c r="N89" s="32" t="s">
        <v>593</v>
      </c>
      <c r="O89" s="33">
        <v>10</v>
      </c>
      <c r="P89" s="43"/>
      <c r="Q89" s="34">
        <f t="shared" si="78"/>
        <v>0</v>
      </c>
      <c r="S89" s="32" t="s">
        <v>594</v>
      </c>
      <c r="T89" s="33">
        <v>10</v>
      </c>
      <c r="U89" s="43"/>
      <c r="V89" s="34">
        <f t="shared" si="79"/>
        <v>0</v>
      </c>
      <c r="X89" s="32" t="s">
        <v>595</v>
      </c>
      <c r="Y89" s="33">
        <v>10</v>
      </c>
      <c r="Z89" s="43"/>
      <c r="AA89" s="34">
        <f t="shared" si="80"/>
        <v>0</v>
      </c>
      <c r="AC89" s="32" t="s">
        <v>596</v>
      </c>
      <c r="AD89" s="33">
        <f t="shared" si="81"/>
        <v>5</v>
      </c>
      <c r="AE89" s="83">
        <f t="shared" si="71"/>
        <v>0</v>
      </c>
      <c r="AF89" s="34">
        <f t="shared" si="82"/>
        <v>0</v>
      </c>
    </row>
    <row r="90" spans="1:32" s="80" customFormat="1" x14ac:dyDescent="0.2">
      <c r="A90" s="71">
        <v>87</v>
      </c>
      <c r="B90" s="72" t="s">
        <v>597</v>
      </c>
      <c r="C90" s="73" t="s">
        <v>598</v>
      </c>
      <c r="D90" s="74" t="s">
        <v>58</v>
      </c>
      <c r="E90" s="75" t="s">
        <v>58</v>
      </c>
      <c r="F90" s="76"/>
      <c r="G90" s="77"/>
      <c r="H90" s="78"/>
      <c r="I90" s="73" t="s">
        <v>599</v>
      </c>
      <c r="J90" s="74" t="s">
        <v>58</v>
      </c>
      <c r="K90" s="79"/>
      <c r="L90" s="77"/>
      <c r="M90" s="78"/>
      <c r="N90" s="73" t="s">
        <v>600</v>
      </c>
      <c r="O90" s="74" t="s">
        <v>58</v>
      </c>
      <c r="P90" s="79"/>
      <c r="Q90" s="77"/>
      <c r="S90" s="73" t="s">
        <v>601</v>
      </c>
      <c r="T90" s="74" t="s">
        <v>58</v>
      </c>
      <c r="U90" s="79"/>
      <c r="V90" s="77"/>
      <c r="X90" s="73" t="s">
        <v>602</v>
      </c>
      <c r="Y90" s="74" t="s">
        <v>58</v>
      </c>
      <c r="Z90" s="79"/>
      <c r="AA90" s="77"/>
      <c r="AC90" s="73" t="s">
        <v>603</v>
      </c>
      <c r="AD90" s="74" t="s">
        <v>58</v>
      </c>
      <c r="AE90" s="84"/>
      <c r="AF90" s="77"/>
    </row>
    <row r="91" spans="1:32" x14ac:dyDescent="0.2">
      <c r="A91" s="14">
        <v>88</v>
      </c>
      <c r="B91" s="27" t="s">
        <v>604</v>
      </c>
      <c r="C91" s="35" t="s">
        <v>605</v>
      </c>
      <c r="D91" s="33">
        <v>15</v>
      </c>
      <c r="E91" s="36" t="s">
        <v>29</v>
      </c>
      <c r="F91" s="44"/>
      <c r="G91" s="34">
        <f t="shared" si="64"/>
        <v>0</v>
      </c>
      <c r="H91" s="21"/>
      <c r="I91" s="32" t="s">
        <v>606</v>
      </c>
      <c r="J91" s="33">
        <v>15</v>
      </c>
      <c r="K91" s="43"/>
      <c r="L91" s="34">
        <f t="shared" ref="L91:L106" si="83">IF(J91="",0,J91*K91)</f>
        <v>0</v>
      </c>
      <c r="M91" s="21"/>
      <c r="N91" s="32" t="s">
        <v>607</v>
      </c>
      <c r="O91" s="33">
        <v>15</v>
      </c>
      <c r="P91" s="43"/>
      <c r="Q91" s="34">
        <f t="shared" ref="Q91:Q106" si="84">IF(O91="",0,O91*P91)</f>
        <v>0</v>
      </c>
      <c r="S91" s="32" t="s">
        <v>608</v>
      </c>
      <c r="T91" s="33">
        <v>15</v>
      </c>
      <c r="U91" s="43"/>
      <c r="V91" s="34">
        <f t="shared" ref="V91:V106" si="85">IF(T91="",0,T91*U91)</f>
        <v>0</v>
      </c>
      <c r="X91" s="32" t="s">
        <v>609</v>
      </c>
      <c r="Y91" s="33">
        <v>15</v>
      </c>
      <c r="Z91" s="43"/>
      <c r="AA91" s="34">
        <f t="shared" ref="AA91:AA106" si="86">IF(Y91="",0,Y91*Z91)</f>
        <v>0</v>
      </c>
      <c r="AC91" s="32" t="s">
        <v>610</v>
      </c>
      <c r="AD91" s="33">
        <f t="shared" ref="AD91:AD106" si="87">Y91/2</f>
        <v>7.5</v>
      </c>
      <c r="AE91" s="83">
        <f t="shared" si="71"/>
        <v>0</v>
      </c>
      <c r="AF91" s="34">
        <f t="shared" ref="AF91:AF106" si="88">IF(AD91="",0,AD91*AE91)</f>
        <v>0</v>
      </c>
    </row>
    <row r="92" spans="1:32" ht="25.5" x14ac:dyDescent="0.2">
      <c r="A92" s="14">
        <v>89</v>
      </c>
      <c r="B92" s="27" t="s">
        <v>611</v>
      </c>
      <c r="C92" s="35" t="s">
        <v>612</v>
      </c>
      <c r="D92" s="33">
        <v>5</v>
      </c>
      <c r="E92" s="36" t="s">
        <v>29</v>
      </c>
      <c r="F92" s="44"/>
      <c r="G92" s="34">
        <f t="shared" si="64"/>
        <v>0</v>
      </c>
      <c r="H92" s="21"/>
      <c r="I92" s="32" t="s">
        <v>613</v>
      </c>
      <c r="J92" s="33">
        <v>5</v>
      </c>
      <c r="K92" s="43"/>
      <c r="L92" s="34">
        <f t="shared" si="83"/>
        <v>0</v>
      </c>
      <c r="M92" s="21"/>
      <c r="N92" s="32" t="s">
        <v>614</v>
      </c>
      <c r="O92" s="33">
        <v>5</v>
      </c>
      <c r="P92" s="43"/>
      <c r="Q92" s="34">
        <f t="shared" si="84"/>
        <v>0</v>
      </c>
      <c r="S92" s="32" t="s">
        <v>615</v>
      </c>
      <c r="T92" s="33">
        <v>5</v>
      </c>
      <c r="U92" s="43"/>
      <c r="V92" s="34">
        <f t="shared" si="85"/>
        <v>0</v>
      </c>
      <c r="X92" s="32" t="s">
        <v>616</v>
      </c>
      <c r="Y92" s="33">
        <v>5</v>
      </c>
      <c r="Z92" s="43"/>
      <c r="AA92" s="34">
        <f t="shared" si="86"/>
        <v>0</v>
      </c>
      <c r="AC92" s="32" t="s">
        <v>617</v>
      </c>
      <c r="AD92" s="33">
        <f t="shared" si="87"/>
        <v>2.5</v>
      </c>
      <c r="AE92" s="83">
        <f t="shared" si="71"/>
        <v>0</v>
      </c>
      <c r="AF92" s="34">
        <f t="shared" si="88"/>
        <v>0</v>
      </c>
    </row>
    <row r="93" spans="1:32" ht="25.5" x14ac:dyDescent="0.2">
      <c r="A93" s="14">
        <v>90</v>
      </c>
      <c r="B93" s="27" t="s">
        <v>618</v>
      </c>
      <c r="C93" s="35" t="s">
        <v>619</v>
      </c>
      <c r="D93" s="33">
        <v>0</v>
      </c>
      <c r="E93" s="36" t="s">
        <v>29</v>
      </c>
      <c r="F93" s="44"/>
      <c r="G93" s="34">
        <f t="shared" si="64"/>
        <v>0</v>
      </c>
      <c r="H93" s="21"/>
      <c r="I93" s="32" t="s">
        <v>620</v>
      </c>
      <c r="J93" s="33">
        <v>0</v>
      </c>
      <c r="K93" s="43"/>
      <c r="L93" s="34">
        <f t="shared" si="83"/>
        <v>0</v>
      </c>
      <c r="M93" s="21"/>
      <c r="N93" s="32" t="s">
        <v>621</v>
      </c>
      <c r="O93" s="33">
        <v>0</v>
      </c>
      <c r="P93" s="43"/>
      <c r="Q93" s="34">
        <f t="shared" si="84"/>
        <v>0</v>
      </c>
      <c r="S93" s="32" t="s">
        <v>622</v>
      </c>
      <c r="T93" s="33">
        <v>0</v>
      </c>
      <c r="U93" s="43"/>
      <c r="V93" s="34">
        <f t="shared" si="85"/>
        <v>0</v>
      </c>
      <c r="X93" s="32" t="s">
        <v>623</v>
      </c>
      <c r="Y93" s="33">
        <v>0</v>
      </c>
      <c r="Z93" s="43"/>
      <c r="AA93" s="34">
        <f t="shared" si="86"/>
        <v>0</v>
      </c>
      <c r="AC93" s="32" t="s">
        <v>624</v>
      </c>
      <c r="AD93" s="33">
        <f t="shared" si="87"/>
        <v>0</v>
      </c>
      <c r="AE93" s="83">
        <f t="shared" si="71"/>
        <v>0</v>
      </c>
      <c r="AF93" s="34">
        <f t="shared" si="88"/>
        <v>0</v>
      </c>
    </row>
    <row r="94" spans="1:32" ht="25.5" x14ac:dyDescent="0.2">
      <c r="A94" s="14">
        <v>91</v>
      </c>
      <c r="B94" s="27" t="s">
        <v>625</v>
      </c>
      <c r="C94" s="35" t="s">
        <v>626</v>
      </c>
      <c r="D94" s="33">
        <v>0</v>
      </c>
      <c r="E94" s="36" t="s">
        <v>29</v>
      </c>
      <c r="F94" s="44"/>
      <c r="G94" s="34">
        <f t="shared" si="64"/>
        <v>0</v>
      </c>
      <c r="H94" s="21"/>
      <c r="I94" s="32" t="s">
        <v>627</v>
      </c>
      <c r="J94" s="33">
        <v>0</v>
      </c>
      <c r="K94" s="43"/>
      <c r="L94" s="34">
        <f t="shared" si="83"/>
        <v>0</v>
      </c>
      <c r="M94" s="21"/>
      <c r="N94" s="32" t="s">
        <v>628</v>
      </c>
      <c r="O94" s="33">
        <v>0</v>
      </c>
      <c r="P94" s="43"/>
      <c r="Q94" s="34">
        <f t="shared" si="84"/>
        <v>0</v>
      </c>
      <c r="S94" s="32" t="s">
        <v>629</v>
      </c>
      <c r="T94" s="33">
        <v>0</v>
      </c>
      <c r="U94" s="43"/>
      <c r="V94" s="34">
        <f t="shared" si="85"/>
        <v>0</v>
      </c>
      <c r="X94" s="32" t="s">
        <v>630</v>
      </c>
      <c r="Y94" s="33">
        <v>0</v>
      </c>
      <c r="Z94" s="43"/>
      <c r="AA94" s="34">
        <f t="shared" si="86"/>
        <v>0</v>
      </c>
      <c r="AC94" s="32" t="s">
        <v>631</v>
      </c>
      <c r="AD94" s="33">
        <f t="shared" si="87"/>
        <v>0</v>
      </c>
      <c r="AE94" s="83">
        <f t="shared" si="71"/>
        <v>0</v>
      </c>
      <c r="AF94" s="34">
        <f t="shared" si="88"/>
        <v>0</v>
      </c>
    </row>
    <row r="95" spans="1:32" x14ac:dyDescent="0.2">
      <c r="A95" s="14">
        <v>92</v>
      </c>
      <c r="B95" s="27" t="s">
        <v>632</v>
      </c>
      <c r="C95" s="35" t="s">
        <v>633</v>
      </c>
      <c r="D95" s="33">
        <v>15</v>
      </c>
      <c r="E95" s="36" t="s">
        <v>29</v>
      </c>
      <c r="F95" s="44"/>
      <c r="G95" s="34">
        <f t="shared" si="64"/>
        <v>0</v>
      </c>
      <c r="H95" s="21"/>
      <c r="I95" s="32" t="s">
        <v>634</v>
      </c>
      <c r="J95" s="33">
        <v>15</v>
      </c>
      <c r="K95" s="43"/>
      <c r="L95" s="34">
        <f t="shared" si="83"/>
        <v>0</v>
      </c>
      <c r="M95" s="21"/>
      <c r="N95" s="32" t="s">
        <v>635</v>
      </c>
      <c r="O95" s="33">
        <v>15</v>
      </c>
      <c r="P95" s="43"/>
      <c r="Q95" s="34">
        <f t="shared" si="84"/>
        <v>0</v>
      </c>
      <c r="S95" s="32" t="s">
        <v>636</v>
      </c>
      <c r="T95" s="33">
        <v>15</v>
      </c>
      <c r="U95" s="43"/>
      <c r="V95" s="34">
        <f t="shared" si="85"/>
        <v>0</v>
      </c>
      <c r="X95" s="32" t="s">
        <v>637</v>
      </c>
      <c r="Y95" s="33">
        <v>15</v>
      </c>
      <c r="Z95" s="43"/>
      <c r="AA95" s="34">
        <f t="shared" si="86"/>
        <v>0</v>
      </c>
      <c r="AC95" s="32" t="s">
        <v>638</v>
      </c>
      <c r="AD95" s="33">
        <f t="shared" si="87"/>
        <v>7.5</v>
      </c>
      <c r="AE95" s="83">
        <f t="shared" si="71"/>
        <v>0</v>
      </c>
      <c r="AF95" s="34">
        <f t="shared" si="88"/>
        <v>0</v>
      </c>
    </row>
    <row r="96" spans="1:32" ht="25.5" x14ac:dyDescent="0.2">
      <c r="A96" s="14">
        <v>93</v>
      </c>
      <c r="B96" s="27" t="s">
        <v>639</v>
      </c>
      <c r="C96" s="35" t="s">
        <v>640</v>
      </c>
      <c r="D96" s="33">
        <v>5</v>
      </c>
      <c r="E96" s="36" t="s">
        <v>29</v>
      </c>
      <c r="F96" s="44"/>
      <c r="G96" s="34">
        <f t="shared" si="64"/>
        <v>0</v>
      </c>
      <c r="H96" s="21"/>
      <c r="I96" s="32" t="s">
        <v>641</v>
      </c>
      <c r="J96" s="33">
        <v>5</v>
      </c>
      <c r="K96" s="43"/>
      <c r="L96" s="34">
        <f t="shared" si="83"/>
        <v>0</v>
      </c>
      <c r="M96" s="21"/>
      <c r="N96" s="32" t="s">
        <v>642</v>
      </c>
      <c r="O96" s="33">
        <v>5</v>
      </c>
      <c r="P96" s="43"/>
      <c r="Q96" s="34">
        <f t="shared" si="84"/>
        <v>0</v>
      </c>
      <c r="S96" s="32" t="s">
        <v>643</v>
      </c>
      <c r="T96" s="33">
        <v>5</v>
      </c>
      <c r="U96" s="43"/>
      <c r="V96" s="34">
        <f t="shared" si="85"/>
        <v>0</v>
      </c>
      <c r="X96" s="32" t="s">
        <v>644</v>
      </c>
      <c r="Y96" s="33">
        <v>5</v>
      </c>
      <c r="Z96" s="43"/>
      <c r="AA96" s="34">
        <f t="shared" si="86"/>
        <v>0</v>
      </c>
      <c r="AC96" s="32" t="s">
        <v>645</v>
      </c>
      <c r="AD96" s="33">
        <f t="shared" si="87"/>
        <v>2.5</v>
      </c>
      <c r="AE96" s="83">
        <f t="shared" si="71"/>
        <v>0</v>
      </c>
      <c r="AF96" s="34">
        <f t="shared" si="88"/>
        <v>0</v>
      </c>
    </row>
    <row r="97" spans="1:32" ht="25.5" x14ac:dyDescent="0.2">
      <c r="A97" s="14">
        <v>94</v>
      </c>
      <c r="B97" s="27" t="s">
        <v>646</v>
      </c>
      <c r="C97" s="35" t="s">
        <v>647</v>
      </c>
      <c r="D97" s="33">
        <v>0</v>
      </c>
      <c r="E97" s="36" t="s">
        <v>29</v>
      </c>
      <c r="F97" s="44"/>
      <c r="G97" s="34">
        <f t="shared" si="64"/>
        <v>0</v>
      </c>
      <c r="H97" s="21"/>
      <c r="I97" s="32" t="s">
        <v>648</v>
      </c>
      <c r="J97" s="33">
        <v>0</v>
      </c>
      <c r="K97" s="43"/>
      <c r="L97" s="34">
        <f t="shared" si="83"/>
        <v>0</v>
      </c>
      <c r="M97" s="21"/>
      <c r="N97" s="32" t="s">
        <v>649</v>
      </c>
      <c r="O97" s="33">
        <v>0</v>
      </c>
      <c r="P97" s="43"/>
      <c r="Q97" s="34">
        <f t="shared" si="84"/>
        <v>0</v>
      </c>
      <c r="S97" s="32" t="s">
        <v>650</v>
      </c>
      <c r="T97" s="33">
        <v>0</v>
      </c>
      <c r="U97" s="43"/>
      <c r="V97" s="34">
        <f t="shared" si="85"/>
        <v>0</v>
      </c>
      <c r="X97" s="32" t="s">
        <v>651</v>
      </c>
      <c r="Y97" s="33">
        <v>0</v>
      </c>
      <c r="Z97" s="43"/>
      <c r="AA97" s="34">
        <f t="shared" si="86"/>
        <v>0</v>
      </c>
      <c r="AC97" s="32" t="s">
        <v>652</v>
      </c>
      <c r="AD97" s="33">
        <f t="shared" si="87"/>
        <v>0</v>
      </c>
      <c r="AE97" s="83">
        <f t="shared" si="71"/>
        <v>0</v>
      </c>
      <c r="AF97" s="34">
        <f t="shared" si="88"/>
        <v>0</v>
      </c>
    </row>
    <row r="98" spans="1:32" ht="25.5" x14ac:dyDescent="0.2">
      <c r="A98" s="14">
        <v>95</v>
      </c>
      <c r="B98" s="27" t="s">
        <v>653</v>
      </c>
      <c r="C98" s="35" t="s">
        <v>654</v>
      </c>
      <c r="D98" s="33">
        <v>0</v>
      </c>
      <c r="E98" s="36" t="s">
        <v>29</v>
      </c>
      <c r="F98" s="44"/>
      <c r="G98" s="34">
        <f t="shared" si="64"/>
        <v>0</v>
      </c>
      <c r="H98" s="21"/>
      <c r="I98" s="32" t="s">
        <v>655</v>
      </c>
      <c r="J98" s="33">
        <v>0</v>
      </c>
      <c r="K98" s="43"/>
      <c r="L98" s="34">
        <f t="shared" si="83"/>
        <v>0</v>
      </c>
      <c r="M98" s="21"/>
      <c r="N98" s="32" t="s">
        <v>656</v>
      </c>
      <c r="O98" s="33">
        <v>0</v>
      </c>
      <c r="P98" s="43"/>
      <c r="Q98" s="34">
        <f t="shared" si="84"/>
        <v>0</v>
      </c>
      <c r="S98" s="32" t="s">
        <v>657</v>
      </c>
      <c r="T98" s="33">
        <v>0</v>
      </c>
      <c r="U98" s="43"/>
      <c r="V98" s="34">
        <f t="shared" si="85"/>
        <v>0</v>
      </c>
      <c r="X98" s="32" t="s">
        <v>658</v>
      </c>
      <c r="Y98" s="33">
        <v>0</v>
      </c>
      <c r="Z98" s="43"/>
      <c r="AA98" s="34">
        <f t="shared" si="86"/>
        <v>0</v>
      </c>
      <c r="AC98" s="32" t="s">
        <v>659</v>
      </c>
      <c r="AD98" s="33">
        <f t="shared" si="87"/>
        <v>0</v>
      </c>
      <c r="AE98" s="83">
        <f t="shared" si="71"/>
        <v>0</v>
      </c>
      <c r="AF98" s="34">
        <f t="shared" si="88"/>
        <v>0</v>
      </c>
    </row>
    <row r="99" spans="1:32" x14ac:dyDescent="0.2">
      <c r="A99" s="14">
        <v>96</v>
      </c>
      <c r="B99" s="27" t="s">
        <v>660</v>
      </c>
      <c r="C99" s="35" t="s">
        <v>661</v>
      </c>
      <c r="D99" s="33">
        <v>15</v>
      </c>
      <c r="E99" s="36" t="s">
        <v>29</v>
      </c>
      <c r="F99" s="44"/>
      <c r="G99" s="34">
        <f t="shared" si="64"/>
        <v>0</v>
      </c>
      <c r="H99" s="21"/>
      <c r="I99" s="32" t="s">
        <v>662</v>
      </c>
      <c r="J99" s="33">
        <v>15</v>
      </c>
      <c r="K99" s="43"/>
      <c r="L99" s="34">
        <f t="shared" si="83"/>
        <v>0</v>
      </c>
      <c r="M99" s="21"/>
      <c r="N99" s="32" t="s">
        <v>663</v>
      </c>
      <c r="O99" s="33">
        <v>15</v>
      </c>
      <c r="P99" s="43"/>
      <c r="Q99" s="34">
        <f t="shared" si="84"/>
        <v>0</v>
      </c>
      <c r="S99" s="32" t="s">
        <v>664</v>
      </c>
      <c r="T99" s="33">
        <v>15</v>
      </c>
      <c r="U99" s="43"/>
      <c r="V99" s="34">
        <f t="shared" si="85"/>
        <v>0</v>
      </c>
      <c r="X99" s="32" t="s">
        <v>665</v>
      </c>
      <c r="Y99" s="33">
        <v>15</v>
      </c>
      <c r="Z99" s="43"/>
      <c r="AA99" s="34">
        <f t="shared" si="86"/>
        <v>0</v>
      </c>
      <c r="AC99" s="32" t="s">
        <v>666</v>
      </c>
      <c r="AD99" s="33">
        <f t="shared" si="87"/>
        <v>7.5</v>
      </c>
      <c r="AE99" s="83">
        <f t="shared" si="71"/>
        <v>0</v>
      </c>
      <c r="AF99" s="34">
        <f t="shared" si="88"/>
        <v>0</v>
      </c>
    </row>
    <row r="100" spans="1:32" ht="25.5" x14ac:dyDescent="0.2">
      <c r="A100" s="14">
        <v>97</v>
      </c>
      <c r="B100" s="27" t="s">
        <v>667</v>
      </c>
      <c r="C100" s="35" t="s">
        <v>668</v>
      </c>
      <c r="D100" s="33">
        <v>5</v>
      </c>
      <c r="E100" s="36" t="s">
        <v>29</v>
      </c>
      <c r="F100" s="44"/>
      <c r="G100" s="34">
        <f t="shared" si="64"/>
        <v>0</v>
      </c>
      <c r="H100" s="21"/>
      <c r="I100" s="32" t="s">
        <v>669</v>
      </c>
      <c r="J100" s="33">
        <v>5</v>
      </c>
      <c r="K100" s="43"/>
      <c r="L100" s="34">
        <f t="shared" si="83"/>
        <v>0</v>
      </c>
      <c r="M100" s="21"/>
      <c r="N100" s="32" t="s">
        <v>670</v>
      </c>
      <c r="O100" s="33">
        <v>5</v>
      </c>
      <c r="P100" s="43"/>
      <c r="Q100" s="34">
        <f t="shared" si="84"/>
        <v>0</v>
      </c>
      <c r="S100" s="32" t="s">
        <v>671</v>
      </c>
      <c r="T100" s="33">
        <v>5</v>
      </c>
      <c r="U100" s="43"/>
      <c r="V100" s="34">
        <f t="shared" si="85"/>
        <v>0</v>
      </c>
      <c r="X100" s="32" t="s">
        <v>672</v>
      </c>
      <c r="Y100" s="33">
        <v>5</v>
      </c>
      <c r="Z100" s="43"/>
      <c r="AA100" s="34">
        <f t="shared" si="86"/>
        <v>0</v>
      </c>
      <c r="AC100" s="32" t="s">
        <v>673</v>
      </c>
      <c r="AD100" s="33">
        <f t="shared" si="87"/>
        <v>2.5</v>
      </c>
      <c r="AE100" s="83">
        <f t="shared" si="71"/>
        <v>0</v>
      </c>
      <c r="AF100" s="34">
        <f t="shared" si="88"/>
        <v>0</v>
      </c>
    </row>
    <row r="101" spans="1:32" ht="25.5" x14ac:dyDescent="0.2">
      <c r="A101" s="14">
        <v>98</v>
      </c>
      <c r="B101" s="27" t="s">
        <v>674</v>
      </c>
      <c r="C101" s="35" t="s">
        <v>675</v>
      </c>
      <c r="D101" s="33">
        <v>0</v>
      </c>
      <c r="E101" s="36" t="s">
        <v>29</v>
      </c>
      <c r="F101" s="44"/>
      <c r="G101" s="34">
        <f t="shared" si="64"/>
        <v>0</v>
      </c>
      <c r="H101" s="21"/>
      <c r="I101" s="32" t="s">
        <v>676</v>
      </c>
      <c r="J101" s="33">
        <v>0</v>
      </c>
      <c r="K101" s="43"/>
      <c r="L101" s="34">
        <f t="shared" si="83"/>
        <v>0</v>
      </c>
      <c r="M101" s="21"/>
      <c r="N101" s="32" t="s">
        <v>677</v>
      </c>
      <c r="O101" s="33">
        <v>0</v>
      </c>
      <c r="P101" s="43"/>
      <c r="Q101" s="34">
        <f t="shared" si="84"/>
        <v>0</v>
      </c>
      <c r="S101" s="32" t="s">
        <v>678</v>
      </c>
      <c r="T101" s="33">
        <v>0</v>
      </c>
      <c r="U101" s="43"/>
      <c r="V101" s="34">
        <f t="shared" si="85"/>
        <v>0</v>
      </c>
      <c r="X101" s="32" t="s">
        <v>679</v>
      </c>
      <c r="Y101" s="33">
        <v>0</v>
      </c>
      <c r="Z101" s="43"/>
      <c r="AA101" s="34">
        <f t="shared" si="86"/>
        <v>0</v>
      </c>
      <c r="AC101" s="32" t="s">
        <v>680</v>
      </c>
      <c r="AD101" s="33">
        <f t="shared" si="87"/>
        <v>0</v>
      </c>
      <c r="AE101" s="83">
        <f t="shared" si="71"/>
        <v>0</v>
      </c>
      <c r="AF101" s="34">
        <f t="shared" si="88"/>
        <v>0</v>
      </c>
    </row>
    <row r="102" spans="1:32" ht="25.5" x14ac:dyDescent="0.2">
      <c r="A102" s="14">
        <v>99</v>
      </c>
      <c r="B102" s="27" t="s">
        <v>681</v>
      </c>
      <c r="C102" s="35" t="s">
        <v>682</v>
      </c>
      <c r="D102" s="33">
        <v>0</v>
      </c>
      <c r="E102" s="36" t="s">
        <v>29</v>
      </c>
      <c r="F102" s="44"/>
      <c r="G102" s="34">
        <f t="shared" si="64"/>
        <v>0</v>
      </c>
      <c r="H102" s="21"/>
      <c r="I102" s="32" t="s">
        <v>683</v>
      </c>
      <c r="J102" s="33">
        <v>0</v>
      </c>
      <c r="K102" s="43"/>
      <c r="L102" s="34">
        <f t="shared" si="83"/>
        <v>0</v>
      </c>
      <c r="M102" s="21"/>
      <c r="N102" s="32" t="s">
        <v>684</v>
      </c>
      <c r="O102" s="33">
        <v>0</v>
      </c>
      <c r="P102" s="43"/>
      <c r="Q102" s="34">
        <f t="shared" si="84"/>
        <v>0</v>
      </c>
      <c r="S102" s="32" t="s">
        <v>685</v>
      </c>
      <c r="T102" s="33">
        <v>0</v>
      </c>
      <c r="U102" s="43"/>
      <c r="V102" s="34">
        <f t="shared" si="85"/>
        <v>0</v>
      </c>
      <c r="X102" s="32" t="s">
        <v>686</v>
      </c>
      <c r="Y102" s="33">
        <v>0</v>
      </c>
      <c r="Z102" s="43"/>
      <c r="AA102" s="34">
        <f t="shared" si="86"/>
        <v>0</v>
      </c>
      <c r="AC102" s="32" t="s">
        <v>687</v>
      </c>
      <c r="AD102" s="33">
        <f t="shared" si="87"/>
        <v>0</v>
      </c>
      <c r="AE102" s="83">
        <f t="shared" si="71"/>
        <v>0</v>
      </c>
      <c r="AF102" s="34">
        <f t="shared" si="88"/>
        <v>0</v>
      </c>
    </row>
    <row r="103" spans="1:32" x14ac:dyDescent="0.2">
      <c r="A103" s="14">
        <v>100</v>
      </c>
      <c r="B103" s="27" t="s">
        <v>688</v>
      </c>
      <c r="C103" s="35" t="s">
        <v>689</v>
      </c>
      <c r="D103" s="33">
        <v>10</v>
      </c>
      <c r="E103" s="36" t="s">
        <v>29</v>
      </c>
      <c r="F103" s="44"/>
      <c r="G103" s="34">
        <f t="shared" si="64"/>
        <v>0</v>
      </c>
      <c r="H103" s="21"/>
      <c r="I103" s="32" t="s">
        <v>690</v>
      </c>
      <c r="J103" s="33">
        <v>10</v>
      </c>
      <c r="K103" s="43"/>
      <c r="L103" s="34">
        <f t="shared" si="83"/>
        <v>0</v>
      </c>
      <c r="M103" s="21"/>
      <c r="N103" s="32" t="s">
        <v>691</v>
      </c>
      <c r="O103" s="33">
        <v>10</v>
      </c>
      <c r="P103" s="43"/>
      <c r="Q103" s="34">
        <f t="shared" si="84"/>
        <v>0</v>
      </c>
      <c r="S103" s="32" t="s">
        <v>692</v>
      </c>
      <c r="T103" s="33">
        <v>10</v>
      </c>
      <c r="U103" s="43"/>
      <c r="V103" s="34">
        <f t="shared" si="85"/>
        <v>0</v>
      </c>
      <c r="X103" s="32" t="s">
        <v>693</v>
      </c>
      <c r="Y103" s="33">
        <v>10</v>
      </c>
      <c r="Z103" s="43"/>
      <c r="AA103" s="34">
        <f t="shared" si="86"/>
        <v>0</v>
      </c>
      <c r="AC103" s="32" t="s">
        <v>694</v>
      </c>
      <c r="AD103" s="33">
        <f t="shared" si="87"/>
        <v>5</v>
      </c>
      <c r="AE103" s="83">
        <f t="shared" si="71"/>
        <v>0</v>
      </c>
      <c r="AF103" s="34">
        <f t="shared" si="88"/>
        <v>0</v>
      </c>
    </row>
    <row r="104" spans="1:32" ht="25.5" x14ac:dyDescent="0.2">
      <c r="A104" s="14">
        <v>101</v>
      </c>
      <c r="B104" s="27" t="s">
        <v>695</v>
      </c>
      <c r="C104" s="35" t="s">
        <v>696</v>
      </c>
      <c r="D104" s="33">
        <v>3</v>
      </c>
      <c r="E104" s="36" t="s">
        <v>29</v>
      </c>
      <c r="F104" s="44"/>
      <c r="G104" s="34">
        <f t="shared" si="64"/>
        <v>0</v>
      </c>
      <c r="H104" s="21"/>
      <c r="I104" s="32" t="s">
        <v>697</v>
      </c>
      <c r="J104" s="33">
        <v>3</v>
      </c>
      <c r="K104" s="43"/>
      <c r="L104" s="34">
        <f t="shared" si="83"/>
        <v>0</v>
      </c>
      <c r="M104" s="21"/>
      <c r="N104" s="32" t="s">
        <v>698</v>
      </c>
      <c r="O104" s="33">
        <v>3</v>
      </c>
      <c r="P104" s="43"/>
      <c r="Q104" s="34">
        <f t="shared" si="84"/>
        <v>0</v>
      </c>
      <c r="S104" s="32" t="s">
        <v>699</v>
      </c>
      <c r="T104" s="33">
        <v>3</v>
      </c>
      <c r="U104" s="43"/>
      <c r="V104" s="34">
        <f t="shared" si="85"/>
        <v>0</v>
      </c>
      <c r="X104" s="32" t="s">
        <v>700</v>
      </c>
      <c r="Y104" s="33">
        <v>3</v>
      </c>
      <c r="Z104" s="43"/>
      <c r="AA104" s="34">
        <f t="shared" si="86"/>
        <v>0</v>
      </c>
      <c r="AC104" s="32" t="s">
        <v>701</v>
      </c>
      <c r="AD104" s="33">
        <f t="shared" si="87"/>
        <v>1.5</v>
      </c>
      <c r="AE104" s="83">
        <f t="shared" si="71"/>
        <v>0</v>
      </c>
      <c r="AF104" s="34">
        <f t="shared" si="88"/>
        <v>0</v>
      </c>
    </row>
    <row r="105" spans="1:32" ht="25.5" x14ac:dyDescent="0.2">
      <c r="A105" s="14">
        <v>102</v>
      </c>
      <c r="B105" s="27" t="s">
        <v>702</v>
      </c>
      <c r="C105" s="35" t="s">
        <v>703</v>
      </c>
      <c r="D105" s="33">
        <v>0</v>
      </c>
      <c r="E105" s="36" t="s">
        <v>29</v>
      </c>
      <c r="F105" s="44"/>
      <c r="G105" s="34">
        <f t="shared" si="64"/>
        <v>0</v>
      </c>
      <c r="H105" s="21"/>
      <c r="I105" s="32" t="s">
        <v>704</v>
      </c>
      <c r="J105" s="33">
        <v>0</v>
      </c>
      <c r="K105" s="43"/>
      <c r="L105" s="34">
        <f t="shared" si="83"/>
        <v>0</v>
      </c>
      <c r="M105" s="21"/>
      <c r="N105" s="32" t="s">
        <v>705</v>
      </c>
      <c r="O105" s="33">
        <v>0</v>
      </c>
      <c r="P105" s="43"/>
      <c r="Q105" s="34">
        <f t="shared" si="84"/>
        <v>0</v>
      </c>
      <c r="S105" s="32" t="s">
        <v>706</v>
      </c>
      <c r="T105" s="33">
        <v>0</v>
      </c>
      <c r="U105" s="43"/>
      <c r="V105" s="34">
        <f t="shared" si="85"/>
        <v>0</v>
      </c>
      <c r="X105" s="32" t="s">
        <v>707</v>
      </c>
      <c r="Y105" s="33">
        <v>0</v>
      </c>
      <c r="Z105" s="43"/>
      <c r="AA105" s="34">
        <f t="shared" si="86"/>
        <v>0</v>
      </c>
      <c r="AC105" s="32" t="s">
        <v>708</v>
      </c>
      <c r="AD105" s="33">
        <f t="shared" si="87"/>
        <v>0</v>
      </c>
      <c r="AE105" s="83">
        <f t="shared" si="71"/>
        <v>0</v>
      </c>
      <c r="AF105" s="34">
        <f t="shared" si="88"/>
        <v>0</v>
      </c>
    </row>
    <row r="106" spans="1:32" ht="25.5" x14ac:dyDescent="0.2">
      <c r="A106" s="14">
        <v>103</v>
      </c>
      <c r="B106" s="27" t="s">
        <v>709</v>
      </c>
      <c r="C106" s="35" t="s">
        <v>710</v>
      </c>
      <c r="D106" s="33">
        <v>0</v>
      </c>
      <c r="E106" s="36" t="s">
        <v>29</v>
      </c>
      <c r="F106" s="44"/>
      <c r="G106" s="34">
        <f t="shared" si="64"/>
        <v>0</v>
      </c>
      <c r="H106" s="21"/>
      <c r="I106" s="32" t="s">
        <v>711</v>
      </c>
      <c r="J106" s="33">
        <v>0</v>
      </c>
      <c r="K106" s="43"/>
      <c r="L106" s="34">
        <f t="shared" si="83"/>
        <v>0</v>
      </c>
      <c r="M106" s="21"/>
      <c r="N106" s="32" t="s">
        <v>712</v>
      </c>
      <c r="O106" s="33">
        <v>0</v>
      </c>
      <c r="P106" s="43"/>
      <c r="Q106" s="34">
        <f t="shared" si="84"/>
        <v>0</v>
      </c>
      <c r="S106" s="32" t="s">
        <v>713</v>
      </c>
      <c r="T106" s="33">
        <v>0</v>
      </c>
      <c r="U106" s="43"/>
      <c r="V106" s="34">
        <f t="shared" si="85"/>
        <v>0</v>
      </c>
      <c r="X106" s="32" t="s">
        <v>714</v>
      </c>
      <c r="Y106" s="33">
        <v>0</v>
      </c>
      <c r="Z106" s="43"/>
      <c r="AA106" s="34">
        <f t="shared" si="86"/>
        <v>0</v>
      </c>
      <c r="AC106" s="32" t="s">
        <v>715</v>
      </c>
      <c r="AD106" s="33">
        <f t="shared" si="87"/>
        <v>0</v>
      </c>
      <c r="AE106" s="83">
        <f t="shared" si="71"/>
        <v>0</v>
      </c>
      <c r="AF106" s="34">
        <f t="shared" si="88"/>
        <v>0</v>
      </c>
    </row>
    <row r="107" spans="1:32" s="80" customFormat="1" x14ac:dyDescent="0.2">
      <c r="A107" s="71">
        <v>104</v>
      </c>
      <c r="B107" s="72" t="s">
        <v>716</v>
      </c>
      <c r="C107" s="81"/>
      <c r="D107" s="74" t="s">
        <v>58</v>
      </c>
      <c r="E107" s="75" t="s">
        <v>58</v>
      </c>
      <c r="F107" s="76"/>
      <c r="G107" s="77"/>
      <c r="H107" s="78"/>
      <c r="I107" s="82"/>
      <c r="J107" s="74"/>
      <c r="K107" s="79"/>
      <c r="L107" s="77"/>
      <c r="M107" s="78"/>
      <c r="N107" s="73"/>
      <c r="O107" s="74"/>
      <c r="P107" s="79"/>
      <c r="Q107" s="77"/>
      <c r="S107" s="73"/>
      <c r="T107" s="74"/>
      <c r="U107" s="79"/>
      <c r="V107" s="77"/>
      <c r="X107" s="73"/>
      <c r="Y107" s="74"/>
      <c r="Z107" s="79"/>
      <c r="AA107" s="77"/>
      <c r="AC107" s="73"/>
      <c r="AD107" s="74"/>
      <c r="AE107" s="84"/>
      <c r="AF107" s="77"/>
    </row>
    <row r="108" spans="1:32" s="80" customFormat="1" x14ac:dyDescent="0.2">
      <c r="A108" s="71">
        <v>105</v>
      </c>
      <c r="B108" s="72" t="s">
        <v>717</v>
      </c>
      <c r="C108" s="73" t="s">
        <v>718</v>
      </c>
      <c r="D108" s="74" t="s">
        <v>58</v>
      </c>
      <c r="E108" s="75" t="s">
        <v>58</v>
      </c>
      <c r="F108" s="76"/>
      <c r="G108" s="77"/>
      <c r="H108" s="78"/>
      <c r="I108" s="73" t="s">
        <v>719</v>
      </c>
      <c r="J108" s="74"/>
      <c r="K108" s="79"/>
      <c r="L108" s="77"/>
      <c r="M108" s="78"/>
      <c r="N108" s="73" t="s">
        <v>720</v>
      </c>
      <c r="O108" s="74"/>
      <c r="P108" s="79"/>
      <c r="Q108" s="77"/>
      <c r="S108" s="73" t="s">
        <v>721</v>
      </c>
      <c r="T108" s="74"/>
      <c r="U108" s="79"/>
      <c r="V108" s="77"/>
      <c r="X108" s="73" t="s">
        <v>722</v>
      </c>
      <c r="Y108" s="74"/>
      <c r="Z108" s="79"/>
      <c r="AA108" s="77"/>
      <c r="AC108" s="73" t="s">
        <v>723</v>
      </c>
      <c r="AD108" s="74"/>
      <c r="AE108" s="84"/>
      <c r="AF108" s="77"/>
    </row>
    <row r="109" spans="1:32" x14ac:dyDescent="0.2">
      <c r="A109" s="14">
        <v>106</v>
      </c>
      <c r="B109" s="27" t="s">
        <v>724</v>
      </c>
      <c r="C109" s="35" t="s">
        <v>372</v>
      </c>
      <c r="D109" s="33">
        <v>1100</v>
      </c>
      <c r="E109" s="36" t="s">
        <v>29</v>
      </c>
      <c r="F109" s="44"/>
      <c r="G109" s="34">
        <f t="shared" si="64"/>
        <v>0</v>
      </c>
      <c r="H109" s="21"/>
      <c r="I109" s="32" t="s">
        <v>725</v>
      </c>
      <c r="J109" s="33">
        <v>1100</v>
      </c>
      <c r="K109" s="43"/>
      <c r="L109" s="34">
        <f>IF(J109="",0,J109*K109)</f>
        <v>0</v>
      </c>
      <c r="M109" s="21"/>
      <c r="N109" s="32" t="s">
        <v>726</v>
      </c>
      <c r="O109" s="33">
        <v>1100</v>
      </c>
      <c r="P109" s="43"/>
      <c r="Q109" s="34">
        <f t="shared" ref="Q109:Q112" si="89">IF(O109="",0,O109*P109)</f>
        <v>0</v>
      </c>
      <c r="S109" s="32" t="s">
        <v>727</v>
      </c>
      <c r="T109" s="33">
        <v>1100</v>
      </c>
      <c r="U109" s="43"/>
      <c r="V109" s="34">
        <f t="shared" ref="V109:V112" si="90">IF(T109="",0,T109*U109)</f>
        <v>0</v>
      </c>
      <c r="X109" s="32" t="s">
        <v>728</v>
      </c>
      <c r="Y109" s="33">
        <v>1100</v>
      </c>
      <c r="Z109" s="43"/>
      <c r="AA109" s="34">
        <f t="shared" ref="AA109:AA112" si="91">IF(Y109="",0,Y109*Z109)</f>
        <v>0</v>
      </c>
      <c r="AC109" s="32" t="s">
        <v>729</v>
      </c>
      <c r="AD109" s="33">
        <f t="shared" ref="AD109:AD112" si="92">Y109/2</f>
        <v>550</v>
      </c>
      <c r="AE109" s="83">
        <f t="shared" si="71"/>
        <v>0</v>
      </c>
      <c r="AF109" s="34">
        <f t="shared" ref="AF109:AF112" si="93">IF(AD109="",0,AD109*AE109)</f>
        <v>0</v>
      </c>
    </row>
    <row r="110" spans="1:32" x14ac:dyDescent="0.2">
      <c r="A110" s="14">
        <v>107</v>
      </c>
      <c r="B110" s="27" t="s">
        <v>730</v>
      </c>
      <c r="C110" s="35" t="s">
        <v>379</v>
      </c>
      <c r="D110" s="33">
        <v>200</v>
      </c>
      <c r="E110" s="36" t="s">
        <v>29</v>
      </c>
      <c r="F110" s="44"/>
      <c r="G110" s="34">
        <f t="shared" si="64"/>
        <v>0</v>
      </c>
      <c r="H110" s="21"/>
      <c r="I110" s="32" t="s">
        <v>731</v>
      </c>
      <c r="J110" s="33">
        <v>200</v>
      </c>
      <c r="K110" s="43"/>
      <c r="L110" s="34">
        <f>IF(J110="",0,J110*K110)</f>
        <v>0</v>
      </c>
      <c r="M110" s="21"/>
      <c r="N110" s="32" t="s">
        <v>732</v>
      </c>
      <c r="O110" s="33">
        <v>200</v>
      </c>
      <c r="P110" s="43"/>
      <c r="Q110" s="34">
        <f t="shared" si="89"/>
        <v>0</v>
      </c>
      <c r="S110" s="32" t="s">
        <v>733</v>
      </c>
      <c r="T110" s="33">
        <v>200</v>
      </c>
      <c r="U110" s="43"/>
      <c r="V110" s="34">
        <f t="shared" si="90"/>
        <v>0</v>
      </c>
      <c r="X110" s="32" t="s">
        <v>734</v>
      </c>
      <c r="Y110" s="33">
        <v>200</v>
      </c>
      <c r="Z110" s="43"/>
      <c r="AA110" s="34">
        <f t="shared" si="91"/>
        <v>0</v>
      </c>
      <c r="AC110" s="32" t="s">
        <v>735</v>
      </c>
      <c r="AD110" s="33">
        <f t="shared" si="92"/>
        <v>100</v>
      </c>
      <c r="AE110" s="83">
        <f t="shared" si="71"/>
        <v>0</v>
      </c>
      <c r="AF110" s="34">
        <f t="shared" si="93"/>
        <v>0</v>
      </c>
    </row>
    <row r="111" spans="1:32" x14ac:dyDescent="0.2">
      <c r="A111" s="14">
        <v>108</v>
      </c>
      <c r="B111" s="27" t="s">
        <v>736</v>
      </c>
      <c r="C111" s="35" t="s">
        <v>386</v>
      </c>
      <c r="D111" s="33">
        <v>55</v>
      </c>
      <c r="E111" s="36" t="s">
        <v>29</v>
      </c>
      <c r="F111" s="44"/>
      <c r="G111" s="34">
        <f t="shared" si="64"/>
        <v>0</v>
      </c>
      <c r="H111" s="21"/>
      <c r="I111" s="32" t="s">
        <v>737</v>
      </c>
      <c r="J111" s="33">
        <v>55</v>
      </c>
      <c r="K111" s="43"/>
      <c r="L111" s="34">
        <f>IF(J111="",0,J111*K111)</f>
        <v>0</v>
      </c>
      <c r="M111" s="21"/>
      <c r="N111" s="32" t="s">
        <v>738</v>
      </c>
      <c r="O111" s="33">
        <v>55</v>
      </c>
      <c r="P111" s="43"/>
      <c r="Q111" s="34">
        <f t="shared" si="89"/>
        <v>0</v>
      </c>
      <c r="S111" s="32" t="s">
        <v>739</v>
      </c>
      <c r="T111" s="33">
        <v>55</v>
      </c>
      <c r="U111" s="43"/>
      <c r="V111" s="34">
        <f t="shared" si="90"/>
        <v>0</v>
      </c>
      <c r="X111" s="32" t="s">
        <v>740</v>
      </c>
      <c r="Y111" s="33">
        <v>55</v>
      </c>
      <c r="Z111" s="43"/>
      <c r="AA111" s="34">
        <f t="shared" si="91"/>
        <v>0</v>
      </c>
      <c r="AC111" s="32" t="s">
        <v>741</v>
      </c>
      <c r="AD111" s="33">
        <f t="shared" si="92"/>
        <v>27.5</v>
      </c>
      <c r="AE111" s="83">
        <f t="shared" si="71"/>
        <v>0</v>
      </c>
      <c r="AF111" s="34">
        <f t="shared" si="93"/>
        <v>0</v>
      </c>
    </row>
    <row r="112" spans="1:32" x14ac:dyDescent="0.2">
      <c r="A112" s="14">
        <v>109</v>
      </c>
      <c r="B112" s="27" t="s">
        <v>742</v>
      </c>
      <c r="C112" s="35" t="s">
        <v>393</v>
      </c>
      <c r="D112" s="33">
        <v>10</v>
      </c>
      <c r="E112" s="36" t="s">
        <v>29</v>
      </c>
      <c r="F112" s="44"/>
      <c r="G112" s="34">
        <f t="shared" si="64"/>
        <v>0</v>
      </c>
      <c r="H112" s="21"/>
      <c r="I112" s="32" t="s">
        <v>743</v>
      </c>
      <c r="J112" s="33">
        <v>10</v>
      </c>
      <c r="K112" s="43"/>
      <c r="L112" s="34">
        <f>IF(J112="",0,J112*K112)</f>
        <v>0</v>
      </c>
      <c r="M112" s="21"/>
      <c r="N112" s="32" t="s">
        <v>744</v>
      </c>
      <c r="O112" s="33">
        <v>10</v>
      </c>
      <c r="P112" s="43"/>
      <c r="Q112" s="34">
        <f t="shared" si="89"/>
        <v>0</v>
      </c>
      <c r="S112" s="32" t="s">
        <v>745</v>
      </c>
      <c r="T112" s="33">
        <v>10</v>
      </c>
      <c r="U112" s="43"/>
      <c r="V112" s="34">
        <f t="shared" si="90"/>
        <v>0</v>
      </c>
      <c r="X112" s="32" t="s">
        <v>746</v>
      </c>
      <c r="Y112" s="33">
        <v>10</v>
      </c>
      <c r="Z112" s="43"/>
      <c r="AA112" s="34">
        <f t="shared" si="91"/>
        <v>0</v>
      </c>
      <c r="AC112" s="32" t="s">
        <v>747</v>
      </c>
      <c r="AD112" s="33">
        <f t="shared" si="92"/>
        <v>5</v>
      </c>
      <c r="AE112" s="83">
        <f t="shared" si="71"/>
        <v>0</v>
      </c>
      <c r="AF112" s="34">
        <f t="shared" si="93"/>
        <v>0</v>
      </c>
    </row>
    <row r="113" spans="1:32" s="80" customFormat="1" x14ac:dyDescent="0.2">
      <c r="A113" s="71">
        <v>110</v>
      </c>
      <c r="B113" s="72" t="s">
        <v>748</v>
      </c>
      <c r="C113" s="73" t="s">
        <v>749</v>
      </c>
      <c r="D113" s="74" t="s">
        <v>58</v>
      </c>
      <c r="E113" s="75" t="s">
        <v>58</v>
      </c>
      <c r="F113" s="76"/>
      <c r="G113" s="77"/>
      <c r="H113" s="78"/>
      <c r="I113" s="73" t="s">
        <v>750</v>
      </c>
      <c r="J113" s="74" t="s">
        <v>58</v>
      </c>
      <c r="K113" s="79"/>
      <c r="L113" s="77"/>
      <c r="M113" s="78"/>
      <c r="N113" s="73" t="s">
        <v>751</v>
      </c>
      <c r="O113" s="74" t="s">
        <v>58</v>
      </c>
      <c r="P113" s="79"/>
      <c r="Q113" s="77"/>
      <c r="S113" s="73" t="s">
        <v>752</v>
      </c>
      <c r="T113" s="74" t="s">
        <v>58</v>
      </c>
      <c r="U113" s="79"/>
      <c r="V113" s="77"/>
      <c r="X113" s="73" t="s">
        <v>753</v>
      </c>
      <c r="Y113" s="74" t="s">
        <v>58</v>
      </c>
      <c r="Z113" s="79"/>
      <c r="AA113" s="77"/>
      <c r="AC113" s="73" t="s">
        <v>754</v>
      </c>
      <c r="AD113" s="74" t="s">
        <v>58</v>
      </c>
      <c r="AE113" s="84"/>
      <c r="AF113" s="77"/>
    </row>
    <row r="114" spans="1:32" x14ac:dyDescent="0.2">
      <c r="A114" s="14">
        <v>111</v>
      </c>
      <c r="B114" s="27" t="s">
        <v>755</v>
      </c>
      <c r="C114" s="35" t="s">
        <v>756</v>
      </c>
      <c r="D114" s="33">
        <v>5</v>
      </c>
      <c r="E114" s="36" t="s">
        <v>271</v>
      </c>
      <c r="F114" s="44"/>
      <c r="G114" s="34">
        <f t="shared" si="64"/>
        <v>0</v>
      </c>
      <c r="H114" s="21"/>
      <c r="I114" s="32" t="s">
        <v>757</v>
      </c>
      <c r="J114" s="33">
        <v>5</v>
      </c>
      <c r="K114" s="43"/>
      <c r="L114" s="34">
        <f t="shared" ref="L114:L123" si="94">IF(J114="",0,J114*K114)</f>
        <v>0</v>
      </c>
      <c r="M114" s="21"/>
      <c r="N114" s="32" t="s">
        <v>758</v>
      </c>
      <c r="O114" s="33">
        <v>5</v>
      </c>
      <c r="P114" s="43"/>
      <c r="Q114" s="34">
        <f t="shared" ref="Q114:Q123" si="95">IF(O114="",0,O114*P114)</f>
        <v>0</v>
      </c>
      <c r="S114" s="32" t="s">
        <v>759</v>
      </c>
      <c r="T114" s="33">
        <v>5</v>
      </c>
      <c r="U114" s="43"/>
      <c r="V114" s="34">
        <f t="shared" ref="V114:V123" si="96">IF(T114="",0,T114*U114)</f>
        <v>0</v>
      </c>
      <c r="X114" s="32" t="s">
        <v>760</v>
      </c>
      <c r="Y114" s="33">
        <v>5</v>
      </c>
      <c r="Z114" s="43"/>
      <c r="AA114" s="34">
        <f t="shared" ref="AA114:AA123" si="97">IF(Y114="",0,Y114*Z114)</f>
        <v>0</v>
      </c>
      <c r="AC114" s="32" t="s">
        <v>761</v>
      </c>
      <c r="AD114" s="33">
        <f t="shared" ref="AD114:AD123" si="98">Y114/2</f>
        <v>2.5</v>
      </c>
      <c r="AE114" s="83">
        <f t="shared" si="71"/>
        <v>0</v>
      </c>
      <c r="AF114" s="34">
        <f t="shared" ref="AF114:AF123" si="99">IF(AD114="",0,AD114*AE114)</f>
        <v>0</v>
      </c>
    </row>
    <row r="115" spans="1:32" x14ac:dyDescent="0.2">
      <c r="A115" s="14">
        <v>112</v>
      </c>
      <c r="B115" s="27" t="s">
        <v>762</v>
      </c>
      <c r="C115" s="35" t="s">
        <v>763</v>
      </c>
      <c r="D115" s="33">
        <v>5</v>
      </c>
      <c r="E115" s="36" t="s">
        <v>271</v>
      </c>
      <c r="F115" s="44"/>
      <c r="G115" s="34">
        <f t="shared" si="64"/>
        <v>0</v>
      </c>
      <c r="H115" s="21"/>
      <c r="I115" s="32" t="s">
        <v>764</v>
      </c>
      <c r="J115" s="33">
        <v>5</v>
      </c>
      <c r="K115" s="43"/>
      <c r="L115" s="34">
        <f t="shared" si="94"/>
        <v>0</v>
      </c>
      <c r="M115" s="21"/>
      <c r="N115" s="32" t="s">
        <v>765</v>
      </c>
      <c r="O115" s="33">
        <v>5</v>
      </c>
      <c r="P115" s="43"/>
      <c r="Q115" s="34">
        <f t="shared" si="95"/>
        <v>0</v>
      </c>
      <c r="S115" s="32" t="s">
        <v>766</v>
      </c>
      <c r="T115" s="33">
        <v>5</v>
      </c>
      <c r="U115" s="43"/>
      <c r="V115" s="34">
        <f t="shared" si="96"/>
        <v>0</v>
      </c>
      <c r="X115" s="32" t="s">
        <v>767</v>
      </c>
      <c r="Y115" s="33">
        <v>5</v>
      </c>
      <c r="Z115" s="43"/>
      <c r="AA115" s="34">
        <f t="shared" si="97"/>
        <v>0</v>
      </c>
      <c r="AC115" s="32" t="s">
        <v>768</v>
      </c>
      <c r="AD115" s="33">
        <f t="shared" si="98"/>
        <v>2.5</v>
      </c>
      <c r="AE115" s="83">
        <f t="shared" si="71"/>
        <v>0</v>
      </c>
      <c r="AF115" s="34">
        <f t="shared" si="99"/>
        <v>0</v>
      </c>
    </row>
    <row r="116" spans="1:32" x14ac:dyDescent="0.2">
      <c r="A116" s="14">
        <v>113</v>
      </c>
      <c r="B116" s="27" t="s">
        <v>769</v>
      </c>
      <c r="C116" s="35" t="s">
        <v>770</v>
      </c>
      <c r="D116" s="33">
        <v>5</v>
      </c>
      <c r="E116" s="36" t="s">
        <v>271</v>
      </c>
      <c r="F116" s="44"/>
      <c r="G116" s="34">
        <f t="shared" si="64"/>
        <v>0</v>
      </c>
      <c r="H116" s="21"/>
      <c r="I116" s="32" t="s">
        <v>771</v>
      </c>
      <c r="J116" s="33">
        <v>5</v>
      </c>
      <c r="K116" s="43"/>
      <c r="L116" s="34">
        <f t="shared" si="94"/>
        <v>0</v>
      </c>
      <c r="M116" s="21"/>
      <c r="N116" s="32" t="s">
        <v>772</v>
      </c>
      <c r="O116" s="33">
        <v>5</v>
      </c>
      <c r="P116" s="43"/>
      <c r="Q116" s="34">
        <f t="shared" si="95"/>
        <v>0</v>
      </c>
      <c r="S116" s="32" t="s">
        <v>773</v>
      </c>
      <c r="T116" s="33">
        <v>5</v>
      </c>
      <c r="U116" s="43"/>
      <c r="V116" s="34">
        <f t="shared" si="96"/>
        <v>0</v>
      </c>
      <c r="X116" s="32" t="s">
        <v>774</v>
      </c>
      <c r="Y116" s="33">
        <v>5</v>
      </c>
      <c r="Z116" s="43"/>
      <c r="AA116" s="34">
        <f t="shared" si="97"/>
        <v>0</v>
      </c>
      <c r="AC116" s="32" t="s">
        <v>775</v>
      </c>
      <c r="AD116" s="33">
        <f t="shared" si="98"/>
        <v>2.5</v>
      </c>
      <c r="AE116" s="83">
        <f t="shared" si="71"/>
        <v>0</v>
      </c>
      <c r="AF116" s="34">
        <f t="shared" si="99"/>
        <v>0</v>
      </c>
    </row>
    <row r="117" spans="1:32" x14ac:dyDescent="0.2">
      <c r="A117" s="14">
        <v>114</v>
      </c>
      <c r="B117" s="27" t="s">
        <v>776</v>
      </c>
      <c r="C117" s="35" t="s">
        <v>777</v>
      </c>
      <c r="D117" s="33">
        <v>5</v>
      </c>
      <c r="E117" s="36" t="s">
        <v>271</v>
      </c>
      <c r="F117" s="44"/>
      <c r="G117" s="34">
        <f t="shared" si="64"/>
        <v>0</v>
      </c>
      <c r="H117" s="21"/>
      <c r="I117" s="32" t="s">
        <v>778</v>
      </c>
      <c r="J117" s="33">
        <v>5</v>
      </c>
      <c r="K117" s="43"/>
      <c r="L117" s="34">
        <f t="shared" si="94"/>
        <v>0</v>
      </c>
      <c r="M117" s="21"/>
      <c r="N117" s="32" t="s">
        <v>779</v>
      </c>
      <c r="O117" s="33">
        <v>5</v>
      </c>
      <c r="P117" s="43"/>
      <c r="Q117" s="34">
        <f t="shared" si="95"/>
        <v>0</v>
      </c>
      <c r="S117" s="32" t="s">
        <v>780</v>
      </c>
      <c r="T117" s="33">
        <v>5</v>
      </c>
      <c r="U117" s="43"/>
      <c r="V117" s="34">
        <f t="shared" si="96"/>
        <v>0</v>
      </c>
      <c r="X117" s="32" t="s">
        <v>781</v>
      </c>
      <c r="Y117" s="33">
        <v>5</v>
      </c>
      <c r="Z117" s="43"/>
      <c r="AA117" s="34">
        <f t="shared" si="97"/>
        <v>0</v>
      </c>
      <c r="AC117" s="32" t="s">
        <v>782</v>
      </c>
      <c r="AD117" s="33">
        <f t="shared" si="98"/>
        <v>2.5</v>
      </c>
      <c r="AE117" s="83">
        <f t="shared" si="71"/>
        <v>0</v>
      </c>
      <c r="AF117" s="34">
        <f t="shared" si="99"/>
        <v>0</v>
      </c>
    </row>
    <row r="118" spans="1:32" x14ac:dyDescent="0.2">
      <c r="A118" s="14">
        <v>115</v>
      </c>
      <c r="B118" s="27" t="s">
        <v>783</v>
      </c>
      <c r="C118" s="35" t="s">
        <v>784</v>
      </c>
      <c r="D118" s="33">
        <v>3</v>
      </c>
      <c r="E118" s="36" t="s">
        <v>271</v>
      </c>
      <c r="F118" s="44"/>
      <c r="G118" s="34">
        <f t="shared" si="64"/>
        <v>0</v>
      </c>
      <c r="H118" s="21"/>
      <c r="I118" s="32" t="s">
        <v>785</v>
      </c>
      <c r="J118" s="33">
        <v>3</v>
      </c>
      <c r="K118" s="43"/>
      <c r="L118" s="34">
        <f t="shared" si="94"/>
        <v>0</v>
      </c>
      <c r="M118" s="21"/>
      <c r="N118" s="32" t="s">
        <v>786</v>
      </c>
      <c r="O118" s="33">
        <v>3</v>
      </c>
      <c r="P118" s="43"/>
      <c r="Q118" s="34">
        <f t="shared" si="95"/>
        <v>0</v>
      </c>
      <c r="S118" s="32" t="s">
        <v>787</v>
      </c>
      <c r="T118" s="33">
        <v>3</v>
      </c>
      <c r="U118" s="43"/>
      <c r="V118" s="34">
        <f t="shared" si="96"/>
        <v>0</v>
      </c>
      <c r="X118" s="32" t="s">
        <v>788</v>
      </c>
      <c r="Y118" s="33">
        <v>3</v>
      </c>
      <c r="Z118" s="43"/>
      <c r="AA118" s="34">
        <f t="shared" si="97"/>
        <v>0</v>
      </c>
      <c r="AC118" s="32" t="s">
        <v>789</v>
      </c>
      <c r="AD118" s="33">
        <f t="shared" si="98"/>
        <v>1.5</v>
      </c>
      <c r="AE118" s="83">
        <f t="shared" si="71"/>
        <v>0</v>
      </c>
      <c r="AF118" s="34">
        <f t="shared" si="99"/>
        <v>0</v>
      </c>
    </row>
    <row r="119" spans="1:32" x14ac:dyDescent="0.2">
      <c r="A119" s="14">
        <v>116</v>
      </c>
      <c r="B119" s="27" t="s">
        <v>790</v>
      </c>
      <c r="C119" s="35" t="s">
        <v>791</v>
      </c>
      <c r="D119" s="33">
        <v>3</v>
      </c>
      <c r="E119" s="36" t="s">
        <v>271</v>
      </c>
      <c r="F119" s="44"/>
      <c r="G119" s="34">
        <f t="shared" si="64"/>
        <v>0</v>
      </c>
      <c r="H119" s="21"/>
      <c r="I119" s="32" t="s">
        <v>792</v>
      </c>
      <c r="J119" s="33">
        <v>3</v>
      </c>
      <c r="K119" s="43"/>
      <c r="L119" s="34">
        <f t="shared" si="94"/>
        <v>0</v>
      </c>
      <c r="M119" s="21"/>
      <c r="N119" s="32" t="s">
        <v>793</v>
      </c>
      <c r="O119" s="33">
        <v>3</v>
      </c>
      <c r="P119" s="43"/>
      <c r="Q119" s="34">
        <f t="shared" si="95"/>
        <v>0</v>
      </c>
      <c r="S119" s="32" t="s">
        <v>794</v>
      </c>
      <c r="T119" s="33">
        <v>3</v>
      </c>
      <c r="U119" s="43"/>
      <c r="V119" s="34">
        <f t="shared" si="96"/>
        <v>0</v>
      </c>
      <c r="X119" s="32" t="s">
        <v>795</v>
      </c>
      <c r="Y119" s="33">
        <v>3</v>
      </c>
      <c r="Z119" s="43"/>
      <c r="AA119" s="34">
        <f t="shared" si="97"/>
        <v>0</v>
      </c>
      <c r="AC119" s="32" t="s">
        <v>796</v>
      </c>
      <c r="AD119" s="33">
        <f t="shared" si="98"/>
        <v>1.5</v>
      </c>
      <c r="AE119" s="83">
        <f t="shared" si="71"/>
        <v>0</v>
      </c>
      <c r="AF119" s="34">
        <f t="shared" si="99"/>
        <v>0</v>
      </c>
    </row>
    <row r="120" spans="1:32" x14ac:dyDescent="0.2">
      <c r="A120" s="14">
        <v>117</v>
      </c>
      <c r="B120" s="27" t="s">
        <v>797</v>
      </c>
      <c r="C120" s="35" t="s">
        <v>798</v>
      </c>
      <c r="D120" s="33">
        <v>3</v>
      </c>
      <c r="E120" s="36" t="s">
        <v>271</v>
      </c>
      <c r="F120" s="44"/>
      <c r="G120" s="34">
        <f t="shared" si="64"/>
        <v>0</v>
      </c>
      <c r="H120" s="21"/>
      <c r="I120" s="32" t="s">
        <v>799</v>
      </c>
      <c r="J120" s="33">
        <v>3</v>
      </c>
      <c r="K120" s="43"/>
      <c r="L120" s="34">
        <f t="shared" si="94"/>
        <v>0</v>
      </c>
      <c r="M120" s="21"/>
      <c r="N120" s="32" t="s">
        <v>800</v>
      </c>
      <c r="O120" s="33">
        <v>3</v>
      </c>
      <c r="P120" s="43"/>
      <c r="Q120" s="34">
        <f t="shared" si="95"/>
        <v>0</v>
      </c>
      <c r="S120" s="32" t="s">
        <v>801</v>
      </c>
      <c r="T120" s="33">
        <v>3</v>
      </c>
      <c r="U120" s="43"/>
      <c r="V120" s="34">
        <f t="shared" si="96"/>
        <v>0</v>
      </c>
      <c r="X120" s="32" t="s">
        <v>802</v>
      </c>
      <c r="Y120" s="33">
        <v>3</v>
      </c>
      <c r="Z120" s="43"/>
      <c r="AA120" s="34">
        <f t="shared" si="97"/>
        <v>0</v>
      </c>
      <c r="AC120" s="32" t="s">
        <v>803</v>
      </c>
      <c r="AD120" s="33">
        <f t="shared" si="98"/>
        <v>1.5</v>
      </c>
      <c r="AE120" s="83">
        <f t="shared" si="71"/>
        <v>0</v>
      </c>
      <c r="AF120" s="34">
        <f t="shared" si="99"/>
        <v>0</v>
      </c>
    </row>
    <row r="121" spans="1:32" x14ac:dyDescent="0.2">
      <c r="A121" s="14">
        <v>118</v>
      </c>
      <c r="B121" s="27" t="s">
        <v>804</v>
      </c>
      <c r="C121" s="35" t="s">
        <v>805</v>
      </c>
      <c r="D121" s="33">
        <v>3</v>
      </c>
      <c r="E121" s="36" t="s">
        <v>271</v>
      </c>
      <c r="F121" s="44"/>
      <c r="G121" s="34">
        <f t="shared" si="64"/>
        <v>0</v>
      </c>
      <c r="H121" s="21"/>
      <c r="I121" s="32" t="s">
        <v>806</v>
      </c>
      <c r="J121" s="33">
        <v>3</v>
      </c>
      <c r="K121" s="43"/>
      <c r="L121" s="34">
        <f t="shared" si="94"/>
        <v>0</v>
      </c>
      <c r="M121" s="21"/>
      <c r="N121" s="32" t="s">
        <v>807</v>
      </c>
      <c r="O121" s="33">
        <v>3</v>
      </c>
      <c r="P121" s="43"/>
      <c r="Q121" s="34">
        <f t="shared" si="95"/>
        <v>0</v>
      </c>
      <c r="S121" s="32" t="s">
        <v>808</v>
      </c>
      <c r="T121" s="33">
        <v>3</v>
      </c>
      <c r="U121" s="43"/>
      <c r="V121" s="34">
        <f t="shared" si="96"/>
        <v>0</v>
      </c>
      <c r="X121" s="32" t="s">
        <v>809</v>
      </c>
      <c r="Y121" s="33">
        <v>3</v>
      </c>
      <c r="Z121" s="43"/>
      <c r="AA121" s="34">
        <f t="shared" si="97"/>
        <v>0</v>
      </c>
      <c r="AC121" s="32" t="s">
        <v>810</v>
      </c>
      <c r="AD121" s="33">
        <f t="shared" si="98"/>
        <v>1.5</v>
      </c>
      <c r="AE121" s="83">
        <f t="shared" si="71"/>
        <v>0</v>
      </c>
      <c r="AF121" s="34">
        <f t="shared" si="99"/>
        <v>0</v>
      </c>
    </row>
    <row r="122" spans="1:32" ht="25.5" x14ac:dyDescent="0.2">
      <c r="A122" s="14">
        <v>119</v>
      </c>
      <c r="B122" s="46" t="s">
        <v>811</v>
      </c>
      <c r="C122" s="16" t="s">
        <v>812</v>
      </c>
      <c r="D122" s="47">
        <v>10</v>
      </c>
      <c r="E122" s="48" t="s">
        <v>813</v>
      </c>
      <c r="F122" s="49"/>
      <c r="G122" s="50">
        <f t="shared" si="64"/>
        <v>0</v>
      </c>
      <c r="H122" s="21"/>
      <c r="I122" s="51" t="s">
        <v>814</v>
      </c>
      <c r="J122" s="47">
        <v>10</v>
      </c>
      <c r="K122" s="43"/>
      <c r="L122" s="50">
        <f t="shared" si="94"/>
        <v>0</v>
      </c>
      <c r="M122" s="21"/>
      <c r="N122" s="51" t="s">
        <v>815</v>
      </c>
      <c r="O122" s="47">
        <v>10</v>
      </c>
      <c r="P122" s="43"/>
      <c r="Q122" s="50">
        <f t="shared" si="95"/>
        <v>0</v>
      </c>
      <c r="S122" s="51" t="s">
        <v>816</v>
      </c>
      <c r="T122" s="47">
        <v>10</v>
      </c>
      <c r="U122" s="43"/>
      <c r="V122" s="50">
        <f t="shared" si="96"/>
        <v>0</v>
      </c>
      <c r="X122" s="51" t="s">
        <v>817</v>
      </c>
      <c r="Y122" s="47">
        <v>10</v>
      </c>
      <c r="Z122" s="43"/>
      <c r="AA122" s="50">
        <f t="shared" si="97"/>
        <v>0</v>
      </c>
      <c r="AC122" s="51" t="s">
        <v>818</v>
      </c>
      <c r="AD122" s="33">
        <f t="shared" si="98"/>
        <v>5</v>
      </c>
      <c r="AE122" s="83">
        <f t="shared" si="71"/>
        <v>0</v>
      </c>
      <c r="AF122" s="50">
        <f t="shared" si="99"/>
        <v>0</v>
      </c>
    </row>
    <row r="123" spans="1:32" ht="25.5" x14ac:dyDescent="0.2">
      <c r="A123" s="14">
        <v>120</v>
      </c>
      <c r="B123" s="38" t="s">
        <v>819</v>
      </c>
      <c r="C123" s="52" t="s">
        <v>820</v>
      </c>
      <c r="D123" s="33">
        <v>100</v>
      </c>
      <c r="E123" s="36" t="s">
        <v>29</v>
      </c>
      <c r="F123" s="44"/>
      <c r="G123" s="34">
        <f t="shared" si="64"/>
        <v>0</v>
      </c>
      <c r="H123" s="53"/>
      <c r="I123" s="38" t="s">
        <v>821</v>
      </c>
      <c r="J123" s="33">
        <v>100</v>
      </c>
      <c r="K123" s="43"/>
      <c r="L123" s="34">
        <f t="shared" si="94"/>
        <v>0</v>
      </c>
      <c r="M123" s="53"/>
      <c r="N123" s="38" t="s">
        <v>822</v>
      </c>
      <c r="O123" s="33">
        <v>100</v>
      </c>
      <c r="P123" s="43"/>
      <c r="Q123" s="34">
        <f t="shared" si="95"/>
        <v>0</v>
      </c>
      <c r="S123" s="38" t="s">
        <v>823</v>
      </c>
      <c r="T123" s="33">
        <v>100</v>
      </c>
      <c r="U123" s="43"/>
      <c r="V123" s="34">
        <f t="shared" si="96"/>
        <v>0</v>
      </c>
      <c r="X123" s="38" t="s">
        <v>824</v>
      </c>
      <c r="Y123" s="33">
        <v>100</v>
      </c>
      <c r="Z123" s="43"/>
      <c r="AA123" s="34">
        <f t="shared" si="97"/>
        <v>0</v>
      </c>
      <c r="AC123" s="38" t="s">
        <v>825</v>
      </c>
      <c r="AD123" s="33">
        <f t="shared" si="98"/>
        <v>50</v>
      </c>
      <c r="AE123" s="83">
        <f t="shared" si="71"/>
        <v>0</v>
      </c>
      <c r="AF123" s="34">
        <f t="shared" si="99"/>
        <v>0</v>
      </c>
    </row>
    <row r="124" spans="1:32" x14ac:dyDescent="0.2">
      <c r="A124" s="39"/>
      <c r="B124" s="54" t="s">
        <v>826</v>
      </c>
      <c r="C124" s="54"/>
      <c r="D124" s="55"/>
      <c r="E124" s="56"/>
      <c r="F124" s="57"/>
      <c r="G124" s="57">
        <f>SUM(G4:G123)</f>
        <v>0</v>
      </c>
      <c r="H124" s="58"/>
      <c r="I124" s="59"/>
      <c r="J124" s="55"/>
      <c r="K124" s="57"/>
      <c r="L124" s="57">
        <f>SUM(L4:L123)</f>
        <v>0</v>
      </c>
      <c r="M124" s="58"/>
      <c r="N124" s="59"/>
      <c r="O124" s="55"/>
      <c r="P124" s="57"/>
      <c r="Q124" s="57">
        <f>SUM(Q4:Q123)</f>
        <v>0</v>
      </c>
      <c r="S124" s="59"/>
      <c r="T124" s="55"/>
      <c r="U124" s="57"/>
      <c r="V124" s="57">
        <f>SUM(V4:V123)</f>
        <v>0</v>
      </c>
      <c r="X124" s="59"/>
      <c r="Y124" s="55"/>
      <c r="Z124" s="57"/>
      <c r="AA124" s="57">
        <f>SUM(AA4:AA123)</f>
        <v>0</v>
      </c>
      <c r="AB124" s="66"/>
      <c r="AC124" s="59"/>
      <c r="AD124" s="55"/>
      <c r="AE124" s="57"/>
      <c r="AF124" s="57">
        <f>SUM(AF4:AF123)</f>
        <v>0</v>
      </c>
    </row>
    <row r="134" spans="12:12" x14ac:dyDescent="0.2">
      <c r="L134" s="66"/>
    </row>
    <row r="237" spans="14:15" x14ac:dyDescent="0.2">
      <c r="N237" s="39"/>
      <c r="O237" s="39"/>
    </row>
    <row r="248" spans="1:15" s="39" customFormat="1" x14ac:dyDescent="0.2">
      <c r="A248" s="2"/>
      <c r="B248" s="2"/>
      <c r="C248" s="2"/>
      <c r="D248" s="14"/>
      <c r="E248" s="40"/>
      <c r="F248" s="2"/>
      <c r="G248" s="2"/>
      <c r="H248" s="2"/>
      <c r="I248" s="41"/>
      <c r="J248" s="14"/>
      <c r="K248" s="2"/>
      <c r="L248" s="2"/>
      <c r="M248" s="2"/>
      <c r="N248" s="2"/>
      <c r="O248" s="2"/>
    </row>
  </sheetData>
  <sheetProtection formatColumns="0" formatRows="0"/>
  <mergeCells count="7">
    <mergeCell ref="AC2:AE2"/>
    <mergeCell ref="D2:F2"/>
    <mergeCell ref="B1:C1"/>
    <mergeCell ref="I2:K2"/>
    <mergeCell ref="N2:P2"/>
    <mergeCell ref="S2:U2"/>
    <mergeCell ref="X2:Z2"/>
  </mergeCells>
  <printOptions horizontalCentered="1"/>
  <pageMargins left="0.5" right="0.5" top="0.75" bottom="0.75" header="0.5" footer="0.5"/>
  <pageSetup scale="49" fitToWidth="2" fitToHeight="0" pageOrder="overThenDown" orientation="landscape" r:id="rId1"/>
  <headerFooter>
    <oddHeader>&amp;A</oddHeader>
    <oddFooter>Page &amp;P&amp;RPrice Analysis Toolkit.xlsx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0" sqref="C10"/>
    </sheetView>
  </sheetViews>
  <sheetFormatPr defaultRowHeight="12.75" x14ac:dyDescent="0.2"/>
  <cols>
    <col min="1" max="1" width="14.7109375" customWidth="1"/>
    <col min="2" max="2" width="24.85546875" customWidth="1"/>
    <col min="3" max="3" width="19.42578125" customWidth="1"/>
  </cols>
  <sheetData>
    <row r="1" spans="1:4" ht="15.75" x14ac:dyDescent="0.2">
      <c r="A1" s="64" t="s">
        <v>827</v>
      </c>
      <c r="B1" s="65" t="s">
        <v>828</v>
      </c>
      <c r="C1" s="62" t="s">
        <v>829</v>
      </c>
    </row>
    <row r="2" spans="1:4" x14ac:dyDescent="0.2">
      <c r="A2" s="60" t="s">
        <v>2</v>
      </c>
      <c r="B2" s="60" t="s">
        <v>830</v>
      </c>
      <c r="C2" s="61">
        <f>'Pricing Matrix'!G124</f>
        <v>0</v>
      </c>
    </row>
    <row r="3" spans="1:4" x14ac:dyDescent="0.2">
      <c r="A3" s="60" t="s">
        <v>4</v>
      </c>
      <c r="B3" s="60" t="s">
        <v>831</v>
      </c>
      <c r="C3" s="61">
        <f>'Pricing Matrix'!L124</f>
        <v>0</v>
      </c>
      <c r="D3" s="68"/>
    </row>
    <row r="4" spans="1:4" x14ac:dyDescent="0.2">
      <c r="A4" s="60" t="s">
        <v>6</v>
      </c>
      <c r="B4" s="60" t="s">
        <v>832</v>
      </c>
      <c r="C4" s="61">
        <f>'Pricing Matrix'!Q124</f>
        <v>0</v>
      </c>
      <c r="D4" s="68"/>
    </row>
    <row r="5" spans="1:4" x14ac:dyDescent="0.2">
      <c r="A5" s="60" t="s">
        <v>8</v>
      </c>
      <c r="B5" s="60" t="s">
        <v>833</v>
      </c>
      <c r="C5" s="61">
        <f>'Pricing Matrix'!V124</f>
        <v>0</v>
      </c>
      <c r="D5" s="68"/>
    </row>
    <row r="6" spans="1:4" x14ac:dyDescent="0.2">
      <c r="A6" s="60" t="s">
        <v>10</v>
      </c>
      <c r="B6" s="60" t="s">
        <v>834</v>
      </c>
      <c r="C6" s="61">
        <f>'Pricing Matrix'!AA124</f>
        <v>0</v>
      </c>
      <c r="D6" s="68"/>
    </row>
    <row r="7" spans="1:4" x14ac:dyDescent="0.2">
      <c r="A7" s="60" t="s">
        <v>835</v>
      </c>
      <c r="B7" s="60"/>
      <c r="C7" s="61">
        <f>SUM(C2:C6)</f>
        <v>0</v>
      </c>
      <c r="D7" s="68"/>
    </row>
    <row r="8" spans="1:4" x14ac:dyDescent="0.2">
      <c r="A8" s="60"/>
      <c r="B8" s="60"/>
      <c r="C8" s="61"/>
      <c r="D8" s="68"/>
    </row>
    <row r="9" spans="1:4" x14ac:dyDescent="0.2">
      <c r="A9" s="60" t="s">
        <v>836</v>
      </c>
      <c r="B9" s="60" t="s">
        <v>837</v>
      </c>
      <c r="C9" s="61">
        <f>'Pricing Matrix'!AF124</f>
        <v>0</v>
      </c>
      <c r="D9" s="68"/>
    </row>
    <row r="10" spans="1:4" x14ac:dyDescent="0.2">
      <c r="A10" s="60" t="s">
        <v>838</v>
      </c>
      <c r="B10" s="60"/>
      <c r="C10" s="61">
        <f>C9</f>
        <v>0</v>
      </c>
      <c r="D10" s="68"/>
    </row>
    <row r="11" spans="1:4" x14ac:dyDescent="0.2">
      <c r="A11" s="60"/>
      <c r="B11" s="60"/>
      <c r="C11" s="61"/>
      <c r="D11" s="68"/>
    </row>
    <row r="12" spans="1:4" ht="15.75" x14ac:dyDescent="0.2">
      <c r="A12" s="62" t="s">
        <v>839</v>
      </c>
      <c r="B12" s="62"/>
      <c r="C12" s="63">
        <f>C7+C10</f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D814C8B0878B44A3454517B2DAC93F" ma:contentTypeVersion="15" ma:contentTypeDescription="Create a new document." ma:contentTypeScope="" ma:versionID="0b484b06ab84b7ab20b101178981aa16">
  <xsd:schema xmlns:xsd="http://www.w3.org/2001/XMLSchema" xmlns:xs="http://www.w3.org/2001/XMLSchema" xmlns:p="http://schemas.microsoft.com/office/2006/metadata/properties" xmlns:ns1="http://schemas.microsoft.com/sharepoint/v3" xmlns:ns2="5d84b183-8b05-4a94-8c02-27d0921eb529" xmlns:ns3="ffe2c5c0-2f03-4d54-9d97-2b7ca5ed0596" targetNamespace="http://schemas.microsoft.com/office/2006/metadata/properties" ma:root="true" ma:fieldsID="18bf93816dbe63d10285c4c05a927650" ns1:_="" ns2:_="" ns3:_="">
    <xsd:import namespace="http://schemas.microsoft.com/sharepoint/v3"/>
    <xsd:import namespace="5d84b183-8b05-4a94-8c02-27d0921eb529"/>
    <xsd:import namespace="ffe2c5c0-2f03-4d54-9d97-2b7ca5ed05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4b183-8b05-4a94-8c02-27d0921eb52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0edd4812-ad38-4666-be06-732481288bb5}" ma:internalName="TaxCatchAll" ma:showField="CatchAllData" ma:web="5d84b183-8b05-4a94-8c02-27d0921eb5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2c5c0-2f03-4d54-9d97-2b7ca5ed0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fe2c5c0-2f03-4d54-9d97-2b7ca5ed0596">
      <Terms xmlns="http://schemas.microsoft.com/office/infopath/2007/PartnerControls"/>
    </lcf76f155ced4ddcb4097134ff3c332f>
    <TaxCatchAll xmlns="5d84b183-8b05-4a94-8c02-27d0921eb529" xsi:nil="true"/>
    <_dlc_DocId xmlns="5d84b183-8b05-4a94-8c02-27d0921eb529">HFTMTEH5WA3R-2133879570-4140359</_dlc_DocId>
    <_dlc_DocIdUrl xmlns="5d84b183-8b05-4a94-8c02-27d0921eb529">
      <Url>https://flankspeed.sharepoint-mil.us/sites/NAVSUP_FLCSI_C200_Naples/_layouts/15/DocIdRedir.aspx?ID=HFTMTEH5WA3R-2133879570-4140359</Url>
      <Description>HFTMTEH5WA3R-2133879570-4140359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85C1B5-289D-4D0E-B2CE-35ADBC87F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84b183-8b05-4a94-8c02-27d0921eb529"/>
    <ds:schemaRef ds:uri="ffe2c5c0-2f03-4d54-9d97-2b7ca5ed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43EA13-7D87-4AFF-BD16-C19A8A64459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4FAA72D-A753-46FB-9BB3-E4E2154A20C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d84b183-8b05-4a94-8c02-27d0921eb529"/>
    <ds:schemaRef ds:uri="http://schemas.microsoft.com/sharepoint/v3"/>
    <ds:schemaRef ds:uri="ffe2c5c0-2f03-4d54-9d97-2b7ca5ed0596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34423D9-987F-41F1-9854-257F8312A2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Pricing Matrix</vt:lpstr>
      <vt:lpstr>Summary</vt:lpstr>
      <vt:lpstr>'Pricing Matrix'!Print_Titles</vt:lpstr>
    </vt:vector>
  </TitlesOfParts>
  <Manager/>
  <Company>ONE-NET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Malloy, Daniel V CIV USN NAVSUP NAPLES</dc:creator>
  <cp:keywords/>
  <dc:description/>
  <cp:lastModifiedBy>Pipolo, Roberto IT USN NAVSUP FLCSI NAPLES</cp:lastModifiedBy>
  <cp:revision/>
  <dcterms:created xsi:type="dcterms:W3CDTF">2017-09-28T08:52:57Z</dcterms:created>
  <dcterms:modified xsi:type="dcterms:W3CDTF">2026-02-13T08:40:06Z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0x010100F6D814C8B0878B44A3454517B2DAC93F</vt:lpwstr>
  </property>
  <property fmtid="{D5CDD505-2E9C-101B-9397-08002B2CF9AE}" pid="3" name="_dlc_DocIdItemGuid">
    <vt:lpwstr>b5670a20-e69f-465d-b37b-5e872eb9f4d4</vt:lpwstr>
  </property>
  <property fmtid="{D5CDD505-2E9C-101B-9397-08002B2CF9AE}" pid="4" name="MediaServiceImageTags">
    <vt:lpwstr/>
  </property>
</Properties>
</file>