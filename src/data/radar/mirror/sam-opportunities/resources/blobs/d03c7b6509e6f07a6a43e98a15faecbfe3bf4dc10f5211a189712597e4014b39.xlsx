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rmyeitaas-my.sharepoint-mil.us/personal/kyle_j_plutschuck_civ_army_mil/Documents/Desktop/Spare Parts -EXHIBITS/"/>
    </mc:Choice>
  </mc:AlternateContent>
  <xr:revisionPtr revIDLastSave="89" documentId="8_{E1418DC3-1468-4927-9A86-26618C285255}" xr6:coauthVersionLast="47" xr6:coauthVersionMax="47" xr10:uidLastSave="{747C4CBD-13FB-499B-A2D1-C2E401743836}"/>
  <bookViews>
    <workbookView xWindow="-28920" yWindow="-90" windowWidth="29040" windowHeight="15690" xr2:uid="{00000000-000D-0000-FFFF-FFFF00000000}"/>
  </bookViews>
  <sheets>
    <sheet name="SPARES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6" i="1" l="1"/>
  <c r="I15" i="1"/>
  <c r="I52" i="1" l="1"/>
  <c r="I84" i="1"/>
  <c r="I60" i="1" l="1"/>
  <c r="I64" i="1"/>
  <c r="I42" i="1"/>
  <c r="I94" i="1"/>
  <c r="I81" i="1"/>
  <c r="I80" i="1"/>
  <c r="I109" i="1"/>
  <c r="I105" i="1"/>
  <c r="I62" i="1"/>
  <c r="I58" i="1"/>
  <c r="I57" i="1"/>
  <c r="I45" i="1"/>
  <c r="I17" i="1" l="1"/>
  <c r="I14" i="1"/>
  <c r="I106" i="1" l="1"/>
  <c r="I40" i="1"/>
  <c r="I38" i="1"/>
  <c r="I37" i="1"/>
  <c r="I36" i="1"/>
  <c r="I35" i="1"/>
  <c r="I34" i="1"/>
  <c r="I31" i="1"/>
  <c r="I30" i="1"/>
  <c r="I28" i="1"/>
  <c r="I27" i="1"/>
  <c r="I24" i="1"/>
  <c r="I23" i="1"/>
  <c r="I22" i="1"/>
  <c r="I13" i="1"/>
  <c r="I12" i="1"/>
  <c r="I90" i="1"/>
  <c r="I89" i="1"/>
  <c r="I97" i="1"/>
  <c r="I56" i="1"/>
  <c r="I55" i="1"/>
  <c r="I54" i="1"/>
  <c r="I53" i="1"/>
  <c r="I51" i="1"/>
  <c r="I50" i="1"/>
  <c r="I49" i="1"/>
  <c r="I48" i="1"/>
  <c r="I47" i="1"/>
  <c r="I46" i="1"/>
  <c r="I44" i="1"/>
  <c r="I43" i="1"/>
  <c r="I41" i="1"/>
  <c r="I96" i="1"/>
  <c r="I95" i="1"/>
  <c r="I104" i="1"/>
  <c r="I103" i="1"/>
  <c r="I102" i="1"/>
  <c r="I101" i="1"/>
  <c r="I100" i="1"/>
  <c r="I99" i="1"/>
  <c r="I98" i="1"/>
  <c r="I72" i="1"/>
  <c r="I74" i="1"/>
  <c r="I71" i="1"/>
  <c r="I70" i="1"/>
  <c r="I69" i="1"/>
  <c r="I61" i="1"/>
  <c r="I65" i="1"/>
  <c r="I66" i="1"/>
  <c r="I82" i="1"/>
  <c r="I18" i="1" l="1"/>
  <c r="I20" i="1"/>
  <c r="I25" i="1"/>
  <c r="I26" i="1"/>
  <c r="I29" i="1"/>
  <c r="I32" i="1"/>
  <c r="I33" i="1"/>
  <c r="I39" i="1"/>
  <c r="I59" i="1"/>
  <c r="I63" i="1"/>
  <c r="I68" i="1"/>
  <c r="I73" i="1"/>
  <c r="I75" i="1"/>
  <c r="I77" i="1"/>
  <c r="I78" i="1"/>
  <c r="I83" i="1"/>
  <c r="I85" i="1"/>
  <c r="I86" i="1"/>
  <c r="I87" i="1"/>
  <c r="I88" i="1"/>
  <c r="I92" i="1"/>
  <c r="I93" i="1"/>
  <c r="I107" i="1"/>
  <c r="I110" i="1" l="1"/>
</calcChain>
</file>

<file path=xl/sharedStrings.xml><?xml version="1.0" encoding="utf-8"?>
<sst xmlns="http://schemas.openxmlformats.org/spreadsheetml/2006/main" count="232" uniqueCount="214">
  <si>
    <t>OEM PART NUMBER</t>
  </si>
  <si>
    <t>Unit Price in US$</t>
  </si>
  <si>
    <t>Primary #</t>
  </si>
  <si>
    <t>EXTERIOR</t>
  </si>
  <si>
    <t>ELECTRICAL</t>
  </si>
  <si>
    <t>ENGINE/TRANSMISSION</t>
  </si>
  <si>
    <t>STARTER-MOTOR</t>
  </si>
  <si>
    <t>THERMOSTAT-ENGINE COOL</t>
  </si>
  <si>
    <t>FILTER-OIL</t>
  </si>
  <si>
    <t>FILTER-AIR CLEANER</t>
  </si>
  <si>
    <t>HVAC</t>
  </si>
  <si>
    <t>RADIATOR ASM</t>
  </si>
  <si>
    <t>EXHAUST SYSTEM</t>
  </si>
  <si>
    <t>BRAKES</t>
  </si>
  <si>
    <t>N/A</t>
  </si>
  <si>
    <t>SUSPENSION &amp; TIRES/WHEELS</t>
  </si>
  <si>
    <t>NUT-WHEEL HUB</t>
  </si>
  <si>
    <t>*NOTES (PART DESCRIPTION):</t>
  </si>
  <si>
    <t>ELIN #</t>
  </si>
  <si>
    <t>Total Extended Price</t>
  </si>
  <si>
    <t xml:space="preserve">TOTAL </t>
  </si>
  <si>
    <r>
      <t xml:space="preserve">1) If </t>
    </r>
    <r>
      <rPr>
        <b/>
        <u/>
        <sz val="10"/>
        <color indexed="8"/>
        <rFont val="Arial"/>
        <family val="2"/>
      </rPr>
      <t>RH or LH</t>
    </r>
    <r>
      <rPr>
        <b/>
        <sz val="10"/>
        <color indexed="8"/>
        <rFont val="Arial"/>
        <family val="2"/>
      </rPr>
      <t xml:space="preserve"> </t>
    </r>
    <r>
      <rPr>
        <sz val="10"/>
        <color indexed="8"/>
        <rFont val="Arial"/>
        <family val="2"/>
      </rPr>
      <t>is noted, then order qty. should be in multiples of 2</t>
    </r>
  </si>
  <si>
    <t>20 FT. ISO SHIPPING/STORAGE CONTAINER</t>
  </si>
  <si>
    <t>Attachment 0001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</si>
  <si>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</si>
  <si>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</si>
  <si>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</si>
  <si>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</si>
  <si>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</si>
  <si>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</si>
  <si>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</si>
  <si>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</si>
  <si>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</si>
  <si>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</si>
  <si>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Solicitation W912CH-26-R-0004</t>
  </si>
  <si>
    <t>ENGINE ASM</t>
  </si>
  <si>
    <t>TRANSMISSION ASM</t>
  </si>
  <si>
    <r>
      <t xml:space="preserve">WINDSHIELD-GLASS </t>
    </r>
    <r>
      <rPr>
        <b/>
        <sz val="10"/>
        <color rgb="FF000000"/>
        <rFont val="Arial"/>
        <family val="2"/>
      </rPr>
      <t>(LH)</t>
    </r>
  </si>
  <si>
    <r>
      <t xml:space="preserve">WINDSHIELD-GLASS </t>
    </r>
    <r>
      <rPr>
        <b/>
        <sz val="10"/>
        <color rgb="FF000000"/>
        <rFont val="Arial"/>
        <family val="2"/>
      </rPr>
      <t>(RH)</t>
    </r>
  </si>
  <si>
    <t>SPRING-FRT LEAF</t>
  </si>
  <si>
    <t>SPRING-RR LEAF</t>
  </si>
  <si>
    <r>
      <rPr>
        <sz val="10"/>
        <rFont val="Arial"/>
        <family val="2"/>
      </rPr>
      <t xml:space="preserve">SHOE KIT-RR BRAKE LINING </t>
    </r>
    <r>
      <rPr>
        <b/>
        <sz val="10"/>
        <rFont val="Arial"/>
        <family val="2"/>
      </rPr>
      <t>(RH or LH)</t>
    </r>
  </si>
  <si>
    <r>
      <t xml:space="preserve">SHOE KIT-FRT BRAKE LINING </t>
    </r>
    <r>
      <rPr>
        <b/>
        <sz val="10"/>
        <rFont val="Arial"/>
        <family val="2"/>
      </rPr>
      <t>(RH or LH)</t>
    </r>
  </si>
  <si>
    <t>SENSOR-BRAKE PEDAL ABS</t>
  </si>
  <si>
    <t>SPRING-FRT BRAKE KIT</t>
  </si>
  <si>
    <t>PUMP-BRAKE ABS MODULATOR</t>
  </si>
  <si>
    <t>FILTER-FUEL FRT</t>
  </si>
  <si>
    <t>FILTER-FUEL RR</t>
  </si>
  <si>
    <t>FILTER-ENGINE CHASSIS</t>
  </si>
  <si>
    <t xml:space="preserve">FOB-Origin </t>
  </si>
  <si>
    <t>TURBOCHARGER</t>
  </si>
  <si>
    <t>BEARING-FRT AXLE INNER</t>
  </si>
  <si>
    <t>BEARING-FRT AXLE OUTER</t>
  </si>
  <si>
    <t>BEARING-RR AXLE INNER</t>
  </si>
  <si>
    <t>BEARING-RR AXLE OUTER</t>
  </si>
  <si>
    <t>SEAL KIT-WINDSHIELD</t>
  </si>
  <si>
    <t>SEAL KIT-TRANS OIL COOLER</t>
  </si>
  <si>
    <t>TANK ASM-SURGE</t>
  </si>
  <si>
    <t>CAP-RADIATOR</t>
  </si>
  <si>
    <t>HOSE ASM-RAD UPR WATER COOL</t>
  </si>
  <si>
    <t>HOSE ASM-RAD TO CLR (NON-METALLIC)</t>
  </si>
  <si>
    <t>HOSE ASM-AIR COOLER</t>
  </si>
  <si>
    <t>HOSE-A/C</t>
  </si>
  <si>
    <t>PIPE ASM-EXHAUST TURBO</t>
  </si>
  <si>
    <t>BEARING-RR AXLE PINION</t>
  </si>
  <si>
    <t>WASHER NUT</t>
  </si>
  <si>
    <t>NUT-PINION</t>
  </si>
  <si>
    <t>SEAL ASM-OIL RR HUB</t>
  </si>
  <si>
    <t>TUBE-TURBOCHARGE EXH</t>
  </si>
  <si>
    <t>BUSHING-FRT &amp; RR SPRING</t>
  </si>
  <si>
    <t>VALVE KIT-INLET</t>
  </si>
  <si>
    <t>VALVE KIT-EXHAUST</t>
  </si>
  <si>
    <t>CROSSMEMBER ASM-FRT AXLE</t>
  </si>
  <si>
    <t>SEAL KIT-FRT &amp; RR AIR VALVE</t>
  </si>
  <si>
    <t>GENERATOR / ALTERNATOR (270 AMP)</t>
  </si>
  <si>
    <t>CAPSCREW</t>
  </si>
  <si>
    <t>LOCK WASHER</t>
  </si>
  <si>
    <t>INJECTOR-FUEL</t>
  </si>
  <si>
    <t>CLAMP-INJECTOR</t>
  </si>
  <si>
    <t>SCREW-INJECTOR</t>
  </si>
  <si>
    <t>PARTS KIT-LOWER ENGINE GASKET</t>
  </si>
  <si>
    <t>PARTS KIT-UPPER ENGINE GASKET (CYL HEAD)</t>
  </si>
  <si>
    <t>BEARING ASM-CTR UNIT</t>
  </si>
  <si>
    <t>PARTS KIT-UNIVERSAL JOINT</t>
  </si>
  <si>
    <t xml:space="preserve">FAN-CLUTCH </t>
  </si>
  <si>
    <t>CLUTCH-V-MASTER</t>
  </si>
  <si>
    <t>STEERING BOX</t>
  </si>
  <si>
    <t>SEAL-FRT DRUM OIL</t>
  </si>
  <si>
    <t>BRAKE ADJUST-AIR COMPRESSOR</t>
  </si>
  <si>
    <t>GASKET-AIR COMPRESSOR</t>
  </si>
  <si>
    <t>BEARING-FRT SUPPORT YOKE</t>
  </si>
  <si>
    <t>BEARING-RR SUPPORT YOKE</t>
  </si>
  <si>
    <t>SENSOR-CLUTCH</t>
  </si>
  <si>
    <t>SWITCH-ELECTRIC MAIN FUSE (250 AMP)</t>
  </si>
  <si>
    <t>WATER PUMP</t>
  </si>
  <si>
    <t>SENSOR-ENGINE FILTER</t>
  </si>
  <si>
    <t>PUMP-POWER STEERING</t>
  </si>
  <si>
    <t>TENSIONER-BELT</t>
  </si>
  <si>
    <t>SCREW-HEAD CAP</t>
  </si>
  <si>
    <t>SEAL-DIFFERENTIAL OIL PLUG</t>
  </si>
  <si>
    <t>PART DESCRIPTION</t>
  </si>
  <si>
    <t>Lebanon case: LE-B-WCY (Line 001)</t>
  </si>
  <si>
    <t>QTY.</t>
  </si>
  <si>
    <t>Blue Bird Bus (Model T3FE) common SPARE PARTS List</t>
  </si>
  <si>
    <t>011</t>
  </si>
  <si>
    <t>012</t>
  </si>
  <si>
    <t>013</t>
  </si>
  <si>
    <t>014</t>
  </si>
  <si>
    <t>018</t>
  </si>
  <si>
    <t>015</t>
  </si>
  <si>
    <t>033</t>
  </si>
  <si>
    <t>016</t>
  </si>
  <si>
    <t>017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</si>
  <si>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</si>
  <si>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</si>
  <si>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</si>
  <si>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</si>
  <si>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</si>
  <si>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</si>
  <si>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</si>
  <si>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</si>
  <si>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</si>
  <si>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</si>
  <si>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</si>
  <si>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</si>
  <si>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</si>
  <si>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</si>
  <si>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034</t>
  </si>
  <si>
    <t>035</t>
  </si>
  <si>
    <t>BELT-FAN (SERPENTINE)</t>
  </si>
  <si>
    <t xml:space="preserve">WATER COOLER PUMP </t>
  </si>
  <si>
    <t>CUMMINS</t>
  </si>
  <si>
    <t>ADAPTER-CRANKSHAFT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</si>
  <si>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</si>
  <si>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</si>
  <si>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</si>
  <si>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</si>
  <si>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</si>
  <si>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</si>
  <si>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</si>
  <si>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</si>
  <si>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</si>
  <si>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</si>
  <si>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</si>
  <si>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</si>
  <si>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</si>
  <si>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</si>
  <si>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</si>
  <si>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</si>
  <si>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</si>
  <si>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</si>
  <si>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</si>
  <si>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</si>
  <si>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</si>
  <si>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</si>
  <si>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</si>
  <si>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</si>
  <si>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</si>
  <si>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</si>
  <si>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</si>
  <si>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</si>
  <si>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</si>
  <si>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</si>
  <si>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</si>
  <si>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</si>
  <si>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</si>
  <si>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</si>
  <si>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</si>
  <si>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</si>
  <si>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</si>
  <si>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</si>
  <si>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</si>
  <si>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</si>
  <si>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</si>
  <si>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</si>
  <si>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</si>
  <si>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</si>
  <si>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</si>
  <si>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</si>
  <si>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</si>
  <si>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</si>
  <si>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FILTER-OIL TRANS</t>
  </si>
  <si>
    <t>21 Buses</t>
  </si>
  <si>
    <r>
      <rPr>
        <sz val="10"/>
        <color rgb="FF000000"/>
        <rFont val="Arial"/>
        <family val="2"/>
      </rPr>
      <t>2)</t>
    </r>
    <r>
      <rPr>
        <b/>
        <sz val="10"/>
        <color indexed="8"/>
        <rFont val="Arial"/>
        <family val="2"/>
      </rPr>
      <t xml:space="preserve"> </t>
    </r>
    <r>
      <rPr>
        <sz val="10"/>
        <color rgb="FF000000"/>
        <rFont val="Arial"/>
        <family val="2"/>
      </rPr>
      <t>Further support of 21 buses ordered under contract W56HZV-13-P-0405 (Lebanon case: LE-B-WBE)</t>
    </r>
  </si>
  <si>
    <t>Order Leadtime (*DARO)</t>
  </si>
  <si>
    <r>
      <rPr>
        <b/>
        <sz val="12"/>
        <color rgb="FF000000"/>
        <rFont val="Calibri"/>
        <family val="2"/>
      </rPr>
      <t>*DARO</t>
    </r>
    <r>
      <rPr>
        <sz val="12"/>
        <color indexed="8"/>
        <rFont val="Calibri"/>
        <family val="2"/>
      </rPr>
      <t xml:space="preserve"> = Days After Receipt of Order</t>
    </r>
  </si>
  <si>
    <t>HARNESS-SENSOR (BRAKE PEDAL ABS)</t>
  </si>
  <si>
    <r>
      <t xml:space="preserve">DRUM-FRT BRAKE </t>
    </r>
    <r>
      <rPr>
        <b/>
        <sz val="10"/>
        <rFont val="Arial"/>
        <family val="2"/>
      </rPr>
      <t>(RH or LH)</t>
    </r>
  </si>
  <si>
    <r>
      <t xml:space="preserve">DRUM-RR BRAKE </t>
    </r>
    <r>
      <rPr>
        <b/>
        <sz val="10"/>
        <rFont val="Arial"/>
        <family val="2"/>
      </rPr>
      <t>(RH or LH)</t>
    </r>
  </si>
  <si>
    <t>FILTER ASM-FUEL/WATER SEPARATOR</t>
  </si>
  <si>
    <r>
      <t xml:space="preserve">WIPER MOTOR ASM </t>
    </r>
    <r>
      <rPr>
        <b/>
        <sz val="10"/>
        <color rgb="FF000000"/>
        <rFont val="Arial"/>
        <family val="2"/>
      </rPr>
      <t>(LH)</t>
    </r>
  </si>
  <si>
    <r>
      <t xml:space="preserve">WIPER MOTOR ASM </t>
    </r>
    <r>
      <rPr>
        <b/>
        <sz val="10"/>
        <color indexed="8"/>
        <rFont val="Arial"/>
        <family val="2"/>
      </rPr>
      <t>(RH)</t>
    </r>
  </si>
  <si>
    <t>FILTER-FUEL/WATER</t>
  </si>
  <si>
    <t>NORTHERN RADIATOR</t>
  </si>
  <si>
    <t>PULLEY ASM-IDLER (BELT FAN)</t>
  </si>
  <si>
    <t>4938205 (1454636)</t>
  </si>
  <si>
    <t>DR6480RXCUM (10016402)</t>
  </si>
  <si>
    <t>084</t>
  </si>
  <si>
    <t>085</t>
  </si>
  <si>
    <t>086</t>
  </si>
  <si>
    <t>087</t>
  </si>
  <si>
    <t>088</t>
  </si>
  <si>
    <t>IDLER-DRIVE FAN</t>
  </si>
  <si>
    <t>DRIVE SHAFT-SPL70, CPLG W/O CTR BRG, 60.77"</t>
  </si>
  <si>
    <t>DRIVE SHAFT-SPL70, CPLG W/CTR BRG, 39.32"</t>
  </si>
  <si>
    <t>DRIVE SHAFT-SPL70, SLIP W/CTR BRG, 55"</t>
  </si>
  <si>
    <t>DRIVE SHAFT-SPL70, CPLG W/CTR BRG, 61"</t>
  </si>
  <si>
    <t>OEM/Tier #1 Supplier Name</t>
  </si>
  <si>
    <r>
      <t>TIRE-ALL POSITION RADIAL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(11R22.5) Hankook AH37 LRG</t>
    </r>
  </si>
  <si>
    <t>CLIN 0001AA</t>
  </si>
  <si>
    <r>
      <t xml:space="preserve">BLADE ASM-WIPER (26 IN.) </t>
    </r>
    <r>
      <rPr>
        <b/>
        <sz val="10"/>
        <color rgb="FF000000"/>
        <rFont val="Arial"/>
        <family val="2"/>
      </rPr>
      <t>(RH) or (LH)</t>
    </r>
  </si>
  <si>
    <r>
      <t xml:space="preserve">ARM ASM-WIPER </t>
    </r>
    <r>
      <rPr>
        <b/>
        <sz val="10"/>
        <color rgb="FF000000"/>
        <rFont val="Arial"/>
        <family val="2"/>
      </rPr>
      <t>(RH) or (LH)</t>
    </r>
  </si>
  <si>
    <t>089</t>
  </si>
  <si>
    <t>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</si>
</sst>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0"/>
      <color indexed="8"/>
      <name val="Calibri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2"/>
      <color indexed="8"/>
      <name val="Arial"/>
      <family val="2"/>
    </font>
    <font>
      <u/>
      <sz val="12"/>
      <color indexed="8"/>
      <name val="Calibri"/>
      <family val="2"/>
    </font>
    <font>
      <sz val="12"/>
      <color indexed="8"/>
      <name val="Calibri"/>
      <family val="2"/>
    </font>
    <font>
      <sz val="9"/>
      <name val="Arial"/>
      <family val="2"/>
    </font>
    <font>
      <b/>
      <i/>
      <sz val="10"/>
      <name val="Arial"/>
      <family val="2"/>
    </font>
    <font>
      <b/>
      <sz val="10"/>
      <color indexed="8"/>
      <name val="Calibri"/>
      <family val="2"/>
    </font>
    <font>
      <b/>
      <u/>
      <sz val="10"/>
      <color indexed="8"/>
      <name val="Arial"/>
      <family val="2"/>
    </font>
    <font>
      <b/>
      <sz val="10"/>
      <color theme="4" tint="0.59999389629810485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1" fillId="0" borderId="0"/>
    <xf numFmtId="0" fontId="1" fillId="0" borderId="0"/>
  </cellStyleXfs>
  <cellXfs count="128">
    <xf numFmtId="0" fontId="0" fillId="0" borderId="0" xfId="0"/>
    <xf numFmtId="0" fontId="3" fillId="0" borderId="0" xfId="0" applyFont="1"/>
    <xf numFmtId="0" fontId="5" fillId="0" borderId="0" xfId="3" applyFont="1" applyAlignment="1">
      <alignment horizontal="center" vertical="center"/>
    </xf>
    <xf numFmtId="14" fontId="4" fillId="0" borderId="0" xfId="3" applyNumberFormat="1" applyFont="1" applyAlignment="1">
      <alignment horizontal="center" vertical="center"/>
    </xf>
    <xf numFmtId="0" fontId="5" fillId="0" borderId="0" xfId="3" applyFont="1" applyAlignment="1">
      <alignment horizontal="right" vertical="center"/>
    </xf>
    <xf numFmtId="0" fontId="5" fillId="0" borderId="0" xfId="3" quotePrefix="1" applyFont="1" applyAlignment="1">
      <alignment horizontal="center" vertical="center"/>
    </xf>
    <xf numFmtId="0" fontId="1" fillId="0" borderId="0" xfId="3" applyAlignment="1">
      <alignment horizontal="center" vertical="center"/>
    </xf>
    <xf numFmtId="0" fontId="1" fillId="0" borderId="0" xfId="3" applyAlignment="1">
      <alignment vertical="center"/>
    </xf>
    <xf numFmtId="0" fontId="6" fillId="0" borderId="0" xfId="0" quotePrefix="1" applyFont="1" applyAlignment="1">
      <alignment horizontal="center" vertical="center"/>
    </xf>
    <xf numFmtId="0" fontId="6" fillId="0" borderId="0" xfId="0" applyFont="1"/>
    <xf numFmtId="0" fontId="10" fillId="0" borderId="0" xfId="0" applyFont="1"/>
    <xf numFmtId="0" fontId="11" fillId="0" borderId="0" xfId="0" applyFont="1"/>
    <xf numFmtId="0" fontId="1" fillId="0" borderId="0" xfId="0" applyFont="1"/>
    <xf numFmtId="0" fontId="5" fillId="0" borderId="0" xfId="0" applyFont="1"/>
    <xf numFmtId="0" fontId="12" fillId="0" borderId="0" xfId="0" applyFont="1"/>
    <xf numFmtId="1" fontId="13" fillId="0" borderId="0" xfId="0" applyNumberFormat="1" applyFont="1"/>
    <xf numFmtId="0" fontId="0" fillId="0" borderId="0" xfId="0" applyAlignment="1">
      <alignment horizontal="center"/>
    </xf>
    <xf numFmtId="164" fontId="0" fillId="0" borderId="0" xfId="0" applyNumberFormat="1"/>
    <xf numFmtId="14" fontId="5" fillId="0" borderId="0" xfId="3" applyNumberFormat="1" applyFont="1" applyAlignment="1">
      <alignment horizontal="center" vertical="center"/>
    </xf>
    <xf numFmtId="14" fontId="5" fillId="0" borderId="0" xfId="3" applyNumberFormat="1" applyFont="1" applyAlignment="1">
      <alignment vertical="center"/>
    </xf>
    <xf numFmtId="0" fontId="14" fillId="0" borderId="1" xfId="0" applyFont="1" applyBorder="1"/>
    <xf numFmtId="0" fontId="16" fillId="3" borderId="15" xfId="3" applyFont="1" applyFill="1" applyBorder="1" applyAlignment="1">
      <alignment horizontal="center" vertical="center"/>
    </xf>
    <xf numFmtId="0" fontId="5" fillId="3" borderId="1" xfId="3" applyFont="1" applyFill="1" applyBorder="1" applyAlignment="1">
      <alignment horizontal="center" vertical="center"/>
    </xf>
    <xf numFmtId="0" fontId="5" fillId="3" borderId="13" xfId="3" applyFont="1" applyFill="1" applyBorder="1" applyAlignment="1">
      <alignment horizontal="center" vertical="center" wrapText="1"/>
    </xf>
    <xf numFmtId="0" fontId="1" fillId="3" borderId="2" xfId="3" applyFill="1" applyBorder="1" applyAlignment="1">
      <alignment vertical="center"/>
    </xf>
    <xf numFmtId="0" fontId="1" fillId="3" borderId="2" xfId="3" applyFill="1" applyBorder="1" applyAlignment="1" applyProtection="1">
      <alignment horizontal="center" vertical="center"/>
      <protection locked="0"/>
    </xf>
    <xf numFmtId="44" fontId="7" fillId="3" borderId="2" xfId="2" applyFont="1" applyFill="1" applyBorder="1" applyProtection="1">
      <protection locked="0"/>
    </xf>
    <xf numFmtId="8" fontId="6" fillId="4" borderId="2" xfId="0" applyNumberFormat="1" applyFont="1" applyFill="1" applyBorder="1"/>
    <xf numFmtId="0" fontId="7" fillId="0" borderId="2" xfId="4" applyFont="1" applyBorder="1" applyAlignment="1">
      <alignment horizontal="left"/>
    </xf>
    <xf numFmtId="0" fontId="1" fillId="0" borderId="2" xfId="4" applyBorder="1" applyAlignment="1">
      <alignment horizontal="left" vertical="center"/>
    </xf>
    <xf numFmtId="0" fontId="1" fillId="0" borderId="2" xfId="4" applyBorder="1" applyAlignment="1">
      <alignment horizontal="left"/>
    </xf>
    <xf numFmtId="0" fontId="5" fillId="0" borderId="2" xfId="1" applyNumberFormat="1" applyFont="1" applyFill="1" applyBorder="1" applyAlignment="1" applyProtection="1">
      <alignment horizontal="center" vertical="center"/>
    </xf>
    <xf numFmtId="14" fontId="5" fillId="3" borderId="2" xfId="3" applyNumberFormat="1" applyFont="1" applyFill="1" applyBorder="1" applyAlignment="1">
      <alignment horizontal="center" vertical="center"/>
    </xf>
    <xf numFmtId="8" fontId="6" fillId="5" borderId="2" xfId="0" applyNumberFormat="1" applyFont="1" applyFill="1" applyBorder="1"/>
    <xf numFmtId="0" fontId="7" fillId="0" borderId="0" xfId="0" applyFont="1"/>
    <xf numFmtId="0" fontId="15" fillId="0" borderId="0" xfId="0" applyFont="1"/>
    <xf numFmtId="0" fontId="5" fillId="3" borderId="16" xfId="3" applyFont="1" applyFill="1" applyBorder="1" applyAlignment="1">
      <alignment horizontal="center" vertical="center"/>
    </xf>
    <xf numFmtId="0" fontId="6" fillId="6" borderId="5" xfId="0" applyFont="1" applyFill="1" applyBorder="1"/>
    <xf numFmtId="0" fontId="6" fillId="6" borderId="6" xfId="0" applyFont="1" applyFill="1" applyBorder="1"/>
    <xf numFmtId="0" fontId="9" fillId="6" borderId="7" xfId="0" applyFont="1" applyFill="1" applyBorder="1" applyAlignment="1">
      <alignment horizontal="right"/>
    </xf>
    <xf numFmtId="8" fontId="6" fillId="6" borderId="8" xfId="0" applyNumberFormat="1" applyFont="1" applyFill="1" applyBorder="1"/>
    <xf numFmtId="0" fontId="6" fillId="6" borderId="1" xfId="0" quotePrefix="1" applyFont="1" applyFill="1" applyBorder="1" applyAlignment="1">
      <alignment horizontal="center" vertical="center"/>
    </xf>
    <xf numFmtId="0" fontId="1" fillId="5" borderId="2" xfId="3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5" fillId="2" borderId="11" xfId="3" applyFont="1" applyFill="1" applyBorder="1" applyAlignment="1">
      <alignment horizontal="center" vertical="center" wrapText="1"/>
    </xf>
    <xf numFmtId="0" fontId="14" fillId="0" borderId="2" xfId="0" quotePrefix="1" applyFont="1" applyBorder="1"/>
    <xf numFmtId="0" fontId="5" fillId="5" borderId="2" xfId="4" applyFont="1" applyFill="1" applyBorder="1" applyAlignment="1">
      <alignment horizontal="left" vertical="center"/>
    </xf>
    <xf numFmtId="0" fontId="5" fillId="5" borderId="2" xfId="1" applyNumberFormat="1" applyFont="1" applyFill="1" applyBorder="1" applyAlignment="1" applyProtection="1">
      <alignment horizontal="center" vertical="center"/>
    </xf>
    <xf numFmtId="0" fontId="1" fillId="5" borderId="2" xfId="3" applyFont="1" applyFill="1" applyBorder="1" applyAlignment="1">
      <alignment horizontal="center" vertical="center"/>
    </xf>
    <xf numFmtId="0" fontId="1" fillId="5" borderId="2" xfId="4" applyFont="1" applyFill="1" applyBorder="1" applyAlignment="1">
      <alignment horizontal="left" vertical="center"/>
    </xf>
    <xf numFmtId="0" fontId="3" fillId="0" borderId="0" xfId="0" applyFont="1"/>
    <xf numFmtId="0" fontId="1" fillId="0" borderId="2" xfId="4" applyFont="1" applyBorder="1"/>
    <xf numFmtId="0" fontId="4" fillId="3" borderId="2" xfId="4" applyFont="1" applyFill="1" applyBorder="1"/>
    <xf numFmtId="0" fontId="1" fillId="5" borderId="2" xfId="4" applyFont="1" applyFill="1" applyBorder="1" applyAlignment="1">
      <alignment horizontal="center" vertical="center"/>
    </xf>
    <xf numFmtId="0" fontId="4" fillId="3" borderId="2" xfId="4" applyFont="1" applyFill="1" applyBorder="1" applyProtection="1">
      <protection locked="0"/>
    </xf>
    <xf numFmtId="44" fontId="1" fillId="3" borderId="2" xfId="4" applyNumberFormat="1" applyFont="1" applyFill="1" applyBorder="1" applyAlignment="1" applyProtection="1">
      <alignment horizontal="center" vertical="center"/>
      <protection locked="0"/>
    </xf>
    <xf numFmtId="0" fontId="1" fillId="5" borderId="2" xfId="3" applyNumberFormat="1" applyFill="1" applyBorder="1" applyAlignment="1">
      <alignment horizontal="center" vertical="center"/>
    </xf>
    <xf numFmtId="0" fontId="1" fillId="5" borderId="2" xfId="3" applyNumberFormat="1" applyFont="1" applyFill="1" applyBorder="1" applyAlignment="1">
      <alignment horizontal="center" vertical="center"/>
    </xf>
    <xf numFmtId="164" fontId="5" fillId="4" borderId="2" xfId="4" applyNumberFormat="1" applyFont="1" applyFill="1" applyBorder="1"/>
    <xf numFmtId="164" fontId="6" fillId="4" borderId="2" xfId="0" applyNumberFormat="1" applyFont="1" applyFill="1" applyBorder="1"/>
    <xf numFmtId="0" fontId="4" fillId="8" borderId="3" xfId="4" applyFont="1" applyFill="1" applyBorder="1"/>
    <xf numFmtId="0" fontId="4" fillId="8" borderId="4" xfId="4" applyFont="1" applyFill="1" applyBorder="1"/>
    <xf numFmtId="164" fontId="4" fillId="8" borderId="4" xfId="4" applyNumberFormat="1" applyFont="1" applyFill="1" applyBorder="1"/>
    <xf numFmtId="0" fontId="4" fillId="8" borderId="2" xfId="4" applyFont="1" applyFill="1" applyBorder="1" applyAlignment="1">
      <alignment vertical="center"/>
    </xf>
    <xf numFmtId="0" fontId="4" fillId="8" borderId="2" xfId="4" applyFont="1" applyFill="1" applyBorder="1" applyAlignment="1" applyProtection="1">
      <alignment vertical="center"/>
      <protection locked="0"/>
    </xf>
    <xf numFmtId="164" fontId="5" fillId="8" borderId="2" xfId="4" applyNumberFormat="1" applyFont="1" applyFill="1" applyBorder="1" applyAlignment="1">
      <alignment vertical="center"/>
    </xf>
    <xf numFmtId="0" fontId="4" fillId="8" borderId="2" xfId="4" applyFont="1" applyFill="1" applyBorder="1"/>
    <xf numFmtId="0" fontId="4" fillId="8" borderId="2" xfId="4" applyFont="1" applyFill="1" applyBorder="1" applyProtection="1">
      <protection locked="0"/>
    </xf>
    <xf numFmtId="164" fontId="5" fillId="8" borderId="2" xfId="4" applyNumberFormat="1" applyFont="1" applyFill="1" applyBorder="1"/>
    <xf numFmtId="0" fontId="4" fillId="8" borderId="2" xfId="4" applyNumberFormat="1" applyFont="1" applyFill="1" applyBorder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5" fillId="3" borderId="24" xfId="3" applyFont="1" applyFill="1" applyBorder="1" applyAlignment="1">
      <alignment horizontal="center" vertical="center"/>
    </xf>
    <xf numFmtId="0" fontId="5" fillId="2" borderId="9" xfId="3" applyFont="1" applyFill="1" applyBorder="1" applyAlignment="1">
      <alignment horizontal="center" vertical="center" wrapText="1"/>
    </xf>
    <xf numFmtId="0" fontId="3" fillId="8" borderId="0" xfId="0" applyFont="1" applyFill="1"/>
    <xf numFmtId="0" fontId="14" fillId="8" borderId="2" xfId="0" applyFont="1" applyFill="1" applyBorder="1"/>
    <xf numFmtId="0" fontId="3" fillId="0" borderId="0" xfId="0" applyFont="1"/>
    <xf numFmtId="0" fontId="1" fillId="5" borderId="2" xfId="3" applyFill="1" applyBorder="1" applyAlignment="1">
      <alignment horizontal="center" vertical="center" wrapText="1"/>
    </xf>
    <xf numFmtId="0" fontId="14" fillId="0" borderId="0" xfId="0" applyFont="1"/>
    <xf numFmtId="0" fontId="16" fillId="3" borderId="20" xfId="3" applyFont="1" applyFill="1" applyBorder="1" applyAlignment="1">
      <alignment horizontal="center" vertical="center"/>
    </xf>
    <xf numFmtId="0" fontId="5" fillId="3" borderId="25" xfId="3" applyFont="1" applyFill="1" applyBorder="1" applyAlignment="1">
      <alignment horizontal="center" vertical="center"/>
    </xf>
    <xf numFmtId="0" fontId="1" fillId="9" borderId="2" xfId="3" applyFill="1" applyBorder="1" applyAlignment="1" applyProtection="1">
      <alignment horizontal="center" vertical="center"/>
      <protection locked="0"/>
    </xf>
    <xf numFmtId="0" fontId="11" fillId="9" borderId="0" xfId="0" applyFont="1" applyFill="1"/>
    <xf numFmtId="0" fontId="1" fillId="9" borderId="2" xfId="4" applyFont="1" applyFill="1" applyBorder="1" applyAlignment="1" applyProtection="1">
      <alignment horizontal="center" vertical="center"/>
      <protection locked="0"/>
    </xf>
    <xf numFmtId="0" fontId="3" fillId="0" borderId="0" xfId="0" applyFont="1"/>
    <xf numFmtId="0" fontId="1" fillId="5" borderId="2" xfId="4" applyFill="1" applyBorder="1" applyAlignment="1">
      <alignment horizontal="left" vertical="center"/>
    </xf>
    <xf numFmtId="8" fontId="7" fillId="5" borderId="2" xfId="0" applyNumberFormat="1" applyFont="1" applyFill="1" applyBorder="1" applyAlignment="1">
      <alignment horizontal="center" vertical="center"/>
    </xf>
    <xf numFmtId="8" fontId="7" fillId="3" borderId="2" xfId="0" applyNumberFormat="1" applyFont="1" applyFill="1" applyBorder="1" applyAlignment="1" applyProtection="1">
      <alignment horizontal="center" vertical="center"/>
      <protection locked="0"/>
    </xf>
    <xf numFmtId="8" fontId="7" fillId="9" borderId="2" xfId="0" applyNumberFormat="1" applyFont="1" applyFill="1" applyBorder="1" applyProtection="1">
      <protection locked="0"/>
    </xf>
    <xf numFmtId="0" fontId="1" fillId="3" borderId="2" xfId="3" applyFill="1" applyBorder="1" applyAlignment="1" applyProtection="1">
      <alignment horizontal="center" vertical="center" wrapText="1"/>
      <protection locked="0"/>
    </xf>
    <xf numFmtId="0" fontId="7" fillId="5" borderId="2" xfId="4" applyFont="1" applyFill="1" applyBorder="1" applyAlignment="1">
      <alignment horizontal="left"/>
    </xf>
    <xf numFmtId="0" fontId="1" fillId="9" borderId="2" xfId="3" applyFont="1" applyFill="1" applyBorder="1" applyAlignment="1" applyProtection="1">
      <alignment horizontal="center" vertical="center"/>
      <protection locked="0"/>
    </xf>
    <xf numFmtId="0" fontId="5" fillId="9" borderId="1" xfId="3" applyFont="1" applyFill="1" applyBorder="1" applyAlignment="1">
      <alignment horizontal="center" vertical="center" wrapText="1"/>
    </xf>
    <xf numFmtId="0" fontId="14" fillId="5" borderId="2" xfId="0" quotePrefix="1" applyFont="1" applyFill="1" applyBorder="1"/>
    <xf numFmtId="0" fontId="20" fillId="0" borderId="0" xfId="0" applyFont="1"/>
    <xf numFmtId="0" fontId="21" fillId="0" borderId="0" xfId="0" applyFont="1"/>
    <xf numFmtId="0" fontId="20" fillId="5" borderId="0" xfId="0" applyFont="1" applyFill="1"/>
    <xf numFmtId="44" fontId="7" fillId="3" borderId="2" xfId="0" applyNumberFormat="1" applyFont="1" applyFill="1" applyBorder="1" applyProtection="1">
      <protection locked="0"/>
    </xf>
    <xf numFmtId="8" fontId="7" fillId="3" borderId="2" xfId="0" applyNumberFormat="1" applyFont="1" applyFill="1" applyBorder="1"/>
    <xf numFmtId="0" fontId="1" fillId="3" borderId="2" xfId="4" applyFont="1" applyFill="1" applyBorder="1" applyAlignment="1" applyProtection="1">
      <alignment horizontal="center" vertical="center"/>
      <protection locked="0"/>
    </xf>
    <xf numFmtId="0" fontId="5" fillId="5" borderId="2" xfId="0" applyNumberFormat="1" applyFont="1" applyFill="1" applyBorder="1" applyAlignment="1">
      <alignment horizontal="center" vertical="center"/>
    </xf>
    <xf numFmtId="0" fontId="5" fillId="3" borderId="1" xfId="3" applyFont="1" applyFill="1" applyBorder="1" applyAlignment="1">
      <alignment horizontal="center" vertical="center" wrapText="1"/>
    </xf>
    <xf numFmtId="0" fontId="0" fillId="5" borderId="0" xfId="0" applyFill="1"/>
    <xf numFmtId="0" fontId="14" fillId="8" borderId="2" xfId="0" quotePrefix="1" applyFont="1" applyFill="1" applyBorder="1"/>
    <xf numFmtId="0" fontId="1" fillId="8" borderId="2" xfId="4" applyFill="1" applyBorder="1" applyAlignment="1">
      <alignment horizontal="left" vertical="center"/>
    </xf>
    <xf numFmtId="0" fontId="5" fillId="8" borderId="2" xfId="1" applyNumberFormat="1" applyFont="1" applyFill="1" applyBorder="1" applyAlignment="1" applyProtection="1">
      <alignment horizontal="center" vertical="center"/>
    </xf>
    <xf numFmtId="0" fontId="1" fillId="8" borderId="2" xfId="3" applyFill="1" applyBorder="1" applyAlignment="1">
      <alignment vertical="center"/>
    </xf>
    <xf numFmtId="0" fontId="1" fillId="8" borderId="2" xfId="3" applyFill="1" applyBorder="1" applyAlignment="1">
      <alignment horizontal="center" vertical="center"/>
    </xf>
    <xf numFmtId="0" fontId="1" fillId="8" borderId="2" xfId="3" applyFill="1" applyBorder="1" applyAlignment="1" applyProtection="1">
      <alignment horizontal="center" vertical="center"/>
      <protection locked="0"/>
    </xf>
    <xf numFmtId="44" fontId="7" fillId="8" borderId="2" xfId="2" applyFont="1" applyFill="1" applyBorder="1" applyProtection="1">
      <protection locked="0"/>
    </xf>
    <xf numFmtId="8" fontId="6" fillId="8" borderId="2" xfId="0" applyNumberFormat="1" applyFont="1" applyFill="1" applyBorder="1"/>
    <xf numFmtId="0" fontId="5" fillId="5" borderId="2" xfId="4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3" fillId="0" borderId="0" xfId="0" applyFont="1"/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2" borderId="19" xfId="3" applyFont="1" applyFill="1" applyBorder="1" applyAlignment="1">
      <alignment horizontal="center" vertical="center" wrapText="1"/>
    </xf>
    <xf numFmtId="0" fontId="5" fillId="7" borderId="21" xfId="3" applyFont="1" applyFill="1" applyBorder="1" applyAlignment="1">
      <alignment horizontal="center" vertical="center"/>
    </xf>
    <xf numFmtId="0" fontId="5" fillId="2" borderId="23" xfId="3" applyFont="1" applyFill="1" applyBorder="1" applyAlignment="1">
      <alignment horizontal="center" vertical="center"/>
    </xf>
    <xf numFmtId="0" fontId="5" fillId="3" borderId="20" xfId="3" applyFont="1" applyFill="1" applyBorder="1" applyAlignment="1">
      <alignment horizontal="center" vertical="center"/>
    </xf>
    <xf numFmtId="0" fontId="5" fillId="3" borderId="22" xfId="3" applyFont="1" applyFill="1" applyBorder="1" applyAlignment="1">
      <alignment horizontal="center" vertical="center"/>
    </xf>
    <xf numFmtId="0" fontId="5" fillId="3" borderId="17" xfId="3" applyFont="1" applyFill="1" applyBorder="1" applyAlignment="1">
      <alignment horizontal="center" vertical="center" wrapText="1"/>
    </xf>
    <xf numFmtId="0" fontId="5" fillId="3" borderId="18" xfId="3" applyFont="1" applyFill="1" applyBorder="1" applyAlignment="1">
      <alignment horizontal="center" vertical="center" wrapText="1"/>
    </xf>
    <xf numFmtId="0" fontId="5" fillId="3" borderId="14" xfId="3" applyFont="1" applyFill="1" applyBorder="1" applyAlignment="1">
      <alignment horizontal="center" vertical="center" wrapText="1"/>
    </xf>
    <xf numFmtId="0" fontId="5" fillId="3" borderId="12" xfId="3" applyFont="1" applyFill="1" applyBorder="1" applyAlignment="1">
      <alignment horizontal="center" vertical="center" wrapText="1"/>
    </xf>
    <xf numFmtId="164" fontId="5" fillId="4" borderId="9" xfId="3" applyNumberFormat="1" applyFont="1" applyFill="1" applyBorder="1" applyAlignment="1">
      <alignment horizontal="center" vertical="center" wrapText="1"/>
    </xf>
    <xf numFmtId="164" fontId="5" fillId="4" borderId="10" xfId="3" applyNumberFormat="1" applyFont="1" applyFill="1" applyBorder="1" applyAlignment="1">
      <alignment horizontal="center" vertical="center" wrapText="1"/>
    </xf>
    <xf numFmtId="164" fontId="5" fillId="4" borderId="11" xfId="3" applyNumberFormat="1" applyFont="1" applyFill="1" applyBorder="1" applyAlignment="1">
      <alignment horizontal="center" vertical="center" wrapText="1"/>
    </xf>
  </cellXfs>
  <cellStyles count="5">
    <cellStyle name="Comma 3" xfId="1" xr:uid="{00000000-0005-0000-0000-000000000000}"/>
    <cellStyle name="Currency 2" xfId="2" xr:uid="{00000000-0005-0000-0000-000001000000}"/>
    <cellStyle name="Normal" xfId="0" builtinId="0"/>
    <cellStyle name="Normal 3" xfId="3" xr:uid="{00000000-0005-0000-0000-000003000000}"/>
    <cellStyle name="Normal 8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topLeftCell="A84" zoomScaleNormal="100" workbookViewId="0">
      <selection activeCell="B101" sqref="B101"/>
    </sheetView>
  </sheetViews>
  <sheetFormatPr defaultColWidth="26.7109375" defaultRowHeight="15" x14ac:dyDescent="0.25"/>
  <cols>
    <col min="1" max="1" width="6.42578125" style="1" customWidth="1"/>
    <col min="2" max="2" width="51.42578125" style="1" customWidth="1"/>
    <col min="3" max="3" width="7.7109375" style="1" customWidth="1"/>
    <col min="4" max="4" width="35.140625" style="1" customWidth="1"/>
    <col min="5" max="5" width="23.85546875" style="1" customWidth="1"/>
    <col min="6" max="6" width="17.7109375" style="1" customWidth="1"/>
    <col min="7" max="7" width="10.28515625" style="76" customWidth="1"/>
    <col min="8" max="8" width="11.28515625" style="1" customWidth="1"/>
    <col min="9" max="9" width="13.42578125" style="1" customWidth="1"/>
    <col min="10" max="10" width="10.42578125" customWidth="1"/>
    <col min="11" max="252" width="9.140625" customWidth="1"/>
    <col min="253" max="253" width="44.5703125" customWidth="1"/>
    <col min="254" max="254" width="8.7109375" customWidth="1"/>
    <col min="255" max="255" width="7.5703125" customWidth="1"/>
    <col min="256" max="256" width="8.140625" customWidth="1"/>
  </cols>
  <sheetData>
    <row r="1" spans="1:9" ht="15.75" x14ac:dyDescent="0.25">
      <c r="A1" s="50"/>
      <c r="B1" s="50"/>
      <c r="C1" s="50"/>
      <c r="D1" s="70" t="s">
        <v>34</v>
      </c>
      <c r="E1" s="50"/>
      <c r="F1" s="50"/>
      <c r="H1" s="50"/>
      <c r="I1" s="50"/>
    </row>
    <row r="2" spans="1:9" ht="15.75" x14ac:dyDescent="0.25">
      <c r="A2" s="50"/>
      <c r="B2" s="50"/>
      <c r="C2" s="50"/>
      <c r="D2" s="71" t="s">
        <v>23</v>
      </c>
      <c r="E2" s="50"/>
      <c r="F2" s="50"/>
      <c r="H2" s="50"/>
      <c r="I2" s="50"/>
    </row>
    <row r="3" spans="1:9" ht="20.25" customHeight="1" x14ac:dyDescent="0.25">
      <c r="B3" s="114" t="s">
        <v>103</v>
      </c>
      <c r="C3" s="114"/>
      <c r="D3" s="114"/>
      <c r="E3" s="114"/>
      <c r="F3" s="114"/>
      <c r="G3" s="114"/>
      <c r="H3" s="114"/>
      <c r="I3" s="114"/>
    </row>
    <row r="4" spans="1:9" ht="15.75" x14ac:dyDescent="0.25">
      <c r="B4" s="115" t="s">
        <v>49</v>
      </c>
      <c r="C4" s="115"/>
      <c r="D4" s="115"/>
      <c r="E4" s="115"/>
      <c r="F4" s="115"/>
      <c r="G4" s="115"/>
      <c r="H4" s="115"/>
      <c r="I4" s="115"/>
    </row>
    <row r="5" spans="1:9" ht="15.75" x14ac:dyDescent="0.25">
      <c r="B5" s="2"/>
      <c r="C5" s="2"/>
      <c r="D5" s="32" t="s">
        <v>101</v>
      </c>
      <c r="E5" s="3"/>
      <c r="F5" s="3"/>
      <c r="G5" s="3"/>
      <c r="H5" s="2"/>
      <c r="I5" s="2"/>
    </row>
    <row r="6" spans="1:9" ht="15.75" thickBot="1" x14ac:dyDescent="0.3">
      <c r="B6" s="19"/>
      <c r="C6" s="19"/>
      <c r="D6" s="18">
        <v>46111</v>
      </c>
      <c r="E6" s="19"/>
      <c r="F6" s="19"/>
      <c r="G6" s="19"/>
      <c r="H6" s="19"/>
      <c r="I6" s="19"/>
    </row>
    <row r="7" spans="1:9" ht="15.75" thickBot="1" x14ac:dyDescent="0.3">
      <c r="B7" s="4"/>
      <c r="C7" s="5"/>
      <c r="D7" s="6"/>
      <c r="E7" s="7"/>
      <c r="F7" s="7"/>
      <c r="G7" s="7"/>
      <c r="H7" s="8"/>
      <c r="I7" s="41" t="s">
        <v>209</v>
      </c>
    </row>
    <row r="8" spans="1:9" ht="27.75" customHeight="1" x14ac:dyDescent="0.25">
      <c r="B8" s="116" t="s">
        <v>100</v>
      </c>
      <c r="C8" s="73"/>
      <c r="D8" s="119"/>
      <c r="E8" s="121" t="s">
        <v>0</v>
      </c>
      <c r="F8" s="21"/>
      <c r="G8" s="79"/>
      <c r="H8" s="123" t="s">
        <v>1</v>
      </c>
      <c r="I8" s="125" t="s">
        <v>19</v>
      </c>
    </row>
    <row r="9" spans="1:9" ht="33.75" customHeight="1" thickBot="1" x14ac:dyDescent="0.3">
      <c r="B9" s="117"/>
      <c r="C9" s="44" t="s">
        <v>102</v>
      </c>
      <c r="D9" s="120"/>
      <c r="E9" s="122"/>
      <c r="F9" s="36"/>
      <c r="G9" s="80"/>
      <c r="H9" s="124"/>
      <c r="I9" s="126"/>
    </row>
    <row r="10" spans="1:9" ht="60" customHeight="1" thickBot="1" x14ac:dyDescent="0.3">
      <c r="A10" s="20" t="s">
        <v>18</v>
      </c>
      <c r="B10" s="118"/>
      <c r="C10" s="43" t="s">
        <v>182</v>
      </c>
      <c r="D10" s="72"/>
      <c r="E10" s="22" t="s">
        <v>2</v>
      </c>
      <c r="F10" s="101" t="s">
        <v>207</v>
      </c>
      <c r="G10" s="92" t="s">
        <v>184</v>
      </c>
      <c r="H10" s="23"/>
      <c r="I10" s="127"/>
    </row>
    <row r="11" spans="1:9" s="1" customFormat="1" ht="15.75" x14ac:dyDescent="0.25">
      <c r="A11" s="74"/>
      <c r="B11" s="60" t="s">
        <v>3</v>
      </c>
      <c r="C11" s="61"/>
      <c r="D11" s="61"/>
      <c r="E11" s="61"/>
      <c r="F11" s="61"/>
      <c r="G11" s="61"/>
      <c r="H11" s="61"/>
      <c r="I11" s="62"/>
    </row>
    <row r="12" spans="1:9" x14ac:dyDescent="0.25">
      <c r="A12" s="45" t="s">
        <v>24</v>
      </c>
      <c r="B12" s="28" t="s">
        <v>37</v>
      </c>
      <c r="C12" s="31">
        <v>12</v>
      </c>
      <c r="D12" s="24"/>
      <c r="E12" s="42">
        <v>10029997</v>
      </c>
      <c r="F12" s="25"/>
      <c r="G12" s="81"/>
      <c r="H12" s="26">
        <v>0</v>
      </c>
      <c r="I12" s="59">
        <f>H12*C12</f>
        <v>0</v>
      </c>
    </row>
    <row r="13" spans="1:9" x14ac:dyDescent="0.25">
      <c r="A13" s="45" t="s">
        <v>25</v>
      </c>
      <c r="B13" s="28" t="s">
        <v>38</v>
      </c>
      <c r="C13" s="31">
        <v>12</v>
      </c>
      <c r="D13" s="24"/>
      <c r="E13" s="42">
        <v>10029995</v>
      </c>
      <c r="F13" s="25"/>
      <c r="G13" s="81"/>
      <c r="H13" s="26">
        <v>0</v>
      </c>
      <c r="I13" s="59">
        <f>H13*C13</f>
        <v>0</v>
      </c>
    </row>
    <row r="14" spans="1:9" x14ac:dyDescent="0.25">
      <c r="A14" s="45" t="s">
        <v>26</v>
      </c>
      <c r="B14" s="28" t="s">
        <v>55</v>
      </c>
      <c r="C14" s="31">
        <v>12</v>
      </c>
      <c r="D14" s="24"/>
      <c r="E14" s="42">
        <v>10015117</v>
      </c>
      <c r="F14" s="25"/>
      <c r="G14" s="81"/>
      <c r="H14" s="26">
        <v>0</v>
      </c>
      <c r="I14" s="59">
        <f>H14*C14</f>
        <v>0</v>
      </c>
    </row>
    <row r="15" spans="1:9" x14ac:dyDescent="0.25">
      <c r="A15" s="45" t="s">
        <v>27</v>
      </c>
      <c r="B15" s="28" t="s">
        <v>210</v>
      </c>
      <c r="C15" s="31">
        <v>80</v>
      </c>
      <c r="D15" s="24"/>
      <c r="E15" s="42">
        <v>10051382</v>
      </c>
      <c r="F15" s="25"/>
      <c r="G15" s="81"/>
      <c r="H15" s="26">
        <v>0</v>
      </c>
      <c r="I15" s="59">
        <f>H15*C15</f>
        <v>0</v>
      </c>
    </row>
    <row r="16" spans="1:9" x14ac:dyDescent="0.25">
      <c r="A16" s="45" t="s">
        <v>28</v>
      </c>
      <c r="B16" s="28" t="s">
        <v>211</v>
      </c>
      <c r="C16" s="31">
        <v>8</v>
      </c>
      <c r="D16" s="24"/>
      <c r="E16" s="42">
        <v>126976</v>
      </c>
      <c r="F16" s="25"/>
      <c r="G16" s="81"/>
      <c r="H16" s="26">
        <v>0</v>
      </c>
      <c r="I16" s="59">
        <f>H16*C16</f>
        <v>0</v>
      </c>
    </row>
    <row r="17" spans="1:10" x14ac:dyDescent="0.25">
      <c r="A17" s="45" t="s">
        <v>29</v>
      </c>
      <c r="B17" s="90" t="s">
        <v>190</v>
      </c>
      <c r="C17" s="31">
        <v>4</v>
      </c>
      <c r="D17" s="24"/>
      <c r="E17" s="42">
        <v>10033363</v>
      </c>
      <c r="F17" s="25"/>
      <c r="G17" s="81"/>
      <c r="H17" s="26">
        <v>0</v>
      </c>
      <c r="I17" s="59">
        <f>H17*C17</f>
        <v>0</v>
      </c>
    </row>
    <row r="18" spans="1:10" x14ac:dyDescent="0.25">
      <c r="A18" s="45" t="s">
        <v>30</v>
      </c>
      <c r="B18" s="90" t="s">
        <v>191</v>
      </c>
      <c r="C18" s="31">
        <v>4</v>
      </c>
      <c r="D18" s="24"/>
      <c r="E18" s="42">
        <v>10033364</v>
      </c>
      <c r="F18" s="25"/>
      <c r="G18" s="81"/>
      <c r="H18" s="26">
        <v>0</v>
      </c>
      <c r="I18" s="59">
        <f>H18*C18</f>
        <v>0</v>
      </c>
    </row>
    <row r="19" spans="1:10" s="1" customFormat="1" ht="15.75" x14ac:dyDescent="0.2">
      <c r="A19" s="75"/>
      <c r="B19" s="63" t="s">
        <v>4</v>
      </c>
      <c r="C19" s="63"/>
      <c r="D19" s="63"/>
      <c r="E19" s="63"/>
      <c r="F19" s="64"/>
      <c r="G19" s="64"/>
      <c r="H19" s="64"/>
      <c r="I19" s="65"/>
    </row>
    <row r="20" spans="1:10" x14ac:dyDescent="0.25">
      <c r="A20" s="45" t="s">
        <v>31</v>
      </c>
      <c r="B20" s="29" t="s">
        <v>93</v>
      </c>
      <c r="C20" s="31">
        <v>4</v>
      </c>
      <c r="D20" s="24"/>
      <c r="E20" s="42">
        <v>1864388</v>
      </c>
      <c r="F20" s="25"/>
      <c r="G20" s="81"/>
      <c r="H20" s="26">
        <v>0</v>
      </c>
      <c r="I20" s="59">
        <f>H20*C20</f>
        <v>0</v>
      </c>
    </row>
    <row r="21" spans="1:10" ht="15.75" x14ac:dyDescent="0.25">
      <c r="A21" s="75"/>
      <c r="B21" s="66" t="s">
        <v>5</v>
      </c>
      <c r="C21" s="66"/>
      <c r="D21" s="66"/>
      <c r="E21" s="66"/>
      <c r="F21" s="67"/>
      <c r="G21" s="67"/>
      <c r="H21" s="67"/>
      <c r="I21" s="68"/>
    </row>
    <row r="22" spans="1:10" ht="15.75" x14ac:dyDescent="0.25">
      <c r="A22" s="45" t="s">
        <v>32</v>
      </c>
      <c r="B22" s="51" t="s">
        <v>35</v>
      </c>
      <c r="C22" s="111">
        <v>4</v>
      </c>
      <c r="D22" s="52"/>
      <c r="E22" s="53" t="s">
        <v>196</v>
      </c>
      <c r="F22" s="99" t="s">
        <v>131</v>
      </c>
      <c r="G22" s="83"/>
      <c r="H22" s="55">
        <v>0</v>
      </c>
      <c r="I22" s="58">
        <f t="shared" ref="I22:I66" si="0">H22*C22</f>
        <v>0</v>
      </c>
      <c r="J22" s="102"/>
    </row>
    <row r="23" spans="1:10" ht="15.75" x14ac:dyDescent="0.25">
      <c r="A23" s="45" t="s">
        <v>33</v>
      </c>
      <c r="B23" s="51" t="s">
        <v>36</v>
      </c>
      <c r="C23" s="111">
        <v>4</v>
      </c>
      <c r="D23" s="52"/>
      <c r="E23" s="53">
        <v>10009036</v>
      </c>
      <c r="F23" s="54"/>
      <c r="G23" s="83"/>
      <c r="H23" s="55">
        <v>0</v>
      </c>
      <c r="I23" s="58">
        <f t="shared" si="0"/>
        <v>0</v>
      </c>
      <c r="J23" s="102"/>
    </row>
    <row r="24" spans="1:10" ht="15.75" x14ac:dyDescent="0.25">
      <c r="A24" s="45" t="s">
        <v>104</v>
      </c>
      <c r="B24" s="51" t="s">
        <v>50</v>
      </c>
      <c r="C24" s="111">
        <v>4</v>
      </c>
      <c r="D24" s="52"/>
      <c r="E24" s="53">
        <v>4043284</v>
      </c>
      <c r="F24" s="99" t="s">
        <v>131</v>
      </c>
      <c r="G24" s="83"/>
      <c r="H24" s="55">
        <v>0</v>
      </c>
      <c r="I24" s="58">
        <f t="shared" si="0"/>
        <v>0</v>
      </c>
      <c r="J24" s="102"/>
    </row>
    <row r="25" spans="1:10" x14ac:dyDescent="0.25">
      <c r="A25" s="45" t="s">
        <v>105</v>
      </c>
      <c r="B25" s="30" t="s">
        <v>6</v>
      </c>
      <c r="C25" s="47">
        <v>16</v>
      </c>
      <c r="D25" s="24"/>
      <c r="E25" s="42">
        <v>10062038</v>
      </c>
      <c r="F25" s="25"/>
      <c r="G25" s="91"/>
      <c r="H25" s="26">
        <v>0</v>
      </c>
      <c r="I25" s="59">
        <f t="shared" si="0"/>
        <v>0</v>
      </c>
      <c r="J25" s="102"/>
    </row>
    <row r="26" spans="1:10" x14ac:dyDescent="0.25">
      <c r="A26" s="45" t="s">
        <v>106</v>
      </c>
      <c r="B26" s="29" t="s">
        <v>74</v>
      </c>
      <c r="C26" s="47">
        <v>16</v>
      </c>
      <c r="D26" s="24"/>
      <c r="E26" s="42">
        <v>10089235</v>
      </c>
      <c r="F26" s="25"/>
      <c r="G26" s="91"/>
      <c r="H26" s="26">
        <v>0</v>
      </c>
      <c r="I26" s="59">
        <f t="shared" si="0"/>
        <v>0</v>
      </c>
      <c r="J26" s="102"/>
    </row>
    <row r="27" spans="1:10" x14ac:dyDescent="0.25">
      <c r="A27" s="45" t="s">
        <v>107</v>
      </c>
      <c r="B27" s="29" t="s">
        <v>75</v>
      </c>
      <c r="C27" s="31">
        <v>30</v>
      </c>
      <c r="D27" s="24"/>
      <c r="E27" s="42">
        <v>75244</v>
      </c>
      <c r="F27" s="25"/>
      <c r="G27" s="91"/>
      <c r="H27" s="26">
        <v>0</v>
      </c>
      <c r="I27" s="59">
        <f t="shared" si="0"/>
        <v>0</v>
      </c>
      <c r="J27" s="102"/>
    </row>
    <row r="28" spans="1:10" x14ac:dyDescent="0.25">
      <c r="A28" s="45" t="s">
        <v>109</v>
      </c>
      <c r="B28" s="29" t="s">
        <v>76</v>
      </c>
      <c r="C28" s="31">
        <v>165</v>
      </c>
      <c r="D28" s="24"/>
      <c r="E28" s="42">
        <v>1394675</v>
      </c>
      <c r="F28" s="25"/>
      <c r="G28" s="91"/>
      <c r="H28" s="26">
        <v>0</v>
      </c>
      <c r="I28" s="59">
        <f t="shared" si="0"/>
        <v>0</v>
      </c>
      <c r="J28" s="102"/>
    </row>
    <row r="29" spans="1:10" x14ac:dyDescent="0.25">
      <c r="A29" s="45" t="s">
        <v>111</v>
      </c>
      <c r="B29" s="29" t="s">
        <v>77</v>
      </c>
      <c r="C29" s="31">
        <v>4</v>
      </c>
      <c r="D29" s="24"/>
      <c r="E29" s="42">
        <v>4937065</v>
      </c>
      <c r="F29" s="25" t="s">
        <v>131</v>
      </c>
      <c r="G29" s="91"/>
      <c r="H29" s="26">
        <v>0</v>
      </c>
      <c r="I29" s="59">
        <f t="shared" si="0"/>
        <v>0</v>
      </c>
      <c r="J29" s="102"/>
    </row>
    <row r="30" spans="1:10" x14ac:dyDescent="0.25">
      <c r="A30" s="45" t="s">
        <v>112</v>
      </c>
      <c r="B30" s="29" t="s">
        <v>78</v>
      </c>
      <c r="C30" s="31">
        <v>4</v>
      </c>
      <c r="D30" s="24"/>
      <c r="E30" s="42">
        <v>3976370</v>
      </c>
      <c r="F30" s="25" t="s">
        <v>131</v>
      </c>
      <c r="G30" s="91"/>
      <c r="H30" s="26">
        <v>0</v>
      </c>
      <c r="I30" s="59">
        <f t="shared" si="0"/>
        <v>0</v>
      </c>
      <c r="J30" s="102"/>
    </row>
    <row r="31" spans="1:10" x14ac:dyDescent="0.25">
      <c r="A31" s="45" t="s">
        <v>108</v>
      </c>
      <c r="B31" s="29" t="s">
        <v>79</v>
      </c>
      <c r="C31" s="31">
        <v>4</v>
      </c>
      <c r="D31" s="24"/>
      <c r="E31" s="42">
        <v>3900628</v>
      </c>
      <c r="F31" s="25" t="s">
        <v>131</v>
      </c>
      <c r="G31" s="91"/>
      <c r="H31" s="26">
        <v>0</v>
      </c>
      <c r="I31" s="59">
        <f t="shared" si="0"/>
        <v>0</v>
      </c>
      <c r="J31" s="102"/>
    </row>
    <row r="32" spans="1:10" x14ac:dyDescent="0.25">
      <c r="A32" s="45" t="s">
        <v>113</v>
      </c>
      <c r="B32" s="29" t="s">
        <v>85</v>
      </c>
      <c r="C32" s="31">
        <v>4</v>
      </c>
      <c r="D32" s="24"/>
      <c r="E32" s="42">
        <v>10019224</v>
      </c>
      <c r="F32" s="25"/>
      <c r="G32" s="91"/>
      <c r="H32" s="26">
        <v>0</v>
      </c>
      <c r="I32" s="59">
        <f t="shared" si="0"/>
        <v>0</v>
      </c>
    </row>
    <row r="33" spans="1:10" x14ac:dyDescent="0.25">
      <c r="A33" s="45" t="s">
        <v>114</v>
      </c>
      <c r="B33" s="29" t="s">
        <v>84</v>
      </c>
      <c r="C33" s="31">
        <v>4</v>
      </c>
      <c r="D33" s="24"/>
      <c r="E33" s="42">
        <v>10010228</v>
      </c>
      <c r="F33" s="25"/>
      <c r="G33" s="91"/>
      <c r="H33" s="26">
        <v>0</v>
      </c>
      <c r="I33" s="59">
        <f t="shared" si="0"/>
        <v>0</v>
      </c>
    </row>
    <row r="34" spans="1:10" x14ac:dyDescent="0.25">
      <c r="A34" s="45" t="s">
        <v>115</v>
      </c>
      <c r="B34" s="29" t="s">
        <v>92</v>
      </c>
      <c r="C34" s="31">
        <v>4</v>
      </c>
      <c r="D34" s="24"/>
      <c r="E34" s="42">
        <v>10062389</v>
      </c>
      <c r="F34" s="25"/>
      <c r="G34" s="91"/>
      <c r="H34" s="26">
        <v>0</v>
      </c>
      <c r="I34" s="59">
        <f t="shared" si="0"/>
        <v>0</v>
      </c>
    </row>
    <row r="35" spans="1:10" x14ac:dyDescent="0.25">
      <c r="A35" s="45" t="s">
        <v>116</v>
      </c>
      <c r="B35" s="29" t="s">
        <v>90</v>
      </c>
      <c r="C35" s="31">
        <v>8</v>
      </c>
      <c r="D35" s="24"/>
      <c r="E35" s="42">
        <v>15527</v>
      </c>
      <c r="F35" s="25"/>
      <c r="G35" s="91"/>
      <c r="H35" s="26">
        <v>0</v>
      </c>
      <c r="I35" s="59">
        <f t="shared" si="0"/>
        <v>0</v>
      </c>
    </row>
    <row r="36" spans="1:10" x14ac:dyDescent="0.25">
      <c r="A36" s="45" t="s">
        <v>117</v>
      </c>
      <c r="B36" s="29" t="s">
        <v>91</v>
      </c>
      <c r="C36" s="31">
        <v>8</v>
      </c>
      <c r="D36" s="24"/>
      <c r="E36" s="42">
        <v>21905</v>
      </c>
      <c r="F36" s="25"/>
      <c r="G36" s="91"/>
      <c r="H36" s="26">
        <v>0</v>
      </c>
      <c r="I36" s="59">
        <f t="shared" si="0"/>
        <v>0</v>
      </c>
    </row>
    <row r="37" spans="1:10" x14ac:dyDescent="0.25">
      <c r="A37" s="45" t="s">
        <v>118</v>
      </c>
      <c r="B37" s="29" t="s">
        <v>94</v>
      </c>
      <c r="C37" s="31">
        <v>8</v>
      </c>
      <c r="D37" s="24"/>
      <c r="E37" s="42">
        <v>10031565</v>
      </c>
      <c r="F37" s="25"/>
      <c r="G37" s="91"/>
      <c r="H37" s="26">
        <v>0</v>
      </c>
      <c r="I37" s="59">
        <f t="shared" si="0"/>
        <v>0</v>
      </c>
    </row>
    <row r="38" spans="1:10" x14ac:dyDescent="0.25">
      <c r="A38" s="45" t="s">
        <v>119</v>
      </c>
      <c r="B38" s="29" t="s">
        <v>95</v>
      </c>
      <c r="C38" s="31">
        <v>4</v>
      </c>
      <c r="D38" s="24"/>
      <c r="E38" s="42">
        <v>100316</v>
      </c>
      <c r="F38" s="25"/>
      <c r="G38" s="91"/>
      <c r="H38" s="26">
        <v>0</v>
      </c>
      <c r="I38" s="59">
        <f t="shared" si="0"/>
        <v>0</v>
      </c>
    </row>
    <row r="39" spans="1:10" x14ac:dyDescent="0.25">
      <c r="A39" s="45" t="s">
        <v>120</v>
      </c>
      <c r="B39" s="29" t="s">
        <v>86</v>
      </c>
      <c r="C39" s="31">
        <v>4</v>
      </c>
      <c r="D39" s="24"/>
      <c r="E39" s="42">
        <v>10023719</v>
      </c>
      <c r="F39" s="25"/>
      <c r="G39" s="91"/>
      <c r="H39" s="26">
        <v>0</v>
      </c>
      <c r="I39" s="59">
        <f t="shared" si="0"/>
        <v>0</v>
      </c>
    </row>
    <row r="40" spans="1:10" x14ac:dyDescent="0.25">
      <c r="A40" s="45" t="s">
        <v>121</v>
      </c>
      <c r="B40" s="29" t="s">
        <v>96</v>
      </c>
      <c r="C40" s="31">
        <v>5</v>
      </c>
      <c r="D40" s="24"/>
      <c r="E40" s="42">
        <v>10026602</v>
      </c>
      <c r="F40" s="25"/>
      <c r="G40" s="91"/>
      <c r="H40" s="26">
        <v>0</v>
      </c>
      <c r="I40" s="59">
        <f t="shared" si="0"/>
        <v>0</v>
      </c>
    </row>
    <row r="41" spans="1:10" ht="17.25" customHeight="1" x14ac:dyDescent="0.25">
      <c r="A41" s="45" t="s">
        <v>122</v>
      </c>
      <c r="B41" s="29" t="s">
        <v>130</v>
      </c>
      <c r="C41" s="31">
        <v>5</v>
      </c>
      <c r="D41" s="24"/>
      <c r="E41" s="77">
        <v>5473171</v>
      </c>
      <c r="F41" s="25" t="s">
        <v>131</v>
      </c>
      <c r="G41" s="91"/>
      <c r="H41" s="26">
        <v>0</v>
      </c>
      <c r="I41" s="59">
        <f t="shared" si="0"/>
        <v>0</v>
      </c>
      <c r="J41" s="102"/>
    </row>
    <row r="42" spans="1:10" ht="17.25" customHeight="1" x14ac:dyDescent="0.25">
      <c r="A42" s="45" t="s">
        <v>123</v>
      </c>
      <c r="B42" s="85" t="s">
        <v>7</v>
      </c>
      <c r="C42" s="31">
        <v>5</v>
      </c>
      <c r="D42" s="24"/>
      <c r="E42" s="77">
        <v>5292708</v>
      </c>
      <c r="F42" s="25" t="s">
        <v>131</v>
      </c>
      <c r="G42" s="91"/>
      <c r="H42" s="26">
        <v>0</v>
      </c>
      <c r="I42" s="59">
        <f t="shared" si="0"/>
        <v>0</v>
      </c>
    </row>
    <row r="43" spans="1:10" x14ac:dyDescent="0.25">
      <c r="A43" s="45" t="s">
        <v>124</v>
      </c>
      <c r="B43" s="29" t="s">
        <v>81</v>
      </c>
      <c r="C43" s="31">
        <v>5</v>
      </c>
      <c r="D43" s="24"/>
      <c r="E43" s="42">
        <v>4955229</v>
      </c>
      <c r="F43" s="25" t="s">
        <v>131</v>
      </c>
      <c r="G43" s="91"/>
      <c r="H43" s="26">
        <v>0</v>
      </c>
      <c r="I43" s="59">
        <f t="shared" si="0"/>
        <v>0</v>
      </c>
    </row>
    <row r="44" spans="1:10" x14ac:dyDescent="0.25">
      <c r="A44" s="45" t="s">
        <v>125</v>
      </c>
      <c r="B44" s="29" t="s">
        <v>80</v>
      </c>
      <c r="C44" s="31">
        <v>5</v>
      </c>
      <c r="D44" s="24"/>
      <c r="E44" s="42">
        <v>4955230</v>
      </c>
      <c r="F44" s="25" t="s">
        <v>131</v>
      </c>
      <c r="G44" s="91"/>
      <c r="H44" s="26">
        <v>0</v>
      </c>
      <c r="I44" s="59">
        <f t="shared" si="0"/>
        <v>0</v>
      </c>
    </row>
    <row r="45" spans="1:10" x14ac:dyDescent="0.25">
      <c r="A45" s="45" t="s">
        <v>126</v>
      </c>
      <c r="B45" s="29" t="s">
        <v>132</v>
      </c>
      <c r="C45" s="31">
        <v>20</v>
      </c>
      <c r="D45" s="24"/>
      <c r="E45" s="42">
        <v>3960058</v>
      </c>
      <c r="F45" s="25" t="s">
        <v>131</v>
      </c>
      <c r="G45" s="81"/>
      <c r="H45" s="26">
        <v>0</v>
      </c>
      <c r="I45" s="59">
        <f t="shared" si="0"/>
        <v>0</v>
      </c>
    </row>
    <row r="46" spans="1:10" x14ac:dyDescent="0.25">
      <c r="A46" s="45" t="s">
        <v>110</v>
      </c>
      <c r="B46" s="85" t="s">
        <v>203</v>
      </c>
      <c r="C46" s="31">
        <v>8</v>
      </c>
      <c r="D46" s="24"/>
      <c r="E46" s="42">
        <v>78805</v>
      </c>
      <c r="F46" s="25"/>
      <c r="G46" s="81"/>
      <c r="H46" s="26">
        <v>0</v>
      </c>
      <c r="I46" s="59">
        <f t="shared" si="0"/>
        <v>0</v>
      </c>
    </row>
    <row r="47" spans="1:10" x14ac:dyDescent="0.25">
      <c r="A47" s="45" t="s">
        <v>127</v>
      </c>
      <c r="B47" s="85" t="s">
        <v>204</v>
      </c>
      <c r="C47" s="31">
        <v>8</v>
      </c>
      <c r="D47" s="24"/>
      <c r="E47" s="42">
        <v>107988</v>
      </c>
      <c r="F47" s="25"/>
      <c r="G47" s="81"/>
      <c r="H47" s="26">
        <v>0</v>
      </c>
      <c r="I47" s="59">
        <f t="shared" si="0"/>
        <v>0</v>
      </c>
    </row>
    <row r="48" spans="1:10" x14ac:dyDescent="0.25">
      <c r="A48" s="45" t="s">
        <v>128</v>
      </c>
      <c r="B48" s="85" t="s">
        <v>205</v>
      </c>
      <c r="C48" s="31">
        <v>8</v>
      </c>
      <c r="D48" s="24"/>
      <c r="E48" s="42">
        <v>107994</v>
      </c>
      <c r="F48" s="25"/>
      <c r="G48" s="81"/>
      <c r="H48" s="26">
        <v>0</v>
      </c>
      <c r="I48" s="27">
        <f t="shared" si="0"/>
        <v>0</v>
      </c>
    </row>
    <row r="49" spans="1:10" x14ac:dyDescent="0.25">
      <c r="A49" s="45" t="s">
        <v>133</v>
      </c>
      <c r="B49" s="85" t="s">
        <v>206</v>
      </c>
      <c r="C49" s="31">
        <v>8</v>
      </c>
      <c r="D49" s="24"/>
      <c r="E49" s="42">
        <v>107987</v>
      </c>
      <c r="F49" s="25"/>
      <c r="G49" s="81"/>
      <c r="H49" s="26">
        <v>0</v>
      </c>
      <c r="I49" s="27">
        <f t="shared" si="0"/>
        <v>0</v>
      </c>
    </row>
    <row r="50" spans="1:10" x14ac:dyDescent="0.25">
      <c r="A50" s="45" t="s">
        <v>134</v>
      </c>
      <c r="B50" s="29" t="s">
        <v>82</v>
      </c>
      <c r="C50" s="31">
        <v>8</v>
      </c>
      <c r="D50" s="24"/>
      <c r="E50" s="42">
        <v>62784</v>
      </c>
      <c r="F50" s="25"/>
      <c r="G50" s="81"/>
      <c r="H50" s="26">
        <v>0</v>
      </c>
      <c r="I50" s="27">
        <f t="shared" si="0"/>
        <v>0</v>
      </c>
    </row>
    <row r="51" spans="1:10" x14ac:dyDescent="0.25">
      <c r="A51" s="45" t="s">
        <v>135</v>
      </c>
      <c r="B51" s="29" t="s">
        <v>83</v>
      </c>
      <c r="C51" s="31">
        <v>12</v>
      </c>
      <c r="D51" s="24"/>
      <c r="E51" s="42">
        <v>75901</v>
      </c>
      <c r="F51" s="25"/>
      <c r="G51" s="81"/>
      <c r="H51" s="26">
        <v>0</v>
      </c>
      <c r="I51" s="27">
        <f t="shared" si="0"/>
        <v>0</v>
      </c>
    </row>
    <row r="52" spans="1:10" x14ac:dyDescent="0.25">
      <c r="A52" s="45" t="s">
        <v>136</v>
      </c>
      <c r="B52" s="85" t="s">
        <v>202</v>
      </c>
      <c r="C52" s="31">
        <v>4</v>
      </c>
      <c r="D52" s="24"/>
      <c r="E52" s="42">
        <v>10010227</v>
      </c>
      <c r="F52" s="25" t="s">
        <v>131</v>
      </c>
      <c r="G52" s="81"/>
      <c r="H52" s="26">
        <v>0</v>
      </c>
      <c r="I52" s="27">
        <f t="shared" si="0"/>
        <v>0</v>
      </c>
    </row>
    <row r="53" spans="1:10" x14ac:dyDescent="0.25">
      <c r="A53" s="45" t="s">
        <v>137</v>
      </c>
      <c r="B53" s="85" t="s">
        <v>194</v>
      </c>
      <c r="C53" s="47">
        <v>12</v>
      </c>
      <c r="D53" s="24"/>
      <c r="E53" s="42">
        <v>5259452</v>
      </c>
      <c r="F53" s="25" t="s">
        <v>131</v>
      </c>
      <c r="G53" s="81"/>
      <c r="H53" s="26">
        <v>0</v>
      </c>
      <c r="I53" s="27">
        <f t="shared" si="0"/>
        <v>0</v>
      </c>
    </row>
    <row r="54" spans="1:10" x14ac:dyDescent="0.25">
      <c r="A54" s="93" t="s">
        <v>138</v>
      </c>
      <c r="B54" s="29" t="s">
        <v>129</v>
      </c>
      <c r="C54" s="31">
        <v>16</v>
      </c>
      <c r="D54" s="24"/>
      <c r="E54" s="42" t="s">
        <v>195</v>
      </c>
      <c r="F54" s="25" t="s">
        <v>131</v>
      </c>
      <c r="G54" s="81"/>
      <c r="H54" s="26">
        <v>0</v>
      </c>
      <c r="I54" s="27">
        <f t="shared" si="0"/>
        <v>0</v>
      </c>
    </row>
    <row r="55" spans="1:10" x14ac:dyDescent="0.25">
      <c r="A55" s="93" t="s">
        <v>139</v>
      </c>
      <c r="B55" s="29" t="s">
        <v>97</v>
      </c>
      <c r="C55" s="31">
        <v>10</v>
      </c>
      <c r="D55" s="24"/>
      <c r="E55" s="42">
        <v>5264111</v>
      </c>
      <c r="F55" s="25" t="s">
        <v>131</v>
      </c>
      <c r="G55" s="81"/>
      <c r="H55" s="26">
        <v>0</v>
      </c>
      <c r="I55" s="27">
        <f t="shared" si="0"/>
        <v>0</v>
      </c>
    </row>
    <row r="56" spans="1:10" x14ac:dyDescent="0.25">
      <c r="A56" s="93" t="s">
        <v>140</v>
      </c>
      <c r="B56" s="29" t="s">
        <v>98</v>
      </c>
      <c r="C56" s="31">
        <v>10</v>
      </c>
      <c r="D56" s="24"/>
      <c r="E56" s="42">
        <v>3900679</v>
      </c>
      <c r="F56" s="25" t="s">
        <v>131</v>
      </c>
      <c r="G56" s="81"/>
      <c r="H56" s="26">
        <v>0</v>
      </c>
      <c r="I56" s="27">
        <f t="shared" si="0"/>
        <v>0</v>
      </c>
    </row>
    <row r="57" spans="1:10" x14ac:dyDescent="0.25">
      <c r="A57" s="93" t="s">
        <v>141</v>
      </c>
      <c r="B57" s="29" t="s">
        <v>70</v>
      </c>
      <c r="C57" s="31">
        <v>10</v>
      </c>
      <c r="D57" s="24"/>
      <c r="E57" s="42">
        <v>3802924</v>
      </c>
      <c r="F57" s="25" t="s">
        <v>131</v>
      </c>
      <c r="G57" s="81"/>
      <c r="H57" s="26">
        <v>0</v>
      </c>
      <c r="I57" s="27">
        <f t="shared" si="0"/>
        <v>0</v>
      </c>
    </row>
    <row r="58" spans="1:10" x14ac:dyDescent="0.25">
      <c r="A58" s="93" t="s">
        <v>142</v>
      </c>
      <c r="B58" s="29" t="s">
        <v>71</v>
      </c>
      <c r="C58" s="31">
        <v>10</v>
      </c>
      <c r="D58" s="24"/>
      <c r="E58" s="42">
        <v>3802967</v>
      </c>
      <c r="F58" s="25" t="s">
        <v>131</v>
      </c>
      <c r="G58" s="81"/>
      <c r="H58" s="26">
        <v>0</v>
      </c>
      <c r="I58" s="27">
        <f t="shared" si="0"/>
        <v>0</v>
      </c>
    </row>
    <row r="59" spans="1:10" x14ac:dyDescent="0.25">
      <c r="A59" s="93" t="s">
        <v>143</v>
      </c>
      <c r="B59" s="49" t="s">
        <v>8</v>
      </c>
      <c r="C59" s="47">
        <v>100</v>
      </c>
      <c r="D59" s="24"/>
      <c r="E59" s="48">
        <v>3937736</v>
      </c>
      <c r="F59" s="25"/>
      <c r="G59" s="81"/>
      <c r="H59" s="26">
        <v>0</v>
      </c>
      <c r="I59" s="27">
        <f t="shared" si="0"/>
        <v>0</v>
      </c>
    </row>
    <row r="60" spans="1:10" x14ac:dyDescent="0.25">
      <c r="A60" s="93" t="s">
        <v>144</v>
      </c>
      <c r="B60" s="49" t="s">
        <v>181</v>
      </c>
      <c r="C60" s="47">
        <v>40</v>
      </c>
      <c r="D60" s="24"/>
      <c r="E60" s="48">
        <v>33381</v>
      </c>
      <c r="F60" s="25"/>
      <c r="G60" s="81"/>
      <c r="H60" s="26">
        <v>0</v>
      </c>
      <c r="I60" s="27">
        <f t="shared" si="0"/>
        <v>0</v>
      </c>
    </row>
    <row r="61" spans="1:10" x14ac:dyDescent="0.25">
      <c r="A61" s="93" t="s">
        <v>145</v>
      </c>
      <c r="B61" s="49" t="s">
        <v>189</v>
      </c>
      <c r="C61" s="47">
        <v>20</v>
      </c>
      <c r="D61" s="24"/>
      <c r="E61" s="48">
        <v>10054027</v>
      </c>
      <c r="F61" s="25"/>
      <c r="G61" s="81"/>
      <c r="H61" s="26">
        <v>0</v>
      </c>
      <c r="I61" s="27">
        <f t="shared" si="0"/>
        <v>0</v>
      </c>
      <c r="J61" s="96"/>
    </row>
    <row r="62" spans="1:10" x14ac:dyDescent="0.25">
      <c r="A62" s="93" t="s">
        <v>146</v>
      </c>
      <c r="B62" s="49" t="s">
        <v>192</v>
      </c>
      <c r="C62" s="47">
        <v>100</v>
      </c>
      <c r="D62" s="24"/>
      <c r="E62" s="48">
        <v>10054676</v>
      </c>
      <c r="F62" s="25"/>
      <c r="G62" s="81"/>
      <c r="H62" s="26">
        <v>0</v>
      </c>
      <c r="I62" s="27">
        <f t="shared" si="0"/>
        <v>0</v>
      </c>
      <c r="J62" s="94"/>
    </row>
    <row r="63" spans="1:10" s="1" customFormat="1" ht="12.75" x14ac:dyDescent="0.2">
      <c r="A63" s="93" t="s">
        <v>147</v>
      </c>
      <c r="B63" s="49" t="s">
        <v>46</v>
      </c>
      <c r="C63" s="47">
        <v>100</v>
      </c>
      <c r="D63" s="24"/>
      <c r="E63" s="48">
        <v>10017702</v>
      </c>
      <c r="F63" s="25"/>
      <c r="G63" s="81"/>
      <c r="H63" s="26">
        <v>0</v>
      </c>
      <c r="I63" s="27">
        <f t="shared" si="0"/>
        <v>0</v>
      </c>
      <c r="J63" s="95"/>
    </row>
    <row r="64" spans="1:10" s="84" customFormat="1" ht="12.75" x14ac:dyDescent="0.2">
      <c r="A64" s="93" t="s">
        <v>148</v>
      </c>
      <c r="B64" s="49" t="s">
        <v>47</v>
      </c>
      <c r="C64" s="47">
        <v>100</v>
      </c>
      <c r="D64" s="24"/>
      <c r="E64" s="48">
        <v>4934845</v>
      </c>
      <c r="F64" s="25" t="s">
        <v>131</v>
      </c>
      <c r="G64" s="81"/>
      <c r="H64" s="26">
        <v>0</v>
      </c>
      <c r="I64" s="27">
        <f t="shared" si="0"/>
        <v>0</v>
      </c>
    </row>
    <row r="65" spans="1:9" s="50" customFormat="1" ht="12.75" x14ac:dyDescent="0.2">
      <c r="A65" s="93" t="s">
        <v>149</v>
      </c>
      <c r="B65" s="49" t="s">
        <v>48</v>
      </c>
      <c r="C65" s="47">
        <v>100</v>
      </c>
      <c r="D65" s="24"/>
      <c r="E65" s="48">
        <v>42360</v>
      </c>
      <c r="F65" s="25"/>
      <c r="G65" s="81"/>
      <c r="H65" s="26">
        <v>0</v>
      </c>
      <c r="I65" s="27">
        <f t="shared" si="0"/>
        <v>0</v>
      </c>
    </row>
    <row r="66" spans="1:9" s="50" customFormat="1" ht="12.75" x14ac:dyDescent="0.2">
      <c r="A66" s="93" t="s">
        <v>150</v>
      </c>
      <c r="B66" s="49" t="s">
        <v>9</v>
      </c>
      <c r="C66" s="47">
        <v>100</v>
      </c>
      <c r="D66" s="24"/>
      <c r="E66" s="48">
        <v>126394</v>
      </c>
      <c r="F66" s="25"/>
      <c r="G66" s="81"/>
      <c r="H66" s="26">
        <v>0</v>
      </c>
      <c r="I66" s="27">
        <f t="shared" si="0"/>
        <v>0</v>
      </c>
    </row>
    <row r="67" spans="1:9" ht="15.75" x14ac:dyDescent="0.25">
      <c r="A67" s="75"/>
      <c r="B67" s="63" t="s">
        <v>10</v>
      </c>
      <c r="C67" s="63"/>
      <c r="D67" s="63"/>
      <c r="E67" s="63"/>
      <c r="F67" s="64"/>
      <c r="G67" s="64"/>
      <c r="H67" s="64"/>
      <c r="I67" s="63"/>
    </row>
    <row r="68" spans="1:9" x14ac:dyDescent="0.25">
      <c r="A68" s="93" t="s">
        <v>151</v>
      </c>
      <c r="B68" s="29" t="s">
        <v>11</v>
      </c>
      <c r="C68" s="31">
        <v>10</v>
      </c>
      <c r="D68" s="24"/>
      <c r="E68" s="42">
        <v>10053627</v>
      </c>
      <c r="F68" s="25"/>
      <c r="G68" s="81"/>
      <c r="H68" s="26">
        <v>0</v>
      </c>
      <c r="I68" s="27">
        <f t="shared" ref="I68:I75" si="1">H68*C68</f>
        <v>0</v>
      </c>
    </row>
    <row r="69" spans="1:9" x14ac:dyDescent="0.25">
      <c r="A69" s="93" t="s">
        <v>152</v>
      </c>
      <c r="B69" s="29" t="s">
        <v>56</v>
      </c>
      <c r="C69" s="31">
        <v>10</v>
      </c>
      <c r="D69" s="24"/>
      <c r="E69" s="42">
        <v>10059342</v>
      </c>
      <c r="F69" s="25"/>
      <c r="G69" s="81"/>
      <c r="H69" s="26">
        <v>0</v>
      </c>
      <c r="I69" s="27">
        <f t="shared" si="1"/>
        <v>0</v>
      </c>
    </row>
    <row r="70" spans="1:9" ht="25.5" x14ac:dyDescent="0.25">
      <c r="A70" s="93" t="s">
        <v>153</v>
      </c>
      <c r="B70" s="29" t="s">
        <v>57</v>
      </c>
      <c r="C70" s="31">
        <v>5</v>
      </c>
      <c r="D70" s="24"/>
      <c r="E70" s="42">
        <v>10017312</v>
      </c>
      <c r="F70" s="89" t="s">
        <v>193</v>
      </c>
      <c r="G70" s="81"/>
      <c r="H70" s="26">
        <v>0</v>
      </c>
      <c r="I70" s="27">
        <f t="shared" si="1"/>
        <v>0</v>
      </c>
    </row>
    <row r="71" spans="1:9" x14ac:dyDescent="0.25">
      <c r="A71" s="93" t="s">
        <v>154</v>
      </c>
      <c r="B71" s="29" t="s">
        <v>58</v>
      </c>
      <c r="C71" s="31">
        <v>5</v>
      </c>
      <c r="D71" s="24"/>
      <c r="E71" s="42">
        <v>65628</v>
      </c>
      <c r="F71" s="25"/>
      <c r="G71" s="81"/>
      <c r="H71" s="26">
        <v>0</v>
      </c>
      <c r="I71" s="27">
        <f t="shared" si="1"/>
        <v>0</v>
      </c>
    </row>
    <row r="72" spans="1:9" x14ac:dyDescent="0.25">
      <c r="A72" s="93" t="s">
        <v>155</v>
      </c>
      <c r="B72" s="29" t="s">
        <v>62</v>
      </c>
      <c r="C72" s="31">
        <v>20</v>
      </c>
      <c r="D72" s="24"/>
      <c r="E72" s="56">
        <v>10000774</v>
      </c>
      <c r="F72" s="25"/>
      <c r="G72" s="81"/>
      <c r="H72" s="26">
        <v>0</v>
      </c>
      <c r="I72" s="27">
        <f t="shared" si="1"/>
        <v>0</v>
      </c>
    </row>
    <row r="73" spans="1:9" x14ac:dyDescent="0.25">
      <c r="A73" s="93" t="s">
        <v>156</v>
      </c>
      <c r="B73" s="29" t="s">
        <v>59</v>
      </c>
      <c r="C73" s="31">
        <v>20</v>
      </c>
      <c r="D73" s="24"/>
      <c r="E73" s="56">
        <v>10024094</v>
      </c>
      <c r="F73" s="25"/>
      <c r="G73" s="81"/>
      <c r="H73" s="26">
        <v>0</v>
      </c>
      <c r="I73" s="27">
        <f t="shared" si="1"/>
        <v>0</v>
      </c>
    </row>
    <row r="74" spans="1:9" x14ac:dyDescent="0.25">
      <c r="A74" s="93" t="s">
        <v>157</v>
      </c>
      <c r="B74" s="29" t="s">
        <v>60</v>
      </c>
      <c r="C74" s="31">
        <v>20</v>
      </c>
      <c r="D74" s="24"/>
      <c r="E74" s="56">
        <v>10012255</v>
      </c>
      <c r="F74" s="25"/>
      <c r="G74" s="81"/>
      <c r="H74" s="26">
        <v>0</v>
      </c>
      <c r="I74" s="27">
        <f t="shared" si="1"/>
        <v>0</v>
      </c>
    </row>
    <row r="75" spans="1:9" x14ac:dyDescent="0.25">
      <c r="A75" s="93" t="s">
        <v>158</v>
      </c>
      <c r="B75" s="29" t="s">
        <v>61</v>
      </c>
      <c r="C75" s="31">
        <v>20</v>
      </c>
      <c r="D75" s="24"/>
      <c r="E75" s="56">
        <v>10023027</v>
      </c>
      <c r="F75" s="25"/>
      <c r="G75" s="81"/>
      <c r="H75" s="26">
        <v>0</v>
      </c>
      <c r="I75" s="27">
        <f t="shared" si="1"/>
        <v>0</v>
      </c>
    </row>
    <row r="76" spans="1:9" ht="15.75" x14ac:dyDescent="0.25">
      <c r="A76" s="75"/>
      <c r="B76" s="63" t="s">
        <v>12</v>
      </c>
      <c r="C76" s="63"/>
      <c r="D76" s="63"/>
      <c r="E76" s="69"/>
      <c r="F76" s="64"/>
      <c r="G76" s="64"/>
      <c r="H76" s="64"/>
      <c r="I76" s="63"/>
    </row>
    <row r="77" spans="1:9" x14ac:dyDescent="0.25">
      <c r="A77" s="45" t="s">
        <v>159</v>
      </c>
      <c r="B77" s="29" t="s">
        <v>68</v>
      </c>
      <c r="C77" s="31">
        <v>12</v>
      </c>
      <c r="D77" s="24"/>
      <c r="E77" s="56">
        <v>10021265</v>
      </c>
      <c r="F77" s="25"/>
      <c r="G77" s="81"/>
      <c r="H77" s="26">
        <v>0</v>
      </c>
      <c r="I77" s="27">
        <f>H77*C77</f>
        <v>0</v>
      </c>
    </row>
    <row r="78" spans="1:9" x14ac:dyDescent="0.25">
      <c r="A78" s="45" t="s">
        <v>160</v>
      </c>
      <c r="B78" s="29" t="s">
        <v>63</v>
      </c>
      <c r="C78" s="31">
        <v>8</v>
      </c>
      <c r="D78" s="24"/>
      <c r="E78" s="56">
        <v>10023991</v>
      </c>
      <c r="F78" s="25"/>
      <c r="G78" s="81"/>
      <c r="H78" s="26">
        <v>0</v>
      </c>
      <c r="I78" s="27">
        <f>H78*C78</f>
        <v>0</v>
      </c>
    </row>
    <row r="79" spans="1:9" ht="15.75" x14ac:dyDescent="0.25">
      <c r="A79" s="75"/>
      <c r="B79" s="63" t="s">
        <v>13</v>
      </c>
      <c r="C79" s="63"/>
      <c r="D79" s="63"/>
      <c r="E79" s="69"/>
      <c r="F79" s="64"/>
      <c r="G79" s="64"/>
      <c r="H79" s="64"/>
      <c r="I79" s="63"/>
    </row>
    <row r="80" spans="1:9" x14ac:dyDescent="0.25">
      <c r="A80" s="45" t="s">
        <v>161</v>
      </c>
      <c r="B80" s="29" t="s">
        <v>43</v>
      </c>
      <c r="C80" s="31">
        <v>4</v>
      </c>
      <c r="D80" s="24"/>
      <c r="E80" s="56">
        <v>17971</v>
      </c>
      <c r="F80" s="25"/>
      <c r="G80" s="81"/>
      <c r="H80" s="26">
        <v>0</v>
      </c>
      <c r="I80" s="27">
        <f>H80*C80</f>
        <v>0</v>
      </c>
    </row>
    <row r="81" spans="1:10" x14ac:dyDescent="0.25">
      <c r="A81" s="93" t="s">
        <v>162</v>
      </c>
      <c r="B81" s="85" t="s">
        <v>186</v>
      </c>
      <c r="C81" s="47">
        <v>4</v>
      </c>
      <c r="D81" s="24"/>
      <c r="E81" s="56">
        <v>118429</v>
      </c>
      <c r="F81" s="25"/>
      <c r="G81" s="81"/>
      <c r="H81" s="26">
        <v>0</v>
      </c>
      <c r="I81" s="27">
        <f>H81*C81</f>
        <v>0</v>
      </c>
      <c r="J81" s="94"/>
    </row>
    <row r="82" spans="1:10" x14ac:dyDescent="0.25">
      <c r="A82" s="45" t="s">
        <v>163</v>
      </c>
      <c r="B82" s="29" t="s">
        <v>45</v>
      </c>
      <c r="C82" s="31">
        <v>5</v>
      </c>
      <c r="D82" s="24"/>
      <c r="E82" s="56">
        <v>10058801</v>
      </c>
      <c r="F82" s="25"/>
      <c r="G82" s="81"/>
      <c r="H82" s="26">
        <v>0</v>
      </c>
      <c r="I82" s="27">
        <f t="shared" ref="I82:I90" si="2">H82*C82</f>
        <v>0</v>
      </c>
    </row>
    <row r="83" spans="1:10" x14ac:dyDescent="0.25">
      <c r="A83" s="45" t="s">
        <v>164</v>
      </c>
      <c r="B83" s="29" t="s">
        <v>44</v>
      </c>
      <c r="C83" s="31">
        <v>60</v>
      </c>
      <c r="D83" s="24"/>
      <c r="E83" s="56">
        <v>27027</v>
      </c>
      <c r="F83" s="25"/>
      <c r="G83" s="81"/>
      <c r="H83" s="26">
        <v>0</v>
      </c>
      <c r="I83" s="27">
        <f t="shared" si="2"/>
        <v>0</v>
      </c>
    </row>
    <row r="84" spans="1:10" x14ac:dyDescent="0.25">
      <c r="A84" s="45" t="s">
        <v>165</v>
      </c>
      <c r="B84" s="85" t="s">
        <v>87</v>
      </c>
      <c r="C84" s="31">
        <v>60</v>
      </c>
      <c r="D84" s="24"/>
      <c r="E84" s="56">
        <v>1391572</v>
      </c>
      <c r="F84" s="25"/>
      <c r="G84" s="81"/>
      <c r="H84" s="26">
        <v>0</v>
      </c>
      <c r="I84" s="27">
        <f t="shared" si="2"/>
        <v>0</v>
      </c>
    </row>
    <row r="85" spans="1:10" x14ac:dyDescent="0.25">
      <c r="A85" s="45" t="s">
        <v>166</v>
      </c>
      <c r="B85" s="29" t="s">
        <v>187</v>
      </c>
      <c r="C85" s="31">
        <v>24</v>
      </c>
      <c r="D85" s="24"/>
      <c r="E85" s="56">
        <v>10065222</v>
      </c>
      <c r="F85" s="25"/>
      <c r="G85" s="81"/>
      <c r="H85" s="26">
        <v>0</v>
      </c>
      <c r="I85" s="27">
        <f t="shared" si="2"/>
        <v>0</v>
      </c>
    </row>
    <row r="86" spans="1:10" x14ac:dyDescent="0.25">
      <c r="A86" s="45" t="s">
        <v>167</v>
      </c>
      <c r="B86" s="49" t="s">
        <v>42</v>
      </c>
      <c r="C86" s="47">
        <v>60</v>
      </c>
      <c r="D86" s="24"/>
      <c r="E86" s="57">
        <v>34132</v>
      </c>
      <c r="F86" s="25"/>
      <c r="G86" s="81"/>
      <c r="H86" s="26">
        <v>0</v>
      </c>
      <c r="I86" s="27">
        <f t="shared" si="2"/>
        <v>0</v>
      </c>
    </row>
    <row r="87" spans="1:10" ht="13.5" customHeight="1" x14ac:dyDescent="0.25">
      <c r="A87" s="45" t="s">
        <v>168</v>
      </c>
      <c r="B87" s="29" t="s">
        <v>188</v>
      </c>
      <c r="C87" s="31">
        <v>12</v>
      </c>
      <c r="D87" s="24"/>
      <c r="E87" s="56">
        <v>10065224</v>
      </c>
      <c r="F87" s="25"/>
      <c r="G87" s="81"/>
      <c r="H87" s="26">
        <v>0</v>
      </c>
      <c r="I87" s="27">
        <f t="shared" si="2"/>
        <v>0</v>
      </c>
    </row>
    <row r="88" spans="1:10" x14ac:dyDescent="0.25">
      <c r="A88" s="45" t="s">
        <v>169</v>
      </c>
      <c r="B88" s="46" t="s">
        <v>41</v>
      </c>
      <c r="C88" s="47">
        <v>40</v>
      </c>
      <c r="D88" s="24"/>
      <c r="E88" s="57">
        <v>34136</v>
      </c>
      <c r="F88" s="25"/>
      <c r="G88" s="81"/>
      <c r="H88" s="26">
        <v>0</v>
      </c>
      <c r="I88" s="27">
        <f t="shared" si="2"/>
        <v>0</v>
      </c>
    </row>
    <row r="89" spans="1:10" x14ac:dyDescent="0.25">
      <c r="A89" s="45" t="s">
        <v>170</v>
      </c>
      <c r="B89" s="49" t="s">
        <v>88</v>
      </c>
      <c r="C89" s="47">
        <v>20</v>
      </c>
      <c r="D89" s="24"/>
      <c r="E89" s="57">
        <v>908160</v>
      </c>
      <c r="F89" s="25"/>
      <c r="G89" s="81"/>
      <c r="H89" s="26">
        <v>0</v>
      </c>
      <c r="I89" s="27">
        <f t="shared" si="2"/>
        <v>0</v>
      </c>
    </row>
    <row r="90" spans="1:10" x14ac:dyDescent="0.25">
      <c r="A90" s="45" t="s">
        <v>171</v>
      </c>
      <c r="B90" s="49" t="s">
        <v>89</v>
      </c>
      <c r="C90" s="47">
        <v>20</v>
      </c>
      <c r="D90" s="24"/>
      <c r="E90" s="57">
        <v>603324</v>
      </c>
      <c r="F90" s="25"/>
      <c r="G90" s="81"/>
      <c r="H90" s="26">
        <v>0</v>
      </c>
      <c r="I90" s="27">
        <f t="shared" si="2"/>
        <v>0</v>
      </c>
    </row>
    <row r="91" spans="1:10" ht="15.75" x14ac:dyDescent="0.25">
      <c r="A91" s="75"/>
      <c r="B91" s="63" t="s">
        <v>15</v>
      </c>
      <c r="C91" s="63"/>
      <c r="D91" s="63"/>
      <c r="E91" s="69"/>
      <c r="F91" s="64"/>
      <c r="G91" s="64"/>
      <c r="H91" s="64"/>
      <c r="I91" s="63"/>
    </row>
    <row r="92" spans="1:10" x14ac:dyDescent="0.25">
      <c r="A92" s="45" t="s">
        <v>172</v>
      </c>
      <c r="B92" s="29" t="s">
        <v>39</v>
      </c>
      <c r="C92" s="31">
        <v>8</v>
      </c>
      <c r="D92" s="24"/>
      <c r="E92" s="56">
        <v>10060590</v>
      </c>
      <c r="F92" s="25"/>
      <c r="G92" s="81"/>
      <c r="H92" s="26">
        <v>0</v>
      </c>
      <c r="I92" s="27">
        <f t="shared" ref="I92:I104" si="3">H92*C92</f>
        <v>0</v>
      </c>
    </row>
    <row r="93" spans="1:10" x14ac:dyDescent="0.25">
      <c r="A93" s="45" t="s">
        <v>173</v>
      </c>
      <c r="B93" s="29" t="s">
        <v>40</v>
      </c>
      <c r="C93" s="31">
        <v>8</v>
      </c>
      <c r="D93" s="24"/>
      <c r="E93" s="56">
        <v>10033883</v>
      </c>
      <c r="F93" s="25"/>
      <c r="G93" s="81"/>
      <c r="H93" s="26">
        <v>0</v>
      </c>
      <c r="I93" s="27">
        <f t="shared" si="3"/>
        <v>0</v>
      </c>
    </row>
    <row r="94" spans="1:10" x14ac:dyDescent="0.25">
      <c r="A94" s="93" t="s">
        <v>174</v>
      </c>
      <c r="B94" s="85" t="s">
        <v>69</v>
      </c>
      <c r="C94" s="31">
        <v>40</v>
      </c>
      <c r="D94" s="24"/>
      <c r="E94" s="56">
        <v>1874726</v>
      </c>
      <c r="F94" s="25"/>
      <c r="G94" s="81"/>
      <c r="H94" s="26">
        <v>0</v>
      </c>
      <c r="I94" s="27">
        <f t="shared" si="3"/>
        <v>0</v>
      </c>
    </row>
    <row r="95" spans="1:10" x14ac:dyDescent="0.25">
      <c r="A95" s="45" t="s">
        <v>175</v>
      </c>
      <c r="B95" s="29" t="s">
        <v>72</v>
      </c>
      <c r="C95" s="31">
        <v>5</v>
      </c>
      <c r="D95" s="24"/>
      <c r="E95" s="56">
        <v>10053020</v>
      </c>
      <c r="F95" s="25"/>
      <c r="G95" s="81"/>
      <c r="H95" s="26">
        <v>0</v>
      </c>
      <c r="I95" s="27">
        <f t="shared" si="3"/>
        <v>0</v>
      </c>
    </row>
    <row r="96" spans="1:10" x14ac:dyDescent="0.25">
      <c r="A96" s="45" t="s">
        <v>176</v>
      </c>
      <c r="B96" s="29" t="s">
        <v>73</v>
      </c>
      <c r="C96" s="31">
        <v>20</v>
      </c>
      <c r="D96" s="24"/>
      <c r="E96" s="56">
        <v>48899</v>
      </c>
      <c r="F96" s="25"/>
      <c r="G96" s="81"/>
      <c r="H96" s="26">
        <v>0</v>
      </c>
      <c r="I96" s="27">
        <f t="shared" si="3"/>
        <v>0</v>
      </c>
    </row>
    <row r="97" spans="1:9" x14ac:dyDescent="0.25">
      <c r="A97" s="45" t="s">
        <v>177</v>
      </c>
      <c r="B97" s="29" t="s">
        <v>99</v>
      </c>
      <c r="C97" s="31">
        <v>40</v>
      </c>
      <c r="D97" s="24"/>
      <c r="E97" s="56">
        <v>1928324</v>
      </c>
      <c r="F97" s="25"/>
      <c r="G97" s="81"/>
      <c r="H97" s="26">
        <v>0</v>
      </c>
      <c r="I97" s="27">
        <f t="shared" si="3"/>
        <v>0</v>
      </c>
    </row>
    <row r="98" spans="1:9" x14ac:dyDescent="0.25">
      <c r="A98" s="45" t="s">
        <v>178</v>
      </c>
      <c r="B98" s="29" t="s">
        <v>51</v>
      </c>
      <c r="C98" s="31">
        <v>40</v>
      </c>
      <c r="D98" s="24"/>
      <c r="E98" s="56">
        <v>10032125</v>
      </c>
      <c r="F98" s="25"/>
      <c r="G98" s="81"/>
      <c r="H98" s="26">
        <v>0</v>
      </c>
      <c r="I98" s="27">
        <f t="shared" si="3"/>
        <v>0</v>
      </c>
    </row>
    <row r="99" spans="1:9" x14ac:dyDescent="0.25">
      <c r="A99" s="45" t="s">
        <v>179</v>
      </c>
      <c r="B99" s="29" t="s">
        <v>52</v>
      </c>
      <c r="C99" s="31">
        <v>40</v>
      </c>
      <c r="D99" s="24"/>
      <c r="E99" s="56">
        <v>10032126</v>
      </c>
      <c r="F99" s="25"/>
      <c r="G99" s="81"/>
      <c r="H99" s="26">
        <v>0</v>
      </c>
      <c r="I99" s="27">
        <f t="shared" si="3"/>
        <v>0</v>
      </c>
    </row>
    <row r="100" spans="1:9" x14ac:dyDescent="0.25">
      <c r="A100" s="45" t="s">
        <v>180</v>
      </c>
      <c r="B100" s="29" t="s">
        <v>53</v>
      </c>
      <c r="C100" s="31">
        <v>40</v>
      </c>
      <c r="D100" s="24"/>
      <c r="E100" s="56">
        <v>10032123</v>
      </c>
      <c r="F100" s="25"/>
      <c r="G100" s="81"/>
      <c r="H100" s="26">
        <v>0</v>
      </c>
      <c r="I100" s="27">
        <f t="shared" si="3"/>
        <v>0</v>
      </c>
    </row>
    <row r="101" spans="1:9" x14ac:dyDescent="0.25">
      <c r="A101" s="45" t="s">
        <v>197</v>
      </c>
      <c r="B101" s="29" t="s">
        <v>54</v>
      </c>
      <c r="C101" s="31">
        <v>40</v>
      </c>
      <c r="D101" s="24"/>
      <c r="E101" s="56">
        <v>10032124</v>
      </c>
      <c r="F101" s="25"/>
      <c r="G101" s="81"/>
      <c r="H101" s="26">
        <v>0</v>
      </c>
      <c r="I101" s="27">
        <f t="shared" si="3"/>
        <v>0</v>
      </c>
    </row>
    <row r="102" spans="1:9" x14ac:dyDescent="0.25">
      <c r="A102" s="45" t="s">
        <v>198</v>
      </c>
      <c r="B102" s="29" t="s">
        <v>64</v>
      </c>
      <c r="C102" s="31">
        <v>60</v>
      </c>
      <c r="D102" s="24"/>
      <c r="E102" s="56">
        <v>2135051</v>
      </c>
      <c r="F102" s="25"/>
      <c r="G102" s="81"/>
      <c r="H102" s="26">
        <v>0</v>
      </c>
      <c r="I102" s="27">
        <f t="shared" si="3"/>
        <v>0</v>
      </c>
    </row>
    <row r="103" spans="1:9" x14ac:dyDescent="0.25">
      <c r="A103" s="45" t="s">
        <v>199</v>
      </c>
      <c r="B103" s="29" t="s">
        <v>65</v>
      </c>
      <c r="C103" s="31">
        <v>60</v>
      </c>
      <c r="D103" s="24"/>
      <c r="E103" s="56">
        <v>2117778</v>
      </c>
      <c r="F103" s="25"/>
      <c r="G103" s="81"/>
      <c r="H103" s="26">
        <v>0</v>
      </c>
      <c r="I103" s="27">
        <f t="shared" si="3"/>
        <v>0</v>
      </c>
    </row>
    <row r="104" spans="1:9" x14ac:dyDescent="0.25">
      <c r="A104" s="45" t="s">
        <v>200</v>
      </c>
      <c r="B104" s="29" t="s">
        <v>66</v>
      </c>
      <c r="C104" s="31">
        <v>60</v>
      </c>
      <c r="D104" s="24"/>
      <c r="E104" s="56">
        <v>68612</v>
      </c>
      <c r="F104" s="25"/>
      <c r="G104" s="81"/>
      <c r="H104" s="26">
        <v>0</v>
      </c>
      <c r="I104" s="27">
        <f t="shared" si="3"/>
        <v>0</v>
      </c>
    </row>
    <row r="105" spans="1:9" x14ac:dyDescent="0.25">
      <c r="A105" s="45" t="s">
        <v>201</v>
      </c>
      <c r="B105" s="85" t="s">
        <v>67</v>
      </c>
      <c r="C105" s="31">
        <v>40</v>
      </c>
      <c r="D105" s="24"/>
      <c r="E105" s="56">
        <v>43448</v>
      </c>
      <c r="F105" s="25"/>
      <c r="G105" s="81"/>
      <c r="H105" s="26">
        <v>0</v>
      </c>
      <c r="I105" s="27">
        <f>H105*C105</f>
        <v>0</v>
      </c>
    </row>
    <row r="106" spans="1:9" x14ac:dyDescent="0.25">
      <c r="A106" s="45" t="s">
        <v>212</v>
      </c>
      <c r="B106" s="85" t="s">
        <v>16</v>
      </c>
      <c r="C106" s="47">
        <v>120</v>
      </c>
      <c r="D106" s="24"/>
      <c r="E106" s="42">
        <v>72937</v>
      </c>
      <c r="F106" s="25"/>
      <c r="G106" s="81"/>
      <c r="H106" s="26">
        <v>0</v>
      </c>
      <c r="I106" s="27">
        <f t="shared" ref="I106:I107" si="4">H106*C106</f>
        <v>0</v>
      </c>
    </row>
    <row r="107" spans="1:9" x14ac:dyDescent="0.25">
      <c r="A107" s="45" t="s">
        <v>213</v>
      </c>
      <c r="B107" s="85" t="s">
        <v>208</v>
      </c>
      <c r="C107" s="47">
        <v>80</v>
      </c>
      <c r="D107" s="24"/>
      <c r="E107" s="42">
        <v>3002162</v>
      </c>
      <c r="F107" s="25"/>
      <c r="G107" s="81"/>
      <c r="H107" s="26">
        <v>0</v>
      </c>
      <c r="I107" s="27">
        <f t="shared" si="4"/>
        <v>0</v>
      </c>
    </row>
    <row r="108" spans="1:9" x14ac:dyDescent="0.25">
      <c r="A108" s="103"/>
      <c r="B108" s="104"/>
      <c r="C108" s="105"/>
      <c r="D108" s="106"/>
      <c r="E108" s="107"/>
      <c r="F108" s="108"/>
      <c r="G108" s="108"/>
      <c r="H108" s="109"/>
      <c r="I108" s="110"/>
    </row>
    <row r="109" spans="1:9" s="1" customFormat="1" ht="15" customHeight="1" thickBot="1" x14ac:dyDescent="0.25">
      <c r="A109" s="45"/>
      <c r="B109" s="33" t="s">
        <v>22</v>
      </c>
      <c r="C109" s="100">
        <v>5</v>
      </c>
      <c r="D109" s="98"/>
      <c r="E109" s="86" t="s">
        <v>14</v>
      </c>
      <c r="F109" s="87" t="s">
        <v>14</v>
      </c>
      <c r="G109" s="88"/>
      <c r="H109" s="97">
        <v>0</v>
      </c>
      <c r="I109" s="27">
        <f>H109*C109</f>
        <v>0</v>
      </c>
    </row>
    <row r="110" spans="1:9" s="9" customFormat="1" ht="29.25" customHeight="1" thickBot="1" x14ac:dyDescent="0.3">
      <c r="D110" s="37"/>
      <c r="E110" s="38"/>
      <c r="F110" s="38"/>
      <c r="G110" s="38"/>
      <c r="H110" s="39" t="s">
        <v>20</v>
      </c>
      <c r="I110" s="40">
        <f>SUM(I12:I109)</f>
        <v>0</v>
      </c>
    </row>
    <row r="111" spans="1:9" s="9" customFormat="1" ht="12.75" customHeight="1" x14ac:dyDescent="0.2"/>
    <row r="112" spans="1:9" x14ac:dyDescent="0.25">
      <c r="B112" s="35" t="s">
        <v>17</v>
      </c>
      <c r="C112" s="34"/>
      <c r="D112" s="34"/>
      <c r="E112" s="34"/>
    </row>
    <row r="113" spans="2:5" x14ac:dyDescent="0.25">
      <c r="B113" s="34" t="s">
        <v>21</v>
      </c>
      <c r="C113" s="34"/>
      <c r="D113" s="34"/>
      <c r="E113" s="34"/>
    </row>
    <row r="114" spans="2:5" x14ac:dyDescent="0.25">
      <c r="B114" s="9" t="s">
        <v>183</v>
      </c>
      <c r="C114" s="78"/>
      <c r="D114" s="78"/>
    </row>
    <row r="115" spans="2:5" ht="15.75" x14ac:dyDescent="0.25">
      <c r="B115" s="11"/>
    </row>
    <row r="116" spans="2:5" ht="15.75" x14ac:dyDescent="0.25">
      <c r="B116" s="82" t="s">
        <v>185</v>
      </c>
    </row>
    <row r="117" spans="2:5" ht="15.75" x14ac:dyDescent="0.25">
      <c r="B117" s="11"/>
    </row>
    <row r="118" spans="2:5" ht="15.75" x14ac:dyDescent="0.25">
      <c r="B118" s="10"/>
    </row>
    <row r="119" spans="2:5" ht="15.75" x14ac:dyDescent="0.25">
      <c r="B119" s="11"/>
    </row>
    <row r="120" spans="2:5" ht="15.75" x14ac:dyDescent="0.25">
      <c r="B120" s="11"/>
    </row>
    <row r="121" spans="2:5" ht="15.75" x14ac:dyDescent="0.25">
      <c r="B121" s="11"/>
      <c r="D121" s="11"/>
    </row>
    <row r="122" spans="2:5" ht="15.75" x14ac:dyDescent="0.25">
      <c r="B122" s="11"/>
      <c r="D122" s="11"/>
    </row>
    <row r="123" spans="2:5" ht="15.75" x14ac:dyDescent="0.25">
      <c r="B123" s="11"/>
      <c r="D123" s="11"/>
    </row>
    <row r="124" spans="2:5" ht="15.75" x14ac:dyDescent="0.25">
      <c r="B124" s="11"/>
      <c r="D124" s="11"/>
    </row>
    <row r="125" spans="2:5" ht="15.75" x14ac:dyDescent="0.25">
      <c r="B125" s="11"/>
      <c r="D125" s="11"/>
    </row>
    <row r="126" spans="2:5" ht="15.75" x14ac:dyDescent="0.25">
      <c r="B126" s="11"/>
      <c r="D126" s="11"/>
    </row>
    <row r="127" spans="2:5" ht="15.75" x14ac:dyDescent="0.25">
      <c r="B127" s="11"/>
      <c r="D127" s="11"/>
    </row>
    <row r="128" spans="2:5" ht="15.75" x14ac:dyDescent="0.25">
      <c r="B128" s="11"/>
      <c r="D128" s="11"/>
    </row>
    <row r="132" spans="2:4" x14ac:dyDescent="0.25">
      <c r="B132" s="12"/>
      <c r="C132" s="13"/>
    </row>
    <row r="133" spans="2:4" x14ac:dyDescent="0.25">
      <c r="B133" s="12"/>
      <c r="C133" s="13"/>
    </row>
    <row r="134" spans="2:4" x14ac:dyDescent="0.25">
      <c r="B134" s="12"/>
      <c r="C134" s="13"/>
    </row>
    <row r="135" spans="2:4" x14ac:dyDescent="0.25">
      <c r="B135" s="14"/>
      <c r="C135" s="15"/>
    </row>
    <row r="136" spans="2:4" x14ac:dyDescent="0.25">
      <c r="B136" s="14"/>
      <c r="C136" s="15"/>
    </row>
    <row r="137" spans="2:4" x14ac:dyDescent="0.25">
      <c r="B137" s="14"/>
      <c r="C137" s="15"/>
    </row>
    <row r="138" spans="2:4" x14ac:dyDescent="0.25">
      <c r="B138" s="16"/>
      <c r="C138" s="17"/>
    </row>
    <row r="139" spans="2:4" x14ac:dyDescent="0.25">
      <c r="B139" s="112"/>
      <c r="C139" s="112"/>
      <c r="D139" s="113"/>
    </row>
  </sheetData>
  <mergeCells count="8">
    <mergeCell ref="B139:D139"/>
    <mergeCell ref="B3:I3"/>
    <mergeCell ref="B4:I4"/>
    <mergeCell ref="B8:B10"/>
    <mergeCell ref="D8:D9"/>
    <mergeCell ref="E8:E9"/>
    <mergeCell ref="H8:H9"/>
    <mergeCell ref="I8:I10"/>
  </mergeCells>
  <pageMargins left="0.7" right="0.7" top="0.75" bottom="0.75" header="0.3" footer="0.3"/>
  <pageSetup orientation="portrait" verticalDpi="597" r:id="rId1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SPARES</vt:lpstr>
    </vt:vector>
  </TitlesOfParts>
  <Company>United States Army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DoD Admin</dc:creator>
  <cp:lastModifiedBy>Plutschuck, Kyle J CIV USARMY TACOM (USA)</cp:lastModifiedBy>
  <dcterms:created xsi:type="dcterms:W3CDTF">2018-09-14T18:24:32Z</dcterms:created>
  <dcterms:modified xsi:type="dcterms:W3CDTF">2026-04-07T18:22:11Z</dcterms:modified>
</cp:coreProperties>
</file>