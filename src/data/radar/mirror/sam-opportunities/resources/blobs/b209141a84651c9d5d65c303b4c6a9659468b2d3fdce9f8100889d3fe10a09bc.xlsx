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https://armyeitaas-my.sharepoint-mil.us/personal/tiffany_a_salone_mil_army_mil/Documents/Documents/Contracts/PreAwards/PANMCC-26-P-0000-036337/Doc used for SS/"/>
    </mc:Choice>
  </mc:AlternateContent>
  <xr:revisionPtr revIDLastSave="2" documentId="10_ncr:300_{A76CAADF-2F47-4FBB-B8F3-25A10A25F3FF}" xr6:coauthVersionLast="47" xr6:coauthVersionMax="47" xr10:uidLastSave="{33777153-727D-41C2-8251-A9B04E13160E}"/>
  <bookViews>
    <workbookView xWindow="28680" yWindow="-90" windowWidth="29040" windowHeight="15690" xr2:uid="{00000000-000D-0000-FFFF-FFFF00000000}"/>
  </bookViews>
  <sheets>
    <sheet name="Pricing Sheet" sheetId="12" r:id="rId1"/>
  </sheets>
  <definedNames>
    <definedName name="_xlnm.Print_Area" localSheetId="0">'Pricing Sheet'!$A$1:$Q$74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2" l="1"/>
  <c r="D70" i="12"/>
  <c r="D71" i="12" s="1"/>
  <c r="D72" i="12"/>
  <c r="D73" i="12" l="1"/>
</calcChain>
</file>

<file path=xl/sharedStrings.xml><?xml version="1.0" encoding="utf-8"?>
<sst xmlns="http://schemas.openxmlformats.org/spreadsheetml/2006/main" count="222" uniqueCount="85">
  <si>
    <t>CLIN NUMBER</t>
  </si>
  <si>
    <t>Item Description</t>
  </si>
  <si>
    <t>Unit of Measure (Per Piece)</t>
  </si>
  <si>
    <t>BASE ORDERING YEAR TOTAL</t>
  </si>
  <si>
    <t>ORDERING PERIOD 1  TOTAL</t>
  </si>
  <si>
    <t>ORDERING PERIOD 2 TOTAL</t>
  </si>
  <si>
    <t>ORDERING PERIOD 3 TOTAL</t>
  </si>
  <si>
    <t>ORDERING PERIOD 4  TOTAL</t>
  </si>
  <si>
    <t>5 YEAR TOTAL</t>
  </si>
  <si>
    <t>0001</t>
  </si>
  <si>
    <t>Laundry</t>
  </si>
  <si>
    <t>Cost Per Unit</t>
  </si>
  <si>
    <t>Total Cost</t>
  </si>
  <si>
    <t>Total Unit</t>
  </si>
  <si>
    <t>Blanket, Wool</t>
  </si>
  <si>
    <t>D</t>
  </si>
  <si>
    <t>Per Piece</t>
  </si>
  <si>
    <t>Pillow, Bed</t>
  </si>
  <si>
    <t>Pillowcase, Bed, Cotton</t>
  </si>
  <si>
    <t>Sheet, bed Cotton</t>
  </si>
  <si>
    <t>Pad, Mattress</t>
  </si>
  <si>
    <t>Bedspread, Multi Color</t>
  </si>
  <si>
    <t>Cover, Mattress</t>
  </si>
  <si>
    <t>Hot pads</t>
  </si>
  <si>
    <t>Towels</t>
  </si>
  <si>
    <t>Table Napkins</t>
  </si>
  <si>
    <t>Table Cloths</t>
  </si>
  <si>
    <t>Table Skirts</t>
  </si>
  <si>
    <t xml:space="preserve">Sleeping Systems (Only for TRADOC installations) </t>
  </si>
  <si>
    <t>Sleeping Bag</t>
  </si>
  <si>
    <t>Cover, Bivy</t>
  </si>
  <si>
    <t>Bag, Patrol</t>
  </si>
  <si>
    <t>Stuff Sack</t>
  </si>
  <si>
    <t>Sub Total</t>
  </si>
  <si>
    <t>0002</t>
  </si>
  <si>
    <t>Chaplain Vestments</t>
  </si>
  <si>
    <t>Albs</t>
  </si>
  <si>
    <t>Robes</t>
  </si>
  <si>
    <t>Chasubles</t>
  </si>
  <si>
    <t>Napkin, Minister</t>
  </si>
  <si>
    <t>ASCOTS</t>
  </si>
  <si>
    <t>Pall Slipcovers, White</t>
  </si>
  <si>
    <t>Alter Dressings</t>
  </si>
  <si>
    <t xml:space="preserve">Ceremonial Uniforms (Only Military Funerals or Presidental Inaugurations) </t>
  </si>
  <si>
    <t>Class A Coat</t>
  </si>
  <si>
    <t>Class A Pants</t>
  </si>
  <si>
    <t>Class A Shirt</t>
  </si>
  <si>
    <t>ASCOTS (Unit Emblem)</t>
  </si>
  <si>
    <t>White Gloves</t>
  </si>
  <si>
    <t>Other</t>
  </si>
  <si>
    <t>Draperies</t>
  </si>
  <si>
    <t>Flags</t>
  </si>
  <si>
    <t>Organizational Colors</t>
  </si>
  <si>
    <t>Organizational Streamers</t>
  </si>
  <si>
    <t>Bunting</t>
  </si>
  <si>
    <t>0003</t>
  </si>
  <si>
    <t>JAPANESE DEFENSE FORCE</t>
  </si>
  <si>
    <t>Shirt ACU/BDU/DCU</t>
  </si>
  <si>
    <t>Trouser ACU/BDU/DCU</t>
  </si>
  <si>
    <t xml:space="preserve">Sub Total </t>
  </si>
  <si>
    <t>0004</t>
  </si>
  <si>
    <t>MISSILE DEFENSE AGENCY- KSA</t>
  </si>
  <si>
    <t>Washcloths</t>
  </si>
  <si>
    <t>Garrison Cook White Over Coat</t>
  </si>
  <si>
    <t>Garrison Cook Black Trousers</t>
  </si>
  <si>
    <t>Food Handler/Cook Apron</t>
  </si>
  <si>
    <t>DESEASED Military Personnel - All Clothing (personal and military issued)</t>
  </si>
  <si>
    <t>TOTAL DIRECT FUNDED CUSTOMER COSTS</t>
  </si>
  <si>
    <t>TOTAL ASC COSTS</t>
  </si>
  <si>
    <t xml:space="preserve"> </t>
  </si>
  <si>
    <t>TOTAL CONTRACT COSTS</t>
  </si>
  <si>
    <t>A= ASC Funded D= Direct</t>
  </si>
  <si>
    <t>Annual Estimated Quantity</t>
  </si>
  <si>
    <t>Dash Eight</t>
  </si>
  <si>
    <t>Wool/Fleece Blanket</t>
  </si>
  <si>
    <t>A</t>
  </si>
  <si>
    <t>Sheet, Bed Cotton</t>
  </si>
  <si>
    <t>Cloth, Pillow</t>
  </si>
  <si>
    <t>Direct Funded Customer</t>
  </si>
  <si>
    <t>0005</t>
  </si>
  <si>
    <t>Specialty Items</t>
  </si>
  <si>
    <t>0006</t>
  </si>
  <si>
    <t>D+A</t>
  </si>
  <si>
    <t>Linen / Specialty Items</t>
  </si>
  <si>
    <t>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</si>
</sst>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b/>
      <i/>
      <sz val="1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3">
    <xf numFmtId="0" fontId="0" fillId="0" borderId="0"/>
    <xf numFmtId="164" fontId="1" fillId="0" borderId="0"/>
    <xf numFmtId="164" fontId="1" fillId="0" borderId="0"/>
    <xf numFmtId="44" fontId="1" fillId="0" borderId="0" applyFont="0" applyFill="0" applyBorder="0" applyAlignment="0" applyProtection="0"/>
    <xf numFmtId="0" fontId="2" fillId="0" borderId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04">
    <xf numFmtId="0" fontId="0" fillId="0" borderId="0" xfId="0"/>
    <xf numFmtId="164" fontId="7" fillId="3" borderId="1" xfId="1" applyFont="1" applyFill="1" applyBorder="1" applyAlignment="1">
      <alignment horizontal="center" vertical="center" wrapText="1"/>
    </xf>
    <xf numFmtId="164" fontId="8" fillId="3" borderId="5" xfId="1" applyFont="1" applyFill="1" applyBorder="1" applyAlignment="1">
      <alignment horizontal="center" vertical="center" wrapText="1"/>
    </xf>
    <xf numFmtId="164" fontId="8" fillId="3" borderId="1" xfId="1" applyFont="1" applyFill="1" applyBorder="1" applyAlignment="1">
      <alignment horizontal="center" vertical="center" wrapText="1"/>
    </xf>
    <xf numFmtId="164" fontId="8" fillId="10" borderId="1" xfId="1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44" fontId="8" fillId="5" borderId="1" xfId="3" applyFont="1" applyFill="1" applyBorder="1" applyAlignment="1">
      <alignment horizontal="center" vertical="center" wrapText="1"/>
    </xf>
    <xf numFmtId="44" fontId="8" fillId="4" borderId="1" xfId="3" applyFont="1" applyFill="1" applyBorder="1" applyAlignment="1">
      <alignment horizontal="center" vertical="center" wrapText="1"/>
    </xf>
    <xf numFmtId="44" fontId="8" fillId="6" borderId="1" xfId="3" applyFont="1" applyFill="1" applyBorder="1" applyAlignment="1">
      <alignment horizontal="center" vertical="center" wrapText="1"/>
    </xf>
    <xf numFmtId="44" fontId="8" fillId="7" borderId="1" xfId="3" applyFont="1" applyFill="1" applyBorder="1" applyAlignment="1">
      <alignment horizontal="center" vertical="center" wrapText="1"/>
    </xf>
    <xf numFmtId="44" fontId="8" fillId="8" borderId="1" xfId="3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49" fontId="7" fillId="2" borderId="1" xfId="0" applyNumberFormat="1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vertical="center" wrapText="1"/>
    </xf>
    <xf numFmtId="164" fontId="9" fillId="2" borderId="1" xfId="2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44" fontId="9" fillId="2" borderId="1" xfId="3" applyFont="1" applyFill="1" applyBorder="1" applyAlignment="1">
      <alignment horizontal="center" vertical="center"/>
    </xf>
    <xf numFmtId="44" fontId="9" fillId="2" borderId="1" xfId="3" applyFont="1" applyFill="1" applyBorder="1" applyAlignment="1">
      <alignment vertical="center"/>
    </xf>
    <xf numFmtId="44" fontId="9" fillId="2" borderId="1" xfId="0" applyNumberFormat="1" applyFont="1" applyFill="1" applyBorder="1" applyAlignment="1">
      <alignment vertical="center"/>
    </xf>
    <xf numFmtId="0" fontId="9" fillId="0" borderId="0" xfId="0" applyFont="1"/>
    <xf numFmtId="49" fontId="6" fillId="0" borderId="1" xfId="0" applyNumberFormat="1" applyFont="1" applyBorder="1" applyAlignment="1">
      <alignment horizontal="center"/>
    </xf>
    <xf numFmtId="164" fontId="9" fillId="0" borderId="1" xfId="2" applyFont="1" applyBorder="1" applyAlignment="1">
      <alignment horizontal="center"/>
    </xf>
    <xf numFmtId="44" fontId="9" fillId="5" borderId="1" xfId="3" applyFont="1" applyFill="1" applyBorder="1" applyAlignment="1">
      <alignment horizontal="center" vertical="center"/>
    </xf>
    <xf numFmtId="44" fontId="9" fillId="9" borderId="1" xfId="3" applyFont="1" applyFill="1" applyBorder="1" applyAlignment="1">
      <alignment horizontal="center"/>
    </xf>
    <xf numFmtId="44" fontId="9" fillId="9" borderId="1" xfId="3" applyFont="1" applyFill="1" applyBorder="1" applyAlignment="1">
      <alignment horizontal="center" vertical="center"/>
    </xf>
    <xf numFmtId="44" fontId="9" fillId="6" borderId="1" xfId="3" applyFont="1" applyFill="1" applyBorder="1" applyAlignment="1">
      <alignment horizontal="center" vertical="center"/>
    </xf>
    <xf numFmtId="44" fontId="9" fillId="12" borderId="1" xfId="3" applyFont="1" applyFill="1" applyBorder="1" applyAlignment="1">
      <alignment horizontal="center" vertical="center"/>
    </xf>
    <xf numFmtId="44" fontId="9" fillId="11" borderId="1" xfId="3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/>
    </xf>
    <xf numFmtId="44" fontId="9" fillId="2" borderId="1" xfId="3" applyFont="1" applyFill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164" fontId="9" fillId="0" borderId="3" xfId="2" applyFont="1" applyBorder="1" applyAlignment="1">
      <alignment horizontal="center"/>
    </xf>
    <xf numFmtId="49" fontId="7" fillId="2" borderId="2" xfId="0" applyNumberFormat="1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 wrapText="1"/>
    </xf>
    <xf numFmtId="164" fontId="9" fillId="2" borderId="3" xfId="2" applyFont="1" applyFill="1" applyBorder="1" applyAlignment="1">
      <alignment horizontal="center"/>
    </xf>
    <xf numFmtId="49" fontId="7" fillId="13" borderId="1" xfId="0" applyNumberFormat="1" applyFont="1" applyFill="1" applyBorder="1" applyAlignment="1">
      <alignment horizontal="center"/>
    </xf>
    <xf numFmtId="164" fontId="8" fillId="13" borderId="4" xfId="2" applyFont="1" applyFill="1" applyBorder="1" applyAlignment="1">
      <alignment horizontal="right" wrapText="1"/>
    </xf>
    <xf numFmtId="164" fontId="8" fillId="13" borderId="1" xfId="2" applyFont="1" applyFill="1" applyBorder="1" applyAlignment="1">
      <alignment horizontal="center"/>
    </xf>
    <xf numFmtId="3" fontId="10" fillId="13" borderId="1" xfId="0" applyNumberFormat="1" applyFont="1" applyFill="1" applyBorder="1" applyAlignment="1">
      <alignment horizontal="center"/>
    </xf>
    <xf numFmtId="44" fontId="8" fillId="13" borderId="1" xfId="3" applyFont="1" applyFill="1" applyBorder="1" applyAlignment="1">
      <alignment horizontal="center"/>
    </xf>
    <xf numFmtId="0" fontId="8" fillId="0" borderId="0" xfId="0" applyFont="1"/>
    <xf numFmtId="49" fontId="7" fillId="11" borderId="1" xfId="0" applyNumberFormat="1" applyFont="1" applyFill="1" applyBorder="1" applyAlignment="1">
      <alignment horizontal="center" wrapText="1"/>
    </xf>
    <xf numFmtId="164" fontId="9" fillId="11" borderId="1" xfId="2" applyFont="1" applyFill="1" applyBorder="1" applyAlignment="1">
      <alignment horizontal="center" wrapText="1"/>
    </xf>
    <xf numFmtId="0" fontId="12" fillId="11" borderId="1" xfId="0" applyFont="1" applyFill="1" applyBorder="1" applyAlignment="1">
      <alignment horizontal="center" wrapText="1"/>
    </xf>
    <xf numFmtId="44" fontId="9" fillId="11" borderId="1" xfId="3" applyFont="1" applyFill="1" applyBorder="1" applyAlignment="1">
      <alignment horizontal="center" wrapText="1"/>
    </xf>
    <xf numFmtId="0" fontId="9" fillId="0" borderId="0" xfId="0" applyFont="1" applyAlignment="1">
      <alignment wrapText="1"/>
    </xf>
    <xf numFmtId="0" fontId="11" fillId="2" borderId="6" xfId="0" applyFont="1" applyFill="1" applyBorder="1" applyAlignment="1">
      <alignment horizontal="center" wrapText="1"/>
    </xf>
    <xf numFmtId="164" fontId="9" fillId="2" borderId="3" xfId="2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164" fontId="9" fillId="0" borderId="3" xfId="2" applyFont="1" applyBorder="1" applyAlignment="1">
      <alignment horizontal="center" vertical="center"/>
    </xf>
    <xf numFmtId="44" fontId="9" fillId="5" borderId="1" xfId="3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wrapText="1"/>
    </xf>
    <xf numFmtId="0" fontId="12" fillId="2" borderId="1" xfId="0" applyFont="1" applyFill="1" applyBorder="1" applyAlignment="1">
      <alignment horizontal="center" vertical="top" wrapText="1"/>
    </xf>
    <xf numFmtId="1" fontId="7" fillId="13" borderId="1" xfId="1" quotePrefix="1" applyNumberFormat="1" applyFont="1" applyFill="1" applyBorder="1"/>
    <xf numFmtId="164" fontId="8" fillId="13" borderId="1" xfId="2" applyFont="1" applyFill="1" applyBorder="1" applyAlignment="1">
      <alignment horizontal="right" wrapText="1"/>
    </xf>
    <xf numFmtId="3" fontId="8" fillId="13" borderId="1" xfId="2" applyNumberFormat="1" applyFont="1" applyFill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164" fontId="8" fillId="0" borderId="1" xfId="2" applyFont="1" applyBorder="1" applyAlignment="1">
      <alignment horizontal="right" wrapText="1"/>
    </xf>
    <xf numFmtId="44" fontId="9" fillId="0" borderId="1" xfId="3" applyFont="1" applyFill="1" applyBorder="1" applyAlignment="1">
      <alignment horizontal="center"/>
    </xf>
    <xf numFmtId="44" fontId="9" fillId="0" borderId="1" xfId="3" applyFont="1" applyBorder="1" applyAlignment="1">
      <alignment horizontal="center"/>
    </xf>
    <xf numFmtId="1" fontId="6" fillId="14" borderId="1" xfId="1" quotePrefix="1" applyNumberFormat="1" applyFont="1" applyFill="1" applyBorder="1"/>
    <xf numFmtId="164" fontId="8" fillId="14" borderId="1" xfId="2" applyFont="1" applyFill="1" applyBorder="1" applyAlignment="1">
      <alignment horizontal="right" wrapText="1"/>
    </xf>
    <xf numFmtId="164" fontId="9" fillId="14" borderId="1" xfId="2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 vertical="top" wrapText="1"/>
    </xf>
    <xf numFmtId="44" fontId="9" fillId="14" borderId="1" xfId="3" applyFont="1" applyFill="1" applyBorder="1" applyAlignment="1">
      <alignment horizontal="center"/>
    </xf>
    <xf numFmtId="164" fontId="7" fillId="0" borderId="1" xfId="1" applyFont="1" applyBorder="1"/>
    <xf numFmtId="164" fontId="8" fillId="0" borderId="1" xfId="1" applyFont="1" applyBorder="1" applyAlignment="1">
      <alignment horizontal="right" wrapText="1"/>
    </xf>
    <xf numFmtId="164" fontId="9" fillId="0" borderId="1" xfId="1" applyFont="1" applyBorder="1" applyAlignment="1">
      <alignment horizontal="center"/>
    </xf>
    <xf numFmtId="0" fontId="6" fillId="0" borderId="0" xfId="0" applyFont="1"/>
    <xf numFmtId="0" fontId="13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3" fontId="12" fillId="14" borderId="1" xfId="2" applyNumberFormat="1" applyFont="1" applyFill="1" applyBorder="1" applyAlignment="1">
      <alignment horizontal="center"/>
    </xf>
    <xf numFmtId="44" fontId="9" fillId="6" borderId="1" xfId="3" applyFont="1" applyFill="1" applyBorder="1" applyAlignment="1">
      <alignment horizontal="center"/>
    </xf>
    <xf numFmtId="44" fontId="9" fillId="12" borderId="1" xfId="3" applyFont="1" applyFill="1" applyBorder="1" applyAlignment="1">
      <alignment horizontal="center"/>
    </xf>
    <xf numFmtId="44" fontId="9" fillId="11" borderId="1" xfId="3" applyFont="1" applyFill="1" applyBorder="1" applyAlignment="1">
      <alignment horizontal="center"/>
    </xf>
    <xf numFmtId="44" fontId="8" fillId="0" borderId="1" xfId="3" applyFont="1" applyBorder="1" applyAlignment="1">
      <alignment horizontal="center" vertical="center"/>
    </xf>
    <xf numFmtId="3" fontId="9" fillId="11" borderId="1" xfId="2" applyNumberFormat="1" applyFont="1" applyFill="1" applyBorder="1" applyAlignment="1">
      <alignment horizontal="center" wrapText="1"/>
    </xf>
    <xf numFmtId="44" fontId="9" fillId="11" borderId="1" xfId="0" applyNumberFormat="1" applyFont="1" applyFill="1" applyBorder="1" applyAlignment="1">
      <alignment horizontal="center" wrapText="1"/>
    </xf>
    <xf numFmtId="44" fontId="9" fillId="2" borderId="1" xfId="0" applyNumberFormat="1" applyFont="1" applyFill="1" applyBorder="1" applyAlignment="1">
      <alignment horizontal="center"/>
    </xf>
    <xf numFmtId="164" fontId="9" fillId="11" borderId="3" xfId="2" applyFont="1" applyFill="1" applyBorder="1" applyAlignment="1">
      <alignment horizontal="center" vertical="center" wrapText="1"/>
    </xf>
    <xf numFmtId="3" fontId="9" fillId="11" borderId="1" xfId="2" applyNumberFormat="1" applyFont="1" applyFill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12" fillId="0" borderId="1" xfId="0" applyFont="1" applyBorder="1" applyAlignment="1">
      <alignment horizontal="center"/>
    </xf>
    <xf numFmtId="3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3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3" fontId="12" fillId="0" borderId="1" xfId="2" applyNumberFormat="1" applyFont="1" applyBorder="1" applyAlignment="1">
      <alignment horizontal="center"/>
    </xf>
    <xf numFmtId="3" fontId="9" fillId="0" borderId="1" xfId="2" applyNumberFormat="1" applyFont="1" applyBorder="1" applyAlignment="1">
      <alignment horizontal="center"/>
    </xf>
    <xf numFmtId="0" fontId="8" fillId="3" borderId="2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8" fillId="11" borderId="1" xfId="0" applyFont="1" applyFill="1" applyBorder="1" applyAlignment="1">
      <alignment horizontal="center" wrapText="1"/>
    </xf>
    <xf numFmtId="44" fontId="10" fillId="13" borderId="1" xfId="3" applyFont="1" applyFill="1" applyBorder="1" applyAlignment="1">
      <alignment horizontal="center"/>
    </xf>
    <xf numFmtId="8" fontId="8" fillId="3" borderId="2" xfId="1" applyNumberFormat="1" applyFont="1" applyFill="1" applyBorder="1" applyAlignment="1">
      <alignment horizontal="center" vertical="center" wrapText="1"/>
    </xf>
    <xf numFmtId="8" fontId="8" fillId="3" borderId="3" xfId="1" applyNumberFormat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</cellXfs>
  <cellStyles count="13">
    <cellStyle name="Comma [0] 2" xfId="10" xr:uid="{00000000-0005-0000-0000-000000000000}"/>
    <cellStyle name="Comma 2" xfId="6" xr:uid="{00000000-0005-0000-0000-000001000000}"/>
    <cellStyle name="Comma 4" xfId="11" xr:uid="{00000000-0005-0000-0000-000002000000}"/>
    <cellStyle name="Currency" xfId="3" builtinId="4"/>
    <cellStyle name="Currency 2 2" xfId="9" xr:uid="{00000000-0005-0000-0000-000004000000}"/>
    <cellStyle name="Normal" xfId="0" builtinId="0"/>
    <cellStyle name="Normal 2" xfId="4" xr:uid="{00000000-0005-0000-0000-000006000000}"/>
    <cellStyle name="Normal 3" xfId="2" xr:uid="{00000000-0005-0000-0000-000007000000}"/>
    <cellStyle name="Normal 3 2" xfId="5" xr:uid="{00000000-0005-0000-0000-000008000000}"/>
    <cellStyle name="Normal 4" xfId="1" xr:uid="{00000000-0005-0000-0000-000009000000}"/>
    <cellStyle name="Normal 7" xfId="7" xr:uid="{00000000-0005-0000-0000-00000A000000}"/>
    <cellStyle name="Percent 3" xfId="8" xr:uid="{00000000-0005-0000-0000-00000B000000}"/>
    <cellStyle name="Percent 4" xfId="12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5D593-18F8-4D57-A59A-DB16A456FF53}">
  <sheetPr>
    <tabColor rgb="FFFF0000"/>
  </sheetPr>
  <dimension ref="A1:R73"/>
  <sheetViews>
    <sheetView tabSelected="1" zoomScale="90" zoomScaleNormal="90" workbookViewId="0">
      <pane ySplit="1" topLeftCell="A2" activePane="bottomLeft" state="frozen"/>
      <selection pane="bottomLeft" sqref="A1:D1048576"/>
    </sheetView>
  </sheetViews>
  <sheetFormatPr defaultColWidth="9.140625" defaultRowHeight="15" x14ac:dyDescent="0.2"/>
  <cols>
    <col min="1" max="1" width="13.5703125" style="70" customWidth="1"/>
    <col min="2" max="2" width="75.28515625" style="47" customWidth="1"/>
    <col min="3" max="3" width="20.28515625" style="20" customWidth="1"/>
    <col min="4" max="4" width="12.5703125" style="20" customWidth="1"/>
    <col min="5" max="5" width="18.5703125" style="20" customWidth="1"/>
    <col min="6" max="6" width="13" style="20" customWidth="1"/>
    <col min="7" max="7" width="15.140625" style="20" bestFit="1" customWidth="1"/>
    <col min="8" max="8" width="13.5703125" style="20" customWidth="1"/>
    <col min="9" max="9" width="15.140625" style="20" bestFit="1" customWidth="1"/>
    <col min="10" max="10" width="12.7109375" style="20" customWidth="1"/>
    <col min="11" max="11" width="15.140625" style="20" bestFit="1" customWidth="1"/>
    <col min="12" max="12" width="13.7109375" style="20" customWidth="1"/>
    <col min="13" max="13" width="15.140625" style="20" bestFit="1" customWidth="1"/>
    <col min="14" max="14" width="13.140625" style="20" customWidth="1"/>
    <col min="15" max="17" width="15.5703125" style="20" bestFit="1" customWidth="1"/>
    <col min="18" max="16384" width="9.140625" style="20"/>
  </cols>
  <sheetData>
    <row r="1" spans="1:18" s="5" customFormat="1" ht="47.25" x14ac:dyDescent="0.25">
      <c r="A1" s="1" t="s">
        <v>0</v>
      </c>
      <c r="B1" s="2" t="s">
        <v>1</v>
      </c>
      <c r="C1" s="3" t="s">
        <v>71</v>
      </c>
      <c r="D1" s="4" t="s">
        <v>72</v>
      </c>
      <c r="E1" s="3" t="s">
        <v>2</v>
      </c>
      <c r="F1" s="100" t="s">
        <v>3</v>
      </c>
      <c r="G1" s="101"/>
      <c r="H1" s="102" t="s">
        <v>4</v>
      </c>
      <c r="I1" s="103"/>
      <c r="J1" s="102" t="s">
        <v>5</v>
      </c>
      <c r="K1" s="103"/>
      <c r="L1" s="102" t="s">
        <v>6</v>
      </c>
      <c r="M1" s="103"/>
      <c r="N1" s="102" t="s">
        <v>7</v>
      </c>
      <c r="O1" s="103"/>
      <c r="P1" s="96" t="s">
        <v>8</v>
      </c>
      <c r="Q1" s="96" t="s">
        <v>73</v>
      </c>
      <c r="R1" s="85"/>
    </row>
    <row r="2" spans="1:18" s="5" customFormat="1" ht="31.5" x14ac:dyDescent="0.25">
      <c r="A2" s="73" t="s">
        <v>9</v>
      </c>
      <c r="B2" s="74" t="s">
        <v>10</v>
      </c>
      <c r="C2" s="83"/>
      <c r="D2" s="84"/>
      <c r="E2" s="74"/>
      <c r="F2" s="6" t="s">
        <v>11</v>
      </c>
      <c r="G2" s="6" t="s">
        <v>12</v>
      </c>
      <c r="H2" s="7" t="s">
        <v>11</v>
      </c>
      <c r="I2" s="7" t="s">
        <v>12</v>
      </c>
      <c r="J2" s="8" t="s">
        <v>11</v>
      </c>
      <c r="K2" s="8" t="s">
        <v>12</v>
      </c>
      <c r="L2" s="9" t="s">
        <v>11</v>
      </c>
      <c r="M2" s="9" t="s">
        <v>13</v>
      </c>
      <c r="N2" s="10" t="s">
        <v>11</v>
      </c>
      <c r="O2" s="10" t="s">
        <v>12</v>
      </c>
      <c r="P2" s="11"/>
      <c r="Q2" s="11"/>
    </row>
    <row r="3" spans="1:18" ht="15" customHeight="1" x14ac:dyDescent="0.25">
      <c r="A3" s="12"/>
      <c r="B3" s="13" t="s">
        <v>83</v>
      </c>
      <c r="C3" s="14"/>
      <c r="D3" s="15"/>
      <c r="E3" s="16"/>
      <c r="F3" s="17"/>
      <c r="G3" s="17"/>
      <c r="H3" s="17"/>
      <c r="I3" s="18"/>
      <c r="J3" s="18"/>
      <c r="K3" s="18"/>
      <c r="L3" s="18"/>
      <c r="M3" s="18"/>
      <c r="N3" s="18"/>
      <c r="O3" s="18"/>
      <c r="P3" s="19"/>
      <c r="Q3" s="19"/>
    </row>
    <row r="4" spans="1:18" ht="15.75" x14ac:dyDescent="0.2">
      <c r="A4" s="21"/>
      <c r="B4" s="86" t="s">
        <v>74</v>
      </c>
      <c r="C4" s="22" t="s">
        <v>75</v>
      </c>
      <c r="D4" s="87">
        <v>5900</v>
      </c>
      <c r="E4" s="88" t="s">
        <v>16</v>
      </c>
      <c r="F4" s="23"/>
      <c r="G4" s="23"/>
      <c r="H4" s="24"/>
      <c r="I4" s="25"/>
      <c r="J4" s="76"/>
      <c r="K4" s="26"/>
      <c r="L4" s="77"/>
      <c r="M4" s="27"/>
      <c r="N4" s="78"/>
      <c r="O4" s="28"/>
      <c r="P4" s="79"/>
      <c r="Q4" s="79"/>
    </row>
    <row r="5" spans="1:18" ht="15.75" x14ac:dyDescent="0.2">
      <c r="A5" s="21"/>
      <c r="B5" s="86" t="s">
        <v>18</v>
      </c>
      <c r="C5" s="22" t="s">
        <v>75</v>
      </c>
      <c r="D5" s="87">
        <v>5900</v>
      </c>
      <c r="E5" s="88" t="s">
        <v>16</v>
      </c>
      <c r="F5" s="23"/>
      <c r="G5" s="23"/>
      <c r="H5" s="24"/>
      <c r="I5" s="25"/>
      <c r="J5" s="76"/>
      <c r="K5" s="26"/>
      <c r="L5" s="77"/>
      <c r="M5" s="27"/>
      <c r="N5" s="78"/>
      <c r="O5" s="28"/>
      <c r="P5" s="79"/>
      <c r="Q5" s="79"/>
    </row>
    <row r="6" spans="1:18" ht="15.75" x14ac:dyDescent="0.2">
      <c r="A6" s="21"/>
      <c r="B6" s="86" t="s">
        <v>76</v>
      </c>
      <c r="C6" s="22" t="s">
        <v>75</v>
      </c>
      <c r="D6" s="87">
        <v>11800</v>
      </c>
      <c r="E6" s="88" t="s">
        <v>16</v>
      </c>
      <c r="F6" s="23"/>
      <c r="G6" s="23"/>
      <c r="H6" s="24"/>
      <c r="I6" s="25"/>
      <c r="J6" s="76"/>
      <c r="K6" s="26"/>
      <c r="L6" s="77"/>
      <c r="M6" s="27"/>
      <c r="N6" s="78"/>
      <c r="O6" s="28"/>
      <c r="P6" s="79"/>
      <c r="Q6" s="79"/>
    </row>
    <row r="7" spans="1:18" ht="15.75" x14ac:dyDescent="0.2">
      <c r="A7" s="21"/>
      <c r="B7" s="86" t="s">
        <v>20</v>
      </c>
      <c r="C7" s="22" t="s">
        <v>75</v>
      </c>
      <c r="D7" s="87">
        <v>5900</v>
      </c>
      <c r="E7" s="88" t="s">
        <v>16</v>
      </c>
      <c r="F7" s="23"/>
      <c r="G7" s="23"/>
      <c r="H7" s="24"/>
      <c r="I7" s="25"/>
      <c r="J7" s="76"/>
      <c r="K7" s="26"/>
      <c r="L7" s="77"/>
      <c r="M7" s="27"/>
      <c r="N7" s="78"/>
      <c r="O7" s="28"/>
      <c r="P7" s="79"/>
      <c r="Q7" s="79"/>
    </row>
    <row r="8" spans="1:18" ht="15.75" x14ac:dyDescent="0.2">
      <c r="A8" s="21"/>
      <c r="B8" s="86" t="s">
        <v>21</v>
      </c>
      <c r="C8" s="22" t="s">
        <v>75</v>
      </c>
      <c r="D8" s="87">
        <v>1</v>
      </c>
      <c r="E8" s="88" t="s">
        <v>16</v>
      </c>
      <c r="F8" s="23"/>
      <c r="G8" s="23"/>
      <c r="H8" s="24"/>
      <c r="I8" s="25"/>
      <c r="J8" s="76"/>
      <c r="K8" s="26"/>
      <c r="L8" s="77"/>
      <c r="M8" s="27"/>
      <c r="N8" s="78"/>
      <c r="O8" s="28"/>
      <c r="P8" s="79"/>
      <c r="Q8" s="79"/>
    </row>
    <row r="9" spans="1:18" ht="15.75" x14ac:dyDescent="0.2">
      <c r="A9" s="21"/>
      <c r="B9" s="86" t="s">
        <v>22</v>
      </c>
      <c r="C9" s="22" t="s">
        <v>75</v>
      </c>
      <c r="D9" s="87">
        <v>1</v>
      </c>
      <c r="E9" s="88" t="s">
        <v>16</v>
      </c>
      <c r="F9" s="23"/>
      <c r="G9" s="23"/>
      <c r="H9" s="24"/>
      <c r="I9" s="25"/>
      <c r="J9" s="76"/>
      <c r="K9" s="26"/>
      <c r="L9" s="77"/>
      <c r="M9" s="27"/>
      <c r="N9" s="78"/>
      <c r="O9" s="28"/>
      <c r="P9" s="79"/>
      <c r="Q9" s="79"/>
    </row>
    <row r="10" spans="1:18" ht="15.75" x14ac:dyDescent="0.2">
      <c r="A10" s="21"/>
      <c r="B10" s="86" t="s">
        <v>77</v>
      </c>
      <c r="C10" s="22" t="s">
        <v>75</v>
      </c>
      <c r="D10" s="87">
        <v>5900</v>
      </c>
      <c r="E10" s="88" t="s">
        <v>16</v>
      </c>
      <c r="F10" s="23"/>
      <c r="G10" s="23"/>
      <c r="H10" s="24"/>
      <c r="I10" s="25"/>
      <c r="J10" s="76"/>
      <c r="K10" s="26"/>
      <c r="L10" s="77"/>
      <c r="M10" s="27"/>
      <c r="N10" s="78"/>
      <c r="O10" s="28"/>
      <c r="P10" s="79"/>
      <c r="Q10" s="79"/>
    </row>
    <row r="11" spans="1:18" ht="15.75" x14ac:dyDescent="0.2">
      <c r="A11" s="32"/>
      <c r="B11" s="89" t="s">
        <v>66</v>
      </c>
      <c r="C11" s="22" t="s">
        <v>75</v>
      </c>
      <c r="D11" s="90">
        <v>5</v>
      </c>
      <c r="E11" s="91" t="s">
        <v>16</v>
      </c>
      <c r="F11" s="23"/>
      <c r="G11" s="23"/>
      <c r="H11" s="24"/>
      <c r="I11" s="25"/>
      <c r="J11" s="76"/>
      <c r="K11" s="26"/>
      <c r="L11" s="77"/>
      <c r="M11" s="27"/>
      <c r="N11" s="78"/>
      <c r="O11" s="28"/>
      <c r="P11" s="79"/>
      <c r="Q11" s="79"/>
    </row>
    <row r="12" spans="1:18" ht="15.75" x14ac:dyDescent="0.2">
      <c r="A12" s="32"/>
      <c r="B12" s="89" t="s">
        <v>23</v>
      </c>
      <c r="C12" s="22" t="s">
        <v>75</v>
      </c>
      <c r="D12" s="90">
        <v>100</v>
      </c>
      <c r="E12" s="91" t="s">
        <v>16</v>
      </c>
      <c r="F12" s="23"/>
      <c r="G12" s="23"/>
      <c r="H12" s="24"/>
      <c r="I12" s="25"/>
      <c r="J12" s="76"/>
      <c r="K12" s="26"/>
      <c r="L12" s="77"/>
      <c r="M12" s="27"/>
      <c r="N12" s="78"/>
      <c r="O12" s="28"/>
      <c r="P12" s="79"/>
      <c r="Q12" s="79"/>
    </row>
    <row r="13" spans="1:18" ht="15.75" x14ac:dyDescent="0.2">
      <c r="A13" s="32"/>
      <c r="B13" s="89" t="s">
        <v>24</v>
      </c>
      <c r="C13" s="22" t="s">
        <v>75</v>
      </c>
      <c r="D13" s="90">
        <v>100</v>
      </c>
      <c r="E13" s="91" t="s">
        <v>16</v>
      </c>
      <c r="F13" s="23"/>
      <c r="G13" s="23"/>
      <c r="H13" s="24"/>
      <c r="I13" s="25"/>
      <c r="J13" s="76"/>
      <c r="K13" s="26"/>
      <c r="L13" s="77"/>
      <c r="M13" s="27"/>
      <c r="N13" s="78"/>
      <c r="O13" s="28"/>
      <c r="P13" s="79"/>
      <c r="Q13" s="79"/>
    </row>
    <row r="14" spans="1:18" ht="15.75" x14ac:dyDescent="0.2">
      <c r="A14" s="32"/>
      <c r="B14" s="89" t="s">
        <v>25</v>
      </c>
      <c r="C14" s="22" t="s">
        <v>75</v>
      </c>
      <c r="D14" s="90">
        <v>2000</v>
      </c>
      <c r="E14" s="91" t="s">
        <v>16</v>
      </c>
      <c r="F14" s="23"/>
      <c r="G14" s="23"/>
      <c r="H14" s="24"/>
      <c r="I14" s="25"/>
      <c r="J14" s="76"/>
      <c r="K14" s="26"/>
      <c r="L14" s="77"/>
      <c r="M14" s="27"/>
      <c r="N14" s="78"/>
      <c r="O14" s="28"/>
      <c r="P14" s="79"/>
      <c r="Q14" s="79"/>
    </row>
    <row r="15" spans="1:18" ht="15.75" x14ac:dyDescent="0.2">
      <c r="A15" s="32"/>
      <c r="B15" s="89" t="s">
        <v>26</v>
      </c>
      <c r="C15" s="22" t="s">
        <v>75</v>
      </c>
      <c r="D15" s="90">
        <v>200</v>
      </c>
      <c r="E15" s="88" t="s">
        <v>16</v>
      </c>
      <c r="F15" s="23"/>
      <c r="G15" s="23"/>
      <c r="H15" s="24"/>
      <c r="I15" s="25"/>
      <c r="J15" s="76"/>
      <c r="K15" s="26"/>
      <c r="L15" s="77"/>
      <c r="M15" s="27"/>
      <c r="N15" s="78"/>
      <c r="O15" s="28"/>
      <c r="P15" s="79"/>
      <c r="Q15" s="79"/>
    </row>
    <row r="16" spans="1:18" ht="15.75" x14ac:dyDescent="0.2">
      <c r="A16" s="32"/>
      <c r="B16" s="89" t="s">
        <v>27</v>
      </c>
      <c r="C16" s="22" t="s">
        <v>75</v>
      </c>
      <c r="D16" s="90">
        <v>100</v>
      </c>
      <c r="E16" s="88" t="s">
        <v>16</v>
      </c>
      <c r="F16" s="23"/>
      <c r="G16" s="23"/>
      <c r="H16" s="24"/>
      <c r="I16" s="25"/>
      <c r="J16" s="76"/>
      <c r="K16" s="26"/>
      <c r="L16" s="77"/>
      <c r="M16" s="27"/>
      <c r="N16" s="78"/>
      <c r="O16" s="28"/>
      <c r="P16" s="79"/>
      <c r="Q16" s="79"/>
    </row>
    <row r="17" spans="1:17" ht="15.75" x14ac:dyDescent="0.25">
      <c r="A17" s="34"/>
      <c r="B17" s="35" t="s">
        <v>28</v>
      </c>
      <c r="C17" s="36"/>
      <c r="D17" s="30"/>
      <c r="E17" s="16"/>
      <c r="F17" s="17"/>
      <c r="G17" s="17"/>
      <c r="H17" s="31"/>
      <c r="I17" s="17"/>
      <c r="J17" s="17"/>
      <c r="K17" s="17"/>
      <c r="L17" s="17"/>
      <c r="M17" s="17"/>
      <c r="N17" s="17"/>
      <c r="O17" s="17"/>
      <c r="P17" s="17"/>
      <c r="Q17" s="17"/>
    </row>
    <row r="18" spans="1:17" ht="15.75" x14ac:dyDescent="0.2">
      <c r="A18" s="32"/>
      <c r="B18" s="89" t="s">
        <v>29</v>
      </c>
      <c r="C18" s="22" t="s">
        <v>75</v>
      </c>
      <c r="D18" s="90">
        <v>1</v>
      </c>
      <c r="E18" s="88" t="s">
        <v>16</v>
      </c>
      <c r="F18" s="23"/>
      <c r="G18" s="23"/>
      <c r="H18" s="24"/>
      <c r="I18" s="25"/>
      <c r="J18" s="76"/>
      <c r="K18" s="26"/>
      <c r="L18" s="77"/>
      <c r="M18" s="27"/>
      <c r="N18" s="78"/>
      <c r="O18" s="28"/>
      <c r="P18" s="79"/>
      <c r="Q18" s="79"/>
    </row>
    <row r="19" spans="1:17" ht="15.75" x14ac:dyDescent="0.2">
      <c r="A19" s="32"/>
      <c r="B19" s="89" t="s">
        <v>30</v>
      </c>
      <c r="C19" s="22" t="s">
        <v>75</v>
      </c>
      <c r="D19" s="90">
        <v>1</v>
      </c>
      <c r="E19" s="88" t="s">
        <v>16</v>
      </c>
      <c r="F19" s="23"/>
      <c r="G19" s="23"/>
      <c r="H19" s="24"/>
      <c r="I19" s="25"/>
      <c r="J19" s="76"/>
      <c r="K19" s="26"/>
      <c r="L19" s="77"/>
      <c r="M19" s="27"/>
      <c r="N19" s="78"/>
      <c r="O19" s="28"/>
      <c r="P19" s="79"/>
      <c r="Q19" s="79"/>
    </row>
    <row r="20" spans="1:17" ht="15.75" x14ac:dyDescent="0.2">
      <c r="A20" s="32"/>
      <c r="B20" s="89" t="s">
        <v>31</v>
      </c>
      <c r="C20" s="22" t="s">
        <v>75</v>
      </c>
      <c r="D20" s="90">
        <v>1</v>
      </c>
      <c r="E20" s="88" t="s">
        <v>16</v>
      </c>
      <c r="F20" s="23"/>
      <c r="G20" s="23"/>
      <c r="H20" s="24"/>
      <c r="I20" s="25"/>
      <c r="J20" s="76"/>
      <c r="K20" s="26"/>
      <c r="L20" s="77"/>
      <c r="M20" s="27"/>
      <c r="N20" s="78"/>
      <c r="O20" s="28"/>
      <c r="P20" s="79"/>
      <c r="Q20" s="79"/>
    </row>
    <row r="21" spans="1:17" ht="15.75" x14ac:dyDescent="0.2">
      <c r="A21" s="32"/>
      <c r="B21" s="97" t="s">
        <v>32</v>
      </c>
      <c r="C21" s="22" t="s">
        <v>75</v>
      </c>
      <c r="D21" s="90">
        <v>1</v>
      </c>
      <c r="E21" s="88" t="s">
        <v>16</v>
      </c>
      <c r="F21" s="23"/>
      <c r="G21" s="23"/>
      <c r="H21" s="24"/>
      <c r="I21" s="25"/>
      <c r="J21" s="76"/>
      <c r="K21" s="26"/>
      <c r="L21" s="77"/>
      <c r="M21" s="27"/>
      <c r="N21" s="78"/>
      <c r="O21" s="28"/>
      <c r="P21" s="79"/>
      <c r="Q21" s="79"/>
    </row>
    <row r="22" spans="1:17" s="42" customFormat="1" ht="15.75" x14ac:dyDescent="0.25">
      <c r="A22" s="37"/>
      <c r="B22" s="38" t="s">
        <v>33</v>
      </c>
      <c r="C22" s="39"/>
      <c r="D22" s="40">
        <f>SUM(D4:D21)</f>
        <v>37911</v>
      </c>
      <c r="E22" s="40"/>
      <c r="F22" s="40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</row>
    <row r="23" spans="1:17" s="47" customFormat="1" ht="15.75" x14ac:dyDescent="0.25">
      <c r="A23" s="43"/>
      <c r="B23" s="98" t="s">
        <v>78</v>
      </c>
      <c r="C23" s="44"/>
      <c r="D23" s="80"/>
      <c r="E23" s="45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81"/>
      <c r="Q23" s="81"/>
    </row>
    <row r="24" spans="1:17" ht="15.75" x14ac:dyDescent="0.25">
      <c r="A24" s="34" t="s">
        <v>34</v>
      </c>
      <c r="B24" s="48" t="s">
        <v>35</v>
      </c>
      <c r="C24" s="49"/>
      <c r="D24" s="30"/>
      <c r="E24" s="50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82"/>
      <c r="Q24" s="82"/>
    </row>
    <row r="25" spans="1:17" ht="15.75" x14ac:dyDescent="0.2">
      <c r="A25" s="32"/>
      <c r="B25" s="89" t="s">
        <v>36</v>
      </c>
      <c r="C25" s="51" t="s">
        <v>15</v>
      </c>
      <c r="D25" s="90">
        <v>10</v>
      </c>
      <c r="E25" s="92" t="s">
        <v>16</v>
      </c>
      <c r="F25" s="52"/>
      <c r="G25" s="52"/>
      <c r="H25" s="24"/>
      <c r="I25" s="24"/>
      <c r="J25" s="76"/>
      <c r="K25" s="76"/>
      <c r="L25" s="77"/>
      <c r="M25" s="77"/>
      <c r="N25" s="78"/>
      <c r="O25" s="78"/>
      <c r="P25" s="79"/>
      <c r="Q25" s="79"/>
    </row>
    <row r="26" spans="1:17" ht="15.75" x14ac:dyDescent="0.2">
      <c r="A26" s="32"/>
      <c r="B26" s="89" t="s">
        <v>37</v>
      </c>
      <c r="C26" s="51" t="s">
        <v>15</v>
      </c>
      <c r="D26" s="90">
        <v>10</v>
      </c>
      <c r="E26" s="92" t="s">
        <v>16</v>
      </c>
      <c r="F26" s="52"/>
      <c r="G26" s="52"/>
      <c r="H26" s="24"/>
      <c r="I26" s="24"/>
      <c r="J26" s="76"/>
      <c r="K26" s="76"/>
      <c r="L26" s="77"/>
      <c r="M26" s="77"/>
      <c r="N26" s="78"/>
      <c r="O26" s="78"/>
      <c r="P26" s="79"/>
      <c r="Q26" s="79"/>
    </row>
    <row r="27" spans="1:17" ht="15.75" x14ac:dyDescent="0.2">
      <c r="A27" s="32"/>
      <c r="B27" s="89" t="s">
        <v>38</v>
      </c>
      <c r="C27" s="51" t="s">
        <v>15</v>
      </c>
      <c r="D27" s="90">
        <v>10</v>
      </c>
      <c r="E27" s="92" t="s">
        <v>16</v>
      </c>
      <c r="F27" s="52"/>
      <c r="G27" s="52"/>
      <c r="H27" s="24"/>
      <c r="I27" s="24"/>
      <c r="J27" s="76"/>
      <c r="K27" s="76"/>
      <c r="L27" s="77"/>
      <c r="M27" s="77"/>
      <c r="N27" s="78"/>
      <c r="O27" s="78"/>
      <c r="P27" s="79"/>
      <c r="Q27" s="79"/>
    </row>
    <row r="28" spans="1:17" ht="15.75" x14ac:dyDescent="0.2">
      <c r="A28" s="32"/>
      <c r="B28" s="89" t="s">
        <v>39</v>
      </c>
      <c r="C28" s="51" t="s">
        <v>15</v>
      </c>
      <c r="D28" s="90">
        <v>10</v>
      </c>
      <c r="E28" s="92" t="s">
        <v>16</v>
      </c>
      <c r="F28" s="52"/>
      <c r="G28" s="52"/>
      <c r="H28" s="24"/>
      <c r="I28" s="24"/>
      <c r="J28" s="76"/>
      <c r="K28" s="76"/>
      <c r="L28" s="77"/>
      <c r="M28" s="77"/>
      <c r="N28" s="78"/>
      <c r="O28" s="78"/>
      <c r="P28" s="79"/>
      <c r="Q28" s="79"/>
    </row>
    <row r="29" spans="1:17" ht="15.75" x14ac:dyDescent="0.2">
      <c r="A29" s="32"/>
      <c r="B29" s="89" t="s">
        <v>40</v>
      </c>
      <c r="C29" s="51" t="s">
        <v>15</v>
      </c>
      <c r="D29" s="90">
        <v>10</v>
      </c>
      <c r="E29" s="92" t="s">
        <v>16</v>
      </c>
      <c r="F29" s="52"/>
      <c r="G29" s="52"/>
      <c r="H29" s="24"/>
      <c r="I29" s="24"/>
      <c r="J29" s="76"/>
      <c r="K29" s="76"/>
      <c r="L29" s="77"/>
      <c r="M29" s="77"/>
      <c r="N29" s="78"/>
      <c r="O29" s="78"/>
      <c r="P29" s="79"/>
      <c r="Q29" s="79"/>
    </row>
    <row r="30" spans="1:17" ht="15.75" x14ac:dyDescent="0.2">
      <c r="A30" s="32"/>
      <c r="B30" s="89" t="s">
        <v>41</v>
      </c>
      <c r="C30" s="51" t="s">
        <v>15</v>
      </c>
      <c r="D30" s="90">
        <v>10</v>
      </c>
      <c r="E30" s="92" t="s">
        <v>16</v>
      </c>
      <c r="F30" s="52"/>
      <c r="G30" s="52"/>
      <c r="H30" s="24"/>
      <c r="I30" s="24"/>
      <c r="J30" s="76"/>
      <c r="K30" s="76"/>
      <c r="L30" s="77"/>
      <c r="M30" s="77"/>
      <c r="N30" s="78"/>
      <c r="O30" s="78"/>
      <c r="P30" s="79"/>
      <c r="Q30" s="79"/>
    </row>
    <row r="31" spans="1:17" ht="15.75" x14ac:dyDescent="0.2">
      <c r="A31" s="32"/>
      <c r="B31" s="89" t="s">
        <v>42</v>
      </c>
      <c r="C31" s="51" t="s">
        <v>15</v>
      </c>
      <c r="D31" s="90">
        <v>10</v>
      </c>
      <c r="E31" s="92" t="s">
        <v>16</v>
      </c>
      <c r="F31" s="52"/>
      <c r="G31" s="52"/>
      <c r="H31" s="24"/>
      <c r="I31" s="24"/>
      <c r="J31" s="76"/>
      <c r="K31" s="76"/>
      <c r="L31" s="77"/>
      <c r="M31" s="77"/>
      <c r="N31" s="78"/>
      <c r="O31" s="78"/>
      <c r="P31" s="79"/>
      <c r="Q31" s="79"/>
    </row>
    <row r="32" spans="1:17" ht="15.75" x14ac:dyDescent="0.25">
      <c r="A32" s="34" t="s">
        <v>55</v>
      </c>
      <c r="B32" s="71" t="s">
        <v>43</v>
      </c>
      <c r="C32" s="49"/>
      <c r="D32" s="30"/>
      <c r="E32" s="50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</row>
    <row r="33" spans="1:17" ht="15.75" x14ac:dyDescent="0.2">
      <c r="A33" s="32"/>
      <c r="B33" s="89" t="s">
        <v>44</v>
      </c>
      <c r="C33" s="51" t="s">
        <v>15</v>
      </c>
      <c r="D33" s="90">
        <v>10</v>
      </c>
      <c r="E33" s="92" t="s">
        <v>16</v>
      </c>
      <c r="F33" s="52"/>
      <c r="G33" s="52"/>
      <c r="H33" s="24"/>
      <c r="I33" s="24"/>
      <c r="J33" s="76"/>
      <c r="K33" s="76"/>
      <c r="L33" s="77"/>
      <c r="M33" s="77"/>
      <c r="N33" s="78"/>
      <c r="O33" s="78"/>
      <c r="P33" s="79"/>
      <c r="Q33" s="79"/>
    </row>
    <row r="34" spans="1:17" ht="15.75" x14ac:dyDescent="0.2">
      <c r="A34" s="32"/>
      <c r="B34" s="89" t="s">
        <v>45</v>
      </c>
      <c r="C34" s="51" t="s">
        <v>15</v>
      </c>
      <c r="D34" s="90">
        <v>10</v>
      </c>
      <c r="E34" s="92" t="s">
        <v>16</v>
      </c>
      <c r="F34" s="52"/>
      <c r="G34" s="52"/>
      <c r="H34" s="24"/>
      <c r="I34" s="24"/>
      <c r="J34" s="76"/>
      <c r="K34" s="76"/>
      <c r="L34" s="77"/>
      <c r="M34" s="77"/>
      <c r="N34" s="78"/>
      <c r="O34" s="78"/>
      <c r="P34" s="79"/>
      <c r="Q34" s="79"/>
    </row>
    <row r="35" spans="1:17" ht="15.75" x14ac:dyDescent="0.2">
      <c r="A35" s="32"/>
      <c r="B35" s="89" t="s">
        <v>46</v>
      </c>
      <c r="C35" s="51" t="s">
        <v>15</v>
      </c>
      <c r="D35" s="90">
        <v>10</v>
      </c>
      <c r="E35" s="92" t="s">
        <v>16</v>
      </c>
      <c r="F35" s="52"/>
      <c r="G35" s="52"/>
      <c r="H35" s="24"/>
      <c r="I35" s="24"/>
      <c r="J35" s="76"/>
      <c r="K35" s="76"/>
      <c r="L35" s="77"/>
      <c r="M35" s="77"/>
      <c r="N35" s="78"/>
      <c r="O35" s="78"/>
      <c r="P35" s="79"/>
      <c r="Q35" s="79"/>
    </row>
    <row r="36" spans="1:17" ht="15.75" x14ac:dyDescent="0.2">
      <c r="A36" s="32"/>
      <c r="B36" s="89" t="s">
        <v>47</v>
      </c>
      <c r="C36" s="51" t="s">
        <v>15</v>
      </c>
      <c r="D36" s="90">
        <v>10</v>
      </c>
      <c r="E36" s="92" t="s">
        <v>16</v>
      </c>
      <c r="F36" s="52"/>
      <c r="G36" s="52"/>
      <c r="H36" s="24"/>
      <c r="I36" s="24"/>
      <c r="J36" s="76"/>
      <c r="K36" s="76"/>
      <c r="L36" s="77"/>
      <c r="M36" s="77"/>
      <c r="N36" s="78"/>
      <c r="O36" s="78"/>
      <c r="P36" s="79"/>
      <c r="Q36" s="79"/>
    </row>
    <row r="37" spans="1:17" ht="15.75" x14ac:dyDescent="0.2">
      <c r="A37" s="32"/>
      <c r="B37" s="93" t="s">
        <v>48</v>
      </c>
      <c r="C37" s="51" t="s">
        <v>15</v>
      </c>
      <c r="D37" s="90">
        <v>10</v>
      </c>
      <c r="E37" s="92" t="s">
        <v>16</v>
      </c>
      <c r="F37" s="52"/>
      <c r="G37" s="52"/>
      <c r="H37" s="24"/>
      <c r="I37" s="24"/>
      <c r="J37" s="76"/>
      <c r="K37" s="76"/>
      <c r="L37" s="77"/>
      <c r="M37" s="77"/>
      <c r="N37" s="78"/>
      <c r="O37" s="78"/>
      <c r="P37" s="79"/>
      <c r="Q37" s="79"/>
    </row>
    <row r="38" spans="1:17" ht="15.75" x14ac:dyDescent="0.25">
      <c r="A38" s="34" t="s">
        <v>60</v>
      </c>
      <c r="B38" s="72" t="s">
        <v>49</v>
      </c>
      <c r="C38" s="49"/>
      <c r="D38" s="30"/>
      <c r="E38" s="50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</row>
    <row r="39" spans="1:17" ht="15.75" x14ac:dyDescent="0.2">
      <c r="A39" s="32"/>
      <c r="B39" s="89" t="s">
        <v>50</v>
      </c>
      <c r="C39" s="51" t="s">
        <v>15</v>
      </c>
      <c r="D39" s="90">
        <v>10</v>
      </c>
      <c r="E39" s="92" t="s">
        <v>16</v>
      </c>
      <c r="F39" s="52"/>
      <c r="G39" s="52"/>
      <c r="H39" s="24"/>
      <c r="I39" s="24"/>
      <c r="J39" s="76"/>
      <c r="K39" s="76"/>
      <c r="L39" s="77"/>
      <c r="M39" s="77"/>
      <c r="N39" s="78"/>
      <c r="O39" s="78"/>
      <c r="P39" s="79"/>
      <c r="Q39" s="79"/>
    </row>
    <row r="40" spans="1:17" ht="15.75" x14ac:dyDescent="0.2">
      <c r="A40" s="32"/>
      <c r="B40" s="89" t="s">
        <v>51</v>
      </c>
      <c r="C40" s="51" t="s">
        <v>15</v>
      </c>
      <c r="D40" s="90">
        <v>10</v>
      </c>
      <c r="E40" s="92" t="s">
        <v>16</v>
      </c>
      <c r="F40" s="52"/>
      <c r="G40" s="52"/>
      <c r="H40" s="24"/>
      <c r="I40" s="24"/>
      <c r="J40" s="76"/>
      <c r="K40" s="76"/>
      <c r="L40" s="77"/>
      <c r="M40" s="77"/>
      <c r="N40" s="78"/>
      <c r="O40" s="78"/>
      <c r="P40" s="79"/>
      <c r="Q40" s="79"/>
    </row>
    <row r="41" spans="1:17" ht="15.75" x14ac:dyDescent="0.2">
      <c r="A41" s="32"/>
      <c r="B41" s="89" t="s">
        <v>52</v>
      </c>
      <c r="C41" s="51" t="s">
        <v>15</v>
      </c>
      <c r="D41" s="90">
        <v>10</v>
      </c>
      <c r="E41" s="92" t="s">
        <v>16</v>
      </c>
      <c r="F41" s="52"/>
      <c r="G41" s="52"/>
      <c r="H41" s="24"/>
      <c r="I41" s="24"/>
      <c r="J41" s="76"/>
      <c r="K41" s="76"/>
      <c r="L41" s="77"/>
      <c r="M41" s="77"/>
      <c r="N41" s="78"/>
      <c r="O41" s="78"/>
      <c r="P41" s="79"/>
      <c r="Q41" s="79"/>
    </row>
    <row r="42" spans="1:17" ht="15.75" x14ac:dyDescent="0.2">
      <c r="A42" s="32"/>
      <c r="B42" s="89" t="s">
        <v>53</v>
      </c>
      <c r="C42" s="51" t="s">
        <v>15</v>
      </c>
      <c r="D42" s="90">
        <v>50</v>
      </c>
      <c r="E42" s="92" t="s">
        <v>16</v>
      </c>
      <c r="F42" s="52"/>
      <c r="G42" s="52"/>
      <c r="H42" s="24"/>
      <c r="I42" s="24"/>
      <c r="J42" s="76"/>
      <c r="K42" s="76"/>
      <c r="L42" s="77"/>
      <c r="M42" s="77"/>
      <c r="N42" s="78"/>
      <c r="O42" s="78"/>
      <c r="P42" s="79"/>
      <c r="Q42" s="79"/>
    </row>
    <row r="43" spans="1:17" ht="15.75" x14ac:dyDescent="0.2">
      <c r="A43" s="32"/>
      <c r="B43" s="89" t="s">
        <v>54</v>
      </c>
      <c r="C43" s="51" t="s">
        <v>15</v>
      </c>
      <c r="D43" s="90">
        <v>10</v>
      </c>
      <c r="E43" s="92" t="s">
        <v>16</v>
      </c>
      <c r="F43" s="52"/>
      <c r="G43" s="52"/>
      <c r="H43" s="24"/>
      <c r="I43" s="24"/>
      <c r="J43" s="76"/>
      <c r="K43" s="76"/>
      <c r="L43" s="77"/>
      <c r="M43" s="77"/>
      <c r="N43" s="78"/>
      <c r="O43" s="78"/>
      <c r="P43" s="79"/>
      <c r="Q43" s="79"/>
    </row>
    <row r="44" spans="1:17" ht="15.75" x14ac:dyDescent="0.25">
      <c r="A44" s="12" t="s">
        <v>79</v>
      </c>
      <c r="B44" s="29" t="s">
        <v>80</v>
      </c>
      <c r="C44" s="14"/>
      <c r="D44" s="30"/>
      <c r="E44" s="16"/>
      <c r="F44" s="17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1:17" ht="15.75" x14ac:dyDescent="0.2">
      <c r="A45" s="32"/>
      <c r="B45" s="89" t="s">
        <v>63</v>
      </c>
      <c r="C45" s="33" t="s">
        <v>15</v>
      </c>
      <c r="D45" s="90">
        <v>120</v>
      </c>
      <c r="E45" s="91" t="s">
        <v>16</v>
      </c>
      <c r="F45" s="23"/>
      <c r="G45" s="23"/>
      <c r="H45" s="24"/>
      <c r="I45" s="25"/>
      <c r="J45" s="76"/>
      <c r="K45" s="26"/>
      <c r="L45" s="77"/>
      <c r="M45" s="27"/>
      <c r="N45" s="78"/>
      <c r="O45" s="28"/>
      <c r="P45" s="79"/>
      <c r="Q45" s="79"/>
    </row>
    <row r="46" spans="1:17" ht="15.75" x14ac:dyDescent="0.2">
      <c r="A46" s="32"/>
      <c r="B46" s="89" t="s">
        <v>64</v>
      </c>
      <c r="C46" s="33" t="s">
        <v>15</v>
      </c>
      <c r="D46" s="90">
        <v>120</v>
      </c>
      <c r="E46" s="91" t="s">
        <v>16</v>
      </c>
      <c r="F46" s="23"/>
      <c r="G46" s="23"/>
      <c r="H46" s="24"/>
      <c r="I46" s="25"/>
      <c r="J46" s="76"/>
      <c r="K46" s="26"/>
      <c r="L46" s="77"/>
      <c r="M46" s="27"/>
      <c r="N46" s="78"/>
      <c r="O46" s="28"/>
      <c r="P46" s="79"/>
      <c r="Q46" s="79"/>
    </row>
    <row r="47" spans="1:17" ht="15.75" x14ac:dyDescent="0.2">
      <c r="A47" s="32"/>
      <c r="B47" s="89" t="s">
        <v>65</v>
      </c>
      <c r="C47" s="33" t="s">
        <v>15</v>
      </c>
      <c r="D47" s="90">
        <v>120</v>
      </c>
      <c r="E47" s="91" t="s">
        <v>16</v>
      </c>
      <c r="F47" s="23"/>
      <c r="G47" s="23"/>
      <c r="H47" s="24"/>
      <c r="I47" s="25"/>
      <c r="J47" s="76"/>
      <c r="K47" s="26"/>
      <c r="L47" s="77"/>
      <c r="M47" s="27"/>
      <c r="N47" s="78"/>
      <c r="O47" s="28"/>
      <c r="P47" s="79"/>
      <c r="Q47" s="79"/>
    </row>
    <row r="48" spans="1:17" ht="15.75" x14ac:dyDescent="0.25">
      <c r="A48" s="12" t="s">
        <v>81</v>
      </c>
      <c r="B48" s="53" t="s">
        <v>56</v>
      </c>
      <c r="C48" s="14"/>
      <c r="D48" s="30"/>
      <c r="E48" s="54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1:17" ht="15.75" x14ac:dyDescent="0.2">
      <c r="A49" s="21"/>
      <c r="B49" s="86" t="s">
        <v>14</v>
      </c>
      <c r="C49" s="33" t="s">
        <v>15</v>
      </c>
      <c r="D49" s="87">
        <v>200</v>
      </c>
      <c r="E49" s="91" t="s">
        <v>16</v>
      </c>
      <c r="F49" s="23"/>
      <c r="G49" s="52"/>
      <c r="H49" s="24"/>
      <c r="I49" s="24"/>
      <c r="J49" s="76"/>
      <c r="K49" s="76"/>
      <c r="L49" s="77"/>
      <c r="M49" s="77"/>
      <c r="N49" s="78"/>
      <c r="O49" s="78"/>
      <c r="P49" s="79"/>
      <c r="Q49" s="79"/>
    </row>
    <row r="50" spans="1:17" ht="15.75" x14ac:dyDescent="0.2">
      <c r="A50" s="21"/>
      <c r="B50" s="86" t="s">
        <v>17</v>
      </c>
      <c r="C50" s="33" t="s">
        <v>15</v>
      </c>
      <c r="D50" s="87">
        <v>200</v>
      </c>
      <c r="E50" s="91" t="s">
        <v>16</v>
      </c>
      <c r="F50" s="23"/>
      <c r="G50" s="52"/>
      <c r="H50" s="24"/>
      <c r="I50" s="24"/>
      <c r="J50" s="76"/>
      <c r="K50" s="76"/>
      <c r="L50" s="77"/>
      <c r="M50" s="77"/>
      <c r="N50" s="78"/>
      <c r="O50" s="78"/>
      <c r="P50" s="79"/>
      <c r="Q50" s="79"/>
    </row>
    <row r="51" spans="1:17" ht="15.75" x14ac:dyDescent="0.2">
      <c r="A51" s="21"/>
      <c r="B51" s="86" t="s">
        <v>18</v>
      </c>
      <c r="C51" s="33" t="s">
        <v>15</v>
      </c>
      <c r="D51" s="87">
        <v>1200</v>
      </c>
      <c r="E51" s="91" t="s">
        <v>16</v>
      </c>
      <c r="F51" s="23"/>
      <c r="G51" s="52"/>
      <c r="H51" s="24"/>
      <c r="I51" s="24"/>
      <c r="J51" s="76"/>
      <c r="K51" s="76"/>
      <c r="L51" s="77"/>
      <c r="M51" s="77"/>
      <c r="N51" s="78"/>
      <c r="O51" s="78"/>
      <c r="P51" s="79"/>
      <c r="Q51" s="79"/>
    </row>
    <row r="52" spans="1:17" ht="15.75" x14ac:dyDescent="0.2">
      <c r="A52" s="21"/>
      <c r="B52" s="86" t="s">
        <v>19</v>
      </c>
      <c r="C52" s="33" t="s">
        <v>15</v>
      </c>
      <c r="D52" s="87">
        <v>2400</v>
      </c>
      <c r="E52" s="91" t="s">
        <v>16</v>
      </c>
      <c r="F52" s="23"/>
      <c r="G52" s="52"/>
      <c r="H52" s="24"/>
      <c r="I52" s="24"/>
      <c r="J52" s="76"/>
      <c r="K52" s="76"/>
      <c r="L52" s="77"/>
      <c r="M52" s="77"/>
      <c r="N52" s="78"/>
      <c r="O52" s="78"/>
      <c r="P52" s="79"/>
      <c r="Q52" s="79"/>
    </row>
    <row r="53" spans="1:17" ht="15.75" x14ac:dyDescent="0.2">
      <c r="A53" s="21"/>
      <c r="B53" s="86" t="s">
        <v>20</v>
      </c>
      <c r="C53" s="33" t="s">
        <v>15</v>
      </c>
      <c r="D53" s="87">
        <v>1</v>
      </c>
      <c r="E53" s="91" t="s">
        <v>16</v>
      </c>
      <c r="F53" s="23"/>
      <c r="G53" s="52"/>
      <c r="H53" s="24"/>
      <c r="I53" s="24"/>
      <c r="J53" s="76"/>
      <c r="K53" s="76"/>
      <c r="L53" s="77"/>
      <c r="M53" s="77"/>
      <c r="N53" s="78"/>
      <c r="O53" s="78"/>
      <c r="P53" s="79"/>
      <c r="Q53" s="79"/>
    </row>
    <row r="54" spans="1:17" ht="15.75" x14ac:dyDescent="0.2">
      <c r="A54" s="21"/>
      <c r="B54" s="86" t="s">
        <v>21</v>
      </c>
      <c r="C54" s="33" t="s">
        <v>15</v>
      </c>
      <c r="D54" s="87">
        <v>1</v>
      </c>
      <c r="E54" s="91" t="s">
        <v>16</v>
      </c>
      <c r="F54" s="23"/>
      <c r="G54" s="52"/>
      <c r="H54" s="24"/>
      <c r="I54" s="24"/>
      <c r="J54" s="76"/>
      <c r="K54" s="76"/>
      <c r="L54" s="77"/>
      <c r="M54" s="77"/>
      <c r="N54" s="78"/>
      <c r="O54" s="78"/>
      <c r="P54" s="79"/>
      <c r="Q54" s="79"/>
    </row>
    <row r="55" spans="1:17" ht="15.75" x14ac:dyDescent="0.2">
      <c r="A55" s="21"/>
      <c r="B55" s="86" t="s">
        <v>22</v>
      </c>
      <c r="C55" s="33" t="s">
        <v>15</v>
      </c>
      <c r="D55" s="87">
        <v>1</v>
      </c>
      <c r="E55" s="91" t="s">
        <v>16</v>
      </c>
      <c r="F55" s="23"/>
      <c r="G55" s="52"/>
      <c r="H55" s="24"/>
      <c r="I55" s="24"/>
      <c r="J55" s="76"/>
      <c r="K55" s="76"/>
      <c r="L55" s="77"/>
      <c r="M55" s="77"/>
      <c r="N55" s="78"/>
      <c r="O55" s="78"/>
      <c r="P55" s="79"/>
      <c r="Q55" s="79"/>
    </row>
    <row r="56" spans="1:17" ht="15.75" x14ac:dyDescent="0.2">
      <c r="A56" s="21"/>
      <c r="B56" s="92" t="s">
        <v>57</v>
      </c>
      <c r="C56" s="33" t="s">
        <v>15</v>
      </c>
      <c r="D56" s="90">
        <v>150</v>
      </c>
      <c r="E56" s="91" t="s">
        <v>16</v>
      </c>
      <c r="F56" s="52"/>
      <c r="G56" s="52"/>
      <c r="H56" s="24"/>
      <c r="I56" s="24"/>
      <c r="J56" s="76"/>
      <c r="K56" s="76"/>
      <c r="L56" s="77"/>
      <c r="M56" s="77"/>
      <c r="N56" s="78"/>
      <c r="O56" s="78"/>
      <c r="P56" s="79"/>
      <c r="Q56" s="79"/>
    </row>
    <row r="57" spans="1:17" ht="15.75" x14ac:dyDescent="0.2">
      <c r="A57" s="21"/>
      <c r="B57" s="92" t="s">
        <v>58</v>
      </c>
      <c r="C57" s="33" t="s">
        <v>15</v>
      </c>
      <c r="D57" s="90">
        <v>150</v>
      </c>
      <c r="E57" s="91" t="s">
        <v>16</v>
      </c>
      <c r="F57" s="52"/>
      <c r="G57" s="52"/>
      <c r="H57" s="24"/>
      <c r="I57" s="24"/>
      <c r="J57" s="76"/>
      <c r="K57" s="76"/>
      <c r="L57" s="77"/>
      <c r="M57" s="77"/>
      <c r="N57" s="78"/>
      <c r="O57" s="78"/>
      <c r="P57" s="79"/>
      <c r="Q57" s="79"/>
    </row>
    <row r="58" spans="1:17" ht="15.75" x14ac:dyDescent="0.25">
      <c r="A58" s="12" t="s">
        <v>84</v>
      </c>
      <c r="B58" s="53" t="s">
        <v>61</v>
      </c>
      <c r="C58" s="14"/>
      <c r="D58" s="30"/>
      <c r="E58" s="54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1:17" ht="15.75" x14ac:dyDescent="0.2">
      <c r="A59" s="21"/>
      <c r="B59" s="86" t="s">
        <v>14</v>
      </c>
      <c r="C59" s="33" t="s">
        <v>15</v>
      </c>
      <c r="D59" s="87">
        <v>1200</v>
      </c>
      <c r="E59" s="91" t="s">
        <v>16</v>
      </c>
      <c r="F59" s="23"/>
      <c r="G59" s="52"/>
      <c r="H59" s="24"/>
      <c r="I59" s="24"/>
      <c r="J59" s="76"/>
      <c r="K59" s="76"/>
      <c r="L59" s="77"/>
      <c r="M59" s="77"/>
      <c r="N59" s="78"/>
      <c r="O59" s="78"/>
      <c r="P59" s="79"/>
      <c r="Q59" s="79"/>
    </row>
    <row r="60" spans="1:17" ht="15.75" x14ac:dyDescent="0.2">
      <c r="A60" s="21"/>
      <c r="B60" s="86" t="s">
        <v>17</v>
      </c>
      <c r="C60" s="33" t="s">
        <v>15</v>
      </c>
      <c r="D60" s="87">
        <v>1200</v>
      </c>
      <c r="E60" s="91" t="s">
        <v>16</v>
      </c>
      <c r="F60" s="23"/>
      <c r="G60" s="52"/>
      <c r="H60" s="24"/>
      <c r="I60" s="24"/>
      <c r="J60" s="76"/>
      <c r="K60" s="76"/>
      <c r="L60" s="77"/>
      <c r="M60" s="77"/>
      <c r="N60" s="78"/>
      <c r="O60" s="78"/>
      <c r="P60" s="79"/>
      <c r="Q60" s="79"/>
    </row>
    <row r="61" spans="1:17" ht="15.75" x14ac:dyDescent="0.2">
      <c r="A61" s="21"/>
      <c r="B61" s="86" t="s">
        <v>18</v>
      </c>
      <c r="C61" s="33" t="s">
        <v>15</v>
      </c>
      <c r="D61" s="87">
        <v>1200</v>
      </c>
      <c r="E61" s="91" t="s">
        <v>16</v>
      </c>
      <c r="F61" s="23"/>
      <c r="G61" s="52"/>
      <c r="H61" s="24"/>
      <c r="I61" s="24"/>
      <c r="J61" s="76"/>
      <c r="K61" s="76"/>
      <c r="L61" s="77"/>
      <c r="M61" s="77"/>
      <c r="N61" s="78"/>
      <c r="O61" s="78"/>
      <c r="P61" s="79"/>
      <c r="Q61" s="79"/>
    </row>
    <row r="62" spans="1:17" ht="15.75" x14ac:dyDescent="0.2">
      <c r="A62" s="21"/>
      <c r="B62" s="86" t="s">
        <v>19</v>
      </c>
      <c r="C62" s="33" t="s">
        <v>15</v>
      </c>
      <c r="D62" s="87">
        <v>2400</v>
      </c>
      <c r="E62" s="91" t="s">
        <v>16</v>
      </c>
      <c r="F62" s="23"/>
      <c r="G62" s="52"/>
      <c r="H62" s="24"/>
      <c r="I62" s="24"/>
      <c r="J62" s="76"/>
      <c r="K62" s="76"/>
      <c r="L62" s="77"/>
      <c r="M62" s="77"/>
      <c r="N62" s="78"/>
      <c r="O62" s="78"/>
      <c r="P62" s="79"/>
      <c r="Q62" s="79"/>
    </row>
    <row r="63" spans="1:17" ht="15.75" x14ac:dyDescent="0.2">
      <c r="A63" s="21"/>
      <c r="B63" s="86" t="s">
        <v>20</v>
      </c>
      <c r="C63" s="33" t="s">
        <v>15</v>
      </c>
      <c r="D63" s="87">
        <v>1</v>
      </c>
      <c r="E63" s="91" t="s">
        <v>16</v>
      </c>
      <c r="F63" s="23"/>
      <c r="G63" s="52"/>
      <c r="H63" s="24"/>
      <c r="I63" s="24"/>
      <c r="J63" s="76"/>
      <c r="K63" s="76"/>
      <c r="L63" s="77"/>
      <c r="M63" s="77"/>
      <c r="N63" s="78"/>
      <c r="O63" s="78"/>
      <c r="P63" s="79"/>
      <c r="Q63" s="79"/>
    </row>
    <row r="64" spans="1:17" ht="15.75" x14ac:dyDescent="0.2">
      <c r="A64" s="21"/>
      <c r="B64" s="86" t="s">
        <v>21</v>
      </c>
      <c r="C64" s="33" t="s">
        <v>15</v>
      </c>
      <c r="D64" s="87">
        <v>1</v>
      </c>
      <c r="E64" s="91" t="s">
        <v>16</v>
      </c>
      <c r="F64" s="23"/>
      <c r="G64" s="52"/>
      <c r="H64" s="24"/>
      <c r="I64" s="24"/>
      <c r="J64" s="76"/>
      <c r="K64" s="76"/>
      <c r="L64" s="77"/>
      <c r="M64" s="77"/>
      <c r="N64" s="78"/>
      <c r="O64" s="78"/>
      <c r="P64" s="79"/>
      <c r="Q64" s="79"/>
    </row>
    <row r="65" spans="1:17" ht="15.75" x14ac:dyDescent="0.2">
      <c r="A65" s="21"/>
      <c r="B65" s="86" t="s">
        <v>22</v>
      </c>
      <c r="C65" s="33" t="s">
        <v>15</v>
      </c>
      <c r="D65" s="87">
        <v>1</v>
      </c>
      <c r="E65" s="91" t="s">
        <v>16</v>
      </c>
      <c r="F65" s="23"/>
      <c r="G65" s="52"/>
      <c r="H65" s="24"/>
      <c r="I65" s="24"/>
      <c r="J65" s="76"/>
      <c r="K65" s="76"/>
      <c r="L65" s="77"/>
      <c r="M65" s="77"/>
      <c r="N65" s="78"/>
      <c r="O65" s="78"/>
      <c r="P65" s="79"/>
      <c r="Q65" s="79"/>
    </row>
    <row r="66" spans="1:17" ht="15.75" x14ac:dyDescent="0.2">
      <c r="A66" s="21"/>
      <c r="B66" s="89" t="s">
        <v>24</v>
      </c>
      <c r="C66" s="33" t="s">
        <v>15</v>
      </c>
      <c r="D66" s="90">
        <v>100</v>
      </c>
      <c r="E66" s="91" t="s">
        <v>16</v>
      </c>
      <c r="F66" s="23"/>
      <c r="G66" s="52"/>
      <c r="H66" s="24"/>
      <c r="I66" s="24"/>
      <c r="J66" s="76"/>
      <c r="K66" s="76"/>
      <c r="L66" s="77"/>
      <c r="M66" s="77"/>
      <c r="N66" s="78"/>
      <c r="O66" s="78"/>
      <c r="P66" s="79"/>
      <c r="Q66" s="79"/>
    </row>
    <row r="67" spans="1:17" ht="15.75" x14ac:dyDescent="0.2">
      <c r="A67" s="21"/>
      <c r="B67" s="89" t="s">
        <v>62</v>
      </c>
      <c r="C67" s="33" t="s">
        <v>15</v>
      </c>
      <c r="D67" s="90">
        <v>300</v>
      </c>
      <c r="E67" s="91" t="s">
        <v>16</v>
      </c>
      <c r="F67" s="23"/>
      <c r="G67" s="52"/>
      <c r="H67" s="24"/>
      <c r="I67" s="24"/>
      <c r="J67" s="76"/>
      <c r="K67" s="76"/>
      <c r="L67" s="77"/>
      <c r="M67" s="77"/>
      <c r="N67" s="78"/>
      <c r="O67" s="78"/>
      <c r="P67" s="79"/>
      <c r="Q67" s="79"/>
    </row>
    <row r="68" spans="1:17" ht="15.75" x14ac:dyDescent="0.2">
      <c r="A68" s="21"/>
      <c r="B68" s="92" t="s">
        <v>57</v>
      </c>
      <c r="C68" s="33" t="s">
        <v>15</v>
      </c>
      <c r="D68" s="90">
        <v>100</v>
      </c>
      <c r="E68" s="91" t="s">
        <v>16</v>
      </c>
      <c r="F68" s="52"/>
      <c r="G68" s="52"/>
      <c r="H68" s="24"/>
      <c r="I68" s="24"/>
      <c r="J68" s="76"/>
      <c r="K68" s="76"/>
      <c r="L68" s="77"/>
      <c r="M68" s="77"/>
      <c r="N68" s="78"/>
      <c r="O68" s="78"/>
      <c r="P68" s="79"/>
      <c r="Q68" s="79"/>
    </row>
    <row r="69" spans="1:17" ht="15.75" x14ac:dyDescent="0.2">
      <c r="A69" s="21"/>
      <c r="B69" s="92" t="s">
        <v>58</v>
      </c>
      <c r="C69" s="33" t="s">
        <v>15</v>
      </c>
      <c r="D69" s="90">
        <v>100</v>
      </c>
      <c r="E69" s="91" t="s">
        <v>16</v>
      </c>
      <c r="F69" s="52"/>
      <c r="G69" s="52"/>
      <c r="H69" s="24"/>
      <c r="I69" s="24"/>
      <c r="J69" s="76"/>
      <c r="K69" s="76"/>
      <c r="L69" s="77"/>
      <c r="M69" s="77"/>
      <c r="N69" s="78"/>
      <c r="O69" s="78"/>
      <c r="P69" s="79"/>
      <c r="Q69" s="79"/>
    </row>
    <row r="70" spans="1:17" s="42" customFormat="1" ht="15.75" x14ac:dyDescent="0.25">
      <c r="A70" s="55"/>
      <c r="B70" s="56" t="s">
        <v>59</v>
      </c>
      <c r="C70" s="39"/>
      <c r="D70" s="57">
        <f>SUM(D25:D69)</f>
        <v>11476</v>
      </c>
      <c r="E70" s="57"/>
      <c r="F70" s="57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</row>
    <row r="71" spans="1:17" ht="15.75" x14ac:dyDescent="0.25">
      <c r="A71" s="58"/>
      <c r="B71" s="59" t="s">
        <v>67</v>
      </c>
      <c r="C71" s="22" t="s">
        <v>15</v>
      </c>
      <c r="D71" s="94">
        <f>D70</f>
        <v>11476</v>
      </c>
      <c r="E71" s="91" t="s">
        <v>16</v>
      </c>
      <c r="F71" s="60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</row>
    <row r="72" spans="1:17" ht="15.75" x14ac:dyDescent="0.25">
      <c r="A72" s="62"/>
      <c r="B72" s="63" t="s">
        <v>68</v>
      </c>
      <c r="C72" s="64" t="s">
        <v>75</v>
      </c>
      <c r="D72" s="75">
        <f>D22</f>
        <v>37911</v>
      </c>
      <c r="E72" s="65" t="s">
        <v>16</v>
      </c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</row>
    <row r="73" spans="1:17" ht="15.75" x14ac:dyDescent="0.25">
      <c r="A73" s="67" t="s">
        <v>69</v>
      </c>
      <c r="B73" s="68" t="s">
        <v>70</v>
      </c>
      <c r="C73" s="69" t="s">
        <v>82</v>
      </c>
      <c r="D73" s="95">
        <f>D71+D72</f>
        <v>49387</v>
      </c>
      <c r="E73" s="91" t="s">
        <v>16</v>
      </c>
      <c r="F73" s="60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</row>
  </sheetData>
  <mergeCells count="5">
    <mergeCell ref="F1:G1"/>
    <mergeCell ref="H1:I1"/>
    <mergeCell ref="J1:K1"/>
    <mergeCell ref="L1:M1"/>
    <mergeCell ref="N1:O1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26435914071E49A2B72A5515277C34" ma:contentTypeVersion="6" ma:contentTypeDescription="Create a new document." ma:contentTypeScope="" ma:versionID="84bea93e8643953371f6fc2442a094ce">
  <xsd:schema xmlns:xsd="http://www.w3.org/2001/XMLSchema" xmlns:xs="http://www.w3.org/2001/XMLSchema" xmlns:p="http://schemas.microsoft.com/office/2006/metadata/properties" xmlns:ns2="e3c76641-4dd8-4b4d-91ef-87e8d7e05e6c" xmlns:ns3="ff6aa350-6d22-4ca3-a631-00865773d8b9" targetNamespace="http://schemas.microsoft.com/office/2006/metadata/properties" ma:root="true" ma:fieldsID="796739475a596e9bb877d03559d47689" ns2:_="" ns3:_="">
    <xsd:import namespace="e3c76641-4dd8-4b4d-91ef-87e8d7e05e6c"/>
    <xsd:import namespace="ff6aa350-6d22-4ca3-a631-00865773d8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c76641-4dd8-4b4d-91ef-87e8d7e05e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6aa350-6d22-4ca3-a631-00865773d8b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51CDCA-9408-4389-B739-BD24B88649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c76641-4dd8-4b4d-91ef-87e8d7e05e6c"/>
    <ds:schemaRef ds:uri="ff6aa350-6d22-4ca3-a631-00865773d8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8DEB1D-321D-4B73-9D2E-F7AD103659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D467B3-D688-4298-943C-492E6943EE64}">
  <ds:schemaRefs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www.w3.org/XML/1998/namespace"/>
    <ds:schemaRef ds:uri="e3c76641-4dd8-4b4d-91ef-87e8d7e05e6c"/>
    <ds:schemaRef ds:uri="http://schemas.microsoft.com/office/2006/metadata/properties"/>
    <ds:schemaRef ds:uri="http://schemas.openxmlformats.org/package/2006/metadata/core-properties"/>
    <ds:schemaRef ds:uri="ff6aa350-6d22-4ca3-a631-00865773d8b9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Pricing Sheet</vt:lpstr>
      <vt:lpstr>'Pricing Sheet'!Print_Area</vt:lpstr>
    </vt:vector>
  </TitlesOfParts>
  <Manager/>
  <Company>US Army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Howard, Regina M CIV</dc:creator>
  <cp:keywords/>
  <dc:description/>
  <cp:lastModifiedBy>Salone, Tiffany A SSG USARMY ACC MICC (USA)</cp:lastModifiedBy>
  <cp:revision/>
  <dcterms:created xsi:type="dcterms:W3CDTF">2021-11-18T15:03:57Z</dcterms:created>
  <dcterms:modified xsi:type="dcterms:W3CDTF">2026-03-13T19:06:38Z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0x010100CE26435914071E49A2B72A5515277C34</vt:lpwstr>
  </property>
  <property fmtid="{D5CDD505-2E9C-101B-9397-08002B2CF9AE}" pid="3" name="Order">
    <vt:r8>125900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