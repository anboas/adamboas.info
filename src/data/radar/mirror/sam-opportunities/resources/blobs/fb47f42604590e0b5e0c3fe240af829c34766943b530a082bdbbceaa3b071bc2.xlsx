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mothyseaman\Box\2400TimberMgmt_Lolo\2470 Silv Practices\EastZone\Reforestation\FY 26\Stocking\Contract\"/>
    </mc:Choice>
  </mc:AlternateContent>
  <xr:revisionPtr revIDLastSave="0" documentId="13_ncr:1_{11759ED6-4F82-4C8E-AE46-F2D9C2320A6F}" xr6:coauthVersionLast="47" xr6:coauthVersionMax="47" xr10:uidLastSave="{00000000-0000-0000-0000-000000000000}"/>
  <bookViews>
    <workbookView xWindow="-110" yWindow="-110" windowWidth="19420" windowHeight="10300" xr2:uid="{A5FDE084-E5A1-4FF2-A2ED-5BEDD9B259B2}"/>
  </bookViews>
  <sheets>
    <sheet name="BLANK" sheetId="2" r:id="rId1"/>
    <sheet name="EXAMPLE" sheetId="1" r:id="rId2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23" i="1" l="1"/>
  <c r="AD23" i="2"/>
  <c r="AD20" i="2"/>
  <c r="AD21" i="2"/>
  <c r="AD22" i="2"/>
  <c r="AD24" i="2"/>
  <c r="C25" i="2"/>
  <c r="D25" i="2"/>
  <c r="E25" i="2"/>
  <c r="F25" i="2"/>
  <c r="G25" i="2"/>
  <c r="H25" i="2"/>
  <c r="I25" i="2"/>
  <c r="J25" i="2"/>
  <c r="K25" i="2"/>
  <c r="L25" i="2"/>
  <c r="M25" i="2"/>
  <c r="N25" i="2"/>
  <c r="O25" i="2"/>
  <c r="P25" i="2"/>
  <c r="Q25" i="2"/>
  <c r="R25" i="2"/>
  <c r="S25" i="2"/>
  <c r="T25" i="2"/>
  <c r="U25" i="2"/>
  <c r="V25" i="2"/>
  <c r="W25" i="2"/>
  <c r="X25" i="2"/>
  <c r="Y25" i="2"/>
  <c r="Z25" i="2"/>
  <c r="AA25" i="2"/>
  <c r="AB25" i="2"/>
  <c r="AC25" i="2"/>
  <c r="B25" i="2"/>
  <c r="AD25" i="2" s="1"/>
  <c r="AG25" i="2"/>
  <c r="AF25" i="2"/>
  <c r="AE25" i="2"/>
  <c r="AD19" i="2"/>
  <c r="AD18" i="2"/>
  <c r="AD17" i="2"/>
  <c r="AD16" i="2"/>
  <c r="AD15" i="2"/>
  <c r="AD14" i="2"/>
  <c r="AD13" i="2"/>
  <c r="Z24" i="1"/>
  <c r="AD12" i="1"/>
  <c r="AG23" i="1"/>
  <c r="AF23" i="1"/>
  <c r="AE23" i="1"/>
  <c r="AC23" i="1"/>
  <c r="AB23" i="1"/>
  <c r="AA23" i="1"/>
  <c r="Z23" i="1"/>
  <c r="Y23" i="1"/>
  <c r="X23" i="1"/>
  <c r="W23" i="1"/>
  <c r="V23" i="1"/>
  <c r="V24" i="1" s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AD19" i="1"/>
  <c r="AD18" i="1"/>
  <c r="AD17" i="1"/>
  <c r="AD16" i="1"/>
  <c r="AD15" i="1"/>
  <c r="AD14" i="1"/>
  <c r="AD13" i="1"/>
  <c r="AG32" i="2" l="1"/>
  <c r="J26" i="2"/>
  <c r="V26" i="2"/>
  <c r="N26" i="2"/>
  <c r="Z26" i="2"/>
  <c r="E7" i="2"/>
  <c r="B26" i="2"/>
  <c r="F26" i="2"/>
  <c r="R26" i="2"/>
  <c r="AG29" i="2"/>
  <c r="AG30" i="2" s="1"/>
  <c r="R24" i="1"/>
  <c r="AG30" i="1"/>
  <c r="B24" i="1"/>
  <c r="N24" i="1"/>
  <c r="N26" i="1"/>
  <c r="J24" i="1"/>
  <c r="F24" i="1"/>
  <c r="E6" i="1"/>
  <c r="AG27" i="1"/>
  <c r="F26" i="1" s="1"/>
  <c r="Z28" i="2" l="1"/>
  <c r="V28" i="2"/>
  <c r="R28" i="2"/>
  <c r="N28" i="2"/>
  <c r="J28" i="2"/>
  <c r="AG31" i="2"/>
  <c r="F28" i="2"/>
  <c r="B28" i="2"/>
  <c r="AG28" i="2"/>
  <c r="AJ31" i="2" s="1"/>
  <c r="J26" i="1"/>
  <c r="Z26" i="1"/>
  <c r="V26" i="1"/>
  <c r="R26" i="1"/>
  <c r="B26" i="1"/>
  <c r="AG26" i="1"/>
  <c r="AJ27" i="1" s="1"/>
  <c r="AJ32" i="1"/>
  <c r="AJ26" i="1"/>
  <c r="AG29" i="1"/>
  <c r="AG28" i="1"/>
  <c r="AJ32" i="2" l="1"/>
  <c r="AJ33" i="2"/>
  <c r="AJ28" i="2"/>
  <c r="AJ29" i="2"/>
  <c r="AJ34" i="2"/>
  <c r="AJ30" i="2"/>
  <c r="AJ29" i="1"/>
  <c r="AJ28" i="1"/>
  <c r="AJ31" i="1"/>
  <c r="AJ30" i="1"/>
</calcChain>
</file>

<file path=xl/sharedStrings.xml><?xml version="1.0" encoding="utf-8"?>
<sst xmlns="http://schemas.openxmlformats.org/spreadsheetml/2006/main" count="166" uniqueCount="51">
  <si>
    <t>SUID:</t>
  </si>
  <si>
    <t>Surveyor:</t>
  </si>
  <si>
    <t>Date:</t>
  </si>
  <si>
    <t>Nat/Plant:</t>
  </si>
  <si>
    <t>Acres</t>
  </si>
  <si>
    <t># Plots:</t>
  </si>
  <si>
    <t>TOTAL</t>
  </si>
  <si>
    <t xml:space="preserve">Plot </t>
  </si>
  <si>
    <t>LP</t>
  </si>
  <si>
    <t>WL</t>
  </si>
  <si>
    <t>DF</t>
  </si>
  <si>
    <t>PP</t>
  </si>
  <si>
    <t>ES</t>
  </si>
  <si>
    <t>AF</t>
  </si>
  <si>
    <t>LIVE</t>
  </si>
  <si>
    <t>Stocking Class</t>
  </si>
  <si>
    <t>TREES</t>
  </si>
  <si>
    <t>S</t>
  </si>
  <si>
    <t>U</t>
  </si>
  <si>
    <t>N</t>
  </si>
  <si>
    <t>Plot Size:</t>
  </si>
  <si>
    <t>011603RA20170050000</t>
  </si>
  <si>
    <t>Planted</t>
  </si>
  <si>
    <t>TPA</t>
  </si>
  <si>
    <t>Stockable Plots</t>
  </si>
  <si>
    <t>Stocked Area</t>
  </si>
  <si>
    <t>Understocked</t>
  </si>
  <si>
    <t>Non-Stockable</t>
  </si>
  <si>
    <t xml:space="preserve">Plot # </t>
  </si>
  <si>
    <t>Plant/Nat</t>
  </si>
  <si>
    <t>Species</t>
  </si>
  <si>
    <t>-</t>
  </si>
  <si>
    <t>QA</t>
  </si>
  <si>
    <t>Natural</t>
  </si>
  <si>
    <t>Green fields - User Populates</t>
  </si>
  <si>
    <t>Yellow fields - Auto-calculate</t>
  </si>
  <si>
    <t>REMARKS</t>
  </si>
  <si>
    <t>Total</t>
  </si>
  <si>
    <t>Total TPA</t>
  </si>
  <si>
    <t>Total by spp</t>
  </si>
  <si>
    <t>% TPA by Species</t>
  </si>
  <si>
    <t>Tim Seaman - Missoula Forestry Co</t>
  </si>
  <si>
    <t>Rock outcrop</t>
  </si>
  <si>
    <t>15 AF buttons 2" tall</t>
  </si>
  <si>
    <t>heavy gopher activity</t>
  </si>
  <si>
    <t>Grassy area, no existing stumps</t>
  </si>
  <si>
    <t>3"-12"</t>
  </si>
  <si>
    <t>1'-2.5'</t>
  </si>
  <si>
    <t>2.5'-10'</t>
  </si>
  <si>
    <t>&gt;10'</t>
  </si>
  <si>
    <t>2026 Lolo NF EZ Stocking Survey Contract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</si>
</sst>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indexed="8"/>
      <name val="Tahoma"/>
      <family val="2"/>
    </font>
    <font>
      <sz val="10"/>
      <color indexed="8"/>
      <name val="Tahoma"/>
      <family val="2"/>
    </font>
    <font>
      <b/>
      <sz val="12"/>
      <color indexed="8"/>
      <name val="Tahoma"/>
      <family val="2"/>
    </font>
    <font>
      <sz val="14"/>
      <color indexed="8"/>
      <name val="Arial Black"/>
      <family val="2"/>
    </font>
    <font>
      <b/>
      <sz val="12"/>
      <color indexed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6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1">
    <xf numFmtId="0" fontId="0" fillId="0" borderId="0" xfId="0"/>
    <xf numFmtId="1" fontId="6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/>
    </xf>
    <xf numFmtId="43" fontId="4" fillId="3" borderId="1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2" fillId="0" borderId="0" xfId="0" applyFont="1"/>
    <xf numFmtId="1" fontId="6" fillId="4" borderId="1" xfId="0" applyNumberFormat="1" applyFont="1" applyFill="1" applyBorder="1" applyAlignment="1">
      <alignment horizontal="center" vertical="center"/>
    </xf>
    <xf numFmtId="1" fontId="6" fillId="5" borderId="1" xfId="0" applyNumberFormat="1" applyFont="1" applyFill="1" applyBorder="1" applyAlignment="1">
      <alignment horizontal="center" vertical="center"/>
    </xf>
    <xf numFmtId="1" fontId="8" fillId="5" borderId="1" xfId="0" applyNumberFormat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0" fontId="0" fillId="5" borderId="0" xfId="0" applyFill="1"/>
    <xf numFmtId="0" fontId="0" fillId="0" borderId="5" xfId="0" applyBorder="1"/>
    <xf numFmtId="2" fontId="4" fillId="3" borderId="1" xfId="0" applyNumberFormat="1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0" xfId="0" applyFill="1"/>
    <xf numFmtId="1" fontId="4" fillId="2" borderId="2" xfId="0" applyNumberFormat="1" applyFont="1" applyFill="1" applyBorder="1" applyAlignment="1">
      <alignment horizontal="center" vertical="center"/>
    </xf>
    <xf numFmtId="0" fontId="3" fillId="3" borderId="0" xfId="0" applyFont="1" applyFill="1"/>
    <xf numFmtId="0" fontId="0" fillId="0" borderId="6" xfId="0" applyBorder="1"/>
    <xf numFmtId="0" fontId="3" fillId="5" borderId="0" xfId="0" applyFont="1" applyFill="1"/>
    <xf numFmtId="1" fontId="3" fillId="5" borderId="0" xfId="0" applyNumberFormat="1" applyFont="1" applyFill="1"/>
    <xf numFmtId="9" fontId="3" fillId="5" borderId="0" xfId="2" applyFont="1" applyFill="1"/>
    <xf numFmtId="9" fontId="0" fillId="5" borderId="0" xfId="2" applyFont="1" applyFill="1" applyAlignment="1">
      <alignment horizontal="left"/>
    </xf>
    <xf numFmtId="0" fontId="0" fillId="2" borderId="1" xfId="0" applyFill="1" applyBorder="1" applyAlignment="1">
      <alignment horizontal="left" shrinkToFit="1"/>
    </xf>
    <xf numFmtId="14" fontId="0" fillId="2" borderId="1" xfId="0" applyNumberFormat="1" applyFill="1" applyBorder="1" applyAlignment="1">
      <alignment horizontal="left" shrinkToFit="1"/>
    </xf>
    <xf numFmtId="0" fontId="0" fillId="2" borderId="1" xfId="1" applyNumberFormat="1" applyFont="1" applyFill="1" applyBorder="1" applyAlignment="1">
      <alignment horizontal="left" shrinkToFit="1"/>
    </xf>
    <xf numFmtId="0" fontId="0" fillId="4" borderId="2" xfId="0" applyFill="1" applyBorder="1"/>
    <xf numFmtId="0" fontId="0" fillId="4" borderId="3" xfId="0" applyFill="1" applyBorder="1"/>
    <xf numFmtId="0" fontId="0" fillId="4" borderId="3" xfId="0" applyFill="1" applyBorder="1"/>
    <xf numFmtId="0" fontId="0" fillId="4" borderId="2" xfId="0" applyFill="1" applyBorder="1"/>
    <xf numFmtId="0" fontId="4" fillId="3" borderId="5" xfId="0" applyFont="1" applyFill="1" applyBorder="1" applyAlignment="1">
      <alignment horizontal="left" vertical="center"/>
    </xf>
    <xf numFmtId="0" fontId="4" fillId="3" borderId="6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6542F-807C-4FA3-9C76-C205EA98E611}">
  <dimension ref="A1:AP34"/>
  <sheetViews>
    <sheetView tabSelected="1" zoomScale="60" zoomScaleNormal="60" workbookViewId="0">
      <selection activeCell="B2" sqref="B2:D2"/>
    </sheetView>
  </sheetViews>
  <sheetFormatPr defaultRowHeight="14.5" x14ac:dyDescent="0.35"/>
  <cols>
    <col min="34" max="34" width="1.26953125" customWidth="1"/>
  </cols>
  <sheetData>
    <row r="1" spans="1:42" x14ac:dyDescent="0.35">
      <c r="A1" t="s">
        <v>50</v>
      </c>
    </row>
    <row r="2" spans="1:42" x14ac:dyDescent="0.35">
      <c r="A2" s="21" t="s">
        <v>0</v>
      </c>
      <c r="B2" s="29"/>
      <c r="C2" s="29"/>
      <c r="D2" s="29"/>
    </row>
    <row r="3" spans="1:42" x14ac:dyDescent="0.35">
      <c r="A3" s="21" t="s">
        <v>1</v>
      </c>
      <c r="B3" s="29"/>
      <c r="C3" s="29"/>
      <c r="D3" s="29"/>
    </row>
    <row r="4" spans="1:42" x14ac:dyDescent="0.35">
      <c r="A4" s="21" t="s">
        <v>2</v>
      </c>
      <c r="B4" s="30"/>
      <c r="C4" s="29"/>
      <c r="D4" s="29"/>
    </row>
    <row r="5" spans="1:42" x14ac:dyDescent="0.35">
      <c r="A5" s="21" t="s">
        <v>3</v>
      </c>
      <c r="B5" s="29"/>
      <c r="C5" s="29"/>
      <c r="D5" s="29"/>
    </row>
    <row r="6" spans="1:42" x14ac:dyDescent="0.35">
      <c r="A6" s="21" t="s">
        <v>4</v>
      </c>
      <c r="B6" s="29"/>
      <c r="C6" s="29"/>
      <c r="D6" s="29"/>
      <c r="F6" t="s">
        <v>34</v>
      </c>
    </row>
    <row r="7" spans="1:42" x14ac:dyDescent="0.35">
      <c r="A7" s="21" t="s">
        <v>5</v>
      </c>
      <c r="B7" s="29"/>
      <c r="C7" s="29"/>
      <c r="D7" s="29"/>
      <c r="E7" s="7" t="str">
        <f>IF(OR(B7=0,SUM(AE25:AG25)=0),"",IF(B7=SUM(AE25:AG25),"","# Plots DOES NOT MATCH Stocking Class Data"))</f>
        <v/>
      </c>
      <c r="F7" t="s">
        <v>35</v>
      </c>
    </row>
    <row r="8" spans="1:42" x14ac:dyDescent="0.35">
      <c r="A8" s="21" t="s">
        <v>20</v>
      </c>
      <c r="B8" s="31">
        <v>50</v>
      </c>
      <c r="C8" s="31"/>
      <c r="D8" s="31"/>
    </row>
    <row r="10" spans="1:42" x14ac:dyDescent="0.35">
      <c r="A10" s="21" t="s">
        <v>29</v>
      </c>
      <c r="B10" s="38" t="s">
        <v>31</v>
      </c>
      <c r="C10" s="39"/>
      <c r="D10" s="39"/>
      <c r="E10" s="40"/>
      <c r="F10" s="38" t="s">
        <v>31</v>
      </c>
      <c r="G10" s="39"/>
      <c r="H10" s="39"/>
      <c r="I10" s="40"/>
      <c r="J10" s="38" t="s">
        <v>31</v>
      </c>
      <c r="K10" s="39"/>
      <c r="L10" s="39"/>
      <c r="M10" s="40"/>
      <c r="N10" s="38" t="s">
        <v>31</v>
      </c>
      <c r="O10" s="39"/>
      <c r="P10" s="39"/>
      <c r="Q10" s="40"/>
      <c r="R10" s="38" t="s">
        <v>31</v>
      </c>
      <c r="S10" s="39"/>
      <c r="T10" s="39"/>
      <c r="U10" s="40"/>
      <c r="V10" s="38" t="s">
        <v>31</v>
      </c>
      <c r="W10" s="39"/>
      <c r="X10" s="39"/>
      <c r="Y10" s="40"/>
      <c r="Z10" s="38" t="s">
        <v>31</v>
      </c>
      <c r="AA10" s="39"/>
      <c r="AB10" s="39"/>
      <c r="AC10" s="40"/>
      <c r="AD10" s="17" t="s">
        <v>6</v>
      </c>
      <c r="AE10" s="11"/>
      <c r="AF10" s="11" t="s">
        <v>7</v>
      </c>
      <c r="AG10" s="18"/>
    </row>
    <row r="11" spans="1:42" x14ac:dyDescent="0.35">
      <c r="A11" s="21" t="s">
        <v>30</v>
      </c>
      <c r="B11" s="38" t="s">
        <v>9</v>
      </c>
      <c r="C11" s="39"/>
      <c r="D11" s="39"/>
      <c r="E11" s="40"/>
      <c r="F11" s="38" t="s">
        <v>11</v>
      </c>
      <c r="G11" s="39"/>
      <c r="H11" s="39"/>
      <c r="I11" s="40"/>
      <c r="J11" s="38" t="s">
        <v>10</v>
      </c>
      <c r="K11" s="39"/>
      <c r="L11" s="39"/>
      <c r="M11" s="40"/>
      <c r="N11" s="38" t="s">
        <v>8</v>
      </c>
      <c r="O11" s="39"/>
      <c r="P11" s="39"/>
      <c r="Q11" s="40"/>
      <c r="R11" s="38" t="s">
        <v>13</v>
      </c>
      <c r="S11" s="39"/>
      <c r="T11" s="39"/>
      <c r="U11" s="40"/>
      <c r="V11" s="38" t="s">
        <v>12</v>
      </c>
      <c r="W11" s="39"/>
      <c r="X11" s="39"/>
      <c r="Y11" s="40"/>
      <c r="Z11" s="38" t="s">
        <v>32</v>
      </c>
      <c r="AA11" s="39"/>
      <c r="AB11" s="39"/>
      <c r="AC11" s="40"/>
      <c r="AD11" s="3" t="s">
        <v>14</v>
      </c>
      <c r="AE11" s="6" t="s">
        <v>15</v>
      </c>
      <c r="AF11" s="19"/>
      <c r="AG11" s="20"/>
      <c r="AH11" s="16"/>
      <c r="AI11" s="24"/>
      <c r="AJ11" s="24"/>
      <c r="AK11" s="24"/>
      <c r="AL11" s="24"/>
      <c r="AM11" s="24"/>
      <c r="AN11" s="24"/>
      <c r="AO11" s="24"/>
      <c r="AP11" s="24"/>
    </row>
    <row r="12" spans="1:42" x14ac:dyDescent="0.35">
      <c r="A12" s="17" t="s">
        <v>28</v>
      </c>
      <c r="B12" s="4" t="s">
        <v>46</v>
      </c>
      <c r="C12" s="3" t="s">
        <v>47</v>
      </c>
      <c r="D12" s="3" t="s">
        <v>48</v>
      </c>
      <c r="E12" s="5" t="s">
        <v>49</v>
      </c>
      <c r="F12" s="4" t="s">
        <v>46</v>
      </c>
      <c r="G12" s="3" t="s">
        <v>47</v>
      </c>
      <c r="H12" s="3" t="s">
        <v>48</v>
      </c>
      <c r="I12" s="5" t="s">
        <v>49</v>
      </c>
      <c r="J12" s="4" t="s">
        <v>46</v>
      </c>
      <c r="K12" s="3" t="s">
        <v>47</v>
      </c>
      <c r="L12" s="3" t="s">
        <v>48</v>
      </c>
      <c r="M12" s="5" t="s">
        <v>49</v>
      </c>
      <c r="N12" s="4" t="s">
        <v>46</v>
      </c>
      <c r="O12" s="3" t="s">
        <v>47</v>
      </c>
      <c r="P12" s="3" t="s">
        <v>48</v>
      </c>
      <c r="Q12" s="5" t="s">
        <v>49</v>
      </c>
      <c r="R12" s="4" t="s">
        <v>46</v>
      </c>
      <c r="S12" s="3" t="s">
        <v>47</v>
      </c>
      <c r="T12" s="3" t="s">
        <v>48</v>
      </c>
      <c r="U12" s="5" t="s">
        <v>49</v>
      </c>
      <c r="V12" s="4" t="s">
        <v>46</v>
      </c>
      <c r="W12" s="3" t="s">
        <v>47</v>
      </c>
      <c r="X12" s="3" t="s">
        <v>48</v>
      </c>
      <c r="Y12" s="5" t="s">
        <v>49</v>
      </c>
      <c r="Z12" s="4" t="s">
        <v>46</v>
      </c>
      <c r="AA12" s="3" t="s">
        <v>47</v>
      </c>
      <c r="AB12" s="3" t="s">
        <v>48</v>
      </c>
      <c r="AC12" s="5" t="s">
        <v>49</v>
      </c>
      <c r="AD12" s="3" t="s">
        <v>16</v>
      </c>
      <c r="AE12" s="3" t="s">
        <v>17</v>
      </c>
      <c r="AF12" s="3" t="s">
        <v>18</v>
      </c>
      <c r="AG12" s="3" t="s">
        <v>19</v>
      </c>
      <c r="AH12" s="36" t="s">
        <v>36</v>
      </c>
      <c r="AI12" s="37"/>
      <c r="AJ12" s="37"/>
      <c r="AK12" s="37"/>
      <c r="AL12" s="37"/>
      <c r="AM12" s="37"/>
      <c r="AN12" s="37"/>
      <c r="AO12" s="37"/>
      <c r="AP12" s="37"/>
    </row>
    <row r="13" spans="1:42" ht="15" x14ac:dyDescent="0.35">
      <c r="A13" s="1">
        <v>1</v>
      </c>
      <c r="B13" s="14"/>
      <c r="C13" s="8"/>
      <c r="D13" s="14"/>
      <c r="E13" s="8"/>
      <c r="F13" s="14"/>
      <c r="G13" s="8"/>
      <c r="H13" s="14"/>
      <c r="I13" s="8"/>
      <c r="J13" s="14"/>
      <c r="K13" s="8"/>
      <c r="L13" s="14"/>
      <c r="M13" s="8"/>
      <c r="N13" s="14"/>
      <c r="O13" s="8"/>
      <c r="P13" s="14"/>
      <c r="Q13" s="8"/>
      <c r="R13" s="14"/>
      <c r="S13" s="8"/>
      <c r="T13" s="14"/>
      <c r="U13" s="8"/>
      <c r="V13" s="14"/>
      <c r="W13" s="8"/>
      <c r="X13" s="14"/>
      <c r="Y13" s="8"/>
      <c r="Z13" s="14"/>
      <c r="AA13" s="8"/>
      <c r="AB13" s="14"/>
      <c r="AC13" s="8"/>
      <c r="AD13" s="9">
        <f>SUM(B13:AC13)</f>
        <v>0</v>
      </c>
      <c r="AE13" s="14"/>
      <c r="AF13" s="14"/>
      <c r="AG13" s="14"/>
      <c r="AH13" s="35"/>
      <c r="AI13" s="34"/>
      <c r="AJ13" s="34"/>
      <c r="AK13" s="34"/>
      <c r="AL13" s="34"/>
      <c r="AM13" s="34"/>
      <c r="AN13" s="34"/>
      <c r="AO13" s="34"/>
      <c r="AP13" s="34"/>
    </row>
    <row r="14" spans="1:42" ht="15" x14ac:dyDescent="0.35">
      <c r="A14" s="1">
        <v>2</v>
      </c>
      <c r="B14" s="14"/>
      <c r="C14" s="8"/>
      <c r="D14" s="14"/>
      <c r="E14" s="8"/>
      <c r="F14" s="14"/>
      <c r="G14" s="8"/>
      <c r="H14" s="14"/>
      <c r="I14" s="8"/>
      <c r="J14" s="14"/>
      <c r="K14" s="8"/>
      <c r="L14" s="14"/>
      <c r="M14" s="8"/>
      <c r="N14" s="14"/>
      <c r="O14" s="8"/>
      <c r="P14" s="14"/>
      <c r="Q14" s="8"/>
      <c r="R14" s="14"/>
      <c r="S14" s="8"/>
      <c r="T14" s="14"/>
      <c r="U14" s="8"/>
      <c r="V14" s="14"/>
      <c r="W14" s="8"/>
      <c r="X14" s="14"/>
      <c r="Y14" s="8"/>
      <c r="Z14" s="14"/>
      <c r="AA14" s="8"/>
      <c r="AB14" s="14"/>
      <c r="AC14" s="8"/>
      <c r="AD14" s="9">
        <f>SUM(B14:AC14)</f>
        <v>0</v>
      </c>
      <c r="AE14" s="14"/>
      <c r="AF14" s="14"/>
      <c r="AG14" s="14"/>
      <c r="AH14" s="35"/>
      <c r="AI14" s="34"/>
      <c r="AJ14" s="34"/>
      <c r="AK14" s="34"/>
      <c r="AL14" s="34"/>
      <c r="AM14" s="34"/>
      <c r="AN14" s="34"/>
      <c r="AO14" s="34"/>
      <c r="AP14" s="34"/>
    </row>
    <row r="15" spans="1:42" ht="15" x14ac:dyDescent="0.35">
      <c r="A15" s="1">
        <v>3</v>
      </c>
      <c r="B15" s="14"/>
      <c r="C15" s="8"/>
      <c r="D15" s="14"/>
      <c r="E15" s="8"/>
      <c r="F15" s="14"/>
      <c r="G15" s="8"/>
      <c r="H15" s="14"/>
      <c r="I15" s="8"/>
      <c r="J15" s="14"/>
      <c r="K15" s="8"/>
      <c r="L15" s="14"/>
      <c r="M15" s="8"/>
      <c r="N15" s="14"/>
      <c r="O15" s="8"/>
      <c r="P15" s="14"/>
      <c r="Q15" s="8"/>
      <c r="R15" s="14"/>
      <c r="S15" s="8"/>
      <c r="T15" s="14"/>
      <c r="U15" s="8"/>
      <c r="V15" s="14"/>
      <c r="W15" s="8"/>
      <c r="X15" s="14"/>
      <c r="Y15" s="8"/>
      <c r="Z15" s="14"/>
      <c r="AA15" s="8"/>
      <c r="AB15" s="14"/>
      <c r="AC15" s="8"/>
      <c r="AD15" s="9">
        <f>SUM(B15:AC15)</f>
        <v>0</v>
      </c>
      <c r="AE15" s="14"/>
      <c r="AF15" s="14"/>
      <c r="AG15" s="14"/>
      <c r="AH15" s="35"/>
      <c r="AI15" s="34"/>
      <c r="AJ15" s="34"/>
      <c r="AK15" s="34"/>
      <c r="AL15" s="34"/>
      <c r="AM15" s="34"/>
      <c r="AN15" s="34"/>
      <c r="AO15" s="34"/>
      <c r="AP15" s="34"/>
    </row>
    <row r="16" spans="1:42" ht="15" x14ac:dyDescent="0.35">
      <c r="A16" s="1">
        <v>4</v>
      </c>
      <c r="B16" s="14"/>
      <c r="C16" s="8"/>
      <c r="D16" s="14"/>
      <c r="E16" s="8"/>
      <c r="F16" s="14"/>
      <c r="G16" s="8"/>
      <c r="H16" s="14"/>
      <c r="I16" s="8"/>
      <c r="J16" s="14"/>
      <c r="K16" s="8"/>
      <c r="L16" s="14"/>
      <c r="M16" s="8"/>
      <c r="N16" s="14"/>
      <c r="O16" s="8"/>
      <c r="P16" s="14"/>
      <c r="Q16" s="8"/>
      <c r="R16" s="14"/>
      <c r="S16" s="8"/>
      <c r="T16" s="14"/>
      <c r="U16" s="8"/>
      <c r="V16" s="14"/>
      <c r="W16" s="8"/>
      <c r="X16" s="14"/>
      <c r="Y16" s="8"/>
      <c r="Z16" s="14"/>
      <c r="AA16" s="8"/>
      <c r="AB16" s="14"/>
      <c r="AC16" s="8"/>
      <c r="AD16" s="9">
        <f>SUM(B16:AC16)</f>
        <v>0</v>
      </c>
      <c r="AE16" s="14"/>
      <c r="AF16" s="14"/>
      <c r="AG16" s="14"/>
      <c r="AH16" s="35"/>
      <c r="AI16" s="34"/>
      <c r="AJ16" s="34"/>
      <c r="AK16" s="34"/>
      <c r="AL16" s="34"/>
      <c r="AM16" s="34"/>
      <c r="AN16" s="34"/>
      <c r="AO16" s="34"/>
      <c r="AP16" s="34"/>
    </row>
    <row r="17" spans="1:42" ht="15" x14ac:dyDescent="0.35">
      <c r="A17" s="1">
        <v>5</v>
      </c>
      <c r="B17" s="14"/>
      <c r="C17" s="8"/>
      <c r="D17" s="14"/>
      <c r="E17" s="8"/>
      <c r="F17" s="14"/>
      <c r="G17" s="8"/>
      <c r="H17" s="14"/>
      <c r="I17" s="8"/>
      <c r="J17" s="14"/>
      <c r="K17" s="8"/>
      <c r="L17" s="14"/>
      <c r="M17" s="8"/>
      <c r="N17" s="14"/>
      <c r="O17" s="8"/>
      <c r="P17" s="14"/>
      <c r="Q17" s="8"/>
      <c r="R17" s="14"/>
      <c r="S17" s="8"/>
      <c r="T17" s="14"/>
      <c r="U17" s="8"/>
      <c r="V17" s="14"/>
      <c r="W17" s="8"/>
      <c r="X17" s="14"/>
      <c r="Y17" s="8"/>
      <c r="Z17" s="14"/>
      <c r="AA17" s="8"/>
      <c r="AB17" s="14"/>
      <c r="AC17" s="8"/>
      <c r="AD17" s="9">
        <f>SUM(B17:AC17)</f>
        <v>0</v>
      </c>
      <c r="AE17" s="14"/>
      <c r="AF17" s="14"/>
      <c r="AG17" s="14"/>
      <c r="AH17" s="35"/>
      <c r="AI17" s="34"/>
      <c r="AJ17" s="34"/>
      <c r="AK17" s="34"/>
      <c r="AL17" s="34"/>
      <c r="AM17" s="34"/>
      <c r="AN17" s="34"/>
      <c r="AO17" s="34"/>
      <c r="AP17" s="34"/>
    </row>
    <row r="18" spans="1:42" ht="15" x14ac:dyDescent="0.35">
      <c r="A18" s="1">
        <v>6</v>
      </c>
      <c r="B18" s="14"/>
      <c r="C18" s="8"/>
      <c r="D18" s="14"/>
      <c r="E18" s="8"/>
      <c r="F18" s="14"/>
      <c r="G18" s="8"/>
      <c r="H18" s="14"/>
      <c r="I18" s="8"/>
      <c r="J18" s="14"/>
      <c r="K18" s="8"/>
      <c r="L18" s="14"/>
      <c r="M18" s="8"/>
      <c r="N18" s="14"/>
      <c r="O18" s="8"/>
      <c r="P18" s="14"/>
      <c r="Q18" s="8"/>
      <c r="R18" s="14"/>
      <c r="S18" s="8"/>
      <c r="T18" s="14"/>
      <c r="U18" s="8"/>
      <c r="V18" s="14"/>
      <c r="W18" s="8"/>
      <c r="X18" s="14"/>
      <c r="Y18" s="8"/>
      <c r="Z18" s="14"/>
      <c r="AA18" s="8"/>
      <c r="AB18" s="14"/>
      <c r="AC18" s="8"/>
      <c r="AD18" s="9">
        <f>SUM(B18:AC18)</f>
        <v>0</v>
      </c>
      <c r="AE18" s="14"/>
      <c r="AF18" s="14"/>
      <c r="AG18" s="14"/>
      <c r="AH18" s="35"/>
      <c r="AI18" s="34"/>
      <c r="AJ18" s="34"/>
      <c r="AK18" s="34"/>
      <c r="AL18" s="34"/>
      <c r="AM18" s="34"/>
      <c r="AN18" s="34"/>
      <c r="AO18" s="34"/>
      <c r="AP18" s="34"/>
    </row>
    <row r="19" spans="1:42" ht="15" x14ac:dyDescent="0.35">
      <c r="A19" s="1">
        <v>7</v>
      </c>
      <c r="B19" s="14"/>
      <c r="C19" s="8"/>
      <c r="D19" s="14"/>
      <c r="E19" s="8"/>
      <c r="F19" s="14"/>
      <c r="G19" s="8"/>
      <c r="H19" s="14"/>
      <c r="I19" s="8"/>
      <c r="J19" s="14"/>
      <c r="K19" s="8"/>
      <c r="L19" s="14"/>
      <c r="M19" s="8"/>
      <c r="N19" s="14"/>
      <c r="O19" s="8"/>
      <c r="P19" s="14"/>
      <c r="Q19" s="8"/>
      <c r="R19" s="14"/>
      <c r="S19" s="8"/>
      <c r="T19" s="14"/>
      <c r="U19" s="8"/>
      <c r="V19" s="14"/>
      <c r="W19" s="8"/>
      <c r="X19" s="14"/>
      <c r="Y19" s="8"/>
      <c r="Z19" s="14"/>
      <c r="AA19" s="8"/>
      <c r="AB19" s="14"/>
      <c r="AC19" s="8"/>
      <c r="AD19" s="9">
        <f>SUM(B19:AC19)</f>
        <v>0</v>
      </c>
      <c r="AE19" s="14"/>
      <c r="AF19" s="14"/>
      <c r="AG19" s="14"/>
      <c r="AH19" s="35"/>
      <c r="AI19" s="34"/>
      <c r="AJ19" s="34"/>
      <c r="AK19" s="34"/>
      <c r="AL19" s="34"/>
      <c r="AM19" s="34"/>
      <c r="AN19" s="34"/>
      <c r="AO19" s="34"/>
      <c r="AP19" s="34"/>
    </row>
    <row r="20" spans="1:42" ht="15" x14ac:dyDescent="0.35">
      <c r="A20" s="1">
        <v>8</v>
      </c>
      <c r="B20" s="14"/>
      <c r="C20" s="8"/>
      <c r="D20" s="14"/>
      <c r="E20" s="8"/>
      <c r="F20" s="14"/>
      <c r="G20" s="8"/>
      <c r="H20" s="14"/>
      <c r="I20" s="8"/>
      <c r="J20" s="14"/>
      <c r="K20" s="8"/>
      <c r="L20" s="14"/>
      <c r="M20" s="8"/>
      <c r="N20" s="14"/>
      <c r="O20" s="8"/>
      <c r="P20" s="14"/>
      <c r="Q20" s="8"/>
      <c r="R20" s="14"/>
      <c r="S20" s="8"/>
      <c r="T20" s="14"/>
      <c r="U20" s="8"/>
      <c r="V20" s="14"/>
      <c r="W20" s="8"/>
      <c r="X20" s="14"/>
      <c r="Y20" s="8"/>
      <c r="Z20" s="14"/>
      <c r="AA20" s="8"/>
      <c r="AB20" s="14"/>
      <c r="AC20" s="8"/>
      <c r="AD20" s="9">
        <f t="shared" ref="AD20:AD24" si="0">SUM(B20:AC20)</f>
        <v>0</v>
      </c>
      <c r="AE20" s="14"/>
      <c r="AF20" s="14"/>
      <c r="AG20" s="14"/>
      <c r="AH20" s="35"/>
      <c r="AI20" s="34"/>
      <c r="AJ20" s="34"/>
      <c r="AK20" s="34"/>
      <c r="AL20" s="34"/>
      <c r="AM20" s="34"/>
      <c r="AN20" s="34"/>
      <c r="AO20" s="34"/>
      <c r="AP20" s="34"/>
    </row>
    <row r="21" spans="1:42" ht="15" x14ac:dyDescent="0.35">
      <c r="A21" s="1">
        <v>9</v>
      </c>
      <c r="B21" s="14"/>
      <c r="C21" s="8"/>
      <c r="D21" s="14"/>
      <c r="E21" s="8"/>
      <c r="F21" s="14"/>
      <c r="G21" s="8"/>
      <c r="H21" s="14"/>
      <c r="I21" s="8"/>
      <c r="J21" s="14"/>
      <c r="K21" s="8"/>
      <c r="L21" s="14"/>
      <c r="M21" s="8"/>
      <c r="N21" s="14"/>
      <c r="O21" s="8"/>
      <c r="P21" s="14"/>
      <c r="Q21" s="8"/>
      <c r="R21" s="14"/>
      <c r="S21" s="8"/>
      <c r="T21" s="14"/>
      <c r="U21" s="8"/>
      <c r="V21" s="14"/>
      <c r="W21" s="8"/>
      <c r="X21" s="14"/>
      <c r="Y21" s="8"/>
      <c r="Z21" s="14"/>
      <c r="AA21" s="8"/>
      <c r="AB21" s="14"/>
      <c r="AC21" s="8"/>
      <c r="AD21" s="9">
        <f t="shared" si="0"/>
        <v>0</v>
      </c>
      <c r="AE21" s="14"/>
      <c r="AF21" s="14"/>
      <c r="AG21" s="14"/>
      <c r="AH21" s="35"/>
      <c r="AI21" s="34"/>
      <c r="AJ21" s="34"/>
      <c r="AK21" s="34"/>
      <c r="AL21" s="34"/>
      <c r="AM21" s="34"/>
      <c r="AN21" s="34"/>
      <c r="AO21" s="34"/>
      <c r="AP21" s="34"/>
    </row>
    <row r="22" spans="1:42" ht="15" x14ac:dyDescent="0.35">
      <c r="A22" s="1">
        <v>10</v>
      </c>
      <c r="B22" s="14"/>
      <c r="C22" s="8"/>
      <c r="D22" s="14"/>
      <c r="E22" s="8"/>
      <c r="F22" s="14"/>
      <c r="G22" s="8"/>
      <c r="H22" s="14"/>
      <c r="I22" s="8"/>
      <c r="J22" s="14"/>
      <c r="K22" s="8"/>
      <c r="L22" s="14"/>
      <c r="M22" s="8"/>
      <c r="N22" s="14"/>
      <c r="O22" s="8"/>
      <c r="P22" s="14"/>
      <c r="Q22" s="8"/>
      <c r="R22" s="14"/>
      <c r="S22" s="8"/>
      <c r="T22" s="14"/>
      <c r="U22" s="8"/>
      <c r="V22" s="14"/>
      <c r="W22" s="8"/>
      <c r="X22" s="14"/>
      <c r="Y22" s="8"/>
      <c r="Z22" s="14"/>
      <c r="AA22" s="8"/>
      <c r="AB22" s="14"/>
      <c r="AC22" s="8"/>
      <c r="AD22" s="9">
        <f t="shared" si="0"/>
        <v>0</v>
      </c>
      <c r="AE22" s="14"/>
      <c r="AF22" s="14"/>
      <c r="AG22" s="14"/>
      <c r="AH22" s="35"/>
      <c r="AI22" s="34"/>
      <c r="AJ22" s="34"/>
      <c r="AK22" s="34"/>
      <c r="AL22" s="34"/>
      <c r="AM22" s="34"/>
      <c r="AN22" s="34"/>
      <c r="AO22" s="34"/>
      <c r="AP22" s="34"/>
    </row>
    <row r="23" spans="1:42" ht="15" x14ac:dyDescent="0.35">
      <c r="A23" s="1"/>
      <c r="B23" s="14"/>
      <c r="C23" s="8"/>
      <c r="D23" s="14"/>
      <c r="E23" s="8"/>
      <c r="F23" s="14"/>
      <c r="G23" s="8"/>
      <c r="H23" s="14"/>
      <c r="I23" s="8"/>
      <c r="J23" s="14"/>
      <c r="K23" s="8"/>
      <c r="L23" s="14"/>
      <c r="M23" s="8"/>
      <c r="N23" s="14"/>
      <c r="O23" s="8"/>
      <c r="P23" s="14"/>
      <c r="Q23" s="8"/>
      <c r="R23" s="14"/>
      <c r="S23" s="8"/>
      <c r="T23" s="14"/>
      <c r="U23" s="8"/>
      <c r="V23" s="14"/>
      <c r="W23" s="8"/>
      <c r="X23" s="14"/>
      <c r="Y23" s="8"/>
      <c r="Z23" s="14"/>
      <c r="AA23" s="8"/>
      <c r="AB23" s="14"/>
      <c r="AC23" s="8"/>
      <c r="AD23" s="9">
        <f t="shared" si="0"/>
        <v>0</v>
      </c>
      <c r="AE23" s="14"/>
      <c r="AF23" s="14"/>
      <c r="AG23" s="14"/>
      <c r="AH23" s="32"/>
      <c r="AI23" s="33"/>
      <c r="AJ23" s="33"/>
      <c r="AK23" s="33"/>
      <c r="AL23" s="33"/>
      <c r="AM23" s="33"/>
      <c r="AN23" s="33"/>
      <c r="AO23" s="33"/>
      <c r="AP23" s="33"/>
    </row>
    <row r="24" spans="1:42" ht="15" x14ac:dyDescent="0.35">
      <c r="A24" s="1"/>
      <c r="B24" s="14"/>
      <c r="C24" s="8"/>
      <c r="D24" s="14"/>
      <c r="E24" s="8"/>
      <c r="F24" s="14"/>
      <c r="G24" s="8"/>
      <c r="H24" s="14"/>
      <c r="I24" s="8"/>
      <c r="J24" s="14"/>
      <c r="K24" s="8"/>
      <c r="L24" s="14"/>
      <c r="M24" s="8"/>
      <c r="N24" s="14"/>
      <c r="O24" s="8"/>
      <c r="P24" s="14"/>
      <c r="Q24" s="8"/>
      <c r="R24" s="14"/>
      <c r="S24" s="8"/>
      <c r="T24" s="14"/>
      <c r="U24" s="8"/>
      <c r="V24" s="14"/>
      <c r="W24" s="8"/>
      <c r="X24" s="14"/>
      <c r="Y24" s="8"/>
      <c r="Z24" s="14"/>
      <c r="AA24" s="8"/>
      <c r="AB24" s="14"/>
      <c r="AC24" s="8"/>
      <c r="AD24" s="9">
        <f t="shared" si="0"/>
        <v>0</v>
      </c>
      <c r="AE24" s="14"/>
      <c r="AF24" s="14"/>
      <c r="AG24" s="14"/>
      <c r="AH24" s="35"/>
      <c r="AI24" s="34"/>
      <c r="AJ24" s="34"/>
      <c r="AK24" s="34"/>
      <c r="AL24" s="34"/>
      <c r="AM24" s="34"/>
      <c r="AN24" s="34"/>
      <c r="AO24" s="34"/>
      <c r="AP24" s="34"/>
    </row>
    <row r="25" spans="1:42" ht="22" x14ac:dyDescent="0.65">
      <c r="A25" s="2" t="s">
        <v>37</v>
      </c>
      <c r="B25" s="10">
        <f>SUM(B13:B24)</f>
        <v>0</v>
      </c>
      <c r="C25" s="10">
        <f t="shared" ref="C25:AC25" si="1">SUM(C13:C24)</f>
        <v>0</v>
      </c>
      <c r="D25" s="10">
        <f t="shared" si="1"/>
        <v>0</v>
      </c>
      <c r="E25" s="10">
        <f t="shared" si="1"/>
        <v>0</v>
      </c>
      <c r="F25" s="10">
        <f t="shared" si="1"/>
        <v>0</v>
      </c>
      <c r="G25" s="10">
        <f t="shared" si="1"/>
        <v>0</v>
      </c>
      <c r="H25" s="10">
        <f t="shared" si="1"/>
        <v>0</v>
      </c>
      <c r="I25" s="10">
        <f t="shared" si="1"/>
        <v>0</v>
      </c>
      <c r="J25" s="10">
        <f t="shared" si="1"/>
        <v>0</v>
      </c>
      <c r="K25" s="10">
        <f t="shared" si="1"/>
        <v>0</v>
      </c>
      <c r="L25" s="10">
        <f t="shared" si="1"/>
        <v>0</v>
      </c>
      <c r="M25" s="10">
        <f t="shared" si="1"/>
        <v>0</v>
      </c>
      <c r="N25" s="10">
        <f t="shared" si="1"/>
        <v>0</v>
      </c>
      <c r="O25" s="10">
        <f t="shared" si="1"/>
        <v>0</v>
      </c>
      <c r="P25" s="10">
        <f t="shared" si="1"/>
        <v>0</v>
      </c>
      <c r="Q25" s="10">
        <f t="shared" si="1"/>
        <v>0</v>
      </c>
      <c r="R25" s="10">
        <f t="shared" si="1"/>
        <v>0</v>
      </c>
      <c r="S25" s="10">
        <f t="shared" si="1"/>
        <v>0</v>
      </c>
      <c r="T25" s="10">
        <f t="shared" si="1"/>
        <v>0</v>
      </c>
      <c r="U25" s="10">
        <f t="shared" si="1"/>
        <v>0</v>
      </c>
      <c r="V25" s="10">
        <f t="shared" si="1"/>
        <v>0</v>
      </c>
      <c r="W25" s="10">
        <f t="shared" si="1"/>
        <v>0</v>
      </c>
      <c r="X25" s="10">
        <f t="shared" si="1"/>
        <v>0</v>
      </c>
      <c r="Y25" s="10">
        <f t="shared" si="1"/>
        <v>0</v>
      </c>
      <c r="Z25" s="10">
        <f t="shared" si="1"/>
        <v>0</v>
      </c>
      <c r="AA25" s="10">
        <f t="shared" si="1"/>
        <v>0</v>
      </c>
      <c r="AB25" s="10">
        <f t="shared" si="1"/>
        <v>0</v>
      </c>
      <c r="AC25" s="10">
        <f t="shared" si="1"/>
        <v>0</v>
      </c>
      <c r="AD25" s="10">
        <f>SUM(B25:AC25)</f>
        <v>0</v>
      </c>
      <c r="AE25" s="10">
        <f>SUM(AE13:AE22)</f>
        <v>0</v>
      </c>
      <c r="AF25" s="10">
        <f>SUM(AF13:AF22)</f>
        <v>0</v>
      </c>
      <c r="AG25" s="10">
        <f>SUM(AG13:AG22)</f>
        <v>0</v>
      </c>
    </row>
    <row r="26" spans="1:42" ht="1" customHeight="1" x14ac:dyDescent="0.35">
      <c r="A26" t="s">
        <v>39</v>
      </c>
      <c r="B26" s="22">
        <f>SUM(B25:E25)</f>
        <v>0</v>
      </c>
      <c r="C26" s="12"/>
      <c r="D26" s="12"/>
      <c r="E26" s="13"/>
      <c r="F26" s="22">
        <f t="shared" ref="F26" si="2">SUM(F25:I25)</f>
        <v>0</v>
      </c>
      <c r="G26" s="12"/>
      <c r="H26" s="12"/>
      <c r="I26" s="13"/>
      <c r="J26" s="22">
        <f t="shared" ref="J26" si="3">SUM(J25:M25)</f>
        <v>0</v>
      </c>
      <c r="K26" s="12"/>
      <c r="L26" s="12"/>
      <c r="M26" s="13"/>
      <c r="N26" s="22">
        <f t="shared" ref="N26" si="4">SUM(N25:Q25)</f>
        <v>0</v>
      </c>
      <c r="O26" s="12"/>
      <c r="P26" s="12"/>
      <c r="Q26" s="13"/>
      <c r="R26" s="22">
        <f t="shared" ref="R26" si="5">SUM(R25:U25)</f>
        <v>0</v>
      </c>
      <c r="S26" s="12"/>
      <c r="T26" s="12"/>
      <c r="U26" s="13"/>
      <c r="V26" s="22">
        <f t="shared" ref="V26" si="6">SUM(V25:Y25)</f>
        <v>0</v>
      </c>
      <c r="W26" s="12"/>
      <c r="X26" s="12"/>
      <c r="Y26" s="13"/>
      <c r="Z26" s="22">
        <f t="shared" ref="Z26" si="7">SUM(Z25:AC25)</f>
        <v>0</v>
      </c>
      <c r="AA26" s="12"/>
      <c r="AB26" s="12"/>
      <c r="AC26" s="13"/>
    </row>
    <row r="27" spans="1:42" x14ac:dyDescent="0.35">
      <c r="AI27" s="23" t="s">
        <v>40</v>
      </c>
      <c r="AJ27" s="21"/>
    </row>
    <row r="28" spans="1:42" x14ac:dyDescent="0.35">
      <c r="A28" t="s">
        <v>23</v>
      </c>
      <c r="B28" s="15" t="e">
        <f>ROUND(SUM(B25:E25)*$B$8/$AG$29,1)&amp;" TPA "&amp;IF(B10="-","",B10)&amp;" "&amp;B11</f>
        <v>#DIV/0!</v>
      </c>
      <c r="C28" s="15"/>
      <c r="D28" s="15"/>
      <c r="E28" s="15"/>
      <c r="F28" s="15" t="e">
        <f>ROUND(SUM(F25:I25)*$B$8/$AG$29,1)&amp;" TPA "&amp;IF(F10="-","",F10)&amp;" "&amp;F11</f>
        <v>#DIV/0!</v>
      </c>
      <c r="G28" s="15"/>
      <c r="H28" s="15"/>
      <c r="I28" s="15"/>
      <c r="J28" s="15" t="e">
        <f>ROUND(SUM(J25:M25)*$B$8/$AG$29,1)&amp;" TPA "&amp;IF(J10="-","",J10)&amp;" "&amp;J11</f>
        <v>#DIV/0!</v>
      </c>
      <c r="K28" s="15"/>
      <c r="L28" s="15"/>
      <c r="M28" s="15"/>
      <c r="N28" s="15" t="e">
        <f>ROUND(SUM(N25:Q25)*$B$8/$AG$29,1)&amp;" TPA "&amp;IF(N10="-","",N10)&amp;" "&amp;N11</f>
        <v>#DIV/0!</v>
      </c>
      <c r="O28" s="15"/>
      <c r="P28" s="15"/>
      <c r="Q28" s="15"/>
      <c r="R28" s="15" t="e">
        <f>ROUND(SUM(R25:U25)*$B$8/$AG$29,1)&amp;" TPA "&amp;IF(R10="-","",R10)&amp;" "&amp;R11</f>
        <v>#DIV/0!</v>
      </c>
      <c r="S28" s="15"/>
      <c r="T28" s="15"/>
      <c r="U28" s="15"/>
      <c r="V28" s="15" t="e">
        <f>ROUND(SUM(V25:Y25)*$B$8/$AG$29,1)&amp;" TPA "&amp;IF(V10="-","",V10)&amp;" "&amp;V11</f>
        <v>#DIV/0!</v>
      </c>
      <c r="W28" s="15"/>
      <c r="X28" s="15"/>
      <c r="Y28" s="15"/>
      <c r="Z28" s="15" t="e">
        <f>ROUND(SUM(Z25:AC25)*$B$8/$AG$29,1)&amp;" TPA "&amp;IF(Z10="-","",Z10)&amp;" "&amp;Z11</f>
        <v>#DIV/0!</v>
      </c>
      <c r="AA28" s="15"/>
      <c r="AB28" s="15"/>
      <c r="AC28" s="15"/>
      <c r="AE28" s="23" t="s">
        <v>38</v>
      </c>
      <c r="AF28" s="21"/>
      <c r="AG28" s="25" t="e">
        <f>ROUND(SUM(B25:AC25)*$B$8/$AG$29,1)</f>
        <v>#DIV/0!</v>
      </c>
      <c r="AI28" s="23" t="s">
        <v>9</v>
      </c>
      <c r="AJ28" s="28" t="e">
        <f>ROUND(SUMIF($B$11:$AC$11,AI28,$B$26:$AC$26)*$B$8/$AG$29,1)/$AG$28</f>
        <v>#DIV/0!</v>
      </c>
    </row>
    <row r="29" spans="1:42" x14ac:dyDescent="0.35">
      <c r="AE29" s="23" t="s">
        <v>24</v>
      </c>
      <c r="AF29" s="21"/>
      <c r="AG29" s="26">
        <f>AE25+AF25</f>
        <v>0</v>
      </c>
      <c r="AI29" s="23" t="s">
        <v>11</v>
      </c>
      <c r="AJ29" s="28" t="e">
        <f>ROUND(SUMIF($B$11:$AC$11,AI29,$B$26:$AC$26)*$B$8/$AG$29,1)/$AG$28</f>
        <v>#DIV/0!</v>
      </c>
    </row>
    <row r="30" spans="1:42" x14ac:dyDescent="0.35">
      <c r="AE30" s="23" t="s">
        <v>25</v>
      </c>
      <c r="AF30" s="21"/>
      <c r="AG30" s="27" t="e">
        <f>AE25/AG29</f>
        <v>#DIV/0!</v>
      </c>
      <c r="AI30" s="23" t="s">
        <v>10</v>
      </c>
      <c r="AJ30" s="28" t="e">
        <f>ROUND(SUMIF($B$11:$AC$11,AI30,$B$26:$AC$26)*$B$8/$AG$29,1)/$AG$28</f>
        <v>#DIV/0!</v>
      </c>
    </row>
    <row r="31" spans="1:42" x14ac:dyDescent="0.35">
      <c r="AE31" s="23" t="s">
        <v>26</v>
      </c>
      <c r="AF31" s="21"/>
      <c r="AG31" s="27" t="e">
        <f>AF25/AG29</f>
        <v>#DIV/0!</v>
      </c>
      <c r="AI31" s="23" t="s">
        <v>8</v>
      </c>
      <c r="AJ31" s="28" t="e">
        <f>ROUND(SUMIF($B$11:$AC$11,AI31,$B$26:$AC$26)*$B$8/$AG$29,1)/$AG$28</f>
        <v>#DIV/0!</v>
      </c>
    </row>
    <row r="32" spans="1:42" x14ac:dyDescent="0.35">
      <c r="AE32" s="23" t="s">
        <v>27</v>
      </c>
      <c r="AF32" s="21"/>
      <c r="AG32" s="27" t="e">
        <f>AG25/SUM(AE25:AG25)</f>
        <v>#DIV/0!</v>
      </c>
      <c r="AI32" s="23" t="s">
        <v>13</v>
      </c>
      <c r="AJ32" s="28" t="e">
        <f>ROUND(SUMIF($B$11:$AC$11,AI32,$B$26:$AC$26)*$B$8/$AG$29,1)/$AG$28</f>
        <v>#DIV/0!</v>
      </c>
    </row>
    <row r="33" spans="35:36" x14ac:dyDescent="0.35">
      <c r="AI33" s="23" t="s">
        <v>12</v>
      </c>
      <c r="AJ33" s="28" t="e">
        <f>ROUND(SUMIF($B$11:$AC$11,AI33,$B$26:$AC$26)*$B$8/$AG$29,1)/$AG$28</f>
        <v>#DIV/0!</v>
      </c>
    </row>
    <row r="34" spans="35:36" x14ac:dyDescent="0.35">
      <c r="AI34" s="23" t="s">
        <v>32</v>
      </c>
      <c r="AJ34" s="28" t="e">
        <f>ROUND(SUMIF($B$11:$AC$11,AI34,$B$26:$AC$26)*$B$8/$AG$29,1)/$AG$28</f>
        <v>#DIV/0!</v>
      </c>
    </row>
  </sheetData>
  <mergeCells count="41">
    <mergeCell ref="AH24:AP24"/>
    <mergeCell ref="B26:E26"/>
    <mergeCell ref="F26:I26"/>
    <mergeCell ref="J26:M26"/>
    <mergeCell ref="N26:Q26"/>
    <mergeCell ref="R26:U26"/>
    <mergeCell ref="V26:Y26"/>
    <mergeCell ref="Z26:AC26"/>
    <mergeCell ref="AH17:AP17"/>
    <mergeCell ref="AH18:AP18"/>
    <mergeCell ref="AH19:AP19"/>
    <mergeCell ref="AH20:AP20"/>
    <mergeCell ref="AH21:AP21"/>
    <mergeCell ref="AH22:AP22"/>
    <mergeCell ref="AE11:AG11"/>
    <mergeCell ref="AH12:AP12"/>
    <mergeCell ref="AH13:AP13"/>
    <mergeCell ref="AH14:AP14"/>
    <mergeCell ref="AH15:AP15"/>
    <mergeCell ref="AH16:AP16"/>
    <mergeCell ref="V10:Y10"/>
    <mergeCell ref="Z10:AC10"/>
    <mergeCell ref="B11:E11"/>
    <mergeCell ref="F11:I11"/>
    <mergeCell ref="J11:M11"/>
    <mergeCell ref="N11:Q11"/>
    <mergeCell ref="R11:U11"/>
    <mergeCell ref="V11:Y11"/>
    <mergeCell ref="Z11:AC11"/>
    <mergeCell ref="B8:D8"/>
    <mergeCell ref="B10:E10"/>
    <mergeCell ref="F10:I10"/>
    <mergeCell ref="J10:M10"/>
    <mergeCell ref="N10:Q10"/>
    <mergeCell ref="R10:U10"/>
    <mergeCell ref="B2:D2"/>
    <mergeCell ref="B3:D3"/>
    <mergeCell ref="B4:D4"/>
    <mergeCell ref="B5:D5"/>
    <mergeCell ref="B6:D6"/>
    <mergeCell ref="B7:D7"/>
  </mergeCells>
  <dataValidations count="2">
    <dataValidation type="list" allowBlank="1" showInputMessage="1" showErrorMessage="1" sqref="B11:AC11" xr:uid="{EA5BD524-7BAA-45E6-A5F8-797C24B0D728}">
      <formula1>"WL, PP, DF, LP, AF, ES, QA"</formula1>
    </dataValidation>
    <dataValidation type="list" allowBlank="1" showInputMessage="1" showErrorMessage="1" sqref="B10:AC10" xr:uid="{0558BCF1-A3B0-4DBF-94D9-EE56258486D7}">
      <formula1>"Planted, Natural, -"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62243-EA7F-432F-B61E-0474B0C43819}">
  <dimension ref="A1:AP32"/>
  <sheetViews>
    <sheetView zoomScale="60" zoomScaleNormal="60" workbookViewId="0">
      <selection activeCell="AD19" sqref="AD19"/>
    </sheetView>
  </sheetViews>
  <sheetFormatPr defaultRowHeight="14.5" x14ac:dyDescent="0.35"/>
  <cols>
    <col min="34" max="34" width="1.26953125" customWidth="1"/>
  </cols>
  <sheetData>
    <row r="1" spans="1:42" x14ac:dyDescent="0.35">
      <c r="A1" s="21" t="s">
        <v>0</v>
      </c>
      <c r="B1" s="29" t="s">
        <v>21</v>
      </c>
      <c r="C1" s="29"/>
      <c r="D1" s="29"/>
    </row>
    <row r="2" spans="1:42" x14ac:dyDescent="0.35">
      <c r="A2" s="21" t="s">
        <v>1</v>
      </c>
      <c r="B2" s="29" t="s">
        <v>41</v>
      </c>
      <c r="C2" s="29"/>
      <c r="D2" s="29"/>
    </row>
    <row r="3" spans="1:42" x14ac:dyDescent="0.35">
      <c r="A3" s="21" t="s">
        <v>2</v>
      </c>
      <c r="B3" s="30">
        <v>46067</v>
      </c>
      <c r="C3" s="29"/>
      <c r="D3" s="29"/>
    </row>
    <row r="4" spans="1:42" x14ac:dyDescent="0.35">
      <c r="A4" s="21" t="s">
        <v>3</v>
      </c>
      <c r="B4" s="29" t="s">
        <v>22</v>
      </c>
      <c r="C4" s="29"/>
      <c r="D4" s="29"/>
    </row>
    <row r="5" spans="1:42" x14ac:dyDescent="0.35">
      <c r="A5" s="21" t="s">
        <v>4</v>
      </c>
      <c r="B5" s="29">
        <v>16</v>
      </c>
      <c r="C5" s="29"/>
      <c r="D5" s="29"/>
    </row>
    <row r="6" spans="1:42" x14ac:dyDescent="0.35">
      <c r="A6" s="21" t="s">
        <v>5</v>
      </c>
      <c r="B6" s="29">
        <v>8</v>
      </c>
      <c r="C6" s="29"/>
      <c r="D6" s="29"/>
      <c r="E6" s="7" t="str">
        <f>IF(OR(B6=0,SUM(AE23:AG23)=0),"",IF(B6=SUM(AE23:AG23),"","# Plots DOES NOT MATCH Stocking Class Data"))</f>
        <v/>
      </c>
      <c r="F6" t="s">
        <v>34</v>
      </c>
    </row>
    <row r="7" spans="1:42" x14ac:dyDescent="0.35">
      <c r="A7" s="21" t="s">
        <v>20</v>
      </c>
      <c r="B7" s="31">
        <v>50</v>
      </c>
      <c r="C7" s="31"/>
      <c r="D7" s="31"/>
      <c r="F7" t="s">
        <v>35</v>
      </c>
    </row>
    <row r="9" spans="1:42" x14ac:dyDescent="0.35">
      <c r="A9" s="21" t="s">
        <v>29</v>
      </c>
      <c r="B9" s="38" t="s">
        <v>22</v>
      </c>
      <c r="C9" s="39"/>
      <c r="D9" s="39"/>
      <c r="E9" s="40"/>
      <c r="F9" s="38" t="s">
        <v>33</v>
      </c>
      <c r="G9" s="39"/>
      <c r="H9" s="39"/>
      <c r="I9" s="40"/>
      <c r="J9" s="38" t="s">
        <v>33</v>
      </c>
      <c r="K9" s="39"/>
      <c r="L9" s="39"/>
      <c r="M9" s="40"/>
      <c r="N9" s="38" t="s">
        <v>33</v>
      </c>
      <c r="O9" s="39"/>
      <c r="P9" s="39"/>
      <c r="Q9" s="40"/>
      <c r="R9" s="38" t="s">
        <v>33</v>
      </c>
      <c r="S9" s="39"/>
      <c r="T9" s="39"/>
      <c r="U9" s="40"/>
      <c r="V9" s="38" t="s">
        <v>31</v>
      </c>
      <c r="W9" s="39"/>
      <c r="X9" s="39"/>
      <c r="Y9" s="40"/>
      <c r="Z9" s="38" t="s">
        <v>31</v>
      </c>
      <c r="AA9" s="39"/>
      <c r="AB9" s="39"/>
      <c r="AC9" s="40"/>
      <c r="AD9" s="17" t="s">
        <v>6</v>
      </c>
      <c r="AE9" s="11"/>
      <c r="AF9" s="11" t="s">
        <v>7</v>
      </c>
      <c r="AG9" s="18"/>
    </row>
    <row r="10" spans="1:42" x14ac:dyDescent="0.35">
      <c r="A10" s="21" t="s">
        <v>30</v>
      </c>
      <c r="B10" s="38" t="s">
        <v>9</v>
      </c>
      <c r="C10" s="39"/>
      <c r="D10" s="39"/>
      <c r="E10" s="40"/>
      <c r="F10" s="38" t="s">
        <v>11</v>
      </c>
      <c r="G10" s="39"/>
      <c r="H10" s="39"/>
      <c r="I10" s="40"/>
      <c r="J10" s="38" t="s">
        <v>10</v>
      </c>
      <c r="K10" s="39"/>
      <c r="L10" s="39"/>
      <c r="M10" s="40"/>
      <c r="N10" s="38" t="s">
        <v>8</v>
      </c>
      <c r="O10" s="39"/>
      <c r="P10" s="39"/>
      <c r="Q10" s="40"/>
      <c r="R10" s="38" t="s">
        <v>13</v>
      </c>
      <c r="S10" s="39"/>
      <c r="T10" s="39"/>
      <c r="U10" s="40"/>
      <c r="V10" s="38" t="s">
        <v>12</v>
      </c>
      <c r="W10" s="39"/>
      <c r="X10" s="39"/>
      <c r="Y10" s="40"/>
      <c r="Z10" s="38" t="s">
        <v>32</v>
      </c>
      <c r="AA10" s="39"/>
      <c r="AB10" s="39"/>
      <c r="AC10" s="40"/>
      <c r="AD10" s="3" t="s">
        <v>14</v>
      </c>
      <c r="AE10" s="6" t="s">
        <v>15</v>
      </c>
      <c r="AF10" s="19"/>
      <c r="AG10" s="20"/>
      <c r="AH10" s="16"/>
      <c r="AI10" s="24"/>
      <c r="AJ10" s="24"/>
      <c r="AK10" s="24"/>
      <c r="AL10" s="24"/>
      <c r="AM10" s="24"/>
      <c r="AN10" s="24"/>
      <c r="AO10" s="24"/>
      <c r="AP10" s="24"/>
    </row>
    <row r="11" spans="1:42" x14ac:dyDescent="0.35">
      <c r="A11" s="17" t="s">
        <v>28</v>
      </c>
      <c r="B11" s="4" t="s">
        <v>46</v>
      </c>
      <c r="C11" s="3" t="s">
        <v>47</v>
      </c>
      <c r="D11" s="3" t="s">
        <v>48</v>
      </c>
      <c r="E11" s="5" t="s">
        <v>49</v>
      </c>
      <c r="F11" s="4" t="s">
        <v>46</v>
      </c>
      <c r="G11" s="3" t="s">
        <v>47</v>
      </c>
      <c r="H11" s="3" t="s">
        <v>48</v>
      </c>
      <c r="I11" s="5" t="s">
        <v>49</v>
      </c>
      <c r="J11" s="4" t="s">
        <v>46</v>
      </c>
      <c r="K11" s="3" t="s">
        <v>47</v>
      </c>
      <c r="L11" s="3" t="s">
        <v>48</v>
      </c>
      <c r="M11" s="5" t="s">
        <v>49</v>
      </c>
      <c r="N11" s="4" t="s">
        <v>46</v>
      </c>
      <c r="O11" s="3" t="s">
        <v>47</v>
      </c>
      <c r="P11" s="3" t="s">
        <v>48</v>
      </c>
      <c r="Q11" s="5" t="s">
        <v>49</v>
      </c>
      <c r="R11" s="4" t="s">
        <v>46</v>
      </c>
      <c r="S11" s="3" t="s">
        <v>47</v>
      </c>
      <c r="T11" s="3" t="s">
        <v>48</v>
      </c>
      <c r="U11" s="5" t="s">
        <v>49</v>
      </c>
      <c r="V11" s="4" t="s">
        <v>46</v>
      </c>
      <c r="W11" s="3" t="s">
        <v>47</v>
      </c>
      <c r="X11" s="3" t="s">
        <v>48</v>
      </c>
      <c r="Y11" s="5" t="s">
        <v>49</v>
      </c>
      <c r="Z11" s="4" t="s">
        <v>46</v>
      </c>
      <c r="AA11" s="3" t="s">
        <v>47</v>
      </c>
      <c r="AB11" s="3" t="s">
        <v>48</v>
      </c>
      <c r="AC11" s="5" t="s">
        <v>49</v>
      </c>
      <c r="AD11" s="3" t="s">
        <v>16</v>
      </c>
      <c r="AE11" s="3" t="s">
        <v>17</v>
      </c>
      <c r="AF11" s="3" t="s">
        <v>18</v>
      </c>
      <c r="AG11" s="3" t="s">
        <v>19</v>
      </c>
      <c r="AH11" s="36" t="s">
        <v>36</v>
      </c>
      <c r="AI11" s="37"/>
      <c r="AJ11" s="37"/>
      <c r="AK11" s="37"/>
      <c r="AL11" s="37"/>
      <c r="AM11" s="37"/>
      <c r="AN11" s="37"/>
      <c r="AO11" s="37"/>
      <c r="AP11" s="37"/>
    </row>
    <row r="12" spans="1:42" ht="15" x14ac:dyDescent="0.35">
      <c r="A12" s="1">
        <v>1</v>
      </c>
      <c r="B12" s="14"/>
      <c r="C12" s="8"/>
      <c r="D12" s="14"/>
      <c r="E12" s="8"/>
      <c r="F12" s="14"/>
      <c r="G12" s="8"/>
      <c r="H12" s="14"/>
      <c r="I12" s="8"/>
      <c r="J12" s="14"/>
      <c r="K12" s="8"/>
      <c r="L12" s="14">
        <v>2</v>
      </c>
      <c r="M12" s="8"/>
      <c r="N12" s="14"/>
      <c r="O12" s="8"/>
      <c r="P12" s="14"/>
      <c r="Q12" s="8"/>
      <c r="R12" s="14"/>
      <c r="S12" s="8"/>
      <c r="T12" s="14"/>
      <c r="U12" s="8"/>
      <c r="V12" s="14"/>
      <c r="W12" s="8"/>
      <c r="X12" s="14"/>
      <c r="Y12" s="8"/>
      <c r="Z12" s="14"/>
      <c r="AA12" s="8"/>
      <c r="AB12" s="14"/>
      <c r="AC12" s="8"/>
      <c r="AD12" s="9">
        <f>SUM(B12:AC12)</f>
        <v>2</v>
      </c>
      <c r="AE12" s="14"/>
      <c r="AF12" s="14">
        <v>1</v>
      </c>
      <c r="AG12" s="14"/>
      <c r="AH12" s="35" t="s">
        <v>45</v>
      </c>
      <c r="AI12" s="34"/>
      <c r="AJ12" s="34"/>
      <c r="AK12" s="34"/>
      <c r="AL12" s="34"/>
      <c r="AM12" s="34"/>
      <c r="AN12" s="34"/>
      <c r="AO12" s="34"/>
      <c r="AP12" s="34"/>
    </row>
    <row r="13" spans="1:42" ht="15" x14ac:dyDescent="0.35">
      <c r="A13" s="1">
        <v>2</v>
      </c>
      <c r="B13" s="14"/>
      <c r="C13" s="8">
        <v>4</v>
      </c>
      <c r="D13" s="14"/>
      <c r="E13" s="8"/>
      <c r="F13" s="14"/>
      <c r="G13" s="8"/>
      <c r="H13" s="14"/>
      <c r="I13" s="8"/>
      <c r="J13" s="14">
        <v>1</v>
      </c>
      <c r="K13" s="8"/>
      <c r="L13" s="14"/>
      <c r="M13" s="8"/>
      <c r="N13" s="14"/>
      <c r="O13" s="8"/>
      <c r="P13" s="14"/>
      <c r="Q13" s="8"/>
      <c r="R13" s="14"/>
      <c r="S13" s="8"/>
      <c r="T13" s="14"/>
      <c r="U13" s="8"/>
      <c r="V13" s="14"/>
      <c r="W13" s="8"/>
      <c r="X13" s="14"/>
      <c r="Y13" s="8"/>
      <c r="Z13" s="14"/>
      <c r="AA13" s="8"/>
      <c r="AB13" s="14"/>
      <c r="AC13" s="8"/>
      <c r="AD13" s="9">
        <f>SUM(B13:AC13)</f>
        <v>5</v>
      </c>
      <c r="AE13" s="14">
        <v>1</v>
      </c>
      <c r="AF13" s="14"/>
      <c r="AG13" s="14"/>
      <c r="AH13" s="35" t="s">
        <v>44</v>
      </c>
      <c r="AI13" s="34"/>
      <c r="AJ13" s="34"/>
      <c r="AK13" s="34"/>
      <c r="AL13" s="34"/>
      <c r="AM13" s="34"/>
      <c r="AN13" s="34"/>
      <c r="AO13" s="34"/>
      <c r="AP13" s="34"/>
    </row>
    <row r="14" spans="1:42" ht="15" x14ac:dyDescent="0.35">
      <c r="A14" s="1">
        <v>3</v>
      </c>
      <c r="B14" s="14">
        <v>1</v>
      </c>
      <c r="C14" s="8">
        <v>2</v>
      </c>
      <c r="D14" s="14">
        <v>2</v>
      </c>
      <c r="E14" s="8"/>
      <c r="F14" s="14"/>
      <c r="G14" s="8"/>
      <c r="H14" s="14"/>
      <c r="I14" s="8"/>
      <c r="J14" s="14">
        <v>1</v>
      </c>
      <c r="K14" s="8">
        <v>1</v>
      </c>
      <c r="L14" s="14"/>
      <c r="M14" s="8"/>
      <c r="N14" s="14">
        <v>2</v>
      </c>
      <c r="O14" s="8">
        <v>1</v>
      </c>
      <c r="P14" s="14"/>
      <c r="Q14" s="8"/>
      <c r="R14" s="14"/>
      <c r="S14" s="8"/>
      <c r="T14" s="14"/>
      <c r="U14" s="8"/>
      <c r="V14" s="14"/>
      <c r="W14" s="8"/>
      <c r="X14" s="14"/>
      <c r="Y14" s="8"/>
      <c r="Z14" s="14"/>
      <c r="AA14" s="8"/>
      <c r="AB14" s="14"/>
      <c r="AC14" s="8"/>
      <c r="AD14" s="9">
        <f>SUM(B14:AC14)</f>
        <v>10</v>
      </c>
      <c r="AE14" s="14">
        <v>1</v>
      </c>
      <c r="AF14" s="14"/>
      <c r="AG14" s="14"/>
      <c r="AH14" s="35"/>
      <c r="AI14" s="34"/>
      <c r="AJ14" s="34"/>
      <c r="AK14" s="34"/>
      <c r="AL14" s="34"/>
      <c r="AM14" s="34"/>
      <c r="AN14" s="34"/>
      <c r="AO14" s="34"/>
      <c r="AP14" s="34"/>
    </row>
    <row r="15" spans="1:42" ht="15" x14ac:dyDescent="0.35">
      <c r="A15" s="1">
        <v>4</v>
      </c>
      <c r="B15" s="14"/>
      <c r="C15" s="8"/>
      <c r="D15" s="14"/>
      <c r="E15" s="8"/>
      <c r="F15" s="14"/>
      <c r="G15" s="8"/>
      <c r="H15" s="14"/>
      <c r="I15" s="8"/>
      <c r="J15" s="14"/>
      <c r="K15" s="8"/>
      <c r="L15" s="14">
        <v>2</v>
      </c>
      <c r="M15" s="8"/>
      <c r="N15" s="14"/>
      <c r="O15" s="8"/>
      <c r="P15" s="14"/>
      <c r="Q15" s="8"/>
      <c r="R15" s="14"/>
      <c r="S15" s="8"/>
      <c r="T15" s="14"/>
      <c r="U15" s="8"/>
      <c r="V15" s="14"/>
      <c r="W15" s="8"/>
      <c r="X15" s="14"/>
      <c r="Y15" s="8"/>
      <c r="Z15" s="14"/>
      <c r="AA15" s="8"/>
      <c r="AB15" s="14"/>
      <c r="AC15" s="8"/>
      <c r="AD15" s="9">
        <f>SUM(B15:AC15)</f>
        <v>2</v>
      </c>
      <c r="AE15" s="14"/>
      <c r="AF15" s="14">
        <v>1</v>
      </c>
      <c r="AG15" s="14"/>
      <c r="AH15" s="35"/>
      <c r="AI15" s="34"/>
      <c r="AJ15" s="34"/>
      <c r="AK15" s="34"/>
      <c r="AL15" s="34"/>
      <c r="AM15" s="34"/>
      <c r="AN15" s="34"/>
      <c r="AO15" s="34"/>
      <c r="AP15" s="34"/>
    </row>
    <row r="16" spans="1:42" ht="15" x14ac:dyDescent="0.35">
      <c r="A16" s="1">
        <v>5</v>
      </c>
      <c r="B16" s="14"/>
      <c r="C16" s="8"/>
      <c r="D16" s="14"/>
      <c r="E16" s="8"/>
      <c r="F16" s="14"/>
      <c r="G16" s="8"/>
      <c r="H16" s="14"/>
      <c r="I16" s="8"/>
      <c r="J16" s="14"/>
      <c r="K16" s="8"/>
      <c r="L16" s="14"/>
      <c r="M16" s="8"/>
      <c r="N16" s="14"/>
      <c r="O16" s="8"/>
      <c r="P16" s="14"/>
      <c r="Q16" s="8"/>
      <c r="R16" s="14"/>
      <c r="S16" s="8"/>
      <c r="T16" s="14"/>
      <c r="U16" s="8"/>
      <c r="V16" s="14"/>
      <c r="W16" s="8"/>
      <c r="X16" s="14"/>
      <c r="Y16" s="8"/>
      <c r="Z16" s="14"/>
      <c r="AA16" s="8"/>
      <c r="AB16" s="14"/>
      <c r="AC16" s="8"/>
      <c r="AD16" s="9">
        <f>SUM(B16:AC16)</f>
        <v>0</v>
      </c>
      <c r="AE16" s="14"/>
      <c r="AF16" s="14"/>
      <c r="AG16" s="14">
        <v>1</v>
      </c>
      <c r="AH16" s="35" t="s">
        <v>42</v>
      </c>
      <c r="AI16" s="34"/>
      <c r="AJ16" s="34"/>
      <c r="AK16" s="34"/>
      <c r="AL16" s="34"/>
      <c r="AM16" s="34"/>
      <c r="AN16" s="34"/>
      <c r="AO16" s="34"/>
      <c r="AP16" s="34"/>
    </row>
    <row r="17" spans="1:42" ht="15" x14ac:dyDescent="0.35">
      <c r="A17" s="1">
        <v>6</v>
      </c>
      <c r="B17" s="14"/>
      <c r="C17" s="8">
        <v>3</v>
      </c>
      <c r="D17" s="14"/>
      <c r="E17" s="8"/>
      <c r="F17" s="14">
        <v>1</v>
      </c>
      <c r="G17" s="8"/>
      <c r="H17" s="14">
        <v>1</v>
      </c>
      <c r="I17" s="8"/>
      <c r="J17" s="14"/>
      <c r="K17" s="8"/>
      <c r="L17" s="14"/>
      <c r="M17" s="8"/>
      <c r="N17" s="14">
        <v>4</v>
      </c>
      <c r="O17" s="8">
        <v>2</v>
      </c>
      <c r="P17" s="14"/>
      <c r="Q17" s="8"/>
      <c r="R17" s="14"/>
      <c r="S17" s="8">
        <v>4</v>
      </c>
      <c r="T17" s="14"/>
      <c r="U17" s="8"/>
      <c r="V17" s="14"/>
      <c r="W17" s="8"/>
      <c r="X17" s="14"/>
      <c r="Y17" s="8"/>
      <c r="Z17" s="14"/>
      <c r="AA17" s="8"/>
      <c r="AB17" s="14"/>
      <c r="AC17" s="8"/>
      <c r="AD17" s="9">
        <f>SUM(B17:AC17)</f>
        <v>15</v>
      </c>
      <c r="AE17" s="14">
        <v>1</v>
      </c>
      <c r="AF17" s="14"/>
      <c r="AG17" s="14"/>
      <c r="AH17" s="35" t="s">
        <v>43</v>
      </c>
      <c r="AI17" s="34"/>
      <c r="AJ17" s="34"/>
      <c r="AK17" s="34"/>
      <c r="AL17" s="34"/>
      <c r="AM17" s="34"/>
      <c r="AN17" s="34"/>
      <c r="AO17" s="34"/>
      <c r="AP17" s="34"/>
    </row>
    <row r="18" spans="1:42" ht="15" x14ac:dyDescent="0.35">
      <c r="A18" s="1">
        <v>7</v>
      </c>
      <c r="B18" s="14"/>
      <c r="C18" s="8">
        <v>1</v>
      </c>
      <c r="D18" s="14"/>
      <c r="E18" s="8"/>
      <c r="F18" s="14"/>
      <c r="G18" s="8">
        <v>4</v>
      </c>
      <c r="H18" s="14"/>
      <c r="I18" s="8"/>
      <c r="J18" s="14">
        <v>1</v>
      </c>
      <c r="K18" s="8">
        <v>1</v>
      </c>
      <c r="L18" s="14"/>
      <c r="M18" s="8"/>
      <c r="N18" s="14"/>
      <c r="O18" s="8"/>
      <c r="P18" s="14"/>
      <c r="Q18" s="8"/>
      <c r="R18" s="14"/>
      <c r="S18" s="8"/>
      <c r="T18" s="14"/>
      <c r="U18" s="8"/>
      <c r="V18" s="14"/>
      <c r="W18" s="8"/>
      <c r="X18" s="14"/>
      <c r="Y18" s="8"/>
      <c r="Z18" s="14"/>
      <c r="AA18" s="8"/>
      <c r="AB18" s="14"/>
      <c r="AC18" s="8"/>
      <c r="AD18" s="9">
        <f>SUM(B18:AC18)</f>
        <v>7</v>
      </c>
      <c r="AE18" s="14">
        <v>1</v>
      </c>
      <c r="AF18" s="14"/>
      <c r="AG18" s="14"/>
      <c r="AH18" s="35"/>
      <c r="AI18" s="34"/>
      <c r="AJ18" s="34"/>
      <c r="AK18" s="34"/>
      <c r="AL18" s="34"/>
      <c r="AM18" s="34"/>
      <c r="AN18" s="34"/>
      <c r="AO18" s="34"/>
      <c r="AP18" s="34"/>
    </row>
    <row r="19" spans="1:42" ht="15" x14ac:dyDescent="0.35">
      <c r="A19" s="1">
        <v>8</v>
      </c>
      <c r="B19" s="14"/>
      <c r="C19" s="8">
        <v>2</v>
      </c>
      <c r="D19" s="14"/>
      <c r="E19" s="8"/>
      <c r="F19" s="14"/>
      <c r="G19" s="8"/>
      <c r="H19" s="14"/>
      <c r="I19" s="8"/>
      <c r="J19" s="14"/>
      <c r="K19" s="8"/>
      <c r="L19" s="14"/>
      <c r="M19" s="8"/>
      <c r="N19" s="14">
        <v>8</v>
      </c>
      <c r="O19" s="8">
        <v>1</v>
      </c>
      <c r="P19" s="14"/>
      <c r="Q19" s="8"/>
      <c r="R19" s="14"/>
      <c r="S19" s="8"/>
      <c r="T19" s="14"/>
      <c r="U19" s="8"/>
      <c r="V19" s="14"/>
      <c r="W19" s="8"/>
      <c r="X19" s="14"/>
      <c r="Y19" s="8"/>
      <c r="Z19" s="14"/>
      <c r="AA19" s="8"/>
      <c r="AB19" s="14"/>
      <c r="AC19" s="8"/>
      <c r="AD19" s="9">
        <f>SUM(B19:AC19)</f>
        <v>11</v>
      </c>
      <c r="AE19" s="14">
        <v>1</v>
      </c>
      <c r="AF19" s="14"/>
      <c r="AG19" s="14"/>
      <c r="AH19" s="35"/>
      <c r="AI19" s="34"/>
      <c r="AJ19" s="34"/>
      <c r="AK19" s="34"/>
      <c r="AL19" s="34"/>
      <c r="AM19" s="34"/>
      <c r="AN19" s="34"/>
      <c r="AO19" s="34"/>
      <c r="AP19" s="34"/>
    </row>
    <row r="20" spans="1:42" ht="15" x14ac:dyDescent="0.35">
      <c r="A20" s="1"/>
      <c r="B20" s="14"/>
      <c r="C20" s="8"/>
      <c r="D20" s="14"/>
      <c r="E20" s="8"/>
      <c r="F20" s="14"/>
      <c r="G20" s="8"/>
      <c r="H20" s="14"/>
      <c r="I20" s="8"/>
      <c r="J20" s="14"/>
      <c r="K20" s="8"/>
      <c r="L20" s="14"/>
      <c r="M20" s="8"/>
      <c r="N20" s="14"/>
      <c r="O20" s="8"/>
      <c r="P20" s="14"/>
      <c r="Q20" s="8"/>
      <c r="R20" s="14"/>
      <c r="S20" s="8"/>
      <c r="T20" s="14"/>
      <c r="U20" s="8"/>
      <c r="V20" s="14"/>
      <c r="W20" s="8"/>
      <c r="X20" s="14"/>
      <c r="Y20" s="8"/>
      <c r="Z20" s="14"/>
      <c r="AA20" s="8"/>
      <c r="AB20" s="14"/>
      <c r="AC20" s="8"/>
      <c r="AD20" s="9"/>
      <c r="AE20" s="14"/>
      <c r="AF20" s="14"/>
      <c r="AG20" s="14"/>
      <c r="AH20" s="35"/>
      <c r="AI20" s="34"/>
      <c r="AJ20" s="34"/>
      <c r="AK20" s="34"/>
      <c r="AL20" s="34"/>
      <c r="AM20" s="34"/>
      <c r="AN20" s="34"/>
      <c r="AO20" s="34"/>
      <c r="AP20" s="34"/>
    </row>
    <row r="21" spans="1:42" ht="15" x14ac:dyDescent="0.35">
      <c r="A21" s="1"/>
      <c r="B21" s="14"/>
      <c r="C21" s="8"/>
      <c r="D21" s="14"/>
      <c r="E21" s="8"/>
      <c r="F21" s="14"/>
      <c r="G21" s="8"/>
      <c r="H21" s="14"/>
      <c r="I21" s="8"/>
      <c r="J21" s="14"/>
      <c r="K21" s="8"/>
      <c r="L21" s="14"/>
      <c r="M21" s="8"/>
      <c r="N21" s="14"/>
      <c r="O21" s="8"/>
      <c r="P21" s="14"/>
      <c r="Q21" s="8"/>
      <c r="R21" s="14"/>
      <c r="S21" s="8"/>
      <c r="T21" s="14"/>
      <c r="U21" s="8"/>
      <c r="V21" s="14"/>
      <c r="W21" s="8"/>
      <c r="X21" s="14"/>
      <c r="Y21" s="8"/>
      <c r="Z21" s="14"/>
      <c r="AA21" s="8"/>
      <c r="AB21" s="14"/>
      <c r="AC21" s="8"/>
      <c r="AD21" s="9"/>
      <c r="AE21" s="14"/>
      <c r="AF21" s="14"/>
      <c r="AG21" s="14"/>
      <c r="AH21" s="35"/>
      <c r="AI21" s="34"/>
      <c r="AJ21" s="34"/>
      <c r="AK21" s="34"/>
      <c r="AL21" s="34"/>
      <c r="AM21" s="34"/>
      <c r="AN21" s="34"/>
      <c r="AO21" s="34"/>
      <c r="AP21" s="34"/>
    </row>
    <row r="22" spans="1:42" ht="15" x14ac:dyDescent="0.35">
      <c r="A22" s="1"/>
      <c r="B22" s="14"/>
      <c r="C22" s="8"/>
      <c r="D22" s="14"/>
      <c r="E22" s="8"/>
      <c r="F22" s="14"/>
      <c r="G22" s="8"/>
      <c r="H22" s="14"/>
      <c r="I22" s="8"/>
      <c r="J22" s="14"/>
      <c r="K22" s="8"/>
      <c r="L22" s="14"/>
      <c r="M22" s="8"/>
      <c r="N22" s="14"/>
      <c r="O22" s="8"/>
      <c r="P22" s="14"/>
      <c r="Q22" s="8"/>
      <c r="R22" s="14"/>
      <c r="S22" s="8"/>
      <c r="T22" s="14"/>
      <c r="U22" s="8"/>
      <c r="V22" s="14"/>
      <c r="W22" s="8"/>
      <c r="X22" s="14"/>
      <c r="Y22" s="8"/>
      <c r="Z22" s="14"/>
      <c r="AA22" s="8"/>
      <c r="AB22" s="14"/>
      <c r="AC22" s="8"/>
      <c r="AD22" s="9"/>
      <c r="AE22" s="14"/>
      <c r="AF22" s="14"/>
      <c r="AG22" s="14"/>
      <c r="AH22" s="35"/>
      <c r="AI22" s="34"/>
      <c r="AJ22" s="34"/>
      <c r="AK22" s="34"/>
      <c r="AL22" s="34"/>
      <c r="AM22" s="34"/>
      <c r="AN22" s="34"/>
      <c r="AO22" s="34"/>
      <c r="AP22" s="34"/>
    </row>
    <row r="23" spans="1:42" ht="22" x14ac:dyDescent="0.65">
      <c r="A23" s="2" t="s">
        <v>37</v>
      </c>
      <c r="B23" s="10">
        <f t="shared" ref="B23:AG23" si="0">SUM(B12:B21)</f>
        <v>1</v>
      </c>
      <c r="C23" s="10">
        <f t="shared" si="0"/>
        <v>12</v>
      </c>
      <c r="D23" s="10">
        <f t="shared" si="0"/>
        <v>2</v>
      </c>
      <c r="E23" s="10">
        <f t="shared" si="0"/>
        <v>0</v>
      </c>
      <c r="F23" s="10">
        <f t="shared" si="0"/>
        <v>1</v>
      </c>
      <c r="G23" s="10">
        <f t="shared" si="0"/>
        <v>4</v>
      </c>
      <c r="H23" s="10">
        <f t="shared" si="0"/>
        <v>1</v>
      </c>
      <c r="I23" s="10">
        <f t="shared" si="0"/>
        <v>0</v>
      </c>
      <c r="J23" s="10">
        <f t="shared" si="0"/>
        <v>3</v>
      </c>
      <c r="K23" s="10">
        <f t="shared" si="0"/>
        <v>2</v>
      </c>
      <c r="L23" s="10">
        <f t="shared" si="0"/>
        <v>4</v>
      </c>
      <c r="M23" s="10">
        <f t="shared" si="0"/>
        <v>0</v>
      </c>
      <c r="N23" s="10">
        <f t="shared" si="0"/>
        <v>14</v>
      </c>
      <c r="O23" s="10">
        <f t="shared" si="0"/>
        <v>4</v>
      </c>
      <c r="P23" s="10">
        <f t="shared" si="0"/>
        <v>0</v>
      </c>
      <c r="Q23" s="10">
        <f t="shared" si="0"/>
        <v>0</v>
      </c>
      <c r="R23" s="10">
        <f t="shared" si="0"/>
        <v>0</v>
      </c>
      <c r="S23" s="10">
        <f t="shared" si="0"/>
        <v>4</v>
      </c>
      <c r="T23" s="10">
        <f t="shared" si="0"/>
        <v>0</v>
      </c>
      <c r="U23" s="10">
        <f t="shared" si="0"/>
        <v>0</v>
      </c>
      <c r="V23" s="10">
        <f t="shared" si="0"/>
        <v>0</v>
      </c>
      <c r="W23" s="10">
        <f t="shared" si="0"/>
        <v>0</v>
      </c>
      <c r="X23" s="10">
        <f t="shared" si="0"/>
        <v>0</v>
      </c>
      <c r="Y23" s="10">
        <f t="shared" si="0"/>
        <v>0</v>
      </c>
      <c r="Z23" s="10">
        <f t="shared" si="0"/>
        <v>0</v>
      </c>
      <c r="AA23" s="10">
        <f t="shared" si="0"/>
        <v>0</v>
      </c>
      <c r="AB23" s="10">
        <f t="shared" si="0"/>
        <v>0</v>
      </c>
      <c r="AC23" s="10">
        <f t="shared" si="0"/>
        <v>0</v>
      </c>
      <c r="AD23" s="10">
        <f>SUM(B23:AC23)</f>
        <v>52</v>
      </c>
      <c r="AE23" s="10">
        <f t="shared" si="0"/>
        <v>5</v>
      </c>
      <c r="AF23" s="10">
        <f t="shared" si="0"/>
        <v>2</v>
      </c>
      <c r="AG23" s="10">
        <f t="shared" si="0"/>
        <v>1</v>
      </c>
    </row>
    <row r="24" spans="1:42" ht="1" customHeight="1" x14ac:dyDescent="0.35">
      <c r="A24" t="s">
        <v>39</v>
      </c>
      <c r="B24" s="22">
        <f>SUM(B23:E23)</f>
        <v>15</v>
      </c>
      <c r="C24" s="12"/>
      <c r="D24" s="12"/>
      <c r="E24" s="13"/>
      <c r="F24" s="22">
        <f t="shared" ref="F24" si="1">SUM(F23:I23)</f>
        <v>6</v>
      </c>
      <c r="G24" s="12"/>
      <c r="H24" s="12"/>
      <c r="I24" s="13"/>
      <c r="J24" s="22">
        <f t="shared" ref="J24" si="2">SUM(J23:M23)</f>
        <v>9</v>
      </c>
      <c r="K24" s="12"/>
      <c r="L24" s="12"/>
      <c r="M24" s="13"/>
      <c r="N24" s="22">
        <f t="shared" ref="N24" si="3">SUM(N23:Q23)</f>
        <v>18</v>
      </c>
      <c r="O24" s="12"/>
      <c r="P24" s="12"/>
      <c r="Q24" s="13"/>
      <c r="R24" s="22">
        <f t="shared" ref="R24" si="4">SUM(R23:U23)</f>
        <v>4</v>
      </c>
      <c r="S24" s="12"/>
      <c r="T24" s="12"/>
      <c r="U24" s="13"/>
      <c r="V24" s="22">
        <f t="shared" ref="V24" si="5">SUM(V23:Y23)</f>
        <v>0</v>
      </c>
      <c r="W24" s="12"/>
      <c r="X24" s="12"/>
      <c r="Y24" s="13"/>
      <c r="Z24" s="22">
        <f t="shared" ref="Z24" si="6">SUM(Z23:AC23)</f>
        <v>0</v>
      </c>
      <c r="AA24" s="12"/>
      <c r="AB24" s="12"/>
      <c r="AC24" s="13"/>
    </row>
    <row r="25" spans="1:42" x14ac:dyDescent="0.35">
      <c r="AI25" s="23" t="s">
        <v>40</v>
      </c>
      <c r="AJ25" s="21"/>
    </row>
    <row r="26" spans="1:42" x14ac:dyDescent="0.35">
      <c r="A26" t="s">
        <v>23</v>
      </c>
      <c r="B26" s="15" t="str">
        <f>ROUND(SUM(B23:E23)*$B$7/$AG$27,1)&amp;" TPA "&amp;IF(B9="-","",B9)&amp;" "&amp;B10</f>
        <v>107.1 TPA Planted WL</v>
      </c>
      <c r="C26" s="15"/>
      <c r="D26" s="15"/>
      <c r="E26" s="15"/>
      <c r="F26" s="15" t="str">
        <f>ROUND(SUM(F23:I23)*$B$7/$AG$27,1)&amp;" TPA "&amp;IF(F9="-","",F9)&amp;" "&amp;F10</f>
        <v>42.9 TPA Natural PP</v>
      </c>
      <c r="G26" s="15"/>
      <c r="H26" s="15"/>
      <c r="I26" s="15"/>
      <c r="J26" s="15" t="str">
        <f>ROUND(SUM(J23:M23)*$B$7/$AG$27,1)&amp;" TPA "&amp;IF(J9="-","",J9)&amp;" "&amp;J10</f>
        <v>64.3 TPA Natural DF</v>
      </c>
      <c r="K26" s="15"/>
      <c r="L26" s="15"/>
      <c r="M26" s="15"/>
      <c r="N26" s="15" t="str">
        <f>ROUND(SUM(N23:Q23)*$B$7/$AG$27,1)&amp;" TPA "&amp;IF(N9="-","",N9)&amp;" "&amp;N10</f>
        <v>128.6 TPA Natural LP</v>
      </c>
      <c r="O26" s="15"/>
      <c r="P26" s="15"/>
      <c r="Q26" s="15"/>
      <c r="R26" s="15" t="str">
        <f>ROUND(SUM(R23:U23)*$B$7/$AG$27,1)&amp;" TPA "&amp;IF(R9="-","",R9)&amp;" "&amp;R10</f>
        <v>28.6 TPA Natural AF</v>
      </c>
      <c r="S26" s="15"/>
      <c r="T26" s="15"/>
      <c r="U26" s="15"/>
      <c r="V26" s="15" t="str">
        <f>ROUND(SUM(V23:Y23)*$B$7/$AG$27,1)&amp;" TPA "&amp;IF(V9="-","",V9)&amp;" "&amp;V10</f>
        <v>0 TPA  ES</v>
      </c>
      <c r="W26" s="15"/>
      <c r="X26" s="15"/>
      <c r="Y26" s="15"/>
      <c r="Z26" s="15" t="str">
        <f>ROUND(SUM(Z23:AC23)*$B$7/$AG$27,1)&amp;" TPA "&amp;IF(Z9="-","",Z9)&amp;" "&amp;Z10</f>
        <v>0 TPA  QA</v>
      </c>
      <c r="AA26" s="15"/>
      <c r="AB26" s="15"/>
      <c r="AC26" s="15"/>
      <c r="AE26" s="23" t="s">
        <v>38</v>
      </c>
      <c r="AF26" s="21"/>
      <c r="AG26" s="25">
        <f>ROUND(SUM(B23:AC23)*$B$7/$AG$27,1)</f>
        <v>371.4</v>
      </c>
      <c r="AI26" s="23" t="s">
        <v>9</v>
      </c>
      <c r="AJ26" s="28">
        <f>ROUND(SUMIF($B$10:$AC$10,AI26,$B$24:$AC$24)*$B$7/$AG$27,1)/$AG$26</f>
        <v>0.28836833602584816</v>
      </c>
    </row>
    <row r="27" spans="1:42" x14ac:dyDescent="0.35">
      <c r="AE27" s="23" t="s">
        <v>24</v>
      </c>
      <c r="AF27" s="21"/>
      <c r="AG27" s="26">
        <f>AE23+AF23</f>
        <v>7</v>
      </c>
      <c r="AI27" s="23" t="s">
        <v>11</v>
      </c>
      <c r="AJ27" s="28">
        <f t="shared" ref="AJ27:AJ32" si="7">ROUND(SUMIF($B$10:$AC$10,AI27,$B$24:$AC$24)*$B$7/$AG$27,1)/$AG$26</f>
        <v>0.11550888529886914</v>
      </c>
    </row>
    <row r="28" spans="1:42" x14ac:dyDescent="0.35">
      <c r="AE28" s="23" t="s">
        <v>25</v>
      </c>
      <c r="AF28" s="21"/>
      <c r="AG28" s="27">
        <f>AE23/AG27</f>
        <v>0.7142857142857143</v>
      </c>
      <c r="AI28" s="23" t="s">
        <v>10</v>
      </c>
      <c r="AJ28" s="28">
        <f t="shared" si="7"/>
        <v>0.17312870220786214</v>
      </c>
    </row>
    <row r="29" spans="1:42" x14ac:dyDescent="0.35">
      <c r="AE29" s="23" t="s">
        <v>26</v>
      </c>
      <c r="AF29" s="21"/>
      <c r="AG29" s="27">
        <f>AF23/AG27</f>
        <v>0.2857142857142857</v>
      </c>
      <c r="AI29" s="23" t="s">
        <v>8</v>
      </c>
      <c r="AJ29" s="28">
        <f t="shared" si="7"/>
        <v>0.34625740441572428</v>
      </c>
    </row>
    <row r="30" spans="1:42" x14ac:dyDescent="0.35">
      <c r="AE30" s="23" t="s">
        <v>27</v>
      </c>
      <c r="AF30" s="21"/>
      <c r="AG30" s="27">
        <f>AG23/SUM(AE23:AG23)</f>
        <v>0.125</v>
      </c>
      <c r="AI30" s="23" t="s">
        <v>13</v>
      </c>
      <c r="AJ30" s="28">
        <f t="shared" si="7"/>
        <v>7.7005923532579443E-2</v>
      </c>
    </row>
    <row r="31" spans="1:42" x14ac:dyDescent="0.35">
      <c r="AI31" s="23" t="s">
        <v>12</v>
      </c>
      <c r="AJ31" s="28">
        <f t="shared" si="7"/>
        <v>0</v>
      </c>
    </row>
    <row r="32" spans="1:42" x14ac:dyDescent="0.35">
      <c r="AI32" s="23" t="s">
        <v>32</v>
      </c>
      <c r="AJ32" s="28">
        <f t="shared" si="7"/>
        <v>0</v>
      </c>
    </row>
  </sheetData>
  <mergeCells count="41">
    <mergeCell ref="AH12:AP12"/>
    <mergeCell ref="AH11:AP11"/>
    <mergeCell ref="AH13:AP13"/>
    <mergeCell ref="AH14:AP14"/>
    <mergeCell ref="AH15:AP15"/>
    <mergeCell ref="AH16:AP16"/>
    <mergeCell ref="AH17:AP17"/>
    <mergeCell ref="AH18:AP18"/>
    <mergeCell ref="AH19:AP19"/>
    <mergeCell ref="AH20:AP20"/>
    <mergeCell ref="AH21:AP21"/>
    <mergeCell ref="AH22:AP22"/>
    <mergeCell ref="V9:Y9"/>
    <mergeCell ref="Z9:AC9"/>
    <mergeCell ref="B24:E24"/>
    <mergeCell ref="F24:I24"/>
    <mergeCell ref="J24:M24"/>
    <mergeCell ref="N24:Q24"/>
    <mergeCell ref="R24:U24"/>
    <mergeCell ref="V24:Y24"/>
    <mergeCell ref="Z24:AC24"/>
    <mergeCell ref="J10:M10"/>
    <mergeCell ref="N10:Q10"/>
    <mergeCell ref="R10:U10"/>
    <mergeCell ref="V10:Y10"/>
    <mergeCell ref="Z10:AC10"/>
    <mergeCell ref="B9:E9"/>
    <mergeCell ref="F9:I9"/>
    <mergeCell ref="J9:M9"/>
    <mergeCell ref="N9:Q9"/>
    <mergeCell ref="R9:U9"/>
    <mergeCell ref="AE10:AG10"/>
    <mergeCell ref="B1:D1"/>
    <mergeCell ref="B2:D2"/>
    <mergeCell ref="B3:D3"/>
    <mergeCell ref="B4:D4"/>
    <mergeCell ref="B5:D5"/>
    <mergeCell ref="B6:D6"/>
    <mergeCell ref="B7:D7"/>
    <mergeCell ref="B10:E10"/>
    <mergeCell ref="F10:I10"/>
  </mergeCells>
  <dataValidations count="2">
    <dataValidation type="list" allowBlank="1" showInputMessage="1" showErrorMessage="1" sqref="B9:AC9" xr:uid="{D01A74B3-A7D2-48DF-B789-D6B46C2B4DB4}">
      <formula1>"Planted, Natural, -"</formula1>
    </dataValidation>
    <dataValidation type="list" allowBlank="1" showInputMessage="1" showErrorMessage="1" sqref="B10:AC10" xr:uid="{A63C0994-8FF4-4DC6-A053-BC023A0B8461}">
      <formula1>"WL, PP, DF, LP, AF, ES, QA"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BLANK</vt:lpstr>
      <vt:lpstr>EXAMPLE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Seaman, Timothy - FS, MT</dc:creator>
  <cp:lastModifiedBy>Seaman, Timothy - FS, MT</cp:lastModifiedBy>
  <dcterms:created xsi:type="dcterms:W3CDTF">2026-02-09T21:29:56Z</dcterms:created>
  <dcterms:modified xsi:type="dcterms:W3CDTF">2026-02-09T22:34:08Z</dcterms:modified>
</cp:coreProperties>
</file>