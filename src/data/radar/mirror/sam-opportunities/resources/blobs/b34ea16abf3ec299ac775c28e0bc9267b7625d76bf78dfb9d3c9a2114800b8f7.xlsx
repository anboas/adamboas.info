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harles_j_appleton_civ_army_mil/Documents/Desktop/"/>
    </mc:Choice>
  </mc:AlternateContent>
  <xr:revisionPtr revIDLastSave="0" documentId="8_{D9E55FB8-0BFF-406E-AB3B-424EB62C1537}" xr6:coauthVersionLast="47" xr6:coauthVersionMax="47" xr10:uidLastSave="{00000000-0000-0000-0000-000000000000}"/>
  <bookViews>
    <workbookView xWindow="-120" yWindow="150" windowWidth="29040" windowHeight="15450" activeTab="1" xr2:uid="{2938A74C-480E-4F5B-8E53-70AAD8349600}"/>
  </bookViews>
  <sheets>
    <sheet name="Priority Order" sheetId="1" r:id="rId1"/>
    <sheet name="CLIN Structure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3" l="1"/>
  <c r="I51" i="3"/>
  <c r="I52" i="3"/>
  <c r="I53" i="3"/>
  <c r="I54" i="3"/>
  <c r="I56" i="3"/>
  <c r="I57" i="3" s="1"/>
  <c r="I58" i="3"/>
  <c r="I59" i="3"/>
  <c r="I8" i="3"/>
  <c r="I9" i="3" s="1"/>
  <c r="I10" i="3"/>
  <c r="I11" i="3" s="1"/>
  <c r="I12" i="3"/>
  <c r="I13" i="3"/>
  <c r="I15" i="3"/>
  <c r="I16" i="3"/>
  <c r="I17" i="3"/>
  <c r="I18" i="3"/>
  <c r="I20" i="3"/>
  <c r="I21" i="3" s="1"/>
  <c r="I22" i="3"/>
  <c r="I23" i="3" s="1"/>
  <c r="I24" i="3"/>
  <c r="I25" i="3" s="1"/>
  <c r="I26" i="3"/>
  <c r="I27" i="3" s="1"/>
  <c r="I28" i="3"/>
  <c r="I29" i="3" s="1"/>
  <c r="I30" i="3"/>
  <c r="I31" i="3" s="1"/>
  <c r="I32" i="3"/>
  <c r="I33" i="3" s="1"/>
  <c r="I34" i="3"/>
  <c r="I35" i="3"/>
  <c r="I37" i="3"/>
  <c r="I38" i="3"/>
  <c r="I40" i="3"/>
  <c r="I41" i="3"/>
  <c r="I43" i="3"/>
  <c r="I44" i="3"/>
  <c r="I46" i="3"/>
  <c r="I47" i="3"/>
  <c r="I48" i="3"/>
  <c r="I49" i="3"/>
  <c r="I5" i="3"/>
  <c r="I6" i="3"/>
  <c r="I4" i="3"/>
  <c r="I7" i="3" s="1"/>
  <c r="I36" i="3" l="1"/>
  <c r="I45" i="3"/>
  <c r="I14" i="3"/>
  <c r="I42" i="3"/>
  <c r="I39" i="3"/>
  <c r="I60" i="3"/>
  <c r="I55" i="3"/>
  <c r="I19" i="3"/>
  <c r="I61" i="3"/>
</calcChain>
</file>

<file path=xl/sharedStrings.xml><?xml version="1.0" encoding="utf-8"?>
<sst xmlns="http://schemas.openxmlformats.org/spreadsheetml/2006/main" count="210" uniqueCount="166">
  <si>
    <t>CLIN</t>
  </si>
  <si>
    <t>Sub-CLIN</t>
  </si>
  <si>
    <t>IJO #</t>
  </si>
  <si>
    <t>Proposed Price</t>
  </si>
  <si>
    <t>0001</t>
  </si>
  <si>
    <t>53465DTC250125J</t>
  </si>
  <si>
    <t>0002</t>
  </si>
  <si>
    <t>53465DTC240045J</t>
  </si>
  <si>
    <t>Rng 76, 30mm Gunnery (NSF)</t>
  </si>
  <si>
    <t>0003</t>
  </si>
  <si>
    <t>53465CJA250086J</t>
  </si>
  <si>
    <t>MDC-PAC Modular SCIF</t>
  </si>
  <si>
    <t>0004</t>
  </si>
  <si>
    <t>000401</t>
  </si>
  <si>
    <t>53465MDA250285J</t>
  </si>
  <si>
    <t>McChord Airfield Security Projects (NSF) 55 cipher locks</t>
  </si>
  <si>
    <t>000402</t>
  </si>
  <si>
    <t>53465MDA250295J</t>
  </si>
  <si>
    <t>McChord Airfield Security Projects (NSF) Anti-vehicle barriers</t>
  </si>
  <si>
    <t>53465MDA250305J</t>
  </si>
  <si>
    <t>McChord Airfield Security Projects (NSF) Clear vegetation</t>
  </si>
  <si>
    <t>53465MDA250275J</t>
  </si>
  <si>
    <t>McChord Airfield Security Projects (NSF) AF privacy slats</t>
  </si>
  <si>
    <t>0005</t>
  </si>
  <si>
    <t>53465DEJ216251J</t>
  </si>
  <si>
    <t>Replace HVAC &amp; Controls 446th AW Ops Facility (10,899 sf)</t>
  </si>
  <si>
    <t>0006</t>
  </si>
  <si>
    <t>53465DEJ225502J</t>
  </si>
  <si>
    <t>Repair HVAC McChord Field Air Traffic Control Tower (Tower 2,325 sf)</t>
  </si>
  <si>
    <t>0007</t>
  </si>
  <si>
    <t>53465DEJ247435J</t>
  </si>
  <si>
    <t>McChord Runway Lighting Overt/Covert (NSF)</t>
  </si>
  <si>
    <t>0008</t>
  </si>
  <si>
    <t>53465MBA160186J</t>
  </si>
  <si>
    <t>Repair Taxiway H, McChord Field J15002 (95,000 SY)</t>
  </si>
  <si>
    <t>0009</t>
  </si>
  <si>
    <t>53465MBA250035J</t>
  </si>
  <si>
    <t>Repair Taxiway D, McChord Field</t>
  </si>
  <si>
    <t>0010</t>
  </si>
  <si>
    <t>53465MBA250016J</t>
  </si>
  <si>
    <t>Groove McChord Field Main Runway, J16001</t>
  </si>
  <si>
    <t>0011</t>
  </si>
  <si>
    <t>53465DER190959J</t>
  </si>
  <si>
    <t>Repair JBLM Railhead</t>
  </si>
  <si>
    <t>0012</t>
  </si>
  <si>
    <t>53465CJA250106J</t>
  </si>
  <si>
    <t>Convert Company HQs to Soldier Performance Readiness Center (SPRC) Buidling 11371 (2-2 SBCT)</t>
  </si>
  <si>
    <t>0013</t>
  </si>
  <si>
    <t>53465CJA250096J</t>
  </si>
  <si>
    <t>Construct SPRC (18.654 SF - 2-2 SBCT)</t>
  </si>
  <si>
    <t>0014</t>
  </si>
  <si>
    <t>53465CVA230053J</t>
  </si>
  <si>
    <t>Convert Company HQs to SPRC Buidling 3168 (1 MDTF)</t>
  </si>
  <si>
    <t>0015</t>
  </si>
  <si>
    <t>53465CJA250126J</t>
  </si>
  <si>
    <t>Construct SPRC (18.654 SF - 1 MDTF)</t>
  </si>
  <si>
    <t>0016</t>
  </si>
  <si>
    <t>53465DER181758J</t>
  </si>
  <si>
    <t>0017</t>
  </si>
  <si>
    <t>53465DPA240424J</t>
  </si>
  <si>
    <t>Madigan Child Development Center, Back Up Power - Bldg 6995</t>
  </si>
  <si>
    <t>0018</t>
  </si>
  <si>
    <t>53465DPA250156J</t>
  </si>
  <si>
    <t>McChord Child Development Center(s), Back Up Power - Bldg J00578</t>
  </si>
  <si>
    <t>53465DPA250166J</t>
  </si>
  <si>
    <t>McChord Child Development Center(s), Back Up Power - Bldg J00580</t>
  </si>
  <si>
    <t>0019</t>
  </si>
  <si>
    <t>001901</t>
  </si>
  <si>
    <t>53465CJA240054J</t>
  </si>
  <si>
    <t>I Corps JDOC Phase II - Security Fence</t>
  </si>
  <si>
    <t>001902</t>
  </si>
  <si>
    <t>53465CJA230213J</t>
  </si>
  <si>
    <t>I Corps JDOC Phase II (2090 - 10,672sf / 2090 - 13,245sf) Upgrade 2090</t>
  </si>
  <si>
    <t>53465CJA230223J</t>
  </si>
  <si>
    <t>I Corps JDOC Phase II  (2084 - 10,672sf / 2084 - 13,245sf) Upgrade 2084</t>
  </si>
  <si>
    <t>001301</t>
  </si>
  <si>
    <t>001303</t>
  </si>
  <si>
    <t>001401</t>
  </si>
  <si>
    <t>001403</t>
  </si>
  <si>
    <t>001501</t>
  </si>
  <si>
    <t>001503</t>
  </si>
  <si>
    <t>001601</t>
  </si>
  <si>
    <t>001603</t>
  </si>
  <si>
    <r>
      <t>I Corps JDOC Phase II (2090 - 10,672sf / 2090 - 13,245sf) Upgrade 2090</t>
    </r>
    <r>
      <rPr>
        <b/>
        <sz val="11"/>
        <color theme="1"/>
        <rFont val="Arial"/>
        <family val="2"/>
      </rPr>
      <t xml:space="preserve"> - FF&amp;E</t>
    </r>
  </si>
  <si>
    <r>
      <t xml:space="preserve">I Corps JDOC Phase II  (2084 - 10,672sf / 2084 - 13,245sf) Upgrade 2084 </t>
    </r>
    <r>
      <rPr>
        <b/>
        <sz val="11"/>
        <color theme="1"/>
        <rFont val="Arial"/>
        <family val="2"/>
      </rPr>
      <t>- FF&amp;E</t>
    </r>
  </si>
  <si>
    <r>
      <t>Convert Company HQs to SPRC Buidling 3168 (1 MDTF)</t>
    </r>
    <r>
      <rPr>
        <b/>
        <sz val="11"/>
        <color theme="1"/>
        <rFont val="Arial"/>
        <family val="2"/>
      </rPr>
      <t xml:space="preserve"> - Comms</t>
    </r>
  </si>
  <si>
    <r>
      <t xml:space="preserve">I Corps JDOC Phase II  (2084 - 10,672sf / 2084 - 13,245sf) Upgrade 2084 </t>
    </r>
    <r>
      <rPr>
        <b/>
        <sz val="11"/>
        <color theme="1"/>
        <rFont val="Arial"/>
        <family val="2"/>
      </rPr>
      <t>- Comms</t>
    </r>
  </si>
  <si>
    <r>
      <t xml:space="preserve">I Corps JDOC Phase II (2090 - 10,672sf / 2090 - 13,245sf) Upgrade 2090 </t>
    </r>
    <r>
      <rPr>
        <b/>
        <sz val="11"/>
        <color theme="1"/>
        <rFont val="Arial"/>
        <family val="2"/>
      </rPr>
      <t>- Comms</t>
    </r>
  </si>
  <si>
    <r>
      <t xml:space="preserve">Construct SPRC (18.654 SF - 1 MDTF) </t>
    </r>
    <r>
      <rPr>
        <b/>
        <sz val="11"/>
        <color theme="1"/>
        <rFont val="Arial"/>
        <family val="2"/>
      </rPr>
      <t>- Comms</t>
    </r>
  </si>
  <si>
    <r>
      <t xml:space="preserve">MDC-PAC Modular SCIF </t>
    </r>
    <r>
      <rPr>
        <b/>
        <sz val="11"/>
        <color theme="1"/>
        <rFont val="Arial"/>
        <family val="2"/>
      </rPr>
      <t>- Communications (Comms)</t>
    </r>
  </si>
  <si>
    <r>
      <t xml:space="preserve">Construct SPRC (18.654 SF - 2-2 SBCT) </t>
    </r>
    <r>
      <rPr>
        <b/>
        <sz val="11"/>
        <color theme="1"/>
        <rFont val="Arial"/>
        <family val="2"/>
      </rPr>
      <t>- Comms</t>
    </r>
  </si>
  <si>
    <t>000101</t>
  </si>
  <si>
    <t>000102</t>
  </si>
  <si>
    <t>000103</t>
  </si>
  <si>
    <t>000501</t>
  </si>
  <si>
    <t>000502</t>
  </si>
  <si>
    <t>000503</t>
  </si>
  <si>
    <t>000504</t>
  </si>
  <si>
    <t>001701</t>
  </si>
  <si>
    <t>001702</t>
  </si>
  <si>
    <t>001703</t>
  </si>
  <si>
    <t>001704</t>
  </si>
  <si>
    <t>001705</t>
  </si>
  <si>
    <t>001706</t>
  </si>
  <si>
    <t>001707</t>
  </si>
  <si>
    <r>
      <t xml:space="preserve">Convert Company HQs to Soldier Performance Readiness Center (SPRC) Buidling 11371 (2-2 SBCT) </t>
    </r>
    <r>
      <rPr>
        <b/>
        <sz val="11"/>
        <color theme="1"/>
        <rFont val="Arial"/>
        <family val="2"/>
      </rPr>
      <t>- Comms</t>
    </r>
  </si>
  <si>
    <t>Project #</t>
  </si>
  <si>
    <t>Multi-Domain Operations Training Area (Training Area 20)</t>
  </si>
  <si>
    <t>Project Title</t>
  </si>
  <si>
    <t>Design Costs</t>
  </si>
  <si>
    <t>Construction Costs</t>
  </si>
  <si>
    <r>
      <t xml:space="preserve">I Corps JDOC Phase II  (2084 - 10,672sf / 2084 - 13,245sf) Upgrade 2084 - </t>
    </r>
    <r>
      <rPr>
        <b/>
        <sz val="11"/>
        <color theme="1"/>
        <rFont val="Arial"/>
        <family val="2"/>
      </rPr>
      <t>Repair</t>
    </r>
  </si>
  <si>
    <r>
      <t xml:space="preserve">I Corps JDOC Phase II  (2084 - 10,672sf / 2084 - 13,245sf) Upgrade 2084 - </t>
    </r>
    <r>
      <rPr>
        <b/>
        <sz val="11"/>
        <color theme="1"/>
        <rFont val="Arial"/>
        <family val="2"/>
      </rPr>
      <t>Construction</t>
    </r>
  </si>
  <si>
    <r>
      <t xml:space="preserve">Madigan Child Development Center, Back Up Power - Bldg 6995 - </t>
    </r>
    <r>
      <rPr>
        <b/>
        <sz val="11"/>
        <color theme="1"/>
        <rFont val="Arial"/>
        <family val="2"/>
      </rPr>
      <t>Construction</t>
    </r>
  </si>
  <si>
    <r>
      <t xml:space="preserve">McChord Child Development Center(s), Back Up Power - Bldg J00578 - </t>
    </r>
    <r>
      <rPr>
        <b/>
        <sz val="11"/>
        <color theme="1"/>
        <rFont val="Arial"/>
        <family val="2"/>
      </rPr>
      <t>Construction</t>
    </r>
  </si>
  <si>
    <r>
      <t xml:space="preserve">McChord Child Development Center(s), Back Up Power - Bldg J00580 - </t>
    </r>
    <r>
      <rPr>
        <b/>
        <sz val="11"/>
        <color theme="1"/>
        <rFont val="Arial"/>
        <family val="2"/>
      </rPr>
      <t>Construction</t>
    </r>
  </si>
  <si>
    <r>
      <t xml:space="preserve">I Corps JDOC Phase II (2090 - 10,672sf / 2090 - 13,245sf) Upgrade 2090 - </t>
    </r>
    <r>
      <rPr>
        <b/>
        <sz val="11"/>
        <color theme="1"/>
        <rFont val="Arial"/>
        <family val="2"/>
      </rPr>
      <t>Construction</t>
    </r>
  </si>
  <si>
    <r>
      <t xml:space="preserve">I Corps JDOC Phase II (2090 - 10,672sf / 2090 - 13,245sf) Upgrade 2090 - </t>
    </r>
    <r>
      <rPr>
        <b/>
        <sz val="11"/>
        <color theme="1"/>
        <rFont val="Arial"/>
        <family val="2"/>
      </rPr>
      <t>Repair</t>
    </r>
  </si>
  <si>
    <r>
      <t xml:space="preserve">I Corps JDOC Phase II - Security Fence - </t>
    </r>
    <r>
      <rPr>
        <b/>
        <sz val="11"/>
        <color theme="1"/>
        <rFont val="Arial"/>
        <family val="2"/>
      </rPr>
      <t>Construction</t>
    </r>
  </si>
  <si>
    <r>
      <t xml:space="preserve">Construct SPRC (18.654 SF - 1 MDTF) - </t>
    </r>
    <r>
      <rPr>
        <b/>
        <sz val="11"/>
        <color theme="1"/>
        <rFont val="Arial"/>
        <family val="2"/>
      </rPr>
      <t>Construction</t>
    </r>
  </si>
  <si>
    <r>
      <t xml:space="preserve">Convert Company HQs to SPRC Buidling 3168 (1 MDTF) - </t>
    </r>
    <r>
      <rPr>
        <b/>
        <sz val="11"/>
        <color theme="1"/>
        <rFont val="Arial"/>
        <family val="2"/>
      </rPr>
      <t>Repair</t>
    </r>
  </si>
  <si>
    <r>
      <t xml:space="preserve">Construct SPRC (18.654 SF - 2-2 SBCT) - </t>
    </r>
    <r>
      <rPr>
        <b/>
        <sz val="11"/>
        <color theme="1"/>
        <rFont val="Arial"/>
        <family val="2"/>
      </rPr>
      <t>Construction</t>
    </r>
  </si>
  <si>
    <r>
      <t xml:space="preserve">Convert Company HQs to Soldier Performance Readiness Center (SPRC) Buidling 11371 (2-2 SBCT) - </t>
    </r>
    <r>
      <rPr>
        <b/>
        <sz val="11"/>
        <color theme="1"/>
        <rFont val="Arial"/>
        <family val="2"/>
      </rPr>
      <t>Repair</t>
    </r>
  </si>
  <si>
    <r>
      <t xml:space="preserve">Repair JBLM Railhead - </t>
    </r>
    <r>
      <rPr>
        <b/>
        <sz val="11"/>
        <color theme="1"/>
        <rFont val="Arial"/>
        <family val="2"/>
      </rPr>
      <t>Repair</t>
    </r>
  </si>
  <si>
    <r>
      <t xml:space="preserve">Repair Taxiway D, McChord Field - </t>
    </r>
    <r>
      <rPr>
        <b/>
        <sz val="11"/>
        <color theme="1"/>
        <rFont val="Arial"/>
        <family val="2"/>
      </rPr>
      <t>Repair</t>
    </r>
  </si>
  <si>
    <r>
      <t xml:space="preserve">Repair Taxiway H, McChord Field J15002 (95,000 SY) - </t>
    </r>
    <r>
      <rPr>
        <b/>
        <sz val="11"/>
        <color theme="1"/>
        <rFont val="Arial"/>
        <family val="2"/>
      </rPr>
      <t>Repair</t>
    </r>
  </si>
  <si>
    <r>
      <t xml:space="preserve">McChord Runway Lighting Overt/Covert (NSF) - </t>
    </r>
    <r>
      <rPr>
        <b/>
        <sz val="11"/>
        <color theme="1"/>
        <rFont val="Arial"/>
        <family val="2"/>
      </rPr>
      <t>Repair</t>
    </r>
  </si>
  <si>
    <r>
      <t xml:space="preserve">Repair HVAC McChord Field Air Traffic Control Tower (Tower 2,325 sf) - </t>
    </r>
    <r>
      <rPr>
        <b/>
        <sz val="11"/>
        <color theme="1"/>
        <rFont val="Arial"/>
        <family val="2"/>
      </rPr>
      <t>Repair</t>
    </r>
  </si>
  <si>
    <r>
      <t xml:space="preserve">Replace HVAC &amp; Controls 446th AW Ops Facility (10,899 sf) - </t>
    </r>
    <r>
      <rPr>
        <b/>
        <sz val="11"/>
        <color theme="1"/>
        <rFont val="Arial"/>
        <family val="2"/>
      </rPr>
      <t>Repair</t>
    </r>
  </si>
  <si>
    <r>
      <t xml:space="preserve">Groove McChord Field Main Runway, J16001 - </t>
    </r>
    <r>
      <rPr>
        <b/>
        <sz val="11"/>
        <color theme="1"/>
        <rFont val="Arial"/>
        <family val="2"/>
      </rPr>
      <t>Repair</t>
    </r>
  </si>
  <si>
    <r>
      <t xml:space="preserve">Rng 76, 30mm Gunnery (NSF) - </t>
    </r>
    <r>
      <rPr>
        <b/>
        <sz val="11"/>
        <color theme="1"/>
        <rFont val="Arial"/>
        <family val="2"/>
      </rPr>
      <t>Construction</t>
    </r>
  </si>
  <si>
    <r>
      <t xml:space="preserve">Multi-Domain Operations Training Area (7 acres, Training Area 20) - </t>
    </r>
    <r>
      <rPr>
        <b/>
        <sz val="11"/>
        <color theme="1"/>
        <rFont val="Arial"/>
        <family val="2"/>
      </rPr>
      <t>Construction</t>
    </r>
  </si>
  <si>
    <r>
      <t xml:space="preserve">MDC-PAC Modular SCIF - </t>
    </r>
    <r>
      <rPr>
        <b/>
        <sz val="11"/>
        <color theme="1"/>
        <rFont val="Arial"/>
        <family val="2"/>
      </rPr>
      <t>Construction</t>
    </r>
  </si>
  <si>
    <r>
      <t xml:space="preserve">McChord Airfield Security Projects (NSF) AF privacy slats - </t>
    </r>
    <r>
      <rPr>
        <b/>
        <sz val="11"/>
        <color theme="1"/>
        <rFont val="Arial"/>
        <family val="2"/>
      </rPr>
      <t>Construction</t>
    </r>
  </si>
  <si>
    <r>
      <t xml:space="preserve">McChord Airfield Security Projects (NSF) Clear vegetation - </t>
    </r>
    <r>
      <rPr>
        <b/>
        <sz val="11"/>
        <color theme="1"/>
        <rFont val="Arial"/>
        <family val="2"/>
      </rPr>
      <t>Repair</t>
    </r>
  </si>
  <si>
    <r>
      <t xml:space="preserve">McChord Airfield Security Projects (NSF) Anti-vehicle barriers - </t>
    </r>
    <r>
      <rPr>
        <b/>
        <sz val="11"/>
        <color theme="1"/>
        <rFont val="Arial"/>
        <family val="2"/>
      </rPr>
      <t>Construction</t>
    </r>
  </si>
  <si>
    <r>
      <t xml:space="preserve">McChord Airfield Security Projects (NSF) 55 cipher locks - </t>
    </r>
    <r>
      <rPr>
        <b/>
        <sz val="11"/>
        <color theme="1"/>
        <rFont val="Arial"/>
        <family val="2"/>
      </rPr>
      <t>Construction</t>
    </r>
  </si>
  <si>
    <t>FORGE TOTAL</t>
  </si>
  <si>
    <t>CLIN 0001 Total</t>
  </si>
  <si>
    <t>CLIN 0002 Total</t>
  </si>
  <si>
    <t>CLIN 0003 Total</t>
  </si>
  <si>
    <t>CLIN 0004 Total</t>
  </si>
  <si>
    <t>CLIN 0005 Total</t>
  </si>
  <si>
    <t>CLIN 0006 Total</t>
  </si>
  <si>
    <t>CLIN 0007 Total</t>
  </si>
  <si>
    <t>CLIN 0008 Total</t>
  </si>
  <si>
    <t>CLIN 0009 Total</t>
  </si>
  <si>
    <t>CLIN 0010 Total</t>
  </si>
  <si>
    <t>CLIN 0011 Total</t>
  </si>
  <si>
    <t>CLIN 0012 Total</t>
  </si>
  <si>
    <t>CLIN 0013 Total</t>
  </si>
  <si>
    <t>CLIN 0014 Total</t>
  </si>
  <si>
    <t>CLIN 0015 Total</t>
  </si>
  <si>
    <t>CLIN 0016 Total</t>
  </si>
  <si>
    <t>CLIN 0017 Total</t>
  </si>
  <si>
    <t>CLIN 0018 Total</t>
  </si>
  <si>
    <t>CLIN 0019 Total</t>
  </si>
  <si>
    <t>001708</t>
  </si>
  <si>
    <t>001709</t>
  </si>
  <si>
    <t xml:space="preserve">Title </t>
  </si>
  <si>
    <r>
      <t xml:space="preserve">Replace Barracks 3413 &amp; 3414 - </t>
    </r>
    <r>
      <rPr>
        <b/>
        <sz val="11"/>
        <color theme="1"/>
        <rFont val="Arial"/>
        <family val="2"/>
      </rPr>
      <t>Repair</t>
    </r>
  </si>
  <si>
    <r>
      <t xml:space="preserve">Replace Barracks 3413 &amp; 3414 </t>
    </r>
    <r>
      <rPr>
        <b/>
        <sz val="11"/>
        <color theme="1"/>
        <rFont val="Arial"/>
        <family val="2"/>
      </rPr>
      <t>- FF&amp;E</t>
    </r>
  </si>
  <si>
    <r>
      <t xml:space="preserve">Replace Barracks 3413 &amp; 3414 </t>
    </r>
    <r>
      <rPr>
        <b/>
        <sz val="11"/>
        <color theme="1"/>
        <rFont val="Arial"/>
        <family val="2"/>
      </rPr>
      <t>- Comms</t>
    </r>
  </si>
  <si>
    <t>Replace Barracks 3413 &amp; 3414 (300 spaces)</t>
  </si>
  <si>
    <t>FFP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</si>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</sst>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 readingOrder="1"/>
    </xf>
    <xf numFmtId="0" fontId="3" fillId="0" borderId="2" xfId="2" applyFont="1" applyBorder="1" applyAlignment="1">
      <alignment horizontal="left" vertical="center" wrapText="1" readingOrder="1"/>
    </xf>
    <xf numFmtId="0" fontId="3" fillId="0" borderId="3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0" fillId="0" borderId="1" xfId="1" applyFont="1" applyBorder="1"/>
    <xf numFmtId="44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44" fontId="3" fillId="0" borderId="1" xfId="1" applyFont="1" applyBorder="1" applyAlignment="1">
      <alignment horizontal="left" vertical="center" wrapText="1" readingOrder="1"/>
    </xf>
    <xf numFmtId="44" fontId="3" fillId="0" borderId="1" xfId="1" applyFont="1" applyBorder="1" applyAlignment="1">
      <alignment horizontal="left" vertical="center" wrapText="1"/>
    </xf>
    <xf numFmtId="44" fontId="3" fillId="0" borderId="1" xfId="1" applyFont="1" applyBorder="1" applyAlignment="1">
      <alignment horizontal="left" vertical="center"/>
    </xf>
    <xf numFmtId="44" fontId="3" fillId="0" borderId="2" xfId="1" applyFont="1" applyBorder="1" applyAlignment="1">
      <alignment horizontal="left" vertical="center" wrapText="1"/>
    </xf>
    <xf numFmtId="44" fontId="3" fillId="0" borderId="2" xfId="1" applyFont="1" applyBorder="1" applyAlignment="1">
      <alignment horizontal="left" vertical="center" wrapText="1" readingOrder="1"/>
    </xf>
    <xf numFmtId="44" fontId="5" fillId="4" borderId="1" xfId="0" applyNumberFormat="1" applyFont="1" applyFill="1" applyBorder="1" applyAlignment="1">
      <alignment horizontal="right"/>
    </xf>
    <xf numFmtId="44" fontId="5" fillId="4" borderId="1" xfId="0" applyNumberFormat="1" applyFont="1" applyFill="1" applyBorder="1"/>
    <xf numFmtId="44" fontId="5" fillId="3" borderId="1" xfId="1" applyFont="1" applyFill="1" applyBorder="1"/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 readingOrder="1"/>
    </xf>
    <xf numFmtId="0" fontId="3" fillId="0" borderId="3" xfId="2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center" vertical="center"/>
    </xf>
    <xf numFmtId="49" fontId="3" fillId="0" borderId="5" xfId="0" quotePrefix="1" applyNumberFormat="1" applyFont="1" applyBorder="1" applyAlignment="1">
      <alignment horizontal="center" vertical="center"/>
    </xf>
    <xf numFmtId="49" fontId="3" fillId="0" borderId="3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49" fontId="2" fillId="3" borderId="6" xfId="0" quotePrefix="1" applyNumberFormat="1" applyFont="1" applyFill="1" applyBorder="1" applyAlignment="1">
      <alignment horizontal="right" vertical="center"/>
    </xf>
    <xf numFmtId="49" fontId="2" fillId="3" borderId="7" xfId="0" quotePrefix="1" applyNumberFormat="1" applyFont="1" applyFill="1" applyBorder="1" applyAlignment="1">
      <alignment horizontal="right" vertical="center"/>
    </xf>
    <xf numFmtId="49" fontId="2" fillId="3" borderId="8" xfId="0" quotePrefix="1" applyNumberFormat="1" applyFont="1" applyFill="1" applyBorder="1" applyAlignment="1">
      <alignment horizontal="right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 2" xfId="2" xr:uid="{0409852B-C553-465D-9416-EB6E179B04B5}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ABAC-1935-45DC-AA0F-022AFCF1FF71}">
  <sheetPr>
    <pageSetUpPr fitToPage="1"/>
  </sheetPr>
  <dimension ref="B3:D28"/>
  <sheetViews>
    <sheetView workbookViewId="0">
      <selection activeCell="D5" sqref="D5"/>
    </sheetView>
  </sheetViews>
  <sheetFormatPr defaultRowHeight="15" x14ac:dyDescent="0.25"/>
  <cols>
    <col min="2" max="2" width="9.7109375" bestFit="1" customWidth="1"/>
    <col min="3" max="3" width="19.28515625" bestFit="1" customWidth="1"/>
    <col min="4" max="4" width="100.7109375" customWidth="1"/>
  </cols>
  <sheetData>
    <row r="3" spans="2:4" x14ac:dyDescent="0.25">
      <c r="B3" s="1" t="s">
        <v>106</v>
      </c>
      <c r="C3" s="2" t="s">
        <v>2</v>
      </c>
      <c r="D3" s="17" t="s">
        <v>108</v>
      </c>
    </row>
    <row r="4" spans="2:4" ht="28.5" x14ac:dyDescent="0.25">
      <c r="B4" s="8">
        <v>1</v>
      </c>
      <c r="C4" s="5" t="s">
        <v>57</v>
      </c>
      <c r="D4" s="9" t="s">
        <v>163</v>
      </c>
    </row>
    <row r="5" spans="2:4" x14ac:dyDescent="0.25">
      <c r="B5" s="8">
        <v>2</v>
      </c>
      <c r="C5" s="4" t="s">
        <v>5</v>
      </c>
      <c r="D5" s="5" t="s">
        <v>107</v>
      </c>
    </row>
    <row r="6" spans="2:4" x14ac:dyDescent="0.25">
      <c r="B6" s="8">
        <v>3</v>
      </c>
      <c r="C6" s="4" t="s">
        <v>7</v>
      </c>
      <c r="D6" s="4" t="s">
        <v>8</v>
      </c>
    </row>
    <row r="7" spans="2:4" x14ac:dyDescent="0.25">
      <c r="B7" s="8">
        <v>4</v>
      </c>
      <c r="C7" s="5" t="s">
        <v>10</v>
      </c>
      <c r="D7" s="5" t="s">
        <v>11</v>
      </c>
    </row>
    <row r="8" spans="2:4" x14ac:dyDescent="0.25">
      <c r="B8" s="27">
        <v>5</v>
      </c>
      <c r="C8" s="7" t="s">
        <v>14</v>
      </c>
      <c r="D8" s="7" t="s">
        <v>15</v>
      </c>
    </row>
    <row r="9" spans="2:4" x14ac:dyDescent="0.25">
      <c r="B9" s="27"/>
      <c r="C9" s="7" t="s">
        <v>17</v>
      </c>
      <c r="D9" s="7" t="s">
        <v>18</v>
      </c>
    </row>
    <row r="10" spans="2:4" x14ac:dyDescent="0.25">
      <c r="B10" s="27"/>
      <c r="C10" s="7" t="s">
        <v>19</v>
      </c>
      <c r="D10" s="7" t="s">
        <v>20</v>
      </c>
    </row>
    <row r="11" spans="2:4" x14ac:dyDescent="0.25">
      <c r="B11" s="27"/>
      <c r="C11" s="7" t="s">
        <v>21</v>
      </c>
      <c r="D11" s="7" t="s">
        <v>22</v>
      </c>
    </row>
    <row r="12" spans="2:4" x14ac:dyDescent="0.25">
      <c r="B12" s="8">
        <v>6</v>
      </c>
      <c r="C12" s="9" t="s">
        <v>24</v>
      </c>
      <c r="D12" s="9" t="s">
        <v>25</v>
      </c>
    </row>
    <row r="13" spans="2:4" x14ac:dyDescent="0.25">
      <c r="B13" s="8">
        <v>7</v>
      </c>
      <c r="C13" s="5" t="s">
        <v>27</v>
      </c>
      <c r="D13" s="5" t="s">
        <v>28</v>
      </c>
    </row>
    <row r="14" spans="2:4" x14ac:dyDescent="0.25">
      <c r="B14" s="8">
        <v>8</v>
      </c>
      <c r="C14" s="9" t="s">
        <v>30</v>
      </c>
      <c r="D14" s="4" t="s">
        <v>31</v>
      </c>
    </row>
    <row r="15" spans="2:4" x14ac:dyDescent="0.25">
      <c r="B15" s="8">
        <v>9</v>
      </c>
      <c r="C15" s="5" t="s">
        <v>33</v>
      </c>
      <c r="D15" s="5" t="s">
        <v>34</v>
      </c>
    </row>
    <row r="16" spans="2:4" x14ac:dyDescent="0.25">
      <c r="B16" s="8">
        <v>10</v>
      </c>
      <c r="C16" s="4" t="s">
        <v>36</v>
      </c>
      <c r="D16" s="4" t="s">
        <v>37</v>
      </c>
    </row>
    <row r="17" spans="2:4" x14ac:dyDescent="0.25">
      <c r="B17" s="8">
        <v>11</v>
      </c>
      <c r="C17" s="4" t="s">
        <v>39</v>
      </c>
      <c r="D17" s="4" t="s">
        <v>40</v>
      </c>
    </row>
    <row r="18" spans="2:4" ht="28.5" x14ac:dyDescent="0.25">
      <c r="B18" s="8">
        <v>12</v>
      </c>
      <c r="C18" s="10" t="s">
        <v>42</v>
      </c>
      <c r="D18" s="10" t="s">
        <v>43</v>
      </c>
    </row>
    <row r="19" spans="2:4" x14ac:dyDescent="0.25">
      <c r="B19" s="8">
        <v>13</v>
      </c>
      <c r="C19" s="10" t="s">
        <v>45</v>
      </c>
      <c r="D19" s="10" t="s">
        <v>46</v>
      </c>
    </row>
    <row r="20" spans="2:4" x14ac:dyDescent="0.25">
      <c r="B20" s="8">
        <v>14</v>
      </c>
      <c r="C20" s="10" t="s">
        <v>48</v>
      </c>
      <c r="D20" s="5" t="s">
        <v>49</v>
      </c>
    </row>
    <row r="21" spans="2:4" x14ac:dyDescent="0.25">
      <c r="B21" s="8">
        <v>15</v>
      </c>
      <c r="C21" s="5" t="s">
        <v>51</v>
      </c>
      <c r="D21" s="10" t="s">
        <v>52</v>
      </c>
    </row>
    <row r="22" spans="2:4" x14ac:dyDescent="0.25">
      <c r="B22" s="8">
        <v>16</v>
      </c>
      <c r="C22" s="10" t="s">
        <v>54</v>
      </c>
      <c r="D22" s="5" t="s">
        <v>55</v>
      </c>
    </row>
    <row r="23" spans="2:4" x14ac:dyDescent="0.25">
      <c r="B23" s="28">
        <v>17</v>
      </c>
      <c r="C23" s="5" t="s">
        <v>71</v>
      </c>
      <c r="D23" s="5" t="s">
        <v>72</v>
      </c>
    </row>
    <row r="24" spans="2:4" x14ac:dyDescent="0.25">
      <c r="B24" s="29"/>
      <c r="C24" s="5" t="s">
        <v>68</v>
      </c>
      <c r="D24" s="5" t="s">
        <v>69</v>
      </c>
    </row>
    <row r="25" spans="2:4" x14ac:dyDescent="0.25">
      <c r="B25" s="30"/>
      <c r="C25" s="5" t="s">
        <v>73</v>
      </c>
      <c r="D25" s="5" t="s">
        <v>74</v>
      </c>
    </row>
    <row r="26" spans="2:4" x14ac:dyDescent="0.25">
      <c r="B26" s="8">
        <v>18</v>
      </c>
      <c r="C26" s="4" t="s">
        <v>59</v>
      </c>
      <c r="D26" s="5" t="s">
        <v>60</v>
      </c>
    </row>
    <row r="27" spans="2:4" x14ac:dyDescent="0.25">
      <c r="B27" s="28">
        <v>19</v>
      </c>
      <c r="C27" s="5" t="s">
        <v>62</v>
      </c>
      <c r="D27" s="5" t="s">
        <v>63</v>
      </c>
    </row>
    <row r="28" spans="2:4" x14ac:dyDescent="0.25">
      <c r="B28" s="30"/>
      <c r="C28" s="4" t="s">
        <v>64</v>
      </c>
      <c r="D28" s="5" t="s">
        <v>65</v>
      </c>
    </row>
  </sheetData>
  <mergeCells count="3">
    <mergeCell ref="B8:B11"/>
    <mergeCell ref="B23:B25"/>
    <mergeCell ref="B27:B28"/>
  </mergeCells>
  <conditionalFormatting sqref="C28">
    <cfRule type="colorScale" priority="1">
      <colorScale>
        <cfvo type="min"/>
        <cfvo type="max"/>
        <color rgb="FFFF7128"/>
        <color rgb="FFFFEF9C"/>
      </colorScale>
    </cfRule>
    <cfRule type="cellIs" dxfId="1" priority="2" operator="equal">
      <formula>"Y"</formula>
    </cfRule>
  </conditionalFormatting>
  <pageMargins left="0.7" right="0.7" top="0.75" bottom="0.75" header="0.3" footer="0.3"/>
  <pageSetup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1CDA-AB8C-4E3D-87B2-A4224ACE20B3}">
  <sheetPr>
    <pageSetUpPr fitToPage="1"/>
  </sheetPr>
  <dimension ref="B2:N61"/>
  <sheetViews>
    <sheetView tabSelected="1" workbookViewId="0">
      <selection activeCell="K8" sqref="K8"/>
    </sheetView>
  </sheetViews>
  <sheetFormatPr defaultRowHeight="15" x14ac:dyDescent="0.25"/>
  <cols>
    <col min="2" max="2" width="6" bestFit="1" customWidth="1"/>
    <col min="3" max="3" width="6" customWidth="1"/>
    <col min="4" max="4" width="10.7109375" bestFit="1" customWidth="1"/>
    <col min="5" max="5" width="19.28515625" bestFit="1" customWidth="1"/>
    <col min="6" max="6" width="106.140625" customWidth="1"/>
    <col min="7" max="7" width="22.28515625" customWidth="1"/>
    <col min="8" max="8" width="29" customWidth="1"/>
    <col min="9" max="9" width="16.85546875" bestFit="1" customWidth="1"/>
  </cols>
  <sheetData>
    <row r="2" spans="2:9" x14ac:dyDescent="0.25">
      <c r="H2" s="12"/>
    </row>
    <row r="3" spans="2:9" x14ac:dyDescent="0.25">
      <c r="B3" s="13" t="s">
        <v>0</v>
      </c>
      <c r="C3" s="13" t="s">
        <v>165</v>
      </c>
      <c r="D3" s="13" t="s">
        <v>1</v>
      </c>
      <c r="E3" s="13" t="s">
        <v>2</v>
      </c>
      <c r="F3" s="13" t="s">
        <v>159</v>
      </c>
      <c r="G3" s="13" t="s">
        <v>109</v>
      </c>
      <c r="H3" s="13" t="s">
        <v>110</v>
      </c>
      <c r="I3" s="14" t="s">
        <v>3</v>
      </c>
    </row>
    <row r="4" spans="2:9" x14ac:dyDescent="0.25">
      <c r="B4" s="36" t="s">
        <v>4</v>
      </c>
      <c r="C4" s="36" t="s">
        <v>164</v>
      </c>
      <c r="D4" s="3" t="s">
        <v>91</v>
      </c>
      <c r="E4" s="33" t="s">
        <v>57</v>
      </c>
      <c r="F4" s="9" t="s">
        <v>160</v>
      </c>
      <c r="G4" s="18"/>
      <c r="H4" s="18"/>
      <c r="I4" s="15">
        <f>SUM(G4:H4)</f>
        <v>0</v>
      </c>
    </row>
    <row r="5" spans="2:9" x14ac:dyDescent="0.25">
      <c r="B5" s="37"/>
      <c r="C5" s="37"/>
      <c r="D5" s="3" t="s">
        <v>92</v>
      </c>
      <c r="E5" s="35"/>
      <c r="F5" s="9" t="s">
        <v>161</v>
      </c>
      <c r="G5" s="18"/>
      <c r="H5" s="18"/>
      <c r="I5" s="15">
        <f t="shared" ref="I5:I59" si="0">SUM(G5:H5)</f>
        <v>0</v>
      </c>
    </row>
    <row r="6" spans="2:9" x14ac:dyDescent="0.25">
      <c r="B6" s="38"/>
      <c r="C6" s="38"/>
      <c r="D6" s="3" t="s">
        <v>93</v>
      </c>
      <c r="E6" s="34"/>
      <c r="F6" s="9" t="s">
        <v>162</v>
      </c>
      <c r="G6" s="18"/>
      <c r="H6" s="18"/>
      <c r="I6" s="15">
        <f t="shared" si="0"/>
        <v>0</v>
      </c>
    </row>
    <row r="7" spans="2:9" x14ac:dyDescent="0.25">
      <c r="B7" s="41" t="s">
        <v>138</v>
      </c>
      <c r="C7" s="42"/>
      <c r="D7" s="42"/>
      <c r="E7" s="42"/>
      <c r="F7" s="42"/>
      <c r="G7" s="42"/>
      <c r="H7" s="43"/>
      <c r="I7" s="25">
        <f>SUM(I4:I6)</f>
        <v>0</v>
      </c>
    </row>
    <row r="8" spans="2:9" x14ac:dyDescent="0.25">
      <c r="B8" s="3" t="s">
        <v>6</v>
      </c>
      <c r="C8" s="3" t="s">
        <v>164</v>
      </c>
      <c r="D8" s="3"/>
      <c r="E8" s="4" t="s">
        <v>5</v>
      </c>
      <c r="F8" s="5" t="s">
        <v>131</v>
      </c>
      <c r="G8" s="19"/>
      <c r="H8" s="19"/>
      <c r="I8" s="15">
        <f t="shared" si="0"/>
        <v>0</v>
      </c>
    </row>
    <row r="9" spans="2:9" x14ac:dyDescent="0.25">
      <c r="B9" s="41" t="s">
        <v>139</v>
      </c>
      <c r="C9" s="42"/>
      <c r="D9" s="42"/>
      <c r="E9" s="42"/>
      <c r="F9" s="42"/>
      <c r="G9" s="42"/>
      <c r="H9" s="43"/>
      <c r="I9" s="25">
        <f>SUM(I8)</f>
        <v>0</v>
      </c>
    </row>
    <row r="10" spans="2:9" x14ac:dyDescent="0.25">
      <c r="B10" s="3" t="s">
        <v>9</v>
      </c>
      <c r="C10" s="3" t="s">
        <v>164</v>
      </c>
      <c r="D10" s="3"/>
      <c r="E10" s="4" t="s">
        <v>7</v>
      </c>
      <c r="F10" s="4" t="s">
        <v>130</v>
      </c>
      <c r="G10" s="20"/>
      <c r="H10" s="20"/>
      <c r="I10" s="15">
        <f t="shared" si="0"/>
        <v>0</v>
      </c>
    </row>
    <row r="11" spans="2:9" x14ac:dyDescent="0.25">
      <c r="B11" s="41" t="s">
        <v>140</v>
      </c>
      <c r="C11" s="42"/>
      <c r="D11" s="42"/>
      <c r="E11" s="42"/>
      <c r="F11" s="42"/>
      <c r="G11" s="42"/>
      <c r="H11" s="43"/>
      <c r="I11" s="25">
        <f>SUM(I10)</f>
        <v>0</v>
      </c>
    </row>
    <row r="12" spans="2:9" x14ac:dyDescent="0.25">
      <c r="B12" s="39" t="s">
        <v>12</v>
      </c>
      <c r="C12" s="39" t="s">
        <v>164</v>
      </c>
      <c r="D12" s="3" t="s">
        <v>13</v>
      </c>
      <c r="E12" s="33" t="s">
        <v>10</v>
      </c>
      <c r="F12" s="5" t="s">
        <v>132</v>
      </c>
      <c r="G12" s="19"/>
      <c r="H12" s="19"/>
      <c r="I12" s="15">
        <f t="shared" si="0"/>
        <v>0</v>
      </c>
    </row>
    <row r="13" spans="2:9" x14ac:dyDescent="0.25">
      <c r="B13" s="40"/>
      <c r="C13" s="40"/>
      <c r="D13" s="3" t="s">
        <v>16</v>
      </c>
      <c r="E13" s="34"/>
      <c r="F13" s="5" t="s">
        <v>89</v>
      </c>
      <c r="G13" s="21"/>
      <c r="H13" s="21"/>
      <c r="I13" s="15">
        <f t="shared" si="0"/>
        <v>0</v>
      </c>
    </row>
    <row r="14" spans="2:9" x14ac:dyDescent="0.25">
      <c r="B14" s="41" t="s">
        <v>141</v>
      </c>
      <c r="C14" s="42"/>
      <c r="D14" s="42"/>
      <c r="E14" s="42"/>
      <c r="F14" s="42"/>
      <c r="G14" s="42"/>
      <c r="H14" s="43"/>
      <c r="I14" s="25">
        <f>SUM(I12:I13)</f>
        <v>0</v>
      </c>
    </row>
    <row r="15" spans="2:9" x14ac:dyDescent="0.25">
      <c r="B15" s="45" t="s">
        <v>23</v>
      </c>
      <c r="C15" s="39" t="s">
        <v>164</v>
      </c>
      <c r="D15" s="6" t="s">
        <v>94</v>
      </c>
      <c r="E15" s="7" t="s">
        <v>14</v>
      </c>
      <c r="F15" s="7" t="s">
        <v>136</v>
      </c>
      <c r="G15" s="21"/>
      <c r="H15" s="21"/>
      <c r="I15" s="15">
        <f t="shared" si="0"/>
        <v>0</v>
      </c>
    </row>
    <row r="16" spans="2:9" x14ac:dyDescent="0.25">
      <c r="B16" s="27"/>
      <c r="C16" s="44"/>
      <c r="D16" s="6" t="s">
        <v>95</v>
      </c>
      <c r="E16" s="7" t="s">
        <v>17</v>
      </c>
      <c r="F16" s="7" t="s">
        <v>135</v>
      </c>
      <c r="G16" s="21"/>
      <c r="H16" s="21"/>
      <c r="I16" s="15">
        <f t="shared" si="0"/>
        <v>0</v>
      </c>
    </row>
    <row r="17" spans="2:9" x14ac:dyDescent="0.25">
      <c r="B17" s="27"/>
      <c r="C17" s="44"/>
      <c r="D17" s="6" t="s">
        <v>96</v>
      </c>
      <c r="E17" s="7" t="s">
        <v>19</v>
      </c>
      <c r="F17" s="7" t="s">
        <v>134</v>
      </c>
      <c r="G17" s="21"/>
      <c r="H17" s="21"/>
      <c r="I17" s="15">
        <f t="shared" si="0"/>
        <v>0</v>
      </c>
    </row>
    <row r="18" spans="2:9" x14ac:dyDescent="0.25">
      <c r="B18" s="27"/>
      <c r="C18" s="40"/>
      <c r="D18" s="6" t="s">
        <v>97</v>
      </c>
      <c r="E18" s="7" t="s">
        <v>21</v>
      </c>
      <c r="F18" s="7" t="s">
        <v>133</v>
      </c>
      <c r="G18" s="21"/>
      <c r="H18" s="21"/>
      <c r="I18" s="15">
        <f t="shared" si="0"/>
        <v>0</v>
      </c>
    </row>
    <row r="19" spans="2:9" x14ac:dyDescent="0.25">
      <c r="B19" s="41" t="s">
        <v>142</v>
      </c>
      <c r="C19" s="42"/>
      <c r="D19" s="42"/>
      <c r="E19" s="42"/>
      <c r="F19" s="42"/>
      <c r="G19" s="42"/>
      <c r="H19" s="43"/>
      <c r="I19" s="25">
        <f>SUM(I15:I18)</f>
        <v>0</v>
      </c>
    </row>
    <row r="20" spans="2:9" x14ac:dyDescent="0.25">
      <c r="B20" s="3" t="s">
        <v>26</v>
      </c>
      <c r="C20" s="3" t="s">
        <v>164</v>
      </c>
      <c r="D20" s="3"/>
      <c r="E20" s="9" t="s">
        <v>24</v>
      </c>
      <c r="F20" s="9" t="s">
        <v>128</v>
      </c>
      <c r="G20" s="18"/>
      <c r="H20" s="18"/>
      <c r="I20" s="15">
        <f t="shared" si="0"/>
        <v>0</v>
      </c>
    </row>
    <row r="21" spans="2:9" x14ac:dyDescent="0.25">
      <c r="B21" s="41" t="s">
        <v>143</v>
      </c>
      <c r="C21" s="42"/>
      <c r="D21" s="42"/>
      <c r="E21" s="42"/>
      <c r="F21" s="42"/>
      <c r="G21" s="42"/>
      <c r="H21" s="43"/>
      <c r="I21" s="25">
        <f>SUM(I20)</f>
        <v>0</v>
      </c>
    </row>
    <row r="22" spans="2:9" x14ac:dyDescent="0.25">
      <c r="B22" s="3" t="s">
        <v>29</v>
      </c>
      <c r="C22" s="3" t="s">
        <v>164</v>
      </c>
      <c r="D22" s="3"/>
      <c r="E22" s="5" t="s">
        <v>27</v>
      </c>
      <c r="F22" s="5" t="s">
        <v>127</v>
      </c>
      <c r="G22" s="19"/>
      <c r="H22" s="19"/>
      <c r="I22" s="15">
        <f t="shared" si="0"/>
        <v>0</v>
      </c>
    </row>
    <row r="23" spans="2:9" x14ac:dyDescent="0.25">
      <c r="B23" s="41" t="s">
        <v>144</v>
      </c>
      <c r="C23" s="42"/>
      <c r="D23" s="42"/>
      <c r="E23" s="42"/>
      <c r="F23" s="42"/>
      <c r="G23" s="42"/>
      <c r="H23" s="43"/>
      <c r="I23" s="25">
        <f>SUM(I22)</f>
        <v>0</v>
      </c>
    </row>
    <row r="24" spans="2:9" x14ac:dyDescent="0.25">
      <c r="B24" s="3" t="s">
        <v>32</v>
      </c>
      <c r="C24" s="3" t="s">
        <v>164</v>
      </c>
      <c r="D24" s="3"/>
      <c r="E24" s="9" t="s">
        <v>30</v>
      </c>
      <c r="F24" s="4" t="s">
        <v>126</v>
      </c>
      <c r="G24" s="20"/>
      <c r="H24" s="20"/>
      <c r="I24" s="15">
        <f t="shared" si="0"/>
        <v>0</v>
      </c>
    </row>
    <row r="25" spans="2:9" x14ac:dyDescent="0.25">
      <c r="B25" s="41" t="s">
        <v>145</v>
      </c>
      <c r="C25" s="42"/>
      <c r="D25" s="42"/>
      <c r="E25" s="42"/>
      <c r="F25" s="42"/>
      <c r="G25" s="42"/>
      <c r="H25" s="43"/>
      <c r="I25" s="25">
        <f>SUM(I24)</f>
        <v>0</v>
      </c>
    </row>
    <row r="26" spans="2:9" x14ac:dyDescent="0.25">
      <c r="B26" s="3" t="s">
        <v>35</v>
      </c>
      <c r="C26" s="3" t="s">
        <v>164</v>
      </c>
      <c r="D26" s="3"/>
      <c r="E26" s="5" t="s">
        <v>33</v>
      </c>
      <c r="F26" s="5" t="s">
        <v>125</v>
      </c>
      <c r="G26" s="19"/>
      <c r="H26" s="19"/>
      <c r="I26" s="15">
        <f t="shared" si="0"/>
        <v>0</v>
      </c>
    </row>
    <row r="27" spans="2:9" x14ac:dyDescent="0.25">
      <c r="B27" s="41" t="s">
        <v>146</v>
      </c>
      <c r="C27" s="42"/>
      <c r="D27" s="42"/>
      <c r="E27" s="42"/>
      <c r="F27" s="42"/>
      <c r="G27" s="42"/>
      <c r="H27" s="43"/>
      <c r="I27" s="25">
        <f>SUM(I26)</f>
        <v>0</v>
      </c>
    </row>
    <row r="28" spans="2:9" x14ac:dyDescent="0.25">
      <c r="B28" s="3" t="s">
        <v>38</v>
      </c>
      <c r="C28" s="3" t="s">
        <v>164</v>
      </c>
      <c r="D28" s="3"/>
      <c r="E28" s="4" t="s">
        <v>36</v>
      </c>
      <c r="F28" s="4" t="s">
        <v>124</v>
      </c>
      <c r="G28" s="20"/>
      <c r="H28" s="20"/>
      <c r="I28" s="15">
        <f t="shared" si="0"/>
        <v>0</v>
      </c>
    </row>
    <row r="29" spans="2:9" x14ac:dyDescent="0.25">
      <c r="B29" s="41" t="s">
        <v>147</v>
      </c>
      <c r="C29" s="42"/>
      <c r="D29" s="42"/>
      <c r="E29" s="42"/>
      <c r="F29" s="42"/>
      <c r="G29" s="42"/>
      <c r="H29" s="43"/>
      <c r="I29" s="25">
        <f>SUM(I28)</f>
        <v>0</v>
      </c>
    </row>
    <row r="30" spans="2:9" x14ac:dyDescent="0.25">
      <c r="B30" s="3" t="s">
        <v>41</v>
      </c>
      <c r="C30" s="3" t="s">
        <v>164</v>
      </c>
      <c r="D30" s="3"/>
      <c r="E30" s="4" t="s">
        <v>39</v>
      </c>
      <c r="F30" s="4" t="s">
        <v>129</v>
      </c>
      <c r="G30" s="20"/>
      <c r="H30" s="20"/>
      <c r="I30" s="15">
        <f t="shared" si="0"/>
        <v>0</v>
      </c>
    </row>
    <row r="31" spans="2:9" x14ac:dyDescent="0.25">
      <c r="B31" s="41" t="s">
        <v>148</v>
      </c>
      <c r="C31" s="42"/>
      <c r="D31" s="42"/>
      <c r="E31" s="42"/>
      <c r="F31" s="42"/>
      <c r="G31" s="42"/>
      <c r="H31" s="43"/>
      <c r="I31" s="25">
        <f>SUM(I30)</f>
        <v>0</v>
      </c>
    </row>
    <row r="32" spans="2:9" ht="28.5" x14ac:dyDescent="0.25">
      <c r="B32" s="6" t="s">
        <v>44</v>
      </c>
      <c r="C32" s="3" t="s">
        <v>164</v>
      </c>
      <c r="D32" s="6"/>
      <c r="E32" s="10" t="s">
        <v>42</v>
      </c>
      <c r="F32" s="10" t="s">
        <v>123</v>
      </c>
      <c r="G32" s="22"/>
      <c r="H32" s="22"/>
      <c r="I32" s="15">
        <f t="shared" si="0"/>
        <v>0</v>
      </c>
    </row>
    <row r="33" spans="2:14" x14ac:dyDescent="0.25">
      <c r="B33" s="41" t="s">
        <v>149</v>
      </c>
      <c r="C33" s="42"/>
      <c r="D33" s="42"/>
      <c r="E33" s="42"/>
      <c r="F33" s="42"/>
      <c r="G33" s="42"/>
      <c r="H33" s="43"/>
      <c r="I33" s="25">
        <f>SUM(I32)</f>
        <v>0</v>
      </c>
    </row>
    <row r="34" spans="2:14" ht="29.25" x14ac:dyDescent="0.25">
      <c r="B34" s="39" t="s">
        <v>47</v>
      </c>
      <c r="C34" s="39" t="s">
        <v>164</v>
      </c>
      <c r="D34" s="6" t="s">
        <v>75</v>
      </c>
      <c r="E34" s="31" t="s">
        <v>45</v>
      </c>
      <c r="F34" s="10" t="s">
        <v>122</v>
      </c>
      <c r="G34" s="22"/>
      <c r="H34" s="22"/>
      <c r="I34" s="15">
        <f t="shared" si="0"/>
        <v>0</v>
      </c>
    </row>
    <row r="35" spans="2:14" ht="30" x14ac:dyDescent="0.25">
      <c r="B35" s="40"/>
      <c r="C35" s="40"/>
      <c r="D35" s="6" t="s">
        <v>76</v>
      </c>
      <c r="E35" s="32"/>
      <c r="F35" s="10" t="s">
        <v>105</v>
      </c>
      <c r="G35" s="22"/>
      <c r="H35" s="22"/>
      <c r="I35" s="15">
        <f t="shared" si="0"/>
        <v>0</v>
      </c>
    </row>
    <row r="36" spans="2:14" x14ac:dyDescent="0.25">
      <c r="B36" s="41" t="s">
        <v>150</v>
      </c>
      <c r="C36" s="42"/>
      <c r="D36" s="42"/>
      <c r="E36" s="42"/>
      <c r="F36" s="42"/>
      <c r="G36" s="42"/>
      <c r="H36" s="43"/>
      <c r="I36" s="25">
        <f>SUM(I34:I35)</f>
        <v>0</v>
      </c>
      <c r="J36" s="26"/>
      <c r="K36" s="26"/>
      <c r="L36" s="26"/>
      <c r="M36" s="26"/>
      <c r="N36" s="26"/>
    </row>
    <row r="37" spans="2:14" x14ac:dyDescent="0.25">
      <c r="B37" s="39" t="s">
        <v>50</v>
      </c>
      <c r="C37" s="39" t="s">
        <v>164</v>
      </c>
      <c r="D37" s="6" t="s">
        <v>77</v>
      </c>
      <c r="E37" s="31" t="s">
        <v>48</v>
      </c>
      <c r="F37" s="5" t="s">
        <v>121</v>
      </c>
      <c r="G37" s="19"/>
      <c r="H37" s="19"/>
      <c r="I37" s="15">
        <f t="shared" si="0"/>
        <v>0</v>
      </c>
    </row>
    <row r="38" spans="2:14" x14ac:dyDescent="0.25">
      <c r="B38" s="40"/>
      <c r="C38" s="40"/>
      <c r="D38" s="6" t="s">
        <v>78</v>
      </c>
      <c r="E38" s="32"/>
      <c r="F38" s="5" t="s">
        <v>90</v>
      </c>
      <c r="G38" s="21"/>
      <c r="H38" s="21"/>
      <c r="I38" s="15">
        <f t="shared" si="0"/>
        <v>0</v>
      </c>
    </row>
    <row r="39" spans="2:14" x14ac:dyDescent="0.25">
      <c r="B39" s="41" t="s">
        <v>151</v>
      </c>
      <c r="C39" s="42"/>
      <c r="D39" s="42"/>
      <c r="E39" s="42"/>
      <c r="F39" s="42"/>
      <c r="G39" s="42"/>
      <c r="H39" s="43"/>
      <c r="I39" s="25">
        <f>SUM(I37:I38)</f>
        <v>0</v>
      </c>
    </row>
    <row r="40" spans="2:14" x14ac:dyDescent="0.25">
      <c r="B40" s="39" t="s">
        <v>53</v>
      </c>
      <c r="C40" s="39" t="s">
        <v>164</v>
      </c>
      <c r="D40" s="3" t="s">
        <v>79</v>
      </c>
      <c r="E40" s="33" t="s">
        <v>51</v>
      </c>
      <c r="F40" s="10" t="s">
        <v>120</v>
      </c>
      <c r="G40" s="22"/>
      <c r="H40" s="22"/>
      <c r="I40" s="15">
        <f t="shared" si="0"/>
        <v>0</v>
      </c>
    </row>
    <row r="41" spans="2:14" x14ac:dyDescent="0.25">
      <c r="B41" s="40"/>
      <c r="C41" s="40"/>
      <c r="D41" s="6" t="s">
        <v>80</v>
      </c>
      <c r="E41" s="34"/>
      <c r="F41" s="10" t="s">
        <v>85</v>
      </c>
      <c r="G41" s="22"/>
      <c r="H41" s="22"/>
      <c r="I41" s="15">
        <f t="shared" si="0"/>
        <v>0</v>
      </c>
    </row>
    <row r="42" spans="2:14" x14ac:dyDescent="0.25">
      <c r="B42" s="41" t="s">
        <v>152</v>
      </c>
      <c r="C42" s="42"/>
      <c r="D42" s="42"/>
      <c r="E42" s="42"/>
      <c r="F42" s="42"/>
      <c r="G42" s="42"/>
      <c r="H42" s="43"/>
      <c r="I42" s="25">
        <f>SUM(I40:I41)</f>
        <v>0</v>
      </c>
    </row>
    <row r="43" spans="2:14" x14ac:dyDescent="0.25">
      <c r="B43" s="39" t="s">
        <v>56</v>
      </c>
      <c r="C43" s="39" t="s">
        <v>164</v>
      </c>
      <c r="D43" s="6" t="s">
        <v>81</v>
      </c>
      <c r="E43" s="31" t="s">
        <v>54</v>
      </c>
      <c r="F43" s="5" t="s">
        <v>119</v>
      </c>
      <c r="G43" s="19"/>
      <c r="H43" s="19"/>
      <c r="I43" s="15">
        <f t="shared" si="0"/>
        <v>0</v>
      </c>
    </row>
    <row r="44" spans="2:14" x14ac:dyDescent="0.25">
      <c r="B44" s="40"/>
      <c r="C44" s="40"/>
      <c r="D44" s="6" t="s">
        <v>82</v>
      </c>
      <c r="E44" s="32"/>
      <c r="F44" s="5" t="s">
        <v>88</v>
      </c>
      <c r="G44" s="19"/>
      <c r="H44" s="19"/>
      <c r="I44" s="15">
        <f t="shared" si="0"/>
        <v>0</v>
      </c>
    </row>
    <row r="45" spans="2:14" x14ac:dyDescent="0.25">
      <c r="B45" s="41" t="s">
        <v>153</v>
      </c>
      <c r="C45" s="42"/>
      <c r="D45" s="42"/>
      <c r="E45" s="42"/>
      <c r="F45" s="42"/>
      <c r="G45" s="42"/>
      <c r="H45" s="43"/>
      <c r="I45" s="25">
        <f>SUM(I43:I44)</f>
        <v>0</v>
      </c>
    </row>
    <row r="46" spans="2:14" x14ac:dyDescent="0.25">
      <c r="B46" s="39" t="s">
        <v>58</v>
      </c>
      <c r="C46" s="39" t="s">
        <v>164</v>
      </c>
      <c r="D46" s="3" t="s">
        <v>98</v>
      </c>
      <c r="E46" s="5" t="s">
        <v>68</v>
      </c>
      <c r="F46" s="5" t="s">
        <v>118</v>
      </c>
      <c r="G46" s="19"/>
      <c r="H46" s="19"/>
      <c r="I46" s="15">
        <f t="shared" si="0"/>
        <v>0</v>
      </c>
    </row>
    <row r="47" spans="2:14" x14ac:dyDescent="0.25">
      <c r="B47" s="44"/>
      <c r="C47" s="44"/>
      <c r="D47" s="3" t="s">
        <v>99</v>
      </c>
      <c r="E47" s="33" t="s">
        <v>71</v>
      </c>
      <c r="F47" s="5" t="s">
        <v>117</v>
      </c>
      <c r="G47" s="19"/>
      <c r="H47" s="19"/>
      <c r="I47" s="15">
        <f t="shared" si="0"/>
        <v>0</v>
      </c>
    </row>
    <row r="48" spans="2:14" x14ac:dyDescent="0.25">
      <c r="B48" s="44"/>
      <c r="C48" s="44"/>
      <c r="D48" s="3" t="s">
        <v>100</v>
      </c>
      <c r="E48" s="35"/>
      <c r="F48" s="5" t="s">
        <v>116</v>
      </c>
      <c r="G48" s="19"/>
      <c r="H48" s="19"/>
      <c r="I48" s="15">
        <f t="shared" si="0"/>
        <v>0</v>
      </c>
    </row>
    <row r="49" spans="2:9" x14ac:dyDescent="0.25">
      <c r="B49" s="44"/>
      <c r="C49" s="44"/>
      <c r="D49" s="3" t="s">
        <v>101</v>
      </c>
      <c r="E49" s="35"/>
      <c r="F49" s="5" t="s">
        <v>83</v>
      </c>
      <c r="G49" s="19"/>
      <c r="H49" s="19"/>
      <c r="I49" s="15">
        <f t="shared" si="0"/>
        <v>0</v>
      </c>
    </row>
    <row r="50" spans="2:9" x14ac:dyDescent="0.25">
      <c r="B50" s="44"/>
      <c r="C50" s="44"/>
      <c r="D50" s="3" t="s">
        <v>102</v>
      </c>
      <c r="E50" s="34"/>
      <c r="F50" s="5" t="s">
        <v>87</v>
      </c>
      <c r="G50" s="19"/>
      <c r="H50" s="19"/>
      <c r="I50" s="15">
        <f t="shared" si="0"/>
        <v>0</v>
      </c>
    </row>
    <row r="51" spans="2:9" x14ac:dyDescent="0.25">
      <c r="B51" s="44"/>
      <c r="C51" s="44"/>
      <c r="D51" s="3" t="s">
        <v>103</v>
      </c>
      <c r="E51" s="33" t="s">
        <v>73</v>
      </c>
      <c r="F51" s="5" t="s">
        <v>111</v>
      </c>
      <c r="G51" s="19"/>
      <c r="H51" s="19"/>
      <c r="I51" s="15">
        <f t="shared" si="0"/>
        <v>0</v>
      </c>
    </row>
    <row r="52" spans="2:9" x14ac:dyDescent="0.25">
      <c r="B52" s="44"/>
      <c r="C52" s="44"/>
      <c r="D52" s="3" t="s">
        <v>104</v>
      </c>
      <c r="E52" s="35"/>
      <c r="F52" s="5" t="s">
        <v>112</v>
      </c>
      <c r="G52" s="19"/>
      <c r="H52" s="19"/>
      <c r="I52" s="15">
        <f t="shared" si="0"/>
        <v>0</v>
      </c>
    </row>
    <row r="53" spans="2:9" x14ac:dyDescent="0.25">
      <c r="B53" s="44"/>
      <c r="C53" s="44"/>
      <c r="D53" s="3" t="s">
        <v>157</v>
      </c>
      <c r="E53" s="35"/>
      <c r="F53" s="5" t="s">
        <v>84</v>
      </c>
      <c r="G53" s="19"/>
      <c r="H53" s="19"/>
      <c r="I53" s="15">
        <f t="shared" si="0"/>
        <v>0</v>
      </c>
    </row>
    <row r="54" spans="2:9" x14ac:dyDescent="0.25">
      <c r="B54" s="40"/>
      <c r="C54" s="40"/>
      <c r="D54" s="3" t="s">
        <v>158</v>
      </c>
      <c r="E54" s="34"/>
      <c r="F54" s="5" t="s">
        <v>86</v>
      </c>
      <c r="G54" s="19"/>
      <c r="H54" s="19"/>
      <c r="I54" s="15">
        <f t="shared" si="0"/>
        <v>0</v>
      </c>
    </row>
    <row r="55" spans="2:9" x14ac:dyDescent="0.25">
      <c r="B55" s="41" t="s">
        <v>154</v>
      </c>
      <c r="C55" s="42"/>
      <c r="D55" s="42"/>
      <c r="E55" s="42"/>
      <c r="F55" s="42"/>
      <c r="G55" s="42"/>
      <c r="H55" s="43"/>
      <c r="I55" s="25">
        <f>SUM(I46:I54)</f>
        <v>0</v>
      </c>
    </row>
    <row r="56" spans="2:9" x14ac:dyDescent="0.25">
      <c r="B56" s="3" t="s">
        <v>61</v>
      </c>
      <c r="C56" s="3" t="s">
        <v>164</v>
      </c>
      <c r="D56" s="3"/>
      <c r="E56" s="4" t="s">
        <v>59</v>
      </c>
      <c r="F56" s="5" t="s">
        <v>113</v>
      </c>
      <c r="G56" s="19"/>
      <c r="H56" s="19"/>
      <c r="I56" s="15">
        <f t="shared" si="0"/>
        <v>0</v>
      </c>
    </row>
    <row r="57" spans="2:9" x14ac:dyDescent="0.25">
      <c r="B57" s="41" t="s">
        <v>155</v>
      </c>
      <c r="C57" s="42"/>
      <c r="D57" s="42"/>
      <c r="E57" s="42"/>
      <c r="F57" s="42"/>
      <c r="G57" s="42"/>
      <c r="H57" s="43"/>
      <c r="I57" s="25">
        <f>SUM(I56)</f>
        <v>0</v>
      </c>
    </row>
    <row r="58" spans="2:9" x14ac:dyDescent="0.25">
      <c r="B58" s="39" t="s">
        <v>66</v>
      </c>
      <c r="C58" s="39" t="s">
        <v>164</v>
      </c>
      <c r="D58" s="3" t="s">
        <v>67</v>
      </c>
      <c r="E58" s="5" t="s">
        <v>62</v>
      </c>
      <c r="F58" s="5" t="s">
        <v>114</v>
      </c>
      <c r="G58" s="19"/>
      <c r="H58" s="19"/>
      <c r="I58" s="15">
        <f t="shared" si="0"/>
        <v>0</v>
      </c>
    </row>
    <row r="59" spans="2:9" x14ac:dyDescent="0.25">
      <c r="B59" s="30"/>
      <c r="C59" s="40"/>
      <c r="D59" s="11" t="s">
        <v>70</v>
      </c>
      <c r="E59" s="4" t="s">
        <v>64</v>
      </c>
      <c r="F59" s="5" t="s">
        <v>115</v>
      </c>
      <c r="G59" s="19"/>
      <c r="H59" s="19"/>
      <c r="I59" s="15">
        <f t="shared" si="0"/>
        <v>0</v>
      </c>
    </row>
    <row r="60" spans="2:9" x14ac:dyDescent="0.25">
      <c r="B60" s="41" t="s">
        <v>156</v>
      </c>
      <c r="C60" s="42"/>
      <c r="D60" s="42"/>
      <c r="E60" s="42"/>
      <c r="F60" s="42"/>
      <c r="G60" s="42"/>
      <c r="H60" s="43"/>
      <c r="I60" s="25">
        <f>SUM(I58:I59)</f>
        <v>0</v>
      </c>
    </row>
    <row r="61" spans="2:9" x14ac:dyDescent="0.25">
      <c r="G61" s="16"/>
      <c r="H61" s="23" t="s">
        <v>137</v>
      </c>
      <c r="I61" s="24">
        <f>SUM(I7+I9+I11+I14+I19+I21+I23+I25+I27+I29+I31+I33+I39+I42+I45+I55+I57+I60)</f>
        <v>0</v>
      </c>
    </row>
  </sheetData>
  <mergeCells count="45">
    <mergeCell ref="C4:C6"/>
    <mergeCell ref="C15:C18"/>
    <mergeCell ref="C12:C13"/>
    <mergeCell ref="C34:C35"/>
    <mergeCell ref="C37:C38"/>
    <mergeCell ref="B15:B18"/>
    <mergeCell ref="B58:B59"/>
    <mergeCell ref="B29:H29"/>
    <mergeCell ref="B31:H31"/>
    <mergeCell ref="B33:H33"/>
    <mergeCell ref="B36:H36"/>
    <mergeCell ref="B39:H39"/>
    <mergeCell ref="C40:C41"/>
    <mergeCell ref="C43:C44"/>
    <mergeCell ref="C46:C54"/>
    <mergeCell ref="C58:C59"/>
    <mergeCell ref="B60:H60"/>
    <mergeCell ref="B42:H42"/>
    <mergeCell ref="B45:H45"/>
    <mergeCell ref="B55:H55"/>
    <mergeCell ref="B57:H57"/>
    <mergeCell ref="B46:B54"/>
    <mergeCell ref="E51:E54"/>
    <mergeCell ref="E47:E50"/>
    <mergeCell ref="B4:B6"/>
    <mergeCell ref="B43:B44"/>
    <mergeCell ref="B40:B41"/>
    <mergeCell ref="B37:B38"/>
    <mergeCell ref="B34:B35"/>
    <mergeCell ref="B7:H7"/>
    <mergeCell ref="B9:H9"/>
    <mergeCell ref="B14:H14"/>
    <mergeCell ref="B11:H11"/>
    <mergeCell ref="B19:H19"/>
    <mergeCell ref="B21:H21"/>
    <mergeCell ref="B23:H23"/>
    <mergeCell ref="B25:H25"/>
    <mergeCell ref="B27:H27"/>
    <mergeCell ref="E12:E13"/>
    <mergeCell ref="B12:B13"/>
    <mergeCell ref="E34:E35"/>
    <mergeCell ref="E37:E38"/>
    <mergeCell ref="E40:E41"/>
    <mergeCell ref="E43:E44"/>
    <mergeCell ref="E4:E6"/>
  </mergeCells>
  <phoneticPr fontId="6" type="noConversion"/>
  <conditionalFormatting sqref="E59">
    <cfRule type="colorScale" priority="1">
      <colorScale>
        <cfvo type="min"/>
        <cfvo type="max"/>
        <color rgb="FFFF7128"/>
        <color rgb="FFFFEF9C"/>
      </colorScale>
    </cfRule>
    <cfRule type="cellIs" dxfId="0" priority="2" operator="equal">
      <formula>"Y"</formula>
    </cfRule>
  </conditionalFormatting>
  <pageMargins left="0.7" right="0.7" top="0.75" bottom="0.75" header="0.3" footer="0.3"/>
  <pageSetup paperSize="17"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2DC9DD714D974AB3242F08EE6BF4F8" ma:contentTypeVersion="12" ma:contentTypeDescription="Create a new document." ma:contentTypeScope="" ma:versionID="be19698bddf07baa1f7e12f5b75ebeb3">
  <xsd:schema xmlns:xsd="http://www.w3.org/2001/XMLSchema" xmlns:xs="http://www.w3.org/2001/XMLSchema" xmlns:p="http://schemas.microsoft.com/office/2006/metadata/properties" xmlns:ns1="http://schemas.microsoft.com/sharepoint/v3" xmlns:ns2="12074fa9-b120-4bbc-89ba-c266f0fe7932" xmlns:ns3="74ebd30c-47a8-4501-bf85-67b37d17c5c6" targetNamespace="http://schemas.microsoft.com/office/2006/metadata/properties" ma:root="true" ma:fieldsID="25947b7a69448e1ef625589a49a11c63" ns1:_="" ns2:_="" ns3:_="">
    <xsd:import namespace="http://schemas.microsoft.com/sharepoint/v3"/>
    <xsd:import namespace="12074fa9-b120-4bbc-89ba-c266f0fe7932"/>
    <xsd:import namespace="74ebd30c-47a8-4501-bf85-67b37d17c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4fa9-b120-4bbc-89ba-c266f0fe7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d30c-47a8-4501-bf85-67b37d17c5c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2fc57b4-02b6-4b54-bad0-f9339f37a852}" ma:internalName="TaxCatchAll" ma:showField="CatchAllData" ma:web="74ebd30c-47a8-4501-bf85-67b37d17c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2074fa9-b120-4bbc-89ba-c266f0fe7932">
      <Terms xmlns="http://schemas.microsoft.com/office/infopath/2007/PartnerControls"/>
    </lcf76f155ced4ddcb4097134ff3c332f>
    <TaxCatchAll xmlns="74ebd30c-47a8-4501-bf85-67b37d17c5c6" xsi:nil="true"/>
  </documentManagement>
</p:properties>
</file>

<file path=customXml/itemProps1.xml><?xml version="1.0" encoding="utf-8"?>
<ds:datastoreItem xmlns:ds="http://schemas.openxmlformats.org/officeDocument/2006/customXml" ds:itemID="{6FD082C8-5762-4D2A-B61D-D92F7E0814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A84BF2-4323-4A2D-B989-D6BB699EE4D4}"/>
</file>

<file path=customXml/itemProps3.xml><?xml version="1.0" encoding="utf-8"?>
<ds:datastoreItem xmlns:ds="http://schemas.openxmlformats.org/officeDocument/2006/customXml" ds:itemID="{0A952498-2059-469F-86FC-C1A62B7A8B29}">
  <ds:schemaRefs>
    <ds:schemaRef ds:uri="http://schemas.microsoft.com/office/2006/metadata/properties"/>
    <ds:schemaRef ds:uri="http://schemas.microsoft.com/office/infopath/2007/PartnerControls"/>
    <ds:schemaRef ds:uri="12074fa9-b120-4bbc-89ba-c266f0fe7932"/>
    <ds:schemaRef ds:uri="http://schemas.microsoft.com/sharepoint/v3"/>
    <ds:schemaRef ds:uri="74ebd30c-47a8-4501-bf85-67b37d17c5c6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 Order</vt:lpstr>
      <vt:lpstr>CLIN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Coday, Eric C CIV USARMY IMCOM PACIFIC (USA)</dc:creator>
  <cp:lastModifiedBy>Appleton, Charles J CIV USARMY ACC MICC (USA)</cp:lastModifiedBy>
  <cp:lastPrinted>2026-04-01T16:26:28Z</cp:lastPrinted>
  <dcterms:created xsi:type="dcterms:W3CDTF">2026-03-18T14:51:21Z</dcterms:created>
  <dcterms:modified xsi:type="dcterms:W3CDTF">2026-04-08T17:34:50Z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0x0101001B2DC9DD714D974AB3242F08EE6BF4F8</vt:lpwstr>
  </property>
</Properties>
</file>