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dartamien_brown_1_us_af_mil/Documents/Documents/42 CONS/PKC/FY26/FA330026R0016 P255418 Rpr Airfield  Lighting/FA330026R0016 SOL/AMD 02 SOL 13Apr26/"/>
    </mc:Choice>
  </mc:AlternateContent>
  <xr:revisionPtr revIDLastSave="16" documentId="8_{9CB7B657-8F6E-4D2F-AB7F-F5A146F05374}" xr6:coauthVersionLast="47" xr6:coauthVersionMax="47" xr10:uidLastSave="{2F8DDD59-CCD8-4E36-835F-5D9F8A9F9BAF}"/>
  <bookViews>
    <workbookView xWindow="-120" yWindow="90" windowWidth="29040" windowHeight="15510" xr2:uid="{3E0C92BE-70CA-47B6-9642-4B276D379C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D3" i="1" l="1"/>
  <c r="H30" i="1"/>
  <c r="I40" i="1" s="1"/>
  <c r="G29" i="1"/>
  <c r="G28" i="1"/>
  <c r="E28" i="1"/>
  <c r="I28" i="1" s="1"/>
  <c r="G27" i="1"/>
  <c r="E27" i="1"/>
  <c r="G26" i="1"/>
  <c r="E26" i="1"/>
  <c r="I26" i="1" s="1"/>
  <c r="G25" i="1"/>
  <c r="E25" i="1"/>
  <c r="I25" i="1" s="1"/>
  <c r="G24" i="1"/>
  <c r="E24" i="1"/>
  <c r="G23" i="1"/>
  <c r="E23" i="1"/>
  <c r="G22" i="1"/>
  <c r="E22" i="1"/>
  <c r="G21" i="1"/>
  <c r="E21" i="1"/>
  <c r="I21" i="1" s="1"/>
  <c r="G20" i="1"/>
  <c r="E20" i="1"/>
  <c r="I20" i="1" s="1"/>
  <c r="G19" i="1"/>
  <c r="E19" i="1"/>
  <c r="I19" i="1" s="1"/>
  <c r="G18" i="1"/>
  <c r="E18" i="1"/>
  <c r="I18" i="1" s="1"/>
  <c r="G17" i="1"/>
  <c r="E17" i="1"/>
  <c r="I17" i="1" s="1"/>
  <c r="G16" i="1"/>
  <c r="E16" i="1"/>
  <c r="G11" i="1"/>
  <c r="E11" i="1"/>
  <c r="E30" i="1" s="1"/>
  <c r="I27" i="1" l="1"/>
  <c r="G30" i="1"/>
  <c r="I36" i="1" s="1"/>
  <c r="I37" i="1" s="1"/>
  <c r="I38" i="1" s="1"/>
  <c r="I16" i="1"/>
  <c r="I24" i="1"/>
  <c r="I22" i="1"/>
  <c r="I23" i="1"/>
  <c r="I32" i="1"/>
  <c r="I30" i="1"/>
  <c r="I11" i="1"/>
  <c r="I33" i="1" l="1"/>
  <c r="I34" i="1" s="1"/>
  <c r="I41" i="1" s="1"/>
  <c r="I42" i="1" s="1"/>
  <c r="I44" i="1" l="1"/>
  <c r="I45" i="1" s="1"/>
  <c r="I46" i="1" l="1"/>
  <c r="I47" i="1" s="1"/>
  <c r="I48" i="1" l="1"/>
  <c r="I49" i="1" s="1"/>
  <c r="F5" i="1" s="1"/>
</calcChain>
</file>

<file path=xl/sharedStrings.xml><?xml version="1.0" encoding="utf-8"?>
<sst xmlns="http://schemas.openxmlformats.org/spreadsheetml/2006/main" count="67" uniqueCount="61">
  <si>
    <t>CONSTRUCTION COST ESTIMATE BREAKDOWN</t>
  </si>
  <si>
    <t>DATE</t>
  </si>
  <si>
    <r>
      <rPr>
        <b/>
        <sz val="10.5"/>
        <rFont val="Cambria"/>
        <family val="1"/>
      </rPr>
      <t xml:space="preserve">ADDRESS
</t>
    </r>
    <r>
      <rPr>
        <b/>
        <sz val="10.5"/>
        <rFont val="Arial"/>
        <family val="2"/>
      </rPr>
      <t>400 Cannon Street Maxwell Air Force Base Alabama</t>
    </r>
  </si>
  <si>
    <t xml:space="preserve">CONTRACT FOR (Work to be performed)  
</t>
  </si>
  <si>
    <t>PROPOSED TOTAL CONTRACT PRICE
=</t>
  </si>
  <si>
    <t>LOCATION (Work to be performed)</t>
  </si>
  <si>
    <t>PROJECT NUMBER/WORK ORDER</t>
  </si>
  <si>
    <t xml:space="preserve">WORK LOCATION
</t>
  </si>
  <si>
    <t>ITEM</t>
  </si>
  <si>
    <t>UNIT OF MEASURE</t>
  </si>
  <si>
    <t>QUANTITY</t>
  </si>
  <si>
    <t>MATERIAL/EQUIP. COSTS</t>
  </si>
  <si>
    <t>LABOR RATES</t>
  </si>
  <si>
    <r>
      <rPr>
        <b/>
        <sz val="8"/>
        <rFont val="Times New Roman"/>
        <family val="1"/>
      </rPr>
      <t>OTHER DIRECT
COSTS</t>
    </r>
  </si>
  <si>
    <t>LINE TOTAL</t>
  </si>
  <si>
    <t>UNIT</t>
  </si>
  <si>
    <t>TOTAL</t>
  </si>
  <si>
    <r>
      <rPr>
        <b/>
        <sz val="8"/>
        <rFont val="Times New Roman"/>
        <family val="1"/>
      </rPr>
      <t>AVERAGE
RATE</t>
    </r>
  </si>
  <si>
    <r>
      <rPr>
        <b/>
        <sz val="9"/>
        <rFont val="Times New Roman"/>
        <family val="1"/>
      </rPr>
      <t>DIVISION 1 (General Requirements)</t>
    </r>
  </si>
  <si>
    <t>Superintendent</t>
  </si>
  <si>
    <t>DIVISION 2 (Site Work)</t>
  </si>
  <si>
    <t>DIVISION 3   (CONCRETE</t>
  </si>
  <si>
    <t>DIVISION 4 (MASONRY)</t>
  </si>
  <si>
    <t>DIVISION 5 (METAL)</t>
  </si>
  <si>
    <t>DIVISION 6 (WOOD AND PLASTICS)</t>
  </si>
  <si>
    <t>DIVISION 7 (THERM. /MOIST PROT)</t>
  </si>
  <si>
    <t>DIVISION 8 (DOORS AND WINDOWS)</t>
  </si>
  <si>
    <t>DIVISION 9 (FINISHES)</t>
  </si>
  <si>
    <t>DIVISION 11 (EQUIPMENT)</t>
  </si>
  <si>
    <t>DIVISION 12 (FURNISHINGS)</t>
  </si>
  <si>
    <t>DIVISION 13 (SPECIAL CONSTRUCTION)</t>
  </si>
  <si>
    <t>DIVISION 15 (MECHANICAL)</t>
  </si>
  <si>
    <t>DIVISION 16 (ELEC/.FIRE SYSTEM/COMM.</t>
  </si>
  <si>
    <r>
      <rPr>
        <b/>
        <sz val="9"/>
        <rFont val="Times New Roman"/>
        <family val="1"/>
      </rPr>
      <t>TOTAL</t>
    </r>
  </si>
  <si>
    <r>
      <rPr>
        <sz val="9"/>
        <rFont val="Times New Roman"/>
        <family val="1"/>
      </rPr>
      <t>Material Costs</t>
    </r>
  </si>
  <si>
    <r>
      <rPr>
        <sz val="9"/>
        <rFont val="Times New Roman"/>
        <family val="1"/>
      </rPr>
      <t>Tax on Materials</t>
    </r>
  </si>
  <si>
    <t>TOTAL MATERIAL COST</t>
  </si>
  <si>
    <r>
      <rPr>
        <sz val="9"/>
        <rFont val="Times New Roman"/>
        <family val="1"/>
      </rPr>
      <t>Labor Cost</t>
    </r>
  </si>
  <si>
    <r>
      <rPr>
        <sz val="9"/>
        <rFont val="Times New Roman"/>
        <family val="1"/>
      </rPr>
      <t>Insurance &amp; Tax on Labor</t>
    </r>
  </si>
  <si>
    <t>TOTAL LABOR COST</t>
  </si>
  <si>
    <t>Total Other Direct Costs</t>
  </si>
  <si>
    <t>Total Material, Labor, Tax &amp; Insurance</t>
  </si>
  <si>
    <t>TOTAL DIRECT COSTS</t>
  </si>
  <si>
    <r>
      <rPr>
        <sz val="9"/>
        <rFont val="Times New Roman"/>
        <family val="1"/>
      </rPr>
      <t>Overhead</t>
    </r>
  </si>
  <si>
    <t>Subtotal</t>
  </si>
  <si>
    <r>
      <rPr>
        <sz val="9"/>
        <rFont val="Times New Roman"/>
        <family val="1"/>
      </rPr>
      <t>Profit</t>
    </r>
  </si>
  <si>
    <t>Sub Total</t>
  </si>
  <si>
    <t>Bonds</t>
  </si>
  <si>
    <r>
      <rPr>
        <sz val="9"/>
        <rFont val="Times New Roman"/>
        <family val="1"/>
      </rPr>
      <t xml:space="preserve">I acknowledge the above cost estimate has been estimated to the best of my ability and means.
</t>
    </r>
    <r>
      <rPr>
        <sz val="10.5"/>
        <rFont val="Arial"/>
        <family val="2"/>
      </rPr>
      <t xml:space="preserve">Signature: </t>
    </r>
    <r>
      <rPr>
        <sz val="16"/>
        <rFont val="Times New Roman"/>
        <family val="1"/>
      </rPr>
      <t>    </t>
    </r>
    <r>
      <rPr>
        <i/>
        <sz val="16"/>
        <rFont val="Brush Script MT"/>
        <family val="4"/>
      </rPr>
      <t xml:space="preserve">                                       </t>
    </r>
    <r>
      <rPr>
        <vertAlign val="superscript"/>
        <sz val="10.5"/>
        <rFont val="Times New Roman"/>
        <family val="1"/>
      </rPr>
      <t>                         </t>
    </r>
    <r>
      <rPr>
        <vertAlign val="superscript"/>
        <sz val="10.5"/>
        <rFont val="Arial"/>
        <family val="2"/>
      </rPr>
      <t>Gov't Coord</t>
    </r>
  </si>
  <si>
    <t>Signature:</t>
  </si>
  <si>
    <t>AirField Runway/Taxi Light Fixture Repairs</t>
  </si>
  <si>
    <t>EA</t>
  </si>
  <si>
    <t>AirField PAPI Light Repairs</t>
  </si>
  <si>
    <t>AirField Signs</t>
  </si>
  <si>
    <t>Circuit Tags</t>
  </si>
  <si>
    <t>PNQS 25-5418 Repair Electrical Systems</t>
  </si>
  <si>
    <t>Maxwell AFB</t>
  </si>
  <si>
    <t>PNQS 25-5418</t>
  </si>
  <si>
    <t>Airfield</t>
  </si>
  <si>
    <t>400 Cannon Sreet, Maxwell AFB, AL</t>
  </si>
  <si>
    <t xml:space="preserve">Contractor: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</si>
</sst>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\$#,##0.00"/>
    <numFmt numFmtId="166" formatCode="0.0%"/>
    <numFmt numFmtId="167" formatCode="0_)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b/>
      <sz val="10.5"/>
      <name val="Cambria"/>
      <family val="1"/>
    </font>
    <font>
      <b/>
      <sz val="10.5"/>
      <name val="Times New Roman"/>
      <family val="1"/>
    </font>
    <font>
      <b/>
      <sz val="10.5"/>
      <name val="Arial"/>
      <family val="2"/>
    </font>
    <font>
      <b/>
      <sz val="10"/>
      <color rgb="FF000000"/>
      <name val="Times New Roman"/>
      <family val="1"/>
    </font>
    <font>
      <sz val="9"/>
      <name val="Cambria"/>
    </font>
    <font>
      <b/>
      <sz val="9"/>
      <name val="Cambria"/>
      <family val="1"/>
    </font>
    <font>
      <sz val="9"/>
      <color rgb="FF000000"/>
      <name val="Times New Roman"/>
      <family val="1"/>
    </font>
    <font>
      <b/>
      <sz val="12"/>
      <name val="Cambria"/>
      <family val="1"/>
    </font>
    <font>
      <b/>
      <sz val="12"/>
      <color rgb="FF000000"/>
      <name val="Cambria"/>
      <family val="1"/>
    </font>
    <font>
      <sz val="9"/>
      <name val="Cambria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8"/>
      <name val="Times New Roman"/>
      <family val="1"/>
    </font>
    <font>
      <b/>
      <sz val="7"/>
      <name val="Times New Roman"/>
      <family val="1"/>
    </font>
    <font>
      <b/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Times New Roman"/>
    </font>
    <font>
      <sz val="9"/>
      <color rgb="FF000000"/>
      <name val="Times New Roman"/>
      <family val="2"/>
    </font>
    <font>
      <b/>
      <sz val="9"/>
      <color rgb="FF000000"/>
      <name val="Times New Roman"/>
      <family val="2"/>
    </font>
    <font>
      <b/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Times New Roman"/>
      <family val="1"/>
      <charset val="204"/>
    </font>
    <font>
      <sz val="10.5"/>
      <name val="Arial"/>
      <family val="2"/>
    </font>
    <font>
      <sz val="16"/>
      <name val="Times New Roman"/>
      <family val="1"/>
    </font>
    <font>
      <i/>
      <sz val="16"/>
      <name val="Brush Script MT"/>
      <family val="4"/>
    </font>
    <font>
      <vertAlign val="superscript"/>
      <sz val="10.5"/>
      <name val="Times New Roman"/>
      <family val="1"/>
    </font>
    <font>
      <vertAlign val="superscript"/>
      <sz val="10.5"/>
      <name val="Arial"/>
      <family val="2"/>
    </font>
    <font>
      <sz val="8"/>
      <name val="Aptos Narrow"/>
      <family val="2"/>
      <scheme val="minor"/>
    </font>
    <font>
      <sz val="10"/>
      <name val="Tms Rmn"/>
    </font>
    <font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16" fillId="0" borderId="6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left" vertical="center" wrapText="1" indent="3"/>
    </xf>
    <xf numFmtId="0" fontId="6" fillId="0" borderId="6" xfId="0" applyFont="1" applyBorder="1" applyAlignment="1">
      <alignment horizontal="center" vertical="top" wrapText="1"/>
    </xf>
    <xf numFmtId="0" fontId="16" fillId="0" borderId="6" xfId="0" applyFont="1" applyBorder="1" applyAlignment="1">
      <alignment horizontal="left" vertical="center" wrapText="1" indent="3"/>
    </xf>
    <xf numFmtId="0" fontId="18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164" fontId="0" fillId="0" borderId="6" xfId="0" applyNumberFormat="1" applyBorder="1" applyAlignment="1">
      <alignment horizontal="left" wrapText="1"/>
    </xf>
    <xf numFmtId="0" fontId="20" fillId="0" borderId="6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center" vertical="top" wrapText="1"/>
    </xf>
    <xf numFmtId="1" fontId="22" fillId="0" borderId="6" xfId="0" applyNumberFormat="1" applyFont="1" applyBorder="1" applyAlignment="1">
      <alignment horizontal="right" vertical="top" shrinkToFit="1"/>
    </xf>
    <xf numFmtId="164" fontId="0" fillId="0" borderId="6" xfId="0" applyNumberFormat="1" applyBorder="1" applyAlignment="1">
      <alignment horizontal="right" wrapText="1"/>
    </xf>
    <xf numFmtId="164" fontId="22" fillId="0" borderId="6" xfId="0" applyNumberFormat="1" applyFont="1" applyBorder="1" applyAlignment="1">
      <alignment horizontal="right" vertical="top" shrinkToFit="1"/>
    </xf>
    <xf numFmtId="165" fontId="22" fillId="0" borderId="6" xfId="0" applyNumberFormat="1" applyFont="1" applyBorder="1" applyAlignment="1">
      <alignment horizontal="right" vertical="top" shrinkToFit="1"/>
    </xf>
    <xf numFmtId="164" fontId="9" fillId="0" borderId="6" xfId="0" applyNumberFormat="1" applyFont="1" applyBorder="1" applyAlignment="1">
      <alignment horizontal="right" wrapText="1"/>
    </xf>
    <xf numFmtId="165" fontId="9" fillId="0" borderId="6" xfId="0" applyNumberFormat="1" applyFont="1" applyBorder="1" applyAlignment="1">
      <alignment horizontal="right" vertical="top" shrinkToFit="1"/>
    </xf>
    <xf numFmtId="4" fontId="21" fillId="0" borderId="6" xfId="0" applyNumberFormat="1" applyFont="1" applyBorder="1" applyAlignment="1">
      <alignment horizontal="center" vertical="top" wrapText="1"/>
    </xf>
    <xf numFmtId="164" fontId="23" fillId="0" borderId="6" xfId="0" applyNumberFormat="1" applyFont="1" applyBorder="1" applyAlignment="1">
      <alignment horizontal="right" vertical="top" shrinkToFit="1"/>
    </xf>
    <xf numFmtId="165" fontId="23" fillId="0" borderId="6" xfId="0" applyNumberFormat="1" applyFont="1" applyBorder="1" applyAlignment="1">
      <alignment horizontal="right" vertical="top" shrinkToFit="1"/>
    </xf>
    <xf numFmtId="165" fontId="24" fillId="0" borderId="6" xfId="0" applyNumberFormat="1" applyFont="1" applyBorder="1" applyAlignment="1">
      <alignment horizontal="right" vertical="top" shrinkToFit="1"/>
    </xf>
    <xf numFmtId="0" fontId="9" fillId="0" borderId="6" xfId="0" applyFont="1" applyBorder="1" applyAlignment="1">
      <alignment horizontal="left" wrapText="1"/>
    </xf>
    <xf numFmtId="0" fontId="21" fillId="0" borderId="6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 indent="3"/>
    </xf>
    <xf numFmtId="9" fontId="22" fillId="0" borderId="6" xfId="0" applyNumberFormat="1" applyFont="1" applyBorder="1" applyAlignment="1">
      <alignment horizontal="center" vertical="top" shrinkToFit="1"/>
    </xf>
    <xf numFmtId="0" fontId="19" fillId="0" borderId="6" xfId="0" applyFont="1" applyBorder="1" applyAlignment="1">
      <alignment horizontal="left" vertical="top" wrapText="1"/>
    </xf>
    <xf numFmtId="164" fontId="9" fillId="0" borderId="6" xfId="1" applyNumberFormat="1" applyFont="1" applyBorder="1" applyAlignment="1">
      <alignment horizontal="right" vertical="top"/>
    </xf>
    <xf numFmtId="0" fontId="0" fillId="0" borderId="0" xfId="0" applyAlignment="1">
      <alignment horizontal="left" wrapText="1"/>
    </xf>
    <xf numFmtId="164" fontId="24" fillId="0" borderId="6" xfId="1" applyNumberFormat="1" applyFont="1" applyBorder="1" applyAlignment="1">
      <alignment horizontal="right" vertical="top"/>
    </xf>
    <xf numFmtId="0" fontId="0" fillId="0" borderId="0" xfId="0" applyAlignment="1">
      <alignment horizontal="left" vertical="center" wrapText="1"/>
    </xf>
    <xf numFmtId="166" fontId="9" fillId="0" borderId="6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left" vertical="top" wrapText="1"/>
    </xf>
    <xf numFmtId="0" fontId="25" fillId="0" borderId="6" xfId="0" applyFont="1" applyBorder="1" applyAlignment="1">
      <alignment horizontal="left" wrapText="1"/>
    </xf>
    <xf numFmtId="164" fontId="25" fillId="0" borderId="6" xfId="0" applyNumberFormat="1" applyFont="1" applyBorder="1" applyAlignment="1">
      <alignment horizontal="left" wrapText="1"/>
    </xf>
    <xf numFmtId="165" fontId="13" fillId="0" borderId="6" xfId="0" applyNumberFormat="1" applyFont="1" applyBorder="1" applyAlignment="1">
      <alignment horizontal="right" vertical="top" shrinkToFit="1"/>
    </xf>
    <xf numFmtId="0" fontId="25" fillId="0" borderId="0" xfId="0" applyFont="1" applyAlignment="1">
      <alignment horizontal="left" wrapText="1"/>
    </xf>
    <xf numFmtId="164" fontId="0" fillId="0" borderId="0" xfId="0" applyNumberFormat="1" applyAlignment="1">
      <alignment horizontal="left" vertical="top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 indent="3"/>
    </xf>
    <xf numFmtId="0" fontId="16" fillId="0" borderId="3" xfId="0" applyFont="1" applyBorder="1" applyAlignment="1">
      <alignment horizontal="left" vertical="top" wrapText="1" indent="3"/>
    </xf>
    <xf numFmtId="0" fontId="16" fillId="0" borderId="1" xfId="0" applyFont="1" applyBorder="1" applyAlignment="1">
      <alignment horizontal="left" vertical="top" wrapText="1" indent="7"/>
    </xf>
    <xf numFmtId="0" fontId="16" fillId="0" borderId="3" xfId="0" applyFont="1" applyBorder="1" applyAlignment="1">
      <alignment horizontal="left" vertical="top" wrapText="1" indent="7"/>
    </xf>
    <xf numFmtId="0" fontId="6" fillId="0" borderId="4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13" fillId="0" borderId="2" xfId="0" applyNumberFormat="1" applyFont="1" applyBorder="1" applyAlignment="1">
      <alignment horizontal="center" vertical="top" wrapText="1"/>
    </xf>
    <xf numFmtId="164" fontId="13" fillId="0" borderId="3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3" fillId="0" borderId="7" xfId="0" applyFont="1" applyBorder="1" applyAlignment="1" applyProtection="1">
      <alignment horizontal="center" vertical="center"/>
      <protection locked="0"/>
    </xf>
    <xf numFmtId="0" fontId="34" fillId="0" borderId="8" xfId="0" applyFont="1" applyBorder="1" applyAlignment="1" applyProtection="1">
      <alignment vertical="center"/>
      <protection locked="0"/>
    </xf>
    <xf numFmtId="0" fontId="33" fillId="2" borderId="9" xfId="0" applyFont="1" applyFill="1" applyBorder="1" applyAlignment="1" applyProtection="1">
      <alignment horizontal="center" vertical="center"/>
      <protection locked="0"/>
    </xf>
    <xf numFmtId="167" fontId="33" fillId="2" borderId="9" xfId="0" applyNumberFormat="1" applyFont="1" applyFill="1" applyBorder="1" applyAlignment="1" applyProtection="1">
      <alignment vertical="center"/>
      <protection locked="0"/>
    </xf>
    <xf numFmtId="0" fontId="35" fillId="0" borderId="1" xfId="0" applyFont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C52B-246F-4077-B432-4128A1566876}">
  <dimension ref="A1:J55"/>
  <sheetViews>
    <sheetView tabSelected="1" topLeftCell="A37" zoomScaleNormal="100" workbookViewId="0">
      <selection activeCell="C55" sqref="C55"/>
    </sheetView>
  </sheetViews>
  <sheetFormatPr defaultRowHeight="15" x14ac:dyDescent="0.25"/>
  <cols>
    <col min="1" max="1" width="27.7109375" customWidth="1"/>
    <col min="3" max="3" width="10.7109375" customWidth="1"/>
    <col min="5" max="5" width="18" customWidth="1"/>
    <col min="7" max="9" width="18.42578125" customWidth="1"/>
  </cols>
  <sheetData>
    <row r="1" spans="1:10" ht="15.75" x14ac:dyDescent="0.25">
      <c r="A1" s="66" t="s">
        <v>0</v>
      </c>
      <c r="B1" s="67"/>
      <c r="C1" s="67"/>
      <c r="D1" s="67"/>
      <c r="E1" s="67"/>
      <c r="F1" s="67"/>
      <c r="G1" s="67"/>
      <c r="H1" s="67"/>
      <c r="I1" s="68"/>
      <c r="J1" s="2"/>
    </row>
    <row r="2" spans="1:10" ht="31.5" x14ac:dyDescent="0.25">
      <c r="A2" s="81" t="s">
        <v>60</v>
      </c>
      <c r="B2" s="1"/>
      <c r="C2" s="1"/>
      <c r="D2" s="69" t="s">
        <v>1</v>
      </c>
      <c r="E2" s="41"/>
      <c r="F2" s="70" t="s">
        <v>2</v>
      </c>
      <c r="G2" s="58"/>
      <c r="H2" s="58"/>
      <c r="I2" s="59"/>
      <c r="J2" s="2"/>
    </row>
    <row r="3" spans="1:10" x14ac:dyDescent="0.25">
      <c r="A3" s="71"/>
      <c r="B3" s="72"/>
      <c r="C3" s="73"/>
      <c r="D3" s="74">
        <f ca="1">TODAY()</f>
        <v>46125</v>
      </c>
      <c r="E3" s="75"/>
      <c r="F3" s="76" t="s">
        <v>59</v>
      </c>
      <c r="G3" s="58"/>
      <c r="H3" s="58"/>
      <c r="I3" s="59"/>
      <c r="J3" s="2"/>
    </row>
    <row r="4" spans="1:10" ht="15.75" x14ac:dyDescent="0.25">
      <c r="A4" s="57" t="s">
        <v>3</v>
      </c>
      <c r="B4" s="58"/>
      <c r="C4" s="58"/>
      <c r="D4" s="58"/>
      <c r="E4" s="59"/>
      <c r="F4" s="60" t="s">
        <v>4</v>
      </c>
      <c r="G4" s="61"/>
      <c r="H4" s="61"/>
      <c r="I4" s="62"/>
      <c r="J4" s="2"/>
    </row>
    <row r="5" spans="1:10" ht="15.75" x14ac:dyDescent="0.25">
      <c r="A5" s="40" t="s">
        <v>55</v>
      </c>
      <c r="B5" s="46"/>
      <c r="C5" s="46"/>
      <c r="D5" s="46"/>
      <c r="E5" s="41"/>
      <c r="F5" s="63">
        <f>I49</f>
        <v>0</v>
      </c>
      <c r="G5" s="64"/>
      <c r="H5" s="64"/>
      <c r="I5" s="65"/>
      <c r="J5" s="2"/>
    </row>
    <row r="6" spans="1:10" x14ac:dyDescent="0.25">
      <c r="A6" s="57" t="s">
        <v>5</v>
      </c>
      <c r="B6" s="59"/>
      <c r="C6" s="57" t="s">
        <v>6</v>
      </c>
      <c r="D6" s="58"/>
      <c r="E6" s="59"/>
      <c r="F6" s="57" t="s">
        <v>7</v>
      </c>
      <c r="G6" s="58"/>
      <c r="H6" s="58"/>
      <c r="I6" s="59"/>
      <c r="J6" s="2"/>
    </row>
    <row r="7" spans="1:10" x14ac:dyDescent="0.25">
      <c r="A7" s="40" t="s">
        <v>56</v>
      </c>
      <c r="B7" s="41"/>
      <c r="C7" s="42" t="s">
        <v>57</v>
      </c>
      <c r="D7" s="43"/>
      <c r="E7" s="44"/>
      <c r="F7" s="45" t="s">
        <v>58</v>
      </c>
      <c r="G7" s="46"/>
      <c r="H7" s="46"/>
      <c r="I7" s="41"/>
      <c r="J7" s="2"/>
    </row>
    <row r="8" spans="1:10" x14ac:dyDescent="0.25">
      <c r="A8" s="47" t="s">
        <v>8</v>
      </c>
      <c r="B8" s="49" t="s">
        <v>9</v>
      </c>
      <c r="C8" s="49" t="s">
        <v>10</v>
      </c>
      <c r="D8" s="51" t="s">
        <v>11</v>
      </c>
      <c r="E8" s="52"/>
      <c r="F8" s="53" t="s">
        <v>12</v>
      </c>
      <c r="G8" s="54"/>
      <c r="H8" s="55" t="s">
        <v>13</v>
      </c>
      <c r="I8" s="47" t="s">
        <v>14</v>
      </c>
      <c r="J8" s="2"/>
    </row>
    <row r="9" spans="1:10" ht="21" x14ac:dyDescent="0.25">
      <c r="A9" s="48"/>
      <c r="B9" s="50"/>
      <c r="C9" s="50"/>
      <c r="D9" s="3" t="s">
        <v>15</v>
      </c>
      <c r="E9" s="4" t="s">
        <v>16</v>
      </c>
      <c r="F9" s="5" t="s">
        <v>17</v>
      </c>
      <c r="G9" s="6" t="s">
        <v>16</v>
      </c>
      <c r="H9" s="56"/>
      <c r="I9" s="48"/>
      <c r="J9" s="2"/>
    </row>
    <row r="10" spans="1:10" ht="24" x14ac:dyDescent="0.25">
      <c r="A10" s="7" t="s">
        <v>18</v>
      </c>
      <c r="B10" s="8"/>
      <c r="C10" s="8"/>
      <c r="D10" s="8"/>
      <c r="E10" s="9"/>
      <c r="F10" s="9"/>
      <c r="G10" s="8"/>
      <c r="H10" s="9"/>
      <c r="I10" s="8"/>
      <c r="J10" s="2"/>
    </row>
    <row r="11" spans="1:10" x14ac:dyDescent="0.25">
      <c r="A11" s="10" t="s">
        <v>19</v>
      </c>
      <c r="B11" s="11"/>
      <c r="C11" s="12"/>
      <c r="D11" s="8"/>
      <c r="E11" s="13">
        <f>C11*D11</f>
        <v>0</v>
      </c>
      <c r="F11" s="14"/>
      <c r="G11" s="15">
        <f>C11*F11</f>
        <v>0</v>
      </c>
      <c r="H11" s="13">
        <v>0</v>
      </c>
      <c r="I11" s="16">
        <f t="shared" ref="I11:I27" si="0">SUM(E11,G11,H11)</f>
        <v>0</v>
      </c>
      <c r="J11" s="2"/>
    </row>
    <row r="12" spans="1:10" x14ac:dyDescent="0.25">
      <c r="A12" s="77" t="e">
        <f>A11+1</f>
        <v>#VALUE!</v>
      </c>
      <c r="B12" s="78" t="s">
        <v>50</v>
      </c>
      <c r="C12" s="79" t="s">
        <v>51</v>
      </c>
      <c r="D12" s="80">
        <v>39</v>
      </c>
      <c r="E12" s="13"/>
      <c r="F12" s="14"/>
      <c r="G12" s="15"/>
      <c r="H12" s="13"/>
      <c r="I12" s="16"/>
      <c r="J12" s="2"/>
    </row>
    <row r="13" spans="1:10" x14ac:dyDescent="0.25">
      <c r="A13" s="77" t="e">
        <f t="shared" ref="A13:A15" si="1">A12+1</f>
        <v>#VALUE!</v>
      </c>
      <c r="B13" s="78" t="s">
        <v>52</v>
      </c>
      <c r="C13" s="79" t="s">
        <v>51</v>
      </c>
      <c r="D13" s="80">
        <v>8</v>
      </c>
      <c r="E13" s="13"/>
      <c r="F13" s="14"/>
      <c r="G13" s="15"/>
      <c r="H13" s="13"/>
      <c r="I13" s="16"/>
      <c r="J13" s="2"/>
    </row>
    <row r="14" spans="1:10" x14ac:dyDescent="0.25">
      <c r="A14" s="77" t="e">
        <f t="shared" si="1"/>
        <v>#VALUE!</v>
      </c>
      <c r="B14" s="78" t="s">
        <v>53</v>
      </c>
      <c r="C14" s="79" t="s">
        <v>51</v>
      </c>
      <c r="D14" s="80">
        <v>1</v>
      </c>
      <c r="E14" s="13"/>
      <c r="F14" s="14"/>
      <c r="G14" s="15"/>
      <c r="H14" s="13"/>
      <c r="I14" s="16"/>
      <c r="J14" s="2"/>
    </row>
    <row r="15" spans="1:10" x14ac:dyDescent="0.25">
      <c r="A15" s="77" t="e">
        <f t="shared" si="1"/>
        <v>#VALUE!</v>
      </c>
      <c r="B15" s="78" t="s">
        <v>54</v>
      </c>
      <c r="C15" s="79" t="s">
        <v>51</v>
      </c>
      <c r="D15" s="80">
        <v>412</v>
      </c>
      <c r="E15" s="13"/>
      <c r="F15" s="14"/>
      <c r="G15" s="15"/>
      <c r="H15" s="13"/>
      <c r="I15" s="16"/>
      <c r="J15" s="2"/>
    </row>
    <row r="16" spans="1:10" x14ac:dyDescent="0.25">
      <c r="A16" s="10" t="s">
        <v>20</v>
      </c>
      <c r="B16" s="8"/>
      <c r="C16" s="8"/>
      <c r="D16" s="8"/>
      <c r="E16" s="13">
        <f t="shared" ref="E16:E27" si="2">C16*D16</f>
        <v>0</v>
      </c>
      <c r="F16" s="9"/>
      <c r="G16" s="15">
        <f t="shared" ref="G16:G29" si="3">C16*F16</f>
        <v>0</v>
      </c>
      <c r="H16" s="13">
        <v>0</v>
      </c>
      <c r="I16" s="16">
        <f t="shared" si="0"/>
        <v>0</v>
      </c>
      <c r="J16" s="2"/>
    </row>
    <row r="17" spans="1:10" x14ac:dyDescent="0.25">
      <c r="A17" s="10" t="s">
        <v>21</v>
      </c>
      <c r="B17" s="8"/>
      <c r="C17" s="8"/>
      <c r="D17" s="8"/>
      <c r="E17" s="13">
        <f t="shared" si="2"/>
        <v>0</v>
      </c>
      <c r="F17" s="9"/>
      <c r="G17" s="15">
        <f t="shared" si="3"/>
        <v>0</v>
      </c>
      <c r="H17" s="13">
        <v>0</v>
      </c>
      <c r="I17" s="16">
        <f t="shared" si="0"/>
        <v>0</v>
      </c>
      <c r="J17" s="2"/>
    </row>
    <row r="18" spans="1:10" x14ac:dyDescent="0.25">
      <c r="A18" s="10" t="s">
        <v>22</v>
      </c>
      <c r="B18" s="8"/>
      <c r="C18" s="8"/>
      <c r="D18" s="8"/>
      <c r="E18" s="13">
        <f t="shared" si="2"/>
        <v>0</v>
      </c>
      <c r="F18" s="9"/>
      <c r="G18" s="15">
        <f t="shared" si="3"/>
        <v>0</v>
      </c>
      <c r="H18" s="13">
        <v>0</v>
      </c>
      <c r="I18" s="16">
        <f t="shared" si="0"/>
        <v>0</v>
      </c>
      <c r="J18" s="2"/>
    </row>
    <row r="19" spans="1:10" x14ac:dyDescent="0.25">
      <c r="A19" s="10" t="s">
        <v>23</v>
      </c>
      <c r="B19" s="8"/>
      <c r="C19" s="8"/>
      <c r="D19" s="8"/>
      <c r="E19" s="13">
        <f t="shared" si="2"/>
        <v>0</v>
      </c>
      <c r="F19" s="9"/>
      <c r="G19" s="15">
        <f t="shared" si="3"/>
        <v>0</v>
      </c>
      <c r="H19" s="13">
        <v>0</v>
      </c>
      <c r="I19" s="16">
        <f t="shared" si="0"/>
        <v>0</v>
      </c>
      <c r="J19" s="2"/>
    </row>
    <row r="20" spans="1:10" ht="24" x14ac:dyDescent="0.25">
      <c r="A20" s="10" t="s">
        <v>24</v>
      </c>
      <c r="B20" s="8"/>
      <c r="C20" s="8"/>
      <c r="D20" s="8"/>
      <c r="E20" s="13">
        <f t="shared" si="2"/>
        <v>0</v>
      </c>
      <c r="F20" s="9"/>
      <c r="G20" s="15">
        <f t="shared" si="3"/>
        <v>0</v>
      </c>
      <c r="H20" s="13">
        <v>0</v>
      </c>
      <c r="I20" s="16">
        <f t="shared" si="0"/>
        <v>0</v>
      </c>
      <c r="J20" s="2"/>
    </row>
    <row r="21" spans="1:10" ht="24" x14ac:dyDescent="0.25">
      <c r="A21" s="10" t="s">
        <v>25</v>
      </c>
      <c r="B21" s="8"/>
      <c r="C21" s="8"/>
      <c r="D21" s="8"/>
      <c r="E21" s="13">
        <f t="shared" si="2"/>
        <v>0</v>
      </c>
      <c r="F21" s="9"/>
      <c r="G21" s="15">
        <f t="shared" si="3"/>
        <v>0</v>
      </c>
      <c r="H21" s="13">
        <v>0</v>
      </c>
      <c r="I21" s="16">
        <f t="shared" si="0"/>
        <v>0</v>
      </c>
      <c r="J21" s="2"/>
    </row>
    <row r="22" spans="1:10" ht="24" x14ac:dyDescent="0.25">
      <c r="A22" s="10" t="s">
        <v>26</v>
      </c>
      <c r="B22" s="8"/>
      <c r="C22" s="8"/>
      <c r="D22" s="8"/>
      <c r="E22" s="13">
        <f t="shared" si="2"/>
        <v>0</v>
      </c>
      <c r="F22" s="9"/>
      <c r="G22" s="15">
        <f t="shared" si="3"/>
        <v>0</v>
      </c>
      <c r="H22" s="13">
        <v>0</v>
      </c>
      <c r="I22" s="16">
        <f t="shared" si="0"/>
        <v>0</v>
      </c>
      <c r="J22" s="2"/>
    </row>
    <row r="23" spans="1:10" x14ac:dyDescent="0.25">
      <c r="A23" s="10" t="s">
        <v>27</v>
      </c>
      <c r="B23" s="8"/>
      <c r="C23" s="8"/>
      <c r="D23" s="8"/>
      <c r="E23" s="13">
        <f t="shared" si="2"/>
        <v>0</v>
      </c>
      <c r="F23" s="9"/>
      <c r="G23" s="15">
        <f t="shared" si="3"/>
        <v>0</v>
      </c>
      <c r="H23" s="13">
        <v>0</v>
      </c>
      <c r="I23" s="16">
        <f t="shared" si="0"/>
        <v>0</v>
      </c>
      <c r="J23" s="2"/>
    </row>
    <row r="24" spans="1:10" x14ac:dyDescent="0.25">
      <c r="A24" s="10" t="s">
        <v>28</v>
      </c>
      <c r="B24" s="8"/>
      <c r="C24" s="8"/>
      <c r="D24" s="8"/>
      <c r="E24" s="13">
        <f t="shared" si="2"/>
        <v>0</v>
      </c>
      <c r="F24" s="9"/>
      <c r="G24" s="15">
        <f t="shared" si="3"/>
        <v>0</v>
      </c>
      <c r="H24" s="13">
        <v>0</v>
      </c>
      <c r="I24" s="16">
        <f t="shared" si="0"/>
        <v>0</v>
      </c>
      <c r="J24" s="2"/>
    </row>
    <row r="25" spans="1:10" x14ac:dyDescent="0.25">
      <c r="A25" s="10" t="s">
        <v>29</v>
      </c>
      <c r="B25" s="8"/>
      <c r="C25" s="8"/>
      <c r="D25" s="8"/>
      <c r="E25" s="13">
        <f t="shared" si="2"/>
        <v>0</v>
      </c>
      <c r="F25" s="9"/>
      <c r="G25" s="15">
        <f t="shared" si="3"/>
        <v>0</v>
      </c>
      <c r="H25" s="13">
        <v>0</v>
      </c>
      <c r="I25" s="16">
        <f t="shared" si="0"/>
        <v>0</v>
      </c>
      <c r="J25" s="2"/>
    </row>
    <row r="26" spans="1:10" ht="24" x14ac:dyDescent="0.25">
      <c r="A26" s="10" t="s">
        <v>30</v>
      </c>
      <c r="B26" s="8"/>
      <c r="C26" s="8"/>
      <c r="D26" s="8"/>
      <c r="E26" s="13">
        <f t="shared" si="2"/>
        <v>0</v>
      </c>
      <c r="F26" s="9"/>
      <c r="G26" s="15">
        <f t="shared" si="3"/>
        <v>0</v>
      </c>
      <c r="H26" s="13">
        <v>0</v>
      </c>
      <c r="I26" s="16">
        <f t="shared" si="0"/>
        <v>0</v>
      </c>
      <c r="J26" s="2"/>
    </row>
    <row r="27" spans="1:10" x14ac:dyDescent="0.25">
      <c r="A27" s="10" t="s">
        <v>31</v>
      </c>
      <c r="B27" s="11"/>
      <c r="C27" s="12"/>
      <c r="D27" s="11"/>
      <c r="E27" s="13">
        <f t="shared" si="2"/>
        <v>0</v>
      </c>
      <c r="F27" s="14"/>
      <c r="G27" s="15">
        <f t="shared" si="3"/>
        <v>0</v>
      </c>
      <c r="H27" s="13">
        <v>0</v>
      </c>
      <c r="I27" s="17">
        <f t="shared" si="0"/>
        <v>0</v>
      </c>
      <c r="J27" s="2"/>
    </row>
    <row r="28" spans="1:10" x14ac:dyDescent="0.25">
      <c r="A28" s="10" t="s">
        <v>31</v>
      </c>
      <c r="B28" s="11"/>
      <c r="C28" s="12"/>
      <c r="D28" s="18"/>
      <c r="E28" s="13">
        <f>C28*D28</f>
        <v>0</v>
      </c>
      <c r="F28" s="14"/>
      <c r="G28" s="15">
        <f t="shared" si="3"/>
        <v>0</v>
      </c>
      <c r="H28" s="13">
        <v>0</v>
      </c>
      <c r="I28" s="16">
        <f>SUM(E28,G28,H28)</f>
        <v>0</v>
      </c>
      <c r="J28" s="2"/>
    </row>
    <row r="29" spans="1:10" ht="24" x14ac:dyDescent="0.25">
      <c r="A29" s="10" t="s">
        <v>32</v>
      </c>
      <c r="B29" s="11"/>
      <c r="C29" s="12"/>
      <c r="D29" s="11"/>
      <c r="E29" s="13">
        <v>0</v>
      </c>
      <c r="F29" s="14"/>
      <c r="G29" s="15">
        <f t="shared" si="3"/>
        <v>0</v>
      </c>
      <c r="H29" s="13">
        <v>0</v>
      </c>
      <c r="I29" s="17">
        <v>0</v>
      </c>
      <c r="J29" s="2"/>
    </row>
    <row r="30" spans="1:10" x14ac:dyDescent="0.25">
      <c r="A30" s="7" t="s">
        <v>33</v>
      </c>
      <c r="B30" s="8"/>
      <c r="C30" s="8"/>
      <c r="D30" s="8"/>
      <c r="E30" s="19">
        <f>SUM(E11:E29)</f>
        <v>0</v>
      </c>
      <c r="F30" s="9"/>
      <c r="G30" s="20">
        <f>SUM(G11:G29)</f>
        <v>0</v>
      </c>
      <c r="H30" s="20">
        <f>SUM(H11:H29)</f>
        <v>0</v>
      </c>
      <c r="I30" s="21">
        <f>E30+G30+H30</f>
        <v>0</v>
      </c>
      <c r="J30" s="2"/>
    </row>
    <row r="31" spans="1:10" x14ac:dyDescent="0.25">
      <c r="A31" s="8"/>
      <c r="B31" s="8"/>
      <c r="C31" s="8"/>
      <c r="D31" s="8"/>
      <c r="E31" s="9"/>
      <c r="F31" s="9"/>
      <c r="G31" s="8"/>
      <c r="H31" s="9"/>
      <c r="I31" s="22"/>
      <c r="J31" s="2"/>
    </row>
    <row r="32" spans="1:10" x14ac:dyDescent="0.25">
      <c r="A32" s="23" t="s">
        <v>34</v>
      </c>
      <c r="B32" s="8"/>
      <c r="C32" s="8"/>
      <c r="D32" s="8"/>
      <c r="E32" s="9"/>
      <c r="F32" s="9"/>
      <c r="G32" s="8"/>
      <c r="H32" s="9"/>
      <c r="I32" s="17">
        <f>E30</f>
        <v>0</v>
      </c>
      <c r="J32" s="2"/>
    </row>
    <row r="33" spans="1:10" x14ac:dyDescent="0.25">
      <c r="A33" s="24" t="s">
        <v>35</v>
      </c>
      <c r="B33" s="25">
        <v>0.1</v>
      </c>
      <c r="C33" s="8"/>
      <c r="D33" s="8"/>
      <c r="E33" s="9"/>
      <c r="F33" s="9"/>
      <c r="G33" s="8"/>
      <c r="H33" s="9"/>
      <c r="I33" s="17">
        <f>I32*B33</f>
        <v>0</v>
      </c>
      <c r="J33" s="2"/>
    </row>
    <row r="34" spans="1:10" x14ac:dyDescent="0.25">
      <c r="A34" s="26" t="s">
        <v>36</v>
      </c>
      <c r="B34" s="8"/>
      <c r="C34" s="8"/>
      <c r="D34" s="8"/>
      <c r="E34" s="9"/>
      <c r="F34" s="9"/>
      <c r="G34" s="8"/>
      <c r="H34" s="9"/>
      <c r="I34" s="21">
        <f>SUM(I32:I33)</f>
        <v>0</v>
      </c>
      <c r="J34" s="2"/>
    </row>
    <row r="35" spans="1:10" x14ac:dyDescent="0.25">
      <c r="A35" s="8"/>
      <c r="B35" s="8"/>
      <c r="C35" s="8"/>
      <c r="D35" s="8"/>
      <c r="E35" s="9"/>
      <c r="F35" s="9"/>
      <c r="G35" s="8"/>
      <c r="H35" s="9"/>
      <c r="I35" s="22"/>
      <c r="J35" s="2"/>
    </row>
    <row r="36" spans="1:10" x14ac:dyDescent="0.25">
      <c r="A36" s="23" t="s">
        <v>37</v>
      </c>
      <c r="B36" s="8"/>
      <c r="C36" s="8"/>
      <c r="D36" s="8"/>
      <c r="E36" s="9"/>
      <c r="F36" s="9"/>
      <c r="G36" s="8"/>
      <c r="H36" s="9"/>
      <c r="I36" s="17">
        <f>G30</f>
        <v>0</v>
      </c>
      <c r="J36" s="2"/>
    </row>
    <row r="37" spans="1:10" x14ac:dyDescent="0.25">
      <c r="A37" s="24" t="s">
        <v>38</v>
      </c>
      <c r="B37" s="25">
        <v>0.1</v>
      </c>
      <c r="C37" s="8"/>
      <c r="D37" s="8"/>
      <c r="E37" s="9"/>
      <c r="F37" s="9"/>
      <c r="G37" s="8"/>
      <c r="H37" s="9"/>
      <c r="I37" s="17">
        <f>I36*B37</f>
        <v>0</v>
      </c>
      <c r="J37" s="2"/>
    </row>
    <row r="38" spans="1:10" x14ac:dyDescent="0.25">
      <c r="A38" s="26" t="s">
        <v>39</v>
      </c>
      <c r="B38" s="8"/>
      <c r="C38" s="8"/>
      <c r="D38" s="8"/>
      <c r="E38" s="9"/>
      <c r="F38" s="9"/>
      <c r="G38" s="8"/>
      <c r="H38" s="9"/>
      <c r="I38" s="21">
        <f>SUM(I36:I37)</f>
        <v>0</v>
      </c>
      <c r="J38" s="2"/>
    </row>
    <row r="39" spans="1:10" x14ac:dyDescent="0.25">
      <c r="A39" s="8"/>
      <c r="B39" s="8"/>
      <c r="C39" s="8"/>
      <c r="D39" s="8"/>
      <c r="E39" s="9"/>
      <c r="F39" s="9"/>
      <c r="G39" s="8"/>
      <c r="H39" s="9"/>
      <c r="I39" s="22"/>
      <c r="J39" s="2"/>
    </row>
    <row r="40" spans="1:10" x14ac:dyDescent="0.25">
      <c r="A40" s="26" t="s">
        <v>40</v>
      </c>
      <c r="B40" s="8"/>
      <c r="C40" s="8"/>
      <c r="D40" s="8"/>
      <c r="E40" s="9"/>
      <c r="F40" s="9"/>
      <c r="G40" s="8"/>
      <c r="H40" s="9"/>
      <c r="I40" s="21">
        <f>H30</f>
        <v>0</v>
      </c>
      <c r="J40" s="2"/>
    </row>
    <row r="41" spans="1:10" ht="24" x14ac:dyDescent="0.25">
      <c r="A41" s="26" t="s">
        <v>41</v>
      </c>
      <c r="B41" s="8"/>
      <c r="C41" s="8"/>
      <c r="D41" s="8"/>
      <c r="E41" s="9"/>
      <c r="F41" s="9"/>
      <c r="G41" s="8"/>
      <c r="H41" s="9"/>
      <c r="I41" s="21">
        <f>I34+I38+I40</f>
        <v>0</v>
      </c>
      <c r="J41" s="2"/>
    </row>
    <row r="42" spans="1:10" x14ac:dyDescent="0.25">
      <c r="A42" s="26" t="s">
        <v>42</v>
      </c>
      <c r="B42" s="8"/>
      <c r="C42" s="8"/>
      <c r="D42" s="8"/>
      <c r="E42" s="9"/>
      <c r="F42" s="9"/>
      <c r="G42" s="8"/>
      <c r="H42" s="9"/>
      <c r="I42" s="21">
        <f>SUM(I41:I41)</f>
        <v>0</v>
      </c>
      <c r="J42" s="2"/>
    </row>
    <row r="43" spans="1:10" x14ac:dyDescent="0.25">
      <c r="A43" s="8"/>
      <c r="B43" s="8"/>
      <c r="C43" s="8"/>
      <c r="D43" s="8"/>
      <c r="E43" s="9"/>
      <c r="F43" s="9"/>
      <c r="G43" s="8"/>
      <c r="H43" s="9"/>
      <c r="I43" s="22"/>
      <c r="J43" s="2"/>
    </row>
    <row r="44" spans="1:10" x14ac:dyDescent="0.25">
      <c r="A44" s="23" t="s">
        <v>43</v>
      </c>
      <c r="B44" s="25">
        <v>0.1</v>
      </c>
      <c r="C44" s="8"/>
      <c r="D44" s="8"/>
      <c r="E44" s="9"/>
      <c r="F44" s="9"/>
      <c r="G44" s="8"/>
      <c r="H44" s="9"/>
      <c r="I44" s="17">
        <f>I42*B44</f>
        <v>0</v>
      </c>
      <c r="J44" s="2"/>
    </row>
    <row r="45" spans="1:10" x14ac:dyDescent="0.25">
      <c r="A45" s="26" t="s">
        <v>44</v>
      </c>
      <c r="B45" s="8"/>
      <c r="C45" s="8"/>
      <c r="D45" s="8"/>
      <c r="E45" s="9"/>
      <c r="F45" s="9"/>
      <c r="G45" s="8"/>
      <c r="H45" s="9"/>
      <c r="I45" s="21">
        <f>SUM(I42,I44)</f>
        <v>0</v>
      </c>
      <c r="J45" s="2"/>
    </row>
    <row r="46" spans="1:10" x14ac:dyDescent="0.25">
      <c r="A46" s="23" t="s">
        <v>45</v>
      </c>
      <c r="B46" s="25">
        <v>0.1</v>
      </c>
      <c r="C46" s="8"/>
      <c r="D46" s="8"/>
      <c r="E46" s="9"/>
      <c r="F46" s="9"/>
      <c r="G46" s="8"/>
      <c r="H46" s="9"/>
      <c r="I46" s="27">
        <f>I45*B46</f>
        <v>0</v>
      </c>
      <c r="J46" s="28"/>
    </row>
    <row r="47" spans="1:10" x14ac:dyDescent="0.25">
      <c r="A47" s="26" t="s">
        <v>46</v>
      </c>
      <c r="B47" s="8"/>
      <c r="C47" s="8"/>
      <c r="D47" s="8"/>
      <c r="E47" s="9"/>
      <c r="F47" s="9"/>
      <c r="G47" s="8"/>
      <c r="H47" s="9"/>
      <c r="I47" s="29">
        <f>I45+I46</f>
        <v>0</v>
      </c>
      <c r="J47" s="30"/>
    </row>
    <row r="48" spans="1:10" x14ac:dyDescent="0.25">
      <c r="A48" s="26" t="s">
        <v>47</v>
      </c>
      <c r="B48" s="31">
        <v>2.5000000000000001E-2</v>
      </c>
      <c r="C48" s="8"/>
      <c r="D48" s="8"/>
      <c r="E48" s="9"/>
      <c r="F48" s="9"/>
      <c r="G48" s="8"/>
      <c r="H48" s="9"/>
      <c r="I48" s="29">
        <f>I47*B48</f>
        <v>0</v>
      </c>
      <c r="J48" s="30"/>
    </row>
    <row r="49" spans="1:10" ht="15.75" x14ac:dyDescent="0.25">
      <c r="A49" s="32" t="s">
        <v>16</v>
      </c>
      <c r="B49" s="33"/>
      <c r="C49" s="33"/>
      <c r="D49" s="33"/>
      <c r="E49" s="34"/>
      <c r="F49" s="34"/>
      <c r="G49" s="33"/>
      <c r="H49" s="34"/>
      <c r="I49" s="35">
        <f>SUM(I47,I48)</f>
        <v>0</v>
      </c>
      <c r="J49" s="36"/>
    </row>
    <row r="50" spans="1:10" x14ac:dyDescent="0.25">
      <c r="A50" s="8"/>
      <c r="B50" s="8"/>
      <c r="C50" s="8"/>
      <c r="D50" s="8"/>
      <c r="E50" s="9"/>
      <c r="F50" s="9"/>
      <c r="G50" s="8"/>
      <c r="H50" s="9"/>
      <c r="I50" s="8"/>
      <c r="J50" s="28"/>
    </row>
    <row r="51" spans="1:10" x14ac:dyDescent="0.25">
      <c r="A51" s="2"/>
      <c r="B51" s="2"/>
      <c r="C51" s="2"/>
      <c r="D51" s="2"/>
      <c r="E51" s="37"/>
      <c r="F51" s="2"/>
      <c r="G51" s="2"/>
      <c r="H51" s="2"/>
      <c r="I51" s="2"/>
      <c r="J51" s="28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8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8"/>
    </row>
    <row r="54" spans="1:10" x14ac:dyDescent="0.25">
      <c r="A54" s="38" t="s">
        <v>48</v>
      </c>
      <c r="B54" s="39"/>
      <c r="C54" s="39"/>
      <c r="D54" s="39"/>
      <c r="E54" s="39"/>
      <c r="F54" s="39"/>
      <c r="G54" s="39"/>
      <c r="H54" s="39"/>
      <c r="I54" s="39"/>
      <c r="J54" s="39"/>
    </row>
    <row r="55" spans="1:10" x14ac:dyDescent="0.25">
      <c r="A55" t="s">
        <v>49</v>
      </c>
    </row>
  </sheetData>
  <mergeCells count="24">
    <mergeCell ref="A1:I1"/>
    <mergeCell ref="D2:E2"/>
    <mergeCell ref="F2:I2"/>
    <mergeCell ref="A3:C3"/>
    <mergeCell ref="D3:E3"/>
    <mergeCell ref="F3:I3"/>
    <mergeCell ref="A4:E4"/>
    <mergeCell ref="F4:I4"/>
    <mergeCell ref="A5:E5"/>
    <mergeCell ref="F5:I5"/>
    <mergeCell ref="A6:B6"/>
    <mergeCell ref="C6:E6"/>
    <mergeCell ref="F6:I6"/>
    <mergeCell ref="A54:J54"/>
    <mergeCell ref="A7:B7"/>
    <mergeCell ref="C7:E7"/>
    <mergeCell ref="F7:I7"/>
    <mergeCell ref="A8:A9"/>
    <mergeCell ref="B8:B9"/>
    <mergeCell ref="C8:C9"/>
    <mergeCell ref="D8:E8"/>
    <mergeCell ref="F8:G8"/>
    <mergeCell ref="H8:H9"/>
    <mergeCell ref="I8:I9"/>
  </mergeCells>
  <phoneticPr fontId="3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ALEC J SrA USAF AETC 42 CONS/PKA</dc:creator>
  <cp:lastModifiedBy>BROWN, DARTAMIEN W CIV USAF AETC 42 CONS/PKC</cp:lastModifiedBy>
  <dcterms:created xsi:type="dcterms:W3CDTF">2026-04-09T19:12:04Z</dcterms:created>
  <dcterms:modified xsi:type="dcterms:W3CDTF">2026-04-13T14:34:25Z</dcterms:modified>
</cp:coreProperties>
</file>