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socom.sharepoint-mil.us/sites/marsoc-contracting/Shared Documents/General/eFiles/FY26/SW - Industry Day &amp; Acq Forecast/"/>
    </mc:Choice>
  </mc:AlternateContent>
  <xr:revisionPtr revIDLastSave="121" documentId="8_{739B401B-2D26-415E-B3DB-7AE26E769E09}" xr6:coauthVersionLast="47" xr6:coauthVersionMax="47" xr10:uidLastSave="{6C9D507F-65D6-4BCD-9DBE-179F8DC727D8}"/>
  <bookViews>
    <workbookView xWindow="-110" yWindow="30" windowWidth="38620" windowHeight="20960" xr2:uid="{70F4A865-F914-4767-9048-95B1E4C57962}"/>
  </bookViews>
  <sheets>
    <sheet name="Sheet2" sheetId="2" r:id="rId1"/>
  </sheets>
  <definedNames>
    <definedName name="_xlnm._FilterDatabase" localSheetId="0" hidden="1">Sheet2!$A$2:$L$2</definedName>
    <definedName name="_xlnm.Print_Area" localSheetId="0">Sheet2!$A$1:$L$42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2" l="1"/>
  <c r="E24" i="2"/>
  <c r="E8" i="2"/>
  <c r="F24" i="2" l="1"/>
  <c r="E9" i="2"/>
  <c r="F5" i="2"/>
  <c r="E10" i="2"/>
  <c r="E3" i="2"/>
  <c r="F41" i="2"/>
  <c r="E41" i="2" s="1"/>
  <c r="F37" i="2"/>
  <c r="E37" i="2" s="1"/>
  <c r="F28" i="2"/>
  <c r="E28" i="2" s="1"/>
  <c r="F26" i="2"/>
  <c r="E26" i="2" s="1"/>
  <c r="F39" i="2"/>
  <c r="E39" i="2" s="1"/>
  <c r="F38" i="2"/>
  <c r="E38" i="2" s="1"/>
  <c r="F17" i="2"/>
  <c r="E17" i="2" s="1"/>
  <c r="F31" i="2"/>
  <c r="E31" i="2" s="1"/>
  <c r="F29" i="2"/>
  <c r="E29" i="2" s="1"/>
  <c r="F4" i="2"/>
  <c r="E6" i="2"/>
  <c r="F23" i="2"/>
  <c r="E23" i="2" s="1"/>
  <c r="F7" i="2"/>
  <c r="E7" i="2" s="1"/>
  <c r="F14" i="2"/>
  <c r="E14" i="2" s="1"/>
  <c r="F11" i="2"/>
  <c r="F12" i="2"/>
  <c r="E12" i="2" s="1"/>
  <c r="F13" i="2"/>
  <c r="E13" i="2" s="1"/>
  <c r="F15" i="2"/>
  <c r="E15" i="2" s="1"/>
  <c r="F22" i="2"/>
  <c r="F16" i="2"/>
  <c r="E16" i="2" s="1"/>
  <c r="F19" i="2"/>
  <c r="E19" i="2" s="1"/>
  <c r="F20" i="2"/>
  <c r="E20" i="2" s="1"/>
  <c r="F21" i="2"/>
  <c r="E21" i="2" s="1"/>
  <c r="F25" i="2"/>
  <c r="E25" i="2" s="1"/>
  <c r="F27" i="2"/>
  <c r="E27" i="2" s="1"/>
  <c r="F30" i="2"/>
  <c r="E30" i="2" s="1"/>
  <c r="F32" i="2"/>
  <c r="E32" i="2" s="1"/>
  <c r="F33" i="2"/>
  <c r="E33" i="2" s="1"/>
  <c r="F34" i="2"/>
  <c r="E34" i="2" s="1"/>
  <c r="F35" i="2"/>
  <c r="E35" i="2" s="1"/>
  <c r="F36" i="2"/>
  <c r="E36" i="2" s="1"/>
  <c r="F40" i="2"/>
  <c r="E40" i="2" s="1"/>
  <c r="F42" i="2"/>
  <c r="E42" i="2" s="1"/>
</calcChain>
</file>

<file path=xl/sharedStrings.xml><?xml version="1.0" encoding="utf-8"?>
<sst xmlns="http://schemas.openxmlformats.org/spreadsheetml/2006/main" count="291" uniqueCount="194">
  <si>
    <t>SAM</t>
  </si>
  <si>
    <t>H9225722F0067</t>
  </si>
  <si>
    <t>H9225721F0099</t>
  </si>
  <si>
    <t>H9225722D0005</t>
  </si>
  <si>
    <t>H9225722F0073</t>
  </si>
  <si>
    <t>H9225722D0003</t>
  </si>
  <si>
    <t>TBD</t>
  </si>
  <si>
    <t>H9225722F0034</t>
  </si>
  <si>
    <t>H9225723F0090</t>
  </si>
  <si>
    <t>H9225722D0007</t>
  </si>
  <si>
    <t>H9225721D0002</t>
  </si>
  <si>
    <t>H9225723D0001</t>
  </si>
  <si>
    <t>H9225723D0005</t>
  </si>
  <si>
    <t>H9225725FE034</t>
  </si>
  <si>
    <t>H9225724P0044</t>
  </si>
  <si>
    <t>H9225725F0008</t>
  </si>
  <si>
    <t>H9225725F0001</t>
  </si>
  <si>
    <t>H9225725DE001</t>
  </si>
  <si>
    <t>H9225725DE002</t>
  </si>
  <si>
    <t>H9225725FE059</t>
  </si>
  <si>
    <t>Previous Contract #</t>
  </si>
  <si>
    <t>Requirement</t>
  </si>
  <si>
    <t>Brief Description</t>
  </si>
  <si>
    <t>Anticipated Contract Type</t>
  </si>
  <si>
    <t>Anticipated Award Date</t>
  </si>
  <si>
    <t>Marine Raider Training Center (MRTC) Advanced Training Company (ATC)</t>
  </si>
  <si>
    <t>Recruiting &amp; Advertising Manpower Support</t>
  </si>
  <si>
    <t>Combat Development Systems Engineering and Technical Assistance (SETA) Support</t>
  </si>
  <si>
    <t>Marine Raider Training Center (MRTC) Direct Action Instructor Support</t>
  </si>
  <si>
    <t>Marine Raider Regiment Prolonged Field Care</t>
  </si>
  <si>
    <t>Contract Logistics Support (CLS)</t>
  </si>
  <si>
    <t>Marine Raider Training Center (MRTC) Initial Training Course (ITC) Manpower Support</t>
  </si>
  <si>
    <t>RAVEN</t>
  </si>
  <si>
    <t>Audio/Visual Renovation</t>
  </si>
  <si>
    <t>MARSOC Exercise and Training Cell Manpower Support</t>
  </si>
  <si>
    <t>MARSOC Multi-Function Device (MFD) Leases</t>
  </si>
  <si>
    <t>MARSOC Signals Intelligence Course Support</t>
  </si>
  <si>
    <t>MARSOC Assessment &amp; Selection (A&amp;S) Support</t>
  </si>
  <si>
    <t>Marine Raider Training Center (MRTC) Derna Bridge Support</t>
  </si>
  <si>
    <t>Marine Raider Regiment (MRR) Explosive Ordinance Disposal (EOD) Primer Course</t>
  </si>
  <si>
    <t>Recruiting &amp; Advertising Customer Relationship Management (CRM) Software Support</t>
  </si>
  <si>
    <t>Military Free Fall &amp; Static Line Training Program Support</t>
  </si>
  <si>
    <t>Video Teleconference (VTC) Maintenance &amp; Support</t>
  </si>
  <si>
    <t>MARSOC Cell Phone &amp; Services Support</t>
  </si>
  <si>
    <t>MARSOC Subject Matter Expert (SME) Support</t>
  </si>
  <si>
    <t>MARSOC JTAC &amp; FIRES</t>
  </si>
  <si>
    <t>Renovation and remodeling services</t>
  </si>
  <si>
    <t>MFD Leases</t>
  </si>
  <si>
    <t xml:space="preserve">Software services </t>
  </si>
  <si>
    <t>Maintenance services</t>
  </si>
  <si>
    <t>Capability Development Services and Support (CDSS)</t>
  </si>
  <si>
    <t>Telecommunications support services</t>
  </si>
  <si>
    <t>Preservation of the Force and Family support services</t>
  </si>
  <si>
    <t>Communications and innovation support services</t>
  </si>
  <si>
    <t>Current End Date</t>
  </si>
  <si>
    <t>FFP; Single Award</t>
  </si>
  <si>
    <t>FFP; Single Award IDIQ</t>
  </si>
  <si>
    <t>COST; Single Award IDIQ</t>
  </si>
  <si>
    <t>FFP/CR; Single Award IDIQ</t>
  </si>
  <si>
    <t>NEW</t>
  </si>
  <si>
    <t>Anticipated PoP (Months)</t>
  </si>
  <si>
    <t>Anticipated PSC</t>
  </si>
  <si>
    <t>47QFSA22F0002</t>
  </si>
  <si>
    <t>R499</t>
  </si>
  <si>
    <t>U099</t>
  </si>
  <si>
    <t>R408</t>
  </si>
  <si>
    <t>J056</t>
  </si>
  <si>
    <t>W075</t>
  </si>
  <si>
    <t>DH10</t>
  </si>
  <si>
    <t>H9225724P0010</t>
  </si>
  <si>
    <t>DE10</t>
  </si>
  <si>
    <t>V121</t>
  </si>
  <si>
    <t>B544</t>
  </si>
  <si>
    <t>DG10</t>
  </si>
  <si>
    <t>Family Retreat Services Support</t>
  </si>
  <si>
    <t>G002</t>
  </si>
  <si>
    <t>U009</t>
  </si>
  <si>
    <t>R425</t>
  </si>
  <si>
    <t>MARSOC LONG RANGE ACQUISITION FORECAST CURRENT A/O FEBRUARY 2026</t>
  </si>
  <si>
    <t>GSA OASIS+</t>
  </si>
  <si>
    <t>Multiple</t>
  </si>
  <si>
    <t>N/A</t>
  </si>
  <si>
    <t>Incumbent CAGE</t>
  </si>
  <si>
    <t>6SM72</t>
  </si>
  <si>
    <t>750L3</t>
  </si>
  <si>
    <t>6LQ27</t>
  </si>
  <si>
    <t>86HT1</t>
  </si>
  <si>
    <t>7H4F5</t>
  </si>
  <si>
    <t>75Y52</t>
  </si>
  <si>
    <t>6ADQ1</t>
  </si>
  <si>
    <t>7RQV1</t>
  </si>
  <si>
    <t>0ET80</t>
  </si>
  <si>
    <t>4RBN5</t>
  </si>
  <si>
    <t>068Z8</t>
  </si>
  <si>
    <t>3KEK1</t>
  </si>
  <si>
    <t>52PG3</t>
  </si>
  <si>
    <t>1QCD0</t>
  </si>
  <si>
    <t>4J2K1</t>
  </si>
  <si>
    <t>5BHV3</t>
  </si>
  <si>
    <t>8CHV7</t>
  </si>
  <si>
    <t>58DN1</t>
  </si>
  <si>
    <t>44EC8</t>
  </si>
  <si>
    <t>6NXN3</t>
  </si>
  <si>
    <t>8TMU2</t>
  </si>
  <si>
    <t>5XWG0</t>
  </si>
  <si>
    <t>Strategic Communications IDIQ</t>
  </si>
  <si>
    <t>H9225723D0004</t>
  </si>
  <si>
    <t>69KV6</t>
  </si>
  <si>
    <t>Adobe Cloud Licenses</t>
  </si>
  <si>
    <t>H9225723F0008</t>
  </si>
  <si>
    <t>0YZW5</t>
  </si>
  <si>
    <t>Fitness Equipment Maintenance</t>
  </si>
  <si>
    <t>H9225723P0091</t>
  </si>
  <si>
    <t>9L2S1</t>
  </si>
  <si>
    <t>Traveler's Security Course IDIQ</t>
  </si>
  <si>
    <t>H9225724D0003</t>
  </si>
  <si>
    <t>758F0</t>
  </si>
  <si>
    <t>Spectrum Guard Pro</t>
  </si>
  <si>
    <t>IT Hardware &amp; Software</t>
  </si>
  <si>
    <t>H9225724F0102</t>
  </si>
  <si>
    <t>91QC4</t>
  </si>
  <si>
    <t>MRTC Audio Visual Equipment Maintenance</t>
  </si>
  <si>
    <t>IT Maintenance</t>
  </si>
  <si>
    <t>H9225724P0042</t>
  </si>
  <si>
    <t>Marine Raider Support Group Parts Washer</t>
  </si>
  <si>
    <t>Equipment Maintenance</t>
  </si>
  <si>
    <t>H9225725FE029</t>
  </si>
  <si>
    <t>1NLB2</t>
  </si>
  <si>
    <t>Health Support Services Sterilizer Washer</t>
  </si>
  <si>
    <t>Equipment Installation &amp; Maintenance</t>
  </si>
  <si>
    <t>H9225725FE055</t>
  </si>
  <si>
    <t>0NWN1</t>
  </si>
  <si>
    <t>Palo Alto Subscription</t>
  </si>
  <si>
    <t>IT Software</t>
  </si>
  <si>
    <t>H9225725FE087</t>
  </si>
  <si>
    <t>1UEU0</t>
  </si>
  <si>
    <t>MRTC Portable Toilets</t>
  </si>
  <si>
    <t>Portable Toilet Delivery &amp; Service</t>
  </si>
  <si>
    <t>H9225725P0001</t>
  </si>
  <si>
    <t>4ZRB1</t>
  </si>
  <si>
    <t>Symantec Subscription</t>
  </si>
  <si>
    <t>IT Services</t>
  </si>
  <si>
    <t>H9225725PE050</t>
  </si>
  <si>
    <t>1EJ55</t>
  </si>
  <si>
    <t>NASA SEWP</t>
  </si>
  <si>
    <t>7E20</t>
  </si>
  <si>
    <t>F108</t>
  </si>
  <si>
    <t>J065</t>
  </si>
  <si>
    <t>7A21</t>
  </si>
  <si>
    <t>J071</t>
  </si>
  <si>
    <t>DJ10</t>
  </si>
  <si>
    <t>U008</t>
  </si>
  <si>
    <t>W085</t>
  </si>
  <si>
    <t>DN01</t>
  </si>
  <si>
    <t>MARSOC Strategic Messaging &amp; Warfighting Innovation Support</t>
  </si>
  <si>
    <t>MARSOC Training and Logistics Support Activity / Intelligent Robotic and Autonomous Systems</t>
  </si>
  <si>
    <t>H9225724D0004</t>
  </si>
  <si>
    <t>(8) FTE and Exercise support</t>
  </si>
  <si>
    <t>(1) FTE, Exercise and training support</t>
  </si>
  <si>
    <t>MARSOC Pre-deployment Training Program (PTP) Support</t>
  </si>
  <si>
    <t>Physical Security Administrative Manpower Support</t>
  </si>
  <si>
    <t>Multi-Discipline Intelligence Operators Course (MDIOC) Special Operations Capable Support (SOCS) - Humint Support</t>
  </si>
  <si>
    <t>Anticipated Procurement Method</t>
  </si>
  <si>
    <t>Anticipated Solicitation Date</t>
  </si>
  <si>
    <t>Anticipated NAICS Code</t>
  </si>
  <si>
    <t>Personnel Recovery / Survival Evasion Resistance Escape Instructor Support</t>
  </si>
  <si>
    <t>SOFGSD</t>
  </si>
  <si>
    <t>Provide manpower augmentation to support capability development teams with technical expertise across seven areas: C5ISR, Targeting, ISS, Sensitive Activities &amp; Effects, Lethality, General Combat Development, and Requirements Coordination. Support includes collecting lessons learned, market research, user data gathering, and assisting in drafting and validating requirements. This requires knowledge of SOF units, TSOC organization, requirements management, and acquisition processes.  (7 FTEs)</t>
  </si>
  <si>
    <t>Provide with a contractor-managed recruiting and marketing capability, executing all R&amp;A mission functions to meet Government-defined shipping targets. Success is measured by the quality and quantity of applicants completing the screening process and entering training pipelines.(14 FTEs)</t>
  </si>
  <si>
    <t>Provide manpower augmentation through qualified instructors to support training and sustainment of 1000 and 2000 level Direct Action and Combative standards. Instructors will support the Marine Raider Course (Phase II), MARSOF Master Assaulters Course, and MARSOC SOF Fundamentals Course. (3 FTEs and 8 PTEs)</t>
  </si>
  <si>
    <t>Deliver advanced medical training solutions to support operational readiness, including: (1) Prolonged Field Care with cadaveric options and scenario-based practical modules, (2) Special Operations Austere Medical Training for non-medics, and (3) Custom Medical Training featuring role player/SME support, specialized modules, and mobile training capabilities.</t>
  </si>
  <si>
    <t>Provide SMEs to facilitate the JTAC Program and Multi-Tactical Data Link Network requirements. (7) FTE support</t>
  </si>
  <si>
    <t>Communication training focused on enhancing individuals' ability to deliver clear and concise verbal and written information. The goal is to foster a culture of brevity, reducing meeting time, speeding decision-making, improving mission understanding, increasing efficiency, and ensuring message clarity. Courses may be offered in-person, online, or hybrid.</t>
  </si>
  <si>
    <t>Provide FTEs across a wide range of labor categories. (25 FTEs)</t>
  </si>
  <si>
    <t>Provide non-guard security personnel, including security specialists, access control clerks, alarm monitors, physical security specialists, and special security representatives. (17 FTEs)</t>
  </si>
  <si>
    <t>Provide FTEs across a wide range of labor categories. (85 FTEs)</t>
  </si>
  <si>
    <t>Provide MRTC with full-time and episodic Subject Matter Experts (SMEs) to support the Advanced Training Company (ATC) programs of instruction for MARFORSOC. The contractor will also deliver episodic support, including role-players, equipment, and facilities, to plan and execute courses such as the MARFORSOC Technical Surveillance Cyber Course (MTSCC), Explosive Ordnance Disposal Levels I and II (EOD LVL I &amp; II), MARSOC Advanced Sniper Course (MASC), Special Operations Level 1 Course (SOF LVL 1), Robotics Lethality Course (RLC), and MARSOC Instructor Training Courses (MITC). (16 FTEs)</t>
  </si>
  <si>
    <t>Provide Special Operations Capability Specialist – Signals Intelligence (SOCS-Fs) and SIGINT Collection Teams (SCTs) with full-range SIGINT training utilizing current and advanced methodologies within the SIGINT/Electronic Warfare realm.</t>
  </si>
  <si>
    <t>Provide the MRTC Assessment &amp; Selection Branch with full-time and part-time cadre instructors, part-time Human Behavioral SMEs, site coordination, support personnel, catering services, and other program-related support. (7 FTEs and  105 PTEs)</t>
  </si>
  <si>
    <t>Provide comprehensive training, supply, and logistical support for the MRTC culminating exercise, including full-time employees (FTEs), part-time employees (PTEs), and role players. (5 FTEs)</t>
  </si>
  <si>
    <t>Provide FTEs across a wide range of labor categories supporting both Marine Raider Regment and Marine Raider Support Group. (34 FTEs)</t>
  </si>
  <si>
    <t>Provide fully qualified PR/SERE Subject Matter Experts (SMEs) and instructors who maintain proficiency in evolving PR/SERE TTPs, adult learning theory, and team/culture building principles, following Government-provided Programs of Instruction (POI), Master Lesson Files (MLF), and related references. (24 FTE &amp; 15 PTE)</t>
  </si>
  <si>
    <t>Provide program management and comprehensive turnkey support for full-spectrum SOF exercises and training.</t>
  </si>
  <si>
    <t>Provide personnel, equipment, materials, and services to deliver instruction and scenarios on EOD threat assessment, diagnostics, precision/volumetric disruption, IED defeat, stabilization, hostage handling, CBR hazards, site exploitation, and special reconnaissance support using remote/manual techniques in permissive and non-permissive environments. Training includes live-fire and non-live-fire evolutions.</t>
  </si>
  <si>
    <t>Provide a software platform that enables recruiters to efficiently identify and engage with applicants, track their status, ensure accountability, and deliver resource metrics to support data-driven decision-making throughout the recruitment process.</t>
  </si>
  <si>
    <t>Provide all necessary direct labor, materials, transportation, supervision, aircraft, and administrative services required to perform Air Support operations for Government-directed missions. This includes all items and services not designated as Government-furnished, in compliance with Department of Defense quality and safety standards outlined in DODI 4500.53, USSOCOM Directive 350-8, FAA Part 135, and the USSOCOM Intrastate Contract Aviation Paratroop Survey Checklist, as applicable, at CONUS and OCONUS locations.</t>
  </si>
  <si>
    <t>Provide professional Subject Matter Expert (SME) support to develop MARFORSOC Technology Objectives (MTOs), support requirements generation, execute capability development projects, scout and assess emerging technologies, and conduct technical and combat evaluations (CVs) of potential solutions to meet MARFORSOC operational requirements.  (7 PTEs)</t>
  </si>
  <si>
    <t>Provide training courses focused on operational cybersecurity, specifically on device configuration for digital data protection.</t>
  </si>
  <si>
    <t>Provide FTEs across a wide range of labor categories. (26 FTEs)</t>
  </si>
  <si>
    <t xml:space="preserve">Provide support by maintaining IRAS equipment, training operators and support personnel, developing TTPs, advancing hardware/software, and providing operational support to MRR, MRSG, MRTC, Marine Corps Operational Forces, other SOF, and U.S. Government Agencies. Responsibilities also include sustaining IRAS facilities infrastructure and providing SME support to MARSOC Headquarters. (14 FTEs) </t>
  </si>
  <si>
    <t>SAM / WOSB</t>
  </si>
  <si>
    <t>GSA OASIS+ / SB</t>
  </si>
  <si>
    <t>SAM / SB</t>
  </si>
  <si>
    <t>SAM / SDVOSB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</si>
</sst>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14" fontId="0" fillId="0" borderId="1" xfId="0" applyNumberFormat="1" applyFill="1" applyBorder="1" applyAlignment="1">
      <alignment horizontal="center" vertical="center"/>
    </xf>
    <xf numFmtId="14" fontId="2" fillId="0" borderId="1" xfId="0" applyNumberFormat="1" applyFont="1" applyFill="1" applyBorder="1" applyAlignment="1">
      <alignment horizontal="center" vertical="center"/>
    </xf>
    <xf numFmtId="0" fontId="1" fillId="0" borderId="2" xfId="0" applyFont="1" applyBorder="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xf>
    <xf numFmtId="0" fontId="1"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14" fontId="1" fillId="0" borderId="1" xfId="0" applyNumberFormat="1" applyFont="1" applyFill="1" applyBorder="1" applyAlignment="1">
      <alignment horizontal="center" vertical="center"/>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xf>
    <xf numFmtId="0" fontId="0" fillId="0" borderId="1" xfId="0" applyNumberFormat="1" applyFill="1" applyBorder="1" applyAlignment="1">
      <alignment horizontal="center" vertical="center"/>
    </xf>
    <xf numFmtId="49" fontId="0" fillId="0" borderId="1" xfId="0" applyNumberFormat="1" applyFill="1" applyBorder="1" applyAlignment="1">
      <alignment horizontal="center" vertical="center"/>
    </xf>
    <xf numFmtId="0" fontId="2" fillId="0" borderId="0" xfId="0" applyFont="1" applyAlignment="1">
      <alignment horizontal="center" vertical="center"/>
    </xf>
    <xf numFmtId="14"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0" fontId="1" fillId="0" borderId="1" xfId="0" applyFont="1" applyFill="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C0C-323E-4C37-A4B1-911915869BBB}">
  <sheetPr>
    <pageSetUpPr fitToPage="1"/>
  </sheetPr>
  <dimension ref="A1:L42"/>
  <sheetViews>
    <sheetView tabSelected="1" topLeftCell="A25" workbookViewId="0">
      <selection activeCell="E5" sqref="E5"/>
    </sheetView>
  </sheetViews>
  <sheetFormatPr defaultColWidth="8.81640625" defaultRowHeight="14.5" x14ac:dyDescent="0.35"/>
  <cols>
    <col min="1" max="1" width="52.54296875" style="4" bestFit="1" customWidth="1"/>
    <col min="2" max="2" width="44.26953125" style="21" bestFit="1" customWidth="1"/>
    <col min="3" max="3" width="27.26953125" style="4" customWidth="1"/>
    <col min="4" max="4" width="33.26953125" style="4" customWidth="1"/>
    <col min="5" max="5" width="30.26953125" style="4" customWidth="1"/>
    <col min="6" max="6" width="25.08984375" style="4" customWidth="1"/>
    <col min="7" max="7" width="26.7265625" style="18" customWidth="1"/>
    <col min="8" max="8" width="26.26953125" style="18" customWidth="1"/>
    <col min="9" max="9" width="19" style="19" customWidth="1"/>
    <col min="10" max="10" width="21.7265625" style="4" bestFit="1" customWidth="1"/>
    <col min="11" max="12" width="19.6328125" style="4" bestFit="1" customWidth="1"/>
    <col min="13" max="16384" width="8.81640625" style="4"/>
  </cols>
  <sheetData>
    <row r="1" spans="1:12" x14ac:dyDescent="0.35">
      <c r="A1" s="3" t="s">
        <v>78</v>
      </c>
      <c r="B1" s="3"/>
      <c r="C1" s="3"/>
      <c r="D1" s="3"/>
      <c r="E1" s="3"/>
      <c r="F1" s="3"/>
      <c r="G1" s="3"/>
      <c r="H1" s="3"/>
      <c r="I1" s="3"/>
      <c r="J1" s="3"/>
      <c r="K1" s="3"/>
      <c r="L1" s="3"/>
    </row>
    <row r="2" spans="1:12" x14ac:dyDescent="0.35">
      <c r="A2" s="5" t="s">
        <v>21</v>
      </c>
      <c r="B2" s="20" t="s">
        <v>22</v>
      </c>
      <c r="C2" s="5" t="s">
        <v>23</v>
      </c>
      <c r="D2" s="5" t="s">
        <v>162</v>
      </c>
      <c r="E2" s="5" t="s">
        <v>163</v>
      </c>
      <c r="F2" s="5" t="s">
        <v>24</v>
      </c>
      <c r="G2" s="6" t="s">
        <v>60</v>
      </c>
      <c r="H2" s="6" t="s">
        <v>164</v>
      </c>
      <c r="I2" s="7" t="s">
        <v>61</v>
      </c>
      <c r="J2" s="5" t="s">
        <v>20</v>
      </c>
      <c r="K2" s="5" t="s">
        <v>82</v>
      </c>
      <c r="L2" s="8" t="s">
        <v>54</v>
      </c>
    </row>
    <row r="3" spans="1:12" x14ac:dyDescent="0.35">
      <c r="A3" s="9" t="s">
        <v>108</v>
      </c>
      <c r="B3" s="9" t="s">
        <v>48</v>
      </c>
      <c r="C3" s="1" t="s">
        <v>55</v>
      </c>
      <c r="D3" s="10" t="s">
        <v>144</v>
      </c>
      <c r="E3" s="2">
        <f>F3-90</f>
        <v>46084</v>
      </c>
      <c r="F3" s="1">
        <v>46174</v>
      </c>
      <c r="G3" s="11">
        <v>60</v>
      </c>
      <c r="H3" s="11">
        <v>334111</v>
      </c>
      <c r="I3" s="12" t="s">
        <v>148</v>
      </c>
      <c r="J3" s="10" t="s">
        <v>109</v>
      </c>
      <c r="K3" s="10" t="s">
        <v>110</v>
      </c>
      <c r="L3" s="1">
        <v>46083</v>
      </c>
    </row>
    <row r="4" spans="1:12" ht="159.5" x14ac:dyDescent="0.35">
      <c r="A4" s="9" t="s">
        <v>27</v>
      </c>
      <c r="B4" s="9" t="s">
        <v>167</v>
      </c>
      <c r="C4" s="1" t="s">
        <v>55</v>
      </c>
      <c r="D4" s="10" t="s">
        <v>190</v>
      </c>
      <c r="E4" s="2">
        <v>46113</v>
      </c>
      <c r="F4" s="1">
        <f>L4-30</f>
        <v>46180</v>
      </c>
      <c r="G4" s="11">
        <v>60</v>
      </c>
      <c r="H4" s="11">
        <v>541715</v>
      </c>
      <c r="I4" s="12" t="s">
        <v>63</v>
      </c>
      <c r="J4" s="10" t="s">
        <v>2</v>
      </c>
      <c r="K4" s="10" t="s">
        <v>85</v>
      </c>
      <c r="L4" s="1">
        <v>46210</v>
      </c>
    </row>
    <row r="5" spans="1:12" ht="87" x14ac:dyDescent="0.35">
      <c r="A5" s="9" t="s">
        <v>26</v>
      </c>
      <c r="B5" s="9" t="s">
        <v>168</v>
      </c>
      <c r="C5" s="1" t="s">
        <v>55</v>
      </c>
      <c r="D5" s="10" t="s">
        <v>191</v>
      </c>
      <c r="E5" s="2">
        <v>46113</v>
      </c>
      <c r="F5" s="1">
        <f>L5-10</f>
        <v>46193</v>
      </c>
      <c r="G5" s="11">
        <v>60</v>
      </c>
      <c r="H5" s="11">
        <v>541990</v>
      </c>
      <c r="I5" s="12" t="s">
        <v>63</v>
      </c>
      <c r="J5" s="10" t="s">
        <v>1</v>
      </c>
      <c r="K5" s="10" t="s">
        <v>84</v>
      </c>
      <c r="L5" s="1">
        <v>46203</v>
      </c>
    </row>
    <row r="6" spans="1:12" ht="101.5" x14ac:dyDescent="0.35">
      <c r="A6" s="9" t="s">
        <v>28</v>
      </c>
      <c r="B6" s="9" t="s">
        <v>169</v>
      </c>
      <c r="C6" s="1" t="s">
        <v>56</v>
      </c>
      <c r="D6" s="10" t="s">
        <v>190</v>
      </c>
      <c r="E6" s="2">
        <f>F6-180</f>
        <v>46115</v>
      </c>
      <c r="F6" s="1">
        <v>46295</v>
      </c>
      <c r="G6" s="11">
        <v>60</v>
      </c>
      <c r="H6" s="11">
        <v>611699</v>
      </c>
      <c r="I6" s="12" t="s">
        <v>64</v>
      </c>
      <c r="J6" s="10" t="s">
        <v>3</v>
      </c>
      <c r="K6" s="10" t="s">
        <v>86</v>
      </c>
      <c r="L6" s="1">
        <v>46217</v>
      </c>
    </row>
    <row r="7" spans="1:12" ht="116" x14ac:dyDescent="0.35">
      <c r="A7" s="9" t="s">
        <v>29</v>
      </c>
      <c r="B7" s="9" t="s">
        <v>170</v>
      </c>
      <c r="C7" s="1" t="s">
        <v>56</v>
      </c>
      <c r="D7" s="10" t="s">
        <v>192</v>
      </c>
      <c r="E7" s="2">
        <f>F7-180</f>
        <v>46118</v>
      </c>
      <c r="F7" s="1">
        <f>L7-30</f>
        <v>46298</v>
      </c>
      <c r="G7" s="11">
        <v>60</v>
      </c>
      <c r="H7" s="11">
        <v>611699</v>
      </c>
      <c r="I7" s="12" t="s">
        <v>64</v>
      </c>
      <c r="J7" s="10" t="s">
        <v>5</v>
      </c>
      <c r="K7" s="10" t="s">
        <v>90</v>
      </c>
      <c r="L7" s="1">
        <v>46328</v>
      </c>
    </row>
    <row r="8" spans="1:12" x14ac:dyDescent="0.35">
      <c r="A8" s="9" t="s">
        <v>33</v>
      </c>
      <c r="B8" s="9" t="s">
        <v>46</v>
      </c>
      <c r="C8" s="1" t="s">
        <v>56</v>
      </c>
      <c r="D8" s="10" t="s">
        <v>192</v>
      </c>
      <c r="E8" s="2">
        <f>F8-150</f>
        <v>46145</v>
      </c>
      <c r="F8" s="1">
        <v>46295</v>
      </c>
      <c r="G8" s="11">
        <v>60</v>
      </c>
      <c r="H8" s="11">
        <v>811411</v>
      </c>
      <c r="I8" s="12" t="s">
        <v>66</v>
      </c>
      <c r="J8" s="10" t="s">
        <v>156</v>
      </c>
      <c r="K8" s="10" t="s">
        <v>91</v>
      </c>
      <c r="L8" s="1">
        <v>46204</v>
      </c>
    </row>
    <row r="9" spans="1:12" ht="43.5" x14ac:dyDescent="0.35">
      <c r="A9" s="9" t="s">
        <v>45</v>
      </c>
      <c r="B9" s="9" t="s">
        <v>171</v>
      </c>
      <c r="C9" s="1" t="s">
        <v>55</v>
      </c>
      <c r="D9" s="10" t="s">
        <v>193</v>
      </c>
      <c r="E9" s="2">
        <f>F9-120</f>
        <v>46175</v>
      </c>
      <c r="F9" s="1">
        <v>46295</v>
      </c>
      <c r="G9" s="11">
        <v>60</v>
      </c>
      <c r="H9" s="11">
        <v>541990</v>
      </c>
      <c r="I9" s="12" t="s">
        <v>63</v>
      </c>
      <c r="J9" s="10" t="s">
        <v>59</v>
      </c>
      <c r="K9" s="10" t="s">
        <v>81</v>
      </c>
      <c r="L9" s="1">
        <v>46235</v>
      </c>
    </row>
    <row r="10" spans="1:12" s="13" customFormat="1" ht="101.5" x14ac:dyDescent="0.35">
      <c r="A10" s="9" t="s">
        <v>105</v>
      </c>
      <c r="B10" s="9" t="s">
        <v>172</v>
      </c>
      <c r="C10" s="1" t="s">
        <v>56</v>
      </c>
      <c r="D10" s="10" t="s">
        <v>192</v>
      </c>
      <c r="E10" s="2">
        <f>F10-90</f>
        <v>46205</v>
      </c>
      <c r="F10" s="1">
        <v>46295</v>
      </c>
      <c r="G10" s="11">
        <v>60</v>
      </c>
      <c r="H10" s="11">
        <v>611430</v>
      </c>
      <c r="I10" s="12" t="s">
        <v>151</v>
      </c>
      <c r="J10" s="10" t="s">
        <v>106</v>
      </c>
      <c r="K10" s="10" t="s">
        <v>107</v>
      </c>
      <c r="L10" s="1">
        <v>46097</v>
      </c>
    </row>
    <row r="11" spans="1:12" ht="29" x14ac:dyDescent="0.35">
      <c r="A11" s="9" t="s">
        <v>31</v>
      </c>
      <c r="B11" s="9" t="s">
        <v>173</v>
      </c>
      <c r="C11" s="1" t="s">
        <v>55</v>
      </c>
      <c r="D11" s="10" t="s">
        <v>166</v>
      </c>
      <c r="E11" s="2">
        <v>46296</v>
      </c>
      <c r="F11" s="1">
        <f t="shared" ref="F11:F17" si="0">L11-30</f>
        <v>46430</v>
      </c>
      <c r="G11" s="11">
        <v>60</v>
      </c>
      <c r="H11" s="11">
        <v>541990</v>
      </c>
      <c r="I11" s="12" t="s">
        <v>65</v>
      </c>
      <c r="J11" s="10" t="s">
        <v>7</v>
      </c>
      <c r="K11" s="10" t="s">
        <v>84</v>
      </c>
      <c r="L11" s="1">
        <v>46460</v>
      </c>
    </row>
    <row r="12" spans="1:12" x14ac:dyDescent="0.35">
      <c r="A12" s="9" t="s">
        <v>32</v>
      </c>
      <c r="B12" s="9" t="s">
        <v>157</v>
      </c>
      <c r="C12" s="1" t="s">
        <v>58</v>
      </c>
      <c r="D12" s="10" t="s">
        <v>166</v>
      </c>
      <c r="E12" s="2">
        <f t="shared" ref="E12:E17" si="1">F12-180</f>
        <v>46358</v>
      </c>
      <c r="F12" s="1">
        <f t="shared" si="0"/>
        <v>46538</v>
      </c>
      <c r="G12" s="11">
        <v>60</v>
      </c>
      <c r="H12" s="11">
        <v>611699</v>
      </c>
      <c r="I12" s="12" t="s">
        <v>63</v>
      </c>
      <c r="J12" s="10" t="s">
        <v>80</v>
      </c>
      <c r="K12" s="10" t="s">
        <v>83</v>
      </c>
      <c r="L12" s="1">
        <v>46568</v>
      </c>
    </row>
    <row r="13" spans="1:12" ht="58" x14ac:dyDescent="0.35">
      <c r="A13" s="9" t="s">
        <v>160</v>
      </c>
      <c r="B13" s="9" t="s">
        <v>174</v>
      </c>
      <c r="C13" s="1" t="s">
        <v>55</v>
      </c>
      <c r="D13" s="10" t="s">
        <v>191</v>
      </c>
      <c r="E13" s="2">
        <f t="shared" si="1"/>
        <v>46358</v>
      </c>
      <c r="F13" s="1">
        <f t="shared" si="0"/>
        <v>46538</v>
      </c>
      <c r="G13" s="11">
        <v>60</v>
      </c>
      <c r="H13" s="11">
        <v>561612</v>
      </c>
      <c r="I13" s="12" t="s">
        <v>63</v>
      </c>
      <c r="J13" s="10" t="s">
        <v>8</v>
      </c>
      <c r="K13" s="10">
        <v>69298</v>
      </c>
      <c r="L13" s="1">
        <v>46568</v>
      </c>
    </row>
    <row r="14" spans="1:12" ht="29" x14ac:dyDescent="0.35">
      <c r="A14" s="14" t="s">
        <v>30</v>
      </c>
      <c r="B14" s="14" t="s">
        <v>175</v>
      </c>
      <c r="C14" s="2" t="s">
        <v>55</v>
      </c>
      <c r="D14" s="15" t="s">
        <v>166</v>
      </c>
      <c r="E14" s="2">
        <f t="shared" si="1"/>
        <v>46389</v>
      </c>
      <c r="F14" s="2">
        <f t="shared" si="0"/>
        <v>46569</v>
      </c>
      <c r="G14" s="16">
        <v>60</v>
      </c>
      <c r="H14" s="16">
        <v>541990</v>
      </c>
      <c r="I14" s="17" t="s">
        <v>65</v>
      </c>
      <c r="J14" s="15" t="s">
        <v>62</v>
      </c>
      <c r="K14" s="15">
        <v>7486</v>
      </c>
      <c r="L14" s="2">
        <v>46599</v>
      </c>
    </row>
    <row r="15" spans="1:12" ht="29" x14ac:dyDescent="0.35">
      <c r="A15" s="9" t="s">
        <v>161</v>
      </c>
      <c r="B15" s="9" t="s">
        <v>158</v>
      </c>
      <c r="C15" s="1" t="s">
        <v>56</v>
      </c>
      <c r="D15" s="10" t="s">
        <v>192</v>
      </c>
      <c r="E15" s="2">
        <f t="shared" si="1"/>
        <v>46398</v>
      </c>
      <c r="F15" s="1">
        <f t="shared" si="0"/>
        <v>46578</v>
      </c>
      <c r="G15" s="11">
        <v>60</v>
      </c>
      <c r="H15" s="11">
        <v>541990</v>
      </c>
      <c r="I15" s="12" t="s">
        <v>63</v>
      </c>
      <c r="J15" s="10" t="s">
        <v>9</v>
      </c>
      <c r="K15" s="10" t="s">
        <v>92</v>
      </c>
      <c r="L15" s="1">
        <v>46608</v>
      </c>
    </row>
    <row r="16" spans="1:12" x14ac:dyDescent="0.35">
      <c r="A16" s="9" t="s">
        <v>35</v>
      </c>
      <c r="B16" s="9" t="s">
        <v>47</v>
      </c>
      <c r="C16" s="1" t="s">
        <v>55</v>
      </c>
      <c r="D16" s="10" t="s">
        <v>192</v>
      </c>
      <c r="E16" s="2">
        <f t="shared" si="1"/>
        <v>46420</v>
      </c>
      <c r="F16" s="1">
        <f t="shared" si="0"/>
        <v>46600</v>
      </c>
      <c r="G16" s="11">
        <v>60</v>
      </c>
      <c r="H16" s="11">
        <v>532420</v>
      </c>
      <c r="I16" s="12" t="s">
        <v>67</v>
      </c>
      <c r="J16" s="10" t="s">
        <v>10</v>
      </c>
      <c r="K16" s="10" t="s">
        <v>93</v>
      </c>
      <c r="L16" s="1">
        <v>46630</v>
      </c>
    </row>
    <row r="17" spans="1:12" x14ac:dyDescent="0.35">
      <c r="A17" s="9" t="s">
        <v>117</v>
      </c>
      <c r="B17" s="9" t="s">
        <v>118</v>
      </c>
      <c r="C17" s="1" t="s">
        <v>55</v>
      </c>
      <c r="D17" s="10" t="s">
        <v>0</v>
      </c>
      <c r="E17" s="2">
        <f t="shared" si="1"/>
        <v>46443</v>
      </c>
      <c r="F17" s="1">
        <f t="shared" si="0"/>
        <v>46623</v>
      </c>
      <c r="G17" s="11">
        <v>60</v>
      </c>
      <c r="H17" s="11">
        <v>334111</v>
      </c>
      <c r="I17" s="12" t="s">
        <v>153</v>
      </c>
      <c r="J17" s="10" t="s">
        <v>119</v>
      </c>
      <c r="K17" s="10" t="s">
        <v>120</v>
      </c>
      <c r="L17" s="1">
        <v>46653</v>
      </c>
    </row>
    <row r="18" spans="1:12" ht="188.5" x14ac:dyDescent="0.35">
      <c r="A18" s="9" t="s">
        <v>25</v>
      </c>
      <c r="B18" s="9" t="s">
        <v>176</v>
      </c>
      <c r="C18" s="1" t="s">
        <v>56</v>
      </c>
      <c r="D18" s="10" t="s">
        <v>166</v>
      </c>
      <c r="E18" s="2">
        <v>46462</v>
      </c>
      <c r="F18" s="1">
        <v>46629</v>
      </c>
      <c r="G18" s="11">
        <v>60</v>
      </c>
      <c r="H18" s="11">
        <v>541611</v>
      </c>
      <c r="I18" s="12" t="s">
        <v>63</v>
      </c>
      <c r="J18" s="10" t="s">
        <v>80</v>
      </c>
      <c r="K18" s="10" t="s">
        <v>83</v>
      </c>
      <c r="L18" s="1">
        <v>46660</v>
      </c>
    </row>
    <row r="19" spans="1:12" ht="72.5" x14ac:dyDescent="0.35">
      <c r="A19" s="9" t="s">
        <v>36</v>
      </c>
      <c r="B19" s="9" t="s">
        <v>177</v>
      </c>
      <c r="C19" s="1" t="s">
        <v>56</v>
      </c>
      <c r="D19" s="10" t="s">
        <v>193</v>
      </c>
      <c r="E19" s="2">
        <f>F19-180</f>
        <v>46494</v>
      </c>
      <c r="F19" s="1">
        <f t="shared" ref="F19:F42" si="2">L19-30</f>
        <v>46674</v>
      </c>
      <c r="G19" s="11">
        <v>60</v>
      </c>
      <c r="H19" s="11">
        <v>611699</v>
      </c>
      <c r="I19" s="12" t="s">
        <v>63</v>
      </c>
      <c r="J19" s="10" t="s">
        <v>11</v>
      </c>
      <c r="K19" s="10" t="s">
        <v>87</v>
      </c>
      <c r="L19" s="1">
        <v>46704</v>
      </c>
    </row>
    <row r="20" spans="1:12" ht="72.5" x14ac:dyDescent="0.35">
      <c r="A20" s="9" t="s">
        <v>37</v>
      </c>
      <c r="B20" s="9" t="s">
        <v>178</v>
      </c>
      <c r="C20" s="1" t="s">
        <v>56</v>
      </c>
      <c r="D20" s="10" t="s">
        <v>166</v>
      </c>
      <c r="E20" s="2">
        <f>F20-180</f>
        <v>46511</v>
      </c>
      <c r="F20" s="1">
        <f t="shared" si="2"/>
        <v>46691</v>
      </c>
      <c r="G20" s="11">
        <v>60</v>
      </c>
      <c r="H20" s="11">
        <v>541611</v>
      </c>
      <c r="I20" s="12" t="s">
        <v>63</v>
      </c>
      <c r="J20" s="10" t="s">
        <v>80</v>
      </c>
      <c r="K20" s="10" t="s">
        <v>94</v>
      </c>
      <c r="L20" s="1">
        <v>46721</v>
      </c>
    </row>
    <row r="21" spans="1:12" ht="58" x14ac:dyDescent="0.35">
      <c r="A21" s="9" t="s">
        <v>38</v>
      </c>
      <c r="B21" s="9" t="s">
        <v>179</v>
      </c>
      <c r="C21" s="1" t="s">
        <v>56</v>
      </c>
      <c r="D21" s="10" t="s">
        <v>166</v>
      </c>
      <c r="E21" s="2">
        <f>F21-180</f>
        <v>46574</v>
      </c>
      <c r="F21" s="1">
        <f t="shared" si="2"/>
        <v>46754</v>
      </c>
      <c r="G21" s="11">
        <v>60</v>
      </c>
      <c r="H21" s="11">
        <v>541611</v>
      </c>
      <c r="I21" s="12" t="s">
        <v>63</v>
      </c>
      <c r="J21" s="10" t="s">
        <v>80</v>
      </c>
      <c r="K21" s="10" t="s">
        <v>95</v>
      </c>
      <c r="L21" s="1">
        <v>46784</v>
      </c>
    </row>
    <row r="22" spans="1:12" ht="43.5" x14ac:dyDescent="0.35">
      <c r="A22" s="9" t="s">
        <v>34</v>
      </c>
      <c r="B22" s="9" t="s">
        <v>180</v>
      </c>
      <c r="C22" s="1" t="s">
        <v>55</v>
      </c>
      <c r="D22" s="10" t="s">
        <v>166</v>
      </c>
      <c r="E22" s="2">
        <f>F22-150</f>
        <v>46631</v>
      </c>
      <c r="F22" s="1">
        <f t="shared" si="2"/>
        <v>46781</v>
      </c>
      <c r="G22" s="11">
        <v>60</v>
      </c>
      <c r="H22" s="11">
        <v>541990</v>
      </c>
      <c r="I22" s="12" t="s">
        <v>65</v>
      </c>
      <c r="J22" s="10" t="s">
        <v>80</v>
      </c>
      <c r="K22" s="10" t="s">
        <v>89</v>
      </c>
      <c r="L22" s="1">
        <v>46811</v>
      </c>
    </row>
    <row r="23" spans="1:12" ht="101.5" x14ac:dyDescent="0.35">
      <c r="A23" s="9" t="s">
        <v>165</v>
      </c>
      <c r="B23" s="9" t="s">
        <v>181</v>
      </c>
      <c r="C23" s="1" t="s">
        <v>55</v>
      </c>
      <c r="D23" s="10" t="s">
        <v>166</v>
      </c>
      <c r="E23" s="2">
        <f>F23-150</f>
        <v>46608</v>
      </c>
      <c r="F23" s="1">
        <f t="shared" si="2"/>
        <v>46758</v>
      </c>
      <c r="G23" s="11">
        <v>60</v>
      </c>
      <c r="H23" s="11">
        <v>611430</v>
      </c>
      <c r="I23" s="12" t="s">
        <v>63</v>
      </c>
      <c r="J23" s="10" t="s">
        <v>4</v>
      </c>
      <c r="K23" s="10" t="s">
        <v>88</v>
      </c>
      <c r="L23" s="1">
        <v>46788</v>
      </c>
    </row>
    <row r="24" spans="1:12" ht="43.5" x14ac:dyDescent="0.35">
      <c r="A24" s="9" t="s">
        <v>159</v>
      </c>
      <c r="B24" s="9" t="s">
        <v>182</v>
      </c>
      <c r="C24" s="1" t="s">
        <v>57</v>
      </c>
      <c r="D24" s="10" t="s">
        <v>166</v>
      </c>
      <c r="E24" s="2">
        <f>F24-150</f>
        <v>46631</v>
      </c>
      <c r="F24" s="1">
        <f t="shared" si="2"/>
        <v>46781</v>
      </c>
      <c r="G24" s="11">
        <v>60</v>
      </c>
      <c r="H24" s="11">
        <v>541611</v>
      </c>
      <c r="I24" s="12" t="s">
        <v>65</v>
      </c>
      <c r="J24" s="10" t="s">
        <v>80</v>
      </c>
      <c r="K24" s="10" t="s">
        <v>89</v>
      </c>
      <c r="L24" s="1">
        <v>46811</v>
      </c>
    </row>
    <row r="25" spans="1:12" ht="130.5" x14ac:dyDescent="0.35">
      <c r="A25" s="9" t="s">
        <v>39</v>
      </c>
      <c r="B25" s="9" t="s">
        <v>183</v>
      </c>
      <c r="C25" s="1" t="s">
        <v>56</v>
      </c>
      <c r="D25" s="10" t="s">
        <v>192</v>
      </c>
      <c r="E25" s="2">
        <f t="shared" ref="E25:E42" si="3">F25-180</f>
        <v>46663</v>
      </c>
      <c r="F25" s="1">
        <f t="shared" si="2"/>
        <v>46843</v>
      </c>
      <c r="G25" s="11">
        <v>60</v>
      </c>
      <c r="H25" s="11">
        <v>611519</v>
      </c>
      <c r="I25" s="12" t="s">
        <v>63</v>
      </c>
      <c r="J25" s="10" t="s">
        <v>12</v>
      </c>
      <c r="K25" s="10" t="s">
        <v>96</v>
      </c>
      <c r="L25" s="1">
        <v>46873</v>
      </c>
    </row>
    <row r="26" spans="1:12" x14ac:dyDescent="0.35">
      <c r="A26" s="9" t="s">
        <v>128</v>
      </c>
      <c r="B26" s="9" t="s">
        <v>129</v>
      </c>
      <c r="C26" s="1" t="s">
        <v>55</v>
      </c>
      <c r="D26" s="10" t="s">
        <v>0</v>
      </c>
      <c r="E26" s="2">
        <f t="shared" si="3"/>
        <v>46738</v>
      </c>
      <c r="F26" s="1">
        <f t="shared" si="2"/>
        <v>46918</v>
      </c>
      <c r="G26" s="11">
        <v>60</v>
      </c>
      <c r="H26" s="11">
        <v>339112</v>
      </c>
      <c r="I26" s="12" t="s">
        <v>147</v>
      </c>
      <c r="J26" s="10" t="s">
        <v>130</v>
      </c>
      <c r="K26" s="10" t="s">
        <v>131</v>
      </c>
      <c r="L26" s="1">
        <v>46948</v>
      </c>
    </row>
    <row r="27" spans="1:12" ht="72.5" x14ac:dyDescent="0.35">
      <c r="A27" s="9" t="s">
        <v>40</v>
      </c>
      <c r="B27" s="9" t="s">
        <v>184</v>
      </c>
      <c r="C27" s="1" t="s">
        <v>55</v>
      </c>
      <c r="D27" s="10" t="s">
        <v>79</v>
      </c>
      <c r="E27" s="2">
        <f t="shared" si="3"/>
        <v>46744</v>
      </c>
      <c r="F27" s="1">
        <f t="shared" si="2"/>
        <v>46924</v>
      </c>
      <c r="G27" s="11">
        <v>60</v>
      </c>
      <c r="H27" s="11">
        <v>541519</v>
      </c>
      <c r="I27" s="12" t="s">
        <v>68</v>
      </c>
      <c r="J27" s="10" t="s">
        <v>13</v>
      </c>
      <c r="K27" s="10" t="s">
        <v>97</v>
      </c>
      <c r="L27" s="1">
        <v>46954</v>
      </c>
    </row>
    <row r="28" spans="1:12" x14ac:dyDescent="0.35">
      <c r="A28" s="9" t="s">
        <v>132</v>
      </c>
      <c r="B28" s="9" t="s">
        <v>133</v>
      </c>
      <c r="C28" s="1" t="s">
        <v>55</v>
      </c>
      <c r="D28" s="10" t="s">
        <v>144</v>
      </c>
      <c r="E28" s="2">
        <f t="shared" si="3"/>
        <v>46804</v>
      </c>
      <c r="F28" s="1">
        <f t="shared" si="2"/>
        <v>46984</v>
      </c>
      <c r="G28" s="11">
        <v>60</v>
      </c>
      <c r="H28" s="11">
        <v>541519</v>
      </c>
      <c r="I28" s="12" t="s">
        <v>150</v>
      </c>
      <c r="J28" s="10" t="s">
        <v>134</v>
      </c>
      <c r="K28" s="10" t="s">
        <v>135</v>
      </c>
      <c r="L28" s="1">
        <v>47014</v>
      </c>
    </row>
    <row r="29" spans="1:12" x14ac:dyDescent="0.35">
      <c r="A29" s="9" t="s">
        <v>111</v>
      </c>
      <c r="B29" s="9" t="s">
        <v>49</v>
      </c>
      <c r="C29" s="1" t="s">
        <v>55</v>
      </c>
      <c r="D29" s="10" t="s">
        <v>192</v>
      </c>
      <c r="E29" s="2">
        <f t="shared" si="3"/>
        <v>46815</v>
      </c>
      <c r="F29" s="1">
        <f t="shared" si="2"/>
        <v>46995</v>
      </c>
      <c r="G29" s="11">
        <v>60</v>
      </c>
      <c r="H29" s="11">
        <v>811490</v>
      </c>
      <c r="I29" s="12" t="s">
        <v>149</v>
      </c>
      <c r="J29" s="10" t="s">
        <v>112</v>
      </c>
      <c r="K29" s="10" t="s">
        <v>113</v>
      </c>
      <c r="L29" s="1">
        <v>47025</v>
      </c>
    </row>
    <row r="30" spans="1:12" ht="174" x14ac:dyDescent="0.35">
      <c r="A30" s="9" t="s">
        <v>41</v>
      </c>
      <c r="B30" s="9" t="s">
        <v>185</v>
      </c>
      <c r="C30" s="1" t="s">
        <v>56</v>
      </c>
      <c r="D30" s="10" t="s">
        <v>6</v>
      </c>
      <c r="E30" s="2">
        <f t="shared" si="3"/>
        <v>46894</v>
      </c>
      <c r="F30" s="1">
        <f t="shared" si="2"/>
        <v>47074</v>
      </c>
      <c r="G30" s="11">
        <v>60</v>
      </c>
      <c r="H30" s="11">
        <v>481219</v>
      </c>
      <c r="I30" s="12" t="s">
        <v>71</v>
      </c>
      <c r="J30" s="10" t="s">
        <v>80</v>
      </c>
      <c r="K30" s="10" t="s">
        <v>98</v>
      </c>
      <c r="L30" s="1">
        <v>47104</v>
      </c>
    </row>
    <row r="31" spans="1:12" ht="43.5" x14ac:dyDescent="0.35">
      <c r="A31" s="9" t="s">
        <v>114</v>
      </c>
      <c r="B31" s="9" t="s">
        <v>187</v>
      </c>
      <c r="C31" s="1" t="s">
        <v>56</v>
      </c>
      <c r="D31" s="10" t="s">
        <v>192</v>
      </c>
      <c r="E31" s="2">
        <f t="shared" si="3"/>
        <v>46910</v>
      </c>
      <c r="F31" s="1">
        <f t="shared" si="2"/>
        <v>47090</v>
      </c>
      <c r="G31" s="11">
        <v>60</v>
      </c>
      <c r="H31" s="11">
        <v>611699</v>
      </c>
      <c r="I31" s="12" t="s">
        <v>64</v>
      </c>
      <c r="J31" s="10" t="s">
        <v>115</v>
      </c>
      <c r="K31" s="10" t="s">
        <v>116</v>
      </c>
      <c r="L31" s="1">
        <v>47120</v>
      </c>
    </row>
    <row r="32" spans="1:12" x14ac:dyDescent="0.35">
      <c r="A32" s="9" t="s">
        <v>42</v>
      </c>
      <c r="B32" s="9" t="s">
        <v>49</v>
      </c>
      <c r="C32" s="1" t="s">
        <v>55</v>
      </c>
      <c r="D32" s="10" t="s">
        <v>192</v>
      </c>
      <c r="E32" s="2">
        <f t="shared" si="3"/>
        <v>47158</v>
      </c>
      <c r="F32" s="1">
        <f t="shared" si="2"/>
        <v>47338</v>
      </c>
      <c r="G32" s="11">
        <v>60</v>
      </c>
      <c r="H32" s="11">
        <v>811210</v>
      </c>
      <c r="I32" s="12" t="s">
        <v>70</v>
      </c>
      <c r="J32" s="10" t="s">
        <v>69</v>
      </c>
      <c r="K32" s="10" t="s">
        <v>99</v>
      </c>
      <c r="L32" s="1">
        <v>47368</v>
      </c>
    </row>
    <row r="33" spans="1:12" ht="116" x14ac:dyDescent="0.35">
      <c r="A33" s="9" t="s">
        <v>50</v>
      </c>
      <c r="B33" s="9" t="s">
        <v>186</v>
      </c>
      <c r="C33" s="1" t="s">
        <v>55</v>
      </c>
      <c r="D33" s="10" t="s">
        <v>190</v>
      </c>
      <c r="E33" s="2">
        <f t="shared" si="3"/>
        <v>47177</v>
      </c>
      <c r="F33" s="1">
        <f t="shared" si="2"/>
        <v>47357</v>
      </c>
      <c r="G33" s="11">
        <v>60</v>
      </c>
      <c r="H33" s="11">
        <v>541330</v>
      </c>
      <c r="I33" s="12" t="s">
        <v>72</v>
      </c>
      <c r="J33" s="10" t="s">
        <v>14</v>
      </c>
      <c r="K33" s="10" t="s">
        <v>100</v>
      </c>
      <c r="L33" s="1">
        <v>47387</v>
      </c>
    </row>
    <row r="34" spans="1:12" x14ac:dyDescent="0.35">
      <c r="A34" s="9" t="s">
        <v>43</v>
      </c>
      <c r="B34" s="9" t="s">
        <v>51</v>
      </c>
      <c r="C34" s="1" t="s">
        <v>55</v>
      </c>
      <c r="D34" s="10" t="s">
        <v>6</v>
      </c>
      <c r="E34" s="2">
        <f t="shared" si="3"/>
        <v>47253</v>
      </c>
      <c r="F34" s="1">
        <f t="shared" si="2"/>
        <v>47433</v>
      </c>
      <c r="G34" s="11">
        <v>60</v>
      </c>
      <c r="H34" s="11">
        <v>517312</v>
      </c>
      <c r="I34" s="12" t="s">
        <v>73</v>
      </c>
      <c r="J34" s="10" t="s">
        <v>15</v>
      </c>
      <c r="K34" s="10" t="s">
        <v>101</v>
      </c>
      <c r="L34" s="1">
        <v>47463</v>
      </c>
    </row>
    <row r="35" spans="1:12" ht="29" x14ac:dyDescent="0.35">
      <c r="A35" s="9" t="s">
        <v>44</v>
      </c>
      <c r="B35" s="9" t="s">
        <v>188</v>
      </c>
      <c r="C35" s="1" t="s">
        <v>55</v>
      </c>
      <c r="D35" s="10" t="s">
        <v>166</v>
      </c>
      <c r="E35" s="2">
        <f t="shared" si="3"/>
        <v>47260</v>
      </c>
      <c r="F35" s="1">
        <f t="shared" si="2"/>
        <v>47440</v>
      </c>
      <c r="G35" s="11">
        <v>60</v>
      </c>
      <c r="H35" s="11">
        <v>541611</v>
      </c>
      <c r="I35" s="12" t="s">
        <v>63</v>
      </c>
      <c r="J35" s="10" t="s">
        <v>16</v>
      </c>
      <c r="K35" s="10" t="s">
        <v>83</v>
      </c>
      <c r="L35" s="1">
        <v>47470</v>
      </c>
    </row>
    <row r="36" spans="1:12" x14ac:dyDescent="0.35">
      <c r="A36" s="14" t="s">
        <v>74</v>
      </c>
      <c r="B36" s="14" t="s">
        <v>52</v>
      </c>
      <c r="C36" s="2" t="s">
        <v>56</v>
      </c>
      <c r="D36" s="10" t="s">
        <v>192</v>
      </c>
      <c r="E36" s="2">
        <f t="shared" si="3"/>
        <v>47332</v>
      </c>
      <c r="F36" s="1">
        <f t="shared" si="2"/>
        <v>47512</v>
      </c>
      <c r="G36" s="11">
        <v>60</v>
      </c>
      <c r="H36" s="11">
        <v>624190</v>
      </c>
      <c r="I36" s="12" t="s">
        <v>75</v>
      </c>
      <c r="J36" s="15" t="s">
        <v>17</v>
      </c>
      <c r="K36" s="15" t="s">
        <v>102</v>
      </c>
      <c r="L36" s="2">
        <v>47542</v>
      </c>
    </row>
    <row r="37" spans="1:12" x14ac:dyDescent="0.35">
      <c r="A37" s="9" t="s">
        <v>136</v>
      </c>
      <c r="B37" s="9" t="s">
        <v>137</v>
      </c>
      <c r="C37" s="1" t="s">
        <v>55</v>
      </c>
      <c r="D37" s="10" t="s">
        <v>192</v>
      </c>
      <c r="E37" s="2">
        <f t="shared" si="3"/>
        <v>47352</v>
      </c>
      <c r="F37" s="1">
        <f t="shared" si="2"/>
        <v>47532</v>
      </c>
      <c r="G37" s="11">
        <v>60</v>
      </c>
      <c r="H37" s="11">
        <v>562998</v>
      </c>
      <c r="I37" s="12" t="s">
        <v>152</v>
      </c>
      <c r="J37" s="10" t="s">
        <v>138</v>
      </c>
      <c r="K37" s="10" t="s">
        <v>139</v>
      </c>
      <c r="L37" s="1">
        <v>47562</v>
      </c>
    </row>
    <row r="38" spans="1:12" x14ac:dyDescent="0.35">
      <c r="A38" s="9" t="s">
        <v>121</v>
      </c>
      <c r="B38" s="9" t="s">
        <v>122</v>
      </c>
      <c r="C38" s="1" t="s">
        <v>55</v>
      </c>
      <c r="D38" s="10" t="s">
        <v>192</v>
      </c>
      <c r="E38" s="2">
        <f t="shared" si="3"/>
        <v>47354</v>
      </c>
      <c r="F38" s="1">
        <f t="shared" si="2"/>
        <v>47534</v>
      </c>
      <c r="G38" s="11">
        <v>60</v>
      </c>
      <c r="H38" s="11">
        <v>811210</v>
      </c>
      <c r="I38" s="12" t="s">
        <v>145</v>
      </c>
      <c r="J38" s="10" t="s">
        <v>123</v>
      </c>
      <c r="K38" s="10" t="s">
        <v>91</v>
      </c>
      <c r="L38" s="1">
        <v>47564</v>
      </c>
    </row>
    <row r="39" spans="1:12" x14ac:dyDescent="0.35">
      <c r="A39" s="9" t="s">
        <v>124</v>
      </c>
      <c r="B39" s="9" t="s">
        <v>125</v>
      </c>
      <c r="C39" s="1" t="s">
        <v>55</v>
      </c>
      <c r="D39" s="10" t="s">
        <v>192</v>
      </c>
      <c r="E39" s="2">
        <f t="shared" si="3"/>
        <v>47416</v>
      </c>
      <c r="F39" s="1">
        <f t="shared" si="2"/>
        <v>47596</v>
      </c>
      <c r="G39" s="11">
        <v>60</v>
      </c>
      <c r="H39" s="11">
        <v>811310</v>
      </c>
      <c r="I39" s="12" t="s">
        <v>146</v>
      </c>
      <c r="J39" s="10" t="s">
        <v>126</v>
      </c>
      <c r="K39" s="10" t="s">
        <v>127</v>
      </c>
      <c r="L39" s="1">
        <v>47626</v>
      </c>
    </row>
    <row r="40" spans="1:12" x14ac:dyDescent="0.35">
      <c r="A40" s="14" t="s">
        <v>154</v>
      </c>
      <c r="B40" s="14" t="s">
        <v>53</v>
      </c>
      <c r="C40" s="2" t="s">
        <v>56</v>
      </c>
      <c r="D40" s="10" t="s">
        <v>192</v>
      </c>
      <c r="E40" s="2">
        <f t="shared" si="3"/>
        <v>47481</v>
      </c>
      <c r="F40" s="1">
        <f t="shared" si="2"/>
        <v>47661</v>
      </c>
      <c r="G40" s="11">
        <v>60</v>
      </c>
      <c r="H40" s="11">
        <v>611699</v>
      </c>
      <c r="I40" s="12" t="s">
        <v>76</v>
      </c>
      <c r="J40" s="15" t="s">
        <v>18</v>
      </c>
      <c r="K40" s="15" t="s">
        <v>103</v>
      </c>
      <c r="L40" s="2">
        <v>47691</v>
      </c>
    </row>
    <row r="41" spans="1:12" x14ac:dyDescent="0.35">
      <c r="A41" s="9" t="s">
        <v>140</v>
      </c>
      <c r="B41" s="9" t="s">
        <v>141</v>
      </c>
      <c r="C41" s="1" t="s">
        <v>55</v>
      </c>
      <c r="D41" s="10" t="s">
        <v>0</v>
      </c>
      <c r="E41" s="2">
        <f t="shared" si="3"/>
        <v>47538</v>
      </c>
      <c r="F41" s="1">
        <f t="shared" si="2"/>
        <v>47718</v>
      </c>
      <c r="G41" s="11">
        <v>60</v>
      </c>
      <c r="H41" s="11">
        <v>334111</v>
      </c>
      <c r="I41" s="12" t="s">
        <v>145</v>
      </c>
      <c r="J41" s="10" t="s">
        <v>142</v>
      </c>
      <c r="K41" s="10" t="s">
        <v>143</v>
      </c>
      <c r="L41" s="1">
        <v>47748</v>
      </c>
    </row>
    <row r="42" spans="1:12" ht="116" x14ac:dyDescent="0.35">
      <c r="A42" s="9" t="s">
        <v>155</v>
      </c>
      <c r="B42" s="9" t="s">
        <v>189</v>
      </c>
      <c r="C42" s="1" t="s">
        <v>55</v>
      </c>
      <c r="D42" s="10" t="s">
        <v>191</v>
      </c>
      <c r="E42" s="2">
        <f t="shared" si="3"/>
        <v>47545</v>
      </c>
      <c r="F42" s="1">
        <f t="shared" si="2"/>
        <v>47725</v>
      </c>
      <c r="G42" s="11">
        <v>60</v>
      </c>
      <c r="H42" s="11">
        <v>611512</v>
      </c>
      <c r="I42" s="12" t="s">
        <v>77</v>
      </c>
      <c r="J42" s="10" t="s">
        <v>19</v>
      </c>
      <c r="K42" s="10" t="s">
        <v>104</v>
      </c>
      <c r="L42" s="1">
        <v>47755</v>
      </c>
    </row>
  </sheetData>
  <autoFilter ref="A2:L2" xr:uid="{DC5AEC0C-323E-4C37-A4B1-911915869BBB}">
    <sortState xmlns:xlrd2="http://schemas.microsoft.com/office/spreadsheetml/2017/richdata2" ref="A3:L42">
      <sortCondition ref="E2"/>
    </sortState>
  </autoFilter>
  <mergeCells count="1">
    <mergeCell ref="A1:L1"/>
  </mergeCells>
  <pageMargins left="0.7" right="0.7" top="0.75" bottom="0.75" header="0.3" footer="0.3"/>
  <pageSetup scale="36" fitToHeight="0"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161FA35D6554792BAFA111AA5E2C2" ma:contentTypeVersion="14" ma:contentTypeDescription="Create a new document." ma:contentTypeScope="" ma:versionID="502ed81cdec0f45cf66ab20928d163d4">
  <xsd:schema xmlns:xsd="http://www.w3.org/2001/XMLSchema" xmlns:xs="http://www.w3.org/2001/XMLSchema" xmlns:p="http://schemas.microsoft.com/office/2006/metadata/properties" xmlns:ns1="http://schemas.microsoft.com/sharepoint/v3" xmlns:ns2="7b04bcd1-2aa8-4d7e-9aea-d926e930a71d" xmlns:ns3="1dde1231-415b-4e86-be37-c99daebfce2a" targetNamespace="http://schemas.microsoft.com/office/2006/metadata/properties" ma:root="true" ma:fieldsID="5e20fc8c857435fe94c79090bc976d14" ns1:_="" ns2:_="" ns3:_="">
    <xsd:import namespace="http://schemas.microsoft.com/sharepoint/v3"/>
    <xsd:import namespace="7b04bcd1-2aa8-4d7e-9aea-d926e930a71d"/>
    <xsd:import namespace="1dde1231-415b-4e86-be37-c99daebfce2a"/>
    <xsd:element name="properties">
      <xsd:complexType>
        <xsd:sequence>
          <xsd:element name="documentManagement">
            <xsd:complexType>
              <xsd:all>
                <xsd:element ref="ns2:TaxCatchAll" minOccurs="0"/>
                <xsd:element ref="ns3:lcf76f155ced4ddcb4097134ff3c332f" minOccurs="0"/>
                <xsd:element ref="ns3:Assignedto" minOccurs="0"/>
                <xsd:element ref="ns3:Completereview" minOccurs="0"/>
                <xsd:element ref="ns3:MediaLengthInSeconds" minOccurs="0"/>
                <xsd:element ref="ns1:_ip_UnifiedCompliancePolicyProperties" minOccurs="0"/>
                <xsd:element ref="ns1:_ip_UnifiedCompliancePolicyUIActio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04bcd1-2aa8-4d7e-9aea-d926e930a71d"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c7341bd3-249a-42ff-a029-e612c9610290}" ma:internalName="TaxCatchAll" ma:showField="CatchAllData" ma:web="7b04bcd1-2aa8-4d7e-9aea-d926e930a7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dde1231-415b-4e86-be37-c99daebfce2a" elementFormDefault="qualified">
    <xsd:import namespace="http://schemas.microsoft.com/office/2006/documentManagement/types"/>
    <xsd:import namespace="http://schemas.microsoft.com/office/infopath/2007/PartnerControls"/>
    <xsd:element name="lcf76f155ced4ddcb4097134ff3c332f" ma:index="10"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Assignedto" ma:index="11" nillable="true" ma:displayName="Assigned to" ma:description="Corrections and revision of contract file"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pletereview" ma:index="12" nillable="true" ma:displayName="Review Completed" ma:default="0" ma:format="Dropdown" ma:internalName="Completereview">
      <xsd:simpleType>
        <xsd:restriction base="dms:Boolean"/>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pletereview xmlns="1dde1231-415b-4e86-be37-c99daebfce2a">false</Completereview>
    <_ip_UnifiedCompliancePolicyUIAction xmlns="http://schemas.microsoft.com/sharepoint/v3" xsi:nil="true"/>
    <_ip_UnifiedCompliancePolicyProperties xmlns="http://schemas.microsoft.com/sharepoint/v3" xsi:nil="true"/>
    <Assignedto xmlns="1dde1231-415b-4e86-be37-c99daebfce2a">
      <UserInfo>
        <DisplayName/>
        <AccountId xsi:nil="true"/>
        <AccountType/>
      </UserInfo>
    </Assignedto>
    <lcf76f155ced4ddcb4097134ff3c332f xmlns="1dde1231-415b-4e86-be37-c99daebfce2a">
      <Terms xmlns="http://schemas.microsoft.com/office/infopath/2007/PartnerControls"/>
    </lcf76f155ced4ddcb4097134ff3c332f>
    <TaxCatchAll xmlns="7b04bcd1-2aa8-4d7e-9aea-d926e930a7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50F89C-AC24-41A8-8EBC-1099BD56D7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04bcd1-2aa8-4d7e-9aea-d926e930a71d"/>
    <ds:schemaRef ds:uri="1dde1231-415b-4e86-be37-c99daebfce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62196A-9C91-4B05-BFD5-00CA9F38F63F}">
  <ds:schemaRefs>
    <ds:schemaRef ds:uri="http://schemas.microsoft.com/office/2006/metadata/properties"/>
    <ds:schemaRef ds:uri="http://schemas.microsoft.com/office/infopath/2007/PartnerControls"/>
    <ds:schemaRef ds:uri="1dde1231-415b-4e86-be37-c99daebfce2a"/>
    <ds:schemaRef ds:uri="http://schemas.microsoft.com/sharepoint/v3"/>
    <ds:schemaRef ds:uri="7b04bcd1-2aa8-4d7e-9aea-d926e930a71d"/>
  </ds:schemaRefs>
</ds:datastoreItem>
</file>

<file path=customXml/itemProps3.xml><?xml version="1.0" encoding="utf-8"?>
<ds:datastoreItem xmlns:ds="http://schemas.openxmlformats.org/officeDocument/2006/customXml" ds:itemID="{A770BAF0-F33C-4B73-93F2-4D7726643413}">
  <ds:schemaRefs>
    <ds:schemaRef ds:uri="http://schemas.microsoft.com/sharepoint/v3/contenttype/forms"/>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Samuel P CIV USSOCOM MARSOC (USA)</dc:creator>
  <cp:lastModifiedBy>Williams, Samuel P CIV USSOCOM MARSOC (USA)</cp:lastModifiedBy>
  <cp:lastPrinted>2026-02-20T15:20:19Z</cp:lastPrinted>
  <dcterms:created xsi:type="dcterms:W3CDTF">2026-01-22T16:37:03Z</dcterms:created>
  <dcterms:modified xsi:type="dcterms:W3CDTF">2026-03-06T16:39:34Z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0x010100C0E161FA35D6554792BAFA111AA5E2C2</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ies>
</file>