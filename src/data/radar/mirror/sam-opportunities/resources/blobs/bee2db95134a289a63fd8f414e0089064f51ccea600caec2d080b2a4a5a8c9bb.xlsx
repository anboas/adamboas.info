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qkkg-fs-022v\35 CONS\3. LGCB\1. ACQUISITIONS\1. PR Packages\6) FY26\26R0005 - Construction Project Escorts\3. Solicitation\"/>
    </mc:Choice>
  </mc:AlternateContent>
  <xr:revisionPtr revIDLastSave="0" documentId="13_ncr:1_{7BA1B04B-DC2B-490D-9F0A-01C8452924A7}" xr6:coauthVersionLast="47" xr6:coauthVersionMax="47" xr10:uidLastSave="{00000000-0000-0000-0000-000000000000}"/>
  <bookViews>
    <workbookView xWindow="17805" yWindow="1815" windowWidth="31515" windowHeight="15000" xr2:uid="{6BAC00C3-9502-4AA3-B864-1F85E3437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K32" i="1"/>
  <c r="K31" i="1"/>
  <c r="K30" i="1"/>
  <c r="K5" i="1"/>
  <c r="K8" i="1"/>
  <c r="K12" i="1"/>
  <c r="K13" i="1"/>
  <c r="K14" i="1"/>
  <c r="K15" i="1"/>
  <c r="K28" i="1"/>
  <c r="K24" i="1"/>
  <c r="K20" i="1"/>
  <c r="K21" i="1"/>
  <c r="K22" i="1"/>
  <c r="K23" i="1"/>
  <c r="K25" i="1"/>
  <c r="K26" i="1"/>
  <c r="K7" i="1"/>
  <c r="K9" i="1"/>
  <c r="K10" i="1"/>
  <c r="K11" i="1"/>
  <c r="K19" i="1"/>
  <c r="K17" i="1"/>
  <c r="K6" i="1"/>
  <c r="G26" i="1"/>
  <c r="G25" i="1"/>
  <c r="H27" i="1"/>
  <c r="K27" i="1" s="1"/>
  <c r="H23" i="1"/>
  <c r="G22" i="1"/>
  <c r="H19" i="1"/>
  <c r="G18" i="1"/>
  <c r="K18" i="1" s="1"/>
  <c r="H15" i="1"/>
  <c r="G14" i="1"/>
  <c r="H11" i="1"/>
  <c r="G10" i="1"/>
  <c r="G6" i="1"/>
  <c r="H7" i="1"/>
  <c r="K16" i="1" l="1"/>
</calcChain>
</file>

<file path=xl/sharedStrings.xml><?xml version="1.0" encoding="utf-8"?>
<sst xmlns="http://schemas.openxmlformats.org/spreadsheetml/2006/main" count="64" uniqueCount="43">
  <si>
    <t>CLIN</t>
  </si>
  <si>
    <t>Description</t>
  </si>
  <si>
    <t>U/I</t>
  </si>
  <si>
    <t>Unit $</t>
  </si>
  <si>
    <t>Extended $</t>
  </si>
  <si>
    <t>FY 26 Escort Demand</t>
  </si>
  <si>
    <t>Hour</t>
  </si>
  <si>
    <t>FY 26 Vehicles</t>
  </si>
  <si>
    <t>Lead Escort</t>
  </si>
  <si>
    <t>FY27</t>
  </si>
  <si>
    <t>FY26</t>
  </si>
  <si>
    <t>FY28</t>
  </si>
  <si>
    <t>FY29</t>
  </si>
  <si>
    <t>FY30</t>
  </si>
  <si>
    <t>FY31</t>
  </si>
  <si>
    <t>FY 27 Escort Demand</t>
  </si>
  <si>
    <t>FY 27 Vehicles</t>
  </si>
  <si>
    <t>FY 28 Escort Demand</t>
  </si>
  <si>
    <t>FY 28 Vehicles</t>
  </si>
  <si>
    <t>FY 29 Escort Demand</t>
  </si>
  <si>
    <t>FY 29 Vehicles</t>
  </si>
  <si>
    <t>FY 30 Escort Demand</t>
  </si>
  <si>
    <t>FY 30 Vehicles</t>
  </si>
  <si>
    <t>FY 31 Escort Demand</t>
  </si>
  <si>
    <t>FY 31 Vehicles</t>
  </si>
  <si>
    <t>Vehicle Total</t>
  </si>
  <si>
    <t>Hrs. per person</t>
  </si>
  <si>
    <t>QTY of Escorts</t>
  </si>
  <si>
    <t># of Months</t>
  </si>
  <si>
    <t>Vehicle Totals</t>
  </si>
  <si>
    <t>FY26 Total</t>
  </si>
  <si>
    <t>Escort Total</t>
  </si>
  <si>
    <t>Lead Escort Total</t>
  </si>
  <si>
    <t>Grand Total</t>
  </si>
  <si>
    <t>FY27 Total</t>
  </si>
  <si>
    <t>FY28 Total</t>
  </si>
  <si>
    <t>FY29 Total</t>
  </si>
  <si>
    <t>FY30 Total</t>
  </si>
  <si>
    <t>FY31 Total</t>
  </si>
  <si>
    <t>Annual Hours</t>
  </si>
  <si>
    <t>Vehicles per Month</t>
  </si>
  <si>
    <t>Month</t>
  </si>
  <si>
    <t>Attachment 2 - Pricing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</si>
</sst>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000"/>
    <numFmt numFmtId="168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4" borderId="0" xfId="0" applyFill="1"/>
    <xf numFmtId="0" fontId="1" fillId="2" borderId="2" xfId="0" applyFont="1" applyFill="1" applyBorder="1" applyAlignment="1" applyProtection="1">
      <alignment horizontal="center" wrapText="1"/>
      <protection locked="0"/>
    </xf>
    <xf numFmtId="0" fontId="2" fillId="2" borderId="4" xfId="0" applyFont="1" applyFill="1" applyBorder="1" applyAlignment="1" applyProtection="1">
      <alignment horizontal="center" wrapText="1"/>
      <protection locked="0"/>
    </xf>
    <xf numFmtId="0" fontId="3" fillId="0" borderId="0" xfId="0" applyFont="1"/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8" fontId="3" fillId="0" borderId="11" xfId="0" applyNumberFormat="1" applyFont="1" applyBorder="1"/>
    <xf numFmtId="0" fontId="3" fillId="0" borderId="1" xfId="0" applyFont="1" applyBorder="1" applyAlignment="1">
      <alignment horizontal="left"/>
    </xf>
    <xf numFmtId="168" fontId="3" fillId="0" borderId="3" xfId="0" applyNumberFormat="1" applyFont="1" applyBorder="1"/>
    <xf numFmtId="0" fontId="3" fillId="0" borderId="12" xfId="0" applyFont="1" applyBorder="1" applyAlignment="1">
      <alignment horizontal="left"/>
    </xf>
    <xf numFmtId="168" fontId="3" fillId="0" borderId="13" xfId="0" applyNumberFormat="1" applyFont="1" applyBorder="1"/>
    <xf numFmtId="168" fontId="4" fillId="5" borderId="8" xfId="0" applyNumberFormat="1" applyFont="1" applyFill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2" borderId="2" xfId="0" applyFont="1" applyFill="1" applyBorder="1" applyAlignment="1" applyProtection="1">
      <alignment wrapText="1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 wrapText="1"/>
      <protection locked="0"/>
    </xf>
    <xf numFmtId="0" fontId="2" fillId="2" borderId="15" xfId="0" applyFont="1" applyFill="1" applyBorder="1" applyAlignment="1" applyProtection="1">
      <alignment horizontal="center" wrapText="1"/>
      <protection locked="0"/>
    </xf>
    <xf numFmtId="167" fontId="3" fillId="0" borderId="16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/>
    <xf numFmtId="168" fontId="3" fillId="0" borderId="0" xfId="0" applyNumberFormat="1" applyFont="1" applyBorder="1"/>
    <xf numFmtId="168" fontId="3" fillId="0" borderId="17" xfId="0" applyNumberFormat="1" applyFont="1" applyBorder="1"/>
    <xf numFmtId="168" fontId="3" fillId="4" borderId="16" xfId="0" applyNumberFormat="1" applyFont="1" applyFill="1" applyBorder="1" applyAlignment="1">
      <alignment horizontal="center" vertical="center"/>
    </xf>
    <xf numFmtId="168" fontId="3" fillId="4" borderId="0" xfId="0" applyNumberFormat="1" applyFont="1" applyFill="1" applyBorder="1" applyAlignment="1">
      <alignment horizontal="center" vertical="center"/>
    </xf>
    <xf numFmtId="168" fontId="3" fillId="4" borderId="0" xfId="0" applyNumberFormat="1" applyFont="1" applyFill="1" applyBorder="1" applyAlignment="1"/>
    <xf numFmtId="0" fontId="3" fillId="0" borderId="16" xfId="0" applyNumberFormat="1" applyFont="1" applyBorder="1" applyAlignment="1">
      <alignment horizontal="center" vertical="center"/>
    </xf>
    <xf numFmtId="0" fontId="3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/>
    <xf numFmtId="168" fontId="3" fillId="0" borderId="19" xfId="0" applyNumberFormat="1" applyFont="1" applyBorder="1"/>
    <xf numFmtId="168" fontId="3" fillId="0" borderId="20" xfId="0" applyNumberFormat="1" applyFont="1" applyBorder="1"/>
    <xf numFmtId="168" fontId="3" fillId="5" borderId="2" xfId="0" applyNumberFormat="1" applyFont="1" applyFill="1" applyBorder="1" applyAlignment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5" fillId="4" borderId="1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665F-53AB-4AFA-80F9-31339B9511CA}">
  <dimension ref="A1:K33"/>
  <sheetViews>
    <sheetView tabSelected="1" workbookViewId="0">
      <selection activeCell="T30" sqref="T30"/>
    </sheetView>
  </sheetViews>
  <sheetFormatPr defaultRowHeight="15" x14ac:dyDescent="0.25"/>
  <cols>
    <col min="1" max="1" width="8.7109375" customWidth="1"/>
    <col min="2" max="2" width="22.140625" customWidth="1"/>
    <col min="3" max="3" width="9.7109375" customWidth="1"/>
    <col min="4" max="4" width="11.5703125" customWidth="1"/>
    <col min="5" max="5" width="10.85546875" customWidth="1"/>
    <col min="6" max="6" width="9.85546875" customWidth="1"/>
    <col min="7" max="7" width="11.140625" customWidth="1"/>
    <col min="8" max="8" width="11.5703125" customWidth="1"/>
    <col min="9" max="9" width="7.28515625" customWidth="1"/>
    <col min="10" max="10" width="10" customWidth="1"/>
    <col min="11" max="11" width="17.7109375" customWidth="1"/>
  </cols>
  <sheetData>
    <row r="1" spans="1:11" ht="18.75" x14ac:dyDescent="0.3">
      <c r="A1" s="43" t="s">
        <v>42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ht="6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 ht="29.25" x14ac:dyDescent="0.25">
      <c r="A3" s="17" t="s">
        <v>0</v>
      </c>
      <c r="B3" s="2" t="s">
        <v>1</v>
      </c>
      <c r="C3" s="2" t="s">
        <v>26</v>
      </c>
      <c r="D3" s="2" t="s">
        <v>40</v>
      </c>
      <c r="E3" s="2" t="s">
        <v>27</v>
      </c>
      <c r="F3" s="2" t="s">
        <v>28</v>
      </c>
      <c r="G3" s="2" t="s">
        <v>39</v>
      </c>
      <c r="H3" s="2" t="s">
        <v>29</v>
      </c>
      <c r="I3" s="2" t="s">
        <v>2</v>
      </c>
      <c r="J3" s="2" t="s">
        <v>3</v>
      </c>
      <c r="K3" s="18" t="s">
        <v>4</v>
      </c>
    </row>
    <row r="4" spans="1:11" ht="10.5" customHeight="1" x14ac:dyDescent="0.25">
      <c r="A4" s="19" t="s">
        <v>10</v>
      </c>
      <c r="B4" s="3"/>
      <c r="C4" s="3"/>
      <c r="D4" s="3"/>
      <c r="E4" s="3"/>
      <c r="F4" s="3"/>
      <c r="G4" s="3"/>
      <c r="H4" s="3"/>
      <c r="I4" s="3"/>
      <c r="J4" s="3"/>
      <c r="K4" s="20"/>
    </row>
    <row r="5" spans="1:11" x14ac:dyDescent="0.25">
      <c r="A5" s="21">
        <v>1</v>
      </c>
      <c r="B5" s="22" t="s">
        <v>5</v>
      </c>
      <c r="C5" s="23">
        <v>2800</v>
      </c>
      <c r="D5" s="24"/>
      <c r="E5" s="23">
        <v>13</v>
      </c>
      <c r="F5" s="24"/>
      <c r="G5" s="23">
        <v>36400</v>
      </c>
      <c r="H5" s="24"/>
      <c r="I5" s="25" t="s">
        <v>6</v>
      </c>
      <c r="J5" s="26">
        <v>0</v>
      </c>
      <c r="K5" s="27">
        <f>G5*J5</f>
        <v>0</v>
      </c>
    </row>
    <row r="6" spans="1:11" x14ac:dyDescent="0.25">
      <c r="A6" s="21">
        <v>2</v>
      </c>
      <c r="B6" s="22" t="s">
        <v>8</v>
      </c>
      <c r="C6" s="23">
        <v>2800</v>
      </c>
      <c r="D6" s="24"/>
      <c r="E6" s="23">
        <v>1</v>
      </c>
      <c r="F6" s="24"/>
      <c r="G6" s="23">
        <f>C6*E6</f>
        <v>2800</v>
      </c>
      <c r="H6" s="24"/>
      <c r="I6" s="25" t="s">
        <v>6</v>
      </c>
      <c r="J6" s="26">
        <v>0</v>
      </c>
      <c r="K6" s="27">
        <f>G6*J6</f>
        <v>0</v>
      </c>
    </row>
    <row r="7" spans="1:11" x14ac:dyDescent="0.25">
      <c r="A7" s="21">
        <v>3</v>
      </c>
      <c r="B7" s="22" t="s">
        <v>7</v>
      </c>
      <c r="C7" s="24"/>
      <c r="D7" s="23">
        <v>3</v>
      </c>
      <c r="E7" s="24"/>
      <c r="F7" s="23">
        <v>7</v>
      </c>
      <c r="G7" s="24"/>
      <c r="H7" s="23">
        <f>D7*F7</f>
        <v>21</v>
      </c>
      <c r="I7" s="25" t="s">
        <v>41</v>
      </c>
      <c r="J7" s="26">
        <v>0</v>
      </c>
      <c r="K7" s="27">
        <f>H7*J7</f>
        <v>0</v>
      </c>
    </row>
    <row r="8" spans="1:11" ht="12" customHeight="1" x14ac:dyDescent="0.25">
      <c r="A8" s="28" t="s">
        <v>9</v>
      </c>
      <c r="B8" s="29"/>
      <c r="C8" s="29"/>
      <c r="D8" s="29"/>
      <c r="E8" s="29"/>
      <c r="F8" s="29"/>
      <c r="G8" s="29"/>
      <c r="H8" s="29"/>
      <c r="I8" s="30"/>
      <c r="J8" s="39" t="s">
        <v>30</v>
      </c>
      <c r="K8" s="39">
        <f>SUM(K5:K7)</f>
        <v>0</v>
      </c>
    </row>
    <row r="9" spans="1:11" x14ac:dyDescent="0.25">
      <c r="A9" s="21">
        <v>1001</v>
      </c>
      <c r="B9" s="22" t="s">
        <v>15</v>
      </c>
      <c r="C9" s="23">
        <v>2800</v>
      </c>
      <c r="D9" s="24"/>
      <c r="E9" s="23">
        <v>24</v>
      </c>
      <c r="F9" s="24"/>
      <c r="G9" s="23">
        <v>36400</v>
      </c>
      <c r="H9" s="24"/>
      <c r="I9" s="25" t="s">
        <v>6</v>
      </c>
      <c r="J9" s="26">
        <v>0</v>
      </c>
      <c r="K9" s="27">
        <f>G9*J9</f>
        <v>0</v>
      </c>
    </row>
    <row r="10" spans="1:11" x14ac:dyDescent="0.25">
      <c r="A10" s="21">
        <v>1002</v>
      </c>
      <c r="B10" s="22" t="s">
        <v>8</v>
      </c>
      <c r="C10" s="23">
        <v>2800</v>
      </c>
      <c r="D10" s="24"/>
      <c r="E10" s="23">
        <v>1</v>
      </c>
      <c r="F10" s="24"/>
      <c r="G10" s="23">
        <f>C10*E10</f>
        <v>2800</v>
      </c>
      <c r="H10" s="24"/>
      <c r="I10" s="25" t="s">
        <v>6</v>
      </c>
      <c r="J10" s="26">
        <v>0</v>
      </c>
      <c r="K10" s="27">
        <f>G10*J10</f>
        <v>0</v>
      </c>
    </row>
    <row r="11" spans="1:11" x14ac:dyDescent="0.25">
      <c r="A11" s="21">
        <v>1003</v>
      </c>
      <c r="B11" s="22" t="s">
        <v>16</v>
      </c>
      <c r="C11" s="24"/>
      <c r="D11" s="23">
        <v>9</v>
      </c>
      <c r="E11" s="24"/>
      <c r="F11" s="23">
        <v>12</v>
      </c>
      <c r="G11" s="24"/>
      <c r="H11" s="23">
        <f>D11*F11</f>
        <v>108</v>
      </c>
      <c r="I11" s="25" t="s">
        <v>41</v>
      </c>
      <c r="J11" s="26">
        <v>0</v>
      </c>
      <c r="K11" s="27">
        <f>H11*J11</f>
        <v>0</v>
      </c>
    </row>
    <row r="12" spans="1:11" x14ac:dyDescent="0.25">
      <c r="A12" s="28" t="s">
        <v>11</v>
      </c>
      <c r="B12" s="29"/>
      <c r="C12" s="29"/>
      <c r="D12" s="29"/>
      <c r="E12" s="29"/>
      <c r="F12" s="29"/>
      <c r="G12" s="29"/>
      <c r="H12" s="29"/>
      <c r="I12" s="30"/>
      <c r="J12" s="39" t="s">
        <v>34</v>
      </c>
      <c r="K12" s="39">
        <f>SUM(K9:K11)</f>
        <v>0</v>
      </c>
    </row>
    <row r="13" spans="1:11" x14ac:dyDescent="0.25">
      <c r="A13" s="31">
        <v>2001</v>
      </c>
      <c r="B13" s="22" t="s">
        <v>17</v>
      </c>
      <c r="C13" s="23">
        <v>2800</v>
      </c>
      <c r="D13" s="24"/>
      <c r="E13" s="23">
        <v>19</v>
      </c>
      <c r="F13" s="24"/>
      <c r="G13" s="23">
        <v>36400</v>
      </c>
      <c r="H13" s="24"/>
      <c r="I13" s="25" t="s">
        <v>6</v>
      </c>
      <c r="J13" s="26">
        <v>0</v>
      </c>
      <c r="K13" s="27">
        <f>G13*J13</f>
        <v>0</v>
      </c>
    </row>
    <row r="14" spans="1:11" x14ac:dyDescent="0.25">
      <c r="A14" s="31">
        <v>2002</v>
      </c>
      <c r="B14" s="22" t="s">
        <v>8</v>
      </c>
      <c r="C14" s="23">
        <v>2800</v>
      </c>
      <c r="D14" s="24"/>
      <c r="E14" s="23">
        <v>1</v>
      </c>
      <c r="F14" s="24"/>
      <c r="G14" s="23">
        <f>C14*E14</f>
        <v>2800</v>
      </c>
      <c r="H14" s="24"/>
      <c r="I14" s="25" t="s">
        <v>6</v>
      </c>
      <c r="J14" s="26">
        <v>0</v>
      </c>
      <c r="K14" s="27">
        <f>G14*J14</f>
        <v>0</v>
      </c>
    </row>
    <row r="15" spans="1:11" x14ac:dyDescent="0.25">
      <c r="A15" s="31">
        <v>2003</v>
      </c>
      <c r="B15" s="22" t="s">
        <v>18</v>
      </c>
      <c r="C15" s="24"/>
      <c r="D15" s="23">
        <v>8</v>
      </c>
      <c r="E15" s="24"/>
      <c r="F15" s="23">
        <v>12</v>
      </c>
      <c r="G15" s="24"/>
      <c r="H15" s="23">
        <f>D15*F15</f>
        <v>96</v>
      </c>
      <c r="I15" s="25" t="s">
        <v>41</v>
      </c>
      <c r="J15" s="26">
        <v>0</v>
      </c>
      <c r="K15" s="27">
        <f>H15*J15</f>
        <v>0</v>
      </c>
    </row>
    <row r="16" spans="1:11" s="1" customFormat="1" x14ac:dyDescent="0.25">
      <c r="A16" s="28" t="s">
        <v>12</v>
      </c>
      <c r="B16" s="29"/>
      <c r="C16" s="29"/>
      <c r="D16" s="29"/>
      <c r="E16" s="29"/>
      <c r="F16" s="29"/>
      <c r="G16" s="29"/>
      <c r="H16" s="29"/>
      <c r="I16" s="30"/>
      <c r="J16" s="39" t="s">
        <v>35</v>
      </c>
      <c r="K16" s="39">
        <f>SUM(K13:K15)</f>
        <v>0</v>
      </c>
    </row>
    <row r="17" spans="1:11" x14ac:dyDescent="0.25">
      <c r="A17" s="31">
        <v>3001</v>
      </c>
      <c r="B17" s="22" t="s">
        <v>19</v>
      </c>
      <c r="C17" s="23">
        <v>2800</v>
      </c>
      <c r="D17" s="24"/>
      <c r="E17" s="23">
        <v>18</v>
      </c>
      <c r="F17" s="24"/>
      <c r="G17" s="23">
        <v>36400</v>
      </c>
      <c r="H17" s="24"/>
      <c r="I17" s="25" t="s">
        <v>6</v>
      </c>
      <c r="J17" s="26">
        <v>0</v>
      </c>
      <c r="K17" s="27">
        <f>G17*J17</f>
        <v>0</v>
      </c>
    </row>
    <row r="18" spans="1:11" x14ac:dyDescent="0.25">
      <c r="A18" s="31">
        <v>3002</v>
      </c>
      <c r="B18" s="22" t="s">
        <v>8</v>
      </c>
      <c r="C18" s="23">
        <v>2800</v>
      </c>
      <c r="D18" s="24"/>
      <c r="E18" s="23">
        <v>1</v>
      </c>
      <c r="F18" s="24"/>
      <c r="G18" s="23">
        <f>C18*E18</f>
        <v>2800</v>
      </c>
      <c r="H18" s="24"/>
      <c r="I18" s="25" t="s">
        <v>6</v>
      </c>
      <c r="J18" s="26">
        <v>0</v>
      </c>
      <c r="K18" s="27">
        <f>G18*J18</f>
        <v>0</v>
      </c>
    </row>
    <row r="19" spans="1:11" x14ac:dyDescent="0.25">
      <c r="A19" s="31">
        <v>3003</v>
      </c>
      <c r="B19" s="22" t="s">
        <v>20</v>
      </c>
      <c r="C19" s="24"/>
      <c r="D19" s="23">
        <v>11</v>
      </c>
      <c r="E19" s="24"/>
      <c r="F19" s="23">
        <v>12</v>
      </c>
      <c r="G19" s="24"/>
      <c r="H19" s="23">
        <f>D19*F19</f>
        <v>132</v>
      </c>
      <c r="I19" s="25" t="s">
        <v>41</v>
      </c>
      <c r="J19" s="26">
        <v>0</v>
      </c>
      <c r="K19" s="27">
        <f>H198</f>
        <v>0</v>
      </c>
    </row>
    <row r="20" spans="1:11" x14ac:dyDescent="0.25">
      <c r="A20" s="28" t="s">
        <v>13</v>
      </c>
      <c r="B20" s="29"/>
      <c r="C20" s="29"/>
      <c r="D20" s="29"/>
      <c r="E20" s="29"/>
      <c r="F20" s="29"/>
      <c r="G20" s="29"/>
      <c r="H20" s="29"/>
      <c r="I20" s="30"/>
      <c r="J20" s="39" t="s">
        <v>36</v>
      </c>
      <c r="K20" s="39">
        <f>SUM(K17:K19)</f>
        <v>0</v>
      </c>
    </row>
    <row r="21" spans="1:11" x14ac:dyDescent="0.25">
      <c r="A21" s="31">
        <v>4001</v>
      </c>
      <c r="B21" s="22" t="s">
        <v>21</v>
      </c>
      <c r="C21" s="23">
        <v>2800</v>
      </c>
      <c r="D21" s="24"/>
      <c r="E21" s="23">
        <v>4</v>
      </c>
      <c r="F21" s="24"/>
      <c r="G21" s="23">
        <v>36400</v>
      </c>
      <c r="H21" s="24"/>
      <c r="I21" s="25" t="s">
        <v>6</v>
      </c>
      <c r="J21" s="26">
        <v>0</v>
      </c>
      <c r="K21" s="27">
        <f>G21*J21</f>
        <v>0</v>
      </c>
    </row>
    <row r="22" spans="1:11" x14ac:dyDescent="0.25">
      <c r="A22" s="31">
        <v>4002</v>
      </c>
      <c r="B22" s="22" t="s">
        <v>8</v>
      </c>
      <c r="C22" s="23">
        <v>2800</v>
      </c>
      <c r="D22" s="24"/>
      <c r="E22" s="23">
        <v>1</v>
      </c>
      <c r="F22" s="24"/>
      <c r="G22" s="23">
        <f>C22*E22</f>
        <v>2800</v>
      </c>
      <c r="H22" s="24"/>
      <c r="I22" s="25" t="s">
        <v>6</v>
      </c>
      <c r="J22" s="26">
        <v>0</v>
      </c>
      <c r="K22" s="27">
        <f>G22*J22</f>
        <v>0</v>
      </c>
    </row>
    <row r="23" spans="1:11" x14ac:dyDescent="0.25">
      <c r="A23" s="31">
        <v>4003</v>
      </c>
      <c r="B23" s="22" t="s">
        <v>22</v>
      </c>
      <c r="C23" s="24"/>
      <c r="D23" s="23">
        <v>2</v>
      </c>
      <c r="E23" s="24"/>
      <c r="F23" s="23">
        <v>12</v>
      </c>
      <c r="G23" s="24"/>
      <c r="H23" s="23">
        <f>D23*F23</f>
        <v>24</v>
      </c>
      <c r="I23" s="25" t="s">
        <v>41</v>
      </c>
      <c r="J23" s="26">
        <v>0</v>
      </c>
      <c r="K23" s="27">
        <f>H23*J23</f>
        <v>0</v>
      </c>
    </row>
    <row r="24" spans="1:11" x14ac:dyDescent="0.25">
      <c r="A24" s="28" t="s">
        <v>14</v>
      </c>
      <c r="B24" s="29"/>
      <c r="C24" s="29"/>
      <c r="D24" s="29"/>
      <c r="E24" s="29"/>
      <c r="F24" s="29"/>
      <c r="G24" s="29"/>
      <c r="H24" s="29"/>
      <c r="I24" s="30"/>
      <c r="J24" s="39" t="s">
        <v>37</v>
      </c>
      <c r="K24" s="39">
        <f>SUM(K21:K23)</f>
        <v>0</v>
      </c>
    </row>
    <row r="25" spans="1:11" x14ac:dyDescent="0.25">
      <c r="A25" s="31">
        <v>5001</v>
      </c>
      <c r="B25" s="22" t="s">
        <v>23</v>
      </c>
      <c r="C25" s="23">
        <v>1400</v>
      </c>
      <c r="D25" s="24"/>
      <c r="E25" s="23">
        <v>2</v>
      </c>
      <c r="F25" s="24"/>
      <c r="G25" s="23">
        <f>C25*E25</f>
        <v>2800</v>
      </c>
      <c r="H25" s="24"/>
      <c r="I25" s="25" t="s">
        <v>6</v>
      </c>
      <c r="J25" s="26">
        <v>0</v>
      </c>
      <c r="K25" s="27">
        <f>G25*J25</f>
        <v>0</v>
      </c>
    </row>
    <row r="26" spans="1:11" x14ac:dyDescent="0.25">
      <c r="A26" s="31">
        <v>5002</v>
      </c>
      <c r="B26" s="22" t="s">
        <v>8</v>
      </c>
      <c r="C26" s="23">
        <v>1400</v>
      </c>
      <c r="D26" s="24"/>
      <c r="E26" s="23">
        <v>1</v>
      </c>
      <c r="F26" s="24"/>
      <c r="G26" s="23">
        <f>C26*E26</f>
        <v>1400</v>
      </c>
      <c r="H26" s="24"/>
      <c r="I26" s="25" t="s">
        <v>6</v>
      </c>
      <c r="J26" s="26">
        <v>0</v>
      </c>
      <c r="K26" s="27">
        <f>G26*J26</f>
        <v>0</v>
      </c>
    </row>
    <row r="27" spans="1:11" x14ac:dyDescent="0.25">
      <c r="A27" s="32">
        <v>5003</v>
      </c>
      <c r="B27" s="33" t="s">
        <v>24</v>
      </c>
      <c r="C27" s="34"/>
      <c r="D27" s="35">
        <v>2</v>
      </c>
      <c r="E27" s="34"/>
      <c r="F27" s="35">
        <v>6</v>
      </c>
      <c r="G27" s="34"/>
      <c r="H27" s="35">
        <f>D27*F27</f>
        <v>12</v>
      </c>
      <c r="I27" s="36" t="s">
        <v>41</v>
      </c>
      <c r="J27" s="37">
        <v>0</v>
      </c>
      <c r="K27" s="38">
        <f>H27*J27</f>
        <v>0</v>
      </c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39" t="s">
        <v>38</v>
      </c>
      <c r="K28" s="39">
        <f>SUM(K25:K27)</f>
        <v>0</v>
      </c>
    </row>
    <row r="29" spans="1:11" ht="6" customHeight="1" thickBo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7" t="s">
        <v>31</v>
      </c>
      <c r="J30" s="8"/>
      <c r="K30" s="9">
        <f>K5+K9+K13+K17+K21+K25</f>
        <v>0</v>
      </c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10" t="s">
        <v>32</v>
      </c>
      <c r="J31" s="5"/>
      <c r="K31" s="11">
        <f>K6+K10+K14+K18+K22+K26</f>
        <v>0</v>
      </c>
    </row>
    <row r="32" spans="1:11" ht="15.75" thickBot="1" x14ac:dyDescent="0.3">
      <c r="A32" s="4"/>
      <c r="B32" s="4"/>
      <c r="C32" s="4"/>
      <c r="D32" s="4"/>
      <c r="E32" s="4"/>
      <c r="F32" s="4"/>
      <c r="G32" s="4"/>
      <c r="H32" s="4"/>
      <c r="I32" s="12" t="s">
        <v>25</v>
      </c>
      <c r="J32" s="6"/>
      <c r="K32" s="13">
        <f>K7+K11+K15+K19+K23+K27</f>
        <v>0</v>
      </c>
    </row>
    <row r="33" spans="1:11" ht="19.5" thickBot="1" x14ac:dyDescent="0.35">
      <c r="A33" s="4"/>
      <c r="B33" s="4"/>
      <c r="C33" s="4"/>
      <c r="D33" s="4"/>
      <c r="E33" s="4"/>
      <c r="F33" s="4"/>
      <c r="G33" s="4"/>
      <c r="H33" s="4"/>
      <c r="I33" s="15" t="s">
        <v>33</v>
      </c>
      <c r="J33" s="16"/>
      <c r="K33" s="14">
        <f>K8+K12+K16+K20+K24+K28</f>
        <v>0</v>
      </c>
    </row>
  </sheetData>
  <mergeCells count="11">
    <mergeCell ref="A1:K1"/>
    <mergeCell ref="A24:H24"/>
    <mergeCell ref="I30:J30"/>
    <mergeCell ref="I31:J31"/>
    <mergeCell ref="I32:J32"/>
    <mergeCell ref="I33:J33"/>
    <mergeCell ref="A4:K4"/>
    <mergeCell ref="A8:H8"/>
    <mergeCell ref="A12:H12"/>
    <mergeCell ref="A16:H16"/>
    <mergeCell ref="A20:H20"/>
  </mergeCells>
  <pageMargins left="0.25" right="0.25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SHANNA M CIV USAF PACAF 35 CONS/PKB</dc:creator>
  <cp:lastModifiedBy>PRICE, SHANNA M CIV USAF PACAF 35 CONS/PKB</cp:lastModifiedBy>
  <cp:lastPrinted>2026-03-06T01:11:40Z</cp:lastPrinted>
  <dcterms:created xsi:type="dcterms:W3CDTF">2026-03-06T00:30:58Z</dcterms:created>
  <dcterms:modified xsi:type="dcterms:W3CDTF">2026-03-06T01:41:04Z</dcterms:modified>
</cp:coreProperties>
</file>